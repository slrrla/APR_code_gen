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ts &amp; No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2"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 width="28" customWidth="1" min="105" max="105"/>
    <col width="28" customWidth="1" min="106" max="106"/>
    <col width="28" customWidth="1" min="107" max="107"/>
    <col width="28" customWidth="1" min="108" max="108"/>
    <col width="28" customWidth="1" min="109" max="109"/>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c r="AC1" s="1" t="inlineStr">
        <is>
          <t>error_type_0.25.0</t>
        </is>
      </c>
      <c r="AD1" s="1" t="inlineStr">
        <is>
          <t>error_message_0.25.0</t>
        </is>
      </c>
      <c r="AE1" s="1" t="inlineStr">
        <is>
          <t>error_description_0.25.0</t>
        </is>
      </c>
      <c r="AF1" s="1" t="inlineStr">
        <is>
          <t>error_type_0.25.1</t>
        </is>
      </c>
      <c r="AG1" s="1" t="inlineStr">
        <is>
          <t>error_message_0.25.1</t>
        </is>
      </c>
      <c r="AH1" s="1" t="inlineStr">
        <is>
          <t>error_description_0.25.1</t>
        </is>
      </c>
      <c r="AI1" s="1" t="inlineStr">
        <is>
          <t>error_type_0.25.2</t>
        </is>
      </c>
      <c r="AJ1" s="1" t="inlineStr">
        <is>
          <t>error_message_0.25.2</t>
        </is>
      </c>
      <c r="AK1" s="1" t="inlineStr">
        <is>
          <t>error_description_0.25.2</t>
        </is>
      </c>
      <c r="AL1" s="1" t="inlineStr">
        <is>
          <t>error_type_0.25.3</t>
        </is>
      </c>
      <c r="AM1" s="1" t="inlineStr">
        <is>
          <t>error_message_0.25.3</t>
        </is>
      </c>
      <c r="AN1" s="1" t="inlineStr">
        <is>
          <t>error_description_0.25.3</t>
        </is>
      </c>
      <c r="AO1" s="1" t="inlineStr">
        <is>
          <t>error_type_0.45.0</t>
        </is>
      </c>
      <c r="AP1" s="1" t="inlineStr">
        <is>
          <t>error_message_0.45.0</t>
        </is>
      </c>
      <c r="AQ1" s="1" t="inlineStr">
        <is>
          <t>error_description_0.45.0</t>
        </is>
      </c>
      <c r="AR1" s="1" t="inlineStr">
        <is>
          <t>error_type_0.45.1</t>
        </is>
      </c>
      <c r="AS1" s="1" t="inlineStr">
        <is>
          <t>error_message_0.45.1</t>
        </is>
      </c>
      <c r="AT1" s="1" t="inlineStr">
        <is>
          <t>error_description_0.45.1</t>
        </is>
      </c>
      <c r="AU1" s="1" t="inlineStr">
        <is>
          <t>error_type_0.45.2</t>
        </is>
      </c>
      <c r="AV1" s="1" t="inlineStr">
        <is>
          <t>error_message_0.45.2</t>
        </is>
      </c>
      <c r="AW1" s="1" t="inlineStr">
        <is>
          <t>error_description_0.45.2</t>
        </is>
      </c>
      <c r="AX1" s="1" t="inlineStr">
        <is>
          <t>error_type_0.45.3</t>
        </is>
      </c>
      <c r="AY1" s="1" t="inlineStr">
        <is>
          <t>error_message_0.45.3</t>
        </is>
      </c>
      <c r="AZ1" s="1" t="inlineStr">
        <is>
          <t>error_description_0.45.3</t>
        </is>
      </c>
      <c r="BA1" s="1" t="inlineStr">
        <is>
          <t>error_type_0.46.0</t>
        </is>
      </c>
      <c r="BB1" s="1" t="inlineStr">
        <is>
          <t>error_message_0.46.0</t>
        </is>
      </c>
      <c r="BC1" s="1" t="inlineStr">
        <is>
          <t>error_description_0.46.0</t>
        </is>
      </c>
      <c r="BD1" s="1" t="inlineStr">
        <is>
          <t>error_type_0.46.1</t>
        </is>
      </c>
      <c r="BE1" s="1" t="inlineStr">
        <is>
          <t>error_message_0.46.1</t>
        </is>
      </c>
      <c r="BF1" s="1" t="inlineStr">
        <is>
          <t>error_description_0.46.1</t>
        </is>
      </c>
      <c r="BG1" s="1" t="inlineStr">
        <is>
          <t>error_type_0.46.2</t>
        </is>
      </c>
      <c r="BH1" s="1" t="inlineStr">
        <is>
          <t>error_message_0.46.2</t>
        </is>
      </c>
      <c r="BI1" s="1" t="inlineStr">
        <is>
          <t>error_description_0.46.2</t>
        </is>
      </c>
      <c r="BJ1" s="1" t="inlineStr">
        <is>
          <t>error_type_0.46.3</t>
        </is>
      </c>
      <c r="BK1" s="1" t="inlineStr">
        <is>
          <t>error_message_0.46.3</t>
        </is>
      </c>
      <c r="BL1" s="1" t="inlineStr">
        <is>
          <t>error_description_0.46.3</t>
        </is>
      </c>
      <c r="BM1" s="1" t="inlineStr">
        <is>
          <t>error_type_1.0.0</t>
        </is>
      </c>
      <c r="BN1" s="1" t="inlineStr">
        <is>
          <t>error_message_1.0.0</t>
        </is>
      </c>
      <c r="BO1" s="1" t="inlineStr">
        <is>
          <t>error_description_1.0.0</t>
        </is>
      </c>
      <c r="BP1" s="1" t="inlineStr">
        <is>
          <t>error_type_1.0.1</t>
        </is>
      </c>
      <c r="BQ1" s="1" t="inlineStr">
        <is>
          <t>error_message_1.0.1</t>
        </is>
      </c>
      <c r="BR1" s="1" t="inlineStr">
        <is>
          <t>error_description_1.0.1</t>
        </is>
      </c>
      <c r="BS1" s="1" t="inlineStr">
        <is>
          <t>error_type_1.0.2</t>
        </is>
      </c>
      <c r="BT1" s="1" t="inlineStr">
        <is>
          <t>error_message_1.0.2</t>
        </is>
      </c>
      <c r="BU1" s="1" t="inlineStr">
        <is>
          <t>error_description_1.0.2</t>
        </is>
      </c>
      <c r="BV1" s="1" t="inlineStr">
        <is>
          <t>error_type_1.1.0</t>
        </is>
      </c>
      <c r="BW1" s="1" t="inlineStr">
        <is>
          <t>error_message_1.1.0</t>
        </is>
      </c>
      <c r="BX1" s="1" t="inlineStr">
        <is>
          <t>error_description_1.1.0</t>
        </is>
      </c>
      <c r="BY1" s="1" t="inlineStr">
        <is>
          <t>error_type_1.1.1</t>
        </is>
      </c>
      <c r="BZ1" s="1" t="inlineStr">
        <is>
          <t>error_message_1.1.1</t>
        </is>
      </c>
      <c r="CA1" s="1" t="inlineStr">
        <is>
          <t>error_description_1.1.1</t>
        </is>
      </c>
      <c r="CB1" s="1" t="inlineStr">
        <is>
          <t>error_type_1.1.2</t>
        </is>
      </c>
      <c r="CC1" s="1" t="inlineStr">
        <is>
          <t>error_message_1.1.2</t>
        </is>
      </c>
      <c r="CD1" s="1" t="inlineStr">
        <is>
          <t>error_description_1.1.2</t>
        </is>
      </c>
      <c r="CE1" s="1" t="inlineStr">
        <is>
          <t>error_type_1.2.0</t>
        </is>
      </c>
      <c r="CF1" s="1" t="inlineStr">
        <is>
          <t>error_message_1.2.0</t>
        </is>
      </c>
      <c r="CG1" s="1" t="inlineStr">
        <is>
          <t>error_description_1.2.0</t>
        </is>
      </c>
      <c r="CH1" s="1" t="inlineStr">
        <is>
          <t>error_type_1.2.1</t>
        </is>
      </c>
      <c r="CI1" s="1" t="inlineStr">
        <is>
          <t>error_message_1.2.1</t>
        </is>
      </c>
      <c r="CJ1" s="1" t="inlineStr">
        <is>
          <t>error_description_1.2.1</t>
        </is>
      </c>
      <c r="CK1" s="1" t="inlineStr">
        <is>
          <t>error_type_1.2.2</t>
        </is>
      </c>
      <c r="CL1" s="1" t="inlineStr">
        <is>
          <t>error_message_1.2.2</t>
        </is>
      </c>
      <c r="CM1" s="1" t="inlineStr">
        <is>
          <t>error_description_1.2.2</t>
        </is>
      </c>
      <c r="CN1" s="1" t="inlineStr">
        <is>
          <t>error_type_1.2.4</t>
        </is>
      </c>
      <c r="CO1" s="1" t="inlineStr">
        <is>
          <t>error_message_1.2.4</t>
        </is>
      </c>
      <c r="CP1" s="1" t="inlineStr">
        <is>
          <t>error_description_1.2.4</t>
        </is>
      </c>
      <c r="CQ1" s="1" t="inlineStr">
        <is>
          <t>error_type_2.0.0</t>
        </is>
      </c>
      <c r="CR1" s="1" t="inlineStr">
        <is>
          <t>error_message_2.0.0</t>
        </is>
      </c>
      <c r="CS1" s="1" t="inlineStr">
        <is>
          <t>error_description_2.0.0</t>
        </is>
      </c>
      <c r="CT1" s="1" t="inlineStr">
        <is>
          <t>error_type_2.2.0</t>
        </is>
      </c>
      <c r="CU1" s="1" t="inlineStr">
        <is>
          <t>error_message_2.2.0</t>
        </is>
      </c>
      <c r="CV1" s="1" t="inlineStr">
        <is>
          <t>error_description_2.2.0</t>
        </is>
      </c>
      <c r="CW1" s="1" t="inlineStr">
        <is>
          <t>error_type_2.3.0</t>
        </is>
      </c>
      <c r="CX1" s="1" t="inlineStr">
        <is>
          <t>error_message_2.3.0</t>
        </is>
      </c>
      <c r="CY1" s="1" t="inlineStr">
        <is>
          <t>error_description_2.3.0</t>
        </is>
      </c>
      <c r="CZ1" s="1" t="inlineStr">
        <is>
          <t>error_type_2.4.0</t>
        </is>
      </c>
      <c r="DA1" s="1" t="inlineStr">
        <is>
          <t>error_message_2.4.0</t>
        </is>
      </c>
      <c r="DB1" s="1" t="inlineStr">
        <is>
          <t>error_description_2.4.0</t>
        </is>
      </c>
      <c r="DC1" s="1" t="inlineStr">
        <is>
          <t>error_type_2.5.0</t>
        </is>
      </c>
      <c r="DD1" s="1" t="inlineStr">
        <is>
          <t>error_message_2.5.0</t>
        </is>
      </c>
      <c r="DE1" s="1" t="inlineStr">
        <is>
          <t>error_description_2.5.0</t>
        </is>
      </c>
    </row>
    <row r="2">
      <c r="A2" s="2" t="inlineStr">
        <is>
          <t>issue_009</t>
        </is>
      </c>
      <c r="B2" s="3" t="inlineStr">
        <is>
          <t>NOT_TESTED</t>
        </is>
      </c>
      <c r="C2" s="3" t="inlineStr">
        <is>
          <t>NOT_TESTED</t>
        </is>
      </c>
      <c r="D2" s="3" t="inlineStr">
        <is>
          <t>NOT_TESTED</t>
        </is>
      </c>
      <c r="E2" s="3" t="inlineStr">
        <is>
          <t>NOT_TESTED</t>
        </is>
      </c>
      <c r="F2" s="4" t="inlineStr">
        <is>
          <t>Passed on test</t>
        </is>
      </c>
      <c r="G2" s="4" t="inlineStr">
        <is>
          <t>Passed on test</t>
        </is>
      </c>
      <c r="H2" s="4" t="inlineStr">
        <is>
          <t>Passed on test</t>
        </is>
      </c>
      <c r="I2" s="4" t="inlineStr">
        <is>
          <t>Passed on test</t>
        </is>
      </c>
      <c r="J2" s="4" t="inlineStr">
        <is>
          <t>Passed on test</t>
        </is>
      </c>
      <c r="K2" s="4" t="inlineStr">
        <is>
          <t>Passed on test</t>
        </is>
      </c>
      <c r="L2" s="4" t="inlineStr">
        <is>
          <t>Passed on test</t>
        </is>
      </c>
      <c r="M2" s="4" t="inlineStr">
        <is>
          <t>Passed on test</t>
        </is>
      </c>
      <c r="N2" s="3" t="inlineStr">
        <is>
          <t>NOT_TESTED</t>
        </is>
      </c>
      <c r="O2" s="3" t="inlineStr">
        <is>
          <t>NOT_TESTED</t>
        </is>
      </c>
      <c r="P2" s="3" t="inlineStr">
        <is>
          <t>NOT_TESTED</t>
        </is>
      </c>
      <c r="Q2" s="3" t="inlineStr">
        <is>
          <t>NOT_TESTED</t>
        </is>
      </c>
      <c r="R2" s="3" t="inlineStr">
        <is>
          <t>NOT_TESTED</t>
        </is>
      </c>
      <c r="S2" s="3" t="inlineStr">
        <is>
          <t>NOT_TESTED</t>
        </is>
      </c>
      <c r="T2" s="3" t="inlineStr">
        <is>
          <t>NOT_TESTED</t>
        </is>
      </c>
      <c r="U2" s="3" t="inlineStr">
        <is>
          <t>NOT_TESTED</t>
        </is>
      </c>
      <c r="V2" s="3" t="inlineStr">
        <is>
          <t>NOT_TESTED</t>
        </is>
      </c>
      <c r="W2" s="3" t="inlineStr">
        <is>
          <t>NOT_TESTED</t>
        </is>
      </c>
      <c r="X2" s="3" t="inlineStr">
        <is>
          <t>NOT_TESTED</t>
        </is>
      </c>
      <c r="Y2" s="3" t="inlineStr">
        <is>
          <t>NOT_TESTED</t>
        </is>
      </c>
      <c r="Z2" s="3" t="inlineStr">
        <is>
          <t>NOT_TESTED</t>
        </is>
      </c>
      <c r="AA2" s="3" t="inlineStr">
        <is>
          <t>NOT_TESTED</t>
        </is>
      </c>
      <c r="AB2" s="3" t="inlineStr">
        <is>
          <t>NOT_TESTED</t>
        </is>
      </c>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row>
    <row r="3">
      <c r="A3" s="2" t="inlineStr">
        <is>
          <t>issue_018_se</t>
        </is>
      </c>
      <c r="B3" s="3" t="inlineStr">
        <is>
          <t>NOT_TESTED</t>
        </is>
      </c>
      <c r="C3" s="3" t="inlineStr">
        <is>
          <t>NOT_TESTED</t>
        </is>
      </c>
      <c r="D3" s="3" t="inlineStr">
        <is>
          <t>NOT_TESTED</t>
        </is>
      </c>
      <c r="E3" s="3" t="inlineStr">
        <is>
          <t>NOT_TESTED</t>
        </is>
      </c>
      <c r="F3" s="3" t="inlineStr">
        <is>
          <t>NOT_TESTED</t>
        </is>
      </c>
      <c r="G3" s="3" t="inlineStr">
        <is>
          <t>NOT_TESTED</t>
        </is>
      </c>
      <c r="H3" s="3" t="inlineStr">
        <is>
          <t>NOT_TESTED</t>
        </is>
      </c>
      <c r="I3" s="3" t="inlineStr">
        <is>
          <t>NOT_TESTED</t>
        </is>
      </c>
      <c r="J3" s="3" t="inlineStr">
        <is>
          <t>NOT_TESTED</t>
        </is>
      </c>
      <c r="K3" s="3" t="inlineStr">
        <is>
          <t>NOT_TESTED</t>
        </is>
      </c>
      <c r="L3" s="3" t="inlineStr">
        <is>
          <t>NOT_TESTED</t>
        </is>
      </c>
      <c r="M3" s="3" t="inlineStr">
        <is>
          <t>NOT_TESTED</t>
        </is>
      </c>
      <c r="N3" s="5" t="inlineStr">
        <is>
          <t>Failed on test</t>
        </is>
      </c>
      <c r="O3" s="5" t="inlineStr">
        <is>
          <t>Failed on test</t>
        </is>
      </c>
      <c r="P3" s="5" t="inlineStr">
        <is>
          <t>Failed on test</t>
        </is>
      </c>
      <c r="Q3" s="5" t="inlineStr">
        <is>
          <t>Failed on test</t>
        </is>
      </c>
      <c r="R3" s="5" t="inlineStr">
        <is>
          <t>Failed on test</t>
        </is>
      </c>
      <c r="S3" s="5" t="inlineStr">
        <is>
          <t>Failed on test</t>
        </is>
      </c>
      <c r="T3" s="5" t="inlineStr">
        <is>
          <t>Failed on test</t>
        </is>
      </c>
      <c r="U3" s="5" t="inlineStr">
        <is>
          <t>Failed on test</t>
        </is>
      </c>
      <c r="V3" s="5" t="inlineStr">
        <is>
          <t>Failed on test</t>
        </is>
      </c>
      <c r="W3" s="5" t="inlineStr">
        <is>
          <t>Failed on test</t>
        </is>
      </c>
      <c r="X3" s="5" t="inlineStr">
        <is>
          <t>Failed on test</t>
        </is>
      </c>
      <c r="Y3" s="5" t="inlineStr">
        <is>
          <t>Failed on test</t>
        </is>
      </c>
      <c r="Z3" s="5" t="inlineStr">
        <is>
          <t>Failed on test</t>
        </is>
      </c>
      <c r="AA3" s="5" t="inlineStr">
        <is>
          <t>Failed on test</t>
        </is>
      </c>
      <c r="AB3" s="5" t="inlineStr">
        <is>
          <t>Failed on test</t>
        </is>
      </c>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inlineStr">
        <is>
          <t>AssertionError</t>
        </is>
      </c>
      <c r="BN3" s="2" t="inlineStr">
        <is>
          <t>RuntimeError: SIMULATOR_PROCESS_ERROR: exit=3221226356 (0xC0000374); AssertionError:</t>
        </is>
      </c>
      <c r="BO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BP3" s="2" t="inlineStr">
        <is>
          <t>AssertionError</t>
        </is>
      </c>
      <c r="BQ3" s="2" t="inlineStr">
        <is>
          <t>RuntimeError: SIMULATOR_PROCESS_ERROR: exit=3221226356 (0xC0000374); AssertionError:</t>
        </is>
      </c>
      <c r="BR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BS3" s="2" t="inlineStr">
        <is>
          <t>AssertionError</t>
        </is>
      </c>
      <c r="BT3" s="2" t="inlineStr">
        <is>
          <t>RuntimeError: SIMULATOR_PROCESS_ERROR: exit=3221226356 (0xC0000374); AssertionError:</t>
        </is>
      </c>
      <c r="BU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BV3" s="2" t="inlineStr">
        <is>
          <t>AssertionError</t>
        </is>
      </c>
      <c r="BW3" s="2" t="inlineStr">
        <is>
          <t>RuntimeError: SIMULATOR_PROCESS_ERROR: exit=3221226356 (0xC0000374); AssertionError:</t>
        </is>
      </c>
      <c r="BX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BY3" s="2" t="inlineStr">
        <is>
          <t>AssertionError</t>
        </is>
      </c>
      <c r="BZ3" s="2" t="inlineStr">
        <is>
          <t>RuntimeError: SIMULATOR_PROCESS_ERROR: exit=3221226356 (0xC0000374); AssertionError:</t>
        </is>
      </c>
      <c r="CA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B3" s="2" t="inlineStr">
        <is>
          <t>AssertionError</t>
        </is>
      </c>
      <c r="CC3" s="2" t="inlineStr">
        <is>
          <t>RuntimeError: SIMULATOR_PROCESS_ERROR: exit=3221226356 (0xC0000374); AssertionError:</t>
        </is>
      </c>
      <c r="CD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E3" s="2" t="inlineStr">
        <is>
          <t>AssertionError</t>
        </is>
      </c>
      <c r="CF3" s="2" t="inlineStr">
        <is>
          <t>RuntimeError: SIMULATOR_PROCESS_ERROR: exit=3221225477 (0xC0000005); AssertionError:</t>
        </is>
      </c>
      <c r="CG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H3" s="2" t="inlineStr">
        <is>
          <t>AssertionError</t>
        </is>
      </c>
      <c r="CI3" s="2" t="inlineStr">
        <is>
          <t>RuntimeError: SIMULATOR_PROCESS_ERROR: exit=3221226356 (0xC0000374); AssertionError:</t>
        </is>
      </c>
      <c r="CJ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K3" s="2" t="inlineStr">
        <is>
          <t>AssertionError</t>
        </is>
      </c>
      <c r="CL3" s="2" t="inlineStr">
        <is>
          <t>RuntimeError: SIMULATOR_PROCESS_ERROR: exit=3221226356 (0xC0000374); AssertionError:</t>
        </is>
      </c>
      <c r="CM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N3" s="2" t="inlineStr">
        <is>
          <t>AssertionError</t>
        </is>
      </c>
      <c r="CO3" s="2" t="inlineStr">
        <is>
          <t>RuntimeError: SIMULATOR_PROCESS_ERROR: exit=3221226356 (0xC0000374); AssertionError:</t>
        </is>
      </c>
      <c r="CP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Q3" s="2" t="inlineStr">
        <is>
          <t>AssertionError</t>
        </is>
      </c>
      <c r="CR3" s="2" t="inlineStr">
        <is>
          <t>RuntimeError: SIMULATOR_PROCESS_ERROR: exit=3221226356 (0xC0000374); AssertionError:</t>
        </is>
      </c>
      <c r="CS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T3" s="2" t="inlineStr">
        <is>
          <t>AssertionError</t>
        </is>
      </c>
      <c r="CU3" s="2" t="inlineStr">
        <is>
          <t>RuntimeError: SIMULATOR_PROCESS_ERROR: exit=3221226356 (0xC0000374); AssertionError:</t>
        </is>
      </c>
      <c r="CV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W3" s="2" t="inlineStr">
        <is>
          <t>AssertionError</t>
        </is>
      </c>
      <c r="CX3" s="2" t="inlineStr">
        <is>
          <t>RuntimeError: SIMULATOR_PROCESS_ERROR: exit=3221226356 (0xC0000374); AssertionError:</t>
        </is>
      </c>
      <c r="CY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CZ3" s="2" t="inlineStr">
        <is>
          <t>AssertionError</t>
        </is>
      </c>
      <c r="DA3" s="2" t="inlineStr">
        <is>
          <t>RuntimeError: SIMULATOR_PROCESS_ERROR: exit=3221226356 (0xC0000374); AssertionError:</t>
        </is>
      </c>
      <c r="DB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DC3" s="2" t="inlineStr">
        <is>
          <t>AssertionError</t>
        </is>
      </c>
      <c r="DD3" s="2" t="inlineStr">
        <is>
          <t>RuntimeError: SIMULATOR_PROCESS_ERROR: exit=3221226356 (0xC0000374); AssertionError:</t>
        </is>
      </c>
      <c r="DE3" s="2"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row>
    <row r="4">
      <c r="A4" s="2" t="inlineStr">
        <is>
          <t>issue_021_se</t>
        </is>
      </c>
      <c r="B4" s="4" t="inlineStr">
        <is>
          <t>Passed on test</t>
        </is>
      </c>
      <c r="C4" s="4" t="inlineStr">
        <is>
          <t>Passed on test</t>
        </is>
      </c>
      <c r="D4" s="4" t="inlineStr">
        <is>
          <t>Passed on test</t>
        </is>
      </c>
      <c r="E4" s="4" t="inlineStr">
        <is>
          <t>Passed on test</t>
        </is>
      </c>
      <c r="F4" s="4" t="inlineStr">
        <is>
          <t>Passed on test</t>
        </is>
      </c>
      <c r="G4" s="4" t="inlineStr">
        <is>
          <t>Passed on test</t>
        </is>
      </c>
      <c r="H4" s="4" t="inlineStr">
        <is>
          <t>Passed on test</t>
        </is>
      </c>
      <c r="I4" s="4" t="inlineStr">
        <is>
          <t>Passed on test</t>
        </is>
      </c>
      <c r="J4" s="4" t="inlineStr">
        <is>
          <t>Passed on test</t>
        </is>
      </c>
      <c r="K4" s="4" t="inlineStr">
        <is>
          <t>Passed on test</t>
        </is>
      </c>
      <c r="L4" s="4" t="inlineStr">
        <is>
          <t>Passed on test</t>
        </is>
      </c>
      <c r="M4" s="4" t="inlineStr">
        <is>
          <t>Passed on test</t>
        </is>
      </c>
      <c r="N4" s="3" t="inlineStr">
        <is>
          <t>NOT_TESTED</t>
        </is>
      </c>
      <c r="O4" s="3" t="inlineStr">
        <is>
          <t>NOT_TESTED</t>
        </is>
      </c>
      <c r="P4" s="3" t="inlineStr">
        <is>
          <t>NOT_TESTED</t>
        </is>
      </c>
      <c r="Q4" s="3" t="inlineStr">
        <is>
          <t>NOT_TESTED</t>
        </is>
      </c>
      <c r="R4" s="3" t="inlineStr">
        <is>
          <t>NOT_TESTED</t>
        </is>
      </c>
      <c r="S4" s="3" t="inlineStr">
        <is>
          <t>NOT_TESTED</t>
        </is>
      </c>
      <c r="T4" s="3" t="inlineStr">
        <is>
          <t>NOT_TESTED</t>
        </is>
      </c>
      <c r="U4" s="3" t="inlineStr">
        <is>
          <t>NOT_TESTED</t>
        </is>
      </c>
      <c r="V4" s="3" t="inlineStr">
        <is>
          <t>NOT_TESTED</t>
        </is>
      </c>
      <c r="W4" s="3" t="inlineStr">
        <is>
          <t>NOT_TESTED</t>
        </is>
      </c>
      <c r="X4" s="3" t="inlineStr">
        <is>
          <t>NOT_TESTED</t>
        </is>
      </c>
      <c r="Y4" s="3" t="inlineStr">
        <is>
          <t>NOT_TESTED</t>
        </is>
      </c>
      <c r="Z4" s="3" t="inlineStr">
        <is>
          <t>NOT_TESTED</t>
        </is>
      </c>
      <c r="AA4" s="3" t="inlineStr">
        <is>
          <t>NOT_TESTED</t>
        </is>
      </c>
      <c r="AB4" s="3" t="inlineStr">
        <is>
          <t>NOT_TESTED</t>
        </is>
      </c>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row>
    <row r="5">
      <c r="A5" s="2" t="inlineStr">
        <is>
          <t>issue_032_se</t>
        </is>
      </c>
      <c r="B5" s="4" t="inlineStr">
        <is>
          <t>Passed on test</t>
        </is>
      </c>
      <c r="C5" s="4" t="inlineStr">
        <is>
          <t>Passed on test</t>
        </is>
      </c>
      <c r="D5" s="4" t="inlineStr">
        <is>
          <t>Passed on test</t>
        </is>
      </c>
      <c r="E5" s="4" t="inlineStr">
        <is>
          <t>Passed on test</t>
        </is>
      </c>
      <c r="F5" s="3" t="inlineStr">
        <is>
          <t>NOT_TESTED</t>
        </is>
      </c>
      <c r="G5" s="3" t="inlineStr">
        <is>
          <t>NOT_TESTED</t>
        </is>
      </c>
      <c r="H5" s="3" t="inlineStr">
        <is>
          <t>NOT_TESTED</t>
        </is>
      </c>
      <c r="I5" s="3" t="inlineStr">
        <is>
          <t>NOT_TESTED</t>
        </is>
      </c>
      <c r="J5" s="3" t="inlineStr">
        <is>
          <t>NOT_TESTED</t>
        </is>
      </c>
      <c r="K5" s="3" t="inlineStr">
        <is>
          <t>NOT_TESTED</t>
        </is>
      </c>
      <c r="L5" s="3" t="inlineStr">
        <is>
          <t>NOT_TESTED</t>
        </is>
      </c>
      <c r="M5" s="3" t="inlineStr">
        <is>
          <t>NOT_TESTED</t>
        </is>
      </c>
      <c r="N5" s="3" t="inlineStr">
        <is>
          <t>NOT_TESTED</t>
        </is>
      </c>
      <c r="O5" s="3" t="inlineStr">
        <is>
          <t>NOT_TESTED</t>
        </is>
      </c>
      <c r="P5" s="3" t="inlineStr">
        <is>
          <t>NOT_TESTED</t>
        </is>
      </c>
      <c r="Q5" s="3" t="inlineStr">
        <is>
          <t>NOT_TESTED</t>
        </is>
      </c>
      <c r="R5" s="3" t="inlineStr">
        <is>
          <t>NOT_TESTED</t>
        </is>
      </c>
      <c r="S5" s="3" t="inlineStr">
        <is>
          <t>NOT_TESTED</t>
        </is>
      </c>
      <c r="T5" s="3" t="inlineStr">
        <is>
          <t>NOT_TESTED</t>
        </is>
      </c>
      <c r="U5" s="3" t="inlineStr">
        <is>
          <t>NOT_TESTED</t>
        </is>
      </c>
      <c r="V5" s="3" t="inlineStr">
        <is>
          <t>NOT_TESTED</t>
        </is>
      </c>
      <c r="W5" s="3" t="inlineStr">
        <is>
          <t>NOT_TESTED</t>
        </is>
      </c>
      <c r="X5" s="3" t="inlineStr">
        <is>
          <t>NOT_TESTED</t>
        </is>
      </c>
      <c r="Y5" s="3" t="inlineStr">
        <is>
          <t>NOT_TESTED</t>
        </is>
      </c>
      <c r="Z5" s="3" t="inlineStr">
        <is>
          <t>NOT_TESTED</t>
        </is>
      </c>
      <c r="AA5" s="3" t="inlineStr">
        <is>
          <t>NOT_TESTED</t>
        </is>
      </c>
      <c r="AB5" s="3" t="inlineStr">
        <is>
          <t>NOT_TESTED</t>
        </is>
      </c>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c r="BP5" s="2" t="n"/>
      <c r="BQ5" s="2" t="n"/>
      <c r="BR5" s="2" t="n"/>
      <c r="BS5" s="2" t="n"/>
      <c r="BT5" s="2" t="n"/>
      <c r="BU5" s="2" t="n"/>
      <c r="BV5" s="2" t="n"/>
      <c r="BW5" s="2" t="n"/>
      <c r="BX5" s="2" t="n"/>
      <c r="BY5" s="2" t="n"/>
      <c r="BZ5" s="2" t="n"/>
      <c r="CA5" s="2" t="n"/>
      <c r="CB5" s="2" t="n"/>
      <c r="CC5" s="2" t="n"/>
      <c r="CD5" s="2" t="n"/>
      <c r="CE5" s="2" t="n"/>
      <c r="CF5" s="2" t="n"/>
      <c r="CG5" s="2" t="n"/>
      <c r="CH5" s="2" t="n"/>
      <c r="CI5" s="2" t="n"/>
      <c r="CJ5" s="2" t="n"/>
      <c r="CK5" s="2" t="n"/>
      <c r="CL5" s="2" t="n"/>
      <c r="CM5" s="2" t="n"/>
      <c r="CN5" s="2" t="n"/>
      <c r="CO5" s="2" t="n"/>
      <c r="CP5" s="2" t="n"/>
      <c r="CQ5" s="2" t="n"/>
      <c r="CR5" s="2" t="n"/>
      <c r="CS5" s="2" t="n"/>
      <c r="CT5" s="2" t="n"/>
      <c r="CU5" s="2" t="n"/>
      <c r="CV5" s="2" t="n"/>
      <c r="CW5" s="2" t="n"/>
      <c r="CX5" s="2" t="n"/>
      <c r="CY5" s="2" t="n"/>
      <c r="CZ5" s="2" t="n"/>
      <c r="DA5" s="2" t="n"/>
      <c r="DB5" s="2" t="n"/>
      <c r="DC5" s="2" t="n"/>
      <c r="DD5" s="2" t="n"/>
      <c r="DE5" s="2" t="n"/>
    </row>
    <row r="6">
      <c r="A6" s="2" t="inlineStr">
        <is>
          <t>issue_034</t>
        </is>
      </c>
      <c r="B6" s="3" t="inlineStr">
        <is>
          <t>NOT_TESTED</t>
        </is>
      </c>
      <c r="C6" s="3" t="inlineStr">
        <is>
          <t>NOT_TESTED</t>
        </is>
      </c>
      <c r="D6" s="3" t="inlineStr">
        <is>
          <t>NOT_TESTED</t>
        </is>
      </c>
      <c r="E6" s="3" t="inlineStr">
        <is>
          <t>NOT_TESTED</t>
        </is>
      </c>
      <c r="F6" s="3" t="inlineStr">
        <is>
          <t>NOT_TESTED</t>
        </is>
      </c>
      <c r="G6" s="3" t="inlineStr">
        <is>
          <t>NOT_TESTED</t>
        </is>
      </c>
      <c r="H6" s="3" t="inlineStr">
        <is>
          <t>NOT_TESTED</t>
        </is>
      </c>
      <c r="I6" s="3" t="inlineStr">
        <is>
          <t>NOT_TESTED</t>
        </is>
      </c>
      <c r="J6" s="3" t="inlineStr">
        <is>
          <t>NOT_TESTED</t>
        </is>
      </c>
      <c r="K6" s="3" t="inlineStr">
        <is>
          <t>NOT_TESTED</t>
        </is>
      </c>
      <c r="L6" s="3" t="inlineStr">
        <is>
          <t>NOT_TESTED</t>
        </is>
      </c>
      <c r="M6" s="3" t="inlineStr">
        <is>
          <t>NOT_TESTED</t>
        </is>
      </c>
      <c r="N6" s="4" t="inlineStr">
        <is>
          <t>Passed on test</t>
        </is>
      </c>
      <c r="O6" s="4" t="inlineStr">
        <is>
          <t>Passed on test</t>
        </is>
      </c>
      <c r="P6" s="4" t="inlineStr">
        <is>
          <t>Passed on test</t>
        </is>
      </c>
      <c r="Q6" s="4" t="inlineStr">
        <is>
          <t>Passed on test</t>
        </is>
      </c>
      <c r="R6" s="4" t="inlineStr">
        <is>
          <t>Passed on test</t>
        </is>
      </c>
      <c r="S6" s="4" t="inlineStr">
        <is>
          <t>Passed on test</t>
        </is>
      </c>
      <c r="T6" s="4" t="inlineStr">
        <is>
          <t>Passed on test</t>
        </is>
      </c>
      <c r="U6" s="4" t="inlineStr">
        <is>
          <t>Passed on test</t>
        </is>
      </c>
      <c r="V6" s="4" t="inlineStr">
        <is>
          <t>Passed on test</t>
        </is>
      </c>
      <c r="W6" s="4" t="inlineStr">
        <is>
          <t>Passed on test</t>
        </is>
      </c>
      <c r="X6" s="4" t="inlineStr">
        <is>
          <t>Passed on test</t>
        </is>
      </c>
      <c r="Y6" s="4" t="inlineStr">
        <is>
          <t>Passed on test</t>
        </is>
      </c>
      <c r="Z6" s="4" t="inlineStr">
        <is>
          <t>Passed on test</t>
        </is>
      </c>
      <c r="AA6" s="4" t="inlineStr">
        <is>
          <t>Passed on test</t>
        </is>
      </c>
      <c r="AB6" s="4" t="inlineStr">
        <is>
          <t>Passed on test</t>
        </is>
      </c>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n"/>
      <c r="CA6" s="2" t="n"/>
      <c r="CB6" s="2" t="n"/>
      <c r="CC6" s="2" t="n"/>
      <c r="CD6" s="2" t="n"/>
      <c r="CE6" s="2" t="n"/>
      <c r="CF6" s="2" t="n"/>
      <c r="CG6" s="2" t="n"/>
      <c r="CH6" s="2" t="n"/>
      <c r="CI6" s="2" t="n"/>
      <c r="CJ6" s="2" t="n"/>
      <c r="CK6" s="2" t="n"/>
      <c r="CL6" s="2" t="n"/>
      <c r="CM6" s="2" t="n"/>
      <c r="CN6" s="2" t="n"/>
      <c r="CO6" s="2" t="n"/>
      <c r="CP6" s="2" t="n"/>
      <c r="CQ6" s="2" t="n"/>
      <c r="CR6" s="2" t="n"/>
      <c r="CS6" s="2" t="n"/>
      <c r="CT6" s="2" t="n"/>
      <c r="CU6" s="2" t="n"/>
      <c r="CV6" s="2" t="n"/>
      <c r="CW6" s="2" t="n"/>
      <c r="CX6" s="2" t="n"/>
      <c r="CY6" s="2" t="n"/>
      <c r="CZ6" s="2" t="n"/>
      <c r="DA6" s="2" t="n"/>
      <c r="DB6" s="2" t="n"/>
      <c r="DC6" s="2" t="n"/>
      <c r="DD6" s="2" t="n"/>
      <c r="DE6" s="2" t="n"/>
    </row>
    <row r="7">
      <c r="A7" s="2" t="inlineStr">
        <is>
          <t>issue_036</t>
        </is>
      </c>
      <c r="B7" s="3" t="inlineStr">
        <is>
          <t>NOT_TESTED</t>
        </is>
      </c>
      <c r="C7" s="3" t="inlineStr">
        <is>
          <t>NOT_TESTED</t>
        </is>
      </c>
      <c r="D7" s="3" t="inlineStr">
        <is>
          <t>NOT_TESTED</t>
        </is>
      </c>
      <c r="E7" s="3" t="inlineStr">
        <is>
          <t>NOT_TESTED</t>
        </is>
      </c>
      <c r="F7" s="3" t="inlineStr">
        <is>
          <t>NOT_TESTED</t>
        </is>
      </c>
      <c r="G7" s="3" t="inlineStr">
        <is>
          <t>NOT_TESTED</t>
        </is>
      </c>
      <c r="H7" s="3" t="inlineStr">
        <is>
          <t>NOT_TESTED</t>
        </is>
      </c>
      <c r="I7" s="3" t="inlineStr">
        <is>
          <t>NOT_TESTED</t>
        </is>
      </c>
      <c r="J7" s="3" t="inlineStr">
        <is>
          <t>NOT_TESTED</t>
        </is>
      </c>
      <c r="K7" s="3" t="inlineStr">
        <is>
          <t>NOT_TESTED</t>
        </is>
      </c>
      <c r="L7" s="3" t="inlineStr">
        <is>
          <t>NOT_TESTED</t>
        </is>
      </c>
      <c r="M7" s="3" t="inlineStr">
        <is>
          <t>NOT_TESTED</t>
        </is>
      </c>
      <c r="N7" s="4" t="inlineStr">
        <is>
          <t>Passed on test</t>
        </is>
      </c>
      <c r="O7" s="4" t="inlineStr">
        <is>
          <t>Passed on test</t>
        </is>
      </c>
      <c r="P7" s="4" t="inlineStr">
        <is>
          <t>Passed on test</t>
        </is>
      </c>
      <c r="Q7" s="4" t="inlineStr">
        <is>
          <t>Passed on test</t>
        </is>
      </c>
      <c r="R7" s="4" t="inlineStr">
        <is>
          <t>Passed on test</t>
        </is>
      </c>
      <c r="S7" s="4" t="inlineStr">
        <is>
          <t>Passed on test</t>
        </is>
      </c>
      <c r="T7" s="4" t="inlineStr">
        <is>
          <t>Passed on test</t>
        </is>
      </c>
      <c r="U7" s="4" t="inlineStr">
        <is>
          <t>Passed on test</t>
        </is>
      </c>
      <c r="V7" s="4" t="inlineStr">
        <is>
          <t>Passed on test</t>
        </is>
      </c>
      <c r="W7" s="4" t="inlineStr">
        <is>
          <t>Passed on test</t>
        </is>
      </c>
      <c r="X7" s="4" t="inlineStr">
        <is>
          <t>Passed on test</t>
        </is>
      </c>
      <c r="Y7" s="4" t="inlineStr">
        <is>
          <t>Passed on test</t>
        </is>
      </c>
      <c r="Z7" s="4" t="inlineStr">
        <is>
          <t>Passed on test</t>
        </is>
      </c>
      <c r="AA7" s="4" t="inlineStr">
        <is>
          <t>Passed on test</t>
        </is>
      </c>
      <c r="AB7" s="4" t="inlineStr">
        <is>
          <t>Passed on test</t>
        </is>
      </c>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2" t="n"/>
      <c r="CX7" s="2" t="n"/>
      <c r="CY7" s="2" t="n"/>
      <c r="CZ7" s="2" t="n"/>
      <c r="DA7" s="2" t="n"/>
      <c r="DB7" s="2" t="n"/>
      <c r="DC7" s="2" t="n"/>
      <c r="DD7" s="2" t="n"/>
      <c r="DE7" s="2" t="n"/>
    </row>
    <row r="8">
      <c r="A8" s="2" t="inlineStr">
        <is>
          <t>issue_058_se</t>
        </is>
      </c>
      <c r="B8" s="4" t="inlineStr">
        <is>
          <t>Passed on test</t>
        </is>
      </c>
      <c r="C8" s="4" t="inlineStr">
        <is>
          <t>Passed on test</t>
        </is>
      </c>
      <c r="D8" s="4" t="inlineStr">
        <is>
          <t>Passed on test</t>
        </is>
      </c>
      <c r="E8" s="4" t="inlineStr">
        <is>
          <t>Passed on test</t>
        </is>
      </c>
      <c r="F8" s="4" t="inlineStr">
        <is>
          <t>Passed on test</t>
        </is>
      </c>
      <c r="G8" s="4" t="inlineStr">
        <is>
          <t>Passed on test</t>
        </is>
      </c>
      <c r="H8" s="4" t="inlineStr">
        <is>
          <t>Passed on test</t>
        </is>
      </c>
      <c r="I8" s="4" t="inlineStr">
        <is>
          <t>Passed on test</t>
        </is>
      </c>
      <c r="J8" s="4" t="inlineStr">
        <is>
          <t>Passed on test</t>
        </is>
      </c>
      <c r="K8" s="4" t="inlineStr">
        <is>
          <t>Passed on test</t>
        </is>
      </c>
      <c r="L8" s="4" t="inlineStr">
        <is>
          <t>Passed on test</t>
        </is>
      </c>
      <c r="M8" s="4" t="inlineStr">
        <is>
          <t>Passed on test</t>
        </is>
      </c>
      <c r="N8" s="3" t="inlineStr">
        <is>
          <t>NOT_TESTED</t>
        </is>
      </c>
      <c r="O8" s="3" t="inlineStr">
        <is>
          <t>NOT_TESTED</t>
        </is>
      </c>
      <c r="P8" s="3" t="inlineStr">
        <is>
          <t>NOT_TESTED</t>
        </is>
      </c>
      <c r="Q8" s="3" t="inlineStr">
        <is>
          <t>NOT_TESTED</t>
        </is>
      </c>
      <c r="R8" s="3" t="inlineStr">
        <is>
          <t>NOT_TESTED</t>
        </is>
      </c>
      <c r="S8" s="3" t="inlineStr">
        <is>
          <t>NOT_TESTED</t>
        </is>
      </c>
      <c r="T8" s="3" t="inlineStr">
        <is>
          <t>NOT_TESTED</t>
        </is>
      </c>
      <c r="U8" s="3" t="inlineStr">
        <is>
          <t>NOT_TESTED</t>
        </is>
      </c>
      <c r="V8" s="3" t="inlineStr">
        <is>
          <t>NOT_TESTED</t>
        </is>
      </c>
      <c r="W8" s="3" t="inlineStr">
        <is>
          <t>NOT_TESTED</t>
        </is>
      </c>
      <c r="X8" s="3" t="inlineStr">
        <is>
          <t>NOT_TESTED</t>
        </is>
      </c>
      <c r="Y8" s="3" t="inlineStr">
        <is>
          <t>NOT_TESTED</t>
        </is>
      </c>
      <c r="Z8" s="3" t="inlineStr">
        <is>
          <t>NOT_TESTED</t>
        </is>
      </c>
      <c r="AA8" s="3" t="inlineStr">
        <is>
          <t>NOT_TESTED</t>
        </is>
      </c>
      <c r="AB8" s="3" t="inlineStr">
        <is>
          <t>NOT_TESTED</t>
        </is>
      </c>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c r="CW8" s="2" t="n"/>
      <c r="CX8" s="2" t="n"/>
      <c r="CY8" s="2" t="n"/>
      <c r="CZ8" s="2" t="n"/>
      <c r="DA8" s="2" t="n"/>
      <c r="DB8" s="2" t="n"/>
      <c r="DC8" s="2" t="n"/>
      <c r="DD8" s="2" t="n"/>
      <c r="DE8" s="2" t="n"/>
    </row>
    <row r="9">
      <c r="A9" s="2" t="inlineStr">
        <is>
          <t>issue_061</t>
        </is>
      </c>
      <c r="B9" s="3" t="inlineStr">
        <is>
          <t>NOT_TESTED</t>
        </is>
      </c>
      <c r="C9" s="3" t="inlineStr">
        <is>
          <t>NOT_TESTED</t>
        </is>
      </c>
      <c r="D9" s="3" t="inlineStr">
        <is>
          <t>NOT_TESTED</t>
        </is>
      </c>
      <c r="E9" s="3" t="inlineStr">
        <is>
          <t>NOT_TESTED</t>
        </is>
      </c>
      <c r="F9" s="3" t="inlineStr">
        <is>
          <t>NOT_TESTED</t>
        </is>
      </c>
      <c r="G9" s="3" t="inlineStr">
        <is>
          <t>NOT_TESTED</t>
        </is>
      </c>
      <c r="H9" s="3" t="inlineStr">
        <is>
          <t>NOT_TESTED</t>
        </is>
      </c>
      <c r="I9" s="3" t="inlineStr">
        <is>
          <t>NOT_TESTED</t>
        </is>
      </c>
      <c r="J9" s="3" t="inlineStr">
        <is>
          <t>NOT_TESTED</t>
        </is>
      </c>
      <c r="K9" s="3" t="inlineStr">
        <is>
          <t>NOT_TESTED</t>
        </is>
      </c>
      <c r="L9" s="3" t="inlineStr">
        <is>
          <t>NOT_TESTED</t>
        </is>
      </c>
      <c r="M9" s="3" t="inlineStr">
        <is>
          <t>NOT_TESTED</t>
        </is>
      </c>
      <c r="N9" s="4" t="inlineStr">
        <is>
          <t>Passed on test</t>
        </is>
      </c>
      <c r="O9" s="4" t="inlineStr">
        <is>
          <t>Passed on test</t>
        </is>
      </c>
      <c r="P9" s="4" t="inlineStr">
        <is>
          <t>Passed on test</t>
        </is>
      </c>
      <c r="Q9" s="4" t="inlineStr">
        <is>
          <t>Passed on test</t>
        </is>
      </c>
      <c r="R9" s="4" t="inlineStr">
        <is>
          <t>Passed on test</t>
        </is>
      </c>
      <c r="S9" s="4" t="inlineStr">
        <is>
          <t>Passed on test</t>
        </is>
      </c>
      <c r="T9" s="4" t="inlineStr">
        <is>
          <t>Passed on test</t>
        </is>
      </c>
      <c r="U9" s="4" t="inlineStr">
        <is>
          <t>Passed on test</t>
        </is>
      </c>
      <c r="V9" s="4" t="inlineStr">
        <is>
          <t>Passed on test</t>
        </is>
      </c>
      <c r="W9" s="4" t="inlineStr">
        <is>
          <t>Passed on test</t>
        </is>
      </c>
      <c r="X9" s="4" t="inlineStr">
        <is>
          <t>Passed on test</t>
        </is>
      </c>
      <c r="Y9" s="4" t="inlineStr">
        <is>
          <t>Passed on test</t>
        </is>
      </c>
      <c r="Z9" s="4" t="inlineStr">
        <is>
          <t>Passed on test</t>
        </is>
      </c>
      <c r="AA9" s="4" t="inlineStr">
        <is>
          <t>Passed on test</t>
        </is>
      </c>
      <c r="AB9" s="4" t="inlineStr">
        <is>
          <t>Passed on test</t>
        </is>
      </c>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c r="CW9" s="2" t="n"/>
      <c r="CX9" s="2" t="n"/>
      <c r="CY9" s="2" t="n"/>
      <c r="CZ9" s="2" t="n"/>
      <c r="DA9" s="2" t="n"/>
      <c r="DB9" s="2" t="n"/>
      <c r="DC9" s="2" t="n"/>
      <c r="DD9" s="2" t="n"/>
      <c r="DE9" s="2" t="n"/>
    </row>
    <row r="10">
      <c r="A10" s="2" t="inlineStr">
        <is>
          <t>issue_072</t>
        </is>
      </c>
      <c r="B10" s="4" t="inlineStr">
        <is>
          <t>Passed on test</t>
        </is>
      </c>
      <c r="C10" s="4" t="inlineStr">
        <is>
          <t>Passed on test</t>
        </is>
      </c>
      <c r="D10" s="4" t="inlineStr">
        <is>
          <t>Passed on test</t>
        </is>
      </c>
      <c r="E10" s="4" t="inlineStr">
        <is>
          <t>Passed on test</t>
        </is>
      </c>
      <c r="F10" s="3" t="inlineStr">
        <is>
          <t>NOT_TESTED</t>
        </is>
      </c>
      <c r="G10" s="3" t="inlineStr">
        <is>
          <t>NOT_TESTED</t>
        </is>
      </c>
      <c r="H10" s="3" t="inlineStr">
        <is>
          <t>NOT_TESTED</t>
        </is>
      </c>
      <c r="I10" s="3" t="inlineStr">
        <is>
          <t>NOT_TESTED</t>
        </is>
      </c>
      <c r="J10" s="3" t="inlineStr">
        <is>
          <t>NOT_TESTED</t>
        </is>
      </c>
      <c r="K10" s="3" t="inlineStr">
        <is>
          <t>NOT_TESTED</t>
        </is>
      </c>
      <c r="L10" s="3" t="inlineStr">
        <is>
          <t>NOT_TESTED</t>
        </is>
      </c>
      <c r="M10" s="3" t="inlineStr">
        <is>
          <t>NOT_TESTED</t>
        </is>
      </c>
      <c r="N10" s="3" t="inlineStr">
        <is>
          <t>NOT_TESTED</t>
        </is>
      </c>
      <c r="O10" s="3" t="inlineStr">
        <is>
          <t>NOT_TESTED</t>
        </is>
      </c>
      <c r="P10" s="3" t="inlineStr">
        <is>
          <t>NOT_TESTED</t>
        </is>
      </c>
      <c r="Q10" s="3" t="inlineStr">
        <is>
          <t>NOT_TESTED</t>
        </is>
      </c>
      <c r="R10" s="3" t="inlineStr">
        <is>
          <t>NOT_TESTED</t>
        </is>
      </c>
      <c r="S10" s="3" t="inlineStr">
        <is>
          <t>NOT_TESTED</t>
        </is>
      </c>
      <c r="T10" s="3" t="inlineStr">
        <is>
          <t>NOT_TESTED</t>
        </is>
      </c>
      <c r="U10" s="3" t="inlineStr">
        <is>
          <t>NOT_TESTED</t>
        </is>
      </c>
      <c r="V10" s="3" t="inlineStr">
        <is>
          <t>NOT_TESTED</t>
        </is>
      </c>
      <c r="W10" s="3" t="inlineStr">
        <is>
          <t>NOT_TESTED</t>
        </is>
      </c>
      <c r="X10" s="3" t="inlineStr">
        <is>
          <t>NOT_TESTED</t>
        </is>
      </c>
      <c r="Y10" s="3" t="inlineStr">
        <is>
          <t>NOT_TESTED</t>
        </is>
      </c>
      <c r="Z10" s="3" t="inlineStr">
        <is>
          <t>NOT_TESTED</t>
        </is>
      </c>
      <c r="AA10" s="3" t="inlineStr">
        <is>
          <t>NOT_TESTED</t>
        </is>
      </c>
      <c r="AB10" s="3" t="inlineStr">
        <is>
          <t>NOT_TESTED</t>
        </is>
      </c>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2" t="n"/>
      <c r="CH10" s="2" t="n"/>
      <c r="CI10" s="2" t="n"/>
      <c r="CJ10" s="2" t="n"/>
      <c r="CK10" s="2" t="n"/>
      <c r="CL10" s="2" t="n"/>
      <c r="CM10" s="2" t="n"/>
      <c r="CN10" s="2" t="n"/>
      <c r="CO10" s="2" t="n"/>
      <c r="CP10" s="2" t="n"/>
      <c r="CQ10" s="2" t="n"/>
      <c r="CR10" s="2" t="n"/>
      <c r="CS10" s="2" t="n"/>
      <c r="CT10" s="2" t="n"/>
      <c r="CU10" s="2" t="n"/>
      <c r="CV10" s="2" t="n"/>
      <c r="CW10" s="2" t="n"/>
      <c r="CX10" s="2" t="n"/>
      <c r="CY10" s="2" t="n"/>
      <c r="CZ10" s="2" t="n"/>
      <c r="DA10" s="2" t="n"/>
      <c r="DB10" s="2" t="n"/>
      <c r="DC10" s="2" t="n"/>
      <c r="DD10" s="2" t="n"/>
      <c r="DE10" s="2" t="n"/>
    </row>
    <row r="11">
      <c r="A11" s="2" t="inlineStr">
        <is>
          <t>issue_096</t>
        </is>
      </c>
      <c r="B11" s="5" t="inlineStr">
        <is>
          <t>Failed on test</t>
        </is>
      </c>
      <c r="C11" s="5" t="inlineStr">
        <is>
          <t>Failed on test</t>
        </is>
      </c>
      <c r="D11" s="5" t="inlineStr">
        <is>
          <t>Failed on test</t>
        </is>
      </c>
      <c r="E11" s="5" t="inlineStr">
        <is>
          <t>Failed on test</t>
        </is>
      </c>
      <c r="F11" s="5" t="inlineStr">
        <is>
          <t>Failed on test</t>
        </is>
      </c>
      <c r="G11" s="5" t="inlineStr">
        <is>
          <t>Failed on test</t>
        </is>
      </c>
      <c r="H11" s="5" t="inlineStr">
        <is>
          <t>Failed on test</t>
        </is>
      </c>
      <c r="I11" s="5" t="inlineStr">
        <is>
          <t>Failed on test</t>
        </is>
      </c>
      <c r="J11" s="5" t="inlineStr">
        <is>
          <t>Failed on test</t>
        </is>
      </c>
      <c r="K11" s="5" t="inlineStr">
        <is>
          <t>Failed on test</t>
        </is>
      </c>
      <c r="L11" s="5" t="inlineStr">
        <is>
          <t>Failed on test</t>
        </is>
      </c>
      <c r="M11" s="5" t="inlineStr">
        <is>
          <t>Failed on test</t>
        </is>
      </c>
      <c r="N11" s="5" t="inlineStr">
        <is>
          <t>Failed on test</t>
        </is>
      </c>
      <c r="O11" s="5" t="inlineStr">
        <is>
          <t>Failed on test</t>
        </is>
      </c>
      <c r="P11" s="5" t="inlineStr">
        <is>
          <t>Failed on test</t>
        </is>
      </c>
      <c r="Q11" s="5" t="inlineStr">
        <is>
          <t>Failed on test</t>
        </is>
      </c>
      <c r="R11" s="5" t="inlineStr">
        <is>
          <t>Failed on test</t>
        </is>
      </c>
      <c r="S11" s="5" t="inlineStr">
        <is>
          <t>Failed on test</t>
        </is>
      </c>
      <c r="T11" s="5" t="inlineStr">
        <is>
          <t>Failed on test</t>
        </is>
      </c>
      <c r="U11" s="5" t="inlineStr">
        <is>
          <t>Failed on test</t>
        </is>
      </c>
      <c r="V11" s="5" t="inlineStr">
        <is>
          <t>Failed on test</t>
        </is>
      </c>
      <c r="W11" s="5" t="inlineStr">
        <is>
          <t>Failed on test</t>
        </is>
      </c>
      <c r="X11" s="5" t="inlineStr">
        <is>
          <t>Failed on test</t>
        </is>
      </c>
      <c r="Y11" s="5" t="inlineStr">
        <is>
          <t>Failed on test</t>
        </is>
      </c>
      <c r="Z11" s="5" t="inlineStr">
        <is>
          <t>Failed on test</t>
        </is>
      </c>
      <c r="AA11" s="5" t="inlineStr">
        <is>
          <t>Failed on test</t>
        </is>
      </c>
      <c r="AB11" s="5" t="inlineStr">
        <is>
          <t>Failed on test</t>
        </is>
      </c>
      <c r="AC11" s="2" t="inlineStr">
        <is>
          <t>AssertionError</t>
        </is>
      </c>
      <c r="AD11" s="2" t="inlineStr">
        <is>
          <t>AssertionError: '' != '[default]\n'; AssertionError: False is not true : Missing ipython_kernel_config.py (even when the profile directory already exists)</t>
        </is>
      </c>
      <c r="AE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F11" s="2" t="inlineStr">
        <is>
          <t>AssertionError</t>
        </is>
      </c>
      <c r="AG11" s="2" t="inlineStr">
        <is>
          <t>AssertionError: '' != '[default]\n'; AssertionError: False is not true : Missing ipython_kernel_config.py (even when the profile directory already exists)</t>
        </is>
      </c>
      <c r="AH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I11" s="2" t="inlineStr">
        <is>
          <t>AssertionError</t>
        </is>
      </c>
      <c r="AJ11" s="2" t="inlineStr">
        <is>
          <t>AssertionError: '' != '[default]\n'; AssertionError: False is not true : Missing ipython_kernel_config.py (even when the profile directory already exists)</t>
        </is>
      </c>
      <c r="AK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L11" s="2" t="inlineStr">
        <is>
          <t>AssertionError</t>
        </is>
      </c>
      <c r="AM11" s="2" t="inlineStr">
        <is>
          <t>AssertionError: '' != '[default]\n'; AssertionError: False is not true : Missing ipython_kernel_config.py (even when the profile directory already exists)</t>
        </is>
      </c>
      <c r="AN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O11" s="2" t="inlineStr">
        <is>
          <t>AssertionError</t>
        </is>
      </c>
      <c r="AP11" s="2" t="inlineStr">
        <is>
          <t>AssertionError: '' != '[default]\n'; AssertionError: False is not true : Missing ipython_kernel_config.py (even when the profile directory already exists)</t>
        </is>
      </c>
      <c r="AQ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R11" s="2" t="inlineStr">
        <is>
          <t>AssertionError</t>
        </is>
      </c>
      <c r="AS11" s="2" t="inlineStr">
        <is>
          <t>AssertionError: '' != '[default]\n'; AssertionError: False is not true : Missing ipython_kernel_config.py (even when the profile directory already exists)</t>
        </is>
      </c>
      <c r="AT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U11" s="2" t="inlineStr">
        <is>
          <t>AssertionError</t>
        </is>
      </c>
      <c r="AV11" s="2" t="inlineStr">
        <is>
          <t>AssertionError: '' != '[default]\n'; AssertionError: False is not true : Missing ipython_kernel_config.py (even when the profile directory already exists)</t>
        </is>
      </c>
      <c r="AW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AX11" s="2" t="inlineStr">
        <is>
          <t>AssertionError</t>
        </is>
      </c>
      <c r="AY11" s="2" t="inlineStr">
        <is>
          <t>AssertionError: '' != '[default]\n'; AssertionError: False is not true : Missing ipython_kernel_config.py (even when the profile directory already exists)</t>
        </is>
      </c>
      <c r="AZ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A11" s="2" t="inlineStr">
        <is>
          <t>AssertionError</t>
        </is>
      </c>
      <c r="BB11" s="2" t="inlineStr">
        <is>
          <t>AssertionError: '' != '[default]\n'; AssertionError: False is not true : Missing ipython_kernel_config.py (even when the profile directory already exists)</t>
        </is>
      </c>
      <c r="BC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D11" s="2" t="inlineStr">
        <is>
          <t>AssertionError</t>
        </is>
      </c>
      <c r="BE11" s="2" t="inlineStr">
        <is>
          <t>AssertionError: '' != '[default]\n'; AssertionError: False is not true : Missing ipython_kernel_config.py (even when the profile directory already exists)</t>
        </is>
      </c>
      <c r="BF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G11" s="2" t="inlineStr">
        <is>
          <t>AssertionError</t>
        </is>
      </c>
      <c r="BH11" s="2" t="inlineStr">
        <is>
          <t>AssertionError: '' != '[default]\n'; AssertionError: False is not true : Missing ipython_kernel_config.py (even when the profile directory already exists)</t>
        </is>
      </c>
      <c r="BI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J11" s="2" t="inlineStr">
        <is>
          <t>AssertionError</t>
        </is>
      </c>
      <c r="BK11" s="2" t="inlineStr">
        <is>
          <t>AssertionError: '' != '[default]\n'; AssertionError: False is not true : Missing ipython_kernel_config.py (even when the profile directory already exists)</t>
        </is>
      </c>
      <c r="BL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M11" s="2" t="inlineStr">
        <is>
          <t>AssertionError</t>
        </is>
      </c>
      <c r="BN11" s="2" t="inlineStr">
        <is>
          <t>AssertionError: '' != '[default]\n'; AssertionError: False is not true : Missing ipython_kernel_config.py (even when the profile directory already exists)</t>
        </is>
      </c>
      <c r="BO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P11" s="2" t="inlineStr">
        <is>
          <t>AssertionError</t>
        </is>
      </c>
      <c r="BQ11" s="2" t="inlineStr">
        <is>
          <t>AssertionError: '' != '[default]\n'; AssertionError: False is not true : Missing ipython_kernel_config.py (even when the profile directory already exists)</t>
        </is>
      </c>
      <c r="BR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S11" s="2" t="inlineStr">
        <is>
          <t>AssertionError</t>
        </is>
      </c>
      <c r="BT11" s="2" t="inlineStr">
        <is>
          <t>AssertionError: '' != '[default]\n'; AssertionError: False is not true : Missing ipython_kernel_config.py (even when the profile directory already exists)</t>
        </is>
      </c>
      <c r="BU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V11" s="2" t="inlineStr">
        <is>
          <t>AssertionError</t>
        </is>
      </c>
      <c r="BW11" s="2" t="inlineStr">
        <is>
          <t>AssertionError: '' != '[default]\n'; AssertionError: False is not true : Missing ipython_kernel_config.py (even when the profile directory already exists)</t>
        </is>
      </c>
      <c r="BX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BY11" s="2" t="inlineStr">
        <is>
          <t>AssertionError</t>
        </is>
      </c>
      <c r="BZ11" s="2" t="inlineStr">
        <is>
          <t>AssertionError: '' != '[default]\n'; AssertionError: False is not true : Missing ipython_kernel_config.py (even when the profile directory already exists)</t>
        </is>
      </c>
      <c r="CA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B11" s="2" t="inlineStr">
        <is>
          <t>AssertionError</t>
        </is>
      </c>
      <c r="CC11" s="2" t="inlineStr">
        <is>
          <t>AssertionError: '' != '[default]\n'; AssertionError: False is not true : Missing ipython_kernel_config.py (even when the profile directory already exists)</t>
        </is>
      </c>
      <c r="CD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E11" s="2" t="inlineStr">
        <is>
          <t>AssertionError</t>
        </is>
      </c>
      <c r="CF11" s="2" t="inlineStr">
        <is>
          <t>AssertionError: '' != '[default]\n'; AssertionError: False is not true : Missing ipython_kernel_config.py (even when the profile directory already exists)</t>
        </is>
      </c>
      <c r="CG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H11" s="2" t="inlineStr">
        <is>
          <t>AssertionError</t>
        </is>
      </c>
      <c r="CI11" s="2" t="inlineStr">
        <is>
          <t>AssertionError: '' != '[default]\n'; AssertionError: False is not true : Missing ipython_kernel_config.py (even when the profile directory already exists)</t>
        </is>
      </c>
      <c r="CJ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K11" s="2" t="inlineStr">
        <is>
          <t>AssertionError</t>
        </is>
      </c>
      <c r="CL11" s="2" t="inlineStr">
        <is>
          <t>AssertionError: '' != '[default]\n'; AssertionError: False is not true : Missing ipython_kernel_config.py (even when the profile directory already exists)</t>
        </is>
      </c>
      <c r="CM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N11" s="2" t="inlineStr">
        <is>
          <t>AssertionError</t>
        </is>
      </c>
      <c r="CO11" s="2" t="inlineStr">
        <is>
          <t>AssertionError: '' != '[default]\n'; AssertionError: False is not true : Missing ipython_kernel_config.py (even when the profile directory already exists)</t>
        </is>
      </c>
      <c r="CP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Q11" s="2" t="inlineStr">
        <is>
          <t>AssertionError</t>
        </is>
      </c>
      <c r="CR11" s="2" t="inlineStr">
        <is>
          <t>AssertionError: '' != '[default]\n'; AssertionError: False is not true : Missing ipython_kernel_config.py (even when the profile directory already exists)</t>
        </is>
      </c>
      <c r="CS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T11" s="2" t="inlineStr">
        <is>
          <t>AssertionError</t>
        </is>
      </c>
      <c r="CU11" s="2" t="inlineStr">
        <is>
          <t>AssertionError: '' != '[default]\n'; AssertionError: False is not true : Missing ipython_kernel_config.py (even when the profile directory already exists)</t>
        </is>
      </c>
      <c r="CV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W11" s="2" t="inlineStr">
        <is>
          <t>AssertionError</t>
        </is>
      </c>
      <c r="CX11" s="2" t="inlineStr">
        <is>
          <t>AssertionError: '' != '[default]\n'; AssertionError: False is not true : Missing ipython_kernel_config.py (even when the profile directory already exists)</t>
        </is>
      </c>
      <c r="CY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CZ11" s="2" t="inlineStr">
        <is>
          <t>AssertionError</t>
        </is>
      </c>
      <c r="DA11" s="2" t="inlineStr">
        <is>
          <t>AssertionError: '' != '[default]\n'; AssertionError: False is not true : Missing ipython_kernel_config.py (even when the profile directory already exists)</t>
        </is>
      </c>
      <c r="DB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DC11" s="2" t="inlineStr">
        <is>
          <t>AssertionError</t>
        </is>
      </c>
      <c r="DD11" s="2" t="inlineStr">
        <is>
          <t>AssertionError: '' != '[default]\n'; AssertionError: False is not true : Missing ipython_kernel_config.py (even when the profile directory already exists)</t>
        </is>
      </c>
      <c r="DE11" s="2"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row>
    <row r="12">
      <c r="A12" s="2" t="inlineStr">
        <is>
          <t>issue_155</t>
        </is>
      </c>
      <c r="B12" s="4" t="inlineStr">
        <is>
          <t>Passed on test</t>
        </is>
      </c>
      <c r="C12" s="4" t="inlineStr">
        <is>
          <t>Passed on test</t>
        </is>
      </c>
      <c r="D12" s="4" t="inlineStr">
        <is>
          <t>Passed on test</t>
        </is>
      </c>
      <c r="E12" s="4" t="inlineStr">
        <is>
          <t>Passed on test</t>
        </is>
      </c>
      <c r="F12" s="4" t="inlineStr">
        <is>
          <t>Passed on test</t>
        </is>
      </c>
      <c r="G12" s="4" t="inlineStr">
        <is>
          <t>Passed on test</t>
        </is>
      </c>
      <c r="H12" s="4" t="inlineStr">
        <is>
          <t>Passed on test</t>
        </is>
      </c>
      <c r="I12" s="4" t="inlineStr">
        <is>
          <t>Passed on test</t>
        </is>
      </c>
      <c r="J12" s="4" t="inlineStr">
        <is>
          <t>Passed on test</t>
        </is>
      </c>
      <c r="K12" s="4" t="inlineStr">
        <is>
          <t>Passed on test</t>
        </is>
      </c>
      <c r="L12" s="4" t="inlineStr">
        <is>
          <t>Passed on test</t>
        </is>
      </c>
      <c r="M12" s="4" t="inlineStr">
        <is>
          <t>Passed on test</t>
        </is>
      </c>
      <c r="N12" s="3" t="inlineStr">
        <is>
          <t>NOT_TESTED</t>
        </is>
      </c>
      <c r="O12" s="3" t="inlineStr">
        <is>
          <t>NOT_TESTED</t>
        </is>
      </c>
      <c r="P12" s="3" t="inlineStr">
        <is>
          <t>NOT_TESTED</t>
        </is>
      </c>
      <c r="Q12" s="3" t="inlineStr">
        <is>
          <t>NOT_TESTED</t>
        </is>
      </c>
      <c r="R12" s="3" t="inlineStr">
        <is>
          <t>NOT_TESTED</t>
        </is>
      </c>
      <c r="S12" s="3" t="inlineStr">
        <is>
          <t>NOT_TESTED</t>
        </is>
      </c>
      <c r="T12" s="3" t="inlineStr">
        <is>
          <t>NOT_TESTED</t>
        </is>
      </c>
      <c r="U12" s="3" t="inlineStr">
        <is>
          <t>NOT_TESTED</t>
        </is>
      </c>
      <c r="V12" s="3" t="inlineStr">
        <is>
          <t>NOT_TESTED</t>
        </is>
      </c>
      <c r="W12" s="3" t="inlineStr">
        <is>
          <t>NOT_TESTED</t>
        </is>
      </c>
      <c r="X12" s="3" t="inlineStr">
        <is>
          <t>NOT_TESTED</t>
        </is>
      </c>
      <c r="Y12" s="3" t="inlineStr">
        <is>
          <t>NOT_TESTED</t>
        </is>
      </c>
      <c r="Z12" s="3" t="inlineStr">
        <is>
          <t>NOT_TESTED</t>
        </is>
      </c>
      <c r="AA12" s="3" t="inlineStr">
        <is>
          <t>NOT_TESTED</t>
        </is>
      </c>
      <c r="AB12" s="3" t="inlineStr">
        <is>
          <t>NOT_TESTED</t>
        </is>
      </c>
      <c r="AC12" s="2" t="n"/>
      <c r="AD12" s="2" t="n"/>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c r="CW12" s="2" t="n"/>
      <c r="CX12" s="2" t="n"/>
      <c r="CY12" s="2" t="n"/>
      <c r="CZ12" s="2" t="n"/>
      <c r="DA12" s="2" t="n"/>
      <c r="DB12" s="2" t="n"/>
      <c r="DC12" s="2" t="n"/>
      <c r="DD12" s="2" t="n"/>
      <c r="DE12" s="2" t="n"/>
    </row>
    <row r="13">
      <c r="A13" s="2" t="inlineStr">
        <is>
          <t>issue_157</t>
        </is>
      </c>
      <c r="B13" s="6" t="inlineStr">
        <is>
          <t>Runtime error</t>
        </is>
      </c>
      <c r="C13" s="6" t="inlineStr">
        <is>
          <t>Runtime error</t>
        </is>
      </c>
      <c r="D13" s="6" t="inlineStr">
        <is>
          <t>Runtime error</t>
        </is>
      </c>
      <c r="E13" s="6" t="inlineStr">
        <is>
          <t>Runtime error</t>
        </is>
      </c>
      <c r="F13" s="4" t="inlineStr">
        <is>
          <t>Passed on test</t>
        </is>
      </c>
      <c r="G13" s="4" t="inlineStr">
        <is>
          <t>Passed on test</t>
        </is>
      </c>
      <c r="H13" s="4" t="inlineStr">
        <is>
          <t>Passed on test</t>
        </is>
      </c>
      <c r="I13" s="4" t="inlineStr">
        <is>
          <t>Passed on test</t>
        </is>
      </c>
      <c r="J13" s="4" t="inlineStr">
        <is>
          <t>Passed on test</t>
        </is>
      </c>
      <c r="K13" s="4" t="inlineStr">
        <is>
          <t>Passed on test</t>
        </is>
      </c>
      <c r="L13" s="4" t="inlineStr">
        <is>
          <t>Passed on test</t>
        </is>
      </c>
      <c r="M13" s="4" t="inlineStr">
        <is>
          <t>Passed on test</t>
        </is>
      </c>
      <c r="N13" s="3" t="inlineStr">
        <is>
          <t>NOT_TESTED</t>
        </is>
      </c>
      <c r="O13" s="3" t="inlineStr">
        <is>
          <t>NOT_TESTED</t>
        </is>
      </c>
      <c r="P13" s="3" t="inlineStr">
        <is>
          <t>NOT_TESTED</t>
        </is>
      </c>
      <c r="Q13" s="3" t="inlineStr">
        <is>
          <t>NOT_TESTED</t>
        </is>
      </c>
      <c r="R13" s="3" t="inlineStr">
        <is>
          <t>NOT_TESTED</t>
        </is>
      </c>
      <c r="S13" s="3" t="inlineStr">
        <is>
          <t>NOT_TESTED</t>
        </is>
      </c>
      <c r="T13" s="3" t="inlineStr">
        <is>
          <t>NOT_TESTED</t>
        </is>
      </c>
      <c r="U13" s="3" t="inlineStr">
        <is>
          <t>NOT_TESTED</t>
        </is>
      </c>
      <c r="V13" s="3" t="inlineStr">
        <is>
          <t>NOT_TESTED</t>
        </is>
      </c>
      <c r="W13" s="3" t="inlineStr">
        <is>
          <t>NOT_TESTED</t>
        </is>
      </c>
      <c r="X13" s="3" t="inlineStr">
        <is>
          <t>NOT_TESTED</t>
        </is>
      </c>
      <c r="Y13" s="3" t="inlineStr">
        <is>
          <t>NOT_TESTED</t>
        </is>
      </c>
      <c r="Z13" s="3" t="inlineStr">
        <is>
          <t>NOT_TESTED</t>
        </is>
      </c>
      <c r="AA13" s="3" t="inlineStr">
        <is>
          <t>NOT_TESTED</t>
        </is>
      </c>
      <c r="AB13" s="3" t="inlineStr">
        <is>
          <t>NOT_TESTED</t>
        </is>
      </c>
      <c r="AC13" s="2" t="inlineStr">
        <is>
          <t>ImportError</t>
        </is>
      </c>
      <c r="AD13" s="2" t="inlineStr">
        <is>
          <t>ImportError: cannot import name 'StatePreparation' from 'qiskit.circuit.library' (C:\qiskit_envs\q0250\lib\site-packages\qiskit\circuit\library\__init__.py)</t>
        </is>
      </c>
      <c r="AE13" s="2" t="inlineStr">
        <is>
          <t>Error on 0.25.x, passed on 0.45.x / 0.46.x: the LLM replaced initialize() (which contains a non-unitary reset and can't be controlled) with a StatePreparation gate, which is correct, but StatePreparation doesn't exist yet in Qiskit 0.25 (ImportError). Same code as claude-sonnet-5-5; every model loses 0.25.x on this case.</t>
        </is>
      </c>
      <c r="AF13" s="2" t="inlineStr">
        <is>
          <t>ImportError</t>
        </is>
      </c>
      <c r="AG13" s="2" t="inlineStr">
        <is>
          <t>ImportError: cannot import name 'StatePreparation' from 'qiskit.circuit.library' (C:\qiskit_envs\q0251\lib\site-packages\qiskit\circuit\library\__init__.py)</t>
        </is>
      </c>
      <c r="AH13" s="2" t="inlineStr">
        <is>
          <t>Error on 0.25.x, passed on 0.45.x / 0.46.x: the LLM replaced initialize() (which contains a non-unitary reset and can't be controlled) with a StatePreparation gate, which is correct, but StatePreparation doesn't exist yet in Qiskit 0.25 (ImportError). Same code as claude-sonnet-5-5; every model loses 0.25.x on this case.</t>
        </is>
      </c>
      <c r="AI13" s="2" t="inlineStr">
        <is>
          <t>ImportError</t>
        </is>
      </c>
      <c r="AJ13" s="2" t="inlineStr">
        <is>
          <t>ImportError: cannot import name 'StatePreparation' from 'qiskit.circuit.library' (C:\qiskit_envs\q0252\lib\site-packages\qiskit\circuit\library\__init__.py)</t>
        </is>
      </c>
      <c r="AK13" s="2" t="inlineStr">
        <is>
          <t>Error on 0.25.x, passed on 0.45.x / 0.46.x: the LLM replaced initialize() (which contains a non-unitary reset and can't be controlled) with a StatePreparation gate, which is correct, but StatePreparation doesn't exist yet in Qiskit 0.25 (ImportError). Same code as claude-sonnet-5-5; every model loses 0.25.x on this case.</t>
        </is>
      </c>
      <c r="AL13" s="2" t="inlineStr">
        <is>
          <t>ImportError</t>
        </is>
      </c>
      <c r="AM13" s="2" t="inlineStr">
        <is>
          <t>ImportError: cannot import name 'StatePreparation' from 'qiskit.circuit.library' (C:\qiskit_envs\q0253\lib\site-packages\qiskit\circuit\library\__init__.py)</t>
        </is>
      </c>
      <c r="AN13" s="2" t="inlineStr">
        <is>
          <t>Error on 0.25.x, passed on 0.45.x / 0.46.x: the LLM replaced initialize() (which contains a non-unitary reset and can't be controlled) with a StatePreparation gate, which is correct, but StatePreparation doesn't exist yet in Qiskit 0.25 (ImportError). Same code as claude-sonnet-5-5; every model loses 0.25.x on this case.</t>
        </is>
      </c>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2" t="n"/>
      <c r="CS13" s="2" t="n"/>
      <c r="CT13" s="2" t="n"/>
      <c r="CU13" s="2" t="n"/>
      <c r="CV13" s="2" t="n"/>
      <c r="CW13" s="2" t="n"/>
      <c r="CX13" s="2" t="n"/>
      <c r="CY13" s="2" t="n"/>
      <c r="CZ13" s="2" t="n"/>
      <c r="DA13" s="2" t="n"/>
      <c r="DB13" s="2" t="n"/>
      <c r="DC13" s="2" t="n"/>
      <c r="DD13" s="2" t="n"/>
      <c r="DE13" s="2" t="n"/>
    </row>
    <row r="14">
      <c r="A14" s="2" t="inlineStr">
        <is>
          <t>issue_174</t>
        </is>
      </c>
      <c r="B14" s="4" t="inlineStr">
        <is>
          <t>Passed on test</t>
        </is>
      </c>
      <c r="C14" s="4" t="inlineStr">
        <is>
          <t>Passed on test</t>
        </is>
      </c>
      <c r="D14" s="4" t="inlineStr">
        <is>
          <t>Passed on test</t>
        </is>
      </c>
      <c r="E14" s="4" t="inlineStr">
        <is>
          <t>Passed on test</t>
        </is>
      </c>
      <c r="F14" s="4" t="inlineStr">
        <is>
          <t>Passed on test</t>
        </is>
      </c>
      <c r="G14" s="4" t="inlineStr">
        <is>
          <t>Passed on test</t>
        </is>
      </c>
      <c r="H14" s="4" t="inlineStr">
        <is>
          <t>Passed on test</t>
        </is>
      </c>
      <c r="I14" s="4" t="inlineStr">
        <is>
          <t>Passed on test</t>
        </is>
      </c>
      <c r="J14" s="4" t="inlineStr">
        <is>
          <t>Passed on test</t>
        </is>
      </c>
      <c r="K14" s="4" t="inlineStr">
        <is>
          <t>Passed on test</t>
        </is>
      </c>
      <c r="L14" s="4" t="inlineStr">
        <is>
          <t>Passed on test</t>
        </is>
      </c>
      <c r="M14" s="4" t="inlineStr">
        <is>
          <t>Passed on test</t>
        </is>
      </c>
      <c r="N14" s="3" t="inlineStr">
        <is>
          <t>NOT_TESTED</t>
        </is>
      </c>
      <c r="O14" s="3" t="inlineStr">
        <is>
          <t>NOT_TESTED</t>
        </is>
      </c>
      <c r="P14" s="3" t="inlineStr">
        <is>
          <t>NOT_TESTED</t>
        </is>
      </c>
      <c r="Q14" s="3" t="inlineStr">
        <is>
          <t>NOT_TESTED</t>
        </is>
      </c>
      <c r="R14" s="3" t="inlineStr">
        <is>
          <t>NOT_TESTED</t>
        </is>
      </c>
      <c r="S14" s="3" t="inlineStr">
        <is>
          <t>NOT_TESTED</t>
        </is>
      </c>
      <c r="T14" s="3" t="inlineStr">
        <is>
          <t>NOT_TESTED</t>
        </is>
      </c>
      <c r="U14" s="3" t="inlineStr">
        <is>
          <t>NOT_TESTED</t>
        </is>
      </c>
      <c r="V14" s="3" t="inlineStr">
        <is>
          <t>NOT_TESTED</t>
        </is>
      </c>
      <c r="W14" s="3" t="inlineStr">
        <is>
          <t>NOT_TESTED</t>
        </is>
      </c>
      <c r="X14" s="3" t="inlineStr">
        <is>
          <t>NOT_TESTED</t>
        </is>
      </c>
      <c r="Y14" s="3" t="inlineStr">
        <is>
          <t>NOT_TESTED</t>
        </is>
      </c>
      <c r="Z14" s="3" t="inlineStr">
        <is>
          <t>NOT_TESTED</t>
        </is>
      </c>
      <c r="AA14" s="3" t="inlineStr">
        <is>
          <t>NOT_TESTED</t>
        </is>
      </c>
      <c r="AB14" s="3" t="inlineStr">
        <is>
          <t>NOT_TESTED</t>
        </is>
      </c>
      <c r="AC14" s="2" t="n"/>
      <c r="AD14" s="2"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2" t="n"/>
      <c r="CS14" s="2" t="n"/>
      <c r="CT14" s="2" t="n"/>
      <c r="CU14" s="2" t="n"/>
      <c r="CV14" s="2" t="n"/>
      <c r="CW14" s="2" t="n"/>
      <c r="CX14" s="2" t="n"/>
      <c r="CY14" s="2" t="n"/>
      <c r="CZ14" s="2" t="n"/>
      <c r="DA14" s="2" t="n"/>
      <c r="DB14" s="2" t="n"/>
      <c r="DC14" s="2" t="n"/>
      <c r="DD14" s="2" t="n"/>
      <c r="DE14" s="2" t="n"/>
    </row>
    <row r="15">
      <c r="A15" s="2" t="inlineStr">
        <is>
          <t>issue_189</t>
        </is>
      </c>
      <c r="B15" s="3" t="inlineStr">
        <is>
          <t>NOT_TESTED</t>
        </is>
      </c>
      <c r="C15" s="3" t="inlineStr">
        <is>
          <t>NOT_TESTED</t>
        </is>
      </c>
      <c r="D15" s="3" t="inlineStr">
        <is>
          <t>NOT_TESTED</t>
        </is>
      </c>
      <c r="E15" s="3" t="inlineStr">
        <is>
          <t>NOT_TESTED</t>
        </is>
      </c>
      <c r="F15" s="4" t="inlineStr">
        <is>
          <t>Passed on test</t>
        </is>
      </c>
      <c r="G15" s="4" t="inlineStr">
        <is>
          <t>Passed on test</t>
        </is>
      </c>
      <c r="H15" s="4" t="inlineStr">
        <is>
          <t>Passed on test</t>
        </is>
      </c>
      <c r="I15" s="4" t="inlineStr">
        <is>
          <t>Passed on test</t>
        </is>
      </c>
      <c r="J15" s="4" t="inlineStr">
        <is>
          <t>Passed on test</t>
        </is>
      </c>
      <c r="K15" s="4" t="inlineStr">
        <is>
          <t>Passed on test</t>
        </is>
      </c>
      <c r="L15" s="4" t="inlineStr">
        <is>
          <t>Passed on test</t>
        </is>
      </c>
      <c r="M15" s="4" t="inlineStr">
        <is>
          <t>Passed on test</t>
        </is>
      </c>
      <c r="N15" s="4" t="inlineStr">
        <is>
          <t>Passed on test</t>
        </is>
      </c>
      <c r="O15" s="4" t="inlineStr">
        <is>
          <t>Passed on test</t>
        </is>
      </c>
      <c r="P15" s="4" t="inlineStr">
        <is>
          <t>Passed on test</t>
        </is>
      </c>
      <c r="Q15" s="4" t="inlineStr">
        <is>
          <t>Passed on test</t>
        </is>
      </c>
      <c r="R15" s="4" t="inlineStr">
        <is>
          <t>Passed on test</t>
        </is>
      </c>
      <c r="S15" s="4" t="inlineStr">
        <is>
          <t>Passed on test</t>
        </is>
      </c>
      <c r="T15" s="4" t="inlineStr">
        <is>
          <t>Passed on test</t>
        </is>
      </c>
      <c r="U15" s="4" t="inlineStr">
        <is>
          <t>Passed on test</t>
        </is>
      </c>
      <c r="V15" s="4" t="inlineStr">
        <is>
          <t>Passed on test</t>
        </is>
      </c>
      <c r="W15" s="4" t="inlineStr">
        <is>
          <t>Passed on test</t>
        </is>
      </c>
      <c r="X15" s="4" t="inlineStr">
        <is>
          <t>Passed on test</t>
        </is>
      </c>
      <c r="Y15" s="4" t="inlineStr">
        <is>
          <t>Passed on test</t>
        </is>
      </c>
      <c r="Z15" s="4" t="inlineStr">
        <is>
          <t>Passed on test</t>
        </is>
      </c>
      <c r="AA15" s="4" t="inlineStr">
        <is>
          <t>Passed on test</t>
        </is>
      </c>
      <c r="AB15" s="4" t="inlineStr">
        <is>
          <t>Passed on test</t>
        </is>
      </c>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2" t="n"/>
      <c r="CS15" s="2" t="n"/>
      <c r="CT15" s="2" t="n"/>
      <c r="CU15" s="2" t="n"/>
      <c r="CV15" s="2" t="n"/>
      <c r="CW15" s="2" t="n"/>
      <c r="CX15" s="2" t="n"/>
      <c r="CY15" s="2" t="n"/>
      <c r="CZ15" s="2" t="n"/>
      <c r="DA15" s="2" t="n"/>
      <c r="DB15" s="2" t="n"/>
      <c r="DC15" s="2" t="n"/>
      <c r="DD15" s="2" t="n"/>
      <c r="DE15" s="2" t="n"/>
    </row>
    <row r="16">
      <c r="A16" s="2" t="inlineStr">
        <is>
          <t>issue_225</t>
        </is>
      </c>
      <c r="B16" s="3" t="inlineStr">
        <is>
          <t>NOT_TESTED</t>
        </is>
      </c>
      <c r="C16" s="3" t="inlineStr">
        <is>
          <t>NOT_TESTED</t>
        </is>
      </c>
      <c r="D16" s="3" t="inlineStr">
        <is>
          <t>NOT_TESTED</t>
        </is>
      </c>
      <c r="E16" s="3" t="inlineStr">
        <is>
          <t>NOT_TESTED</t>
        </is>
      </c>
      <c r="F16" s="4" t="inlineStr">
        <is>
          <t>Passed on test</t>
        </is>
      </c>
      <c r="G16" s="4" t="inlineStr">
        <is>
          <t>Passed on test</t>
        </is>
      </c>
      <c r="H16" s="4" t="inlineStr">
        <is>
          <t>Passed on test</t>
        </is>
      </c>
      <c r="I16" s="4" t="inlineStr">
        <is>
          <t>Passed on test</t>
        </is>
      </c>
      <c r="J16" s="4" t="inlineStr">
        <is>
          <t>Passed on test</t>
        </is>
      </c>
      <c r="K16" s="4" t="inlineStr">
        <is>
          <t>Passed on test</t>
        </is>
      </c>
      <c r="L16" s="4" t="inlineStr">
        <is>
          <t>Passed on test</t>
        </is>
      </c>
      <c r="M16" s="4" t="inlineStr">
        <is>
          <t>Passed on test</t>
        </is>
      </c>
      <c r="N16" s="3" t="inlineStr">
        <is>
          <t>NOT_TESTED</t>
        </is>
      </c>
      <c r="O16" s="3" t="inlineStr">
        <is>
          <t>NOT_TESTED</t>
        </is>
      </c>
      <c r="P16" s="3" t="inlineStr">
        <is>
          <t>NOT_TESTED</t>
        </is>
      </c>
      <c r="Q16" s="3" t="inlineStr">
        <is>
          <t>NOT_TESTED</t>
        </is>
      </c>
      <c r="R16" s="3" t="inlineStr">
        <is>
          <t>NOT_TESTED</t>
        </is>
      </c>
      <c r="S16" s="3" t="inlineStr">
        <is>
          <t>NOT_TESTED</t>
        </is>
      </c>
      <c r="T16" s="3" t="inlineStr">
        <is>
          <t>NOT_TESTED</t>
        </is>
      </c>
      <c r="U16" s="3" t="inlineStr">
        <is>
          <t>NOT_TESTED</t>
        </is>
      </c>
      <c r="V16" s="3" t="inlineStr">
        <is>
          <t>NOT_TESTED</t>
        </is>
      </c>
      <c r="W16" s="3" t="inlineStr">
        <is>
          <t>NOT_TESTED</t>
        </is>
      </c>
      <c r="X16" s="3" t="inlineStr">
        <is>
          <t>NOT_TESTED</t>
        </is>
      </c>
      <c r="Y16" s="3" t="inlineStr">
        <is>
          <t>NOT_TESTED</t>
        </is>
      </c>
      <c r="Z16" s="3" t="inlineStr">
        <is>
          <t>NOT_TESTED</t>
        </is>
      </c>
      <c r="AA16" s="3" t="inlineStr">
        <is>
          <t>NOT_TESTED</t>
        </is>
      </c>
      <c r="AB16" s="3" t="inlineStr">
        <is>
          <t>NOT_TESTED</t>
        </is>
      </c>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2" t="n"/>
      <c r="CS16" s="2" t="n"/>
      <c r="CT16" s="2" t="n"/>
      <c r="CU16" s="2" t="n"/>
      <c r="CV16" s="2" t="n"/>
      <c r="CW16" s="2" t="n"/>
      <c r="CX16" s="2" t="n"/>
      <c r="CY16" s="2" t="n"/>
      <c r="CZ16" s="2" t="n"/>
      <c r="DA16" s="2" t="n"/>
      <c r="DB16" s="2" t="n"/>
      <c r="DC16" s="2" t="n"/>
      <c r="DD16" s="2" t="n"/>
      <c r="DE16" s="2" t="n"/>
    </row>
    <row r="17">
      <c r="A17" s="2" t="inlineStr">
        <is>
          <t>issue_233</t>
        </is>
      </c>
      <c r="B17" s="6" t="inlineStr">
        <is>
          <t>Runtime error</t>
        </is>
      </c>
      <c r="C17" s="6" t="inlineStr">
        <is>
          <t>Runtime error</t>
        </is>
      </c>
      <c r="D17" s="6" t="inlineStr">
        <is>
          <t>Runtime error</t>
        </is>
      </c>
      <c r="E17" s="6" t="inlineStr">
        <is>
          <t>Runtime error</t>
        </is>
      </c>
      <c r="F17" s="6" t="inlineStr">
        <is>
          <t>Runtime error</t>
        </is>
      </c>
      <c r="G17" s="6" t="inlineStr">
        <is>
          <t>Runtime error</t>
        </is>
      </c>
      <c r="H17" s="6" t="inlineStr">
        <is>
          <t>Runtime error</t>
        </is>
      </c>
      <c r="I17" s="6" t="inlineStr">
        <is>
          <t>Runtime error</t>
        </is>
      </c>
      <c r="J17" s="6" t="inlineStr">
        <is>
          <t>Runtime error</t>
        </is>
      </c>
      <c r="K17" s="6" t="inlineStr">
        <is>
          <t>Runtime error</t>
        </is>
      </c>
      <c r="L17" s="6" t="inlineStr">
        <is>
          <t>Runtime error</t>
        </is>
      </c>
      <c r="M17" s="6" t="inlineStr">
        <is>
          <t>Runtime error</t>
        </is>
      </c>
      <c r="N17" s="6" t="inlineStr">
        <is>
          <t>Runtime error</t>
        </is>
      </c>
      <c r="O17" s="6" t="inlineStr">
        <is>
          <t>Runtime error</t>
        </is>
      </c>
      <c r="P17" s="6" t="inlineStr">
        <is>
          <t>Runtime error</t>
        </is>
      </c>
      <c r="Q17" s="6" t="inlineStr">
        <is>
          <t>Runtime error</t>
        </is>
      </c>
      <c r="R17" s="6" t="inlineStr">
        <is>
          <t>Runtime error</t>
        </is>
      </c>
      <c r="S17" s="6" t="inlineStr">
        <is>
          <t>Runtime error</t>
        </is>
      </c>
      <c r="T17" s="6" t="inlineStr">
        <is>
          <t>Runtime error</t>
        </is>
      </c>
      <c r="U17" s="6" t="inlineStr">
        <is>
          <t>Runtime error</t>
        </is>
      </c>
      <c r="V17" s="6" t="inlineStr">
        <is>
          <t>Runtime error</t>
        </is>
      </c>
      <c r="W17" s="6" t="inlineStr">
        <is>
          <t>Runtime error</t>
        </is>
      </c>
      <c r="X17" s="6" t="inlineStr">
        <is>
          <t>Runtime error</t>
        </is>
      </c>
      <c r="Y17" s="6" t="inlineStr">
        <is>
          <t>Runtime error</t>
        </is>
      </c>
      <c r="Z17" s="6" t="inlineStr">
        <is>
          <t>Runtime error</t>
        </is>
      </c>
      <c r="AA17" s="6" t="inlineStr">
        <is>
          <t>Runtime error</t>
        </is>
      </c>
      <c r="AB17" s="6" t="inlineStr">
        <is>
          <t>Runtime error</t>
        </is>
      </c>
      <c r="AC17" s="2" t="inlineStr">
        <is>
          <t>TypeError</t>
        </is>
      </c>
      <c r="AD17" s="2" t="inlineStr">
        <is>
          <t>TypeError: 'int' object is not callable</t>
        </is>
      </c>
      <c r="AE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F17" s="2" t="inlineStr">
        <is>
          <t>TypeError</t>
        </is>
      </c>
      <c r="AG17" s="2" t="inlineStr">
        <is>
          <t>TypeError: 'int' object is not callable</t>
        </is>
      </c>
      <c r="AH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I17" s="2" t="inlineStr">
        <is>
          <t>TypeError</t>
        </is>
      </c>
      <c r="AJ17" s="2" t="inlineStr">
        <is>
          <t>TypeError: 'int' object is not callable</t>
        </is>
      </c>
      <c r="AK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L17" s="2" t="inlineStr">
        <is>
          <t>TypeError</t>
        </is>
      </c>
      <c r="AM17" s="2" t="inlineStr">
        <is>
          <t>TypeError: 'int' object is not callable</t>
        </is>
      </c>
      <c r="AN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O17" s="2" t="inlineStr">
        <is>
          <t>TypeError</t>
        </is>
      </c>
      <c r="AP17" s="2" t="inlineStr">
        <is>
          <t>TypeError: 'int' object is not callable</t>
        </is>
      </c>
      <c r="AQ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R17" s="2" t="inlineStr">
        <is>
          <t>TypeError</t>
        </is>
      </c>
      <c r="AS17" s="2" t="inlineStr">
        <is>
          <t>TypeError: 'int' object is not callable</t>
        </is>
      </c>
      <c r="AT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U17" s="2" t="inlineStr">
        <is>
          <t>TypeError</t>
        </is>
      </c>
      <c r="AV17" s="2" t="inlineStr">
        <is>
          <t>TypeError: 'int' object is not callable</t>
        </is>
      </c>
      <c r="AW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AX17" s="2" t="inlineStr">
        <is>
          <t>TypeError</t>
        </is>
      </c>
      <c r="AY17" s="2" t="inlineStr">
        <is>
          <t>TypeError: 'int' object is not callable</t>
        </is>
      </c>
      <c r="AZ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A17" s="2" t="inlineStr">
        <is>
          <t>TypeError</t>
        </is>
      </c>
      <c r="BB17" s="2" t="inlineStr">
        <is>
          <t>TypeError: 'int' object is not callable</t>
        </is>
      </c>
      <c r="BC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D17" s="2" t="inlineStr">
        <is>
          <t>TypeError</t>
        </is>
      </c>
      <c r="BE17" s="2" t="inlineStr">
        <is>
          <t>TypeError: 'int' object is not callable</t>
        </is>
      </c>
      <c r="BF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G17" s="2" t="inlineStr">
        <is>
          <t>TypeError</t>
        </is>
      </c>
      <c r="BH17" s="2" t="inlineStr">
        <is>
          <t>TypeError: 'int' object is not callable</t>
        </is>
      </c>
      <c r="BI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J17" s="2" t="inlineStr">
        <is>
          <t>TypeError</t>
        </is>
      </c>
      <c r="BK17" s="2" t="inlineStr">
        <is>
          <t>TypeError: 'int' object is not callable</t>
        </is>
      </c>
      <c r="BL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M17" s="2" t="inlineStr">
        <is>
          <t>TypeError</t>
        </is>
      </c>
      <c r="BN17" s="2" t="inlineStr">
        <is>
          <t>TypeError: 'int' object is not callable</t>
        </is>
      </c>
      <c r="BO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P17" s="2" t="inlineStr">
        <is>
          <t>TypeError</t>
        </is>
      </c>
      <c r="BQ17" s="2" t="inlineStr">
        <is>
          <t>TypeError: 'int' object is not callable</t>
        </is>
      </c>
      <c r="BR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S17" s="2" t="inlineStr">
        <is>
          <t>TypeError</t>
        </is>
      </c>
      <c r="BT17" s="2" t="inlineStr">
        <is>
          <t>TypeError: 'int' object is not callable</t>
        </is>
      </c>
      <c r="BU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V17" s="2" t="inlineStr">
        <is>
          <t>TypeError</t>
        </is>
      </c>
      <c r="BW17" s="2" t="inlineStr">
        <is>
          <t>TypeError: 'int' object is not callable</t>
        </is>
      </c>
      <c r="BX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BY17" s="2" t="inlineStr">
        <is>
          <t>TypeError</t>
        </is>
      </c>
      <c r="BZ17" s="2" t="inlineStr">
        <is>
          <t>TypeError: 'int' object is not callable</t>
        </is>
      </c>
      <c r="CA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B17" s="2" t="inlineStr">
        <is>
          <t>TypeError</t>
        </is>
      </c>
      <c r="CC17" s="2" t="inlineStr">
        <is>
          <t>TypeError: 'int' object is not callable</t>
        </is>
      </c>
      <c r="CD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E17" s="2" t="inlineStr">
        <is>
          <t>TypeError</t>
        </is>
      </c>
      <c r="CF17" s="2" t="inlineStr">
        <is>
          <t>TypeError: 'int' object is not callable</t>
        </is>
      </c>
      <c r="CG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H17" s="2" t="inlineStr">
        <is>
          <t>TypeError</t>
        </is>
      </c>
      <c r="CI17" s="2" t="inlineStr">
        <is>
          <t>TypeError: 'int' object is not callable</t>
        </is>
      </c>
      <c r="CJ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K17" s="2" t="inlineStr">
        <is>
          <t>TypeError</t>
        </is>
      </c>
      <c r="CL17" s="2" t="inlineStr">
        <is>
          <t>TypeError: 'int' object is not callable</t>
        </is>
      </c>
      <c r="CM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N17" s="2" t="inlineStr">
        <is>
          <t>TypeError</t>
        </is>
      </c>
      <c r="CO17" s="2" t="inlineStr">
        <is>
          <t>TypeError: 'int' object is not callable</t>
        </is>
      </c>
      <c r="CP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Q17" s="2" t="inlineStr">
        <is>
          <t>TypeError</t>
        </is>
      </c>
      <c r="CR17" s="2" t="inlineStr">
        <is>
          <t>TypeError: 'int' object is not callable</t>
        </is>
      </c>
      <c r="CS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T17" s="2" t="inlineStr">
        <is>
          <t>TypeError</t>
        </is>
      </c>
      <c r="CU17" s="2" t="inlineStr">
        <is>
          <t>TypeError: 'int' object is not callable</t>
        </is>
      </c>
      <c r="CV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W17" s="2" t="inlineStr">
        <is>
          <t>TypeError</t>
        </is>
      </c>
      <c r="CX17" s="2" t="inlineStr">
        <is>
          <t>TypeError: 'int' object is not callable</t>
        </is>
      </c>
      <c r="CY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CZ17" s="2" t="inlineStr">
        <is>
          <t>TypeError</t>
        </is>
      </c>
      <c r="DA17" s="2" t="inlineStr">
        <is>
          <t>TypeError: 'int' object is not callable</t>
        </is>
      </c>
      <c r="DB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DC17" s="2" t="inlineStr">
        <is>
          <t>TypeError</t>
        </is>
      </c>
      <c r="DD17" s="2" t="inlineStr">
        <is>
          <t>TypeError: 'int' object is not callable</t>
        </is>
      </c>
      <c r="DE17" s="2"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row>
    <row r="18">
      <c r="A18" s="2" t="inlineStr">
        <is>
          <t>issue_261</t>
        </is>
      </c>
      <c r="B18" s="4" t="inlineStr">
        <is>
          <t>Passed on test</t>
        </is>
      </c>
      <c r="C18" s="4" t="inlineStr">
        <is>
          <t>Passed on test</t>
        </is>
      </c>
      <c r="D18" s="4" t="inlineStr">
        <is>
          <t>Passed on test</t>
        </is>
      </c>
      <c r="E18" s="4" t="inlineStr">
        <is>
          <t>Passed on test</t>
        </is>
      </c>
      <c r="F18" s="4" t="inlineStr">
        <is>
          <t>Passed on test</t>
        </is>
      </c>
      <c r="G18" s="4" t="inlineStr">
        <is>
          <t>Passed on test</t>
        </is>
      </c>
      <c r="H18" s="4" t="inlineStr">
        <is>
          <t>Passed on test</t>
        </is>
      </c>
      <c r="I18" s="4" t="inlineStr">
        <is>
          <t>Passed on test</t>
        </is>
      </c>
      <c r="J18" s="4" t="inlineStr">
        <is>
          <t>Passed on test</t>
        </is>
      </c>
      <c r="K18" s="4" t="inlineStr">
        <is>
          <t>Passed on test</t>
        </is>
      </c>
      <c r="L18" s="4" t="inlineStr">
        <is>
          <t>Passed on test</t>
        </is>
      </c>
      <c r="M18" s="4" t="inlineStr">
        <is>
          <t>Passed on test</t>
        </is>
      </c>
      <c r="N18" s="3" t="inlineStr">
        <is>
          <t>NOT_TESTED</t>
        </is>
      </c>
      <c r="O18" s="3" t="inlineStr">
        <is>
          <t>NOT_TESTED</t>
        </is>
      </c>
      <c r="P18" s="3" t="inlineStr">
        <is>
          <t>NOT_TESTED</t>
        </is>
      </c>
      <c r="Q18" s="3" t="inlineStr">
        <is>
          <t>NOT_TESTED</t>
        </is>
      </c>
      <c r="R18" s="3" t="inlineStr">
        <is>
          <t>NOT_TESTED</t>
        </is>
      </c>
      <c r="S18" s="3" t="inlineStr">
        <is>
          <t>NOT_TESTED</t>
        </is>
      </c>
      <c r="T18" s="3" t="inlineStr">
        <is>
          <t>NOT_TESTED</t>
        </is>
      </c>
      <c r="U18" s="3" t="inlineStr">
        <is>
          <t>NOT_TESTED</t>
        </is>
      </c>
      <c r="V18" s="3" t="inlineStr">
        <is>
          <t>NOT_TESTED</t>
        </is>
      </c>
      <c r="W18" s="3" t="inlineStr">
        <is>
          <t>NOT_TESTED</t>
        </is>
      </c>
      <c r="X18" s="3" t="inlineStr">
        <is>
          <t>NOT_TESTED</t>
        </is>
      </c>
      <c r="Y18" s="3" t="inlineStr">
        <is>
          <t>NOT_TESTED</t>
        </is>
      </c>
      <c r="Z18" s="3" t="inlineStr">
        <is>
          <t>NOT_TESTED</t>
        </is>
      </c>
      <c r="AA18" s="3" t="inlineStr">
        <is>
          <t>NOT_TESTED</t>
        </is>
      </c>
      <c r="AB18" s="3" t="inlineStr">
        <is>
          <t>NOT_TESTED</t>
        </is>
      </c>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2" t="n"/>
      <c r="CS18" s="2" t="n"/>
      <c r="CT18" s="2" t="n"/>
      <c r="CU18" s="2" t="n"/>
      <c r="CV18" s="2" t="n"/>
      <c r="CW18" s="2" t="n"/>
      <c r="CX18" s="2" t="n"/>
      <c r="CY18" s="2" t="n"/>
      <c r="CZ18" s="2" t="n"/>
      <c r="DA18" s="2" t="n"/>
      <c r="DB18" s="2" t="n"/>
      <c r="DC18" s="2" t="n"/>
      <c r="DD18" s="2" t="n"/>
      <c r="DE18" s="2" t="n"/>
    </row>
    <row r="19">
      <c r="A19" s="2" t="inlineStr">
        <is>
          <t>issue_280</t>
        </is>
      </c>
      <c r="B19" s="4" t="inlineStr">
        <is>
          <t>Passed on test</t>
        </is>
      </c>
      <c r="C19" s="4" t="inlineStr">
        <is>
          <t>Passed on test</t>
        </is>
      </c>
      <c r="D19" s="4" t="inlineStr">
        <is>
          <t>Passed on test</t>
        </is>
      </c>
      <c r="E19" s="4" t="inlineStr">
        <is>
          <t>Passed on test</t>
        </is>
      </c>
      <c r="F19" s="4" t="inlineStr">
        <is>
          <t>Passed on test</t>
        </is>
      </c>
      <c r="G19" s="4" t="inlineStr">
        <is>
          <t>Passed on test</t>
        </is>
      </c>
      <c r="H19" s="4" t="inlineStr">
        <is>
          <t>Passed on test</t>
        </is>
      </c>
      <c r="I19" s="4" t="inlineStr">
        <is>
          <t>Passed on test</t>
        </is>
      </c>
      <c r="J19" s="4" t="inlineStr">
        <is>
          <t>Passed on test</t>
        </is>
      </c>
      <c r="K19" s="4" t="inlineStr">
        <is>
          <t>Passed on test</t>
        </is>
      </c>
      <c r="L19" s="4" t="inlineStr">
        <is>
          <t>Passed on test</t>
        </is>
      </c>
      <c r="M19" s="4" t="inlineStr">
        <is>
          <t>Passed on test</t>
        </is>
      </c>
      <c r="N19" s="3" t="inlineStr">
        <is>
          <t>NOT_TESTED</t>
        </is>
      </c>
      <c r="O19" s="3" t="inlineStr">
        <is>
          <t>NOT_TESTED</t>
        </is>
      </c>
      <c r="P19" s="3" t="inlineStr">
        <is>
          <t>NOT_TESTED</t>
        </is>
      </c>
      <c r="Q19" s="3" t="inlineStr">
        <is>
          <t>NOT_TESTED</t>
        </is>
      </c>
      <c r="R19" s="3" t="inlineStr">
        <is>
          <t>NOT_TESTED</t>
        </is>
      </c>
      <c r="S19" s="3" t="inlineStr">
        <is>
          <t>NOT_TESTED</t>
        </is>
      </c>
      <c r="T19" s="3" t="inlineStr">
        <is>
          <t>NOT_TESTED</t>
        </is>
      </c>
      <c r="U19" s="3" t="inlineStr">
        <is>
          <t>NOT_TESTED</t>
        </is>
      </c>
      <c r="V19" s="3" t="inlineStr">
        <is>
          <t>NOT_TESTED</t>
        </is>
      </c>
      <c r="W19" s="3" t="inlineStr">
        <is>
          <t>NOT_TESTED</t>
        </is>
      </c>
      <c r="X19" s="3" t="inlineStr">
        <is>
          <t>NOT_TESTED</t>
        </is>
      </c>
      <c r="Y19" s="3" t="inlineStr">
        <is>
          <t>NOT_TESTED</t>
        </is>
      </c>
      <c r="Z19" s="3" t="inlineStr">
        <is>
          <t>NOT_TESTED</t>
        </is>
      </c>
      <c r="AA19" s="3" t="inlineStr">
        <is>
          <t>NOT_TESTED</t>
        </is>
      </c>
      <c r="AB19" s="3" t="inlineStr">
        <is>
          <t>NOT_TESTED</t>
        </is>
      </c>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2" t="n"/>
      <c r="CN19" s="2" t="n"/>
      <c r="CO19" s="2" t="n"/>
      <c r="CP19" s="2" t="n"/>
      <c r="CQ19" s="2" t="n"/>
      <c r="CR19" s="2" t="n"/>
      <c r="CS19" s="2" t="n"/>
      <c r="CT19" s="2" t="n"/>
      <c r="CU19" s="2" t="n"/>
      <c r="CV19" s="2" t="n"/>
      <c r="CW19" s="2" t="n"/>
      <c r="CX19" s="2" t="n"/>
      <c r="CY19" s="2" t="n"/>
      <c r="CZ19" s="2" t="n"/>
      <c r="DA19" s="2" t="n"/>
      <c r="DB19" s="2" t="n"/>
      <c r="DC19" s="2" t="n"/>
      <c r="DD19" s="2" t="n"/>
      <c r="DE19" s="2" t="n"/>
    </row>
    <row r="20">
      <c r="A20" s="2" t="inlineStr">
        <is>
          <t>issue_295</t>
        </is>
      </c>
      <c r="B20" s="3" t="inlineStr">
        <is>
          <t>NOT_TESTED</t>
        </is>
      </c>
      <c r="C20" s="3" t="inlineStr">
        <is>
          <t>NOT_TESTED</t>
        </is>
      </c>
      <c r="D20" s="3" t="inlineStr">
        <is>
          <t>NOT_TESTED</t>
        </is>
      </c>
      <c r="E20" s="3" t="inlineStr">
        <is>
          <t>NOT_TESTED</t>
        </is>
      </c>
      <c r="F20" s="6" t="inlineStr">
        <is>
          <t>Runtime error</t>
        </is>
      </c>
      <c r="G20" s="6" t="inlineStr">
        <is>
          <t>Runtime error</t>
        </is>
      </c>
      <c r="H20" s="6" t="inlineStr">
        <is>
          <t>Runtime error</t>
        </is>
      </c>
      <c r="I20" s="6" t="inlineStr">
        <is>
          <t>Runtime error</t>
        </is>
      </c>
      <c r="J20" s="6" t="inlineStr">
        <is>
          <t>Runtime error</t>
        </is>
      </c>
      <c r="K20" s="6" t="inlineStr">
        <is>
          <t>Runtime error</t>
        </is>
      </c>
      <c r="L20" s="6" t="inlineStr">
        <is>
          <t>Runtime error</t>
        </is>
      </c>
      <c r="M20" s="6" t="inlineStr">
        <is>
          <t>Runtime error</t>
        </is>
      </c>
      <c r="N20" s="3" t="inlineStr">
        <is>
          <t>NOT_TESTED</t>
        </is>
      </c>
      <c r="O20" s="3" t="inlineStr">
        <is>
          <t>NOT_TESTED</t>
        </is>
      </c>
      <c r="P20" s="3" t="inlineStr">
        <is>
          <t>NOT_TESTED</t>
        </is>
      </c>
      <c r="Q20" s="3" t="inlineStr">
        <is>
          <t>NOT_TESTED</t>
        </is>
      </c>
      <c r="R20" s="3" t="inlineStr">
        <is>
          <t>NOT_TESTED</t>
        </is>
      </c>
      <c r="S20" s="3" t="inlineStr">
        <is>
          <t>NOT_TESTED</t>
        </is>
      </c>
      <c r="T20" s="3" t="inlineStr">
        <is>
          <t>NOT_TESTED</t>
        </is>
      </c>
      <c r="U20" s="3" t="inlineStr">
        <is>
          <t>NOT_TESTED</t>
        </is>
      </c>
      <c r="V20" s="3" t="inlineStr">
        <is>
          <t>NOT_TESTED</t>
        </is>
      </c>
      <c r="W20" s="3" t="inlineStr">
        <is>
          <t>NOT_TESTED</t>
        </is>
      </c>
      <c r="X20" s="3" t="inlineStr">
        <is>
          <t>NOT_TESTED</t>
        </is>
      </c>
      <c r="Y20" s="3" t="inlineStr">
        <is>
          <t>NOT_TESTED</t>
        </is>
      </c>
      <c r="Z20" s="3" t="inlineStr">
        <is>
          <t>NOT_TESTED</t>
        </is>
      </c>
      <c r="AA20" s="3" t="inlineStr">
        <is>
          <t>NOT_TESTED</t>
        </is>
      </c>
      <c r="AB20" s="3" t="inlineStr">
        <is>
          <t>NOT_TESTED</t>
        </is>
      </c>
      <c r="AC20" s="2" t="n"/>
      <c r="AD20" s="2" t="n"/>
      <c r="AE20" s="2" t="n"/>
      <c r="AF20" s="2" t="n"/>
      <c r="AG20" s="2" t="n"/>
      <c r="AH20" s="2" t="n"/>
      <c r="AI20" s="2" t="n"/>
      <c r="AJ20" s="2" t="n"/>
      <c r="AK20" s="2" t="n"/>
      <c r="AL20" s="2" t="n"/>
      <c r="AM20" s="2" t="n"/>
      <c r="AN20" s="2" t="n"/>
      <c r="AO20" s="2" t="inlineStr">
        <is>
          <t>TypeError</t>
        </is>
      </c>
      <c r="AP20" s="2" t="inlineStr">
        <is>
          <t>TypeError: unsupported operand type(s) for +=: 'QuantumCircuit' and 'QuantumCircuit'</t>
        </is>
      </c>
      <c r="AQ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AR20" s="2" t="inlineStr">
        <is>
          <t>TypeError</t>
        </is>
      </c>
      <c r="AS20" s="2" t="inlineStr">
        <is>
          <t>TypeError: unsupported operand type(s) for +=: 'QuantumCircuit' and 'QuantumCircuit'</t>
        </is>
      </c>
      <c r="AT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AU20" s="2" t="inlineStr">
        <is>
          <t>TypeError</t>
        </is>
      </c>
      <c r="AV20" s="2" t="inlineStr">
        <is>
          <t>TypeError: unsupported operand type(s) for +=: 'QuantumCircuit' and 'QuantumCircuit'</t>
        </is>
      </c>
      <c r="AW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AX20" s="2" t="inlineStr">
        <is>
          <t>TypeError</t>
        </is>
      </c>
      <c r="AY20" s="2" t="inlineStr">
        <is>
          <t>TypeError: unsupported operand type(s) for +=: 'QuantumCircuit' and 'QuantumCircuit'</t>
        </is>
      </c>
      <c r="AZ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BA20" s="2" t="inlineStr">
        <is>
          <t>TypeError</t>
        </is>
      </c>
      <c r="BB20" s="2" t="inlineStr">
        <is>
          <t>TypeError: unsupported operand type(s) for +=: 'QuantumCircuit' and 'QuantumCircuit'</t>
        </is>
      </c>
      <c r="BC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BD20" s="2" t="inlineStr">
        <is>
          <t>TypeError</t>
        </is>
      </c>
      <c r="BE20" s="2" t="inlineStr">
        <is>
          <t>TypeError: unsupported operand type(s) for +=: 'QuantumCircuit' and 'QuantumCircuit'</t>
        </is>
      </c>
      <c r="BF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BG20" s="2" t="inlineStr">
        <is>
          <t>TypeError</t>
        </is>
      </c>
      <c r="BH20" s="2" t="inlineStr">
        <is>
          <t>TypeError: unsupported operand type(s) for +=: 'QuantumCircuit' and 'QuantumCircuit'</t>
        </is>
      </c>
      <c r="BI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BJ20" s="2" t="inlineStr">
        <is>
          <t>TypeError</t>
        </is>
      </c>
      <c r="BK20" s="2" t="inlineStr">
        <is>
          <t>TypeError: unsupported operand type(s) for +=: 'QuantumCircuit' and 'QuantumCircuit'</t>
        </is>
      </c>
      <c r="BL20" s="2"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2" t="n"/>
      <c r="CO20" s="2" t="n"/>
      <c r="CP20" s="2" t="n"/>
      <c r="CQ20" s="2" t="n"/>
      <c r="CR20" s="2" t="n"/>
      <c r="CS20" s="2" t="n"/>
      <c r="CT20" s="2" t="n"/>
      <c r="CU20" s="2" t="n"/>
      <c r="CV20" s="2" t="n"/>
      <c r="CW20" s="2" t="n"/>
      <c r="CX20" s="2" t="n"/>
      <c r="CY20" s="2" t="n"/>
      <c r="CZ20" s="2" t="n"/>
      <c r="DA20" s="2" t="n"/>
      <c r="DB20" s="2" t="n"/>
      <c r="DC20" s="2" t="n"/>
      <c r="DD20" s="2" t="n"/>
      <c r="DE20" s="2" t="n"/>
    </row>
    <row r="21">
      <c r="A21" s="2" t="inlineStr">
        <is>
          <t>issue_315</t>
        </is>
      </c>
      <c r="B21" s="3" t="inlineStr">
        <is>
          <t>NOT_TESTED</t>
        </is>
      </c>
      <c r="C21" s="3" t="inlineStr">
        <is>
          <t>NOT_TESTED</t>
        </is>
      </c>
      <c r="D21" s="3" t="inlineStr">
        <is>
          <t>NOT_TESTED</t>
        </is>
      </c>
      <c r="E21" s="3" t="inlineStr">
        <is>
          <t>NOT_TESTED</t>
        </is>
      </c>
      <c r="F21" s="6" t="inlineStr">
        <is>
          <t>Runtime error</t>
        </is>
      </c>
      <c r="G21" s="6" t="inlineStr">
        <is>
          <t>Runtime error</t>
        </is>
      </c>
      <c r="H21" s="6" t="inlineStr">
        <is>
          <t>Runtime error</t>
        </is>
      </c>
      <c r="I21" s="6" t="inlineStr">
        <is>
          <t>Runtime error</t>
        </is>
      </c>
      <c r="J21" s="6" t="inlineStr">
        <is>
          <t>Runtime error</t>
        </is>
      </c>
      <c r="K21" s="6" t="inlineStr">
        <is>
          <t>Runtime error</t>
        </is>
      </c>
      <c r="L21" s="6" t="inlineStr">
        <is>
          <t>Runtime error</t>
        </is>
      </c>
      <c r="M21" s="6" t="inlineStr">
        <is>
          <t>Runtime error</t>
        </is>
      </c>
      <c r="N21" s="6" t="inlineStr">
        <is>
          <t>Runtime error</t>
        </is>
      </c>
      <c r="O21" s="6" t="inlineStr">
        <is>
          <t>Runtime error</t>
        </is>
      </c>
      <c r="P21" s="6" t="inlineStr">
        <is>
          <t>Runtime error</t>
        </is>
      </c>
      <c r="Q21" s="6" t="inlineStr">
        <is>
          <t>Runtime error</t>
        </is>
      </c>
      <c r="R21" s="6" t="inlineStr">
        <is>
          <t>Runtime error</t>
        </is>
      </c>
      <c r="S21" s="6" t="inlineStr">
        <is>
          <t>Runtime error</t>
        </is>
      </c>
      <c r="T21" s="6" t="inlineStr">
        <is>
          <t>Runtime error</t>
        </is>
      </c>
      <c r="U21" s="6" t="inlineStr">
        <is>
          <t>Runtime error</t>
        </is>
      </c>
      <c r="V21" s="6" t="inlineStr">
        <is>
          <t>Runtime error</t>
        </is>
      </c>
      <c r="W21" s="6" t="inlineStr">
        <is>
          <t>Runtime error</t>
        </is>
      </c>
      <c r="X21" s="6" t="inlineStr">
        <is>
          <t>Runtime error</t>
        </is>
      </c>
      <c r="Y21" s="6" t="inlineStr">
        <is>
          <t>Runtime error</t>
        </is>
      </c>
      <c r="Z21" s="6" t="inlineStr">
        <is>
          <t>Runtime error</t>
        </is>
      </c>
      <c r="AA21" s="6" t="inlineStr">
        <is>
          <t>Runtime error</t>
        </is>
      </c>
      <c r="AB21" s="6" t="inlineStr">
        <is>
          <t>Runtime error</t>
        </is>
      </c>
      <c r="AC21" s="2" t="n"/>
      <c r="AD21" s="2" t="n"/>
      <c r="AE21" s="2" t="n"/>
      <c r="AF21" s="2" t="n"/>
      <c r="AG21" s="2" t="n"/>
      <c r="AH21" s="2" t="n"/>
      <c r="AI21" s="2" t="n"/>
      <c r="AJ21" s="2" t="n"/>
      <c r="AK21" s="2" t="n"/>
      <c r="AL21" s="2" t="n"/>
      <c r="AM21" s="2" t="n"/>
      <c r="AN21" s="2" t="n"/>
      <c r="AO21" s="2" t="inlineStr">
        <is>
          <t>ModuleNotFoundError</t>
        </is>
      </c>
      <c r="AP21" s="2" t="inlineStr">
        <is>
          <t>ModuleNotFoundError: No module named 'qiskit.providers.basic_provider'</t>
        </is>
      </c>
      <c r="AQ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AR21" s="2" t="inlineStr">
        <is>
          <t>ModuleNotFoundError</t>
        </is>
      </c>
      <c r="AS21" s="2" t="inlineStr">
        <is>
          <t>ModuleNotFoundError: No module named 'qiskit.providers.basic_provider'</t>
        </is>
      </c>
      <c r="AT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AU21" s="2" t="inlineStr">
        <is>
          <t>ModuleNotFoundError</t>
        </is>
      </c>
      <c r="AV21" s="2" t="inlineStr">
        <is>
          <t>ModuleNotFoundError: No module named 'qiskit.providers.basic_provider'</t>
        </is>
      </c>
      <c r="AW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AX21" s="2" t="inlineStr">
        <is>
          <t>ModuleNotFoundError</t>
        </is>
      </c>
      <c r="AY21" s="2" t="inlineStr">
        <is>
          <t>ModuleNotFoundError: No module named 'qiskit.providers.basic_provider'</t>
        </is>
      </c>
      <c r="AZ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A21" s="2" t="inlineStr">
        <is>
          <t>KeyError</t>
        </is>
      </c>
      <c r="BB21" s="2" t="inlineStr">
        <is>
          <t>KeyError: 'max_parallel_threads'; AttributeError: Option max_parallel_threads is not defined</t>
        </is>
      </c>
      <c r="BC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D21" s="2" t="inlineStr">
        <is>
          <t>KeyError</t>
        </is>
      </c>
      <c r="BE21" s="2" t="inlineStr">
        <is>
          <t>KeyError: 'max_parallel_threads'; AttributeError: Option max_parallel_threads is not defined</t>
        </is>
      </c>
      <c r="BF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G21" s="2" t="inlineStr">
        <is>
          <t>KeyError</t>
        </is>
      </c>
      <c r="BH21" s="2" t="inlineStr">
        <is>
          <t>KeyError: 'max_parallel_threads'; AttributeError: Option max_parallel_threads is not defined</t>
        </is>
      </c>
      <c r="BI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J21" s="2" t="inlineStr">
        <is>
          <t>KeyError</t>
        </is>
      </c>
      <c r="BK21" s="2" t="inlineStr">
        <is>
          <t>KeyError: 'max_parallel_threads'; AttributeError: Option max_parallel_threads is not defined</t>
        </is>
      </c>
      <c r="BL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M21" s="2" t="inlineStr">
        <is>
          <t>KeyError</t>
        </is>
      </c>
      <c r="BN21" s="2" t="inlineStr">
        <is>
          <t>KeyError: 'max_parallel_threads'; AttributeError: Option max_parallel_threads is not defined</t>
        </is>
      </c>
      <c r="BO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P21" s="2" t="inlineStr">
        <is>
          <t>KeyError</t>
        </is>
      </c>
      <c r="BQ21" s="2" t="inlineStr">
        <is>
          <t>KeyError: 'max_parallel_threads'; AttributeError: Option max_parallel_threads is not defined</t>
        </is>
      </c>
      <c r="BR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S21" s="2" t="inlineStr">
        <is>
          <t>KeyError</t>
        </is>
      </c>
      <c r="BT21" s="2" t="inlineStr">
        <is>
          <t>KeyError: 'max_parallel_threads'; AttributeError: Option max_parallel_threads is not defined</t>
        </is>
      </c>
      <c r="BU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V21" s="2" t="inlineStr">
        <is>
          <t>KeyError</t>
        </is>
      </c>
      <c r="BW21" s="2" t="inlineStr">
        <is>
          <t>KeyError: 'max_parallel_threads'; AttributeError: Option max_parallel_threads is not defined</t>
        </is>
      </c>
      <c r="BX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BY21" s="2" t="inlineStr">
        <is>
          <t>KeyError</t>
        </is>
      </c>
      <c r="BZ21" s="2" t="inlineStr">
        <is>
          <t>KeyError: 'max_parallel_threads'; AttributeError: Option max_parallel_threads is not defined</t>
        </is>
      </c>
      <c r="CA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B21" s="2" t="inlineStr">
        <is>
          <t>KeyError</t>
        </is>
      </c>
      <c r="CC21" s="2" t="inlineStr">
        <is>
          <t>KeyError: 'max_parallel_threads'; AttributeError: Option max_parallel_threads is not defined</t>
        </is>
      </c>
      <c r="CD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E21" s="2" t="inlineStr">
        <is>
          <t>KeyError</t>
        </is>
      </c>
      <c r="CF21" s="2" t="inlineStr">
        <is>
          <t>KeyError: 'max_parallel_threads'; AttributeError: Option max_parallel_threads is not defined</t>
        </is>
      </c>
      <c r="CG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H21" s="2" t="inlineStr">
        <is>
          <t>KeyError</t>
        </is>
      </c>
      <c r="CI21" s="2" t="inlineStr">
        <is>
          <t>KeyError: 'max_parallel_threads'; AttributeError: Option max_parallel_threads is not defined</t>
        </is>
      </c>
      <c r="CJ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K21" s="2" t="inlineStr">
        <is>
          <t>KeyError</t>
        </is>
      </c>
      <c r="CL21" s="2" t="inlineStr">
        <is>
          <t>KeyError: 'max_parallel_threads'; AttributeError: Option max_parallel_threads is not defined</t>
        </is>
      </c>
      <c r="CM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N21" s="2" t="inlineStr">
        <is>
          <t>KeyError</t>
        </is>
      </c>
      <c r="CO21" s="2" t="inlineStr">
        <is>
          <t>KeyError: 'max_parallel_threads'; AttributeError: Option max_parallel_threads is not defined</t>
        </is>
      </c>
      <c r="CP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Q21" s="2" t="inlineStr">
        <is>
          <t>KeyError</t>
        </is>
      </c>
      <c r="CR21" s="2" t="inlineStr">
        <is>
          <t>KeyError: 'max_parallel_threads'; AttributeError: Option max_parallel_threads is not defined</t>
        </is>
      </c>
      <c r="CS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T21" s="2" t="inlineStr">
        <is>
          <t>KeyError</t>
        </is>
      </c>
      <c r="CU21" s="2" t="inlineStr">
        <is>
          <t>KeyError: 'max_parallel_threads'; AttributeError: Option max_parallel_threads is not defined</t>
        </is>
      </c>
      <c r="CV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W21" s="2" t="inlineStr">
        <is>
          <t>KeyError</t>
        </is>
      </c>
      <c r="CX21" s="2" t="inlineStr">
        <is>
          <t>KeyError: 'max_parallel_threads'; AttributeError: Option max_parallel_threads is not defined</t>
        </is>
      </c>
      <c r="CY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CZ21" s="2" t="inlineStr">
        <is>
          <t>KeyError</t>
        </is>
      </c>
      <c r="DA21" s="2" t="inlineStr">
        <is>
          <t>KeyError: 'max_parallel_threads'; AttributeError: Option max_parallel_threads is not defined</t>
        </is>
      </c>
      <c r="DB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DC21" s="2" t="inlineStr">
        <is>
          <t>KeyError</t>
        </is>
      </c>
      <c r="DD21" s="2" t="inlineStr">
        <is>
          <t>KeyError: 'max_parallel_threads'; AttributeError: Option max_parallel_threads is not defined</t>
        </is>
      </c>
      <c r="DE21"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row>
    <row r="22">
      <c r="A22" s="2" t="inlineStr">
        <is>
          <t>issue_344</t>
        </is>
      </c>
      <c r="B22" s="6" t="inlineStr">
        <is>
          <t>Runtime error</t>
        </is>
      </c>
      <c r="C22" s="6" t="inlineStr">
        <is>
          <t>Runtime error</t>
        </is>
      </c>
      <c r="D22" s="6" t="inlineStr">
        <is>
          <t>Runtime error</t>
        </is>
      </c>
      <c r="E22" s="6" t="inlineStr">
        <is>
          <t>Runtime error</t>
        </is>
      </c>
      <c r="F22" s="6" t="inlineStr">
        <is>
          <t>Runtime error</t>
        </is>
      </c>
      <c r="G22" s="6" t="inlineStr">
        <is>
          <t>Runtime error</t>
        </is>
      </c>
      <c r="H22" s="6" t="inlineStr">
        <is>
          <t>Runtime error</t>
        </is>
      </c>
      <c r="I22" s="6" t="inlineStr">
        <is>
          <t>Runtime error</t>
        </is>
      </c>
      <c r="J22" s="6" t="inlineStr">
        <is>
          <t>Runtime error</t>
        </is>
      </c>
      <c r="K22" s="6" t="inlineStr">
        <is>
          <t>Runtime error</t>
        </is>
      </c>
      <c r="L22" s="6" t="inlineStr">
        <is>
          <t>Runtime error</t>
        </is>
      </c>
      <c r="M22" s="6" t="inlineStr">
        <is>
          <t>Runtime error</t>
        </is>
      </c>
      <c r="N22" s="3" t="inlineStr">
        <is>
          <t>NOT_TESTED</t>
        </is>
      </c>
      <c r="O22" s="3" t="inlineStr">
        <is>
          <t>NOT_TESTED</t>
        </is>
      </c>
      <c r="P22" s="3" t="inlineStr">
        <is>
          <t>NOT_TESTED</t>
        </is>
      </c>
      <c r="Q22" s="3" t="inlineStr">
        <is>
          <t>NOT_TESTED</t>
        </is>
      </c>
      <c r="R22" s="3" t="inlineStr">
        <is>
          <t>NOT_TESTED</t>
        </is>
      </c>
      <c r="S22" s="3" t="inlineStr">
        <is>
          <t>NOT_TESTED</t>
        </is>
      </c>
      <c r="T22" s="3" t="inlineStr">
        <is>
          <t>NOT_TESTED</t>
        </is>
      </c>
      <c r="U22" s="3" t="inlineStr">
        <is>
          <t>NOT_TESTED</t>
        </is>
      </c>
      <c r="V22" s="3" t="inlineStr">
        <is>
          <t>NOT_TESTED</t>
        </is>
      </c>
      <c r="W22" s="3" t="inlineStr">
        <is>
          <t>NOT_TESTED</t>
        </is>
      </c>
      <c r="X22" s="3" t="inlineStr">
        <is>
          <t>NOT_TESTED</t>
        </is>
      </c>
      <c r="Y22" s="3" t="inlineStr">
        <is>
          <t>NOT_TESTED</t>
        </is>
      </c>
      <c r="Z22" s="3" t="inlineStr">
        <is>
          <t>NOT_TESTED</t>
        </is>
      </c>
      <c r="AA22" s="3" t="inlineStr">
        <is>
          <t>NOT_TESTED</t>
        </is>
      </c>
      <c r="AB22" s="3" t="inlineStr">
        <is>
          <t>NOT_TESTED</t>
        </is>
      </c>
      <c r="AC22" s="2" t="inlineStr">
        <is>
          <t>QiskitError</t>
        </is>
      </c>
      <c r="AD22" s="2" t="inlineStr">
        <is>
          <t>qiskit.exceptions.QiskitError: 'Input quantum state is not a valid'</t>
        </is>
      </c>
      <c r="AE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F22" s="2" t="inlineStr">
        <is>
          <t>QiskitError</t>
        </is>
      </c>
      <c r="AG22" s="2" t="inlineStr">
        <is>
          <t>qiskit.exceptions.QiskitError: 'Input quantum state is not a valid'</t>
        </is>
      </c>
      <c r="AH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I22" s="2" t="inlineStr">
        <is>
          <t>QiskitError</t>
        </is>
      </c>
      <c r="AJ22" s="2" t="inlineStr">
        <is>
          <t>qiskit.exceptions.QiskitError: 'Input quantum state is not a valid'</t>
        </is>
      </c>
      <c r="AK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L22" s="2" t="inlineStr">
        <is>
          <t>QiskitError</t>
        </is>
      </c>
      <c r="AM22" s="2" t="inlineStr">
        <is>
          <t>qiskit.exceptions.QiskitError: 'Input quantum state is not a valid'</t>
        </is>
      </c>
      <c r="AN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O22" s="2" t="inlineStr">
        <is>
          <t>QiskitError</t>
        </is>
      </c>
      <c r="AP22" s="2" t="inlineStr">
        <is>
          <t>qiskit.exceptions.QiskitError: 'Input quantum state is not a valid'</t>
        </is>
      </c>
      <c r="AQ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R22" s="2" t="inlineStr">
        <is>
          <t>QiskitError</t>
        </is>
      </c>
      <c r="AS22" s="2" t="inlineStr">
        <is>
          <t>qiskit.exceptions.QiskitError: 'Input quantum state is not a valid'</t>
        </is>
      </c>
      <c r="AT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U22" s="2" t="inlineStr">
        <is>
          <t>QiskitError</t>
        </is>
      </c>
      <c r="AV22" s="2" t="inlineStr">
        <is>
          <t>qiskit.exceptions.QiskitError: 'Input quantum state is not a valid'</t>
        </is>
      </c>
      <c r="AW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AX22" s="2" t="inlineStr">
        <is>
          <t>QiskitError</t>
        </is>
      </c>
      <c r="AY22" s="2" t="inlineStr">
        <is>
          <t>qiskit.exceptions.QiskitError: 'Input quantum state is not a valid'</t>
        </is>
      </c>
      <c r="AZ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BA22" s="2" t="inlineStr">
        <is>
          <t>QiskitError</t>
        </is>
      </c>
      <c r="BB22" s="2" t="inlineStr">
        <is>
          <t>qiskit.exceptions.QiskitError: 'Input quantum state is not a valid'</t>
        </is>
      </c>
      <c r="BC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BD22" s="2" t="inlineStr">
        <is>
          <t>QiskitError</t>
        </is>
      </c>
      <c r="BE22" s="2" t="inlineStr">
        <is>
          <t>qiskit.exceptions.QiskitError: 'Input quantum state is not a valid'</t>
        </is>
      </c>
      <c r="BF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BG22" s="2" t="inlineStr">
        <is>
          <t>QiskitError</t>
        </is>
      </c>
      <c r="BH22" s="2" t="inlineStr">
        <is>
          <t>qiskit.exceptions.QiskitError: 'Input quantum state is not a valid'</t>
        </is>
      </c>
      <c r="BI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BJ22" s="2" t="inlineStr">
        <is>
          <t>QiskitError</t>
        </is>
      </c>
      <c r="BK22" s="2" t="inlineStr">
        <is>
          <t>qiskit.exceptions.QiskitError: 'Input quantum state is not a valid'</t>
        </is>
      </c>
      <c r="BL22" s="2"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2" t="n"/>
      <c r="CO22" s="2" t="n"/>
      <c r="CP22" s="2" t="n"/>
      <c r="CQ22" s="2" t="n"/>
      <c r="CR22" s="2" t="n"/>
      <c r="CS22" s="2" t="n"/>
      <c r="CT22" s="2" t="n"/>
      <c r="CU22" s="2" t="n"/>
      <c r="CV22" s="2" t="n"/>
      <c r="CW22" s="2" t="n"/>
      <c r="CX22" s="2" t="n"/>
      <c r="CY22" s="2" t="n"/>
      <c r="CZ22" s="2" t="n"/>
      <c r="DA22" s="2" t="n"/>
      <c r="DB22" s="2" t="n"/>
      <c r="DC22" s="2" t="n"/>
      <c r="DD22" s="2" t="n"/>
      <c r="DE22" s="2" t="n"/>
    </row>
    <row r="23">
      <c r="A23" s="2" t="inlineStr">
        <is>
          <t>issue_362</t>
        </is>
      </c>
      <c r="B23" s="3" t="inlineStr">
        <is>
          <t>NOT_TESTED</t>
        </is>
      </c>
      <c r="C23" s="3" t="inlineStr">
        <is>
          <t>NOT_TESTED</t>
        </is>
      </c>
      <c r="D23" s="3" t="inlineStr">
        <is>
          <t>NOT_TESTED</t>
        </is>
      </c>
      <c r="E23" s="3" t="inlineStr">
        <is>
          <t>NOT_TESTED</t>
        </is>
      </c>
      <c r="F23" s="4" t="inlineStr">
        <is>
          <t>Passed on test</t>
        </is>
      </c>
      <c r="G23" s="4" t="inlineStr">
        <is>
          <t>Passed on test</t>
        </is>
      </c>
      <c r="H23" s="4" t="inlineStr">
        <is>
          <t>Passed on test</t>
        </is>
      </c>
      <c r="I23" s="4" t="inlineStr">
        <is>
          <t>Passed on test</t>
        </is>
      </c>
      <c r="J23" s="4" t="inlineStr">
        <is>
          <t>Passed on test</t>
        </is>
      </c>
      <c r="K23" s="4" t="inlineStr">
        <is>
          <t>Passed on test</t>
        </is>
      </c>
      <c r="L23" s="4" t="inlineStr">
        <is>
          <t>Passed on test</t>
        </is>
      </c>
      <c r="M23" s="4" t="inlineStr">
        <is>
          <t>Passed on test</t>
        </is>
      </c>
      <c r="N23" s="4" t="inlineStr">
        <is>
          <t>Passed on test</t>
        </is>
      </c>
      <c r="O23" s="4" t="inlineStr">
        <is>
          <t>Passed on test</t>
        </is>
      </c>
      <c r="P23" s="4" t="inlineStr">
        <is>
          <t>Passed on test</t>
        </is>
      </c>
      <c r="Q23" s="4" t="inlineStr">
        <is>
          <t>Passed on test</t>
        </is>
      </c>
      <c r="R23" s="4" t="inlineStr">
        <is>
          <t>Passed on test</t>
        </is>
      </c>
      <c r="S23" s="4" t="inlineStr">
        <is>
          <t>Passed on test</t>
        </is>
      </c>
      <c r="T23" s="4" t="inlineStr">
        <is>
          <t>Passed on test</t>
        </is>
      </c>
      <c r="U23" s="4" t="inlineStr">
        <is>
          <t>Passed on test</t>
        </is>
      </c>
      <c r="V23" s="4" t="inlineStr">
        <is>
          <t>Passed on test</t>
        </is>
      </c>
      <c r="W23" s="4" t="inlineStr">
        <is>
          <t>Passed on test</t>
        </is>
      </c>
      <c r="X23" s="4" t="inlineStr">
        <is>
          <t>Passed on test</t>
        </is>
      </c>
      <c r="Y23" s="4" t="inlineStr">
        <is>
          <t>Passed on test</t>
        </is>
      </c>
      <c r="Z23" s="4" t="inlineStr">
        <is>
          <t>Passed on test</t>
        </is>
      </c>
      <c r="AA23" s="4" t="inlineStr">
        <is>
          <t>Passed on test</t>
        </is>
      </c>
      <c r="AB23" s="4" t="inlineStr">
        <is>
          <t>Passed on test</t>
        </is>
      </c>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row>
    <row r="24">
      <c r="A24" s="2" t="inlineStr">
        <is>
          <t>issue_369</t>
        </is>
      </c>
      <c r="B24" s="4" t="inlineStr">
        <is>
          <t>Passed on test</t>
        </is>
      </c>
      <c r="C24" s="4" t="inlineStr">
        <is>
          <t>Passed on test</t>
        </is>
      </c>
      <c r="D24" s="4" t="inlineStr">
        <is>
          <t>Passed on test</t>
        </is>
      </c>
      <c r="E24" s="4" t="inlineStr">
        <is>
          <t>Passed on test</t>
        </is>
      </c>
      <c r="F24" s="4" t="inlineStr">
        <is>
          <t>Passed on test</t>
        </is>
      </c>
      <c r="G24" s="4" t="inlineStr">
        <is>
          <t>Passed on test</t>
        </is>
      </c>
      <c r="H24" s="4" t="inlineStr">
        <is>
          <t>Passed on test</t>
        </is>
      </c>
      <c r="I24" s="4" t="inlineStr">
        <is>
          <t>Passed on test</t>
        </is>
      </c>
      <c r="J24" s="4" t="inlineStr">
        <is>
          <t>Passed on test</t>
        </is>
      </c>
      <c r="K24" s="4" t="inlineStr">
        <is>
          <t>Passed on test</t>
        </is>
      </c>
      <c r="L24" s="4" t="inlineStr">
        <is>
          <t>Passed on test</t>
        </is>
      </c>
      <c r="M24" s="4" t="inlineStr">
        <is>
          <t>Passed on test</t>
        </is>
      </c>
      <c r="N24" s="4" t="inlineStr">
        <is>
          <t>Passed on test</t>
        </is>
      </c>
      <c r="O24" s="4" t="inlineStr">
        <is>
          <t>Passed on test</t>
        </is>
      </c>
      <c r="P24" s="4" t="inlineStr">
        <is>
          <t>Passed on test</t>
        </is>
      </c>
      <c r="Q24" s="4" t="inlineStr">
        <is>
          <t>Passed on test</t>
        </is>
      </c>
      <c r="R24" s="4" t="inlineStr">
        <is>
          <t>Passed on test</t>
        </is>
      </c>
      <c r="S24" s="4" t="inlineStr">
        <is>
          <t>Passed on test</t>
        </is>
      </c>
      <c r="T24" s="4" t="inlineStr">
        <is>
          <t>Passed on test</t>
        </is>
      </c>
      <c r="U24" s="4" t="inlineStr">
        <is>
          <t>Passed on test</t>
        </is>
      </c>
      <c r="V24" s="4" t="inlineStr">
        <is>
          <t>Passed on test</t>
        </is>
      </c>
      <c r="W24" s="4" t="inlineStr">
        <is>
          <t>Passed on test</t>
        </is>
      </c>
      <c r="X24" s="4" t="inlineStr">
        <is>
          <t>Passed on test</t>
        </is>
      </c>
      <c r="Y24" s="4" t="inlineStr">
        <is>
          <t>Passed on test</t>
        </is>
      </c>
      <c r="Z24" s="4" t="inlineStr">
        <is>
          <t>Passed on test</t>
        </is>
      </c>
      <c r="AA24" s="4" t="inlineStr">
        <is>
          <t>Passed on test</t>
        </is>
      </c>
      <c r="AB24" s="4" t="inlineStr">
        <is>
          <t>Passed on test</t>
        </is>
      </c>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c r="CW24" s="2" t="n"/>
      <c r="CX24" s="2" t="n"/>
      <c r="CY24" s="2" t="n"/>
      <c r="CZ24" s="2" t="n"/>
      <c r="DA24" s="2" t="n"/>
      <c r="DB24" s="2" t="n"/>
      <c r="DC24" s="2" t="n"/>
      <c r="DD24" s="2" t="n"/>
      <c r="DE24" s="2" t="n"/>
    </row>
    <row r="25">
      <c r="A25" s="2" t="inlineStr">
        <is>
          <t>issue_396</t>
        </is>
      </c>
      <c r="B25" s="4" t="inlineStr">
        <is>
          <t>Passed on test</t>
        </is>
      </c>
      <c r="C25" s="4" t="inlineStr">
        <is>
          <t>Passed on test</t>
        </is>
      </c>
      <c r="D25" s="4" t="inlineStr">
        <is>
          <t>Passed on test</t>
        </is>
      </c>
      <c r="E25" s="4" t="inlineStr">
        <is>
          <t>Passed on test</t>
        </is>
      </c>
      <c r="F25" s="4" t="inlineStr">
        <is>
          <t>Passed on test</t>
        </is>
      </c>
      <c r="G25" s="4" t="inlineStr">
        <is>
          <t>Passed on test</t>
        </is>
      </c>
      <c r="H25" s="4" t="inlineStr">
        <is>
          <t>Passed on test</t>
        </is>
      </c>
      <c r="I25" s="4" t="inlineStr">
        <is>
          <t>Passed on test</t>
        </is>
      </c>
      <c r="J25" s="4" t="inlineStr">
        <is>
          <t>Passed on test</t>
        </is>
      </c>
      <c r="K25" s="4" t="inlineStr">
        <is>
          <t>Passed on test</t>
        </is>
      </c>
      <c r="L25" s="4" t="inlineStr">
        <is>
          <t>Passed on test</t>
        </is>
      </c>
      <c r="M25" s="4" t="inlineStr">
        <is>
          <t>Passed on test</t>
        </is>
      </c>
      <c r="N25" s="4" t="inlineStr">
        <is>
          <t>Passed on test</t>
        </is>
      </c>
      <c r="O25" s="4" t="inlineStr">
        <is>
          <t>Passed on test</t>
        </is>
      </c>
      <c r="P25" s="4" t="inlineStr">
        <is>
          <t>Passed on test</t>
        </is>
      </c>
      <c r="Q25" s="4" t="inlineStr">
        <is>
          <t>Passed on test</t>
        </is>
      </c>
      <c r="R25" s="4" t="inlineStr">
        <is>
          <t>Passed on test</t>
        </is>
      </c>
      <c r="S25" s="4" t="inlineStr">
        <is>
          <t>Passed on test</t>
        </is>
      </c>
      <c r="T25" s="4" t="inlineStr">
        <is>
          <t>Passed on test</t>
        </is>
      </c>
      <c r="U25" s="4" t="inlineStr">
        <is>
          <t>Passed on test</t>
        </is>
      </c>
      <c r="V25" s="4" t="inlineStr">
        <is>
          <t>Passed on test</t>
        </is>
      </c>
      <c r="W25" s="4" t="inlineStr">
        <is>
          <t>Passed on test</t>
        </is>
      </c>
      <c r="X25" s="4" t="inlineStr">
        <is>
          <t>Passed on test</t>
        </is>
      </c>
      <c r="Y25" s="4" t="inlineStr">
        <is>
          <t>Passed on test</t>
        </is>
      </c>
      <c r="Z25" s="4" t="inlineStr">
        <is>
          <t>Passed on test</t>
        </is>
      </c>
      <c r="AA25" s="4" t="inlineStr">
        <is>
          <t>Passed on test</t>
        </is>
      </c>
      <c r="AB25" s="4" t="inlineStr">
        <is>
          <t>Passed on test</t>
        </is>
      </c>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2" t="n"/>
      <c r="CJ25" s="2" t="n"/>
      <c r="CK25" s="2" t="n"/>
      <c r="CL25" s="2" t="n"/>
      <c r="CM25" s="2" t="n"/>
      <c r="CN25" s="2" t="n"/>
      <c r="CO25" s="2" t="n"/>
      <c r="CP25" s="2" t="n"/>
      <c r="CQ25" s="2" t="n"/>
      <c r="CR25" s="2" t="n"/>
      <c r="CS25" s="2" t="n"/>
      <c r="CT25" s="2" t="n"/>
      <c r="CU25" s="2" t="n"/>
      <c r="CV25" s="2" t="n"/>
      <c r="CW25" s="2" t="n"/>
      <c r="CX25" s="2" t="n"/>
      <c r="CY25" s="2" t="n"/>
      <c r="CZ25" s="2" t="n"/>
      <c r="DA25" s="2" t="n"/>
      <c r="DB25" s="2" t="n"/>
      <c r="DC25" s="2" t="n"/>
      <c r="DD25" s="2" t="n"/>
      <c r="DE25" s="2" t="n"/>
    </row>
    <row r="26">
      <c r="A26" s="2" t="inlineStr">
        <is>
          <t>issue_415</t>
        </is>
      </c>
      <c r="B26" s="4" t="inlineStr">
        <is>
          <t>Passed on test</t>
        </is>
      </c>
      <c r="C26" s="4" t="inlineStr">
        <is>
          <t>Passed on test</t>
        </is>
      </c>
      <c r="D26" s="4" t="inlineStr">
        <is>
          <t>Passed on test</t>
        </is>
      </c>
      <c r="E26" s="4" t="inlineStr">
        <is>
          <t>Passed on test</t>
        </is>
      </c>
      <c r="F26" s="3" t="inlineStr">
        <is>
          <t>NOT_TESTED</t>
        </is>
      </c>
      <c r="G26" s="3" t="inlineStr">
        <is>
          <t>NOT_TESTED</t>
        </is>
      </c>
      <c r="H26" s="3" t="inlineStr">
        <is>
          <t>NOT_TESTED</t>
        </is>
      </c>
      <c r="I26" s="3" t="inlineStr">
        <is>
          <t>NOT_TESTED</t>
        </is>
      </c>
      <c r="J26" s="3" t="inlineStr">
        <is>
          <t>NOT_TESTED</t>
        </is>
      </c>
      <c r="K26" s="3" t="inlineStr">
        <is>
          <t>NOT_TESTED</t>
        </is>
      </c>
      <c r="L26" s="3" t="inlineStr">
        <is>
          <t>NOT_TESTED</t>
        </is>
      </c>
      <c r="M26" s="3" t="inlineStr">
        <is>
          <t>NOT_TESTED</t>
        </is>
      </c>
      <c r="N26" s="3" t="inlineStr">
        <is>
          <t>NOT_TESTED</t>
        </is>
      </c>
      <c r="O26" s="3" t="inlineStr">
        <is>
          <t>NOT_TESTED</t>
        </is>
      </c>
      <c r="P26" s="3" t="inlineStr">
        <is>
          <t>NOT_TESTED</t>
        </is>
      </c>
      <c r="Q26" s="3" t="inlineStr">
        <is>
          <t>NOT_TESTED</t>
        </is>
      </c>
      <c r="R26" s="3" t="inlineStr">
        <is>
          <t>NOT_TESTED</t>
        </is>
      </c>
      <c r="S26" s="3" t="inlineStr">
        <is>
          <t>NOT_TESTED</t>
        </is>
      </c>
      <c r="T26" s="3" t="inlineStr">
        <is>
          <t>NOT_TESTED</t>
        </is>
      </c>
      <c r="U26" s="3" t="inlineStr">
        <is>
          <t>NOT_TESTED</t>
        </is>
      </c>
      <c r="V26" s="3" t="inlineStr">
        <is>
          <t>NOT_TESTED</t>
        </is>
      </c>
      <c r="W26" s="3" t="inlineStr">
        <is>
          <t>NOT_TESTED</t>
        </is>
      </c>
      <c r="X26" s="3" t="inlineStr">
        <is>
          <t>NOT_TESTED</t>
        </is>
      </c>
      <c r="Y26" s="3" t="inlineStr">
        <is>
          <t>NOT_TESTED</t>
        </is>
      </c>
      <c r="Z26" s="3" t="inlineStr">
        <is>
          <t>NOT_TESTED</t>
        </is>
      </c>
      <c r="AA26" s="3" t="inlineStr">
        <is>
          <t>NOT_TESTED</t>
        </is>
      </c>
      <c r="AB26" s="3" t="inlineStr">
        <is>
          <t>NOT_TESTED</t>
        </is>
      </c>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row>
    <row r="27">
      <c r="A27" s="2" t="inlineStr">
        <is>
          <t>issue_436</t>
        </is>
      </c>
      <c r="B27" s="6" t="inlineStr">
        <is>
          <t>Runtime error</t>
        </is>
      </c>
      <c r="C27" s="6" t="inlineStr">
        <is>
          <t>Runtime error</t>
        </is>
      </c>
      <c r="D27" s="6" t="inlineStr">
        <is>
          <t>Runtime error</t>
        </is>
      </c>
      <c r="E27" s="6" t="inlineStr">
        <is>
          <t>Runtime error</t>
        </is>
      </c>
      <c r="F27" s="3" t="inlineStr">
        <is>
          <t>NOT_TESTED</t>
        </is>
      </c>
      <c r="G27" s="3" t="inlineStr">
        <is>
          <t>NOT_TESTED</t>
        </is>
      </c>
      <c r="H27" s="3" t="inlineStr">
        <is>
          <t>NOT_TESTED</t>
        </is>
      </c>
      <c r="I27" s="3" t="inlineStr">
        <is>
          <t>NOT_TESTED</t>
        </is>
      </c>
      <c r="J27" s="3" t="inlineStr">
        <is>
          <t>NOT_TESTED</t>
        </is>
      </c>
      <c r="K27" s="3" t="inlineStr">
        <is>
          <t>NOT_TESTED</t>
        </is>
      </c>
      <c r="L27" s="3" t="inlineStr">
        <is>
          <t>NOT_TESTED</t>
        </is>
      </c>
      <c r="M27" s="3" t="inlineStr">
        <is>
          <t>NOT_TESTED</t>
        </is>
      </c>
      <c r="N27" s="3" t="inlineStr">
        <is>
          <t>NOT_TESTED</t>
        </is>
      </c>
      <c r="O27" s="3" t="inlineStr">
        <is>
          <t>NOT_TESTED</t>
        </is>
      </c>
      <c r="P27" s="3" t="inlineStr">
        <is>
          <t>NOT_TESTED</t>
        </is>
      </c>
      <c r="Q27" s="3" t="inlineStr">
        <is>
          <t>NOT_TESTED</t>
        </is>
      </c>
      <c r="R27" s="3" t="inlineStr">
        <is>
          <t>NOT_TESTED</t>
        </is>
      </c>
      <c r="S27" s="3" t="inlineStr">
        <is>
          <t>NOT_TESTED</t>
        </is>
      </c>
      <c r="T27" s="3" t="inlineStr">
        <is>
          <t>NOT_TESTED</t>
        </is>
      </c>
      <c r="U27" s="3" t="inlineStr">
        <is>
          <t>NOT_TESTED</t>
        </is>
      </c>
      <c r="V27" s="3" t="inlineStr">
        <is>
          <t>NOT_TESTED</t>
        </is>
      </c>
      <c r="W27" s="3" t="inlineStr">
        <is>
          <t>NOT_TESTED</t>
        </is>
      </c>
      <c r="X27" s="3" t="inlineStr">
        <is>
          <t>NOT_TESTED</t>
        </is>
      </c>
      <c r="Y27" s="3" t="inlineStr">
        <is>
          <t>NOT_TESTED</t>
        </is>
      </c>
      <c r="Z27" s="3" t="inlineStr">
        <is>
          <t>NOT_TESTED</t>
        </is>
      </c>
      <c r="AA27" s="3" t="inlineStr">
        <is>
          <t>NOT_TESTED</t>
        </is>
      </c>
      <c r="AB27" s="3" t="inlineStr">
        <is>
          <t>NOT_TESTED</t>
        </is>
      </c>
      <c r="AC27" s="2" t="inlineStr">
        <is>
          <t>KeyError</t>
        </is>
      </c>
      <c r="AD27" s="2" t="inlineStr">
        <is>
          <t>KeyError: 'qubit_lo_freq'; AttributeError: Attribute qubit_lo_freq is not defined</t>
        </is>
      </c>
      <c r="AE27" s="2" t="inlineStr">
        <is>
          <t>The LLM removed set_frequency() and modulated the pulse samples instead, which is the right idea, but it reads the LO frequency from backend_config.qubit_lo_freq, which this simulated backend's configuration doesn't have (AttributeError: Attribute qubit_lo_freq is not defined). Every other model passed this case.</t>
        </is>
      </c>
      <c r="AF27" s="2" t="inlineStr">
        <is>
          <t>KeyError</t>
        </is>
      </c>
      <c r="AG27" s="2" t="inlineStr">
        <is>
          <t>KeyError: 'qubit_lo_freq'; AttributeError: Attribute qubit_lo_freq is not defined</t>
        </is>
      </c>
      <c r="AH27" s="2" t="inlineStr">
        <is>
          <t>The LLM removed set_frequency() and modulated the pulse samples instead, which is the right idea, but it reads the LO frequency from backend_config.qubit_lo_freq, which this simulated backend's configuration doesn't have (AttributeError: Attribute qubit_lo_freq is not defined). Every other model passed this case.</t>
        </is>
      </c>
      <c r="AI27" s="2" t="inlineStr">
        <is>
          <t>KeyError</t>
        </is>
      </c>
      <c r="AJ27" s="2" t="inlineStr">
        <is>
          <t>KeyError: 'qubit_lo_freq'; AttributeError: Attribute qubit_lo_freq is not defined</t>
        </is>
      </c>
      <c r="AK27" s="2" t="inlineStr">
        <is>
          <t>The LLM removed set_frequency() and modulated the pulse samples instead, which is the right idea, but it reads the LO frequency from backend_config.qubit_lo_freq, which this simulated backend's configuration doesn't have (AttributeError: Attribute qubit_lo_freq is not defined). Every other model passed this case.</t>
        </is>
      </c>
      <c r="AL27" s="2" t="inlineStr">
        <is>
          <t>KeyError</t>
        </is>
      </c>
      <c r="AM27" s="2" t="inlineStr">
        <is>
          <t>KeyError: 'qubit_lo_freq'; AttributeError: Attribute qubit_lo_freq is not defined</t>
        </is>
      </c>
      <c r="AN27" s="2" t="inlineStr">
        <is>
          <t>The LLM removed set_frequency() and modulated the pulse samples instead, which is the right idea, but it reads the LO frequency from backend_config.qubit_lo_freq, which this simulated backend's configuration doesn't have (AttributeError: Attribute qubit_lo_freq is not defined). Every other model passed this case.</t>
        </is>
      </c>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2" t="n"/>
      <c r="CJ27" s="2" t="n"/>
      <c r="CK27" s="2" t="n"/>
      <c r="CL27" s="2" t="n"/>
      <c r="CM27" s="2" t="n"/>
      <c r="CN27" s="2" t="n"/>
      <c r="CO27" s="2" t="n"/>
      <c r="CP27" s="2" t="n"/>
      <c r="CQ27" s="2" t="n"/>
      <c r="CR27" s="2" t="n"/>
      <c r="CS27" s="2" t="n"/>
      <c r="CT27" s="2" t="n"/>
      <c r="CU27" s="2" t="n"/>
      <c r="CV27" s="2" t="n"/>
      <c r="CW27" s="2" t="n"/>
      <c r="CX27" s="2" t="n"/>
      <c r="CY27" s="2" t="n"/>
      <c r="CZ27" s="2" t="n"/>
      <c r="DA27" s="2" t="n"/>
      <c r="DB27" s="2" t="n"/>
      <c r="DC27" s="2" t="n"/>
      <c r="DD27" s="2" t="n"/>
      <c r="DE27" s="2" t="n"/>
    </row>
    <row r="28">
      <c r="A28" s="2" t="inlineStr">
        <is>
          <t>issue_443</t>
        </is>
      </c>
      <c r="B28" s="4" t="inlineStr">
        <is>
          <t>Passed on test</t>
        </is>
      </c>
      <c r="C28" s="4" t="inlineStr">
        <is>
          <t>Passed on test</t>
        </is>
      </c>
      <c r="D28" s="4" t="inlineStr">
        <is>
          <t>Passed on test</t>
        </is>
      </c>
      <c r="E28" s="4" t="inlineStr">
        <is>
          <t>Passed on test</t>
        </is>
      </c>
      <c r="F28" s="4" t="inlineStr">
        <is>
          <t>Passed on test</t>
        </is>
      </c>
      <c r="G28" s="4" t="inlineStr">
        <is>
          <t>Passed on test</t>
        </is>
      </c>
      <c r="H28" s="4" t="inlineStr">
        <is>
          <t>Passed on test</t>
        </is>
      </c>
      <c r="I28" s="4" t="inlineStr">
        <is>
          <t>Passed on test</t>
        </is>
      </c>
      <c r="J28" s="4" t="inlineStr">
        <is>
          <t>Passed on test</t>
        </is>
      </c>
      <c r="K28" s="4" t="inlineStr">
        <is>
          <t>Passed on test</t>
        </is>
      </c>
      <c r="L28" s="4" t="inlineStr">
        <is>
          <t>Passed on test</t>
        </is>
      </c>
      <c r="M28" s="4" t="inlineStr">
        <is>
          <t>Passed on test</t>
        </is>
      </c>
      <c r="N28" s="4" t="inlineStr">
        <is>
          <t>Passed on test</t>
        </is>
      </c>
      <c r="O28" s="4" t="inlineStr">
        <is>
          <t>Passed on test</t>
        </is>
      </c>
      <c r="P28" s="4" t="inlineStr">
        <is>
          <t>Passed on test</t>
        </is>
      </c>
      <c r="Q28" s="4" t="inlineStr">
        <is>
          <t>Passed on test</t>
        </is>
      </c>
      <c r="R28" s="4" t="inlineStr">
        <is>
          <t>Passed on test</t>
        </is>
      </c>
      <c r="S28" s="4" t="inlineStr">
        <is>
          <t>Passed on test</t>
        </is>
      </c>
      <c r="T28" s="4" t="inlineStr">
        <is>
          <t>Passed on test</t>
        </is>
      </c>
      <c r="U28" s="4" t="inlineStr">
        <is>
          <t>Passed on test</t>
        </is>
      </c>
      <c r="V28" s="4" t="inlineStr">
        <is>
          <t>Passed on test</t>
        </is>
      </c>
      <c r="W28" s="4" t="inlineStr">
        <is>
          <t>Passed on test</t>
        </is>
      </c>
      <c r="X28" s="4" t="inlineStr">
        <is>
          <t>Passed on test</t>
        </is>
      </c>
      <c r="Y28" s="4" t="inlineStr">
        <is>
          <t>Passed on test</t>
        </is>
      </c>
      <c r="Z28" s="4" t="inlineStr">
        <is>
          <t>Passed on test</t>
        </is>
      </c>
      <c r="AA28" s="4" t="inlineStr">
        <is>
          <t>Passed on test</t>
        </is>
      </c>
      <c r="AB28" s="4" t="inlineStr">
        <is>
          <t>Passed on test</t>
        </is>
      </c>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2" t="n"/>
      <c r="CO28" s="2" t="n"/>
      <c r="CP28" s="2" t="n"/>
      <c r="CQ28" s="2" t="n"/>
      <c r="CR28" s="2" t="n"/>
      <c r="CS28" s="2" t="n"/>
      <c r="CT28" s="2" t="n"/>
      <c r="CU28" s="2" t="n"/>
      <c r="CV28" s="2" t="n"/>
      <c r="CW28" s="2" t="n"/>
      <c r="CX28" s="2" t="n"/>
      <c r="CY28" s="2" t="n"/>
      <c r="CZ28" s="2" t="n"/>
      <c r="DA28" s="2" t="n"/>
      <c r="DB28" s="2" t="n"/>
      <c r="DC28" s="2" t="n"/>
      <c r="DD28" s="2" t="n"/>
      <c r="DE28" s="2" t="n"/>
    </row>
    <row r="29">
      <c r="A29" s="2" t="inlineStr">
        <is>
          <t>issue_453</t>
        </is>
      </c>
      <c r="B29" s="3" t="inlineStr">
        <is>
          <t>NOT_TESTED</t>
        </is>
      </c>
      <c r="C29" s="3" t="inlineStr">
        <is>
          <t>NOT_TESTED</t>
        </is>
      </c>
      <c r="D29" s="3" t="inlineStr">
        <is>
          <t>NOT_TESTED</t>
        </is>
      </c>
      <c r="E29" s="3" t="inlineStr">
        <is>
          <t>NOT_TESTED</t>
        </is>
      </c>
      <c r="F29" s="5" t="inlineStr">
        <is>
          <t>Failed on test</t>
        </is>
      </c>
      <c r="G29" s="5" t="inlineStr">
        <is>
          <t>Failed on test</t>
        </is>
      </c>
      <c r="H29" s="5" t="inlineStr">
        <is>
          <t>Failed on test</t>
        </is>
      </c>
      <c r="I29" s="5" t="inlineStr">
        <is>
          <t>Failed on test</t>
        </is>
      </c>
      <c r="J29" s="5" t="inlineStr">
        <is>
          <t>Failed on test</t>
        </is>
      </c>
      <c r="K29" s="5" t="inlineStr">
        <is>
          <t>Failed on test</t>
        </is>
      </c>
      <c r="L29" s="5" t="inlineStr">
        <is>
          <t>Failed on test</t>
        </is>
      </c>
      <c r="M29" s="5" t="inlineStr">
        <is>
          <t>Failed on test</t>
        </is>
      </c>
      <c r="N29" s="5" t="inlineStr">
        <is>
          <t>Failed on test</t>
        </is>
      </c>
      <c r="O29" s="5" t="inlineStr">
        <is>
          <t>Failed on test</t>
        </is>
      </c>
      <c r="P29" s="5" t="inlineStr">
        <is>
          <t>Failed on test</t>
        </is>
      </c>
      <c r="Q29" s="5" t="inlineStr">
        <is>
          <t>Failed on test</t>
        </is>
      </c>
      <c r="R29" s="5" t="inlineStr">
        <is>
          <t>Failed on test</t>
        </is>
      </c>
      <c r="S29" s="5" t="inlineStr">
        <is>
          <t>Failed on test</t>
        </is>
      </c>
      <c r="T29" s="5" t="inlineStr">
        <is>
          <t>Failed on test</t>
        </is>
      </c>
      <c r="U29" s="5" t="inlineStr">
        <is>
          <t>Failed on test</t>
        </is>
      </c>
      <c r="V29" s="5" t="inlineStr">
        <is>
          <t>Failed on test</t>
        </is>
      </c>
      <c r="W29" s="5" t="inlineStr">
        <is>
          <t>Failed on test</t>
        </is>
      </c>
      <c r="X29" s="5" t="inlineStr">
        <is>
          <t>Failed on test</t>
        </is>
      </c>
      <c r="Y29" s="5" t="inlineStr">
        <is>
          <t>Failed on test</t>
        </is>
      </c>
      <c r="Z29" s="5" t="inlineStr">
        <is>
          <t>Failed on test</t>
        </is>
      </c>
      <c r="AA29" s="5" t="inlineStr">
        <is>
          <t>Failed on test</t>
        </is>
      </c>
      <c r="AB29" s="5" t="inlineStr">
        <is>
          <t>Failed on test</t>
        </is>
      </c>
      <c r="AC29" s="2" t="n"/>
      <c r="AD29" s="2" t="n"/>
      <c r="AE29" s="2" t="n"/>
      <c r="AF29" s="2" t="n"/>
      <c r="AG29" s="2" t="n"/>
      <c r="AH29" s="2" t="n"/>
      <c r="AI29" s="2" t="n"/>
      <c r="AJ29" s="2" t="n"/>
      <c r="AK29" s="2" t="n"/>
      <c r="AL29" s="2" t="n"/>
      <c r="AM29" s="2" t="n"/>
      <c r="AN29" s="2" t="n"/>
      <c r="AO29" s="2" t="inlineStr">
        <is>
          <t>AssertionError</t>
        </is>
      </c>
      <c r="AP29" s="2" t="inlineStr">
        <is>
          <t>AttributeError: 'QuantumCircuit' object has no attribute 'compose_with_auto_ancillas'; AssertionError: 0 != 2</t>
        </is>
      </c>
      <c r="AQ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AR29" s="2" t="inlineStr">
        <is>
          <t>AssertionError</t>
        </is>
      </c>
      <c r="AS29" s="2" t="inlineStr">
        <is>
          <t>AttributeError: 'QuantumCircuit' object has no attribute 'compose_with_auto_ancillas'; AssertionError: 0 != 2</t>
        </is>
      </c>
      <c r="AT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AU29" s="2" t="inlineStr">
        <is>
          <t>AssertionError</t>
        </is>
      </c>
      <c r="AV29" s="2" t="inlineStr">
        <is>
          <t>AttributeError: 'QuantumCircuit' object has no attribute 'compose_with_auto_ancillas'; AssertionError: 0 != 2</t>
        </is>
      </c>
      <c r="AW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AX29" s="2" t="inlineStr">
        <is>
          <t>AssertionError</t>
        </is>
      </c>
      <c r="AY29" s="2" t="inlineStr">
        <is>
          <t>AttributeError: 'QuantumCircuit' object has no attribute 'compose_with_auto_ancillas'; AssertionError: 0 != 2</t>
        </is>
      </c>
      <c r="AZ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A29" s="2" t="inlineStr">
        <is>
          <t>AssertionError</t>
        </is>
      </c>
      <c r="BB29" s="2" t="inlineStr">
        <is>
          <t>AttributeError: 'QuantumCircuit' object has no attribute 'compose_with_auto_ancillas'; AssertionError: 0 != 2</t>
        </is>
      </c>
      <c r="BC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D29" s="2" t="inlineStr">
        <is>
          <t>AssertionError</t>
        </is>
      </c>
      <c r="BE29" s="2" t="inlineStr">
        <is>
          <t>AttributeError: 'QuantumCircuit' object has no attribute 'compose_with_auto_ancillas'; AssertionError: 0 != 2</t>
        </is>
      </c>
      <c r="BF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G29" s="2" t="inlineStr">
        <is>
          <t>AssertionError</t>
        </is>
      </c>
      <c r="BH29" s="2" t="inlineStr">
        <is>
          <t>AttributeError: 'QuantumCircuit' object has no attribute 'compose_with_auto_ancillas'; AssertionError: 0 != 2</t>
        </is>
      </c>
      <c r="BI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J29" s="2" t="inlineStr">
        <is>
          <t>AssertionError</t>
        </is>
      </c>
      <c r="BK29" s="2" t="inlineStr">
        <is>
          <t>AttributeError: 'QuantumCircuit' object has no attribute 'compose_with_auto_ancillas'; AssertionError: 0 != 2</t>
        </is>
      </c>
      <c r="BL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M29" s="2" t="inlineStr">
        <is>
          <t>AssertionError</t>
        </is>
      </c>
      <c r="BN29" s="2" t="inlineStr">
        <is>
          <t>AttributeError: 'QuantumCircuit' object has no attribute 'compose_with_auto_ancillas'; AssertionError: 0 != 2</t>
        </is>
      </c>
      <c r="BO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P29" s="2" t="inlineStr">
        <is>
          <t>AssertionError</t>
        </is>
      </c>
      <c r="BQ29" s="2" t="inlineStr">
        <is>
          <t>AttributeError: 'QuantumCircuit' object has no attribute 'compose_with_auto_ancillas'; AssertionError: 0 != 2</t>
        </is>
      </c>
      <c r="BR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S29" s="2" t="inlineStr">
        <is>
          <t>AssertionError</t>
        </is>
      </c>
      <c r="BT29" s="2" t="inlineStr">
        <is>
          <t>AttributeError: 'QuantumCircuit' object has no attribute 'compose_with_auto_ancillas'; AssertionError: 0 != 2</t>
        </is>
      </c>
      <c r="BU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V29" s="2" t="inlineStr">
        <is>
          <t>AssertionError</t>
        </is>
      </c>
      <c r="BW29" s="2" t="inlineStr">
        <is>
          <t>AttributeError: 'QuantumCircuit' object has no attribute 'compose_with_auto_ancillas'; AssertionError: 0 != 2</t>
        </is>
      </c>
      <c r="BX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BY29" s="2" t="inlineStr">
        <is>
          <t>AssertionError</t>
        </is>
      </c>
      <c r="BZ29" s="2" t="inlineStr">
        <is>
          <t>AttributeError: 'QuantumCircuit' object has no attribute 'compose_with_auto_ancillas'; AssertionError: 0 != 2</t>
        </is>
      </c>
      <c r="CA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B29" s="2" t="inlineStr">
        <is>
          <t>AssertionError</t>
        </is>
      </c>
      <c r="CC29" s="2" t="inlineStr">
        <is>
          <t>AttributeError: 'QuantumCircuit' object has no attribute 'compose_with_auto_ancillas'; AssertionError: 0 != 2</t>
        </is>
      </c>
      <c r="CD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E29" s="2" t="inlineStr">
        <is>
          <t>AssertionError</t>
        </is>
      </c>
      <c r="CF29" s="2" t="inlineStr">
        <is>
          <t>AttributeError: 'QuantumCircuit' object has no attribute 'compose_with_auto_ancillas'; AssertionError: 0 != 2</t>
        </is>
      </c>
      <c r="CG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H29" s="2" t="inlineStr">
        <is>
          <t>AssertionError</t>
        </is>
      </c>
      <c r="CI29" s="2" t="inlineStr">
        <is>
          <t>AttributeError: 'QuantumCircuit' object has no attribute 'compose_with_auto_ancillas'; AssertionError: 0 != 2</t>
        </is>
      </c>
      <c r="CJ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K29" s="2" t="inlineStr">
        <is>
          <t>AssertionError</t>
        </is>
      </c>
      <c r="CL29" s="2" t="inlineStr">
        <is>
          <t>AttributeError: 'QuantumCircuit' object has no attribute 'compose_with_auto_ancillas'; AssertionError: 0 != 2</t>
        </is>
      </c>
      <c r="CM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N29" s="2" t="inlineStr">
        <is>
          <t>AssertionError</t>
        </is>
      </c>
      <c r="CO29" s="2" t="inlineStr">
        <is>
          <t>AttributeError: 'QuantumCircuit' object has no attribute 'compose_with_auto_ancillas'; AssertionError: 0 != 2</t>
        </is>
      </c>
      <c r="CP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Q29" s="2" t="inlineStr">
        <is>
          <t>AssertionError</t>
        </is>
      </c>
      <c r="CR29" s="2" t="inlineStr">
        <is>
          <t>AttributeError: 'QuantumCircuit' object has no attribute 'compose_with_auto_ancillas'; AssertionError: 0 != 2</t>
        </is>
      </c>
      <c r="CS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T29" s="2" t="inlineStr">
        <is>
          <t>AssertionError</t>
        </is>
      </c>
      <c r="CU29" s="2" t="inlineStr">
        <is>
          <t>AttributeError: 'QuantumCircuit' object has no attribute 'compose_with_auto_ancillas'; AssertionError: 0 != 2</t>
        </is>
      </c>
      <c r="CV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W29" s="2" t="inlineStr">
        <is>
          <t>AssertionError</t>
        </is>
      </c>
      <c r="CX29" s="2" t="inlineStr">
        <is>
          <t>AttributeError: 'QuantumCircuit' object has no attribute 'compose_with_auto_ancillas'; AssertionError: 0 != 2</t>
        </is>
      </c>
      <c r="CY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CZ29" s="2" t="inlineStr">
        <is>
          <t>AssertionError</t>
        </is>
      </c>
      <c r="DA29" s="2" t="inlineStr">
        <is>
          <t>AttributeError: 'QuantumCircuit' object has no attribute 'compose_with_auto_ancillas'; AssertionError: 0 != 2</t>
        </is>
      </c>
      <c r="DB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DC29" s="2" t="inlineStr">
        <is>
          <t>AssertionError</t>
        </is>
      </c>
      <c r="DD29" s="2" t="inlineStr">
        <is>
          <t>AttributeError: 'QuantumCircuit' object has no attribute 'compose_with_auto_ancillas'; AssertionError: 0 != 2</t>
        </is>
      </c>
      <c r="DE29" s="2"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row>
    <row r="30">
      <c r="A30" s="2" t="inlineStr">
        <is>
          <t>issue_468</t>
        </is>
      </c>
      <c r="B30" s="5" t="inlineStr">
        <is>
          <t>Failed on test</t>
        </is>
      </c>
      <c r="C30" s="5" t="inlineStr">
        <is>
          <t>Failed on test</t>
        </is>
      </c>
      <c r="D30" s="5" t="inlineStr">
        <is>
          <t>Failed on test</t>
        </is>
      </c>
      <c r="E30" s="5" t="inlineStr">
        <is>
          <t>Failed on test</t>
        </is>
      </c>
      <c r="F30" s="3" t="inlineStr">
        <is>
          <t>NOT_TESTED</t>
        </is>
      </c>
      <c r="G30" s="3" t="inlineStr">
        <is>
          <t>NOT_TESTED</t>
        </is>
      </c>
      <c r="H30" s="3" t="inlineStr">
        <is>
          <t>NOT_TESTED</t>
        </is>
      </c>
      <c r="I30" s="3" t="inlineStr">
        <is>
          <t>NOT_TESTED</t>
        </is>
      </c>
      <c r="J30" s="3" t="inlineStr">
        <is>
          <t>NOT_TESTED</t>
        </is>
      </c>
      <c r="K30" s="3" t="inlineStr">
        <is>
          <t>NOT_TESTED</t>
        </is>
      </c>
      <c r="L30" s="3" t="inlineStr">
        <is>
          <t>NOT_TESTED</t>
        </is>
      </c>
      <c r="M30" s="3" t="inlineStr">
        <is>
          <t>NOT_TESTED</t>
        </is>
      </c>
      <c r="N30" s="3" t="inlineStr">
        <is>
          <t>NOT_TESTED</t>
        </is>
      </c>
      <c r="O30" s="3" t="inlineStr">
        <is>
          <t>NOT_TESTED</t>
        </is>
      </c>
      <c r="P30" s="3" t="inlineStr">
        <is>
          <t>NOT_TESTED</t>
        </is>
      </c>
      <c r="Q30" s="3" t="inlineStr">
        <is>
          <t>NOT_TESTED</t>
        </is>
      </c>
      <c r="R30" s="3" t="inlineStr">
        <is>
          <t>NOT_TESTED</t>
        </is>
      </c>
      <c r="S30" s="3" t="inlineStr">
        <is>
          <t>NOT_TESTED</t>
        </is>
      </c>
      <c r="T30" s="3" t="inlineStr">
        <is>
          <t>NOT_TESTED</t>
        </is>
      </c>
      <c r="U30" s="3" t="inlineStr">
        <is>
          <t>NOT_TESTED</t>
        </is>
      </c>
      <c r="V30" s="3" t="inlineStr">
        <is>
          <t>NOT_TESTED</t>
        </is>
      </c>
      <c r="W30" s="3" t="inlineStr">
        <is>
          <t>NOT_TESTED</t>
        </is>
      </c>
      <c r="X30" s="3" t="inlineStr">
        <is>
          <t>NOT_TESTED</t>
        </is>
      </c>
      <c r="Y30" s="3" t="inlineStr">
        <is>
          <t>NOT_TESTED</t>
        </is>
      </c>
      <c r="Z30" s="3" t="inlineStr">
        <is>
          <t>NOT_TESTED</t>
        </is>
      </c>
      <c r="AA30" s="3" t="inlineStr">
        <is>
          <t>NOT_TESTED</t>
        </is>
      </c>
      <c r="AB30" s="3" t="inlineStr">
        <is>
          <t>NOT_TESTED</t>
        </is>
      </c>
      <c r="AC30" s="2" t="inlineStr">
        <is>
          <t>AssertionError</t>
        </is>
      </c>
      <c r="AD30" s="2" t="inlineStr">
        <is>
          <t>AssertionError: Expected one actual commutator call</t>
        </is>
      </c>
      <c r="AE30" s="2" t="inlineStr">
        <is>
          <t>The LLM dropped Aqua's legacy commutator() and computed AB - BA directly on the density matrices' data, so the script computes the commutator, but the test checks that Qiskit's commutator() is actually called ('Expected one actual commutator call'). Same idea as claude-sonnet-5-5 and claude-opus-5-5; every model fails this case.</t>
        </is>
      </c>
      <c r="AF30" s="2" t="inlineStr">
        <is>
          <t>AssertionError</t>
        </is>
      </c>
      <c r="AG30" s="2" t="inlineStr">
        <is>
          <t>AssertionError: Expected one actual commutator call</t>
        </is>
      </c>
      <c r="AH30" s="2" t="inlineStr">
        <is>
          <t>The LLM dropped Aqua's legacy commutator() and computed AB - BA directly on the density matrices' data, so the script computes the commutator, but the test checks that Qiskit's commutator() is actually called ('Expected one actual commutator call'). Same idea as claude-sonnet-5-5 and claude-opus-5-5; every model fails this case.</t>
        </is>
      </c>
      <c r="AI30" s="2" t="inlineStr">
        <is>
          <t>AssertionError</t>
        </is>
      </c>
      <c r="AJ30" s="2" t="inlineStr">
        <is>
          <t>AssertionError: Expected one actual commutator call</t>
        </is>
      </c>
      <c r="AK30" s="2" t="inlineStr">
        <is>
          <t>The LLM dropped Aqua's legacy commutator() and computed AB - BA directly on the density matrices' data, so the script computes the commutator, but the test checks that Qiskit's commutator() is actually called ('Expected one actual commutator call'). Same idea as claude-sonnet-5-5 and claude-opus-5-5; every model fails this case.</t>
        </is>
      </c>
      <c r="AL30" s="2" t="inlineStr">
        <is>
          <t>AssertionError</t>
        </is>
      </c>
      <c r="AM30" s="2" t="inlineStr">
        <is>
          <t>AssertionError: Expected one actual commutator call</t>
        </is>
      </c>
      <c r="AN30" s="2" t="inlineStr">
        <is>
          <t>The LLM dropped Aqua's legacy commutator() and computed AB - BA directly on the density matrices' data, so the script computes the commutator, but the test checks that Qiskit's commutator() is actually called ('Expected one actual commutator call'). Same idea as claude-sonnet-5-5 and claude-opus-5-5; every model fails this case.</t>
        </is>
      </c>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row>
    <row r="31">
      <c r="A31" s="2" t="inlineStr">
        <is>
          <t>issue_497</t>
        </is>
      </c>
      <c r="B31" s="5" t="inlineStr">
        <is>
          <t>Failed on test</t>
        </is>
      </c>
      <c r="C31" s="5" t="inlineStr">
        <is>
          <t>Failed on test</t>
        </is>
      </c>
      <c r="D31" s="5" t="inlineStr">
        <is>
          <t>Failed on test</t>
        </is>
      </c>
      <c r="E31" s="5" t="inlineStr">
        <is>
          <t>Failed on test</t>
        </is>
      </c>
      <c r="F31" s="3" t="inlineStr">
        <is>
          <t>NOT_TESTED</t>
        </is>
      </c>
      <c r="G31" s="3" t="inlineStr">
        <is>
          <t>NOT_TESTED</t>
        </is>
      </c>
      <c r="H31" s="3" t="inlineStr">
        <is>
          <t>NOT_TESTED</t>
        </is>
      </c>
      <c r="I31" s="3" t="inlineStr">
        <is>
          <t>NOT_TESTED</t>
        </is>
      </c>
      <c r="J31" s="3" t="inlineStr">
        <is>
          <t>NOT_TESTED</t>
        </is>
      </c>
      <c r="K31" s="3" t="inlineStr">
        <is>
          <t>NOT_TESTED</t>
        </is>
      </c>
      <c r="L31" s="3" t="inlineStr">
        <is>
          <t>NOT_TESTED</t>
        </is>
      </c>
      <c r="M31" s="3" t="inlineStr">
        <is>
          <t>NOT_TESTED</t>
        </is>
      </c>
      <c r="N31" s="3" t="inlineStr">
        <is>
          <t>NOT_TESTED</t>
        </is>
      </c>
      <c r="O31" s="3" t="inlineStr">
        <is>
          <t>NOT_TESTED</t>
        </is>
      </c>
      <c r="P31" s="3" t="inlineStr">
        <is>
          <t>NOT_TESTED</t>
        </is>
      </c>
      <c r="Q31" s="3" t="inlineStr">
        <is>
          <t>NOT_TESTED</t>
        </is>
      </c>
      <c r="R31" s="3" t="inlineStr">
        <is>
          <t>NOT_TESTED</t>
        </is>
      </c>
      <c r="S31" s="3" t="inlineStr">
        <is>
          <t>NOT_TESTED</t>
        </is>
      </c>
      <c r="T31" s="3" t="inlineStr">
        <is>
          <t>NOT_TESTED</t>
        </is>
      </c>
      <c r="U31" s="3" t="inlineStr">
        <is>
          <t>NOT_TESTED</t>
        </is>
      </c>
      <c r="V31" s="3" t="inlineStr">
        <is>
          <t>NOT_TESTED</t>
        </is>
      </c>
      <c r="W31" s="3" t="inlineStr">
        <is>
          <t>NOT_TESTED</t>
        </is>
      </c>
      <c r="X31" s="3" t="inlineStr">
        <is>
          <t>NOT_TESTED</t>
        </is>
      </c>
      <c r="Y31" s="3" t="inlineStr">
        <is>
          <t>NOT_TESTED</t>
        </is>
      </c>
      <c r="Z31" s="3" t="inlineStr">
        <is>
          <t>NOT_TESTED</t>
        </is>
      </c>
      <c r="AA31" s="3" t="inlineStr">
        <is>
          <t>NOT_TESTED</t>
        </is>
      </c>
      <c r="AB31" s="3" t="inlineStr">
        <is>
          <t>NOT_TESTED</t>
        </is>
      </c>
      <c r="AC31" s="2" t="inlineStr">
        <is>
          <t>AssertionError</t>
        </is>
      </c>
      <c r="AD31" s="2" t="inlineStr">
        <is>
          <t>AssertionError: 2 != 1 : The local expectation batch should use one backend submission</t>
        </is>
      </c>
      <c r="AE31" s="2" t="inlineStr">
        <is>
          <t>The LLM only added the missing IBMQJobManager import and kept the two expectation values as separate evaluations, so the test sees two backend submissions instead of one batched job (2 != 1). claude-opus-5-5 made the same change; gpt-5.6-luna batched them into one CircuitSampler call and passed.</t>
        </is>
      </c>
      <c r="AF31" s="2" t="inlineStr">
        <is>
          <t>AssertionError</t>
        </is>
      </c>
      <c r="AG31" s="2" t="inlineStr">
        <is>
          <t>AssertionError: 2 != 1 : The local expectation batch should use one backend submission</t>
        </is>
      </c>
      <c r="AH31" s="2" t="inlineStr">
        <is>
          <t>The LLM only added the missing IBMQJobManager import and kept the two expectation values as separate evaluations, so the test sees two backend submissions instead of one batched job (2 != 1). claude-opus-5-5 made the same change; gpt-5.6-luna batched them into one CircuitSampler call and passed.</t>
        </is>
      </c>
      <c r="AI31" s="2" t="inlineStr">
        <is>
          <t>AssertionError</t>
        </is>
      </c>
      <c r="AJ31" s="2" t="inlineStr">
        <is>
          <t>AssertionError: 2 != 1 : The local expectation batch should use one backend submission</t>
        </is>
      </c>
      <c r="AK31" s="2" t="inlineStr">
        <is>
          <t>The LLM only added the missing IBMQJobManager import and kept the two expectation values as separate evaluations, so the test sees two backend submissions instead of one batched job (2 != 1). claude-opus-5-5 made the same change; gpt-5.6-luna batched them into one CircuitSampler call and passed.</t>
        </is>
      </c>
      <c r="AL31" s="2" t="inlineStr">
        <is>
          <t>AssertionError</t>
        </is>
      </c>
      <c r="AM31" s="2" t="inlineStr">
        <is>
          <t>AssertionError: 2 != 1 : The local expectation batch should use one backend submission</t>
        </is>
      </c>
      <c r="AN31" s="2" t="inlineStr">
        <is>
          <t>The LLM only added the missing IBMQJobManager import and kept the two expectation values as separate evaluations, so the test sees two backend submissions instead of one batched job (2 != 1). claude-opus-5-5 made the same change; gpt-5.6-luna batched them into one CircuitSampler call and passed.</t>
        </is>
      </c>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row>
    <row r="32">
      <c r="A32" s="2" t="inlineStr">
        <is>
          <t>issue_504</t>
        </is>
      </c>
      <c r="B32" s="3" t="inlineStr">
        <is>
          <t>NOT_TESTED</t>
        </is>
      </c>
      <c r="C32" s="3" t="inlineStr">
        <is>
          <t>NOT_TESTED</t>
        </is>
      </c>
      <c r="D32" s="3" t="inlineStr">
        <is>
          <t>NOT_TESTED</t>
        </is>
      </c>
      <c r="E32" s="3" t="inlineStr">
        <is>
          <t>NOT_TESTED</t>
        </is>
      </c>
      <c r="F32" s="4" t="inlineStr">
        <is>
          <t>Passed on test</t>
        </is>
      </c>
      <c r="G32" s="4" t="inlineStr">
        <is>
          <t>Passed on test</t>
        </is>
      </c>
      <c r="H32" s="4" t="inlineStr">
        <is>
          <t>Passed on test</t>
        </is>
      </c>
      <c r="I32" s="4" t="inlineStr">
        <is>
          <t>Passed on test</t>
        </is>
      </c>
      <c r="J32" s="4" t="inlineStr">
        <is>
          <t>Passed on test</t>
        </is>
      </c>
      <c r="K32" s="4" t="inlineStr">
        <is>
          <t>Passed on test</t>
        </is>
      </c>
      <c r="L32" s="4" t="inlineStr">
        <is>
          <t>Passed on test</t>
        </is>
      </c>
      <c r="M32" s="4" t="inlineStr">
        <is>
          <t>Passed on test</t>
        </is>
      </c>
      <c r="N32" s="4" t="inlineStr">
        <is>
          <t>Passed on test</t>
        </is>
      </c>
      <c r="O32" s="4" t="inlineStr">
        <is>
          <t>Passed on test</t>
        </is>
      </c>
      <c r="P32" s="4" t="inlineStr">
        <is>
          <t>Passed on test</t>
        </is>
      </c>
      <c r="Q32" s="4" t="inlineStr">
        <is>
          <t>Passed on test</t>
        </is>
      </c>
      <c r="R32" s="4" t="inlineStr">
        <is>
          <t>Passed on test</t>
        </is>
      </c>
      <c r="S32" s="4" t="inlineStr">
        <is>
          <t>Passed on test</t>
        </is>
      </c>
      <c r="T32" s="4" t="inlineStr">
        <is>
          <t>Passed on test</t>
        </is>
      </c>
      <c r="U32" s="4" t="inlineStr">
        <is>
          <t>Passed on test</t>
        </is>
      </c>
      <c r="V32" s="4" t="inlineStr">
        <is>
          <t>Passed on test</t>
        </is>
      </c>
      <c r="W32" s="4" t="inlineStr">
        <is>
          <t>Passed on test</t>
        </is>
      </c>
      <c r="X32" s="4" t="inlineStr">
        <is>
          <t>Passed on test</t>
        </is>
      </c>
      <c r="Y32" s="4" t="inlineStr">
        <is>
          <t>Passed on test</t>
        </is>
      </c>
      <c r="Z32" s="4" t="inlineStr">
        <is>
          <t>Passed on test</t>
        </is>
      </c>
      <c r="AA32" s="4" t="inlineStr">
        <is>
          <t>Passed on test</t>
        </is>
      </c>
      <c r="AB32" s="4" t="inlineStr">
        <is>
          <t>Passed on test</t>
        </is>
      </c>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row>
    <row r="33">
      <c r="A33" s="2" t="inlineStr">
        <is>
          <t>issue_505</t>
        </is>
      </c>
      <c r="B33" s="3" t="inlineStr">
        <is>
          <t>NOT_TESTED</t>
        </is>
      </c>
      <c r="C33" s="3" t="inlineStr">
        <is>
          <t>NOT_TESTED</t>
        </is>
      </c>
      <c r="D33" s="3" t="inlineStr">
        <is>
          <t>NOT_TESTED</t>
        </is>
      </c>
      <c r="E33" s="3" t="inlineStr">
        <is>
          <t>NOT_TESTED</t>
        </is>
      </c>
      <c r="F33" s="4" t="inlineStr">
        <is>
          <t>Passed on test</t>
        </is>
      </c>
      <c r="G33" s="4" t="inlineStr">
        <is>
          <t>Passed on test</t>
        </is>
      </c>
      <c r="H33" s="4" t="inlineStr">
        <is>
          <t>Passed on test</t>
        </is>
      </c>
      <c r="I33" s="4" t="inlineStr">
        <is>
          <t>Passed on test</t>
        </is>
      </c>
      <c r="J33" s="4" t="inlineStr">
        <is>
          <t>Passed on test</t>
        </is>
      </c>
      <c r="K33" s="4" t="inlineStr">
        <is>
          <t>Passed on test</t>
        </is>
      </c>
      <c r="L33" s="4" t="inlineStr">
        <is>
          <t>Passed on test</t>
        </is>
      </c>
      <c r="M33" s="4" t="inlineStr">
        <is>
          <t>Passed on test</t>
        </is>
      </c>
      <c r="N33" s="3" t="inlineStr">
        <is>
          <t>NOT_TESTED</t>
        </is>
      </c>
      <c r="O33" s="3" t="inlineStr">
        <is>
          <t>NOT_TESTED</t>
        </is>
      </c>
      <c r="P33" s="3" t="inlineStr">
        <is>
          <t>NOT_TESTED</t>
        </is>
      </c>
      <c r="Q33" s="3" t="inlineStr">
        <is>
          <t>NOT_TESTED</t>
        </is>
      </c>
      <c r="R33" s="3" t="inlineStr">
        <is>
          <t>NOT_TESTED</t>
        </is>
      </c>
      <c r="S33" s="3" t="inlineStr">
        <is>
          <t>NOT_TESTED</t>
        </is>
      </c>
      <c r="T33" s="3" t="inlineStr">
        <is>
          <t>NOT_TESTED</t>
        </is>
      </c>
      <c r="U33" s="3" t="inlineStr">
        <is>
          <t>NOT_TESTED</t>
        </is>
      </c>
      <c r="V33" s="3" t="inlineStr">
        <is>
          <t>NOT_TESTED</t>
        </is>
      </c>
      <c r="W33" s="3" t="inlineStr">
        <is>
          <t>NOT_TESTED</t>
        </is>
      </c>
      <c r="X33" s="3" t="inlineStr">
        <is>
          <t>NOT_TESTED</t>
        </is>
      </c>
      <c r="Y33" s="3" t="inlineStr">
        <is>
          <t>NOT_TESTED</t>
        </is>
      </c>
      <c r="Z33" s="3" t="inlineStr">
        <is>
          <t>NOT_TESTED</t>
        </is>
      </c>
      <c r="AA33" s="3" t="inlineStr">
        <is>
          <t>NOT_TESTED</t>
        </is>
      </c>
      <c r="AB33" s="3" t="inlineStr">
        <is>
          <t>NOT_TESTED</t>
        </is>
      </c>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row>
    <row r="34">
      <c r="A34" s="2" t="inlineStr">
        <is>
          <t>issue_565</t>
        </is>
      </c>
      <c r="B34" s="6" t="inlineStr">
        <is>
          <t>Runtime error</t>
        </is>
      </c>
      <c r="C34" s="6" t="inlineStr">
        <is>
          <t>Runtime error</t>
        </is>
      </c>
      <c r="D34" s="6" t="inlineStr">
        <is>
          <t>Runtime error</t>
        </is>
      </c>
      <c r="E34" s="6" t="inlineStr">
        <is>
          <t>Runtime error</t>
        </is>
      </c>
      <c r="F34" s="3" t="inlineStr">
        <is>
          <t>NOT_TESTED</t>
        </is>
      </c>
      <c r="G34" s="3" t="inlineStr">
        <is>
          <t>NOT_TESTED</t>
        </is>
      </c>
      <c r="H34" s="3" t="inlineStr">
        <is>
          <t>NOT_TESTED</t>
        </is>
      </c>
      <c r="I34" s="3" t="inlineStr">
        <is>
          <t>NOT_TESTED</t>
        </is>
      </c>
      <c r="J34" s="3" t="inlineStr">
        <is>
          <t>NOT_TESTED</t>
        </is>
      </c>
      <c r="K34" s="3" t="inlineStr">
        <is>
          <t>NOT_TESTED</t>
        </is>
      </c>
      <c r="L34" s="3" t="inlineStr">
        <is>
          <t>NOT_TESTED</t>
        </is>
      </c>
      <c r="M34" s="3" t="inlineStr">
        <is>
          <t>NOT_TESTED</t>
        </is>
      </c>
      <c r="N34" s="3" t="inlineStr">
        <is>
          <t>NOT_TESTED</t>
        </is>
      </c>
      <c r="O34" s="3" t="inlineStr">
        <is>
          <t>NOT_TESTED</t>
        </is>
      </c>
      <c r="P34" s="3" t="inlineStr">
        <is>
          <t>NOT_TESTED</t>
        </is>
      </c>
      <c r="Q34" s="3" t="inlineStr">
        <is>
          <t>NOT_TESTED</t>
        </is>
      </c>
      <c r="R34" s="3" t="inlineStr">
        <is>
          <t>NOT_TESTED</t>
        </is>
      </c>
      <c r="S34" s="3" t="inlineStr">
        <is>
          <t>NOT_TESTED</t>
        </is>
      </c>
      <c r="T34" s="3" t="inlineStr">
        <is>
          <t>NOT_TESTED</t>
        </is>
      </c>
      <c r="U34" s="3" t="inlineStr">
        <is>
          <t>NOT_TESTED</t>
        </is>
      </c>
      <c r="V34" s="3" t="inlineStr">
        <is>
          <t>NOT_TESTED</t>
        </is>
      </c>
      <c r="W34" s="3" t="inlineStr">
        <is>
          <t>NOT_TESTED</t>
        </is>
      </c>
      <c r="X34" s="3" t="inlineStr">
        <is>
          <t>NOT_TESTED</t>
        </is>
      </c>
      <c r="Y34" s="3" t="inlineStr">
        <is>
          <t>NOT_TESTED</t>
        </is>
      </c>
      <c r="Z34" s="3" t="inlineStr">
        <is>
          <t>NOT_TESTED</t>
        </is>
      </c>
      <c r="AA34" s="3" t="inlineStr">
        <is>
          <t>NOT_TESTED</t>
        </is>
      </c>
      <c r="AB34" s="3" t="inlineStr">
        <is>
          <t>NOT_TESTED</t>
        </is>
      </c>
      <c r="AC34" s="2" t="inlineStr">
        <is>
          <t>Timeout</t>
        </is>
      </c>
      <c r="AD34" s="2" t="inlineStr">
        <is>
          <t>120 second timeout</t>
        </is>
      </c>
      <c r="AE34" s="2" t="inlineStr">
        <is>
          <t>Error (timeout): the LLM returned Aqua PauliOps instead of quantum_info Operators and built the mixer products with @= starting from the first operator, which removes the crash both luna models hit, but building the QAOA circuits doesn't finish within 120 seconds on any version (2 runs, the second with a single worker). claude-sonnet-5-5, claude-opus-5-5, gpt-6.1-sol and gpt-6-astra timed out the same way.</t>
        </is>
      </c>
      <c r="AF34" s="2" t="inlineStr">
        <is>
          <t>Timeout</t>
        </is>
      </c>
      <c r="AG34" s="2" t="inlineStr">
        <is>
          <t>120 second timeout</t>
        </is>
      </c>
      <c r="AH34" s="2" t="inlineStr">
        <is>
          <t>Error (timeout): the LLM returned Aqua PauliOps instead of quantum_info Operators and built the mixer products with @= starting from the first operator, which removes the crash both luna models hit, but building the QAOA circuits doesn't finish within 120 seconds on any version (2 runs, the second with a single worker). claude-sonnet-5-5, claude-opus-5-5, gpt-6.1-sol and gpt-6-astra timed out the same way.</t>
        </is>
      </c>
      <c r="AI34" s="2" t="inlineStr">
        <is>
          <t>Timeout</t>
        </is>
      </c>
      <c r="AJ34" s="2" t="inlineStr">
        <is>
          <t>120 second timeout</t>
        </is>
      </c>
      <c r="AK34" s="2" t="inlineStr">
        <is>
          <t>Error (timeout): the LLM returned Aqua PauliOps instead of quantum_info Operators and built the mixer products with @= starting from the first operator, which removes the crash both luna models hit, but building the QAOA circuits doesn't finish within 120 seconds on any version (2 runs, the second with a single worker). claude-sonnet-5-5, claude-opus-5-5, gpt-6.1-sol and gpt-6-astra timed out the same way.</t>
        </is>
      </c>
      <c r="AL34" s="2" t="inlineStr">
        <is>
          <t>Timeout</t>
        </is>
      </c>
      <c r="AM34" s="2" t="inlineStr">
        <is>
          <t>120 second timeout</t>
        </is>
      </c>
      <c r="AN34" s="2" t="inlineStr">
        <is>
          <t>Error (timeout): the LLM returned Aqua PauliOps instead of quantum_info Operators and built the mixer products with @= starting from the first operator, which removes the crash both luna models hit, but building the QAOA circuits doesn't finish within 120 seconds on any version (2 runs, the second with a single worker). claude-sonnet-5-5, claude-opus-5-5, gpt-6.1-sol and gpt-6-astra timed out the same way.</t>
        </is>
      </c>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row>
    <row r="35">
      <c r="A35" s="2" t="inlineStr">
        <is>
          <t>issue_595</t>
        </is>
      </c>
      <c r="B35" s="3" t="inlineStr">
        <is>
          <t>NOT_TESTED</t>
        </is>
      </c>
      <c r="C35" s="3" t="inlineStr">
        <is>
          <t>NOT_TESTED</t>
        </is>
      </c>
      <c r="D35" s="3" t="inlineStr">
        <is>
          <t>NOT_TESTED</t>
        </is>
      </c>
      <c r="E35" s="3" t="inlineStr">
        <is>
          <t>NOT_TESTED</t>
        </is>
      </c>
      <c r="F35" s="6" t="inlineStr">
        <is>
          <t>Runtime error</t>
        </is>
      </c>
      <c r="G35" s="6" t="inlineStr">
        <is>
          <t>Runtime error</t>
        </is>
      </c>
      <c r="H35" s="6" t="inlineStr">
        <is>
          <t>Runtime error</t>
        </is>
      </c>
      <c r="I35" s="6" t="inlineStr">
        <is>
          <t>Runtime error</t>
        </is>
      </c>
      <c r="J35" s="6" t="inlineStr">
        <is>
          <t>Runtime error</t>
        </is>
      </c>
      <c r="K35" s="6" t="inlineStr">
        <is>
          <t>Runtime error</t>
        </is>
      </c>
      <c r="L35" s="6" t="inlineStr">
        <is>
          <t>Runtime error</t>
        </is>
      </c>
      <c r="M35" s="6" t="inlineStr">
        <is>
          <t>Runtime error</t>
        </is>
      </c>
      <c r="N35" s="6" t="inlineStr">
        <is>
          <t>Runtime error</t>
        </is>
      </c>
      <c r="O35" s="6" t="inlineStr">
        <is>
          <t>Runtime error</t>
        </is>
      </c>
      <c r="P35" s="6" t="inlineStr">
        <is>
          <t>Runtime error</t>
        </is>
      </c>
      <c r="Q35" s="6" t="inlineStr">
        <is>
          <t>Runtime error</t>
        </is>
      </c>
      <c r="R35" s="6" t="inlineStr">
        <is>
          <t>Runtime error</t>
        </is>
      </c>
      <c r="S35" s="6" t="inlineStr">
        <is>
          <t>Runtime error</t>
        </is>
      </c>
      <c r="T35" s="6" t="inlineStr">
        <is>
          <t>Runtime error</t>
        </is>
      </c>
      <c r="U35" s="6" t="inlineStr">
        <is>
          <t>Runtime error</t>
        </is>
      </c>
      <c r="V35" s="6" t="inlineStr">
        <is>
          <t>Runtime error</t>
        </is>
      </c>
      <c r="W35" s="6" t="inlineStr">
        <is>
          <t>Runtime error</t>
        </is>
      </c>
      <c r="X35" s="6" t="inlineStr">
        <is>
          <t>Runtime error</t>
        </is>
      </c>
      <c r="Y35" s="6" t="inlineStr">
        <is>
          <t>Runtime error</t>
        </is>
      </c>
      <c r="Z35" s="6" t="inlineStr">
        <is>
          <t>Runtime error</t>
        </is>
      </c>
      <c r="AA35" s="6" t="inlineStr">
        <is>
          <t>Runtime error</t>
        </is>
      </c>
      <c r="AB35" s="6" t="inlineStr">
        <is>
          <t>Runtime error</t>
        </is>
      </c>
      <c r="AC35" s="2" t="n"/>
      <c r="AD35" s="2" t="n"/>
      <c r="AE35" s="2" t="n"/>
      <c r="AF35" s="2" t="n"/>
      <c r="AG35" s="2" t="n"/>
      <c r="AH35" s="2" t="n"/>
      <c r="AI35" s="2" t="n"/>
      <c r="AJ35" s="2" t="n"/>
      <c r="AK35" s="2" t="n"/>
      <c r="AL35" s="2" t="n"/>
      <c r="AM35" s="2" t="n"/>
      <c r="AN35" s="2" t="n"/>
      <c r="AO35" s="2" t="inlineStr">
        <is>
          <t>KeyError</t>
        </is>
      </c>
      <c r="AP35" s="2" t="inlineStr">
        <is>
          <t>KeyError: 'unitary'; qiskit.exceptions.QiskitError: 'No unitary for experiment "&lt;qiskit.circuit.quantumcircuit.QuantumCircuit object at 0x000001B43E48E9D0&gt;"'</t>
        </is>
      </c>
      <c r="AQ35" s="2" t="inlineStr">
        <is>
          <t>The LLM selected AerSimulator(method='unitary') but didn't add circ.save_unitary(), so the result holds no unitary ('No unitary for experiment'). Every other model passed (claude-opus-5-5, claude-sonnet-5-5, gpt-6.1-sol and gpt-6-astra added both).</t>
        </is>
      </c>
      <c r="AR35" s="2" t="inlineStr">
        <is>
          <t>KeyError</t>
        </is>
      </c>
      <c r="AS35" s="2" t="inlineStr">
        <is>
          <t>KeyError: 'unitary'; qiskit.exceptions.QiskitError: 'No unitary for experiment "&lt;qiskit.circuit.quantumcircuit.QuantumCircuit object at 0x000001D21D09F0D0&gt;"'</t>
        </is>
      </c>
      <c r="AT35" s="2" t="inlineStr">
        <is>
          <t>The LLM selected AerSimulator(method='unitary') but didn't add circ.save_unitary(), so the result holds no unitary ('No unitary for experiment'). Every other model passed (claude-opus-5-5, claude-sonnet-5-5, gpt-6.1-sol and gpt-6-astra added both).</t>
        </is>
      </c>
      <c r="AU35" s="2" t="inlineStr">
        <is>
          <t>KeyError</t>
        </is>
      </c>
      <c r="AV35" s="2" t="inlineStr">
        <is>
          <t>KeyError: 'unitary'; qiskit.exceptions.QiskitError: 'No unitary for experiment "&lt;qiskit.circuit.quantumcircuit.QuantumCircuit object at 0x000001EE8773B410&gt;"'</t>
        </is>
      </c>
      <c r="AW35" s="2" t="inlineStr">
        <is>
          <t>The LLM selected AerSimulator(method='unitary') but didn't add circ.save_unitary(), so the result holds no unitary ('No unitary for experiment'). Every other model passed (claude-opus-5-5, claude-sonnet-5-5, gpt-6.1-sol and gpt-6-astra added both).</t>
        </is>
      </c>
      <c r="AX35" s="2" t="inlineStr">
        <is>
          <t>KeyError</t>
        </is>
      </c>
      <c r="AY35" s="2" t="inlineStr">
        <is>
          <t>KeyError: 'unitary'; qiskit.exceptions.QiskitError: 'No unitary for experiment "&lt;qiskit.circuit.quantumcircuit.QuantumCircuit object at 0x0000028C95C867D0&gt;"'</t>
        </is>
      </c>
      <c r="AZ35" s="2" t="inlineStr">
        <is>
          <t>The LLM selected AerSimulator(method='unitary') but didn't add circ.save_unitary(), so the result holds no unitary ('No unitary for experiment'). Every other model passed (claude-opus-5-5, claude-sonnet-5-5, gpt-6.1-sol and gpt-6-astra added both).</t>
        </is>
      </c>
      <c r="BA35" s="2" t="inlineStr">
        <is>
          <t>KeyError</t>
        </is>
      </c>
      <c r="BB35" s="2" t="inlineStr">
        <is>
          <t>KeyError: 'unitary'; qiskit.exceptions.QiskitError: 'No unitary for experiment "&lt;qiskit.circuit.quantumcircuit.QuantumCircuit object at 0x00000216BAA46150&gt;"'</t>
        </is>
      </c>
      <c r="BC35" s="2" t="inlineStr">
        <is>
          <t>The LLM selected AerSimulator(method='unitary') but didn't add circ.save_unitary(), so the result holds no unitary ('No unitary for experiment'). Every other model passed (claude-opus-5-5, claude-sonnet-5-5, gpt-6.1-sol and gpt-6-astra added both).</t>
        </is>
      </c>
      <c r="BD35" s="2" t="inlineStr">
        <is>
          <t>KeyError</t>
        </is>
      </c>
      <c r="BE35" s="2" t="inlineStr">
        <is>
          <t>KeyError: 'unitary'; qiskit.exceptions.QiskitError: 'No unitary for experiment "&lt;qiskit.circuit.quantumcircuit.QuantumCircuit object at 0x000002832DC83210&gt;"'</t>
        </is>
      </c>
      <c r="BF35" s="2" t="inlineStr">
        <is>
          <t>The LLM selected AerSimulator(method='unitary') but didn't add circ.save_unitary(), so the result holds no unitary ('No unitary for experiment'). Every other model passed (claude-opus-5-5, claude-sonnet-5-5, gpt-6.1-sol and gpt-6-astra added both).</t>
        </is>
      </c>
      <c r="BG35" s="2" t="inlineStr">
        <is>
          <t>KeyError</t>
        </is>
      </c>
      <c r="BH35" s="2" t="inlineStr">
        <is>
          <t>KeyError: 'unitary'; qiskit.exceptions.QiskitError: 'No unitary for experiment "&lt;qiskit.circuit.quantumcircuit.QuantumCircuit object at 0x000001E435BC9FD0&gt;"'</t>
        </is>
      </c>
      <c r="BI35" s="2" t="inlineStr">
        <is>
          <t>The LLM selected AerSimulator(method='unitary') but didn't add circ.save_unitary(), so the result holds no unitary ('No unitary for experiment'). Every other model passed (claude-opus-5-5, claude-sonnet-5-5, gpt-6.1-sol and gpt-6-astra added both).</t>
        </is>
      </c>
      <c r="BJ35" s="2" t="inlineStr">
        <is>
          <t>KeyError</t>
        </is>
      </c>
      <c r="BK35" s="2" t="inlineStr">
        <is>
          <t>KeyError: 'unitary'; qiskit.exceptions.QiskitError: 'No unitary for experiment "&lt;qiskit.circuit.quantumcircuit.QuantumCircuit object at 0x0000017F3799E850&gt;"'</t>
        </is>
      </c>
      <c r="BL35" s="2" t="inlineStr">
        <is>
          <t>The LLM selected AerSimulator(method='unitary') but didn't add circ.save_unitary(), so the result holds no unitary ('No unitary for experiment'). Every other model passed (claude-opus-5-5, claude-sonnet-5-5, gpt-6.1-sol and gpt-6-astra added both).</t>
        </is>
      </c>
      <c r="BM35" s="2" t="inlineStr">
        <is>
          <t>KeyError</t>
        </is>
      </c>
      <c r="BN35" s="2" t="inlineStr">
        <is>
          <t>KeyError: 'unitary'; qiskit.exceptions.QiskitError: 'No unitary for experiment "&lt;qiskit.circuit.quantumcircuit.QuantumCircuit object at 0x0000024CD00E3590&gt;"'</t>
        </is>
      </c>
      <c r="BO35" s="2" t="inlineStr">
        <is>
          <t>The LLM selected AerSimulator(method='unitary') but didn't add circ.save_unitary(), so the result holds no unitary ('No unitary for experiment'). Every other model passed (claude-opus-5-5, claude-sonnet-5-5, gpt-6.1-sol and gpt-6-astra added both).</t>
        </is>
      </c>
      <c r="BP35" s="2" t="inlineStr">
        <is>
          <t>KeyError</t>
        </is>
      </c>
      <c r="BQ35" s="2" t="inlineStr">
        <is>
          <t>KeyError: 'unitary'; qiskit.exceptions.QiskitError: 'No unitary for experiment "&lt;qiskit.circuit.quantumcircuit.QuantumCircuit object at 0x000002270F0270D0&gt;"'</t>
        </is>
      </c>
      <c r="BR35" s="2" t="inlineStr">
        <is>
          <t>The LLM selected AerSimulator(method='unitary') but didn't add circ.save_unitary(), so the result holds no unitary ('No unitary for experiment'). Every other model passed (claude-opus-5-5, claude-sonnet-5-5, gpt-6.1-sol and gpt-6-astra added both).</t>
        </is>
      </c>
      <c r="BS35" s="2" t="inlineStr">
        <is>
          <t>KeyError</t>
        </is>
      </c>
      <c r="BT35" s="2" t="inlineStr">
        <is>
          <t>KeyError: 'unitary'; qiskit.exceptions.QiskitError: 'No unitary for experiment "&lt;qiskit.circuit.quantumcircuit.QuantumCircuit object at 0x0000029F6377B650&gt;"'</t>
        </is>
      </c>
      <c r="BU35" s="2" t="inlineStr">
        <is>
          <t>The LLM selected AerSimulator(method='unitary') but didn't add circ.save_unitary(), so the result holds no unitary ('No unitary for experiment'). Every other model passed (claude-opus-5-5, claude-sonnet-5-5, gpt-6.1-sol and gpt-6-astra added both).</t>
        </is>
      </c>
      <c r="BV35" s="2" t="inlineStr">
        <is>
          <t>KeyError</t>
        </is>
      </c>
      <c r="BW35" s="2" t="inlineStr">
        <is>
          <t>KeyError: 'unitary'; qiskit.exceptions.QiskitError: 'No unitary for experiment "&lt;qiskit.circuit.quantumcircuit.QuantumCircuit object at 0x000001FD4BB37950&gt;"'</t>
        </is>
      </c>
      <c r="BX35" s="2" t="inlineStr">
        <is>
          <t>The LLM selected AerSimulator(method='unitary') but didn't add circ.save_unitary(), so the result holds no unitary ('No unitary for experiment'). Every other model passed (claude-opus-5-5, claude-sonnet-5-5, gpt-6.1-sol and gpt-6-astra added both).</t>
        </is>
      </c>
      <c r="BY35" s="2" t="inlineStr">
        <is>
          <t>KeyError</t>
        </is>
      </c>
      <c r="BZ35" s="2" t="inlineStr">
        <is>
          <t>KeyError: 'unitary'; qiskit.exceptions.QiskitError: 'No unitary for experiment "&lt;qiskit.circuit.quantumcircuit.QuantumCircuit object at 0x000002B2C37E7890&gt;"'</t>
        </is>
      </c>
      <c r="CA35" s="2" t="inlineStr">
        <is>
          <t>The LLM selected AerSimulator(method='unitary') but didn't add circ.save_unitary(), so the result holds no unitary ('No unitary for experiment'). Every other model passed (claude-opus-5-5, claude-sonnet-5-5, gpt-6.1-sol and gpt-6-astra added both).</t>
        </is>
      </c>
      <c r="CB35" s="2" t="inlineStr">
        <is>
          <t>KeyError</t>
        </is>
      </c>
      <c r="CC35" s="2" t="inlineStr">
        <is>
          <t>KeyError: 'unitary'; qiskit.exceptions.QiskitError: 'No unitary for experiment "&lt;qiskit.circuit.quantumcircuit.QuantumCircuit object at 0x000001B571D70250&gt;"'</t>
        </is>
      </c>
      <c r="CD35" s="2" t="inlineStr">
        <is>
          <t>The LLM selected AerSimulator(method='unitary') but didn't add circ.save_unitary(), so the result holds no unitary ('No unitary for experiment'). Every other model passed (claude-opus-5-5, claude-sonnet-5-5, gpt-6.1-sol and gpt-6-astra added both).</t>
        </is>
      </c>
      <c r="CE35" s="2" t="inlineStr">
        <is>
          <t>KeyError</t>
        </is>
      </c>
      <c r="CF35" s="2" t="inlineStr">
        <is>
          <t>KeyError: 'unitary'; qiskit.exceptions.QiskitError: 'No unitary for experiment "&lt;qiskit.circuit.quantumcircuit.QuantumCircuit object at 0x000001741E208950&gt;"'</t>
        </is>
      </c>
      <c r="CG35" s="2" t="inlineStr">
        <is>
          <t>The LLM selected AerSimulator(method='unitary') but didn't add circ.save_unitary(), so the result holds no unitary ('No unitary for experiment'). Every other model passed (claude-opus-5-5, claude-sonnet-5-5, gpt-6.1-sol and gpt-6-astra added both).</t>
        </is>
      </c>
      <c r="CH35" s="2" t="inlineStr">
        <is>
          <t>KeyError</t>
        </is>
      </c>
      <c r="CI35" s="2" t="inlineStr">
        <is>
          <t>KeyError: 'unitary'; qiskit.exceptions.QiskitError: 'No unitary for experiment "&lt;qiskit.circuit.quantumcircuit.QuantumCircuit object at 0x0000021ED99C7510&gt;"'</t>
        </is>
      </c>
      <c r="CJ35" s="2" t="inlineStr">
        <is>
          <t>The LLM selected AerSimulator(method='unitary') but didn't add circ.save_unitary(), so the result holds no unitary ('No unitary for experiment'). Every other model passed (claude-opus-5-5, claude-sonnet-5-5, gpt-6.1-sol and gpt-6-astra added both).</t>
        </is>
      </c>
      <c r="CK35" s="2" t="inlineStr">
        <is>
          <t>KeyError</t>
        </is>
      </c>
      <c r="CL35" s="2" t="inlineStr">
        <is>
          <t>KeyError: 'unitary'; qiskit.exceptions.QiskitError: 'No unitary for experiment "&lt;qiskit.circuit.quantumcircuit.QuantumCircuit object at 0x000001870EE9DBD0&gt;"'</t>
        </is>
      </c>
      <c r="CM35" s="2" t="inlineStr">
        <is>
          <t>The LLM selected AerSimulator(method='unitary') but didn't add circ.save_unitary(), so the result holds no unitary ('No unitary for experiment'). Every other model passed (claude-opus-5-5, claude-sonnet-5-5, gpt-6.1-sol and gpt-6-astra added both).</t>
        </is>
      </c>
      <c r="CN35" s="2" t="inlineStr">
        <is>
          <t>KeyError</t>
        </is>
      </c>
      <c r="CO35" s="2" t="inlineStr">
        <is>
          <t>KeyError: 'unitary'; qiskit.exceptions.QiskitError: 'No unitary for experiment "&lt;qiskit.circuit.quantumcircuit.QuantumCircuit object at 0x00000275C3C2FC20&gt;"'</t>
        </is>
      </c>
      <c r="CP35" s="2" t="inlineStr">
        <is>
          <t>The LLM selected AerSimulator(method='unitary') but didn't add circ.save_unitary(), so the result holds no unitary ('No unitary for experiment'). Every other model passed (claude-opus-5-5, claude-sonnet-5-5, gpt-6.1-sol and gpt-6-astra added both).</t>
        </is>
      </c>
      <c r="CQ35" s="2" t="inlineStr">
        <is>
          <t>KeyError</t>
        </is>
      </c>
      <c r="CR35" s="2" t="inlineStr">
        <is>
          <t>KeyError: 'unitary'; qiskit.exceptions.QiskitError: 'No unitary for experiment "&lt;qiskit.circuit.quantumcircuit.QuantumCircuit object at 0x00000164345545F0&gt;"'</t>
        </is>
      </c>
      <c r="CS35" s="2" t="inlineStr">
        <is>
          <t>The LLM selected AerSimulator(method='unitary') but didn't add circ.save_unitary(), so the result holds no unitary ('No unitary for experiment'). Every other model passed (claude-opus-5-5, claude-sonnet-5-5, gpt-6.1-sol and gpt-6-astra added both).</t>
        </is>
      </c>
      <c r="CT35" s="2" t="inlineStr">
        <is>
          <t>KeyError</t>
        </is>
      </c>
      <c r="CU35" s="2" t="inlineStr">
        <is>
          <t>KeyError: 'unitary'; qiskit.exceptions.QiskitError: 'No unitary for experiment "&lt;qiskit.circuit.quantumcircuit.QuantumCircuit object at 0x000001D9CF1F03E0&gt;"'</t>
        </is>
      </c>
      <c r="CV35" s="2" t="inlineStr">
        <is>
          <t>The LLM selected AerSimulator(method='unitary') but didn't add circ.save_unitary(), so the result holds no unitary ('No unitary for experiment'). Every other model passed (claude-opus-5-5, claude-sonnet-5-5, gpt-6.1-sol and gpt-6-astra added both).</t>
        </is>
      </c>
      <c r="CW35" s="2" t="inlineStr">
        <is>
          <t>KeyError</t>
        </is>
      </c>
      <c r="CX35" s="2" t="inlineStr">
        <is>
          <t>KeyError: 'unitary'; qiskit.exceptions.QiskitError: 'No unitary for experiment "&lt;qiskit.circuit.quantumcircuit.QuantumCircuit object at 0x0000024682D68830&gt;"'</t>
        </is>
      </c>
      <c r="CY35" s="2" t="inlineStr">
        <is>
          <t>The LLM selected AerSimulator(method='unitary') but didn't add circ.save_unitary(), so the result holds no unitary ('No unitary for experiment'). Every other model passed (claude-opus-5-5, claude-sonnet-5-5, gpt-6.1-sol and gpt-6-astra added both).</t>
        </is>
      </c>
      <c r="CZ35" s="2" t="inlineStr">
        <is>
          <t>KeyError</t>
        </is>
      </c>
      <c r="DA35" s="2" t="inlineStr">
        <is>
          <t>KeyError: 'unitary'; qiskit.exceptions.QiskitError: 'No unitary for experiment "&lt;qiskit.circuit.quantumcircuit.QuantumCircuit object at 0x000001DEE34E8230&gt;"'</t>
        </is>
      </c>
      <c r="DB35" s="2" t="inlineStr">
        <is>
          <t>The LLM selected AerSimulator(method='unitary') but didn't add circ.save_unitary(), so the result holds no unitary ('No unitary for experiment'). Every other model passed (claude-opus-5-5, claude-sonnet-5-5, gpt-6.1-sol and gpt-6-astra added both).</t>
        </is>
      </c>
      <c r="DC35" s="2" t="inlineStr">
        <is>
          <t>KeyError</t>
        </is>
      </c>
      <c r="DD35" s="2" t="inlineStr">
        <is>
          <t>KeyError: 'unitary'; qiskit.exceptions.QiskitError: 'No unitary for experiment "&lt;qiskit.circuit.quantumcircuit.QuantumCircuit object at 0x000001DE5AC37380&gt;"'</t>
        </is>
      </c>
      <c r="DE35" s="2" t="inlineStr">
        <is>
          <t>The LLM selected AerSimulator(method='unitary') but didn't add circ.save_unitary(), so the result holds no unitary ('No unitary for experiment'). Every other model passed (claude-opus-5-5, claude-sonnet-5-5, gpt-6.1-sol and gpt-6-astra added both).</t>
        </is>
      </c>
    </row>
    <row r="36">
      <c r="A36" s="2" t="inlineStr">
        <is>
          <t>issue_596</t>
        </is>
      </c>
      <c r="B36" s="4" t="inlineStr">
        <is>
          <t>Passed on test</t>
        </is>
      </c>
      <c r="C36" s="4" t="inlineStr">
        <is>
          <t>Passed on test</t>
        </is>
      </c>
      <c r="D36" s="4" t="inlineStr">
        <is>
          <t>Passed on test</t>
        </is>
      </c>
      <c r="E36" s="4" t="inlineStr">
        <is>
          <t>Passed on test</t>
        </is>
      </c>
      <c r="F36" s="4" t="inlineStr">
        <is>
          <t>Passed on test</t>
        </is>
      </c>
      <c r="G36" s="4" t="inlineStr">
        <is>
          <t>Passed on test</t>
        </is>
      </c>
      <c r="H36" s="4" t="inlineStr">
        <is>
          <t>Passed on test</t>
        </is>
      </c>
      <c r="I36" s="4" t="inlineStr">
        <is>
          <t>Passed on test</t>
        </is>
      </c>
      <c r="J36" s="4" t="inlineStr">
        <is>
          <t>Passed on test</t>
        </is>
      </c>
      <c r="K36" s="4" t="inlineStr">
        <is>
          <t>Passed on test</t>
        </is>
      </c>
      <c r="L36" s="4" t="inlineStr">
        <is>
          <t>Passed on test</t>
        </is>
      </c>
      <c r="M36" s="4" t="inlineStr">
        <is>
          <t>Passed on test</t>
        </is>
      </c>
      <c r="N36" s="3" t="inlineStr">
        <is>
          <t>NOT_TESTED</t>
        </is>
      </c>
      <c r="O36" s="3" t="inlineStr">
        <is>
          <t>NOT_TESTED</t>
        </is>
      </c>
      <c r="P36" s="3" t="inlineStr">
        <is>
          <t>NOT_TESTED</t>
        </is>
      </c>
      <c r="Q36" s="3" t="inlineStr">
        <is>
          <t>NOT_TESTED</t>
        </is>
      </c>
      <c r="R36" s="3" t="inlineStr">
        <is>
          <t>NOT_TESTED</t>
        </is>
      </c>
      <c r="S36" s="3" t="inlineStr">
        <is>
          <t>NOT_TESTED</t>
        </is>
      </c>
      <c r="T36" s="3" t="inlineStr">
        <is>
          <t>NOT_TESTED</t>
        </is>
      </c>
      <c r="U36" s="3" t="inlineStr">
        <is>
          <t>NOT_TESTED</t>
        </is>
      </c>
      <c r="V36" s="3" t="inlineStr">
        <is>
          <t>NOT_TESTED</t>
        </is>
      </c>
      <c r="W36" s="3" t="inlineStr">
        <is>
          <t>NOT_TESTED</t>
        </is>
      </c>
      <c r="X36" s="3" t="inlineStr">
        <is>
          <t>NOT_TESTED</t>
        </is>
      </c>
      <c r="Y36" s="3" t="inlineStr">
        <is>
          <t>NOT_TESTED</t>
        </is>
      </c>
      <c r="Z36" s="3" t="inlineStr">
        <is>
          <t>NOT_TESTED</t>
        </is>
      </c>
      <c r="AA36" s="3" t="inlineStr">
        <is>
          <t>NOT_TESTED</t>
        </is>
      </c>
      <c r="AB36" s="3" t="inlineStr">
        <is>
          <t>NOT_TESTED</t>
        </is>
      </c>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row>
    <row r="37">
      <c r="A37" s="2" t="inlineStr">
        <is>
          <t>issue_600</t>
        </is>
      </c>
      <c r="B37" s="6" t="inlineStr">
        <is>
          <t>Runtime error</t>
        </is>
      </c>
      <c r="C37" s="6" t="inlineStr">
        <is>
          <t>Runtime error</t>
        </is>
      </c>
      <c r="D37" s="6" t="inlineStr">
        <is>
          <t>Runtime error</t>
        </is>
      </c>
      <c r="E37" s="6" t="inlineStr">
        <is>
          <t>Runtime error</t>
        </is>
      </c>
      <c r="F37" s="4" t="inlineStr">
        <is>
          <t>Passed on test</t>
        </is>
      </c>
      <c r="G37" s="4" t="inlineStr">
        <is>
          <t>Passed on test</t>
        </is>
      </c>
      <c r="H37" s="4" t="inlineStr">
        <is>
          <t>Passed on test</t>
        </is>
      </c>
      <c r="I37" s="4" t="inlineStr">
        <is>
          <t>Passed on test</t>
        </is>
      </c>
      <c r="J37" s="4" t="inlineStr">
        <is>
          <t>Passed on test</t>
        </is>
      </c>
      <c r="K37" s="4" t="inlineStr">
        <is>
          <t>Passed on test</t>
        </is>
      </c>
      <c r="L37" s="4" t="inlineStr">
        <is>
          <t>Passed on test</t>
        </is>
      </c>
      <c r="M37" s="4" t="inlineStr">
        <is>
          <t>Passed on test</t>
        </is>
      </c>
      <c r="N37" s="3" t="inlineStr">
        <is>
          <t>NOT_TESTED</t>
        </is>
      </c>
      <c r="O37" s="3" t="inlineStr">
        <is>
          <t>NOT_TESTED</t>
        </is>
      </c>
      <c r="P37" s="3" t="inlineStr">
        <is>
          <t>NOT_TESTED</t>
        </is>
      </c>
      <c r="Q37" s="3" t="inlineStr">
        <is>
          <t>NOT_TESTED</t>
        </is>
      </c>
      <c r="R37" s="3" t="inlineStr">
        <is>
          <t>NOT_TESTED</t>
        </is>
      </c>
      <c r="S37" s="3" t="inlineStr">
        <is>
          <t>NOT_TESTED</t>
        </is>
      </c>
      <c r="T37" s="3" t="inlineStr">
        <is>
          <t>NOT_TESTED</t>
        </is>
      </c>
      <c r="U37" s="3" t="inlineStr">
        <is>
          <t>NOT_TESTED</t>
        </is>
      </c>
      <c r="V37" s="3" t="inlineStr">
        <is>
          <t>NOT_TESTED</t>
        </is>
      </c>
      <c r="W37" s="3" t="inlineStr">
        <is>
          <t>NOT_TESTED</t>
        </is>
      </c>
      <c r="X37" s="3" t="inlineStr">
        <is>
          <t>NOT_TESTED</t>
        </is>
      </c>
      <c r="Y37" s="3" t="inlineStr">
        <is>
          <t>NOT_TESTED</t>
        </is>
      </c>
      <c r="Z37" s="3" t="inlineStr">
        <is>
          <t>NOT_TESTED</t>
        </is>
      </c>
      <c r="AA37" s="3" t="inlineStr">
        <is>
          <t>NOT_TESTED</t>
        </is>
      </c>
      <c r="AB37" s="3" t="inlineStr">
        <is>
          <t>NOT_TESTED</t>
        </is>
      </c>
      <c r="AC37" s="2" t="inlineStr">
        <is>
          <t>ImportError</t>
        </is>
      </c>
      <c r="AD37" s="2" t="inlineStr">
        <is>
          <t>ImportError: cannot import name 'PauliGate' from 'qiskit.circuit.library' (C:\qiskit_envs\q0250\lib\site-packages\qiskit\circuit\library\__init__.py)</t>
        </is>
      </c>
      <c r="AE37" s="2" t="inlineStr">
        <is>
          <t>Error on 0.25.x, passed on 0.45.x / 0.46.x: the LLM replaced PauliGate(...).power(param) with RXXGate / RYYGate / RZZGate(pi * param), which is correct up to a global phase, but kept the PauliGate import, which doesn't exist in Qiskit 0.25 (ImportError). Same code as claude-sonnet-5-5, claude-opus-5-5 and gpt-6-luna; gpt-6.1-sol and gpt-6-astra removed the import and passed on all 12 versions.</t>
        </is>
      </c>
      <c r="AF37" s="2" t="inlineStr">
        <is>
          <t>ImportError</t>
        </is>
      </c>
      <c r="AG37" s="2" t="inlineStr">
        <is>
          <t>ImportError: cannot import name 'PauliGate' from 'qiskit.circuit.library' (C:\qiskit_envs\q0251\lib\site-packages\qiskit\circuit\library\__init__.py)</t>
        </is>
      </c>
      <c r="AH37" s="2" t="inlineStr">
        <is>
          <t>Error on 0.25.x, passed on 0.45.x / 0.46.x: the LLM replaced PauliGate(...).power(param) with RXXGate / RYYGate / RZZGate(pi * param), which is correct up to a global phase, but kept the PauliGate import, which doesn't exist in Qiskit 0.25 (ImportError). Same code as claude-sonnet-5-5, claude-opus-5-5 and gpt-6-luna; gpt-6.1-sol and gpt-6-astra removed the import and passed on all 12 versions.</t>
        </is>
      </c>
      <c r="AI37" s="2" t="inlineStr">
        <is>
          <t>ImportError</t>
        </is>
      </c>
      <c r="AJ37" s="2" t="inlineStr">
        <is>
          <t>ImportError: cannot import name 'PauliGate' from 'qiskit.circuit.library' (C:\qiskit_envs\q0252\lib\site-packages\qiskit\circuit\library\__init__.py)</t>
        </is>
      </c>
      <c r="AK37" s="2" t="inlineStr">
        <is>
          <t>Error on 0.25.x, passed on 0.45.x / 0.46.x: the LLM replaced PauliGate(...).power(param) with RXXGate / RYYGate / RZZGate(pi * param), which is correct up to a global phase, but kept the PauliGate import, which doesn't exist in Qiskit 0.25 (ImportError). Same code as claude-sonnet-5-5, claude-opus-5-5 and gpt-6-luna; gpt-6.1-sol and gpt-6-astra removed the import and passed on all 12 versions.</t>
        </is>
      </c>
      <c r="AL37" s="2" t="inlineStr">
        <is>
          <t>ImportError</t>
        </is>
      </c>
      <c r="AM37" s="2" t="inlineStr">
        <is>
          <t>ImportError: cannot import name 'PauliGate' from 'qiskit.circuit.library' (C:\qiskit_envs\q0253\lib\site-packages\qiskit\circuit\library\__init__.py)</t>
        </is>
      </c>
      <c r="AN37" s="2" t="inlineStr">
        <is>
          <t>Error on 0.25.x, passed on 0.45.x / 0.46.x: the LLM replaced PauliGate(...).power(param) with RXXGate / RYYGate / RZZGate(pi * param), which is correct up to a global phase, but kept the PauliGate import, which doesn't exist in Qiskit 0.25 (ImportError). Same code as claude-sonnet-5-5, claude-opus-5-5 and gpt-6-luna; gpt-6.1-sol and gpt-6-astra removed the import and passed on all 12 versions.</t>
        </is>
      </c>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row>
    <row r="38">
      <c r="A38" s="2" t="inlineStr">
        <is>
          <t>issue_622</t>
        </is>
      </c>
      <c r="B38" s="4" t="inlineStr">
        <is>
          <t>Passed on test</t>
        </is>
      </c>
      <c r="C38" s="4" t="inlineStr">
        <is>
          <t>Passed on test</t>
        </is>
      </c>
      <c r="D38" s="4" t="inlineStr">
        <is>
          <t>Passed on test</t>
        </is>
      </c>
      <c r="E38" s="4" t="inlineStr">
        <is>
          <t>Passed on test</t>
        </is>
      </c>
      <c r="F38" s="4" t="inlineStr">
        <is>
          <t>Passed on test</t>
        </is>
      </c>
      <c r="G38" s="4" t="inlineStr">
        <is>
          <t>Passed on test</t>
        </is>
      </c>
      <c r="H38" s="4" t="inlineStr">
        <is>
          <t>Passed on test</t>
        </is>
      </c>
      <c r="I38" s="4" t="inlineStr">
        <is>
          <t>Passed on test</t>
        </is>
      </c>
      <c r="J38" s="4" t="inlineStr">
        <is>
          <t>Passed on test</t>
        </is>
      </c>
      <c r="K38" s="4" t="inlineStr">
        <is>
          <t>Passed on test</t>
        </is>
      </c>
      <c r="L38" s="4" t="inlineStr">
        <is>
          <t>Passed on test</t>
        </is>
      </c>
      <c r="M38" s="4" t="inlineStr">
        <is>
          <t>Passed on test</t>
        </is>
      </c>
      <c r="N38" s="3" t="inlineStr">
        <is>
          <t>NOT_TESTED</t>
        </is>
      </c>
      <c r="O38" s="3" t="inlineStr">
        <is>
          <t>NOT_TESTED</t>
        </is>
      </c>
      <c r="P38" s="3" t="inlineStr">
        <is>
          <t>NOT_TESTED</t>
        </is>
      </c>
      <c r="Q38" s="3" t="inlineStr">
        <is>
          <t>NOT_TESTED</t>
        </is>
      </c>
      <c r="R38" s="3" t="inlineStr">
        <is>
          <t>NOT_TESTED</t>
        </is>
      </c>
      <c r="S38" s="3" t="inlineStr">
        <is>
          <t>NOT_TESTED</t>
        </is>
      </c>
      <c r="T38" s="3" t="inlineStr">
        <is>
          <t>NOT_TESTED</t>
        </is>
      </c>
      <c r="U38" s="3" t="inlineStr">
        <is>
          <t>NOT_TESTED</t>
        </is>
      </c>
      <c r="V38" s="3" t="inlineStr">
        <is>
          <t>NOT_TESTED</t>
        </is>
      </c>
      <c r="W38" s="3" t="inlineStr">
        <is>
          <t>NOT_TESTED</t>
        </is>
      </c>
      <c r="X38" s="3" t="inlineStr">
        <is>
          <t>NOT_TESTED</t>
        </is>
      </c>
      <c r="Y38" s="3" t="inlineStr">
        <is>
          <t>NOT_TESTED</t>
        </is>
      </c>
      <c r="Z38" s="3" t="inlineStr">
        <is>
          <t>NOT_TESTED</t>
        </is>
      </c>
      <c r="AA38" s="3" t="inlineStr">
        <is>
          <t>NOT_TESTED</t>
        </is>
      </c>
      <c r="AB38" s="3" t="inlineStr">
        <is>
          <t>NOT_TESTED</t>
        </is>
      </c>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row>
    <row r="39">
      <c r="A39" s="2" t="inlineStr">
        <is>
          <t>issue_624</t>
        </is>
      </c>
      <c r="B39" s="6" t="inlineStr">
        <is>
          <t>Runtime error</t>
        </is>
      </c>
      <c r="C39" s="6" t="inlineStr">
        <is>
          <t>Runtime error</t>
        </is>
      </c>
      <c r="D39" s="6" t="inlineStr">
        <is>
          <t>Runtime error</t>
        </is>
      </c>
      <c r="E39" s="6" t="inlineStr">
        <is>
          <t>Runtime error</t>
        </is>
      </c>
      <c r="F39" s="6" t="inlineStr">
        <is>
          <t>Runtime error</t>
        </is>
      </c>
      <c r="G39" s="6" t="inlineStr">
        <is>
          <t>Runtime error</t>
        </is>
      </c>
      <c r="H39" s="6" t="inlineStr">
        <is>
          <t>Runtime error</t>
        </is>
      </c>
      <c r="I39" s="6" t="inlineStr">
        <is>
          <t>Runtime error</t>
        </is>
      </c>
      <c r="J39" s="6" t="inlineStr">
        <is>
          <t>Runtime error</t>
        </is>
      </c>
      <c r="K39" s="6" t="inlineStr">
        <is>
          <t>Runtime error</t>
        </is>
      </c>
      <c r="L39" s="6" t="inlineStr">
        <is>
          <t>Runtime error</t>
        </is>
      </c>
      <c r="M39" s="6" t="inlineStr">
        <is>
          <t>Runtime error</t>
        </is>
      </c>
      <c r="N39" s="3" t="inlineStr">
        <is>
          <t>NOT_TESTED</t>
        </is>
      </c>
      <c r="O39" s="3" t="inlineStr">
        <is>
          <t>NOT_TESTED</t>
        </is>
      </c>
      <c r="P39" s="3" t="inlineStr">
        <is>
          <t>NOT_TESTED</t>
        </is>
      </c>
      <c r="Q39" s="3" t="inlineStr">
        <is>
          <t>NOT_TESTED</t>
        </is>
      </c>
      <c r="R39" s="3" t="inlineStr">
        <is>
          <t>NOT_TESTED</t>
        </is>
      </c>
      <c r="S39" s="3" t="inlineStr">
        <is>
          <t>NOT_TESTED</t>
        </is>
      </c>
      <c r="T39" s="3" t="inlineStr">
        <is>
          <t>NOT_TESTED</t>
        </is>
      </c>
      <c r="U39" s="3" t="inlineStr">
        <is>
          <t>NOT_TESTED</t>
        </is>
      </c>
      <c r="V39" s="3" t="inlineStr">
        <is>
          <t>NOT_TESTED</t>
        </is>
      </c>
      <c r="W39" s="3" t="inlineStr">
        <is>
          <t>NOT_TESTED</t>
        </is>
      </c>
      <c r="X39" s="3" t="inlineStr">
        <is>
          <t>NOT_TESTED</t>
        </is>
      </c>
      <c r="Y39" s="3" t="inlineStr">
        <is>
          <t>NOT_TESTED</t>
        </is>
      </c>
      <c r="Z39" s="3" t="inlineStr">
        <is>
          <t>NOT_TESTED</t>
        </is>
      </c>
      <c r="AA39" s="3" t="inlineStr">
        <is>
          <t>NOT_TESTED</t>
        </is>
      </c>
      <c r="AB39" s="3" t="inlineStr">
        <is>
          <t>NOT_TESTED</t>
        </is>
      </c>
      <c r="AC39" s="2" t="inlineStr">
        <is>
          <t>QiskitError</t>
        </is>
      </c>
      <c r="AD39" s="2" t="inlineStr">
        <is>
          <t>qiskit.exceptions.QiskitError: 'Invalid input data for PauliTable.'</t>
        </is>
      </c>
      <c r="AE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F39" s="2" t="inlineStr">
        <is>
          <t>QiskitError</t>
        </is>
      </c>
      <c r="AG39" s="2" t="inlineStr">
        <is>
          <t>qiskit.exceptions.QiskitError: 'Invalid input data for PauliTable.'</t>
        </is>
      </c>
      <c r="AH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I39" s="2" t="inlineStr">
        <is>
          <t>QiskitError</t>
        </is>
      </c>
      <c r="AJ39" s="2" t="inlineStr">
        <is>
          <t>qiskit.exceptions.QiskitError: 'Invalid input data for PauliTable.'</t>
        </is>
      </c>
      <c r="AK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L39" s="2" t="inlineStr">
        <is>
          <t>QiskitError</t>
        </is>
      </c>
      <c r="AM39" s="2" t="inlineStr">
        <is>
          <t>qiskit.exceptions.QiskitError: 'Invalid input data for PauliTable.'</t>
        </is>
      </c>
      <c r="AN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O39" s="2" t="inlineStr">
        <is>
          <t>AttributeError</t>
        </is>
      </c>
      <c r="AP39" s="2" t="inlineStr">
        <is>
          <t>AttributeError: 'SparsePauliOp' object has no attribute 'primitive_strings'</t>
        </is>
      </c>
      <c r="AQ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R39" s="2" t="inlineStr">
        <is>
          <t>AttributeError</t>
        </is>
      </c>
      <c r="AS39" s="2" t="inlineStr">
        <is>
          <t>AttributeError: 'SparsePauliOp' object has no attribute 'primitive_strings'</t>
        </is>
      </c>
      <c r="AT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U39" s="2" t="inlineStr">
        <is>
          <t>AttributeError</t>
        </is>
      </c>
      <c r="AV39" s="2" t="inlineStr">
        <is>
          <t>AttributeError: 'SparsePauliOp' object has no attribute 'primitive_strings'</t>
        </is>
      </c>
      <c r="AW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AX39" s="2" t="inlineStr">
        <is>
          <t>AttributeError</t>
        </is>
      </c>
      <c r="AY39" s="2" t="inlineStr">
        <is>
          <t>AttributeError: 'SparsePauliOp' object has no attribute 'primitive_strings'</t>
        </is>
      </c>
      <c r="AZ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BA39" s="2" t="inlineStr">
        <is>
          <t>AttributeError</t>
        </is>
      </c>
      <c r="BB39" s="2" t="inlineStr">
        <is>
          <t>AttributeError: 'SparsePauliOp' object has no attribute 'primitive_strings'</t>
        </is>
      </c>
      <c r="BC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BD39" s="2" t="inlineStr">
        <is>
          <t>AttributeError</t>
        </is>
      </c>
      <c r="BE39" s="2" t="inlineStr">
        <is>
          <t>AttributeError: 'SparsePauliOp' object has no attribute 'primitive_strings'</t>
        </is>
      </c>
      <c r="BF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BG39" s="2" t="inlineStr">
        <is>
          <t>AttributeError</t>
        </is>
      </c>
      <c r="BH39" s="2" t="inlineStr">
        <is>
          <t>AttributeError: 'SparsePauliOp' object has no attribute 'primitive_strings'</t>
        </is>
      </c>
      <c r="BI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BJ39" s="2" t="inlineStr">
        <is>
          <t>AttributeError</t>
        </is>
      </c>
      <c r="BK39" s="2" t="inlineStr">
        <is>
          <t>AttributeError: 'SparsePauliOp' object has no attribute 'primitive_strings'</t>
        </is>
      </c>
      <c r="BL39" s="2"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row>
    <row r="40">
      <c r="A40" s="2" t="inlineStr">
        <is>
          <t>issue_635</t>
        </is>
      </c>
      <c r="B40" s="6" t="inlineStr">
        <is>
          <t>Runtime error</t>
        </is>
      </c>
      <c r="C40" s="6" t="inlineStr">
        <is>
          <t>Runtime error</t>
        </is>
      </c>
      <c r="D40" s="6" t="inlineStr">
        <is>
          <t>Runtime error</t>
        </is>
      </c>
      <c r="E40" s="6" t="inlineStr">
        <is>
          <t>Runtime error</t>
        </is>
      </c>
      <c r="F40" s="3" t="inlineStr">
        <is>
          <t>NOT_TESTED</t>
        </is>
      </c>
      <c r="G40" s="3" t="inlineStr">
        <is>
          <t>NOT_TESTED</t>
        </is>
      </c>
      <c r="H40" s="3" t="inlineStr">
        <is>
          <t>NOT_TESTED</t>
        </is>
      </c>
      <c r="I40" s="3" t="inlineStr">
        <is>
          <t>NOT_TESTED</t>
        </is>
      </c>
      <c r="J40" s="3" t="inlineStr">
        <is>
          <t>NOT_TESTED</t>
        </is>
      </c>
      <c r="K40" s="3" t="inlineStr">
        <is>
          <t>NOT_TESTED</t>
        </is>
      </c>
      <c r="L40" s="3" t="inlineStr">
        <is>
          <t>NOT_TESTED</t>
        </is>
      </c>
      <c r="M40" s="3" t="inlineStr">
        <is>
          <t>NOT_TESTED</t>
        </is>
      </c>
      <c r="N40" s="3" t="inlineStr">
        <is>
          <t>NOT_TESTED</t>
        </is>
      </c>
      <c r="O40" s="3" t="inlineStr">
        <is>
          <t>NOT_TESTED</t>
        </is>
      </c>
      <c r="P40" s="3" t="inlineStr">
        <is>
          <t>NOT_TESTED</t>
        </is>
      </c>
      <c r="Q40" s="3" t="inlineStr">
        <is>
          <t>NOT_TESTED</t>
        </is>
      </c>
      <c r="R40" s="3" t="inlineStr">
        <is>
          <t>NOT_TESTED</t>
        </is>
      </c>
      <c r="S40" s="3" t="inlineStr">
        <is>
          <t>NOT_TESTED</t>
        </is>
      </c>
      <c r="T40" s="3" t="inlineStr">
        <is>
          <t>NOT_TESTED</t>
        </is>
      </c>
      <c r="U40" s="3" t="inlineStr">
        <is>
          <t>NOT_TESTED</t>
        </is>
      </c>
      <c r="V40" s="3" t="inlineStr">
        <is>
          <t>NOT_TESTED</t>
        </is>
      </c>
      <c r="W40" s="3" t="inlineStr">
        <is>
          <t>NOT_TESTED</t>
        </is>
      </c>
      <c r="X40" s="3" t="inlineStr">
        <is>
          <t>NOT_TESTED</t>
        </is>
      </c>
      <c r="Y40" s="3" t="inlineStr">
        <is>
          <t>NOT_TESTED</t>
        </is>
      </c>
      <c r="Z40" s="3" t="inlineStr">
        <is>
          <t>NOT_TESTED</t>
        </is>
      </c>
      <c r="AA40" s="3" t="inlineStr">
        <is>
          <t>NOT_TESTED</t>
        </is>
      </c>
      <c r="AB40" s="3" t="inlineStr">
        <is>
          <t>NOT_TESTED</t>
        </is>
      </c>
      <c r="AC40" s="2" t="inlineStr">
        <is>
          <t>ModuleNotFoundError</t>
        </is>
      </c>
      <c r="AD40" s="2" t="inlineStr">
        <is>
          <t>ModuleNotFoundError: No module named 'qiskit_aer'</t>
        </is>
      </c>
      <c r="AE40" s="2" t="inlineStr">
        <is>
          <t>The LLM didn't touch the c_if conditions the question is about; it only replaced execute() with backend.run(transpile(...)) and moved Aer to qiskit_aer, and the Aer 0.8 that comes with Qiskit 0.25, the only versions this case runs on, can only be imported as qiskit.providers.aer (ModuleNotFoundError). gpt-6.1-sol is the only model that passes this case.</t>
        </is>
      </c>
      <c r="AF40" s="2" t="inlineStr">
        <is>
          <t>ModuleNotFoundError</t>
        </is>
      </c>
      <c r="AG40" s="2" t="inlineStr">
        <is>
          <t>ModuleNotFoundError: No module named 'qiskit_aer'</t>
        </is>
      </c>
      <c r="AH40" s="2" t="inlineStr">
        <is>
          <t>The LLM didn't touch the c_if conditions the question is about; it only replaced execute() with backend.run(transpile(...)) and moved Aer to qiskit_aer, and the Aer 0.8 that comes with Qiskit 0.25, the only versions this case runs on, can only be imported as qiskit.providers.aer (ModuleNotFoundError). gpt-6.1-sol is the only model that passes this case.</t>
        </is>
      </c>
      <c r="AI40" s="2" t="inlineStr">
        <is>
          <t>ModuleNotFoundError</t>
        </is>
      </c>
      <c r="AJ40" s="2" t="inlineStr">
        <is>
          <t>ModuleNotFoundError: No module named 'qiskit_aer'</t>
        </is>
      </c>
      <c r="AK40" s="2" t="inlineStr">
        <is>
          <t>The LLM didn't touch the c_if conditions the question is about; it only replaced execute() with backend.run(transpile(...)) and moved Aer to qiskit_aer, and the Aer 0.8 that comes with Qiskit 0.25, the only versions this case runs on, can only be imported as qiskit.providers.aer (ModuleNotFoundError). gpt-6.1-sol is the only model that passes this case.</t>
        </is>
      </c>
      <c r="AL40" s="2" t="inlineStr">
        <is>
          <t>ModuleNotFoundError</t>
        </is>
      </c>
      <c r="AM40" s="2" t="inlineStr">
        <is>
          <t>ModuleNotFoundError: No module named 'qiskit_aer'</t>
        </is>
      </c>
      <c r="AN40" s="2" t="inlineStr">
        <is>
          <t>The LLM didn't touch the c_if conditions the question is about; it only replaced execute() with backend.run(transpile(...)) and moved Aer to qiskit_aer, and the Aer 0.8 that comes with Qiskit 0.25, the only versions this case runs on, can only be imported as qiskit.providers.aer (ModuleNotFoundError). gpt-6.1-sol is the only model that passes this case.</t>
        </is>
      </c>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row>
    <row r="41">
      <c r="A41" s="2" t="inlineStr">
        <is>
          <t>issue_662</t>
        </is>
      </c>
      <c r="B41" s="3" t="inlineStr">
        <is>
          <t>NOT_TESTED</t>
        </is>
      </c>
      <c r="C41" s="3" t="inlineStr">
        <is>
          <t>NOT_TESTED</t>
        </is>
      </c>
      <c r="D41" s="3" t="inlineStr">
        <is>
          <t>NOT_TESTED</t>
        </is>
      </c>
      <c r="E41" s="3" t="inlineStr">
        <is>
          <t>NOT_TESTED</t>
        </is>
      </c>
      <c r="F41" s="6" t="inlineStr">
        <is>
          <t>Runtime error</t>
        </is>
      </c>
      <c r="G41" s="6" t="inlineStr">
        <is>
          <t>Runtime error</t>
        </is>
      </c>
      <c r="H41" s="6" t="inlineStr">
        <is>
          <t>Runtime error</t>
        </is>
      </c>
      <c r="I41" s="6" t="inlineStr">
        <is>
          <t>Runtime error</t>
        </is>
      </c>
      <c r="J41" s="6" t="inlineStr">
        <is>
          <t>Runtime error</t>
        </is>
      </c>
      <c r="K41" s="6" t="inlineStr">
        <is>
          <t>Runtime error</t>
        </is>
      </c>
      <c r="L41" s="6" t="inlineStr">
        <is>
          <t>Runtime error</t>
        </is>
      </c>
      <c r="M41" s="6" t="inlineStr">
        <is>
          <t>Runtime error</t>
        </is>
      </c>
      <c r="N41" s="6" t="inlineStr">
        <is>
          <t>Runtime error</t>
        </is>
      </c>
      <c r="O41" s="6" t="inlineStr">
        <is>
          <t>Runtime error</t>
        </is>
      </c>
      <c r="P41" s="6" t="inlineStr">
        <is>
          <t>Runtime error</t>
        </is>
      </c>
      <c r="Q41" s="6" t="inlineStr">
        <is>
          <t>Runtime error</t>
        </is>
      </c>
      <c r="R41" s="6" t="inlineStr">
        <is>
          <t>Runtime error</t>
        </is>
      </c>
      <c r="S41" s="6" t="inlineStr">
        <is>
          <t>Runtime error</t>
        </is>
      </c>
      <c r="T41" s="6" t="inlineStr">
        <is>
          <t>Runtime error</t>
        </is>
      </c>
      <c r="U41" s="6" t="inlineStr">
        <is>
          <t>Runtime error</t>
        </is>
      </c>
      <c r="V41" s="6" t="inlineStr">
        <is>
          <t>Runtime error</t>
        </is>
      </c>
      <c r="W41" s="6" t="inlineStr">
        <is>
          <t>Runtime error</t>
        </is>
      </c>
      <c r="X41" s="6" t="inlineStr">
        <is>
          <t>Runtime error</t>
        </is>
      </c>
      <c r="Y41" s="6" t="inlineStr">
        <is>
          <t>Runtime error</t>
        </is>
      </c>
      <c r="Z41" s="6" t="inlineStr">
        <is>
          <t>Runtime error</t>
        </is>
      </c>
      <c r="AA41" s="6" t="inlineStr">
        <is>
          <t>Runtime error</t>
        </is>
      </c>
      <c r="AB41" s="6" t="inlineStr">
        <is>
          <t>Runtime error</t>
        </is>
      </c>
      <c r="AC41" s="2" t="n"/>
      <c r="AD41" s="2" t="n"/>
      <c r="AE41" s="2" t="n"/>
      <c r="AF41" s="2" t="n"/>
      <c r="AG41" s="2" t="n"/>
      <c r="AH41" s="2" t="n"/>
      <c r="AI41" s="2" t="n"/>
      <c r="AJ41" s="2" t="n"/>
      <c r="AK41" s="2" t="n"/>
      <c r="AL41" s="2" t="n"/>
      <c r="AM41" s="2" t="n"/>
      <c r="AN41" s="2" t="n"/>
      <c r="AO41" s="2" t="inlineStr">
        <is>
          <t>AttributeError</t>
        </is>
      </c>
      <c r="AP41" s="2" t="inlineStr">
        <is>
          <t>AttributeError: 'DAGOpNode' object has no attribute 'type'</t>
        </is>
      </c>
      <c r="AQ41" s="2" t="inlineStr">
        <is>
          <t>The LLM switched the loop to dag.op_nodes() to count every gate, but kept the buggy code's node.type check, and DAGOpNode no longer has a type attribute (AttributeError). Same code as both luna models; the other models passed.</t>
        </is>
      </c>
      <c r="AR41" s="2" t="inlineStr">
        <is>
          <t>AttributeError</t>
        </is>
      </c>
      <c r="AS41" s="2" t="inlineStr">
        <is>
          <t>AttributeError: 'DAGOpNode' object has no attribute 'type'</t>
        </is>
      </c>
      <c r="AT41" s="2" t="inlineStr">
        <is>
          <t>The LLM switched the loop to dag.op_nodes() to count every gate, but kept the buggy code's node.type check, and DAGOpNode no longer has a type attribute (AttributeError). Same code as both luna models; the other models passed.</t>
        </is>
      </c>
      <c r="AU41" s="2" t="inlineStr">
        <is>
          <t>AttributeError</t>
        </is>
      </c>
      <c r="AV41" s="2" t="inlineStr">
        <is>
          <t>AttributeError: 'DAGOpNode' object has no attribute 'type'</t>
        </is>
      </c>
      <c r="AW41" s="2" t="inlineStr">
        <is>
          <t>The LLM switched the loop to dag.op_nodes() to count every gate, but kept the buggy code's node.type check, and DAGOpNode no longer has a type attribute (AttributeError). Same code as both luna models; the other models passed.</t>
        </is>
      </c>
      <c r="AX41" s="2" t="inlineStr">
        <is>
          <t>AttributeError</t>
        </is>
      </c>
      <c r="AY41" s="2" t="inlineStr">
        <is>
          <t>AttributeError: 'DAGOpNode' object has no attribute 'type'</t>
        </is>
      </c>
      <c r="AZ41" s="2" t="inlineStr">
        <is>
          <t>The LLM switched the loop to dag.op_nodes() to count every gate, but kept the buggy code's node.type check, and DAGOpNode no longer has a type attribute (AttributeError). Same code as both luna models; the other models passed.</t>
        </is>
      </c>
      <c r="BA41" s="2" t="inlineStr">
        <is>
          <t>AttributeError</t>
        </is>
      </c>
      <c r="BB41" s="2" t="inlineStr">
        <is>
          <t>AttributeError: 'DAGOpNode' object has no attribute 'type'</t>
        </is>
      </c>
      <c r="BC41" s="2" t="inlineStr">
        <is>
          <t>The LLM switched the loop to dag.op_nodes() to count every gate, but kept the buggy code's node.type check, and DAGOpNode no longer has a type attribute (AttributeError). Same code as both luna models; the other models passed.</t>
        </is>
      </c>
      <c r="BD41" s="2" t="inlineStr">
        <is>
          <t>AttributeError</t>
        </is>
      </c>
      <c r="BE41" s="2" t="inlineStr">
        <is>
          <t>AttributeError: 'DAGOpNode' object has no attribute 'type'</t>
        </is>
      </c>
      <c r="BF41" s="2" t="inlineStr">
        <is>
          <t>The LLM switched the loop to dag.op_nodes() to count every gate, but kept the buggy code's node.type check, and DAGOpNode no longer has a type attribute (AttributeError). Same code as both luna models; the other models passed.</t>
        </is>
      </c>
      <c r="BG41" s="2" t="inlineStr">
        <is>
          <t>AttributeError</t>
        </is>
      </c>
      <c r="BH41" s="2" t="inlineStr">
        <is>
          <t>AttributeError: 'DAGOpNode' object has no attribute 'type'</t>
        </is>
      </c>
      <c r="BI41" s="2" t="inlineStr">
        <is>
          <t>The LLM switched the loop to dag.op_nodes() to count every gate, but kept the buggy code's node.type check, and DAGOpNode no longer has a type attribute (AttributeError). Same code as both luna models; the other models passed.</t>
        </is>
      </c>
      <c r="BJ41" s="2" t="inlineStr">
        <is>
          <t>AttributeError</t>
        </is>
      </c>
      <c r="BK41" s="2" t="inlineStr">
        <is>
          <t>AttributeError: 'DAGOpNode' object has no attribute 'type'</t>
        </is>
      </c>
      <c r="BL41" s="2" t="inlineStr">
        <is>
          <t>The LLM switched the loop to dag.op_nodes() to count every gate, but kept the buggy code's node.type check, and DAGOpNode no longer has a type attribute (AttributeError). Same code as both luna models; the other models passed.</t>
        </is>
      </c>
      <c r="BM41" s="2" t="inlineStr">
        <is>
          <t>AttributeError</t>
        </is>
      </c>
      <c r="BN41" s="2" t="inlineStr">
        <is>
          <t>AttributeError: 'DAGOpNode' object has no attribute 'type'</t>
        </is>
      </c>
      <c r="BO41" s="2" t="inlineStr">
        <is>
          <t>The LLM switched the loop to dag.op_nodes() to count every gate, but kept the buggy code's node.type check, and DAGOpNode no longer has a type attribute (AttributeError). Same code as both luna models; the other models passed.</t>
        </is>
      </c>
      <c r="BP41" s="2" t="inlineStr">
        <is>
          <t>AttributeError</t>
        </is>
      </c>
      <c r="BQ41" s="2" t="inlineStr">
        <is>
          <t>AttributeError: 'DAGOpNode' object has no attribute 'type'</t>
        </is>
      </c>
      <c r="BR41" s="2" t="inlineStr">
        <is>
          <t>The LLM switched the loop to dag.op_nodes() to count every gate, but kept the buggy code's node.type check, and DAGOpNode no longer has a type attribute (AttributeError). Same code as both luna models; the other models passed.</t>
        </is>
      </c>
      <c r="BS41" s="2" t="inlineStr">
        <is>
          <t>AttributeError</t>
        </is>
      </c>
      <c r="BT41" s="2" t="inlineStr">
        <is>
          <t>AttributeError: 'DAGOpNode' object has no attribute 'type'</t>
        </is>
      </c>
      <c r="BU41" s="2" t="inlineStr">
        <is>
          <t>The LLM switched the loop to dag.op_nodes() to count every gate, but kept the buggy code's node.type check, and DAGOpNode no longer has a type attribute (AttributeError). Same code as both luna models; the other models passed.</t>
        </is>
      </c>
      <c r="BV41" s="2" t="inlineStr">
        <is>
          <t>AttributeError</t>
        </is>
      </c>
      <c r="BW41" s="2" t="inlineStr">
        <is>
          <t>AttributeError: 'DAGOpNode' object has no attribute 'type'</t>
        </is>
      </c>
      <c r="BX41" s="2" t="inlineStr">
        <is>
          <t>The LLM switched the loop to dag.op_nodes() to count every gate, but kept the buggy code's node.type check, and DAGOpNode no longer has a type attribute (AttributeError). Same code as both luna models; the other models passed.</t>
        </is>
      </c>
      <c r="BY41" s="2" t="inlineStr">
        <is>
          <t>AttributeError</t>
        </is>
      </c>
      <c r="BZ41" s="2" t="inlineStr">
        <is>
          <t>AttributeError: 'DAGOpNode' object has no attribute 'type'</t>
        </is>
      </c>
      <c r="CA41" s="2" t="inlineStr">
        <is>
          <t>The LLM switched the loop to dag.op_nodes() to count every gate, but kept the buggy code's node.type check, and DAGOpNode no longer has a type attribute (AttributeError). Same code as both luna models; the other models passed.</t>
        </is>
      </c>
      <c r="CB41" s="2" t="inlineStr">
        <is>
          <t>AttributeError</t>
        </is>
      </c>
      <c r="CC41" s="2" t="inlineStr">
        <is>
          <t>AttributeError: 'DAGOpNode' object has no attribute 'type'</t>
        </is>
      </c>
      <c r="CD41" s="2" t="inlineStr">
        <is>
          <t>The LLM switched the loop to dag.op_nodes() to count every gate, but kept the buggy code's node.type check, and DAGOpNode no longer has a type attribute (AttributeError). Same code as both luna models; the other models passed.</t>
        </is>
      </c>
      <c r="CE41" s="2" t="inlineStr">
        <is>
          <t>AttributeError</t>
        </is>
      </c>
      <c r="CF41" s="2" t="inlineStr">
        <is>
          <t>AttributeError: 'qiskit._accelerate.circuit.DAGOpNode' object has no attribute 'type'</t>
        </is>
      </c>
      <c r="CG41" s="2" t="inlineStr">
        <is>
          <t>The LLM switched the loop to dag.op_nodes() to count every gate, but kept the buggy code's node.type check, and DAGOpNode no longer has a type attribute (AttributeError). Same code as both luna models; the other models passed.</t>
        </is>
      </c>
      <c r="CH41" s="2" t="inlineStr">
        <is>
          <t>AttributeError</t>
        </is>
      </c>
      <c r="CI41" s="2" t="inlineStr">
        <is>
          <t>AttributeError: 'qiskit._accelerate.circuit.DAGOpNode' object has no attribute 'type'</t>
        </is>
      </c>
      <c r="CJ41" s="2" t="inlineStr">
        <is>
          <t>The LLM switched the loop to dag.op_nodes() to count every gate, but kept the buggy code's node.type check, and DAGOpNode no longer has a type attribute (AttributeError). Same code as both luna models; the other models passed.</t>
        </is>
      </c>
      <c r="CK41" s="2" t="inlineStr">
        <is>
          <t>AttributeError</t>
        </is>
      </c>
      <c r="CL41" s="2" t="inlineStr">
        <is>
          <t>AttributeError: 'qiskit._accelerate.circuit.DAGOpNode' object has no attribute 'type'</t>
        </is>
      </c>
      <c r="CM41" s="2" t="inlineStr">
        <is>
          <t>The LLM switched the loop to dag.op_nodes() to count every gate, but kept the buggy code's node.type check, and DAGOpNode no longer has a type attribute (AttributeError). Same code as both luna models; the other models passed.</t>
        </is>
      </c>
      <c r="CN41" s="2" t="inlineStr">
        <is>
          <t>AttributeError</t>
        </is>
      </c>
      <c r="CO41" s="2" t="inlineStr">
        <is>
          <t>AttributeError: 'qiskit._accelerate.circuit.DAGOpNode' object has no attribute 'type'</t>
        </is>
      </c>
      <c r="CP41" s="2" t="inlineStr">
        <is>
          <t>The LLM switched the loop to dag.op_nodes() to count every gate, but kept the buggy code's node.type check, and DAGOpNode no longer has a type attribute (AttributeError). Same code as both luna models; the other models passed.</t>
        </is>
      </c>
      <c r="CQ41" s="2" t="inlineStr">
        <is>
          <t>AttributeError</t>
        </is>
      </c>
      <c r="CR41" s="2" t="inlineStr">
        <is>
          <t>AttributeError: 'qiskit._accelerate.circuit.DAGOpNode' object has no attribute 'type'</t>
        </is>
      </c>
      <c r="CS41" s="2" t="inlineStr">
        <is>
          <t>The LLM switched the loop to dag.op_nodes() to count every gate, but kept the buggy code's node.type check, and DAGOpNode no longer has a type attribute (AttributeError). Same code as both luna models; the other models passed.</t>
        </is>
      </c>
      <c r="CT41" s="2" t="inlineStr">
        <is>
          <t>AttributeError</t>
        </is>
      </c>
      <c r="CU41" s="2" t="inlineStr">
        <is>
          <t>AttributeError: 'qiskit._accelerate.circuit.DAGOpNode' object has no attribute 'type'</t>
        </is>
      </c>
      <c r="CV41" s="2" t="inlineStr">
        <is>
          <t>The LLM switched the loop to dag.op_nodes() to count every gate, but kept the buggy code's node.type check, and DAGOpNode no longer has a type attribute (AttributeError). Same code as both luna models; the other models passed.</t>
        </is>
      </c>
      <c r="CW41" s="2" t="inlineStr">
        <is>
          <t>AttributeError</t>
        </is>
      </c>
      <c r="CX41" s="2" t="inlineStr">
        <is>
          <t>AttributeError: 'qiskit._accelerate.circuit.DAGOpNode' object has no attribute 'type'</t>
        </is>
      </c>
      <c r="CY41" s="2" t="inlineStr">
        <is>
          <t>The LLM switched the loop to dag.op_nodes() to count every gate, but kept the buggy code's node.type check, and DAGOpNode no longer has a type attribute (AttributeError). Same code as both luna models; the other models passed.</t>
        </is>
      </c>
      <c r="CZ41" s="2" t="inlineStr">
        <is>
          <t>AttributeError</t>
        </is>
      </c>
      <c r="DA41" s="2" t="inlineStr">
        <is>
          <t>AttributeError: 'qiskit._accelerate.circuit.DAGOpNode' object has no attribute 'type'</t>
        </is>
      </c>
      <c r="DB41" s="2" t="inlineStr">
        <is>
          <t>The LLM switched the loop to dag.op_nodes() to count every gate, but kept the buggy code's node.type check, and DAGOpNode no longer has a type attribute (AttributeError). Same code as both luna models; the other models passed.</t>
        </is>
      </c>
      <c r="DC41" s="2" t="inlineStr">
        <is>
          <t>AttributeError</t>
        </is>
      </c>
      <c r="DD41" s="2" t="inlineStr">
        <is>
          <t>AttributeError: 'qiskit._accelerate.circuit.DAGOpNode' object has no attribute 'type'</t>
        </is>
      </c>
      <c r="DE41" s="2" t="inlineStr">
        <is>
          <t>The LLM switched the loop to dag.op_nodes() to count every gate, but kept the buggy code's node.type check, and DAGOpNode no longer has a type attribute (AttributeError). Same code as both luna models; the other models passed.</t>
        </is>
      </c>
    </row>
    <row r="42">
      <c r="A42" s="2" t="inlineStr">
        <is>
          <t>issue_663</t>
        </is>
      </c>
      <c r="B42" s="3" t="inlineStr">
        <is>
          <t>NOT_TESTED</t>
        </is>
      </c>
      <c r="C42" s="3" t="inlineStr">
        <is>
          <t>NOT_TESTED</t>
        </is>
      </c>
      <c r="D42" s="3" t="inlineStr">
        <is>
          <t>NOT_TESTED</t>
        </is>
      </c>
      <c r="E42" s="3" t="inlineStr">
        <is>
          <t>NOT_TESTED</t>
        </is>
      </c>
      <c r="F42" s="4" t="inlineStr">
        <is>
          <t>Passed on test</t>
        </is>
      </c>
      <c r="G42" s="4" t="inlineStr">
        <is>
          <t>Passed on test</t>
        </is>
      </c>
      <c r="H42" s="4" t="inlineStr">
        <is>
          <t>Passed on test</t>
        </is>
      </c>
      <c r="I42" s="4" t="inlineStr">
        <is>
          <t>Passed on test</t>
        </is>
      </c>
      <c r="J42" s="4" t="inlineStr">
        <is>
          <t>Passed on test</t>
        </is>
      </c>
      <c r="K42" s="4" t="inlineStr">
        <is>
          <t>Passed on test</t>
        </is>
      </c>
      <c r="L42" s="4" t="inlineStr">
        <is>
          <t>Passed on test</t>
        </is>
      </c>
      <c r="M42" s="4" t="inlineStr">
        <is>
          <t>Passed on test</t>
        </is>
      </c>
      <c r="N42" s="3" t="inlineStr">
        <is>
          <t>NOT_TESTED</t>
        </is>
      </c>
      <c r="O42" s="3" t="inlineStr">
        <is>
          <t>NOT_TESTED</t>
        </is>
      </c>
      <c r="P42" s="3" t="inlineStr">
        <is>
          <t>NOT_TESTED</t>
        </is>
      </c>
      <c r="Q42" s="3" t="inlineStr">
        <is>
          <t>NOT_TESTED</t>
        </is>
      </c>
      <c r="R42" s="3" t="inlineStr">
        <is>
          <t>NOT_TESTED</t>
        </is>
      </c>
      <c r="S42" s="3" t="inlineStr">
        <is>
          <t>NOT_TESTED</t>
        </is>
      </c>
      <c r="T42" s="3" t="inlineStr">
        <is>
          <t>NOT_TESTED</t>
        </is>
      </c>
      <c r="U42" s="3" t="inlineStr">
        <is>
          <t>NOT_TESTED</t>
        </is>
      </c>
      <c r="V42" s="3" t="inlineStr">
        <is>
          <t>NOT_TESTED</t>
        </is>
      </c>
      <c r="W42" s="3" t="inlineStr">
        <is>
          <t>NOT_TESTED</t>
        </is>
      </c>
      <c r="X42" s="3" t="inlineStr">
        <is>
          <t>NOT_TESTED</t>
        </is>
      </c>
      <c r="Y42" s="3" t="inlineStr">
        <is>
          <t>NOT_TESTED</t>
        </is>
      </c>
      <c r="Z42" s="3" t="inlineStr">
        <is>
          <t>NOT_TESTED</t>
        </is>
      </c>
      <c r="AA42" s="3" t="inlineStr">
        <is>
          <t>NOT_TESTED</t>
        </is>
      </c>
      <c r="AB42" s="3" t="inlineStr">
        <is>
          <t>NOT_TESTED</t>
        </is>
      </c>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2" t="n"/>
      <c r="CW42" s="2" t="n"/>
      <c r="CX42" s="2" t="n"/>
      <c r="CY42" s="2" t="n"/>
      <c r="CZ42" s="2" t="n"/>
      <c r="DA42" s="2" t="n"/>
      <c r="DB42" s="2" t="n"/>
      <c r="DC42" s="2" t="n"/>
      <c r="DD42" s="2" t="n"/>
      <c r="DE42" s="2" t="n"/>
    </row>
    <row r="43">
      <c r="A43" s="2" t="inlineStr">
        <is>
          <t>issue_671</t>
        </is>
      </c>
      <c r="B43" s="4" t="inlineStr">
        <is>
          <t>Passed on test</t>
        </is>
      </c>
      <c r="C43" s="4" t="inlineStr">
        <is>
          <t>Passed on test</t>
        </is>
      </c>
      <c r="D43" s="4" t="inlineStr">
        <is>
          <t>Passed on test</t>
        </is>
      </c>
      <c r="E43" s="4" t="inlineStr">
        <is>
          <t>Passed on test</t>
        </is>
      </c>
      <c r="F43" s="4" t="inlineStr">
        <is>
          <t>Passed on test</t>
        </is>
      </c>
      <c r="G43" s="4" t="inlineStr">
        <is>
          <t>Passed on test</t>
        </is>
      </c>
      <c r="H43" s="4" t="inlineStr">
        <is>
          <t>Passed on test</t>
        </is>
      </c>
      <c r="I43" s="4" t="inlineStr">
        <is>
          <t>Passed on test</t>
        </is>
      </c>
      <c r="J43" s="4" t="inlineStr">
        <is>
          <t>Passed on test</t>
        </is>
      </c>
      <c r="K43" s="4" t="inlineStr">
        <is>
          <t>Passed on test</t>
        </is>
      </c>
      <c r="L43" s="4" t="inlineStr">
        <is>
          <t>Passed on test</t>
        </is>
      </c>
      <c r="M43" s="4" t="inlineStr">
        <is>
          <t>Passed on test</t>
        </is>
      </c>
      <c r="N43" s="4" t="inlineStr">
        <is>
          <t>Passed on test</t>
        </is>
      </c>
      <c r="O43" s="4" t="inlineStr">
        <is>
          <t>Passed on test</t>
        </is>
      </c>
      <c r="P43" s="4" t="inlineStr">
        <is>
          <t>Passed on test</t>
        </is>
      </c>
      <c r="Q43" s="4" t="inlineStr">
        <is>
          <t>Passed on test</t>
        </is>
      </c>
      <c r="R43" s="4" t="inlineStr">
        <is>
          <t>Passed on test</t>
        </is>
      </c>
      <c r="S43" s="4" t="inlineStr">
        <is>
          <t>Passed on test</t>
        </is>
      </c>
      <c r="T43" s="4" t="inlineStr">
        <is>
          <t>Passed on test</t>
        </is>
      </c>
      <c r="U43" s="4" t="inlineStr">
        <is>
          <t>Passed on test</t>
        </is>
      </c>
      <c r="V43" s="4" t="inlineStr">
        <is>
          <t>Passed on test</t>
        </is>
      </c>
      <c r="W43" s="4" t="inlineStr">
        <is>
          <t>Passed on test</t>
        </is>
      </c>
      <c r="X43" s="4" t="inlineStr">
        <is>
          <t>Passed on test</t>
        </is>
      </c>
      <c r="Y43" s="4" t="inlineStr">
        <is>
          <t>Passed on test</t>
        </is>
      </c>
      <c r="Z43" s="4" t="inlineStr">
        <is>
          <t>Passed on test</t>
        </is>
      </c>
      <c r="AA43" s="4" t="inlineStr">
        <is>
          <t>Passed on test</t>
        </is>
      </c>
      <c r="AB43" s="4" t="inlineStr">
        <is>
          <t>Passed on test</t>
        </is>
      </c>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row>
    <row r="44">
      <c r="A44" s="2" t="inlineStr">
        <is>
          <t>issue_727</t>
        </is>
      </c>
      <c r="B44" s="6" t="inlineStr">
        <is>
          <t>Runtime error</t>
        </is>
      </c>
      <c r="C44" s="6" t="inlineStr">
        <is>
          <t>Runtime error</t>
        </is>
      </c>
      <c r="D44" s="6" t="inlineStr">
        <is>
          <t>Runtime error</t>
        </is>
      </c>
      <c r="E44" s="6" t="inlineStr">
        <is>
          <t>Runtime error</t>
        </is>
      </c>
      <c r="F44" s="6" t="inlineStr">
        <is>
          <t>Runtime error</t>
        </is>
      </c>
      <c r="G44" s="6" t="inlineStr">
        <is>
          <t>Runtime error</t>
        </is>
      </c>
      <c r="H44" s="6" t="inlineStr">
        <is>
          <t>Runtime error</t>
        </is>
      </c>
      <c r="I44" s="6" t="inlineStr">
        <is>
          <t>Runtime error</t>
        </is>
      </c>
      <c r="J44" s="6" t="inlineStr">
        <is>
          <t>Runtime error</t>
        </is>
      </c>
      <c r="K44" s="6" t="inlineStr">
        <is>
          <t>Runtime error</t>
        </is>
      </c>
      <c r="L44" s="6" t="inlineStr">
        <is>
          <t>Runtime error</t>
        </is>
      </c>
      <c r="M44" s="6" t="inlineStr">
        <is>
          <t>Runtime error</t>
        </is>
      </c>
      <c r="N44" s="3" t="inlineStr">
        <is>
          <t>NOT_TESTED</t>
        </is>
      </c>
      <c r="O44" s="3" t="inlineStr">
        <is>
          <t>NOT_TESTED</t>
        </is>
      </c>
      <c r="P44" s="3" t="inlineStr">
        <is>
          <t>NOT_TESTED</t>
        </is>
      </c>
      <c r="Q44" s="3" t="inlineStr">
        <is>
          <t>NOT_TESTED</t>
        </is>
      </c>
      <c r="R44" s="3" t="inlineStr">
        <is>
          <t>NOT_TESTED</t>
        </is>
      </c>
      <c r="S44" s="3" t="inlineStr">
        <is>
          <t>NOT_TESTED</t>
        </is>
      </c>
      <c r="T44" s="3" t="inlineStr">
        <is>
          <t>NOT_TESTED</t>
        </is>
      </c>
      <c r="U44" s="3" t="inlineStr">
        <is>
          <t>NOT_TESTED</t>
        </is>
      </c>
      <c r="V44" s="3" t="inlineStr">
        <is>
          <t>NOT_TESTED</t>
        </is>
      </c>
      <c r="W44" s="3" t="inlineStr">
        <is>
          <t>NOT_TESTED</t>
        </is>
      </c>
      <c r="X44" s="3" t="inlineStr">
        <is>
          <t>NOT_TESTED</t>
        </is>
      </c>
      <c r="Y44" s="3" t="inlineStr">
        <is>
          <t>NOT_TESTED</t>
        </is>
      </c>
      <c r="Z44" s="3" t="inlineStr">
        <is>
          <t>NOT_TESTED</t>
        </is>
      </c>
      <c r="AA44" s="3" t="inlineStr">
        <is>
          <t>NOT_TESTED</t>
        </is>
      </c>
      <c r="AB44" s="3" t="inlineStr">
        <is>
          <t>NOT_TESTED</t>
        </is>
      </c>
      <c r="AC44" s="2" t="inlineStr">
        <is>
          <t>TypeError</t>
        </is>
      </c>
      <c r="AD44" s="2" t="inlineStr">
        <is>
          <t>TypeError: unsupported operand type(s) for ** or pow(): 'int' and 'Parameter'</t>
        </is>
      </c>
      <c r="AE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F44" s="2" t="inlineStr">
        <is>
          <t>TypeError</t>
        </is>
      </c>
      <c r="AG44" s="2" t="inlineStr">
        <is>
          <t>TypeError: unsupported operand type(s) for ** or pow(): 'int' and 'Parameter'</t>
        </is>
      </c>
      <c r="AH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I44" s="2" t="inlineStr">
        <is>
          <t>TypeError</t>
        </is>
      </c>
      <c r="AJ44" s="2" t="inlineStr">
        <is>
          <t>TypeError: unsupported operand type(s) for ** or pow(): 'int' and 'Parameter'</t>
        </is>
      </c>
      <c r="AK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L44" s="2" t="inlineStr">
        <is>
          <t>TypeError</t>
        </is>
      </c>
      <c r="AM44" s="2" t="inlineStr">
        <is>
          <t>TypeError: unsupported operand type(s) for ** or pow(): 'int' and 'Parameter'</t>
        </is>
      </c>
      <c r="AN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O44" s="2" t="inlineStr">
        <is>
          <t>TypeError</t>
        </is>
      </c>
      <c r="AP44" s="2" t="inlineStr">
        <is>
          <t>TypeError: unsupported operand type(s) for ** or pow(): 'int' and 'Parameter'</t>
        </is>
      </c>
      <c r="AQ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R44" s="2" t="inlineStr">
        <is>
          <t>TypeError</t>
        </is>
      </c>
      <c r="AS44" s="2" t="inlineStr">
        <is>
          <t>TypeError: unsupported operand type(s) for ** or pow(): 'int' and 'Parameter'</t>
        </is>
      </c>
      <c r="AT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U44" s="2" t="inlineStr">
        <is>
          <t>TypeError</t>
        </is>
      </c>
      <c r="AV44" s="2" t="inlineStr">
        <is>
          <t>TypeError: unsupported operand type(s) for ** or pow(): 'int' and 'Parameter'</t>
        </is>
      </c>
      <c r="AW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AX44" s="2" t="inlineStr">
        <is>
          <t>TypeError</t>
        </is>
      </c>
      <c r="AY44" s="2" t="inlineStr">
        <is>
          <t>TypeError: unsupported operand type(s) for ** or pow(): 'int' and 'Parameter'</t>
        </is>
      </c>
      <c r="AZ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BA44" s="2" t="inlineStr">
        <is>
          <t>TypeError</t>
        </is>
      </c>
      <c r="BB44" s="2" t="inlineStr">
        <is>
          <t>TypeError: unsupported operand type(s) for ** or pow(): 'int' and 'Parameter'</t>
        </is>
      </c>
      <c r="BC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BD44" s="2" t="inlineStr">
        <is>
          <t>TypeError</t>
        </is>
      </c>
      <c r="BE44" s="2" t="inlineStr">
        <is>
          <t>TypeError: unsupported operand type(s) for ** or pow(): 'int' and 'Parameter'</t>
        </is>
      </c>
      <c r="BF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BG44" s="2" t="inlineStr">
        <is>
          <t>TypeError</t>
        </is>
      </c>
      <c r="BH44" s="2" t="inlineStr">
        <is>
          <t>TypeError: unsupported operand type(s) for ** or pow(): 'int' and 'Parameter'</t>
        </is>
      </c>
      <c r="BI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BJ44" s="2" t="inlineStr">
        <is>
          <t>TypeError</t>
        </is>
      </c>
      <c r="BK44" s="2" t="inlineStr">
        <is>
          <t>TypeError: unsupported operand type(s) for ** or pow(): 'int' and 'Parameter'</t>
        </is>
      </c>
      <c r="BL44" s="2"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row>
    <row r="45">
      <c r="A45" s="2" t="inlineStr">
        <is>
          <t>issue_742</t>
        </is>
      </c>
      <c r="B45" s="3" t="inlineStr">
        <is>
          <t>NOT_TESTED</t>
        </is>
      </c>
      <c r="C45" s="3" t="inlineStr">
        <is>
          <t>NOT_TESTED</t>
        </is>
      </c>
      <c r="D45" s="3" t="inlineStr">
        <is>
          <t>NOT_TESTED</t>
        </is>
      </c>
      <c r="E45" s="3" t="inlineStr">
        <is>
          <t>NOT_TESTED</t>
        </is>
      </c>
      <c r="F45" s="3" t="inlineStr">
        <is>
          <t>NOT_TESTED</t>
        </is>
      </c>
      <c r="G45" s="3" t="inlineStr">
        <is>
          <t>NOT_TESTED</t>
        </is>
      </c>
      <c r="H45" s="3" t="inlineStr">
        <is>
          <t>NOT_TESTED</t>
        </is>
      </c>
      <c r="I45" s="3" t="inlineStr">
        <is>
          <t>NOT_TESTED</t>
        </is>
      </c>
      <c r="J45" s="3" t="inlineStr">
        <is>
          <t>NOT_TESTED</t>
        </is>
      </c>
      <c r="K45" s="3" t="inlineStr">
        <is>
          <t>NOT_TESTED</t>
        </is>
      </c>
      <c r="L45" s="3" t="inlineStr">
        <is>
          <t>NOT_TESTED</t>
        </is>
      </c>
      <c r="M45" s="3" t="inlineStr">
        <is>
          <t>NOT_TESTED</t>
        </is>
      </c>
      <c r="N45" s="3" t="inlineStr">
        <is>
          <t>NOT_TESTED</t>
        </is>
      </c>
      <c r="O45" s="3" t="inlineStr">
        <is>
          <t>NOT_TESTED</t>
        </is>
      </c>
      <c r="P45" s="3" t="inlineStr">
        <is>
          <t>NOT_TESTED</t>
        </is>
      </c>
      <c r="Q45" s="4" t="inlineStr">
        <is>
          <t>Passed on test</t>
        </is>
      </c>
      <c r="R45" s="4" t="inlineStr">
        <is>
          <t>Passed on test</t>
        </is>
      </c>
      <c r="S45" s="4" t="inlineStr">
        <is>
          <t>Passed on test</t>
        </is>
      </c>
      <c r="T45" s="4" t="inlineStr">
        <is>
          <t>Passed on test</t>
        </is>
      </c>
      <c r="U45" s="4" t="inlineStr">
        <is>
          <t>Passed on test</t>
        </is>
      </c>
      <c r="V45" s="4" t="inlineStr">
        <is>
          <t>Passed on test</t>
        </is>
      </c>
      <c r="W45" s="4" t="inlineStr">
        <is>
          <t>Passed on test</t>
        </is>
      </c>
      <c r="X45" s="4" t="inlineStr">
        <is>
          <t>Passed on test</t>
        </is>
      </c>
      <c r="Y45" s="4" t="inlineStr">
        <is>
          <t>Passed on test</t>
        </is>
      </c>
      <c r="Z45" s="4" t="inlineStr">
        <is>
          <t>Passed on test</t>
        </is>
      </c>
      <c r="AA45" s="4" t="inlineStr">
        <is>
          <t>Passed on test</t>
        </is>
      </c>
      <c r="AB45" s="4" t="inlineStr">
        <is>
          <t>Passed on test</t>
        </is>
      </c>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row>
    <row r="46">
      <c r="A46" s="2" t="inlineStr">
        <is>
          <t>issue_747</t>
        </is>
      </c>
      <c r="B46" s="3" t="inlineStr">
        <is>
          <t>NOT_TESTED</t>
        </is>
      </c>
      <c r="C46" s="3" t="inlineStr">
        <is>
          <t>NOT_TESTED</t>
        </is>
      </c>
      <c r="D46" s="3" t="inlineStr">
        <is>
          <t>NOT_TESTED</t>
        </is>
      </c>
      <c r="E46" s="3" t="inlineStr">
        <is>
          <t>NOT_TESTED</t>
        </is>
      </c>
      <c r="F46" s="4" t="inlineStr">
        <is>
          <t>Passed on test</t>
        </is>
      </c>
      <c r="G46" s="4" t="inlineStr">
        <is>
          <t>Passed on test</t>
        </is>
      </c>
      <c r="H46" s="4" t="inlineStr">
        <is>
          <t>Passed on test</t>
        </is>
      </c>
      <c r="I46" s="4" t="inlineStr">
        <is>
          <t>Passed on test</t>
        </is>
      </c>
      <c r="J46" s="4" t="inlineStr">
        <is>
          <t>Passed on test</t>
        </is>
      </c>
      <c r="K46" s="4" t="inlineStr">
        <is>
          <t>Passed on test</t>
        </is>
      </c>
      <c r="L46" s="4" t="inlineStr">
        <is>
          <t>Passed on test</t>
        </is>
      </c>
      <c r="M46" s="4" t="inlineStr">
        <is>
          <t>Passed on test</t>
        </is>
      </c>
      <c r="N46" s="3" t="inlineStr">
        <is>
          <t>NOT_TESTED</t>
        </is>
      </c>
      <c r="O46" s="3" t="inlineStr">
        <is>
          <t>NOT_TESTED</t>
        </is>
      </c>
      <c r="P46" s="3" t="inlineStr">
        <is>
          <t>NOT_TESTED</t>
        </is>
      </c>
      <c r="Q46" s="3" t="inlineStr">
        <is>
          <t>NOT_TESTED</t>
        </is>
      </c>
      <c r="R46" s="3" t="inlineStr">
        <is>
          <t>NOT_TESTED</t>
        </is>
      </c>
      <c r="S46" s="3" t="inlineStr">
        <is>
          <t>NOT_TESTED</t>
        </is>
      </c>
      <c r="T46" s="3" t="inlineStr">
        <is>
          <t>NOT_TESTED</t>
        </is>
      </c>
      <c r="U46" s="3" t="inlineStr">
        <is>
          <t>NOT_TESTED</t>
        </is>
      </c>
      <c r="V46" s="3" t="inlineStr">
        <is>
          <t>NOT_TESTED</t>
        </is>
      </c>
      <c r="W46" s="3" t="inlineStr">
        <is>
          <t>NOT_TESTED</t>
        </is>
      </c>
      <c r="X46" s="3" t="inlineStr">
        <is>
          <t>NOT_TESTED</t>
        </is>
      </c>
      <c r="Y46" s="3" t="inlineStr">
        <is>
          <t>NOT_TESTED</t>
        </is>
      </c>
      <c r="Z46" s="3" t="inlineStr">
        <is>
          <t>NOT_TESTED</t>
        </is>
      </c>
      <c r="AA46" s="3" t="inlineStr">
        <is>
          <t>NOT_TESTED</t>
        </is>
      </c>
      <c r="AB46" s="3" t="inlineStr">
        <is>
          <t>NOT_TESTED</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row>
    <row r="47">
      <c r="A47" s="2" t="inlineStr">
        <is>
          <t>issue_750</t>
        </is>
      </c>
      <c r="B47" s="3" t="inlineStr">
        <is>
          <t>NOT_TESTED</t>
        </is>
      </c>
      <c r="C47" s="3" t="inlineStr">
        <is>
          <t>NOT_TESTED</t>
        </is>
      </c>
      <c r="D47" s="3" t="inlineStr">
        <is>
          <t>NOT_TESTED</t>
        </is>
      </c>
      <c r="E47" s="3" t="inlineStr">
        <is>
          <t>NOT_TESTED</t>
        </is>
      </c>
      <c r="F47" s="6" t="inlineStr">
        <is>
          <t>Runtime error</t>
        </is>
      </c>
      <c r="G47" s="6" t="inlineStr">
        <is>
          <t>Runtime error</t>
        </is>
      </c>
      <c r="H47" s="6" t="inlineStr">
        <is>
          <t>Runtime error</t>
        </is>
      </c>
      <c r="I47" s="6" t="inlineStr">
        <is>
          <t>Runtime error</t>
        </is>
      </c>
      <c r="J47" s="6" t="inlineStr">
        <is>
          <t>Runtime error</t>
        </is>
      </c>
      <c r="K47" s="6" t="inlineStr">
        <is>
          <t>Runtime error</t>
        </is>
      </c>
      <c r="L47" s="6" t="inlineStr">
        <is>
          <t>Runtime error</t>
        </is>
      </c>
      <c r="M47" s="6" t="inlineStr">
        <is>
          <t>Runtime error</t>
        </is>
      </c>
      <c r="N47" s="6" t="inlineStr">
        <is>
          <t>Runtime error</t>
        </is>
      </c>
      <c r="O47" s="6" t="inlineStr">
        <is>
          <t>Runtime error</t>
        </is>
      </c>
      <c r="P47" s="6" t="inlineStr">
        <is>
          <t>Runtime error</t>
        </is>
      </c>
      <c r="Q47" s="6" t="inlineStr">
        <is>
          <t>Runtime error</t>
        </is>
      </c>
      <c r="R47" s="6" t="inlineStr">
        <is>
          <t>Runtime error</t>
        </is>
      </c>
      <c r="S47" s="6" t="inlineStr">
        <is>
          <t>Runtime error</t>
        </is>
      </c>
      <c r="T47" s="6" t="inlineStr">
        <is>
          <t>Runtime error</t>
        </is>
      </c>
      <c r="U47" s="6" t="inlineStr">
        <is>
          <t>Runtime error</t>
        </is>
      </c>
      <c r="V47" s="6" t="inlineStr">
        <is>
          <t>Runtime error</t>
        </is>
      </c>
      <c r="W47" s="6" t="inlineStr">
        <is>
          <t>Runtime error</t>
        </is>
      </c>
      <c r="X47" s="6" t="inlineStr">
        <is>
          <t>Runtime error</t>
        </is>
      </c>
      <c r="Y47" s="6" t="inlineStr">
        <is>
          <t>Runtime error</t>
        </is>
      </c>
      <c r="Z47" s="6" t="inlineStr">
        <is>
          <t>Runtime error</t>
        </is>
      </c>
      <c r="AA47" s="6" t="inlineStr">
        <is>
          <t>Runtime error</t>
        </is>
      </c>
      <c r="AB47" s="6" t="inlineStr">
        <is>
          <t>Runtime error</t>
        </is>
      </c>
      <c r="AC47" s="2" t="n"/>
      <c r="AD47" s="2" t="n"/>
      <c r="AE47" s="2" t="n"/>
      <c r="AF47" s="2" t="n"/>
      <c r="AG47" s="2" t="n"/>
      <c r="AH47" s="2" t="n"/>
      <c r="AI47" s="2" t="n"/>
      <c r="AJ47" s="2" t="n"/>
      <c r="AK47" s="2" t="n"/>
      <c r="AL47" s="2" t="n"/>
      <c r="AM47" s="2" t="n"/>
      <c r="AN47" s="2" t="n"/>
      <c r="AO47" s="2" t="inlineStr">
        <is>
          <t>TypeError</t>
        </is>
      </c>
      <c r="AP47" s="2" t="inlineStr">
        <is>
          <t>TypeError: Pauli.__init__() got an unexpected keyword argument 'label'</t>
        </is>
      </c>
      <c r="AQ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AR47" s="2" t="inlineStr">
        <is>
          <t>TypeError</t>
        </is>
      </c>
      <c r="AS47" s="2" t="inlineStr">
        <is>
          <t>TypeError: Pauli.__init__() got an unexpected keyword argument 'label'</t>
        </is>
      </c>
      <c r="AT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AU47" s="2" t="inlineStr">
        <is>
          <t>TypeError</t>
        </is>
      </c>
      <c r="AV47" s="2" t="inlineStr">
        <is>
          <t>TypeError: Pauli.__init__() got an unexpected keyword argument 'label'</t>
        </is>
      </c>
      <c r="AW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AX47" s="2" t="inlineStr">
        <is>
          <t>TypeError</t>
        </is>
      </c>
      <c r="AY47" s="2" t="inlineStr">
        <is>
          <t>TypeError: Pauli.__init__() got an unexpected keyword argument 'label'</t>
        </is>
      </c>
      <c r="AZ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A47" s="2" t="inlineStr">
        <is>
          <t>TypeError</t>
        </is>
      </c>
      <c r="BB47" s="2" t="inlineStr">
        <is>
          <t>TypeError: Pauli.__init__() got an unexpected keyword argument 'label'</t>
        </is>
      </c>
      <c r="BC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D47" s="2" t="inlineStr">
        <is>
          <t>TypeError</t>
        </is>
      </c>
      <c r="BE47" s="2" t="inlineStr">
        <is>
          <t>TypeError: Pauli.__init__() got an unexpected keyword argument 'label'</t>
        </is>
      </c>
      <c r="BF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G47" s="2" t="inlineStr">
        <is>
          <t>TypeError</t>
        </is>
      </c>
      <c r="BH47" s="2" t="inlineStr">
        <is>
          <t>TypeError: Pauli.__init__() got an unexpected keyword argument 'label'</t>
        </is>
      </c>
      <c r="BI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J47" s="2" t="inlineStr">
        <is>
          <t>TypeError</t>
        </is>
      </c>
      <c r="BK47" s="2" t="inlineStr">
        <is>
          <t>TypeError: Pauli.__init__() got an unexpected keyword argument 'label'</t>
        </is>
      </c>
      <c r="BL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M47" s="2" t="inlineStr">
        <is>
          <t>TypeError</t>
        </is>
      </c>
      <c r="BN47" s="2" t="inlineStr">
        <is>
          <t>TypeError: Pauli.__init__() got an unexpected keyword argument 'label'</t>
        </is>
      </c>
      <c r="BO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P47" s="2" t="inlineStr">
        <is>
          <t>TypeError</t>
        </is>
      </c>
      <c r="BQ47" s="2" t="inlineStr">
        <is>
          <t>TypeError: Pauli.__init__() got an unexpected keyword argument 'label'</t>
        </is>
      </c>
      <c r="BR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S47" s="2" t="inlineStr">
        <is>
          <t>TypeError</t>
        </is>
      </c>
      <c r="BT47" s="2" t="inlineStr">
        <is>
          <t>TypeError: Pauli.__init__() got an unexpected keyword argument 'label'</t>
        </is>
      </c>
      <c r="BU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V47" s="2" t="inlineStr">
        <is>
          <t>TypeError</t>
        </is>
      </c>
      <c r="BW47" s="2" t="inlineStr">
        <is>
          <t>TypeError: Pauli.__init__() got an unexpected keyword argument 'label'</t>
        </is>
      </c>
      <c r="BX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BY47" s="2" t="inlineStr">
        <is>
          <t>TypeError</t>
        </is>
      </c>
      <c r="BZ47" s="2" t="inlineStr">
        <is>
          <t>TypeError: Pauli.__init__() got an unexpected keyword argument 'label'</t>
        </is>
      </c>
      <c r="CA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B47" s="2" t="inlineStr">
        <is>
          <t>TypeError</t>
        </is>
      </c>
      <c r="CC47" s="2" t="inlineStr">
        <is>
          <t>TypeError: Pauli.__init__() got an unexpected keyword argument 'label'</t>
        </is>
      </c>
      <c r="CD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E47" s="2" t="inlineStr">
        <is>
          <t>TypeError</t>
        </is>
      </c>
      <c r="CF47" s="2" t="inlineStr">
        <is>
          <t>TypeError: Pauli.__init__() got an unexpected keyword argument 'label'</t>
        </is>
      </c>
      <c r="CG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H47" s="2" t="inlineStr">
        <is>
          <t>TypeError</t>
        </is>
      </c>
      <c r="CI47" s="2" t="inlineStr">
        <is>
          <t>TypeError: Pauli.__init__() got an unexpected keyword argument 'label'</t>
        </is>
      </c>
      <c r="CJ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K47" s="2" t="inlineStr">
        <is>
          <t>TypeError</t>
        </is>
      </c>
      <c r="CL47" s="2" t="inlineStr">
        <is>
          <t>TypeError: Pauli.__init__() got an unexpected keyword argument 'label'</t>
        </is>
      </c>
      <c r="CM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N47" s="2" t="inlineStr">
        <is>
          <t>TypeError</t>
        </is>
      </c>
      <c r="CO47" s="2" t="inlineStr">
        <is>
          <t>TypeError: Pauli.__init__() got an unexpected keyword argument 'label'</t>
        </is>
      </c>
      <c r="CP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Q47" s="2" t="inlineStr">
        <is>
          <t>TypeError</t>
        </is>
      </c>
      <c r="CR47" s="2" t="inlineStr">
        <is>
          <t>TypeError: Pauli.__init__() got an unexpected keyword argument 'label'</t>
        </is>
      </c>
      <c r="CS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T47" s="2" t="inlineStr">
        <is>
          <t>TypeError</t>
        </is>
      </c>
      <c r="CU47" s="2" t="inlineStr">
        <is>
          <t>TypeError: Pauli.__init__() got an unexpected keyword argument 'label'</t>
        </is>
      </c>
      <c r="CV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W47" s="2" t="inlineStr">
        <is>
          <t>TypeError</t>
        </is>
      </c>
      <c r="CX47" s="2" t="inlineStr">
        <is>
          <t>TypeError: Pauli.__init__() got an unexpected keyword argument 'label'</t>
        </is>
      </c>
      <c r="CY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CZ47" s="2" t="inlineStr">
        <is>
          <t>TypeError</t>
        </is>
      </c>
      <c r="DA47" s="2" t="inlineStr">
        <is>
          <t>TypeError: Pauli.__init__() got an unexpected keyword argument 'label'</t>
        </is>
      </c>
      <c r="DB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DC47" s="2" t="inlineStr">
        <is>
          <t>TypeError</t>
        </is>
      </c>
      <c r="DD47" s="2" t="inlineStr">
        <is>
          <t>TypeError: Pauli.__init__() got an unexpected keyword argument 'label'</t>
        </is>
      </c>
      <c r="DE47" s="2"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row>
    <row r="48">
      <c r="A48" s="2" t="inlineStr">
        <is>
          <t>issue_769</t>
        </is>
      </c>
      <c r="B48" s="3" t="inlineStr">
        <is>
          <t>NOT_TESTED</t>
        </is>
      </c>
      <c r="C48" s="3" t="inlineStr">
        <is>
          <t>NOT_TESTED</t>
        </is>
      </c>
      <c r="D48" s="3" t="inlineStr">
        <is>
          <t>NOT_TESTED</t>
        </is>
      </c>
      <c r="E48" s="3" t="inlineStr">
        <is>
          <t>NOT_TESTED</t>
        </is>
      </c>
      <c r="F48" s="3" t="inlineStr">
        <is>
          <t>NOT_TESTED</t>
        </is>
      </c>
      <c r="G48" s="3" t="inlineStr">
        <is>
          <t>NOT_TESTED</t>
        </is>
      </c>
      <c r="H48" s="3" t="inlineStr">
        <is>
          <t>NOT_TESTED</t>
        </is>
      </c>
      <c r="I48" s="3" t="inlineStr">
        <is>
          <t>NOT_TESTED</t>
        </is>
      </c>
      <c r="J48" s="3" t="inlineStr">
        <is>
          <t>NOT_TESTED</t>
        </is>
      </c>
      <c r="K48" s="3" t="inlineStr">
        <is>
          <t>NOT_TESTED</t>
        </is>
      </c>
      <c r="L48" s="3" t="inlineStr">
        <is>
          <t>NOT_TESTED</t>
        </is>
      </c>
      <c r="M48" s="3" t="inlineStr">
        <is>
          <t>NOT_TESTED</t>
        </is>
      </c>
      <c r="N48" s="6" t="inlineStr">
        <is>
          <t>Runtime error</t>
        </is>
      </c>
      <c r="O48" s="6" t="inlineStr">
        <is>
          <t>Runtime error</t>
        </is>
      </c>
      <c r="P48" s="6" t="inlineStr">
        <is>
          <t>Runtime error</t>
        </is>
      </c>
      <c r="Q48" s="6" t="inlineStr">
        <is>
          <t>Runtime error</t>
        </is>
      </c>
      <c r="R48" s="6" t="inlineStr">
        <is>
          <t>Runtime error</t>
        </is>
      </c>
      <c r="S48" s="6" t="inlineStr">
        <is>
          <t>Runtime error</t>
        </is>
      </c>
      <c r="T48" s="6" t="inlineStr">
        <is>
          <t>Runtime error</t>
        </is>
      </c>
      <c r="U48" s="6" t="inlineStr">
        <is>
          <t>Runtime error</t>
        </is>
      </c>
      <c r="V48" s="6" t="inlineStr">
        <is>
          <t>Runtime error</t>
        </is>
      </c>
      <c r="W48" s="6" t="inlineStr">
        <is>
          <t>Runtime error</t>
        </is>
      </c>
      <c r="X48" s="6" t="inlineStr">
        <is>
          <t>Runtime error</t>
        </is>
      </c>
      <c r="Y48" s="6" t="inlineStr">
        <is>
          <t>Runtime error</t>
        </is>
      </c>
      <c r="Z48" s="6" t="inlineStr">
        <is>
          <t>Runtime error</t>
        </is>
      </c>
      <c r="AA48" s="6" t="inlineStr">
        <is>
          <t>Runtime error</t>
        </is>
      </c>
      <c r="AB48" s="6" t="inlineStr">
        <is>
          <t>Runtime error</t>
        </is>
      </c>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inlineStr">
        <is>
          <t>KeyError</t>
        </is>
      </c>
      <c r="BN48" s="2" t="inlineStr">
        <is>
          <t>KeyError: 'get_qiskit_gate'</t>
        </is>
      </c>
      <c r="BO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BP48" s="2" t="inlineStr">
        <is>
          <t>KeyError</t>
        </is>
      </c>
      <c r="BQ48" s="2" t="inlineStr">
        <is>
          <t>KeyError: 'get_qiskit_gate'</t>
        </is>
      </c>
      <c r="BR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BS48" s="2" t="inlineStr">
        <is>
          <t>KeyError</t>
        </is>
      </c>
      <c r="BT48" s="2" t="inlineStr">
        <is>
          <t>KeyError: 'get_qiskit_gate'</t>
        </is>
      </c>
      <c r="BU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BV48" s="2" t="inlineStr">
        <is>
          <t>KeyError</t>
        </is>
      </c>
      <c r="BW48" s="2" t="inlineStr">
        <is>
          <t>KeyError: 'get_qiskit_gate'</t>
        </is>
      </c>
      <c r="BX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BY48" s="2" t="inlineStr">
        <is>
          <t>KeyError</t>
        </is>
      </c>
      <c r="BZ48" s="2" t="inlineStr">
        <is>
          <t>KeyError: 'get_qiskit_gate'</t>
        </is>
      </c>
      <c r="CA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B48" s="2" t="inlineStr">
        <is>
          <t>KeyError</t>
        </is>
      </c>
      <c r="CC48" s="2" t="inlineStr">
        <is>
          <t>KeyError: 'get_qiskit_gate'</t>
        </is>
      </c>
      <c r="CD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E48" s="2" t="inlineStr">
        <is>
          <t>KeyError</t>
        </is>
      </c>
      <c r="CF48" s="2" t="inlineStr">
        <is>
          <t>KeyError: 'get_qiskit_gate'</t>
        </is>
      </c>
      <c r="CG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H48" s="2" t="inlineStr">
        <is>
          <t>KeyError</t>
        </is>
      </c>
      <c r="CI48" s="2" t="inlineStr">
        <is>
          <t>KeyError: 'get_qiskit_gate'</t>
        </is>
      </c>
      <c r="CJ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K48" s="2" t="inlineStr">
        <is>
          <t>KeyError</t>
        </is>
      </c>
      <c r="CL48" s="2" t="inlineStr">
        <is>
          <t>KeyError: 'get_qiskit_gate'</t>
        </is>
      </c>
      <c r="CM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N48" s="2" t="inlineStr">
        <is>
          <t>KeyError</t>
        </is>
      </c>
      <c r="CO48" s="2" t="inlineStr">
        <is>
          <t>KeyError: 'get_qiskit_gate'</t>
        </is>
      </c>
      <c r="CP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Q48" s="2" t="inlineStr">
        <is>
          <t>KeyError</t>
        </is>
      </c>
      <c r="CR48" s="2" t="inlineStr">
        <is>
          <t>KeyError: 'get_qiskit_gate'</t>
        </is>
      </c>
      <c r="CS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T48" s="2" t="inlineStr">
        <is>
          <t>KeyError</t>
        </is>
      </c>
      <c r="CU48" s="2" t="inlineStr">
        <is>
          <t>KeyError: 'get_qiskit_gate'</t>
        </is>
      </c>
      <c r="CV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W48" s="2" t="inlineStr">
        <is>
          <t>KeyError</t>
        </is>
      </c>
      <c r="CX48" s="2" t="inlineStr">
        <is>
          <t>KeyError: 'get_qiskit_gate'</t>
        </is>
      </c>
      <c r="CY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CZ48" s="2" t="inlineStr">
        <is>
          <t>KeyError</t>
        </is>
      </c>
      <c r="DA48" s="2" t="inlineStr">
        <is>
          <t>KeyError: 'get_qiskit_gate'</t>
        </is>
      </c>
      <c r="DB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DC48" s="2" t="inlineStr">
        <is>
          <t>KeyError</t>
        </is>
      </c>
      <c r="DD48" s="2" t="inlineStr">
        <is>
          <t>KeyError: 'get_qiskit_gate'</t>
        </is>
      </c>
      <c r="DE48" s="2"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row>
    <row r="49">
      <c r="A49" s="2" t="inlineStr">
        <is>
          <t>issue_773</t>
        </is>
      </c>
      <c r="B49" s="3" t="inlineStr">
        <is>
          <t>NOT_TESTED</t>
        </is>
      </c>
      <c r="C49" s="3" t="inlineStr">
        <is>
          <t>NOT_TESTED</t>
        </is>
      </c>
      <c r="D49" s="3" t="inlineStr">
        <is>
          <t>NOT_TESTED</t>
        </is>
      </c>
      <c r="E49" s="3" t="inlineStr">
        <is>
          <t>NOT_TESTED</t>
        </is>
      </c>
      <c r="F49" s="4" t="inlineStr">
        <is>
          <t>Passed on test</t>
        </is>
      </c>
      <c r="G49" s="4" t="inlineStr">
        <is>
          <t>Passed on test</t>
        </is>
      </c>
      <c r="H49" s="4" t="inlineStr">
        <is>
          <t>Passed on test</t>
        </is>
      </c>
      <c r="I49" s="4" t="inlineStr">
        <is>
          <t>Passed on test</t>
        </is>
      </c>
      <c r="J49" s="4" t="inlineStr">
        <is>
          <t>Passed on test</t>
        </is>
      </c>
      <c r="K49" s="4" t="inlineStr">
        <is>
          <t>Passed on test</t>
        </is>
      </c>
      <c r="L49" s="4" t="inlineStr">
        <is>
          <t>Passed on test</t>
        </is>
      </c>
      <c r="M49" s="4" t="inlineStr">
        <is>
          <t>Passed on test</t>
        </is>
      </c>
      <c r="N49" s="3" t="inlineStr">
        <is>
          <t>NOT_TESTED</t>
        </is>
      </c>
      <c r="O49" s="3" t="inlineStr">
        <is>
          <t>NOT_TESTED</t>
        </is>
      </c>
      <c r="P49" s="3" t="inlineStr">
        <is>
          <t>NOT_TESTED</t>
        </is>
      </c>
      <c r="Q49" s="3" t="inlineStr">
        <is>
          <t>NOT_TESTED</t>
        </is>
      </c>
      <c r="R49" s="3" t="inlineStr">
        <is>
          <t>NOT_TESTED</t>
        </is>
      </c>
      <c r="S49" s="3" t="inlineStr">
        <is>
          <t>NOT_TESTED</t>
        </is>
      </c>
      <c r="T49" s="3" t="inlineStr">
        <is>
          <t>NOT_TESTED</t>
        </is>
      </c>
      <c r="U49" s="3" t="inlineStr">
        <is>
          <t>NOT_TESTED</t>
        </is>
      </c>
      <c r="V49" s="3" t="inlineStr">
        <is>
          <t>NOT_TESTED</t>
        </is>
      </c>
      <c r="W49" s="3" t="inlineStr">
        <is>
          <t>NOT_TESTED</t>
        </is>
      </c>
      <c r="X49" s="3" t="inlineStr">
        <is>
          <t>NOT_TESTED</t>
        </is>
      </c>
      <c r="Y49" s="3" t="inlineStr">
        <is>
          <t>NOT_TESTED</t>
        </is>
      </c>
      <c r="Z49" s="3" t="inlineStr">
        <is>
          <t>NOT_TESTED</t>
        </is>
      </c>
      <c r="AA49" s="3" t="inlineStr">
        <is>
          <t>NOT_TESTED</t>
        </is>
      </c>
      <c r="AB49" s="3" t="inlineStr">
        <is>
          <t>NOT_TESTED</t>
        </is>
      </c>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row>
    <row r="50">
      <c r="A50" s="2" t="inlineStr">
        <is>
          <t>issue_775</t>
        </is>
      </c>
      <c r="B50" s="4" t="inlineStr">
        <is>
          <t>Passed on test</t>
        </is>
      </c>
      <c r="C50" s="4" t="inlineStr">
        <is>
          <t>Passed on test</t>
        </is>
      </c>
      <c r="D50" s="4" t="inlineStr">
        <is>
          <t>Passed on test</t>
        </is>
      </c>
      <c r="E50" s="4" t="inlineStr">
        <is>
          <t>Passed on test</t>
        </is>
      </c>
      <c r="F50" s="4" t="inlineStr">
        <is>
          <t>Passed on test</t>
        </is>
      </c>
      <c r="G50" s="4" t="inlineStr">
        <is>
          <t>Passed on test</t>
        </is>
      </c>
      <c r="H50" s="4" t="inlineStr">
        <is>
          <t>Passed on test</t>
        </is>
      </c>
      <c r="I50" s="4" t="inlineStr">
        <is>
          <t>Passed on test</t>
        </is>
      </c>
      <c r="J50" s="4" t="inlineStr">
        <is>
          <t>Passed on test</t>
        </is>
      </c>
      <c r="K50" s="4" t="inlineStr">
        <is>
          <t>Passed on test</t>
        </is>
      </c>
      <c r="L50" s="4" t="inlineStr">
        <is>
          <t>Passed on test</t>
        </is>
      </c>
      <c r="M50" s="4" t="inlineStr">
        <is>
          <t>Passed on test</t>
        </is>
      </c>
      <c r="N50" s="3" t="inlineStr">
        <is>
          <t>NOT_TESTED</t>
        </is>
      </c>
      <c r="O50" s="3" t="inlineStr">
        <is>
          <t>NOT_TESTED</t>
        </is>
      </c>
      <c r="P50" s="3" t="inlineStr">
        <is>
          <t>NOT_TESTED</t>
        </is>
      </c>
      <c r="Q50" s="3" t="inlineStr">
        <is>
          <t>NOT_TESTED</t>
        </is>
      </c>
      <c r="R50" s="3" t="inlineStr">
        <is>
          <t>NOT_TESTED</t>
        </is>
      </c>
      <c r="S50" s="3" t="inlineStr">
        <is>
          <t>NOT_TESTED</t>
        </is>
      </c>
      <c r="T50" s="3" t="inlineStr">
        <is>
          <t>NOT_TESTED</t>
        </is>
      </c>
      <c r="U50" s="3" t="inlineStr">
        <is>
          <t>NOT_TESTED</t>
        </is>
      </c>
      <c r="V50" s="3" t="inlineStr">
        <is>
          <t>NOT_TESTED</t>
        </is>
      </c>
      <c r="W50" s="3" t="inlineStr">
        <is>
          <t>NOT_TESTED</t>
        </is>
      </c>
      <c r="X50" s="3" t="inlineStr">
        <is>
          <t>NOT_TESTED</t>
        </is>
      </c>
      <c r="Y50" s="3" t="inlineStr">
        <is>
          <t>NOT_TESTED</t>
        </is>
      </c>
      <c r="Z50" s="3" t="inlineStr">
        <is>
          <t>NOT_TESTED</t>
        </is>
      </c>
      <c r="AA50" s="3" t="inlineStr">
        <is>
          <t>NOT_TESTED</t>
        </is>
      </c>
      <c r="AB50" s="3" t="inlineStr">
        <is>
          <t>NOT_TESTED</t>
        </is>
      </c>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row>
    <row r="51">
      <c r="A51" s="2" t="inlineStr">
        <is>
          <t>issue_795</t>
        </is>
      </c>
      <c r="B51" s="4" t="inlineStr">
        <is>
          <t>Passed on test</t>
        </is>
      </c>
      <c r="C51" s="4" t="inlineStr">
        <is>
          <t>Passed on test</t>
        </is>
      </c>
      <c r="D51" s="4" t="inlineStr">
        <is>
          <t>Passed on test</t>
        </is>
      </c>
      <c r="E51" s="4" t="inlineStr">
        <is>
          <t>Passed on test</t>
        </is>
      </c>
      <c r="F51" s="4" t="inlineStr">
        <is>
          <t>Passed on test</t>
        </is>
      </c>
      <c r="G51" s="4" t="inlineStr">
        <is>
          <t>Passed on test</t>
        </is>
      </c>
      <c r="H51" s="4" t="inlineStr">
        <is>
          <t>Passed on test</t>
        </is>
      </c>
      <c r="I51" s="4" t="inlineStr">
        <is>
          <t>Passed on test</t>
        </is>
      </c>
      <c r="J51" s="4" t="inlineStr">
        <is>
          <t>Passed on test</t>
        </is>
      </c>
      <c r="K51" s="4" t="inlineStr">
        <is>
          <t>Passed on test</t>
        </is>
      </c>
      <c r="L51" s="4" t="inlineStr">
        <is>
          <t>Passed on test</t>
        </is>
      </c>
      <c r="M51" s="4" t="inlineStr">
        <is>
          <t>Passed on test</t>
        </is>
      </c>
      <c r="N51" s="3" t="inlineStr">
        <is>
          <t>NOT_TESTED</t>
        </is>
      </c>
      <c r="O51" s="3" t="inlineStr">
        <is>
          <t>NOT_TESTED</t>
        </is>
      </c>
      <c r="P51" s="3" t="inlineStr">
        <is>
          <t>NOT_TESTED</t>
        </is>
      </c>
      <c r="Q51" s="3" t="inlineStr">
        <is>
          <t>NOT_TESTED</t>
        </is>
      </c>
      <c r="R51" s="3" t="inlineStr">
        <is>
          <t>NOT_TESTED</t>
        </is>
      </c>
      <c r="S51" s="3" t="inlineStr">
        <is>
          <t>NOT_TESTED</t>
        </is>
      </c>
      <c r="T51" s="3" t="inlineStr">
        <is>
          <t>NOT_TESTED</t>
        </is>
      </c>
      <c r="U51" s="3" t="inlineStr">
        <is>
          <t>NOT_TESTED</t>
        </is>
      </c>
      <c r="V51" s="3" t="inlineStr">
        <is>
          <t>NOT_TESTED</t>
        </is>
      </c>
      <c r="W51" s="3" t="inlineStr">
        <is>
          <t>NOT_TESTED</t>
        </is>
      </c>
      <c r="X51" s="3" t="inlineStr">
        <is>
          <t>NOT_TESTED</t>
        </is>
      </c>
      <c r="Y51" s="3" t="inlineStr">
        <is>
          <t>NOT_TESTED</t>
        </is>
      </c>
      <c r="Z51" s="3" t="inlineStr">
        <is>
          <t>NOT_TESTED</t>
        </is>
      </c>
      <c r="AA51" s="3" t="inlineStr">
        <is>
          <t>NOT_TESTED</t>
        </is>
      </c>
      <c r="AB51" s="3" t="inlineStr">
        <is>
          <t>NOT_TESTED</t>
        </is>
      </c>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row>
    <row r="52">
      <c r="A52" s="2" t="inlineStr">
        <is>
          <t>issue_803</t>
        </is>
      </c>
      <c r="B52" s="5" t="inlineStr">
        <is>
          <t>Failed on test</t>
        </is>
      </c>
      <c r="C52" s="5" t="inlineStr">
        <is>
          <t>Failed on test</t>
        </is>
      </c>
      <c r="D52" s="5" t="inlineStr">
        <is>
          <t>Failed on test</t>
        </is>
      </c>
      <c r="E52" s="5" t="inlineStr">
        <is>
          <t>Failed on test</t>
        </is>
      </c>
      <c r="F52" s="6" t="inlineStr">
        <is>
          <t>Runtime error</t>
        </is>
      </c>
      <c r="G52" s="6" t="inlineStr">
        <is>
          <t>Runtime error</t>
        </is>
      </c>
      <c r="H52" s="6" t="inlineStr">
        <is>
          <t>Runtime error</t>
        </is>
      </c>
      <c r="I52" s="6" t="inlineStr">
        <is>
          <t>Runtime error</t>
        </is>
      </c>
      <c r="J52" s="6" t="inlineStr">
        <is>
          <t>Runtime error</t>
        </is>
      </c>
      <c r="K52" s="6" t="inlineStr">
        <is>
          <t>Runtime error</t>
        </is>
      </c>
      <c r="L52" s="6" t="inlineStr">
        <is>
          <t>Runtime error</t>
        </is>
      </c>
      <c r="M52" s="6" t="inlineStr">
        <is>
          <t>Runtime error</t>
        </is>
      </c>
      <c r="N52" s="3" t="inlineStr">
        <is>
          <t>NOT_TESTED</t>
        </is>
      </c>
      <c r="O52" s="3" t="inlineStr">
        <is>
          <t>NOT_TESTED</t>
        </is>
      </c>
      <c r="P52" s="3" t="inlineStr">
        <is>
          <t>NOT_TESTED</t>
        </is>
      </c>
      <c r="Q52" s="3" t="inlineStr">
        <is>
          <t>NOT_TESTED</t>
        </is>
      </c>
      <c r="R52" s="3" t="inlineStr">
        <is>
          <t>NOT_TESTED</t>
        </is>
      </c>
      <c r="S52" s="3" t="inlineStr">
        <is>
          <t>NOT_TESTED</t>
        </is>
      </c>
      <c r="T52" s="3" t="inlineStr">
        <is>
          <t>NOT_TESTED</t>
        </is>
      </c>
      <c r="U52" s="3" t="inlineStr">
        <is>
          <t>NOT_TESTED</t>
        </is>
      </c>
      <c r="V52" s="3" t="inlineStr">
        <is>
          <t>NOT_TESTED</t>
        </is>
      </c>
      <c r="W52" s="3" t="inlineStr">
        <is>
          <t>NOT_TESTED</t>
        </is>
      </c>
      <c r="X52" s="3" t="inlineStr">
        <is>
          <t>NOT_TESTED</t>
        </is>
      </c>
      <c r="Y52" s="3" t="inlineStr">
        <is>
          <t>NOT_TESTED</t>
        </is>
      </c>
      <c r="Z52" s="3" t="inlineStr">
        <is>
          <t>NOT_TESTED</t>
        </is>
      </c>
      <c r="AA52" s="3" t="inlineStr">
        <is>
          <t>NOT_TESTED</t>
        </is>
      </c>
      <c r="AB52" s="3" t="inlineStr">
        <is>
          <t>NOT_TESTED</t>
        </is>
      </c>
      <c r="AC52" s="2" t="inlineStr">
        <is>
          <t>AssertionError</t>
        </is>
      </c>
      <c r="AD52" s="2" t="inlineStr">
        <is>
          <t>ValueError: The truth value of an array with more than one element is ambiguous. Use a.any() or a.all(); AssertionError: array([list([53, 47]), list([100]), list([100])], dtype=object) is not an instance of &lt;class 'list'&gt;</t>
        </is>
      </c>
      <c r="AE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F52" s="2" t="inlineStr">
        <is>
          <t>AssertionError</t>
        </is>
      </c>
      <c r="AG52" s="2" t="inlineStr">
        <is>
          <t>ValueError: The truth value of an array with more than one element is ambiguous. Use a.any() or a.all(); AssertionError: array([list([58, 42]), list([100]), list([100])], dtype=object) is not an instance of &lt;class 'list'&gt;</t>
        </is>
      </c>
      <c r="AH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I52" s="2" t="inlineStr">
        <is>
          <t>AssertionError</t>
        </is>
      </c>
      <c r="AJ52" s="2" t="inlineStr">
        <is>
          <t>ValueError: The truth value of an array with more than one element is ambiguous. Use a.any() or a.all(); AssertionError: array([list([54, 46]), list([100]), list([100])], dtype=object) is not an instance of &lt;class 'list'&gt;</t>
        </is>
      </c>
      <c r="AK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L52" s="2" t="inlineStr">
        <is>
          <t>AssertionError</t>
        </is>
      </c>
      <c r="AM52" s="2" t="inlineStr">
        <is>
          <t>ValueError: The truth value of an array with more than one element is ambiguous. Use a.any() or a.all(); AssertionError: array([list([42, 58]), list([100]), list([100])], dtype=object) is not an instance of &lt;class 'list'&gt;</t>
        </is>
      </c>
      <c r="AN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O52" s="2" t="inlineStr">
        <is>
          <t>ValueError</t>
        </is>
      </c>
      <c r="AP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Q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R52" s="2" t="inlineStr">
        <is>
          <t>ValueError</t>
        </is>
      </c>
      <c r="AS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T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U52" s="2" t="inlineStr">
        <is>
          <t>ValueError</t>
        </is>
      </c>
      <c r="AV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W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AX52" s="2" t="inlineStr">
        <is>
          <t>ValueError</t>
        </is>
      </c>
      <c r="AY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Z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BA52" s="2" t="inlineStr">
        <is>
          <t>ValueError</t>
        </is>
      </c>
      <c r="BB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C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BD52" s="2" t="inlineStr">
        <is>
          <t>ValueError</t>
        </is>
      </c>
      <c r="BE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F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BG52" s="2" t="inlineStr">
        <is>
          <t>ValueError</t>
        </is>
      </c>
      <c r="BH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I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BJ52" s="2" t="inlineStr">
        <is>
          <t>ValueError</t>
        </is>
      </c>
      <c r="BK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L52" s="2"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row>
    <row r="53">
      <c r="A53" s="2" t="inlineStr">
        <is>
          <t>issue_810</t>
        </is>
      </c>
      <c r="B53" s="3" t="inlineStr">
        <is>
          <t>NOT_TESTED</t>
        </is>
      </c>
      <c r="C53" s="3" t="inlineStr">
        <is>
          <t>NOT_TESTED</t>
        </is>
      </c>
      <c r="D53" s="3" t="inlineStr">
        <is>
          <t>NOT_TESTED</t>
        </is>
      </c>
      <c r="E53" s="3" t="inlineStr">
        <is>
          <t>NOT_TESTED</t>
        </is>
      </c>
      <c r="F53" s="3" t="inlineStr">
        <is>
          <t>NOT_TESTED</t>
        </is>
      </c>
      <c r="G53" s="4" t="inlineStr">
        <is>
          <t>Passed on test</t>
        </is>
      </c>
      <c r="H53" s="3" t="inlineStr">
        <is>
          <t>NOT_TESTED</t>
        </is>
      </c>
      <c r="I53" s="3" t="inlineStr">
        <is>
          <t>NOT_TESTED</t>
        </is>
      </c>
      <c r="J53" s="3" t="inlineStr">
        <is>
          <t>NOT_TESTED</t>
        </is>
      </c>
      <c r="K53" s="3" t="inlineStr">
        <is>
          <t>NOT_TESTED</t>
        </is>
      </c>
      <c r="L53" s="4" t="inlineStr">
        <is>
          <t>Passed on test</t>
        </is>
      </c>
      <c r="M53" s="3" t="inlineStr">
        <is>
          <t>NOT_TESTED</t>
        </is>
      </c>
      <c r="N53" s="3" t="inlineStr">
        <is>
          <t>NOT_TESTED</t>
        </is>
      </c>
      <c r="O53" s="3" t="inlineStr">
        <is>
          <t>NOT_TESTED</t>
        </is>
      </c>
      <c r="P53" s="3" t="inlineStr">
        <is>
          <t>NOT_TESTED</t>
        </is>
      </c>
      <c r="Q53" s="3" t="inlineStr">
        <is>
          <t>NOT_TESTED</t>
        </is>
      </c>
      <c r="R53" s="3" t="inlineStr">
        <is>
          <t>NOT_TESTED</t>
        </is>
      </c>
      <c r="S53" s="3" t="inlineStr">
        <is>
          <t>NOT_TESTED</t>
        </is>
      </c>
      <c r="T53" s="3" t="inlineStr">
        <is>
          <t>NOT_TESTED</t>
        </is>
      </c>
      <c r="U53" s="3" t="inlineStr">
        <is>
          <t>NOT_TESTED</t>
        </is>
      </c>
      <c r="V53" s="3" t="inlineStr">
        <is>
          <t>NOT_TESTED</t>
        </is>
      </c>
      <c r="W53" s="3" t="inlineStr">
        <is>
          <t>NOT_TESTED</t>
        </is>
      </c>
      <c r="X53" s="3" t="inlineStr">
        <is>
          <t>NOT_TESTED</t>
        </is>
      </c>
      <c r="Y53" s="3" t="inlineStr">
        <is>
          <t>NOT_TESTED</t>
        </is>
      </c>
      <c r="Z53" s="3" t="inlineStr">
        <is>
          <t>NOT_TESTED</t>
        </is>
      </c>
      <c r="AA53" s="3" t="inlineStr">
        <is>
          <t>NOT_TESTED</t>
        </is>
      </c>
      <c r="AB53" s="3" t="inlineStr">
        <is>
          <t>NOT_TESTED</t>
        </is>
      </c>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row>
    <row r="54">
      <c r="A54" s="2" t="inlineStr">
        <is>
          <t>issue_816</t>
        </is>
      </c>
      <c r="B54" s="3" t="inlineStr">
        <is>
          <t>NOT_TESTED</t>
        </is>
      </c>
      <c r="C54" s="3" t="inlineStr">
        <is>
          <t>NOT_TESTED</t>
        </is>
      </c>
      <c r="D54" s="3" t="inlineStr">
        <is>
          <t>NOT_TESTED</t>
        </is>
      </c>
      <c r="E54" s="3" t="inlineStr">
        <is>
          <t>NOT_TESTED</t>
        </is>
      </c>
      <c r="F54" s="4" t="inlineStr">
        <is>
          <t>Passed on test</t>
        </is>
      </c>
      <c r="G54" s="4" t="inlineStr">
        <is>
          <t>Passed on test</t>
        </is>
      </c>
      <c r="H54" s="4" t="inlineStr">
        <is>
          <t>Passed on test</t>
        </is>
      </c>
      <c r="I54" s="4" t="inlineStr">
        <is>
          <t>Passed on test</t>
        </is>
      </c>
      <c r="J54" s="4" t="inlineStr">
        <is>
          <t>Passed on test</t>
        </is>
      </c>
      <c r="K54" s="4" t="inlineStr">
        <is>
          <t>Passed on test</t>
        </is>
      </c>
      <c r="L54" s="4" t="inlineStr">
        <is>
          <t>Passed on test</t>
        </is>
      </c>
      <c r="M54" s="4" t="inlineStr">
        <is>
          <t>Passed on test</t>
        </is>
      </c>
      <c r="N54" s="4" t="inlineStr">
        <is>
          <t>Passed on test</t>
        </is>
      </c>
      <c r="O54" s="4" t="inlineStr">
        <is>
          <t>Passed on test</t>
        </is>
      </c>
      <c r="P54" s="4" t="inlineStr">
        <is>
          <t>Passed on test</t>
        </is>
      </c>
      <c r="Q54" s="4" t="inlineStr">
        <is>
          <t>Passed on test</t>
        </is>
      </c>
      <c r="R54" s="4" t="inlineStr">
        <is>
          <t>Passed on test</t>
        </is>
      </c>
      <c r="S54" s="4" t="inlineStr">
        <is>
          <t>Passed on test</t>
        </is>
      </c>
      <c r="T54" s="4" t="inlineStr">
        <is>
          <t>Passed on test</t>
        </is>
      </c>
      <c r="U54" s="4" t="inlineStr">
        <is>
          <t>Passed on test</t>
        </is>
      </c>
      <c r="V54" s="4" t="inlineStr">
        <is>
          <t>Passed on test</t>
        </is>
      </c>
      <c r="W54" s="4" t="inlineStr">
        <is>
          <t>Passed on test</t>
        </is>
      </c>
      <c r="X54" s="4" t="inlineStr">
        <is>
          <t>Passed on test</t>
        </is>
      </c>
      <c r="Y54" s="4" t="inlineStr">
        <is>
          <t>Passed on test</t>
        </is>
      </c>
      <c r="Z54" s="4" t="inlineStr">
        <is>
          <t>Passed on test</t>
        </is>
      </c>
      <c r="AA54" s="4" t="inlineStr">
        <is>
          <t>Passed on test</t>
        </is>
      </c>
      <c r="AB54" s="4" t="inlineStr">
        <is>
          <t>Passed on test</t>
        </is>
      </c>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2" t="n"/>
      <c r="CW54" s="2" t="n"/>
      <c r="CX54" s="2" t="n"/>
      <c r="CY54" s="2" t="n"/>
      <c r="CZ54" s="2" t="n"/>
      <c r="DA54" s="2" t="n"/>
      <c r="DB54" s="2" t="n"/>
      <c r="DC54" s="2" t="n"/>
      <c r="DD54" s="2" t="n"/>
      <c r="DE54" s="2" t="n"/>
    </row>
    <row r="55">
      <c r="A55" s="2" t="inlineStr">
        <is>
          <t>issue_876</t>
        </is>
      </c>
      <c r="B55" s="3" t="inlineStr">
        <is>
          <t>NOT_TESTED</t>
        </is>
      </c>
      <c r="C55" s="3" t="inlineStr">
        <is>
          <t>NOT_TESTED</t>
        </is>
      </c>
      <c r="D55" s="3" t="inlineStr">
        <is>
          <t>NOT_TESTED</t>
        </is>
      </c>
      <c r="E55" s="3" t="inlineStr">
        <is>
          <t>NOT_TESTED</t>
        </is>
      </c>
      <c r="F55" s="3" t="inlineStr">
        <is>
          <t>NOT_TESTED</t>
        </is>
      </c>
      <c r="G55" s="3" t="inlineStr">
        <is>
          <t>NOT_TESTED</t>
        </is>
      </c>
      <c r="H55" s="3" t="inlineStr">
        <is>
          <t>NOT_TESTED</t>
        </is>
      </c>
      <c r="I55" s="3" t="inlineStr">
        <is>
          <t>NOT_TESTED</t>
        </is>
      </c>
      <c r="J55" s="3" t="inlineStr">
        <is>
          <t>NOT_TESTED</t>
        </is>
      </c>
      <c r="K55" s="3" t="inlineStr">
        <is>
          <t>NOT_TESTED</t>
        </is>
      </c>
      <c r="L55" s="3" t="inlineStr">
        <is>
          <t>NOT_TESTED</t>
        </is>
      </c>
      <c r="M55" s="3" t="inlineStr">
        <is>
          <t>NOT_TESTED</t>
        </is>
      </c>
      <c r="N55" s="6" t="inlineStr">
        <is>
          <t>Runtime error</t>
        </is>
      </c>
      <c r="O55" s="6" t="inlineStr">
        <is>
          <t>Runtime error</t>
        </is>
      </c>
      <c r="P55" s="6" t="inlineStr">
        <is>
          <t>Runtime error</t>
        </is>
      </c>
      <c r="Q55" s="6" t="inlineStr">
        <is>
          <t>Runtime error</t>
        </is>
      </c>
      <c r="R55" s="6" t="inlineStr">
        <is>
          <t>Runtime error</t>
        </is>
      </c>
      <c r="S55" s="6" t="inlineStr">
        <is>
          <t>Runtime error</t>
        </is>
      </c>
      <c r="T55" s="6" t="inlineStr">
        <is>
          <t>Runtime error</t>
        </is>
      </c>
      <c r="U55" s="6" t="inlineStr">
        <is>
          <t>Runtime error</t>
        </is>
      </c>
      <c r="V55" s="6" t="inlineStr">
        <is>
          <t>Runtime error</t>
        </is>
      </c>
      <c r="W55" s="6" t="inlineStr">
        <is>
          <t>Runtime error</t>
        </is>
      </c>
      <c r="X55" s="6" t="inlineStr">
        <is>
          <t>Runtime error</t>
        </is>
      </c>
      <c r="Y55" s="6" t="inlineStr">
        <is>
          <t>Runtime error</t>
        </is>
      </c>
      <c r="Z55" s="6" t="inlineStr">
        <is>
          <t>Runtime error</t>
        </is>
      </c>
      <c r="AA55" s="6" t="inlineStr">
        <is>
          <t>Runtime error</t>
        </is>
      </c>
      <c r="AB55" s="6" t="inlineStr">
        <is>
          <t>Runtime error</t>
        </is>
      </c>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inlineStr">
        <is>
          <t>QiskitError</t>
        </is>
      </c>
      <c r="BN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O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BP55" s="2" t="inlineStr">
        <is>
          <t>QiskitError</t>
        </is>
      </c>
      <c r="BQ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R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BS55" s="2" t="inlineStr">
        <is>
          <t>QiskitError</t>
        </is>
      </c>
      <c r="BT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U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BV55" s="2" t="inlineStr">
        <is>
          <t>QiskitError</t>
        </is>
      </c>
      <c r="BW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BX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BY55" s="2" t="inlineStr">
        <is>
          <t>QiskitError</t>
        </is>
      </c>
      <c r="BZ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A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B55" s="2" t="inlineStr">
        <is>
          <t>QiskitError</t>
        </is>
      </c>
      <c r="CC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D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E55" s="2" t="inlineStr">
        <is>
          <t>QiskitError</t>
        </is>
      </c>
      <c r="CF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G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H55" s="2" t="inlineStr">
        <is>
          <t>QiskitError</t>
        </is>
      </c>
      <c r="CI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J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K55" s="2" t="inlineStr">
        <is>
          <t>QiskitError</t>
        </is>
      </c>
      <c r="CL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M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N55" s="2" t="inlineStr">
        <is>
          <t>QiskitError</t>
        </is>
      </c>
      <c r="CO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P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Q55" s="2" t="inlineStr">
        <is>
          <t>QiskitError</t>
        </is>
      </c>
      <c r="CR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S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T55" s="2" t="inlineStr">
        <is>
          <t>QiskitError</t>
        </is>
      </c>
      <c r="CU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V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W55" s="2" t="inlineStr">
        <is>
          <t>QiskitError</t>
        </is>
      </c>
      <c r="CX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CY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CZ55" s="2" t="inlineStr">
        <is>
          <t>QiskitError</t>
        </is>
      </c>
      <c r="DA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DB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DC55" s="2" t="inlineStr">
        <is>
          <t>QiskitError</t>
        </is>
      </c>
      <c r="DD55" s="2"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DE55" s="2"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row>
    <row r="56">
      <c r="A56" s="2" t="inlineStr">
        <is>
          <t>issue_877</t>
        </is>
      </c>
      <c r="B56" s="3" t="inlineStr">
        <is>
          <t>NOT_TESTED</t>
        </is>
      </c>
      <c r="C56" s="3" t="inlineStr">
        <is>
          <t>NOT_TESTED</t>
        </is>
      </c>
      <c r="D56" s="3" t="inlineStr">
        <is>
          <t>NOT_TESTED</t>
        </is>
      </c>
      <c r="E56" s="3" t="inlineStr">
        <is>
          <t>NOT_TESTED</t>
        </is>
      </c>
      <c r="F56" s="6" t="inlineStr">
        <is>
          <t>Runtime error</t>
        </is>
      </c>
      <c r="G56" s="6" t="inlineStr">
        <is>
          <t>Runtime error</t>
        </is>
      </c>
      <c r="H56" s="6" t="inlineStr">
        <is>
          <t>Runtime error</t>
        </is>
      </c>
      <c r="I56" s="6" t="inlineStr">
        <is>
          <t>Runtime error</t>
        </is>
      </c>
      <c r="J56" s="6" t="inlineStr">
        <is>
          <t>Runtime error</t>
        </is>
      </c>
      <c r="K56" s="6" t="inlineStr">
        <is>
          <t>Runtime error</t>
        </is>
      </c>
      <c r="L56" s="6" t="inlineStr">
        <is>
          <t>Runtime error</t>
        </is>
      </c>
      <c r="M56" s="6" t="inlineStr">
        <is>
          <t>Runtime error</t>
        </is>
      </c>
      <c r="N56" s="3" t="inlineStr">
        <is>
          <t>NOT_TESTED</t>
        </is>
      </c>
      <c r="O56" s="3" t="inlineStr">
        <is>
          <t>NOT_TESTED</t>
        </is>
      </c>
      <c r="P56" s="3" t="inlineStr">
        <is>
          <t>NOT_TESTED</t>
        </is>
      </c>
      <c r="Q56" s="3" t="inlineStr">
        <is>
          <t>NOT_TESTED</t>
        </is>
      </c>
      <c r="R56" s="3" t="inlineStr">
        <is>
          <t>NOT_TESTED</t>
        </is>
      </c>
      <c r="S56" s="3" t="inlineStr">
        <is>
          <t>NOT_TESTED</t>
        </is>
      </c>
      <c r="T56" s="3" t="inlineStr">
        <is>
          <t>NOT_TESTED</t>
        </is>
      </c>
      <c r="U56" s="3" t="inlineStr">
        <is>
          <t>NOT_TESTED</t>
        </is>
      </c>
      <c r="V56" s="3" t="inlineStr">
        <is>
          <t>NOT_TESTED</t>
        </is>
      </c>
      <c r="W56" s="3" t="inlineStr">
        <is>
          <t>NOT_TESTED</t>
        </is>
      </c>
      <c r="X56" s="3" t="inlineStr">
        <is>
          <t>NOT_TESTED</t>
        </is>
      </c>
      <c r="Y56" s="3" t="inlineStr">
        <is>
          <t>NOT_TESTED</t>
        </is>
      </c>
      <c r="Z56" s="3" t="inlineStr">
        <is>
          <t>NOT_TESTED</t>
        </is>
      </c>
      <c r="AA56" s="3" t="inlineStr">
        <is>
          <t>NOT_TESTED</t>
        </is>
      </c>
      <c r="AB56" s="3" t="inlineStr">
        <is>
          <t>NOT_TESTED</t>
        </is>
      </c>
      <c r="AC56" s="2" t="n"/>
      <c r="AD56" s="2" t="n"/>
      <c r="AE56" s="2" t="n"/>
      <c r="AF56" s="2" t="n"/>
      <c r="AG56" s="2" t="n"/>
      <c r="AH56" s="2" t="n"/>
      <c r="AI56" s="2" t="n"/>
      <c r="AJ56" s="2" t="n"/>
      <c r="AK56" s="2" t="n"/>
      <c r="AL56" s="2" t="n"/>
      <c r="AM56" s="2" t="n"/>
      <c r="AN56" s="2" t="n"/>
      <c r="AO56" s="2" t="inlineStr">
        <is>
          <t>ModuleNotFoundError</t>
        </is>
      </c>
      <c r="AP56" s="2" t="inlineStr">
        <is>
          <t>ModuleNotFoundError: No module named 'qiskit_ibm_runtime'</t>
        </is>
      </c>
      <c r="AQ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AR56" s="2" t="inlineStr">
        <is>
          <t>ModuleNotFoundError</t>
        </is>
      </c>
      <c r="AS56" s="2" t="inlineStr">
        <is>
          <t>ModuleNotFoundError: No module named 'qiskit_ibm_runtime'</t>
        </is>
      </c>
      <c r="AT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AU56" s="2" t="inlineStr">
        <is>
          <t>ModuleNotFoundError</t>
        </is>
      </c>
      <c r="AV56" s="2" t="inlineStr">
        <is>
          <t>ModuleNotFoundError: No module named 'qiskit_ibm_runtime'</t>
        </is>
      </c>
      <c r="AW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AX56" s="2" t="inlineStr">
        <is>
          <t>ModuleNotFoundError</t>
        </is>
      </c>
      <c r="AY56" s="2" t="inlineStr">
        <is>
          <t>ModuleNotFoundError: No module named 'qiskit_ibm_runtime'</t>
        </is>
      </c>
      <c r="AZ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BA56" s="2" t="inlineStr">
        <is>
          <t>ModuleNotFoundError</t>
        </is>
      </c>
      <c r="BB56" s="2" t="inlineStr">
        <is>
          <t>ModuleNotFoundError: No module named 'qiskit_ibm_runtime'</t>
        </is>
      </c>
      <c r="BC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BD56" s="2" t="inlineStr">
        <is>
          <t>ModuleNotFoundError</t>
        </is>
      </c>
      <c r="BE56" s="2" t="inlineStr">
        <is>
          <t>ModuleNotFoundError: No module named 'qiskit_ibm_runtime'</t>
        </is>
      </c>
      <c r="BF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BG56" s="2" t="inlineStr">
        <is>
          <t>ModuleNotFoundError</t>
        </is>
      </c>
      <c r="BH56" s="2" t="inlineStr">
        <is>
          <t>ModuleNotFoundError: No module named 'qiskit_ibm_runtime'</t>
        </is>
      </c>
      <c r="BI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BJ56" s="2" t="inlineStr">
        <is>
          <t>ModuleNotFoundError</t>
        </is>
      </c>
      <c r="BK56" s="2" t="inlineStr">
        <is>
          <t>ModuleNotFoundError: No module named 'qiskit_ibm_runtime'</t>
        </is>
      </c>
      <c r="BL56" s="2"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row>
    <row r="57">
      <c r="A57" s="2" t="inlineStr">
        <is>
          <t>issue_886</t>
        </is>
      </c>
      <c r="B57" s="3" t="inlineStr">
        <is>
          <t>NOT_TESTED</t>
        </is>
      </c>
      <c r="C57" s="3" t="inlineStr">
        <is>
          <t>NOT_TESTED</t>
        </is>
      </c>
      <c r="D57" s="3" t="inlineStr">
        <is>
          <t>NOT_TESTED</t>
        </is>
      </c>
      <c r="E57" s="3" t="inlineStr">
        <is>
          <t>NOT_TESTED</t>
        </is>
      </c>
      <c r="F57" s="4" t="inlineStr">
        <is>
          <t>Passed on test</t>
        </is>
      </c>
      <c r="G57" s="4" t="inlineStr">
        <is>
          <t>Passed on test</t>
        </is>
      </c>
      <c r="H57" s="3" t="inlineStr">
        <is>
          <t>NOT_TESTED</t>
        </is>
      </c>
      <c r="I57" s="3" t="inlineStr">
        <is>
          <t>NOT_TESTED</t>
        </is>
      </c>
      <c r="J57" s="3" t="inlineStr">
        <is>
          <t>NOT_TESTED</t>
        </is>
      </c>
      <c r="K57" s="3" t="inlineStr">
        <is>
          <t>NOT_TESTED</t>
        </is>
      </c>
      <c r="L57" s="3" t="inlineStr">
        <is>
          <t>NOT_TESTED</t>
        </is>
      </c>
      <c r="M57" s="3" t="inlineStr">
        <is>
          <t>NOT_TESTED</t>
        </is>
      </c>
      <c r="N57" s="3" t="inlineStr">
        <is>
          <t>NOT_TESTED</t>
        </is>
      </c>
      <c r="O57" s="3" t="inlineStr">
        <is>
          <t>NOT_TESTED</t>
        </is>
      </c>
      <c r="P57" s="3" t="inlineStr">
        <is>
          <t>NOT_TESTED</t>
        </is>
      </c>
      <c r="Q57" s="3" t="inlineStr">
        <is>
          <t>NOT_TESTED</t>
        </is>
      </c>
      <c r="R57" s="3" t="inlineStr">
        <is>
          <t>NOT_TESTED</t>
        </is>
      </c>
      <c r="S57" s="3" t="inlineStr">
        <is>
          <t>NOT_TESTED</t>
        </is>
      </c>
      <c r="T57" s="3" t="inlineStr">
        <is>
          <t>NOT_TESTED</t>
        </is>
      </c>
      <c r="U57" s="3" t="inlineStr">
        <is>
          <t>NOT_TESTED</t>
        </is>
      </c>
      <c r="V57" s="3" t="inlineStr">
        <is>
          <t>NOT_TESTED</t>
        </is>
      </c>
      <c r="W57" s="3" t="inlineStr">
        <is>
          <t>NOT_TESTED</t>
        </is>
      </c>
      <c r="X57" s="3" t="inlineStr">
        <is>
          <t>NOT_TESTED</t>
        </is>
      </c>
      <c r="Y57" s="3" t="inlineStr">
        <is>
          <t>NOT_TESTED</t>
        </is>
      </c>
      <c r="Z57" s="3" t="inlineStr">
        <is>
          <t>NOT_TESTED</t>
        </is>
      </c>
      <c r="AA57" s="3" t="inlineStr">
        <is>
          <t>NOT_TESTED</t>
        </is>
      </c>
      <c r="AB57" s="3" t="inlineStr">
        <is>
          <t>NOT_TESTED</t>
        </is>
      </c>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row>
    <row r="58">
      <c r="A58" s="2" t="inlineStr">
        <is>
          <t>issue_889</t>
        </is>
      </c>
      <c r="B58" s="6" t="inlineStr">
        <is>
          <t>Runtime error</t>
        </is>
      </c>
      <c r="C58" s="6" t="inlineStr">
        <is>
          <t>Runtime error</t>
        </is>
      </c>
      <c r="D58" s="6" t="inlineStr">
        <is>
          <t>Runtime error</t>
        </is>
      </c>
      <c r="E58" s="6" t="inlineStr">
        <is>
          <t>Runtime error</t>
        </is>
      </c>
      <c r="F58" s="5" t="inlineStr">
        <is>
          <t>Failed on test</t>
        </is>
      </c>
      <c r="G58" s="5" t="inlineStr">
        <is>
          <t>Failed on test</t>
        </is>
      </c>
      <c r="H58" s="5" t="inlineStr">
        <is>
          <t>Failed on test</t>
        </is>
      </c>
      <c r="I58" s="5" t="inlineStr">
        <is>
          <t>Failed on test</t>
        </is>
      </c>
      <c r="J58" s="5" t="inlineStr">
        <is>
          <t>Failed on test</t>
        </is>
      </c>
      <c r="K58" s="5" t="inlineStr">
        <is>
          <t>Failed on test</t>
        </is>
      </c>
      <c r="L58" s="5" t="inlineStr">
        <is>
          <t>Failed on test</t>
        </is>
      </c>
      <c r="M58" s="5" t="inlineStr">
        <is>
          <t>Failed on test</t>
        </is>
      </c>
      <c r="N58" s="3" t="inlineStr">
        <is>
          <t>NOT_TESTED</t>
        </is>
      </c>
      <c r="O58" s="3" t="inlineStr">
        <is>
          <t>NOT_TESTED</t>
        </is>
      </c>
      <c r="P58" s="3" t="inlineStr">
        <is>
          <t>NOT_TESTED</t>
        </is>
      </c>
      <c r="Q58" s="3" t="inlineStr">
        <is>
          <t>NOT_TESTED</t>
        </is>
      </c>
      <c r="R58" s="3" t="inlineStr">
        <is>
          <t>NOT_TESTED</t>
        </is>
      </c>
      <c r="S58" s="3" t="inlineStr">
        <is>
          <t>NOT_TESTED</t>
        </is>
      </c>
      <c r="T58" s="3" t="inlineStr">
        <is>
          <t>NOT_TESTED</t>
        </is>
      </c>
      <c r="U58" s="3" t="inlineStr">
        <is>
          <t>NOT_TESTED</t>
        </is>
      </c>
      <c r="V58" s="3" t="inlineStr">
        <is>
          <t>NOT_TESTED</t>
        </is>
      </c>
      <c r="W58" s="3" t="inlineStr">
        <is>
          <t>NOT_TESTED</t>
        </is>
      </c>
      <c r="X58" s="3" t="inlineStr">
        <is>
          <t>NOT_TESTED</t>
        </is>
      </c>
      <c r="Y58" s="3" t="inlineStr">
        <is>
          <t>NOT_TESTED</t>
        </is>
      </c>
      <c r="Z58" s="3" t="inlineStr">
        <is>
          <t>NOT_TESTED</t>
        </is>
      </c>
      <c r="AA58" s="3" t="inlineStr">
        <is>
          <t>NOT_TESTED</t>
        </is>
      </c>
      <c r="AB58" s="3" t="inlineStr">
        <is>
          <t>NOT_TESTED</t>
        </is>
      </c>
      <c r="AC58" s="2" t="inlineStr">
        <is>
          <t>ImportError</t>
        </is>
      </c>
      <c r="AD58" s="2" t="inlineStr">
        <is>
          <t>ImportError: cannot import name 'PauliEvolutionGate' from 'qiskit.circuit.library' (C:\qiskit_envs\q0250\lib\site-packages\qiskit\circuit\library\__init__.py)</t>
        </is>
      </c>
      <c r="AE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F58" s="2" t="inlineStr">
        <is>
          <t>ImportError</t>
        </is>
      </c>
      <c r="AG58" s="2" t="inlineStr">
        <is>
          <t>ImportError: cannot import name 'PauliEvolutionGate' from 'qiskit.circuit.library' (C:\qiskit_envs\q0251\lib\site-packages\qiskit\circuit\library\__init__.py)</t>
        </is>
      </c>
      <c r="AH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I58" s="2" t="inlineStr">
        <is>
          <t>ImportError</t>
        </is>
      </c>
      <c r="AJ58" s="2" t="inlineStr">
        <is>
          <t>ImportError: cannot import name 'PauliEvolutionGate' from 'qiskit.circuit.library' (C:\qiskit_envs\q0252\lib\site-packages\qiskit\circuit\library\__init__.py)</t>
        </is>
      </c>
      <c r="AK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L58" s="2" t="inlineStr">
        <is>
          <t>ImportError</t>
        </is>
      </c>
      <c r="AM58" s="2" t="inlineStr">
        <is>
          <t>ImportError: cannot import name 'PauliEvolutionGate' from 'qiskit.circuit.library' (C:\qiskit_envs\q0253\lib\site-packages\qiskit\circuit\library\__init__.py)</t>
        </is>
      </c>
      <c r="AN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O58" s="2" t="inlineStr">
        <is>
          <t>AssertionError</t>
        </is>
      </c>
      <c r="AP58" s="2" t="inlineStr">
        <is>
          <t>AssertionError:</t>
        </is>
      </c>
      <c r="AQ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R58" s="2" t="inlineStr">
        <is>
          <t>AssertionError</t>
        </is>
      </c>
      <c r="AS58" s="2" t="inlineStr">
        <is>
          <t>AssertionError:</t>
        </is>
      </c>
      <c r="AT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U58" s="2" t="inlineStr">
        <is>
          <t>AssertionError</t>
        </is>
      </c>
      <c r="AV58" s="2" t="inlineStr">
        <is>
          <t>AssertionError:</t>
        </is>
      </c>
      <c r="AW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AX58" s="2" t="inlineStr">
        <is>
          <t>AssertionError</t>
        </is>
      </c>
      <c r="AY58" s="2" t="inlineStr">
        <is>
          <t>AssertionError:</t>
        </is>
      </c>
      <c r="AZ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BA58" s="2" t="inlineStr">
        <is>
          <t>AssertionError</t>
        </is>
      </c>
      <c r="BB58" s="2" t="inlineStr">
        <is>
          <t>AssertionError:</t>
        </is>
      </c>
      <c r="BC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BD58" s="2" t="inlineStr">
        <is>
          <t>AssertionError</t>
        </is>
      </c>
      <c r="BE58" s="2" t="inlineStr">
        <is>
          <t>AssertionError:</t>
        </is>
      </c>
      <c r="BF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BG58" s="2" t="inlineStr">
        <is>
          <t>AssertionError</t>
        </is>
      </c>
      <c r="BH58" s="2" t="inlineStr">
        <is>
          <t>AssertionError:</t>
        </is>
      </c>
      <c r="BI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BJ58" s="2" t="inlineStr">
        <is>
          <t>AssertionError</t>
        </is>
      </c>
      <c r="BK58" s="2" t="inlineStr">
        <is>
          <t>AssertionError:</t>
        </is>
      </c>
      <c r="BL58" s="2"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2" t="n"/>
      <c r="CV58" s="2" t="n"/>
      <c r="CW58" s="2" t="n"/>
      <c r="CX58" s="2" t="n"/>
      <c r="CY58" s="2" t="n"/>
      <c r="CZ58" s="2" t="n"/>
      <c r="DA58" s="2" t="n"/>
      <c r="DB58" s="2" t="n"/>
      <c r="DC58" s="2" t="n"/>
      <c r="DD58" s="2" t="n"/>
      <c r="DE58" s="2" t="n"/>
    </row>
    <row r="59">
      <c r="A59" s="2" t="inlineStr">
        <is>
          <t>issue_911</t>
        </is>
      </c>
      <c r="B59" s="3" t="inlineStr">
        <is>
          <t>NOT_TESTED</t>
        </is>
      </c>
      <c r="C59" s="3" t="inlineStr">
        <is>
          <t>NOT_TESTED</t>
        </is>
      </c>
      <c r="D59" s="3" t="inlineStr">
        <is>
          <t>NOT_TESTED</t>
        </is>
      </c>
      <c r="E59" s="3" t="inlineStr">
        <is>
          <t>NOT_TESTED</t>
        </is>
      </c>
      <c r="F59" s="6" t="inlineStr">
        <is>
          <t>Runtime error</t>
        </is>
      </c>
      <c r="G59" s="6" t="inlineStr">
        <is>
          <t>Runtime error</t>
        </is>
      </c>
      <c r="H59" s="6" t="inlineStr">
        <is>
          <t>Runtime error</t>
        </is>
      </c>
      <c r="I59" s="6" t="inlineStr">
        <is>
          <t>Runtime error</t>
        </is>
      </c>
      <c r="J59" s="6" t="inlineStr">
        <is>
          <t>Runtime error</t>
        </is>
      </c>
      <c r="K59" s="6" t="inlineStr">
        <is>
          <t>Runtime error</t>
        </is>
      </c>
      <c r="L59" s="6" t="inlineStr">
        <is>
          <t>Runtime error</t>
        </is>
      </c>
      <c r="M59" s="6" t="inlineStr">
        <is>
          <t>Runtime error</t>
        </is>
      </c>
      <c r="N59" s="6" t="inlineStr">
        <is>
          <t>Runtime error</t>
        </is>
      </c>
      <c r="O59" s="6" t="inlineStr">
        <is>
          <t>Runtime error</t>
        </is>
      </c>
      <c r="P59" s="6" t="inlineStr">
        <is>
          <t>Runtime error</t>
        </is>
      </c>
      <c r="Q59" s="6" t="inlineStr">
        <is>
          <t>Runtime error</t>
        </is>
      </c>
      <c r="R59" s="6" t="inlineStr">
        <is>
          <t>Runtime error</t>
        </is>
      </c>
      <c r="S59" s="6" t="inlineStr">
        <is>
          <t>Runtime error</t>
        </is>
      </c>
      <c r="T59" s="6" t="inlineStr">
        <is>
          <t>Runtime error</t>
        </is>
      </c>
      <c r="U59" s="6" t="inlineStr">
        <is>
          <t>Runtime error</t>
        </is>
      </c>
      <c r="V59" s="6" t="inlineStr">
        <is>
          <t>Runtime error</t>
        </is>
      </c>
      <c r="W59" s="6" t="inlineStr">
        <is>
          <t>Runtime error</t>
        </is>
      </c>
      <c r="X59" s="6" t="inlineStr">
        <is>
          <t>Runtime error</t>
        </is>
      </c>
      <c r="Y59" s="6" t="inlineStr">
        <is>
          <t>Runtime error</t>
        </is>
      </c>
      <c r="Z59" s="6" t="inlineStr">
        <is>
          <t>Runtime error</t>
        </is>
      </c>
      <c r="AA59" s="6" t="inlineStr">
        <is>
          <t>Runtime error</t>
        </is>
      </c>
      <c r="AB59" s="6" t="inlineStr">
        <is>
          <t>Runtime error</t>
        </is>
      </c>
      <c r="AC59" s="2" t="n"/>
      <c r="AD59" s="2" t="n"/>
      <c r="AE59" s="2" t="n"/>
      <c r="AF59" s="2" t="n"/>
      <c r="AG59" s="2" t="n"/>
      <c r="AH59" s="2" t="n"/>
      <c r="AI59" s="2" t="n"/>
      <c r="AJ59" s="2" t="n"/>
      <c r="AK59" s="2" t="n"/>
      <c r="AL59" s="2" t="n"/>
      <c r="AM59" s="2" t="n"/>
      <c r="AN59" s="2" t="n"/>
      <c r="AO59" s="2" t="inlineStr">
        <is>
          <t>IndexError</t>
        </is>
      </c>
      <c r="AP59" s="2" t="inlineStr">
        <is>
          <t>IndexError: list index out of range</t>
        </is>
      </c>
      <c r="AQ59" s="2" t="inlineStr">
        <is>
          <t>The LLM replaced the removed Qubit attributes with qc.find_bit(qargs[1]), but still reads qargs[1] for every instruction, so the first single-qubit gate raises IndexError: list index out of range. claude-sonnet-5-5 (looping over every qubit) and gpt-5.6-luna passed.</t>
        </is>
      </c>
      <c r="AR59" s="2" t="inlineStr">
        <is>
          <t>IndexError</t>
        </is>
      </c>
      <c r="AS59" s="2" t="inlineStr">
        <is>
          <t>IndexError: list index out of range</t>
        </is>
      </c>
      <c r="AT59" s="2" t="inlineStr">
        <is>
          <t>The LLM replaced the removed Qubit attributes with qc.find_bit(qargs[1]), but still reads qargs[1] for every instruction, so the first single-qubit gate raises IndexError: list index out of range. claude-sonnet-5-5 (looping over every qubit) and gpt-5.6-luna passed.</t>
        </is>
      </c>
      <c r="AU59" s="2" t="inlineStr">
        <is>
          <t>IndexError</t>
        </is>
      </c>
      <c r="AV59" s="2" t="inlineStr">
        <is>
          <t>IndexError: list index out of range</t>
        </is>
      </c>
      <c r="AW59" s="2" t="inlineStr">
        <is>
          <t>The LLM replaced the removed Qubit attributes with qc.find_bit(qargs[1]), but still reads qargs[1] for every instruction, so the first single-qubit gate raises IndexError: list index out of range. claude-sonnet-5-5 (looping over every qubit) and gpt-5.6-luna passed.</t>
        </is>
      </c>
      <c r="AX59" s="2" t="inlineStr">
        <is>
          <t>IndexError</t>
        </is>
      </c>
      <c r="AY59" s="2" t="inlineStr">
        <is>
          <t>IndexError: list index out of range</t>
        </is>
      </c>
      <c r="AZ59" s="2" t="inlineStr">
        <is>
          <t>The LLM replaced the removed Qubit attributes with qc.find_bit(qargs[1]), but still reads qargs[1] for every instruction, so the first single-qubit gate raises IndexError: list index out of range. claude-sonnet-5-5 (looping over every qubit) and gpt-5.6-luna passed.</t>
        </is>
      </c>
      <c r="BA59" s="2" t="inlineStr">
        <is>
          <t>IndexError</t>
        </is>
      </c>
      <c r="BB59" s="2" t="inlineStr">
        <is>
          <t>IndexError: list index out of range</t>
        </is>
      </c>
      <c r="BC59" s="2" t="inlineStr">
        <is>
          <t>The LLM replaced the removed Qubit attributes with qc.find_bit(qargs[1]), but still reads qargs[1] for every instruction, so the first single-qubit gate raises IndexError: list index out of range. claude-sonnet-5-5 (looping over every qubit) and gpt-5.6-luna passed.</t>
        </is>
      </c>
      <c r="BD59" s="2" t="inlineStr">
        <is>
          <t>IndexError</t>
        </is>
      </c>
      <c r="BE59" s="2" t="inlineStr">
        <is>
          <t>IndexError: list index out of range</t>
        </is>
      </c>
      <c r="BF59" s="2" t="inlineStr">
        <is>
          <t>The LLM replaced the removed Qubit attributes with qc.find_bit(qargs[1]), but still reads qargs[1] for every instruction, so the first single-qubit gate raises IndexError: list index out of range. claude-sonnet-5-5 (looping over every qubit) and gpt-5.6-luna passed.</t>
        </is>
      </c>
      <c r="BG59" s="2" t="inlineStr">
        <is>
          <t>IndexError</t>
        </is>
      </c>
      <c r="BH59" s="2" t="inlineStr">
        <is>
          <t>IndexError: list index out of range</t>
        </is>
      </c>
      <c r="BI59" s="2" t="inlineStr">
        <is>
          <t>The LLM replaced the removed Qubit attributes with qc.find_bit(qargs[1]), but still reads qargs[1] for every instruction, so the first single-qubit gate raises IndexError: list index out of range. claude-sonnet-5-5 (looping over every qubit) and gpt-5.6-luna passed.</t>
        </is>
      </c>
      <c r="BJ59" s="2" t="inlineStr">
        <is>
          <t>IndexError</t>
        </is>
      </c>
      <c r="BK59" s="2" t="inlineStr">
        <is>
          <t>IndexError: list index out of range</t>
        </is>
      </c>
      <c r="BL59" s="2" t="inlineStr">
        <is>
          <t>The LLM replaced the removed Qubit attributes with qc.find_bit(qargs[1]), but still reads qargs[1] for every instruction, so the first single-qubit gate raises IndexError: list index out of range. claude-sonnet-5-5 (looping over every qubit) and gpt-5.6-luna passed.</t>
        </is>
      </c>
      <c r="BM59" s="2" t="inlineStr">
        <is>
          <t>IndexError</t>
        </is>
      </c>
      <c r="BN59" s="2" t="inlineStr">
        <is>
          <t>IndexError: list index out of range</t>
        </is>
      </c>
      <c r="BO59" s="2" t="inlineStr">
        <is>
          <t>The LLM replaced the removed Qubit attributes with qc.find_bit(qargs[1]), but still reads qargs[1] for every instruction, so the first single-qubit gate raises IndexError: list index out of range. claude-sonnet-5-5 (looping over every qubit) and gpt-5.6-luna passed.</t>
        </is>
      </c>
      <c r="BP59" s="2" t="inlineStr">
        <is>
          <t>IndexError</t>
        </is>
      </c>
      <c r="BQ59" s="2" t="inlineStr">
        <is>
          <t>IndexError: list index out of range</t>
        </is>
      </c>
      <c r="BR59" s="2" t="inlineStr">
        <is>
          <t>The LLM replaced the removed Qubit attributes with qc.find_bit(qargs[1]), but still reads qargs[1] for every instruction, so the first single-qubit gate raises IndexError: list index out of range. claude-sonnet-5-5 (looping over every qubit) and gpt-5.6-luna passed.</t>
        </is>
      </c>
      <c r="BS59" s="2" t="inlineStr">
        <is>
          <t>IndexError</t>
        </is>
      </c>
      <c r="BT59" s="2" t="inlineStr">
        <is>
          <t>IndexError: list index out of range</t>
        </is>
      </c>
      <c r="BU59" s="2" t="inlineStr">
        <is>
          <t>The LLM replaced the removed Qubit attributes with qc.find_bit(qargs[1]), but still reads qargs[1] for every instruction, so the first single-qubit gate raises IndexError: list index out of range. claude-sonnet-5-5 (looping over every qubit) and gpt-5.6-luna passed.</t>
        </is>
      </c>
      <c r="BV59" s="2" t="inlineStr">
        <is>
          <t>IndexError</t>
        </is>
      </c>
      <c r="BW59" s="2" t="inlineStr">
        <is>
          <t>IndexError: list index out of range</t>
        </is>
      </c>
      <c r="BX59" s="2" t="inlineStr">
        <is>
          <t>The LLM replaced the removed Qubit attributes with qc.find_bit(qargs[1]), but still reads qargs[1] for every instruction, so the first single-qubit gate raises IndexError: list index out of range. claude-sonnet-5-5 (looping over every qubit) and gpt-5.6-luna passed.</t>
        </is>
      </c>
      <c r="BY59" s="2" t="inlineStr">
        <is>
          <t>IndexError</t>
        </is>
      </c>
      <c r="BZ59" s="2" t="inlineStr">
        <is>
          <t>IndexError: list index out of range</t>
        </is>
      </c>
      <c r="CA59" s="2" t="inlineStr">
        <is>
          <t>The LLM replaced the removed Qubit attributes with qc.find_bit(qargs[1]), but still reads qargs[1] for every instruction, so the first single-qubit gate raises IndexError: list index out of range. claude-sonnet-5-5 (looping over every qubit) and gpt-5.6-luna passed.</t>
        </is>
      </c>
      <c r="CB59" s="2" t="inlineStr">
        <is>
          <t>IndexError</t>
        </is>
      </c>
      <c r="CC59" s="2" t="inlineStr">
        <is>
          <t>IndexError: list index out of range</t>
        </is>
      </c>
      <c r="CD59" s="2" t="inlineStr">
        <is>
          <t>The LLM replaced the removed Qubit attributes with qc.find_bit(qargs[1]), but still reads qargs[1] for every instruction, so the first single-qubit gate raises IndexError: list index out of range. claude-sonnet-5-5 (looping over every qubit) and gpt-5.6-luna passed.</t>
        </is>
      </c>
      <c r="CE59" s="2" t="inlineStr">
        <is>
          <t>IndexError</t>
        </is>
      </c>
      <c r="CF59" s="2" t="inlineStr">
        <is>
          <t>IndexError: list index out of range</t>
        </is>
      </c>
      <c r="CG59" s="2" t="inlineStr">
        <is>
          <t>The LLM replaced the removed Qubit attributes with qc.find_bit(qargs[1]), but still reads qargs[1] for every instruction, so the first single-qubit gate raises IndexError: list index out of range. claude-sonnet-5-5 (looping over every qubit) and gpt-5.6-luna passed.</t>
        </is>
      </c>
      <c r="CH59" s="2" t="inlineStr">
        <is>
          <t>IndexError</t>
        </is>
      </c>
      <c r="CI59" s="2" t="inlineStr">
        <is>
          <t>IndexError: list index out of range</t>
        </is>
      </c>
      <c r="CJ59" s="2" t="inlineStr">
        <is>
          <t>The LLM replaced the removed Qubit attributes with qc.find_bit(qargs[1]), but still reads qargs[1] for every instruction, so the first single-qubit gate raises IndexError: list index out of range. claude-sonnet-5-5 (looping over every qubit) and gpt-5.6-luna passed.</t>
        </is>
      </c>
      <c r="CK59" s="2" t="inlineStr">
        <is>
          <t>IndexError</t>
        </is>
      </c>
      <c r="CL59" s="2" t="inlineStr">
        <is>
          <t>IndexError: list index out of range</t>
        </is>
      </c>
      <c r="CM59" s="2" t="inlineStr">
        <is>
          <t>The LLM replaced the removed Qubit attributes with qc.find_bit(qargs[1]), but still reads qargs[1] for every instruction, so the first single-qubit gate raises IndexError: list index out of range. claude-sonnet-5-5 (looping over every qubit) and gpt-5.6-luna passed.</t>
        </is>
      </c>
      <c r="CN59" s="2" t="inlineStr">
        <is>
          <t>IndexError</t>
        </is>
      </c>
      <c r="CO59" s="2" t="inlineStr">
        <is>
          <t>IndexError: list index out of range</t>
        </is>
      </c>
      <c r="CP59" s="2" t="inlineStr">
        <is>
          <t>The LLM replaced the removed Qubit attributes with qc.find_bit(qargs[1]), but still reads qargs[1] for every instruction, so the first single-qubit gate raises IndexError: list index out of range. claude-sonnet-5-5 (looping over every qubit) and gpt-5.6-luna passed.</t>
        </is>
      </c>
      <c r="CQ59" s="2" t="inlineStr">
        <is>
          <t>IndexError</t>
        </is>
      </c>
      <c r="CR59" s="2" t="inlineStr">
        <is>
          <t>IndexError: list index out of range</t>
        </is>
      </c>
      <c r="CS59" s="2" t="inlineStr">
        <is>
          <t>The LLM replaced the removed Qubit attributes with qc.find_bit(qargs[1]), but still reads qargs[1] for every instruction, so the first single-qubit gate raises IndexError: list index out of range. claude-sonnet-5-5 (looping over every qubit) and gpt-5.6-luna passed.</t>
        </is>
      </c>
      <c r="CT59" s="2" t="inlineStr">
        <is>
          <t>IndexError</t>
        </is>
      </c>
      <c r="CU59" s="2" t="inlineStr">
        <is>
          <t>IndexError: list index out of range</t>
        </is>
      </c>
      <c r="CV59" s="2" t="inlineStr">
        <is>
          <t>The LLM replaced the removed Qubit attributes with qc.find_bit(qargs[1]), but still reads qargs[1] for every instruction, so the first single-qubit gate raises IndexError: list index out of range. claude-sonnet-5-5 (looping over every qubit) and gpt-5.6-luna passed.</t>
        </is>
      </c>
      <c r="CW59" s="2" t="inlineStr">
        <is>
          <t>IndexError</t>
        </is>
      </c>
      <c r="CX59" s="2" t="inlineStr">
        <is>
          <t>IndexError: list index out of range</t>
        </is>
      </c>
      <c r="CY59" s="2" t="inlineStr">
        <is>
          <t>The LLM replaced the removed Qubit attributes with qc.find_bit(qargs[1]), but still reads qargs[1] for every instruction, so the first single-qubit gate raises IndexError: list index out of range. claude-sonnet-5-5 (looping over every qubit) and gpt-5.6-luna passed.</t>
        </is>
      </c>
      <c r="CZ59" s="2" t="inlineStr">
        <is>
          <t>IndexError</t>
        </is>
      </c>
      <c r="DA59" s="2" t="inlineStr">
        <is>
          <t>IndexError: list index out of range</t>
        </is>
      </c>
      <c r="DB59" s="2" t="inlineStr">
        <is>
          <t>The LLM replaced the removed Qubit attributes with qc.find_bit(qargs[1]), but still reads qargs[1] for every instruction, so the first single-qubit gate raises IndexError: list index out of range. claude-sonnet-5-5 (looping over every qubit) and gpt-5.6-luna passed.</t>
        </is>
      </c>
      <c r="DC59" s="2" t="inlineStr">
        <is>
          <t>IndexError</t>
        </is>
      </c>
      <c r="DD59" s="2" t="inlineStr">
        <is>
          <t>IndexError: list index out of range</t>
        </is>
      </c>
      <c r="DE59" s="2" t="inlineStr">
        <is>
          <t>The LLM replaced the removed Qubit attributes with qc.find_bit(qargs[1]), but still reads qargs[1] for every instruction, so the first single-qubit gate raises IndexError: list index out of range. claude-sonnet-5-5 (looping over every qubit) and gpt-5.6-luna passed.</t>
        </is>
      </c>
    </row>
    <row r="60">
      <c r="A60" s="2" t="inlineStr">
        <is>
          <t>issue_925</t>
        </is>
      </c>
      <c r="B60" s="4" t="inlineStr">
        <is>
          <t>Passed on test</t>
        </is>
      </c>
      <c r="C60" s="4" t="inlineStr">
        <is>
          <t>Passed on test</t>
        </is>
      </c>
      <c r="D60" s="4" t="inlineStr">
        <is>
          <t>Passed on test</t>
        </is>
      </c>
      <c r="E60" s="4" t="inlineStr">
        <is>
          <t>Passed on test</t>
        </is>
      </c>
      <c r="F60" s="3" t="inlineStr">
        <is>
          <t>NOT_TESTED</t>
        </is>
      </c>
      <c r="G60" s="3" t="inlineStr">
        <is>
          <t>NOT_TESTED</t>
        </is>
      </c>
      <c r="H60" s="3" t="inlineStr">
        <is>
          <t>NOT_TESTED</t>
        </is>
      </c>
      <c r="I60" s="3" t="inlineStr">
        <is>
          <t>NOT_TESTED</t>
        </is>
      </c>
      <c r="J60" s="3" t="inlineStr">
        <is>
          <t>NOT_TESTED</t>
        </is>
      </c>
      <c r="K60" s="3" t="inlineStr">
        <is>
          <t>NOT_TESTED</t>
        </is>
      </c>
      <c r="L60" s="3" t="inlineStr">
        <is>
          <t>NOT_TESTED</t>
        </is>
      </c>
      <c r="M60" s="3" t="inlineStr">
        <is>
          <t>NOT_TESTED</t>
        </is>
      </c>
      <c r="N60" s="3" t="inlineStr">
        <is>
          <t>NOT_TESTED</t>
        </is>
      </c>
      <c r="O60" s="3" t="inlineStr">
        <is>
          <t>NOT_TESTED</t>
        </is>
      </c>
      <c r="P60" s="3" t="inlineStr">
        <is>
          <t>NOT_TESTED</t>
        </is>
      </c>
      <c r="Q60" s="3" t="inlineStr">
        <is>
          <t>NOT_TESTED</t>
        </is>
      </c>
      <c r="R60" s="3" t="inlineStr">
        <is>
          <t>NOT_TESTED</t>
        </is>
      </c>
      <c r="S60" s="3" t="inlineStr">
        <is>
          <t>NOT_TESTED</t>
        </is>
      </c>
      <c r="T60" s="3" t="inlineStr">
        <is>
          <t>NOT_TESTED</t>
        </is>
      </c>
      <c r="U60" s="3" t="inlineStr">
        <is>
          <t>NOT_TESTED</t>
        </is>
      </c>
      <c r="V60" s="3" t="inlineStr">
        <is>
          <t>NOT_TESTED</t>
        </is>
      </c>
      <c r="W60" s="3" t="inlineStr">
        <is>
          <t>NOT_TESTED</t>
        </is>
      </c>
      <c r="X60" s="3" t="inlineStr">
        <is>
          <t>NOT_TESTED</t>
        </is>
      </c>
      <c r="Y60" s="3" t="inlineStr">
        <is>
          <t>NOT_TESTED</t>
        </is>
      </c>
      <c r="Z60" s="3" t="inlineStr">
        <is>
          <t>NOT_TESTED</t>
        </is>
      </c>
      <c r="AA60" s="3" t="inlineStr">
        <is>
          <t>NOT_TESTED</t>
        </is>
      </c>
      <c r="AB60" s="3" t="inlineStr">
        <is>
          <t>NOT_TESTED</t>
        </is>
      </c>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row>
    <row r="61">
      <c r="A61" s="2" t="inlineStr">
        <is>
          <t>issue_944</t>
        </is>
      </c>
      <c r="B61" s="4" t="inlineStr">
        <is>
          <t>Passed on test</t>
        </is>
      </c>
      <c r="C61" s="4" t="inlineStr">
        <is>
          <t>Passed on test</t>
        </is>
      </c>
      <c r="D61" s="4" t="inlineStr">
        <is>
          <t>Passed on test</t>
        </is>
      </c>
      <c r="E61" s="4" t="inlineStr">
        <is>
          <t>Passed on test</t>
        </is>
      </c>
      <c r="F61" s="4" t="inlineStr">
        <is>
          <t>Passed on test</t>
        </is>
      </c>
      <c r="G61" s="4" t="inlineStr">
        <is>
          <t>Passed on test</t>
        </is>
      </c>
      <c r="H61" s="4" t="inlineStr">
        <is>
          <t>Passed on test</t>
        </is>
      </c>
      <c r="I61" s="4" t="inlineStr">
        <is>
          <t>Passed on test</t>
        </is>
      </c>
      <c r="J61" s="4" t="inlineStr">
        <is>
          <t>Passed on test</t>
        </is>
      </c>
      <c r="K61" s="4" t="inlineStr">
        <is>
          <t>Passed on test</t>
        </is>
      </c>
      <c r="L61" s="4" t="inlineStr">
        <is>
          <t>Passed on test</t>
        </is>
      </c>
      <c r="M61" s="4" t="inlineStr">
        <is>
          <t>Passed on test</t>
        </is>
      </c>
      <c r="N61" s="3" t="inlineStr">
        <is>
          <t>NOT_TESTED</t>
        </is>
      </c>
      <c r="O61" s="3" t="inlineStr">
        <is>
          <t>NOT_TESTED</t>
        </is>
      </c>
      <c r="P61" s="3" t="inlineStr">
        <is>
          <t>NOT_TESTED</t>
        </is>
      </c>
      <c r="Q61" s="3" t="inlineStr">
        <is>
          <t>NOT_TESTED</t>
        </is>
      </c>
      <c r="R61" s="3" t="inlineStr">
        <is>
          <t>NOT_TESTED</t>
        </is>
      </c>
      <c r="S61" s="3" t="inlineStr">
        <is>
          <t>NOT_TESTED</t>
        </is>
      </c>
      <c r="T61" s="3" t="inlineStr">
        <is>
          <t>NOT_TESTED</t>
        </is>
      </c>
      <c r="U61" s="3" t="inlineStr">
        <is>
          <t>NOT_TESTED</t>
        </is>
      </c>
      <c r="V61" s="3" t="inlineStr">
        <is>
          <t>NOT_TESTED</t>
        </is>
      </c>
      <c r="W61" s="3" t="inlineStr">
        <is>
          <t>NOT_TESTED</t>
        </is>
      </c>
      <c r="X61" s="3" t="inlineStr">
        <is>
          <t>NOT_TESTED</t>
        </is>
      </c>
      <c r="Y61" s="3" t="inlineStr">
        <is>
          <t>NOT_TESTED</t>
        </is>
      </c>
      <c r="Z61" s="3" t="inlineStr">
        <is>
          <t>NOT_TESTED</t>
        </is>
      </c>
      <c r="AA61" s="3" t="inlineStr">
        <is>
          <t>NOT_TESTED</t>
        </is>
      </c>
      <c r="AB61" s="3" t="inlineStr">
        <is>
          <t>NOT_TESTED</t>
        </is>
      </c>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row>
    <row r="62">
      <c r="A62" s="2" t="inlineStr">
        <is>
          <t>issue_950</t>
        </is>
      </c>
      <c r="B62" s="5" t="inlineStr">
        <is>
          <t>Failed on test</t>
        </is>
      </c>
      <c r="C62" s="5" t="inlineStr">
        <is>
          <t>Failed on test</t>
        </is>
      </c>
      <c r="D62" s="5" t="inlineStr">
        <is>
          <t>Failed on test</t>
        </is>
      </c>
      <c r="E62" s="5" t="inlineStr">
        <is>
          <t>Failed on test</t>
        </is>
      </c>
      <c r="F62" s="5" t="inlineStr">
        <is>
          <t>Failed on test</t>
        </is>
      </c>
      <c r="G62" s="5" t="inlineStr">
        <is>
          <t>Failed on test</t>
        </is>
      </c>
      <c r="H62" s="5" t="inlineStr">
        <is>
          <t>Failed on test</t>
        </is>
      </c>
      <c r="I62" s="5" t="inlineStr">
        <is>
          <t>Failed on test</t>
        </is>
      </c>
      <c r="J62" s="5" t="inlineStr">
        <is>
          <t>Failed on test</t>
        </is>
      </c>
      <c r="K62" s="5" t="inlineStr">
        <is>
          <t>Failed on test</t>
        </is>
      </c>
      <c r="L62" s="5" t="inlineStr">
        <is>
          <t>Failed on test</t>
        </is>
      </c>
      <c r="M62" s="5" t="inlineStr">
        <is>
          <t>Failed on test</t>
        </is>
      </c>
      <c r="N62" s="5" t="inlineStr">
        <is>
          <t>Failed on test</t>
        </is>
      </c>
      <c r="O62" s="5" t="inlineStr">
        <is>
          <t>Failed on test</t>
        </is>
      </c>
      <c r="P62" s="5" t="inlineStr">
        <is>
          <t>Failed on test</t>
        </is>
      </c>
      <c r="Q62" s="5" t="inlineStr">
        <is>
          <t>Failed on test</t>
        </is>
      </c>
      <c r="R62" s="5" t="inlineStr">
        <is>
          <t>Failed on test</t>
        </is>
      </c>
      <c r="S62" s="5" t="inlineStr">
        <is>
          <t>Failed on test</t>
        </is>
      </c>
      <c r="T62" s="5" t="inlineStr">
        <is>
          <t>Failed on test</t>
        </is>
      </c>
      <c r="U62" s="5" t="inlineStr">
        <is>
          <t>Failed on test</t>
        </is>
      </c>
      <c r="V62" s="5" t="inlineStr">
        <is>
          <t>Failed on test</t>
        </is>
      </c>
      <c r="W62" s="5" t="inlineStr">
        <is>
          <t>Failed on test</t>
        </is>
      </c>
      <c r="X62" s="5" t="inlineStr">
        <is>
          <t>Failed on test</t>
        </is>
      </c>
      <c r="Y62" s="5" t="inlineStr">
        <is>
          <t>Failed on test</t>
        </is>
      </c>
      <c r="Z62" s="5" t="inlineStr">
        <is>
          <t>Failed on test</t>
        </is>
      </c>
      <c r="AA62" s="5" t="inlineStr">
        <is>
          <t>Failed on test</t>
        </is>
      </c>
      <c r="AB62" s="5" t="inlineStr">
        <is>
          <t>Failed on test</t>
        </is>
      </c>
      <c r="AC62" s="2" t="inlineStr">
        <is>
          <t>AssertionError</t>
        </is>
      </c>
      <c r="AD62" s="2" t="inlineStr">
        <is>
          <t>AssertionError:</t>
        </is>
      </c>
      <c r="AE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F62" s="2" t="inlineStr">
        <is>
          <t>AssertionError</t>
        </is>
      </c>
      <c r="AG62" s="2" t="inlineStr">
        <is>
          <t>AssertionError:</t>
        </is>
      </c>
      <c r="AH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I62" s="2" t="inlineStr">
        <is>
          <t>AssertionError</t>
        </is>
      </c>
      <c r="AJ62" s="2" t="inlineStr">
        <is>
          <t>AssertionError:</t>
        </is>
      </c>
      <c r="AK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L62" s="2" t="inlineStr">
        <is>
          <t>AssertionError</t>
        </is>
      </c>
      <c r="AM62" s="2" t="inlineStr">
        <is>
          <t>AssertionError:</t>
        </is>
      </c>
      <c r="AN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O62" s="2" t="inlineStr">
        <is>
          <t>AssertionError</t>
        </is>
      </c>
      <c r="AP62" s="2" t="inlineStr">
        <is>
          <t>AssertionError:</t>
        </is>
      </c>
      <c r="AQ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R62" s="2" t="inlineStr">
        <is>
          <t>AssertionError</t>
        </is>
      </c>
      <c r="AS62" s="2" t="inlineStr">
        <is>
          <t>AssertionError:</t>
        </is>
      </c>
      <c r="AT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U62" s="2" t="inlineStr">
        <is>
          <t>AssertionError</t>
        </is>
      </c>
      <c r="AV62" s="2" t="inlineStr">
        <is>
          <t>AssertionError:</t>
        </is>
      </c>
      <c r="AW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AX62" s="2" t="inlineStr">
        <is>
          <t>AssertionError</t>
        </is>
      </c>
      <c r="AY62" s="2" t="inlineStr">
        <is>
          <t>AssertionError:</t>
        </is>
      </c>
      <c r="AZ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A62" s="2" t="inlineStr">
        <is>
          <t>AssertionError</t>
        </is>
      </c>
      <c r="BB62" s="2" t="inlineStr">
        <is>
          <t>AssertionError:</t>
        </is>
      </c>
      <c r="BC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D62" s="2" t="inlineStr">
        <is>
          <t>AssertionError</t>
        </is>
      </c>
      <c r="BE62" s="2" t="inlineStr">
        <is>
          <t>AssertionError:</t>
        </is>
      </c>
      <c r="BF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G62" s="2" t="inlineStr">
        <is>
          <t>AssertionError</t>
        </is>
      </c>
      <c r="BH62" s="2" t="inlineStr">
        <is>
          <t>AssertionError:</t>
        </is>
      </c>
      <c r="BI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J62" s="2" t="inlineStr">
        <is>
          <t>AssertionError</t>
        </is>
      </c>
      <c r="BK62" s="2" t="inlineStr">
        <is>
          <t>AssertionError:</t>
        </is>
      </c>
      <c r="BL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M62" s="2" t="inlineStr">
        <is>
          <t>AssertionError</t>
        </is>
      </c>
      <c r="BN62" s="2" t="inlineStr">
        <is>
          <t>AssertionError:</t>
        </is>
      </c>
      <c r="BO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P62" s="2" t="inlineStr">
        <is>
          <t>AssertionError</t>
        </is>
      </c>
      <c r="BQ62" s="2" t="inlineStr">
        <is>
          <t>AssertionError:</t>
        </is>
      </c>
      <c r="BR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S62" s="2" t="inlineStr">
        <is>
          <t>AssertionError</t>
        </is>
      </c>
      <c r="BT62" s="2" t="inlineStr">
        <is>
          <t>AssertionError:</t>
        </is>
      </c>
      <c r="BU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V62" s="2" t="inlineStr">
        <is>
          <t>AssertionError</t>
        </is>
      </c>
      <c r="BW62" s="2" t="inlineStr">
        <is>
          <t>AssertionError:</t>
        </is>
      </c>
      <c r="BX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BY62" s="2" t="inlineStr">
        <is>
          <t>AssertionError</t>
        </is>
      </c>
      <c r="BZ62" s="2" t="inlineStr">
        <is>
          <t>AssertionError:</t>
        </is>
      </c>
      <c r="CA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B62" s="2" t="inlineStr">
        <is>
          <t>AssertionError</t>
        </is>
      </c>
      <c r="CC62" s="2" t="inlineStr">
        <is>
          <t>AssertionError:</t>
        </is>
      </c>
      <c r="CD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E62" s="2" t="inlineStr">
        <is>
          <t>AssertionError</t>
        </is>
      </c>
      <c r="CF62" s="2" t="inlineStr">
        <is>
          <t>AssertionError:</t>
        </is>
      </c>
      <c r="CG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H62" s="2" t="inlineStr">
        <is>
          <t>AssertionError</t>
        </is>
      </c>
      <c r="CI62" s="2" t="inlineStr">
        <is>
          <t>AssertionError:</t>
        </is>
      </c>
      <c r="CJ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K62" s="2" t="inlineStr">
        <is>
          <t>AssertionError</t>
        </is>
      </c>
      <c r="CL62" s="2" t="inlineStr">
        <is>
          <t>AssertionError:</t>
        </is>
      </c>
      <c r="CM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N62" s="2" t="inlineStr">
        <is>
          <t>AssertionError</t>
        </is>
      </c>
      <c r="CO62" s="2" t="inlineStr">
        <is>
          <t>AssertionError:</t>
        </is>
      </c>
      <c r="CP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Q62" s="2" t="inlineStr">
        <is>
          <t>AssertionError</t>
        </is>
      </c>
      <c r="CR62" s="2" t="inlineStr">
        <is>
          <t>AssertionError:</t>
        </is>
      </c>
      <c r="CS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T62" s="2" t="inlineStr">
        <is>
          <t>AssertionError</t>
        </is>
      </c>
      <c r="CU62" s="2" t="inlineStr">
        <is>
          <t>AssertionError:</t>
        </is>
      </c>
      <c r="CV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W62" s="2" t="inlineStr">
        <is>
          <t>AssertionError</t>
        </is>
      </c>
      <c r="CX62" s="2" t="inlineStr">
        <is>
          <t>AssertionError:</t>
        </is>
      </c>
      <c r="CY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CZ62" s="2" t="inlineStr">
        <is>
          <t>AssertionError</t>
        </is>
      </c>
      <c r="DA62" s="2" t="inlineStr">
        <is>
          <t>AssertionError:</t>
        </is>
      </c>
      <c r="DB62" s="2" t="inlineStr">
        <is>
          <t>The LLM widened the identity to N qubits but kept _add(), which adds the Z operator to the identity instead of placing Z on the requested qubits (same code as claude-sonnet-5-5 and both luna models). claude-opus-5-5, gpt-6.1-sol and gpt-6-astra used compose() and passed.</t>
        </is>
      </c>
      <c r="DC62" s="2" t="inlineStr">
        <is>
          <t>AssertionError</t>
        </is>
      </c>
      <c r="DD62" s="2" t="inlineStr">
        <is>
          <t>AssertionError:</t>
        </is>
      </c>
      <c r="DE62" s="2" t="inlineStr">
        <is>
          <t>The LLM widened the identity to N qubits but kept _add(), which adds the Z operator to the identity instead of placing Z on the requested qubits (same code as claude-sonnet-5-5 and both luna models). claude-opus-5-5, gpt-6.1-sol and gpt-6-astra used compose() and passed.</t>
        </is>
      </c>
    </row>
    <row r="63">
      <c r="A63" s="2" t="inlineStr">
        <is>
          <t>issue_958</t>
        </is>
      </c>
      <c r="B63" s="3" t="inlineStr">
        <is>
          <t>NOT_TESTED</t>
        </is>
      </c>
      <c r="C63" s="3" t="inlineStr">
        <is>
          <t>NOT_TESTED</t>
        </is>
      </c>
      <c r="D63" s="3" t="inlineStr">
        <is>
          <t>NOT_TESTED</t>
        </is>
      </c>
      <c r="E63" s="3" t="inlineStr">
        <is>
          <t>NOT_TESTED</t>
        </is>
      </c>
      <c r="F63" s="6" t="inlineStr">
        <is>
          <t>Runtime error</t>
        </is>
      </c>
      <c r="G63" s="6" t="inlineStr">
        <is>
          <t>Runtime error</t>
        </is>
      </c>
      <c r="H63" s="6" t="inlineStr">
        <is>
          <t>Runtime error</t>
        </is>
      </c>
      <c r="I63" s="6" t="inlineStr">
        <is>
          <t>Runtime error</t>
        </is>
      </c>
      <c r="J63" s="6" t="inlineStr">
        <is>
          <t>Runtime error</t>
        </is>
      </c>
      <c r="K63" s="6" t="inlineStr">
        <is>
          <t>Runtime error</t>
        </is>
      </c>
      <c r="L63" s="6" t="inlineStr">
        <is>
          <t>Runtime error</t>
        </is>
      </c>
      <c r="M63" s="6" t="inlineStr">
        <is>
          <t>Runtime error</t>
        </is>
      </c>
      <c r="N63" s="6" t="inlineStr">
        <is>
          <t>Runtime error</t>
        </is>
      </c>
      <c r="O63" s="6" t="inlineStr">
        <is>
          <t>Runtime error</t>
        </is>
      </c>
      <c r="P63" s="6" t="inlineStr">
        <is>
          <t>Runtime error</t>
        </is>
      </c>
      <c r="Q63" s="6" t="inlineStr">
        <is>
          <t>Runtime error</t>
        </is>
      </c>
      <c r="R63" s="6" t="inlineStr">
        <is>
          <t>Runtime error</t>
        </is>
      </c>
      <c r="S63" s="6" t="inlineStr">
        <is>
          <t>Runtime error</t>
        </is>
      </c>
      <c r="T63" s="6" t="inlineStr">
        <is>
          <t>Runtime error</t>
        </is>
      </c>
      <c r="U63" s="6" t="inlineStr">
        <is>
          <t>Runtime error</t>
        </is>
      </c>
      <c r="V63" s="6" t="inlineStr">
        <is>
          <t>Runtime error</t>
        </is>
      </c>
      <c r="W63" s="6" t="inlineStr">
        <is>
          <t>Runtime error</t>
        </is>
      </c>
      <c r="X63" s="6" t="inlineStr">
        <is>
          <t>Runtime error</t>
        </is>
      </c>
      <c r="Y63" s="6" t="inlineStr">
        <is>
          <t>Runtime error</t>
        </is>
      </c>
      <c r="Z63" s="6" t="inlineStr">
        <is>
          <t>Runtime error</t>
        </is>
      </c>
      <c r="AA63" s="6" t="inlineStr">
        <is>
          <t>Runtime error</t>
        </is>
      </c>
      <c r="AB63" s="6" t="inlineStr">
        <is>
          <t>Runtime error</t>
        </is>
      </c>
      <c r="AC63" s="2" t="n"/>
      <c r="AD63" s="2" t="n"/>
      <c r="AE63" s="2" t="n"/>
      <c r="AF63" s="2" t="n"/>
      <c r="AG63" s="2" t="n"/>
      <c r="AH63" s="2" t="n"/>
      <c r="AI63" s="2" t="n"/>
      <c r="AJ63" s="2" t="n"/>
      <c r="AK63" s="2" t="n"/>
      <c r="AL63" s="2" t="n"/>
      <c r="AM63" s="2" t="n"/>
      <c r="AN63" s="2" t="n"/>
      <c r="AO63" s="2" t="inlineStr">
        <is>
          <t>KeyError</t>
        </is>
      </c>
      <c r="AP63" s="2" t="inlineStr">
        <is>
          <t>KeyError: 'qc2'</t>
        </is>
      </c>
      <c r="AQ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AR63" s="2" t="inlineStr">
        <is>
          <t>KeyError</t>
        </is>
      </c>
      <c r="AS63" s="2" t="inlineStr">
        <is>
          <t>KeyError: 'qc2'</t>
        </is>
      </c>
      <c r="AT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AU63" s="2" t="inlineStr">
        <is>
          <t>KeyError</t>
        </is>
      </c>
      <c r="AV63" s="2" t="inlineStr">
        <is>
          <t>KeyError: 'qc2'</t>
        </is>
      </c>
      <c r="AW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AX63" s="2" t="inlineStr">
        <is>
          <t>KeyError</t>
        </is>
      </c>
      <c r="AY63" s="2" t="inlineStr">
        <is>
          <t>KeyError: 'qc2'</t>
        </is>
      </c>
      <c r="AZ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A63" s="2" t="inlineStr">
        <is>
          <t>KeyError</t>
        </is>
      </c>
      <c r="BB63" s="2" t="inlineStr">
        <is>
          <t>KeyError: 'qc2'</t>
        </is>
      </c>
      <c r="BC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D63" s="2" t="inlineStr">
        <is>
          <t>KeyError</t>
        </is>
      </c>
      <c r="BE63" s="2" t="inlineStr">
        <is>
          <t>KeyError: 'qc2'</t>
        </is>
      </c>
      <c r="BF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G63" s="2" t="inlineStr">
        <is>
          <t>KeyError</t>
        </is>
      </c>
      <c r="BH63" s="2" t="inlineStr">
        <is>
          <t>KeyError: 'qc2'</t>
        </is>
      </c>
      <c r="BI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J63" s="2" t="inlineStr">
        <is>
          <t>KeyError</t>
        </is>
      </c>
      <c r="BK63" s="2" t="inlineStr">
        <is>
          <t>KeyError: 'qc2'</t>
        </is>
      </c>
      <c r="BL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M63" s="2" t="inlineStr">
        <is>
          <t>KeyError</t>
        </is>
      </c>
      <c r="BN63" s="2" t="inlineStr">
        <is>
          <t>KeyError: 'qc2'</t>
        </is>
      </c>
      <c r="BO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P63" s="2" t="inlineStr">
        <is>
          <t>KeyError</t>
        </is>
      </c>
      <c r="BQ63" s="2" t="inlineStr">
        <is>
          <t>KeyError: 'qc2'</t>
        </is>
      </c>
      <c r="BR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S63" s="2" t="inlineStr">
        <is>
          <t>KeyError</t>
        </is>
      </c>
      <c r="BT63" s="2" t="inlineStr">
        <is>
          <t>KeyError: 'qc2'</t>
        </is>
      </c>
      <c r="BU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V63" s="2" t="inlineStr">
        <is>
          <t>KeyError</t>
        </is>
      </c>
      <c r="BW63" s="2" t="inlineStr">
        <is>
          <t>KeyError: 'qc2'</t>
        </is>
      </c>
      <c r="BX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BY63" s="2" t="inlineStr">
        <is>
          <t>KeyError</t>
        </is>
      </c>
      <c r="BZ63" s="2" t="inlineStr">
        <is>
          <t>KeyError: 'qc2'</t>
        </is>
      </c>
      <c r="CA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B63" s="2" t="inlineStr">
        <is>
          <t>KeyError</t>
        </is>
      </c>
      <c r="CC63" s="2" t="inlineStr">
        <is>
          <t>KeyError: 'qc2'</t>
        </is>
      </c>
      <c r="CD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E63" s="2" t="inlineStr">
        <is>
          <t>KeyError</t>
        </is>
      </c>
      <c r="CF63" s="2" t="inlineStr">
        <is>
          <t>KeyError: 'qc2'</t>
        </is>
      </c>
      <c r="CG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H63" s="2" t="inlineStr">
        <is>
          <t>KeyError</t>
        </is>
      </c>
      <c r="CI63" s="2" t="inlineStr">
        <is>
          <t>KeyError: 'qc2'</t>
        </is>
      </c>
      <c r="CJ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K63" s="2" t="inlineStr">
        <is>
          <t>KeyError</t>
        </is>
      </c>
      <c r="CL63" s="2" t="inlineStr">
        <is>
          <t>KeyError: 'qc2'</t>
        </is>
      </c>
      <c r="CM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N63" s="2" t="inlineStr">
        <is>
          <t>KeyError</t>
        </is>
      </c>
      <c r="CO63" s="2" t="inlineStr">
        <is>
          <t>KeyError: 'qc2'</t>
        </is>
      </c>
      <c r="CP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Q63" s="2" t="inlineStr">
        <is>
          <t>KeyError</t>
        </is>
      </c>
      <c r="CR63" s="2" t="inlineStr">
        <is>
          <t>KeyError: 'qc2'</t>
        </is>
      </c>
      <c r="CS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T63" s="2" t="inlineStr">
        <is>
          <t>KeyError</t>
        </is>
      </c>
      <c r="CU63" s="2" t="inlineStr">
        <is>
          <t>KeyError: 'qc2'</t>
        </is>
      </c>
      <c r="CV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W63" s="2" t="inlineStr">
        <is>
          <t>KeyError</t>
        </is>
      </c>
      <c r="CX63" s="2" t="inlineStr">
        <is>
          <t>KeyError: 'qc2'</t>
        </is>
      </c>
      <c r="CY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CZ63" s="2" t="inlineStr">
        <is>
          <t>KeyError</t>
        </is>
      </c>
      <c r="DA63" s="2" t="inlineStr">
        <is>
          <t>KeyError: 'qc2'</t>
        </is>
      </c>
      <c r="DB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DC63" s="2" t="inlineStr">
        <is>
          <t>KeyError</t>
        </is>
      </c>
      <c r="DD63" s="2" t="inlineStr">
        <is>
          <t>KeyError: 'qc2'</t>
        </is>
      </c>
      <c r="DE63" s="2"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row>
    <row r="64">
      <c r="A64" s="2" t="inlineStr">
        <is>
          <t>issue_977</t>
        </is>
      </c>
      <c r="B64" s="3" t="inlineStr">
        <is>
          <t>NOT_TESTED</t>
        </is>
      </c>
      <c r="C64" s="3" t="inlineStr">
        <is>
          <t>NOT_TESTED</t>
        </is>
      </c>
      <c r="D64" s="3" t="inlineStr">
        <is>
          <t>NOT_TESTED</t>
        </is>
      </c>
      <c r="E64" s="3" t="inlineStr">
        <is>
          <t>NOT_TESTED</t>
        </is>
      </c>
      <c r="F64" s="4" t="inlineStr">
        <is>
          <t>Passed on test</t>
        </is>
      </c>
      <c r="G64" s="4" t="inlineStr">
        <is>
          <t>Passed on test</t>
        </is>
      </c>
      <c r="H64" s="4" t="inlineStr">
        <is>
          <t>Passed on test</t>
        </is>
      </c>
      <c r="I64" s="4" t="inlineStr">
        <is>
          <t>Passed on test</t>
        </is>
      </c>
      <c r="J64" s="4" t="inlineStr">
        <is>
          <t>Passed on test</t>
        </is>
      </c>
      <c r="K64" s="4" t="inlineStr">
        <is>
          <t>Passed on test</t>
        </is>
      </c>
      <c r="L64" s="4" t="inlineStr">
        <is>
          <t>Passed on test</t>
        </is>
      </c>
      <c r="M64" s="4" t="inlineStr">
        <is>
          <t>Passed on test</t>
        </is>
      </c>
      <c r="N64" s="4" t="inlineStr">
        <is>
          <t>Passed on test</t>
        </is>
      </c>
      <c r="O64" s="4" t="inlineStr">
        <is>
          <t>Passed on test</t>
        </is>
      </c>
      <c r="P64" s="4" t="inlineStr">
        <is>
          <t>Passed on test</t>
        </is>
      </c>
      <c r="Q64" s="4" t="inlineStr">
        <is>
          <t>Passed on test</t>
        </is>
      </c>
      <c r="R64" s="4" t="inlineStr">
        <is>
          <t>Passed on test</t>
        </is>
      </c>
      <c r="S64" s="4" t="inlineStr">
        <is>
          <t>Passed on test</t>
        </is>
      </c>
      <c r="T64" s="4" t="inlineStr">
        <is>
          <t>Passed on test</t>
        </is>
      </c>
      <c r="U64" s="4" t="inlineStr">
        <is>
          <t>Passed on test</t>
        </is>
      </c>
      <c r="V64" s="4" t="inlineStr">
        <is>
          <t>Passed on test</t>
        </is>
      </c>
      <c r="W64" s="4" t="inlineStr">
        <is>
          <t>Passed on test</t>
        </is>
      </c>
      <c r="X64" s="4" t="inlineStr">
        <is>
          <t>Passed on test</t>
        </is>
      </c>
      <c r="Y64" s="4" t="inlineStr">
        <is>
          <t>Passed on test</t>
        </is>
      </c>
      <c r="Z64" s="4" t="inlineStr">
        <is>
          <t>Passed on test</t>
        </is>
      </c>
      <c r="AA64" s="4" t="inlineStr">
        <is>
          <t>Passed on test</t>
        </is>
      </c>
      <c r="AB64" s="4" t="inlineStr">
        <is>
          <t>Passed on test</t>
        </is>
      </c>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2" t="n"/>
      <c r="BJ64" s="2" t="n"/>
      <c r="BK64" s="2" t="n"/>
      <c r="BL64" s="2" t="n"/>
      <c r="BM64" s="2" t="n"/>
      <c r="BN64" s="2" t="n"/>
      <c r="BO64" s="2" t="n"/>
      <c r="BP64" s="2" t="n"/>
      <c r="BQ64" s="2" t="n"/>
      <c r="BR64" s="2" t="n"/>
      <c r="BS64" s="2" t="n"/>
      <c r="BT64" s="2" t="n"/>
      <c r="BU64" s="2" t="n"/>
      <c r="BV64" s="2" t="n"/>
      <c r="BW64" s="2" t="n"/>
      <c r="BX64" s="2" t="n"/>
      <c r="BY64" s="2" t="n"/>
      <c r="BZ64" s="2" t="n"/>
      <c r="CA64" s="2" t="n"/>
      <c r="CB64" s="2" t="n"/>
      <c r="CC64" s="2" t="n"/>
      <c r="CD64" s="2" t="n"/>
      <c r="CE64" s="2" t="n"/>
      <c r="CF64" s="2" t="n"/>
      <c r="CG64" s="2" t="n"/>
      <c r="CH64" s="2" t="n"/>
      <c r="CI64" s="2" t="n"/>
      <c r="CJ64" s="2" t="n"/>
      <c r="CK64" s="2" t="n"/>
      <c r="CL64" s="2" t="n"/>
      <c r="CM64" s="2" t="n"/>
      <c r="CN64" s="2" t="n"/>
      <c r="CO64" s="2" t="n"/>
      <c r="CP64" s="2" t="n"/>
      <c r="CQ64" s="2" t="n"/>
      <c r="CR64" s="2" t="n"/>
      <c r="CS64" s="2" t="n"/>
      <c r="CT64" s="2" t="n"/>
      <c r="CU64" s="2" t="n"/>
      <c r="CV64" s="2" t="n"/>
      <c r="CW64" s="2" t="n"/>
      <c r="CX64" s="2" t="n"/>
      <c r="CY64" s="2" t="n"/>
      <c r="CZ64" s="2" t="n"/>
      <c r="DA64" s="2" t="n"/>
      <c r="DB64" s="2" t="n"/>
      <c r="DC64" s="2" t="n"/>
      <c r="DD64" s="2" t="n"/>
      <c r="DE64" s="2" t="n"/>
    </row>
    <row r="65">
      <c r="A65" s="2" t="inlineStr">
        <is>
          <t>issue_985</t>
        </is>
      </c>
      <c r="B65" s="3" t="inlineStr">
        <is>
          <t>NOT_TESTED</t>
        </is>
      </c>
      <c r="C65" s="3" t="inlineStr">
        <is>
          <t>NOT_TESTED</t>
        </is>
      </c>
      <c r="D65" s="3" t="inlineStr">
        <is>
          <t>NOT_TESTED</t>
        </is>
      </c>
      <c r="E65" s="3" t="inlineStr">
        <is>
          <t>NOT_TESTED</t>
        </is>
      </c>
      <c r="F65" s="5" t="inlineStr">
        <is>
          <t>Failed on test</t>
        </is>
      </c>
      <c r="G65" s="5" t="inlineStr">
        <is>
          <t>Failed on test</t>
        </is>
      </c>
      <c r="H65" s="5" t="inlineStr">
        <is>
          <t>Failed on test</t>
        </is>
      </c>
      <c r="I65" s="5" t="inlineStr">
        <is>
          <t>Failed on test</t>
        </is>
      </c>
      <c r="J65" s="5" t="inlineStr">
        <is>
          <t>Failed on test</t>
        </is>
      </c>
      <c r="K65" s="5" t="inlineStr">
        <is>
          <t>Failed on test</t>
        </is>
      </c>
      <c r="L65" s="5" t="inlineStr">
        <is>
          <t>Failed on test</t>
        </is>
      </c>
      <c r="M65" s="5" t="inlineStr">
        <is>
          <t>Failed on test</t>
        </is>
      </c>
      <c r="N65" s="5" t="inlineStr">
        <is>
          <t>Failed on test</t>
        </is>
      </c>
      <c r="O65" s="5" t="inlineStr">
        <is>
          <t>Failed on test</t>
        </is>
      </c>
      <c r="P65" s="5" t="inlineStr">
        <is>
          <t>Failed on test</t>
        </is>
      </c>
      <c r="Q65" s="5" t="inlineStr">
        <is>
          <t>Failed on test</t>
        </is>
      </c>
      <c r="R65" s="5" t="inlineStr">
        <is>
          <t>Failed on test</t>
        </is>
      </c>
      <c r="S65" s="5" t="inlineStr">
        <is>
          <t>Failed on test</t>
        </is>
      </c>
      <c r="T65" s="5" t="inlineStr">
        <is>
          <t>Failed on test</t>
        </is>
      </c>
      <c r="U65" s="5" t="inlineStr">
        <is>
          <t>Failed on test</t>
        </is>
      </c>
      <c r="V65" s="5" t="inlineStr">
        <is>
          <t>Failed on test</t>
        </is>
      </c>
      <c r="W65" s="5" t="inlineStr">
        <is>
          <t>Failed on test</t>
        </is>
      </c>
      <c r="X65" s="5" t="inlineStr">
        <is>
          <t>Failed on test</t>
        </is>
      </c>
      <c r="Y65" s="5" t="inlineStr">
        <is>
          <t>Failed on test</t>
        </is>
      </c>
      <c r="Z65" s="5" t="inlineStr">
        <is>
          <t>Failed on test</t>
        </is>
      </c>
      <c r="AA65" s="5" t="inlineStr">
        <is>
          <t>Failed on test</t>
        </is>
      </c>
      <c r="AB65" s="5" t="inlineStr">
        <is>
          <t>Failed on test</t>
        </is>
      </c>
      <c r="AC65" s="2" t="n"/>
      <c r="AD65" s="2" t="n"/>
      <c r="AE65" s="2" t="n"/>
      <c r="AF65" s="2" t="n"/>
      <c r="AG65" s="2" t="n"/>
      <c r="AH65" s="2" t="n"/>
      <c r="AI65" s="2" t="n"/>
      <c r="AJ65" s="2" t="n"/>
      <c r="AK65" s="2" t="n"/>
      <c r="AL65" s="2" t="n"/>
      <c r="AM65" s="2" t="n"/>
      <c r="AN65" s="2" t="n"/>
      <c r="AO65" s="2" t="inlineStr">
        <is>
          <t>AssertionError</t>
        </is>
      </c>
      <c r="AP65" s="2" t="inlineStr">
        <is>
          <t>AssertionError:</t>
        </is>
      </c>
      <c r="AQ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AR65" s="2" t="inlineStr">
        <is>
          <t>AssertionError</t>
        </is>
      </c>
      <c r="AS65" s="2" t="inlineStr">
        <is>
          <t>AssertionError:</t>
        </is>
      </c>
      <c r="AT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AU65" s="2" t="inlineStr">
        <is>
          <t>AssertionError</t>
        </is>
      </c>
      <c r="AV65" s="2" t="inlineStr">
        <is>
          <t>AssertionError:</t>
        </is>
      </c>
      <c r="AW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AX65" s="2" t="inlineStr">
        <is>
          <t>AssertionError</t>
        </is>
      </c>
      <c r="AY65" s="2" t="inlineStr">
        <is>
          <t>AssertionError:</t>
        </is>
      </c>
      <c r="AZ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A65" s="2" t="inlineStr">
        <is>
          <t>AssertionError</t>
        </is>
      </c>
      <c r="BB65" s="2" t="inlineStr">
        <is>
          <t>AssertionError:</t>
        </is>
      </c>
      <c r="BC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D65" s="2" t="inlineStr">
        <is>
          <t>AssertionError</t>
        </is>
      </c>
      <c r="BE65" s="2" t="inlineStr">
        <is>
          <t>AssertionError:</t>
        </is>
      </c>
      <c r="BF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G65" s="2" t="inlineStr">
        <is>
          <t>AssertionError</t>
        </is>
      </c>
      <c r="BH65" s="2" t="inlineStr">
        <is>
          <t>AssertionError:</t>
        </is>
      </c>
      <c r="BI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J65" s="2" t="inlineStr">
        <is>
          <t>AssertionError</t>
        </is>
      </c>
      <c r="BK65" s="2" t="inlineStr">
        <is>
          <t>AssertionError:</t>
        </is>
      </c>
      <c r="BL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M65" s="2" t="inlineStr">
        <is>
          <t>AssertionError</t>
        </is>
      </c>
      <c r="BN65" s="2" t="inlineStr">
        <is>
          <t>AssertionError:</t>
        </is>
      </c>
      <c r="BO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P65" s="2" t="inlineStr">
        <is>
          <t>AssertionError</t>
        </is>
      </c>
      <c r="BQ65" s="2" t="inlineStr">
        <is>
          <t>AssertionError:</t>
        </is>
      </c>
      <c r="BR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S65" s="2" t="inlineStr">
        <is>
          <t>AssertionError</t>
        </is>
      </c>
      <c r="BT65" s="2" t="inlineStr">
        <is>
          <t>AssertionError:</t>
        </is>
      </c>
      <c r="BU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V65" s="2" t="inlineStr">
        <is>
          <t>AssertionError</t>
        </is>
      </c>
      <c r="BW65" s="2" t="inlineStr">
        <is>
          <t>AssertionError:</t>
        </is>
      </c>
      <c r="BX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BY65" s="2" t="inlineStr">
        <is>
          <t>AssertionError</t>
        </is>
      </c>
      <c r="BZ65" s="2" t="inlineStr">
        <is>
          <t>AssertionError:</t>
        </is>
      </c>
      <c r="CA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B65" s="2" t="inlineStr">
        <is>
          <t>AssertionError</t>
        </is>
      </c>
      <c r="CC65" s="2" t="inlineStr">
        <is>
          <t>AssertionError:</t>
        </is>
      </c>
      <c r="CD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E65" s="2" t="inlineStr">
        <is>
          <t>AssertionError</t>
        </is>
      </c>
      <c r="CF65" s="2" t="inlineStr">
        <is>
          <t>AssertionError:</t>
        </is>
      </c>
      <c r="CG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H65" s="2" t="inlineStr">
        <is>
          <t>AssertionError</t>
        </is>
      </c>
      <c r="CI65" s="2" t="inlineStr">
        <is>
          <t>AssertionError:</t>
        </is>
      </c>
      <c r="CJ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K65" s="2" t="inlineStr">
        <is>
          <t>AssertionError</t>
        </is>
      </c>
      <c r="CL65" s="2" t="inlineStr">
        <is>
          <t>AssertionError:</t>
        </is>
      </c>
      <c r="CM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N65" s="2" t="inlineStr">
        <is>
          <t>AssertionError</t>
        </is>
      </c>
      <c r="CO65" s="2" t="inlineStr">
        <is>
          <t>AssertionError:</t>
        </is>
      </c>
      <c r="CP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Q65" s="2" t="inlineStr">
        <is>
          <t>AssertionError</t>
        </is>
      </c>
      <c r="CR65" s="2" t="inlineStr">
        <is>
          <t>AssertionError:</t>
        </is>
      </c>
      <c r="CS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T65" s="2" t="inlineStr">
        <is>
          <t>AssertionError</t>
        </is>
      </c>
      <c r="CU65" s="2" t="inlineStr">
        <is>
          <t>AssertionError:</t>
        </is>
      </c>
      <c r="CV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W65" s="2" t="inlineStr">
        <is>
          <t>AssertionError</t>
        </is>
      </c>
      <c r="CX65" s="2" t="inlineStr">
        <is>
          <t>AssertionError:</t>
        </is>
      </c>
      <c r="CY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CZ65" s="2" t="inlineStr">
        <is>
          <t>AssertionError</t>
        </is>
      </c>
      <c r="DA65" s="2" t="inlineStr">
        <is>
          <t>AssertionError:</t>
        </is>
      </c>
      <c r="DB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DC65" s="2" t="inlineStr">
        <is>
          <t>AssertionError</t>
        </is>
      </c>
      <c r="DD65" s="2" t="inlineStr">
        <is>
          <t>AssertionError:</t>
        </is>
      </c>
      <c r="DE65" s="2"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row>
    <row r="66">
      <c r="A66" s="2" t="inlineStr">
        <is>
          <t>issue_989</t>
        </is>
      </c>
      <c r="B66" s="3" t="inlineStr">
        <is>
          <t>NOT_TESTED</t>
        </is>
      </c>
      <c r="C66" s="3" t="inlineStr">
        <is>
          <t>NOT_TESTED</t>
        </is>
      </c>
      <c r="D66" s="3" t="inlineStr">
        <is>
          <t>NOT_TESTED</t>
        </is>
      </c>
      <c r="E66" s="3" t="inlineStr">
        <is>
          <t>NOT_TESTED</t>
        </is>
      </c>
      <c r="F66" s="3" t="inlineStr">
        <is>
          <t>NOT_TESTED</t>
        </is>
      </c>
      <c r="G66" s="3" t="inlineStr">
        <is>
          <t>NOT_TESTED</t>
        </is>
      </c>
      <c r="H66" s="3" t="inlineStr">
        <is>
          <t>NOT_TESTED</t>
        </is>
      </c>
      <c r="I66" s="3" t="inlineStr">
        <is>
          <t>NOT_TESTED</t>
        </is>
      </c>
      <c r="J66" s="3" t="inlineStr">
        <is>
          <t>NOT_TESTED</t>
        </is>
      </c>
      <c r="K66" s="3" t="inlineStr">
        <is>
          <t>NOT_TESTED</t>
        </is>
      </c>
      <c r="L66" s="3" t="inlineStr">
        <is>
          <t>NOT_TESTED</t>
        </is>
      </c>
      <c r="M66" s="3" t="inlineStr">
        <is>
          <t>NOT_TESTED</t>
        </is>
      </c>
      <c r="N66" s="4" t="inlineStr">
        <is>
          <t>Passed on test</t>
        </is>
      </c>
      <c r="O66" s="4" t="inlineStr">
        <is>
          <t>Passed on test</t>
        </is>
      </c>
      <c r="P66" s="4" t="inlineStr">
        <is>
          <t>Passed on test</t>
        </is>
      </c>
      <c r="Q66" s="4" t="inlineStr">
        <is>
          <t>Passed on test</t>
        </is>
      </c>
      <c r="R66" s="4" t="inlineStr">
        <is>
          <t>Passed on test</t>
        </is>
      </c>
      <c r="S66" s="4" t="inlineStr">
        <is>
          <t>Passed on test</t>
        </is>
      </c>
      <c r="T66" s="4" t="inlineStr">
        <is>
          <t>Passed on test</t>
        </is>
      </c>
      <c r="U66" s="4" t="inlineStr">
        <is>
          <t>Passed on test</t>
        </is>
      </c>
      <c r="V66" s="4" t="inlineStr">
        <is>
          <t>Passed on test</t>
        </is>
      </c>
      <c r="W66" s="4" t="inlineStr">
        <is>
          <t>Passed on test</t>
        </is>
      </c>
      <c r="X66" s="4" t="inlineStr">
        <is>
          <t>Passed on test</t>
        </is>
      </c>
      <c r="Y66" s="4" t="inlineStr">
        <is>
          <t>Passed on test</t>
        </is>
      </c>
      <c r="Z66" s="4" t="inlineStr">
        <is>
          <t>Passed on test</t>
        </is>
      </c>
      <c r="AA66" s="4" t="inlineStr">
        <is>
          <t>Passed on test</t>
        </is>
      </c>
      <c r="AB66" s="4" t="inlineStr">
        <is>
          <t>Passed on test</t>
        </is>
      </c>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row>
    <row r="67">
      <c r="A67" s="2" t="inlineStr">
        <is>
          <t>issue_994</t>
        </is>
      </c>
      <c r="B67" s="4" t="inlineStr">
        <is>
          <t>Passed on test</t>
        </is>
      </c>
      <c r="C67" s="4" t="inlineStr">
        <is>
          <t>Passed on test</t>
        </is>
      </c>
      <c r="D67" s="4" t="inlineStr">
        <is>
          <t>Passed on test</t>
        </is>
      </c>
      <c r="E67" s="4" t="inlineStr">
        <is>
          <t>Passed on test</t>
        </is>
      </c>
      <c r="F67" s="3" t="inlineStr">
        <is>
          <t>NOT_TESTED</t>
        </is>
      </c>
      <c r="G67" s="3" t="inlineStr">
        <is>
          <t>NOT_TESTED</t>
        </is>
      </c>
      <c r="H67" s="3" t="inlineStr">
        <is>
          <t>NOT_TESTED</t>
        </is>
      </c>
      <c r="I67" s="3" t="inlineStr">
        <is>
          <t>NOT_TESTED</t>
        </is>
      </c>
      <c r="J67" s="3" t="inlineStr">
        <is>
          <t>NOT_TESTED</t>
        </is>
      </c>
      <c r="K67" s="3" t="inlineStr">
        <is>
          <t>NOT_TESTED</t>
        </is>
      </c>
      <c r="L67" s="3" t="inlineStr">
        <is>
          <t>NOT_TESTED</t>
        </is>
      </c>
      <c r="M67" s="3" t="inlineStr">
        <is>
          <t>NOT_TESTED</t>
        </is>
      </c>
      <c r="N67" s="3" t="inlineStr">
        <is>
          <t>NOT_TESTED</t>
        </is>
      </c>
      <c r="O67" s="3" t="inlineStr">
        <is>
          <t>NOT_TESTED</t>
        </is>
      </c>
      <c r="P67" s="3" t="inlineStr">
        <is>
          <t>NOT_TESTED</t>
        </is>
      </c>
      <c r="Q67" s="3" t="inlineStr">
        <is>
          <t>NOT_TESTED</t>
        </is>
      </c>
      <c r="R67" s="3" t="inlineStr">
        <is>
          <t>NOT_TESTED</t>
        </is>
      </c>
      <c r="S67" s="3" t="inlineStr">
        <is>
          <t>NOT_TESTED</t>
        </is>
      </c>
      <c r="T67" s="3" t="inlineStr">
        <is>
          <t>NOT_TESTED</t>
        </is>
      </c>
      <c r="U67" s="3" t="inlineStr">
        <is>
          <t>NOT_TESTED</t>
        </is>
      </c>
      <c r="V67" s="3" t="inlineStr">
        <is>
          <t>NOT_TESTED</t>
        </is>
      </c>
      <c r="W67" s="3" t="inlineStr">
        <is>
          <t>NOT_TESTED</t>
        </is>
      </c>
      <c r="X67" s="3" t="inlineStr">
        <is>
          <t>NOT_TESTED</t>
        </is>
      </c>
      <c r="Y67" s="3" t="inlineStr">
        <is>
          <t>NOT_TESTED</t>
        </is>
      </c>
      <c r="Z67" s="3" t="inlineStr">
        <is>
          <t>NOT_TESTED</t>
        </is>
      </c>
      <c r="AA67" s="3" t="inlineStr">
        <is>
          <t>NOT_TESTED</t>
        </is>
      </c>
      <c r="AB67" s="3" t="inlineStr">
        <is>
          <t>NOT_TESTED</t>
        </is>
      </c>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2" t="n"/>
      <c r="BJ67" s="2" t="n"/>
      <c r="BK67" s="2" t="n"/>
      <c r="BL67" s="2" t="n"/>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row>
    <row r="68">
      <c r="A68" s="2" t="inlineStr">
        <is>
          <t>issue_1035</t>
        </is>
      </c>
      <c r="B68" s="3" t="inlineStr">
        <is>
          <t>NOT_TESTED</t>
        </is>
      </c>
      <c r="C68" s="3" t="inlineStr">
        <is>
          <t>NOT_TESTED</t>
        </is>
      </c>
      <c r="D68" s="3" t="inlineStr">
        <is>
          <t>NOT_TESTED</t>
        </is>
      </c>
      <c r="E68" s="3" t="inlineStr">
        <is>
          <t>NOT_TESTED</t>
        </is>
      </c>
      <c r="F68" s="4" t="inlineStr">
        <is>
          <t>Passed on test</t>
        </is>
      </c>
      <c r="G68" s="4" t="inlineStr">
        <is>
          <t>Passed on test</t>
        </is>
      </c>
      <c r="H68" s="4" t="inlineStr">
        <is>
          <t>Passed on test</t>
        </is>
      </c>
      <c r="I68" s="4" t="inlineStr">
        <is>
          <t>Passed on test</t>
        </is>
      </c>
      <c r="J68" s="4" t="inlineStr">
        <is>
          <t>Passed on test</t>
        </is>
      </c>
      <c r="K68" s="4" t="inlineStr">
        <is>
          <t>Passed on test</t>
        </is>
      </c>
      <c r="L68" s="4" t="inlineStr">
        <is>
          <t>Passed on test</t>
        </is>
      </c>
      <c r="M68" s="4" t="inlineStr">
        <is>
          <t>Passed on test</t>
        </is>
      </c>
      <c r="N68" s="3" t="inlineStr">
        <is>
          <t>NOT_TESTED</t>
        </is>
      </c>
      <c r="O68" s="3" t="inlineStr">
        <is>
          <t>NOT_TESTED</t>
        </is>
      </c>
      <c r="P68" s="3" t="inlineStr">
        <is>
          <t>NOT_TESTED</t>
        </is>
      </c>
      <c r="Q68" s="3" t="inlineStr">
        <is>
          <t>NOT_TESTED</t>
        </is>
      </c>
      <c r="R68" s="3" t="inlineStr">
        <is>
          <t>NOT_TESTED</t>
        </is>
      </c>
      <c r="S68" s="3" t="inlineStr">
        <is>
          <t>NOT_TESTED</t>
        </is>
      </c>
      <c r="T68" s="3" t="inlineStr">
        <is>
          <t>NOT_TESTED</t>
        </is>
      </c>
      <c r="U68" s="3" t="inlineStr">
        <is>
          <t>NOT_TESTED</t>
        </is>
      </c>
      <c r="V68" s="3" t="inlineStr">
        <is>
          <t>NOT_TESTED</t>
        </is>
      </c>
      <c r="W68" s="3" t="inlineStr">
        <is>
          <t>NOT_TESTED</t>
        </is>
      </c>
      <c r="X68" s="3" t="inlineStr">
        <is>
          <t>NOT_TESTED</t>
        </is>
      </c>
      <c r="Y68" s="3" t="inlineStr">
        <is>
          <t>NOT_TESTED</t>
        </is>
      </c>
      <c r="Z68" s="3" t="inlineStr">
        <is>
          <t>NOT_TESTED</t>
        </is>
      </c>
      <c r="AA68" s="3" t="inlineStr">
        <is>
          <t>NOT_TESTED</t>
        </is>
      </c>
      <c r="AB68" s="3" t="inlineStr">
        <is>
          <t>NOT_TESTED</t>
        </is>
      </c>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2" t="n"/>
      <c r="BJ68" s="2" t="n"/>
      <c r="BK68" s="2" t="n"/>
      <c r="BL68" s="2" t="n"/>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row>
    <row r="69">
      <c r="A69" s="2" t="inlineStr">
        <is>
          <t>issue_772</t>
        </is>
      </c>
      <c r="B69" s="4" t="inlineStr">
        <is>
          <t>Passed on test</t>
        </is>
      </c>
      <c r="C69" s="4" t="inlineStr">
        <is>
          <t>Passed on test</t>
        </is>
      </c>
      <c r="D69" s="4" t="inlineStr">
        <is>
          <t>Passed on test</t>
        </is>
      </c>
      <c r="E69" s="4" t="inlineStr">
        <is>
          <t>Passed on test</t>
        </is>
      </c>
      <c r="F69" s="4" t="inlineStr">
        <is>
          <t>Passed on test</t>
        </is>
      </c>
      <c r="G69" s="4" t="inlineStr">
        <is>
          <t>Passed on test</t>
        </is>
      </c>
      <c r="H69" s="4" t="inlineStr">
        <is>
          <t>Passed on test</t>
        </is>
      </c>
      <c r="I69" s="4" t="inlineStr">
        <is>
          <t>Passed on test</t>
        </is>
      </c>
      <c r="J69" s="4" t="inlineStr">
        <is>
          <t>Passed on test</t>
        </is>
      </c>
      <c r="K69" s="4" t="inlineStr">
        <is>
          <t>Passed on test</t>
        </is>
      </c>
      <c r="L69" s="4" t="inlineStr">
        <is>
          <t>Passed on test</t>
        </is>
      </c>
      <c r="M69" s="4" t="inlineStr">
        <is>
          <t>Passed on test</t>
        </is>
      </c>
      <c r="N69" s="3" t="inlineStr">
        <is>
          <t>NOT_TESTED</t>
        </is>
      </c>
      <c r="O69" s="3" t="inlineStr">
        <is>
          <t>NOT_TESTED</t>
        </is>
      </c>
      <c r="P69" s="3" t="inlineStr">
        <is>
          <t>NOT_TESTED</t>
        </is>
      </c>
      <c r="Q69" s="3" t="inlineStr">
        <is>
          <t>NOT_TESTED</t>
        </is>
      </c>
      <c r="R69" s="3" t="inlineStr">
        <is>
          <t>NOT_TESTED</t>
        </is>
      </c>
      <c r="S69" s="3" t="inlineStr">
        <is>
          <t>NOT_TESTED</t>
        </is>
      </c>
      <c r="T69" s="3" t="inlineStr">
        <is>
          <t>NOT_TESTED</t>
        </is>
      </c>
      <c r="U69" s="3" t="inlineStr">
        <is>
          <t>NOT_TESTED</t>
        </is>
      </c>
      <c r="V69" s="3" t="inlineStr">
        <is>
          <t>NOT_TESTED</t>
        </is>
      </c>
      <c r="W69" s="3" t="inlineStr">
        <is>
          <t>NOT_TESTED</t>
        </is>
      </c>
      <c r="X69" s="3" t="inlineStr">
        <is>
          <t>NOT_TESTED</t>
        </is>
      </c>
      <c r="Y69" s="3" t="inlineStr">
        <is>
          <t>NOT_TESTED</t>
        </is>
      </c>
      <c r="Z69" s="3" t="inlineStr">
        <is>
          <t>NOT_TESTED</t>
        </is>
      </c>
      <c r="AA69" s="3" t="inlineStr">
        <is>
          <t>NOT_TESTED</t>
        </is>
      </c>
      <c r="AB69" s="3" t="inlineStr">
        <is>
          <t>NOT_TESTED</t>
        </is>
      </c>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2" t="n"/>
      <c r="BM69" s="2" t="n"/>
      <c r="BN69" s="2" t="n"/>
      <c r="BO69" s="2" t="n"/>
      <c r="BP69" s="2" t="n"/>
      <c r="BQ69" s="2" t="n"/>
      <c r="BR69" s="2" t="n"/>
      <c r="BS69" s="2" t="n"/>
      <c r="BT69" s="2" t="n"/>
      <c r="BU69" s="2" t="n"/>
      <c r="BV69" s="2" t="n"/>
      <c r="BW69" s="2" t="n"/>
      <c r="BX69" s="2" t="n"/>
      <c r="BY69" s="2" t="n"/>
      <c r="BZ69" s="2" t="n"/>
      <c r="CA69" s="2" t="n"/>
      <c r="CB69" s="2" t="n"/>
      <c r="CC69" s="2" t="n"/>
      <c r="CD69" s="2" t="n"/>
      <c r="CE69" s="2" t="n"/>
      <c r="CF69" s="2" t="n"/>
      <c r="CG69" s="2" t="n"/>
      <c r="CH69" s="2" t="n"/>
      <c r="CI69" s="2" t="n"/>
      <c r="CJ69" s="2" t="n"/>
      <c r="CK69" s="2" t="n"/>
      <c r="CL69" s="2" t="n"/>
      <c r="CM69" s="2" t="n"/>
      <c r="CN69" s="2" t="n"/>
      <c r="CO69" s="2" t="n"/>
      <c r="CP69" s="2" t="n"/>
      <c r="CQ69" s="2" t="n"/>
      <c r="CR69" s="2" t="n"/>
      <c r="CS69" s="2" t="n"/>
      <c r="CT69" s="2" t="n"/>
      <c r="CU69" s="2" t="n"/>
      <c r="CV69" s="2" t="n"/>
      <c r="CW69" s="2" t="n"/>
      <c r="CX69" s="2" t="n"/>
      <c r="CY69" s="2" t="n"/>
      <c r="CZ69" s="2" t="n"/>
      <c r="DA69" s="2" t="n"/>
      <c r="DB69" s="2" t="n"/>
      <c r="DC69" s="2" t="n"/>
      <c r="DD69" s="2" t="n"/>
      <c r="DE69" s="2" t="n"/>
    </row>
    <row r="70">
      <c r="A70" s="2" t="inlineStr">
        <is>
          <t>issue_790</t>
        </is>
      </c>
      <c r="B70" s="3" t="inlineStr">
        <is>
          <t>NOT_TESTED</t>
        </is>
      </c>
      <c r="C70" s="3" t="inlineStr">
        <is>
          <t>NOT_TESTED</t>
        </is>
      </c>
      <c r="D70" s="3" t="inlineStr">
        <is>
          <t>NOT_TESTED</t>
        </is>
      </c>
      <c r="E70" s="3" t="inlineStr">
        <is>
          <t>NOT_TESTED</t>
        </is>
      </c>
      <c r="F70" s="5" t="inlineStr">
        <is>
          <t>Failed on test</t>
        </is>
      </c>
      <c r="G70" s="5" t="inlineStr">
        <is>
          <t>Failed on test</t>
        </is>
      </c>
      <c r="H70" s="5" t="inlineStr">
        <is>
          <t>Failed on test</t>
        </is>
      </c>
      <c r="I70" s="5" t="inlineStr">
        <is>
          <t>Failed on test</t>
        </is>
      </c>
      <c r="J70" s="5" t="inlineStr">
        <is>
          <t>Failed on test</t>
        </is>
      </c>
      <c r="K70" s="5" t="inlineStr">
        <is>
          <t>Failed on test</t>
        </is>
      </c>
      <c r="L70" s="5" t="inlineStr">
        <is>
          <t>Failed on test</t>
        </is>
      </c>
      <c r="M70" s="5" t="inlineStr">
        <is>
          <t>Failed on test</t>
        </is>
      </c>
      <c r="N70" s="5" t="inlineStr">
        <is>
          <t>Failed on test</t>
        </is>
      </c>
      <c r="O70" s="5" t="inlineStr">
        <is>
          <t>Failed on test</t>
        </is>
      </c>
      <c r="P70" s="5" t="inlineStr">
        <is>
          <t>Failed on test</t>
        </is>
      </c>
      <c r="Q70" s="5" t="inlineStr">
        <is>
          <t>Failed on test</t>
        </is>
      </c>
      <c r="R70" s="5" t="inlineStr">
        <is>
          <t>Failed on test</t>
        </is>
      </c>
      <c r="S70" s="5" t="inlineStr">
        <is>
          <t>Failed on test</t>
        </is>
      </c>
      <c r="T70" s="5" t="inlineStr">
        <is>
          <t>Failed on test</t>
        </is>
      </c>
      <c r="U70" s="5" t="inlineStr">
        <is>
          <t>Failed on test</t>
        </is>
      </c>
      <c r="V70" s="5" t="inlineStr">
        <is>
          <t>Failed on test</t>
        </is>
      </c>
      <c r="W70" s="5" t="inlineStr">
        <is>
          <t>Failed on test</t>
        </is>
      </c>
      <c r="X70" s="5" t="inlineStr">
        <is>
          <t>Failed on test</t>
        </is>
      </c>
      <c r="Y70" s="5" t="inlineStr">
        <is>
          <t>Failed on test</t>
        </is>
      </c>
      <c r="Z70" s="5" t="inlineStr">
        <is>
          <t>Failed on test</t>
        </is>
      </c>
      <c r="AA70" s="5" t="inlineStr">
        <is>
          <t>Failed on test</t>
        </is>
      </c>
      <c r="AB70" s="5" t="inlineStr">
        <is>
          <t>Failed on test</t>
        </is>
      </c>
      <c r="AC70" s="2" t="n"/>
      <c r="AD70" s="2" t="n"/>
      <c r="AE70" s="2" t="n"/>
      <c r="AF70" s="2" t="n"/>
      <c r="AG70" s="2" t="n"/>
      <c r="AH70" s="2" t="n"/>
      <c r="AI70" s="2" t="n"/>
      <c r="AJ70" s="2" t="n"/>
      <c r="AK70" s="2" t="n"/>
      <c r="AL70" s="2" t="n"/>
      <c r="AM70" s="2" t="n"/>
      <c r="AN70" s="2" t="n"/>
      <c r="AO70" s="2" t="inlineStr">
        <is>
          <t>AssertionError</t>
        </is>
      </c>
      <c r="AP70" s="2" t="inlineStr">
        <is>
          <t>AssertionError: 1.6307157390045264 not less than or equal to 0.7083783495810843 : circuit does not approximate exp(-i H) within the six-step second-order bound</t>
        </is>
      </c>
      <c r="AQ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AR70" s="2" t="inlineStr">
        <is>
          <t>AssertionError</t>
        </is>
      </c>
      <c r="AS70" s="2" t="inlineStr">
        <is>
          <t>AssertionError: 1.6307157390045264 not less than or equal to 0.7083783495810843 : circuit does not approximate exp(-i H) within the six-step second-order bound</t>
        </is>
      </c>
      <c r="AT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AU70" s="2" t="inlineStr">
        <is>
          <t>AssertionError</t>
        </is>
      </c>
      <c r="AV70" s="2" t="inlineStr">
        <is>
          <t>AssertionError: 1.6307157390045264 not less than or equal to 0.7083783495810843 : circuit does not approximate exp(-i H) within the six-step second-order bound</t>
        </is>
      </c>
      <c r="AW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AX70" s="2" t="inlineStr">
        <is>
          <t>AssertionError</t>
        </is>
      </c>
      <c r="AY70" s="2" t="inlineStr">
        <is>
          <t>AssertionError: 1.6307157390045264 not less than or equal to 0.7083783495810843 : circuit does not approximate exp(-i H) within the six-step second-order bound</t>
        </is>
      </c>
      <c r="AZ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A70" s="2" t="inlineStr">
        <is>
          <t>AssertionError</t>
        </is>
      </c>
      <c r="BB70" s="2" t="inlineStr">
        <is>
          <t>AssertionError: 1.6307157390045264 not less than or equal to 0.7083783495810843 : circuit does not approximate exp(-i H) within the six-step second-order bound</t>
        </is>
      </c>
      <c r="BC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D70" s="2" t="inlineStr">
        <is>
          <t>AssertionError</t>
        </is>
      </c>
      <c r="BE70" s="2" t="inlineStr">
        <is>
          <t>AssertionError: 1.6307157390045264 not less than or equal to 0.7083783495810843 : circuit does not approximate exp(-i H) within the six-step second-order bound</t>
        </is>
      </c>
      <c r="BF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G70" s="2" t="inlineStr">
        <is>
          <t>AssertionError</t>
        </is>
      </c>
      <c r="BH70" s="2" t="inlineStr">
        <is>
          <t>AssertionError: np.float64(1.6307157390045255) not less than or equal to np.float64(0.7083783495810843) : circuit does not approximate exp(-i H) within the six-step second-order bound</t>
        </is>
      </c>
      <c r="BI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J70" s="2" t="inlineStr">
        <is>
          <t>AssertionError</t>
        </is>
      </c>
      <c r="BK70" s="2" t="inlineStr">
        <is>
          <t>AssertionError: np.float64(1.6307157390045255) not less than or equal to np.float64(0.7083783495810843) : circuit does not approximate exp(-i H) within the six-step second-order bound</t>
        </is>
      </c>
      <c r="BL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M70" s="2" t="inlineStr">
        <is>
          <t>AssertionError</t>
        </is>
      </c>
      <c r="BN70" s="2" t="inlineStr">
        <is>
          <t>AssertionError: 1.6307157390045264 not less than or equal to 0.7083783495810843 : circuit does not approximate exp(-i H) within the six-step second-order bound</t>
        </is>
      </c>
      <c r="BO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P70" s="2" t="inlineStr">
        <is>
          <t>AssertionError</t>
        </is>
      </c>
      <c r="BQ70" s="2" t="inlineStr">
        <is>
          <t>AssertionError: 1.6307157390045264 not less than or equal to 0.7083783495810843 : circuit does not approximate exp(-i H) within the six-step second-order bound</t>
        </is>
      </c>
      <c r="BR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S70" s="2" t="inlineStr">
        <is>
          <t>AssertionError</t>
        </is>
      </c>
      <c r="BT70" s="2" t="inlineStr">
        <is>
          <t>AssertionError: 1.6307157390045264 not less than or equal to 0.7083783495810843 : circuit does not approximate exp(-i H) within the six-step second-order bound</t>
        </is>
      </c>
      <c r="BU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V70" s="2" t="inlineStr">
        <is>
          <t>AssertionError</t>
        </is>
      </c>
      <c r="BW70" s="2" t="inlineStr">
        <is>
          <t>AssertionError: np.float64(1.6307157390045255) not less than or equal to np.float64(0.7083783495810843) : circuit does not approximate exp(-i H) within the six-step second-order bound</t>
        </is>
      </c>
      <c r="BX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BY70" s="2" t="inlineStr">
        <is>
          <t>AssertionError</t>
        </is>
      </c>
      <c r="BZ70" s="2" t="inlineStr">
        <is>
          <t>AssertionError: np.float64(1.6307157390045255) not less than or equal to np.float64(0.7083783495810843) : circuit does not approximate exp(-i H) within the six-step second-order bound</t>
        </is>
      </c>
      <c r="CA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B70" s="2" t="inlineStr">
        <is>
          <t>AssertionError</t>
        </is>
      </c>
      <c r="CC70" s="2" t="inlineStr">
        <is>
          <t>AssertionError: np.float64(1.6307157390045255) not less than or equal to np.float64(0.7083783495810843) : circuit does not approximate exp(-i H) within the six-step second-order bound</t>
        </is>
      </c>
      <c r="CD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E70" s="2" t="inlineStr">
        <is>
          <t>AssertionError</t>
        </is>
      </c>
      <c r="CF70" s="2" t="inlineStr">
        <is>
          <t>AssertionError: np.float64(1.6307157390045255) not less than or equal to np.float64(0.7083783495810843) : circuit does not approximate exp(-i H) within the six-step second-order bound</t>
        </is>
      </c>
      <c r="CG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H70" s="2" t="inlineStr">
        <is>
          <t>AssertionError</t>
        </is>
      </c>
      <c r="CI70" s="2" t="inlineStr">
        <is>
          <t>AssertionError: np.float64(1.6307157390045255) not less than or equal to np.float64(0.7083783495810843) : circuit does not approximate exp(-i H) within the six-step second-order bound</t>
        </is>
      </c>
      <c r="CJ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K70" s="2" t="inlineStr">
        <is>
          <t>AssertionError</t>
        </is>
      </c>
      <c r="CL70" s="2" t="inlineStr">
        <is>
          <t>AssertionError: np.float64(1.6307157390045255) not less than or equal to np.float64(0.7083783495810843) : circuit does not approximate exp(-i H) within the six-step second-order bound</t>
        </is>
      </c>
      <c r="CM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N70" s="2" t="inlineStr">
        <is>
          <t>AssertionError</t>
        </is>
      </c>
      <c r="CO70" s="2" t="inlineStr">
        <is>
          <t>AssertionError: np.float64(1.6307157390045253) not less than or equal to np.float64(0.7083783495810843) : circuit does not approximate exp(-i H) within the six-step second-order bound</t>
        </is>
      </c>
      <c r="CP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Q70" s="2" t="inlineStr">
        <is>
          <t>AssertionError</t>
        </is>
      </c>
      <c r="CR70" s="2" t="inlineStr">
        <is>
          <t>AssertionError: np.float64(1.6307157390045253) not less than or equal to np.float64(0.7083783495810843) : circuit does not approximate exp(-i H) within the six-step second-order bound</t>
        </is>
      </c>
      <c r="CS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T70" s="2" t="inlineStr">
        <is>
          <t>AssertionError</t>
        </is>
      </c>
      <c r="CU70" s="2" t="inlineStr">
        <is>
          <t>AssertionError: np.float64(1.6307157390045255) not less than or equal to np.float64(0.7083783495810843) : circuit does not approximate exp(-i H) within the six-step second-order bound</t>
        </is>
      </c>
      <c r="CV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W70" s="2" t="inlineStr">
        <is>
          <t>AssertionError</t>
        </is>
      </c>
      <c r="CX70" s="2" t="inlineStr">
        <is>
          <t>AssertionError: np.float64(1.6307157390045255) not less than or equal to np.float64(0.7083783495810843) : circuit does not approximate exp(-i H) within the six-step second-order bound</t>
        </is>
      </c>
      <c r="CY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CZ70" s="2" t="inlineStr">
        <is>
          <t>AssertionError</t>
        </is>
      </c>
      <c r="DA70" s="2" t="inlineStr">
        <is>
          <t>AssertionError: np.float64(1.6307157390045255) not less than or equal to np.float64(0.7083783495810843) : circuit does not approximate exp(-i H) within the six-step second-order bound</t>
        </is>
      </c>
      <c r="DB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DC70" s="2" t="inlineStr">
        <is>
          <t>AssertionError</t>
        </is>
      </c>
      <c r="DD70" s="2" t="inlineStr">
        <is>
          <t>AssertionError: np.float64(1.6307157390045255) not less than or equal to np.float64(0.7083783495810843) : circuit does not approximate exp(-i H) within the six-step second-order bound</t>
        </is>
      </c>
      <c r="DE70" s="2"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row>
    <row r="71">
      <c r="A71" s="2" t="inlineStr">
        <is>
          <t>issue_827</t>
        </is>
      </c>
      <c r="B71" s="6" t="inlineStr">
        <is>
          <t>Runtime error</t>
        </is>
      </c>
      <c r="C71" s="6" t="inlineStr">
        <is>
          <t>Runtime error</t>
        </is>
      </c>
      <c r="D71" s="6" t="inlineStr">
        <is>
          <t>Runtime error</t>
        </is>
      </c>
      <c r="E71" s="6" t="inlineStr">
        <is>
          <t>Runtime error</t>
        </is>
      </c>
      <c r="F71" s="6" t="inlineStr">
        <is>
          <t>Runtime error</t>
        </is>
      </c>
      <c r="G71" s="6" t="inlineStr">
        <is>
          <t>Runtime error</t>
        </is>
      </c>
      <c r="H71" s="6" t="inlineStr">
        <is>
          <t>Runtime error</t>
        </is>
      </c>
      <c r="I71" s="6" t="inlineStr">
        <is>
          <t>Runtime error</t>
        </is>
      </c>
      <c r="J71" s="6" t="inlineStr">
        <is>
          <t>Runtime error</t>
        </is>
      </c>
      <c r="K71" s="6" t="inlineStr">
        <is>
          <t>Runtime error</t>
        </is>
      </c>
      <c r="L71" s="6" t="inlineStr">
        <is>
          <t>Runtime error</t>
        </is>
      </c>
      <c r="M71" s="6" t="inlineStr">
        <is>
          <t>Runtime error</t>
        </is>
      </c>
      <c r="N71" s="3" t="inlineStr">
        <is>
          <t>NOT_TESTED</t>
        </is>
      </c>
      <c r="O71" s="3" t="inlineStr">
        <is>
          <t>NOT_TESTED</t>
        </is>
      </c>
      <c r="P71" s="3" t="inlineStr">
        <is>
          <t>NOT_TESTED</t>
        </is>
      </c>
      <c r="Q71" s="3" t="inlineStr">
        <is>
          <t>NOT_TESTED</t>
        </is>
      </c>
      <c r="R71" s="3" t="inlineStr">
        <is>
          <t>NOT_TESTED</t>
        </is>
      </c>
      <c r="S71" s="3" t="inlineStr">
        <is>
          <t>NOT_TESTED</t>
        </is>
      </c>
      <c r="T71" s="3" t="inlineStr">
        <is>
          <t>NOT_TESTED</t>
        </is>
      </c>
      <c r="U71" s="3" t="inlineStr">
        <is>
          <t>NOT_TESTED</t>
        </is>
      </c>
      <c r="V71" s="3" t="inlineStr">
        <is>
          <t>NOT_TESTED</t>
        </is>
      </c>
      <c r="W71" s="3" t="inlineStr">
        <is>
          <t>NOT_TESTED</t>
        </is>
      </c>
      <c r="X71" s="3" t="inlineStr">
        <is>
          <t>NOT_TESTED</t>
        </is>
      </c>
      <c r="Y71" s="3" t="inlineStr">
        <is>
          <t>NOT_TESTED</t>
        </is>
      </c>
      <c r="Z71" s="3" t="inlineStr">
        <is>
          <t>NOT_TESTED</t>
        </is>
      </c>
      <c r="AA71" s="3" t="inlineStr">
        <is>
          <t>NOT_TESTED</t>
        </is>
      </c>
      <c r="AB71" s="3" t="inlineStr">
        <is>
          <t>NOT_TESTED</t>
        </is>
      </c>
      <c r="AC71" s="2" t="inlineStr">
        <is>
          <t>ModuleNotFoundError</t>
        </is>
      </c>
      <c r="AD71" s="2" t="inlineStr">
        <is>
          <t>ModuleNotFoundError: No module named 'qiskit.backends'</t>
        </is>
      </c>
      <c r="AE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F71" s="2" t="inlineStr">
        <is>
          <t>ModuleNotFoundError</t>
        </is>
      </c>
      <c r="AG71" s="2" t="inlineStr">
        <is>
          <t>ModuleNotFoundError: No module named 'qiskit.backends'</t>
        </is>
      </c>
      <c r="AH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I71" s="2" t="inlineStr">
        <is>
          <t>ModuleNotFoundError</t>
        </is>
      </c>
      <c r="AJ71" s="2" t="inlineStr">
        <is>
          <t>ModuleNotFoundError: No module named 'qiskit.backends'</t>
        </is>
      </c>
      <c r="AK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L71" s="2" t="inlineStr">
        <is>
          <t>ModuleNotFoundError</t>
        </is>
      </c>
      <c r="AM71" s="2" t="inlineStr">
        <is>
          <t>ModuleNotFoundError: No module named 'qiskit.backends'</t>
        </is>
      </c>
      <c r="AN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O71" s="2" t="inlineStr">
        <is>
          <t>ModuleNotFoundError</t>
        </is>
      </c>
      <c r="AP71" s="2" t="inlineStr">
        <is>
          <t>ModuleNotFoundError: No module named 'qiskit.backends'</t>
        </is>
      </c>
      <c r="AQ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R71" s="2" t="inlineStr">
        <is>
          <t>ModuleNotFoundError</t>
        </is>
      </c>
      <c r="AS71" s="2" t="inlineStr">
        <is>
          <t>ModuleNotFoundError: No module named 'qiskit.backends'</t>
        </is>
      </c>
      <c r="AT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U71" s="2" t="inlineStr">
        <is>
          <t>ModuleNotFoundError</t>
        </is>
      </c>
      <c r="AV71" s="2" t="inlineStr">
        <is>
          <t>ModuleNotFoundError: No module named 'qiskit.backends'</t>
        </is>
      </c>
      <c r="AW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AX71" s="2" t="inlineStr">
        <is>
          <t>ModuleNotFoundError</t>
        </is>
      </c>
      <c r="AY71" s="2" t="inlineStr">
        <is>
          <t>ModuleNotFoundError: No module named 'qiskit.backends'</t>
        </is>
      </c>
      <c r="AZ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BA71" s="2" t="inlineStr">
        <is>
          <t>ModuleNotFoundError</t>
        </is>
      </c>
      <c r="BB71" s="2" t="inlineStr">
        <is>
          <t>ModuleNotFoundError: No module named 'qiskit.backends'</t>
        </is>
      </c>
      <c r="BC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BD71" s="2" t="inlineStr">
        <is>
          <t>ModuleNotFoundError</t>
        </is>
      </c>
      <c r="BE71" s="2" t="inlineStr">
        <is>
          <t>ModuleNotFoundError: No module named 'qiskit.backends'</t>
        </is>
      </c>
      <c r="BF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BG71" s="2" t="inlineStr">
        <is>
          <t>ModuleNotFoundError</t>
        </is>
      </c>
      <c r="BH71" s="2" t="inlineStr">
        <is>
          <t>ModuleNotFoundError: No module named 'qiskit.backends'</t>
        </is>
      </c>
      <c r="BI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BJ71" s="2" t="inlineStr">
        <is>
          <t>ModuleNotFoundError</t>
        </is>
      </c>
      <c r="BK71" s="2" t="inlineStr">
        <is>
          <t>ModuleNotFoundError: No module named 'qiskit.backends'</t>
        </is>
      </c>
      <c r="BL71" s="2"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row>
    <row r="72">
      <c r="A72" s="2" t="inlineStr">
        <is>
          <t>issue_858</t>
        </is>
      </c>
      <c r="B72" s="3" t="inlineStr">
        <is>
          <t>NOT_TESTED</t>
        </is>
      </c>
      <c r="C72" s="3" t="inlineStr">
        <is>
          <t>NOT_TESTED</t>
        </is>
      </c>
      <c r="D72" s="3" t="inlineStr">
        <is>
          <t>NOT_TESTED</t>
        </is>
      </c>
      <c r="E72" s="3" t="inlineStr">
        <is>
          <t>NOT_TESTED</t>
        </is>
      </c>
      <c r="F72" s="6" t="inlineStr">
        <is>
          <t>Runtime error</t>
        </is>
      </c>
      <c r="G72" s="6" t="inlineStr">
        <is>
          <t>Runtime error</t>
        </is>
      </c>
      <c r="H72" s="6" t="inlineStr">
        <is>
          <t>Runtime error</t>
        </is>
      </c>
      <c r="I72" s="6" t="inlineStr">
        <is>
          <t>Runtime error</t>
        </is>
      </c>
      <c r="J72" s="6" t="inlineStr">
        <is>
          <t>Runtime error</t>
        </is>
      </c>
      <c r="K72" s="6" t="inlineStr">
        <is>
          <t>Runtime error</t>
        </is>
      </c>
      <c r="L72" s="6" t="inlineStr">
        <is>
          <t>Runtime error</t>
        </is>
      </c>
      <c r="M72" s="6" t="inlineStr">
        <is>
          <t>Runtime error</t>
        </is>
      </c>
      <c r="N72" s="3" t="inlineStr">
        <is>
          <t>NOT_TESTED</t>
        </is>
      </c>
      <c r="O72" s="3" t="inlineStr">
        <is>
          <t>NOT_TESTED</t>
        </is>
      </c>
      <c r="P72" s="3" t="inlineStr">
        <is>
          <t>NOT_TESTED</t>
        </is>
      </c>
      <c r="Q72" s="3" t="inlineStr">
        <is>
          <t>NOT_TESTED</t>
        </is>
      </c>
      <c r="R72" s="3" t="inlineStr">
        <is>
          <t>NOT_TESTED</t>
        </is>
      </c>
      <c r="S72" s="3" t="inlineStr">
        <is>
          <t>NOT_TESTED</t>
        </is>
      </c>
      <c r="T72" s="3" t="inlineStr">
        <is>
          <t>NOT_TESTED</t>
        </is>
      </c>
      <c r="U72" s="3" t="inlineStr">
        <is>
          <t>NOT_TESTED</t>
        </is>
      </c>
      <c r="V72" s="3" t="inlineStr">
        <is>
          <t>NOT_TESTED</t>
        </is>
      </c>
      <c r="W72" s="3" t="inlineStr">
        <is>
          <t>NOT_TESTED</t>
        </is>
      </c>
      <c r="X72" s="3" t="inlineStr">
        <is>
          <t>NOT_TESTED</t>
        </is>
      </c>
      <c r="Y72" s="3" t="inlineStr">
        <is>
          <t>NOT_TESTED</t>
        </is>
      </c>
      <c r="Z72" s="3" t="inlineStr">
        <is>
          <t>NOT_TESTED</t>
        </is>
      </c>
      <c r="AA72" s="3" t="inlineStr">
        <is>
          <t>NOT_TESTED</t>
        </is>
      </c>
      <c r="AB72" s="3" t="inlineStr">
        <is>
          <t>NOT_TESTED</t>
        </is>
      </c>
      <c r="AC72" s="2" t="n"/>
      <c r="AD72" s="2" t="n"/>
      <c r="AE72" s="2" t="n"/>
      <c r="AF72" s="2" t="n"/>
      <c r="AG72" s="2" t="n"/>
      <c r="AH72" s="2" t="n"/>
      <c r="AI72" s="2" t="n"/>
      <c r="AJ72" s="2" t="n"/>
      <c r="AK72" s="2" t="n"/>
      <c r="AL72" s="2" t="n"/>
      <c r="AM72" s="2" t="n"/>
      <c r="AN72" s="2" t="n"/>
      <c r="AO72" s="2" t="inlineStr">
        <is>
          <t>OfflineAccessDenied</t>
        </is>
      </c>
      <c r="AP72" s="2" t="inlineStr">
        <is>
          <t>OfflineAccessDenied: Offline snapshot fixture forbids IBMQ.load_account</t>
        </is>
      </c>
      <c r="AQ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AR72" s="2" t="inlineStr">
        <is>
          <t>OfflineAccessDenied</t>
        </is>
      </c>
      <c r="AS72" s="2" t="inlineStr">
        <is>
          <t>OfflineAccessDenied: Offline snapshot fixture forbids IBMQ.load_account</t>
        </is>
      </c>
      <c r="AT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AU72" s="2" t="inlineStr">
        <is>
          <t>OfflineAccessDenied</t>
        </is>
      </c>
      <c r="AV72" s="2" t="inlineStr">
        <is>
          <t>OfflineAccessDenied: Offline snapshot fixture forbids IBMQ.load_account</t>
        </is>
      </c>
      <c r="AW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AX72" s="2" t="inlineStr">
        <is>
          <t>OfflineAccessDenied</t>
        </is>
      </c>
      <c r="AY72" s="2" t="inlineStr">
        <is>
          <t>OfflineAccessDenied: Offline snapshot fixture forbids IBMQ.load_account</t>
        </is>
      </c>
      <c r="AZ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BA72" s="2" t="inlineStr">
        <is>
          <t>OfflineAccessDenied</t>
        </is>
      </c>
      <c r="BB72" s="2" t="inlineStr">
        <is>
          <t>OfflineAccessDenied: Offline snapshot fixture forbids IBMQ.load_account</t>
        </is>
      </c>
      <c r="BC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BD72" s="2" t="inlineStr">
        <is>
          <t>OfflineAccessDenied</t>
        </is>
      </c>
      <c r="BE72" s="2" t="inlineStr">
        <is>
          <t>OfflineAccessDenied: Offline snapshot fixture forbids IBMQ.load_account</t>
        </is>
      </c>
      <c r="BF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BG72" s="2" t="inlineStr">
        <is>
          <t>OfflineAccessDenied</t>
        </is>
      </c>
      <c r="BH72" s="2" t="inlineStr">
        <is>
          <t>OfflineAccessDenied: Offline snapshot fixture forbids IBMQ.load_account</t>
        </is>
      </c>
      <c r="BI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BJ72" s="2" t="inlineStr">
        <is>
          <t>OfflineAccessDenied</t>
        </is>
      </c>
      <c r="BK72" s="2" t="inlineStr">
        <is>
          <t>OfflineAccessDenied: Offline snapshot fixture forbids IBMQ.load_account</t>
        </is>
      </c>
      <c r="BL72" s="2"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row>
    <row r="73">
      <c r="A73" s="2" t="inlineStr">
        <is>
          <t>issue_901</t>
        </is>
      </c>
      <c r="B73" s="3" t="inlineStr">
        <is>
          <t>NOT_TESTED</t>
        </is>
      </c>
      <c r="C73" s="3" t="inlineStr">
        <is>
          <t>NOT_TESTED</t>
        </is>
      </c>
      <c r="D73" s="3" t="inlineStr">
        <is>
          <t>NOT_TESTED</t>
        </is>
      </c>
      <c r="E73" s="3" t="inlineStr">
        <is>
          <t>NOT_TESTED</t>
        </is>
      </c>
      <c r="F73" s="4" t="inlineStr">
        <is>
          <t>Passed on test</t>
        </is>
      </c>
      <c r="G73" s="4" t="inlineStr">
        <is>
          <t>Passed on test</t>
        </is>
      </c>
      <c r="H73" s="4" t="inlineStr">
        <is>
          <t>Passed on test</t>
        </is>
      </c>
      <c r="I73" s="4" t="inlineStr">
        <is>
          <t>Passed on test</t>
        </is>
      </c>
      <c r="J73" s="4" t="inlineStr">
        <is>
          <t>Passed on test</t>
        </is>
      </c>
      <c r="K73" s="4" t="inlineStr">
        <is>
          <t>Passed on test</t>
        </is>
      </c>
      <c r="L73" s="4" t="inlineStr">
        <is>
          <t>Passed on test</t>
        </is>
      </c>
      <c r="M73" s="4" t="inlineStr">
        <is>
          <t>Passed on test</t>
        </is>
      </c>
      <c r="N73" s="4" t="inlineStr">
        <is>
          <t>Passed on test</t>
        </is>
      </c>
      <c r="O73" s="4" t="inlineStr">
        <is>
          <t>Passed on test</t>
        </is>
      </c>
      <c r="P73" s="4" t="inlineStr">
        <is>
          <t>Passed on test</t>
        </is>
      </c>
      <c r="Q73" s="4" t="inlineStr">
        <is>
          <t>Passed on test</t>
        </is>
      </c>
      <c r="R73" s="4" t="inlineStr">
        <is>
          <t>Passed on test</t>
        </is>
      </c>
      <c r="S73" s="4" t="inlineStr">
        <is>
          <t>Passed on test</t>
        </is>
      </c>
      <c r="T73" s="4" t="inlineStr">
        <is>
          <t>Passed on test</t>
        </is>
      </c>
      <c r="U73" s="4" t="inlineStr">
        <is>
          <t>Passed on test</t>
        </is>
      </c>
      <c r="V73" s="4" t="inlineStr">
        <is>
          <t>Passed on test</t>
        </is>
      </c>
      <c r="W73" s="4" t="inlineStr">
        <is>
          <t>Passed on test</t>
        </is>
      </c>
      <c r="X73" s="4" t="inlineStr">
        <is>
          <t>Passed on test</t>
        </is>
      </c>
      <c r="Y73" s="3" t="inlineStr">
        <is>
          <t>NOT_TESTED</t>
        </is>
      </c>
      <c r="Z73" s="3" t="inlineStr">
        <is>
          <t>NOT_TESTED</t>
        </is>
      </c>
      <c r="AA73" s="3" t="inlineStr">
        <is>
          <t>NOT_TESTED</t>
        </is>
      </c>
      <c r="AB73" s="3" t="inlineStr">
        <is>
          <t>NOT_TESTED</t>
        </is>
      </c>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c r="BP73" s="2" t="n"/>
      <c r="BQ73" s="2" t="n"/>
      <c r="BR73" s="2" t="n"/>
      <c r="BS73" s="2" t="n"/>
      <c r="BT73" s="2" t="n"/>
      <c r="BU73" s="2" t="n"/>
      <c r="BV73" s="2" t="n"/>
      <c r="BW73" s="2" t="n"/>
      <c r="BX73" s="2" t="n"/>
      <c r="BY73" s="2" t="n"/>
      <c r="BZ73" s="2" t="n"/>
      <c r="CA73" s="2" t="n"/>
      <c r="CB73" s="2" t="n"/>
      <c r="CC73" s="2" t="n"/>
      <c r="CD73" s="2" t="n"/>
      <c r="CE73" s="2" t="n"/>
      <c r="CF73" s="2" t="n"/>
      <c r="CG73" s="2" t="n"/>
      <c r="CH73" s="2" t="n"/>
      <c r="CI73" s="2" t="n"/>
      <c r="CJ73" s="2" t="n"/>
      <c r="CK73" s="2" t="n"/>
      <c r="CL73" s="2" t="n"/>
      <c r="CM73" s="2" t="n"/>
      <c r="CN73" s="2" t="n"/>
      <c r="CO73" s="2" t="n"/>
      <c r="CP73" s="2" t="n"/>
      <c r="CQ73" s="2" t="n"/>
      <c r="CR73" s="2" t="n"/>
      <c r="CS73" s="2" t="n"/>
      <c r="CT73" s="2" t="n"/>
      <c r="CU73" s="2" t="n"/>
      <c r="CV73" s="2" t="n"/>
      <c r="CW73" s="2" t="n"/>
      <c r="CX73" s="2" t="n"/>
      <c r="CY73" s="2" t="n"/>
      <c r="CZ73" s="2" t="n"/>
      <c r="DA73" s="2" t="n"/>
      <c r="DB73" s="2" t="n"/>
      <c r="DC73" s="2" t="n"/>
      <c r="DD73" s="2" t="n"/>
      <c r="DE73" s="2" t="n"/>
    </row>
    <row r="74">
      <c r="A74" s="2" t="inlineStr">
        <is>
          <t>issue_921</t>
        </is>
      </c>
      <c r="B74" s="6" t="inlineStr">
        <is>
          <t>Runtime error</t>
        </is>
      </c>
      <c r="C74" s="6" t="inlineStr">
        <is>
          <t>Runtime error</t>
        </is>
      </c>
      <c r="D74" s="6" t="inlineStr">
        <is>
          <t>Runtime error</t>
        </is>
      </c>
      <c r="E74" s="6" t="inlineStr">
        <is>
          <t>Runtime error</t>
        </is>
      </c>
      <c r="F74" s="3" t="inlineStr">
        <is>
          <t>NOT_TESTED</t>
        </is>
      </c>
      <c r="G74" s="3" t="inlineStr">
        <is>
          <t>NOT_TESTED</t>
        </is>
      </c>
      <c r="H74" s="3" t="inlineStr">
        <is>
          <t>NOT_TESTED</t>
        </is>
      </c>
      <c r="I74" s="3" t="inlineStr">
        <is>
          <t>NOT_TESTED</t>
        </is>
      </c>
      <c r="J74" s="3" t="inlineStr">
        <is>
          <t>NOT_TESTED</t>
        </is>
      </c>
      <c r="K74" s="3" t="inlineStr">
        <is>
          <t>NOT_TESTED</t>
        </is>
      </c>
      <c r="L74" s="3" t="inlineStr">
        <is>
          <t>NOT_TESTED</t>
        </is>
      </c>
      <c r="M74" s="3" t="inlineStr">
        <is>
          <t>NOT_TESTED</t>
        </is>
      </c>
      <c r="N74" s="3" t="inlineStr">
        <is>
          <t>NOT_TESTED</t>
        </is>
      </c>
      <c r="O74" s="3" t="inlineStr">
        <is>
          <t>NOT_TESTED</t>
        </is>
      </c>
      <c r="P74" s="3" t="inlineStr">
        <is>
          <t>NOT_TESTED</t>
        </is>
      </c>
      <c r="Q74" s="3" t="inlineStr">
        <is>
          <t>NOT_TESTED</t>
        </is>
      </c>
      <c r="R74" s="3" t="inlineStr">
        <is>
          <t>NOT_TESTED</t>
        </is>
      </c>
      <c r="S74" s="3" t="inlineStr">
        <is>
          <t>NOT_TESTED</t>
        </is>
      </c>
      <c r="T74" s="3" t="inlineStr">
        <is>
          <t>NOT_TESTED</t>
        </is>
      </c>
      <c r="U74" s="3" t="inlineStr">
        <is>
          <t>NOT_TESTED</t>
        </is>
      </c>
      <c r="V74" s="3" t="inlineStr">
        <is>
          <t>NOT_TESTED</t>
        </is>
      </c>
      <c r="W74" s="3" t="inlineStr">
        <is>
          <t>NOT_TESTED</t>
        </is>
      </c>
      <c r="X74" s="3" t="inlineStr">
        <is>
          <t>NOT_TESTED</t>
        </is>
      </c>
      <c r="Y74" s="3" t="inlineStr">
        <is>
          <t>NOT_TESTED</t>
        </is>
      </c>
      <c r="Z74" s="3" t="inlineStr">
        <is>
          <t>NOT_TESTED</t>
        </is>
      </c>
      <c r="AA74" s="3" t="inlineStr">
        <is>
          <t>NOT_TESTED</t>
        </is>
      </c>
      <c r="AB74" s="3" t="inlineStr">
        <is>
          <t>NOT_TESTED</t>
        </is>
      </c>
      <c r="AC74" s="2" t="inlineStr">
        <is>
          <t>ImportError</t>
        </is>
      </c>
      <c r="AD74" s="2" t="inlineStr">
        <is>
          <t>ImportError: cannot import name 'run_algorithm' from 'qiskit.aqua' (C:\qiskit_envs\q0250\lib\site-packages\qiskit\aqua\__init__.py)</t>
        </is>
      </c>
      <c r="AE74" s="2" t="inlineStr">
        <is>
          <t>The LLM answered NO BUG, saying the code matches the Aqua API of the tutorial, and returned it unchanged, but run_algorithm can't be imported from qiskit.aqua (ImportError). Same answer as claude-sonnet-5-5 and both luna models; claude-opus-5-5 rewrote it with SparsePauliOp and NumPy and passed.</t>
        </is>
      </c>
      <c r="AF74" s="2" t="inlineStr">
        <is>
          <t>ImportError</t>
        </is>
      </c>
      <c r="AG74" s="2" t="inlineStr">
        <is>
          <t>ImportError: cannot import name 'run_algorithm' from 'qiskit.aqua' (C:\qiskit_envs\q0251\lib\site-packages\qiskit\aqua\__init__.py)</t>
        </is>
      </c>
      <c r="AH74" s="2" t="inlineStr">
        <is>
          <t>The LLM answered NO BUG, saying the code matches the Aqua API of the tutorial, and returned it unchanged, but run_algorithm can't be imported from qiskit.aqua (ImportError). Same answer as claude-sonnet-5-5 and both luna models; claude-opus-5-5 rewrote it with SparsePauliOp and NumPy and passed.</t>
        </is>
      </c>
      <c r="AI74" s="2" t="inlineStr">
        <is>
          <t>ImportError</t>
        </is>
      </c>
      <c r="AJ74" s="2" t="inlineStr">
        <is>
          <t>ImportError: cannot import name 'run_algorithm' from 'qiskit.aqua' (C:\qiskit_envs\q0252\lib\site-packages\qiskit\aqua\__init__.py)</t>
        </is>
      </c>
      <c r="AK74" s="2" t="inlineStr">
        <is>
          <t>The LLM answered NO BUG, saying the code matches the Aqua API of the tutorial, and returned it unchanged, but run_algorithm can't be imported from qiskit.aqua (ImportError). Same answer as claude-sonnet-5-5 and both luna models; claude-opus-5-5 rewrote it with SparsePauliOp and NumPy and passed.</t>
        </is>
      </c>
      <c r="AL74" s="2" t="inlineStr">
        <is>
          <t>ImportError</t>
        </is>
      </c>
      <c r="AM74" s="2" t="inlineStr">
        <is>
          <t>ImportError: cannot import name 'run_algorithm' from 'qiskit.aqua' (C:\qiskit_envs\q0253\lib\site-packages\qiskit\aqua\__init__.py)</t>
        </is>
      </c>
      <c r="AN74" s="2" t="inlineStr">
        <is>
          <t>The LLM answered NO BUG, saying the code matches the Aqua API of the tutorial, and returned it unchanged, but run_algorithm can't be imported from qiskit.aqua (ImportError). Same answer as claude-sonnet-5-5 and both luna models; claude-opus-5-5 rewrote it with SparsePauliOp and NumPy and passed.</t>
        </is>
      </c>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2" t="n"/>
      <c r="BM74" s="2" t="n"/>
      <c r="BN74" s="2" t="n"/>
      <c r="BO74" s="2" t="n"/>
      <c r="BP74" s="2" t="n"/>
      <c r="BQ74" s="2" t="n"/>
      <c r="BR74" s="2" t="n"/>
      <c r="BS74" s="2" t="n"/>
      <c r="BT74" s="2" t="n"/>
      <c r="BU74" s="2" t="n"/>
      <c r="BV74" s="2" t="n"/>
      <c r="BW74" s="2" t="n"/>
      <c r="BX74" s="2" t="n"/>
      <c r="BY74" s="2" t="n"/>
      <c r="BZ74" s="2" t="n"/>
      <c r="CA74" s="2" t="n"/>
      <c r="CB74" s="2" t="n"/>
      <c r="CC74" s="2" t="n"/>
      <c r="CD74" s="2" t="n"/>
      <c r="CE74" s="2" t="n"/>
      <c r="CF74" s="2" t="n"/>
      <c r="CG74" s="2" t="n"/>
      <c r="CH74" s="2" t="n"/>
      <c r="CI74" s="2" t="n"/>
      <c r="CJ74" s="2" t="n"/>
      <c r="CK74" s="2" t="n"/>
      <c r="CL74" s="2" t="n"/>
      <c r="CM74" s="2" t="n"/>
      <c r="CN74" s="2" t="n"/>
      <c r="CO74" s="2" t="n"/>
      <c r="CP74" s="2" t="n"/>
      <c r="CQ74" s="2" t="n"/>
      <c r="CR74" s="2" t="n"/>
      <c r="CS74" s="2" t="n"/>
      <c r="CT74" s="2" t="n"/>
      <c r="CU74" s="2" t="n"/>
      <c r="CV74" s="2" t="n"/>
      <c r="CW74" s="2" t="n"/>
      <c r="CX74" s="2" t="n"/>
      <c r="CY74" s="2" t="n"/>
      <c r="CZ74" s="2" t="n"/>
      <c r="DA74" s="2" t="n"/>
      <c r="DB74" s="2" t="n"/>
      <c r="DC74" s="2" t="n"/>
      <c r="DD74" s="2" t="n"/>
      <c r="DE7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6"/>
  <sheetViews>
    <sheetView workbookViewId="0">
      <selection activeCell="A1" sqref="A1"/>
    </sheetView>
  </sheetViews>
  <sheetFormatPr baseColWidth="8" defaultRowHeight="15"/>
  <cols>
    <col width="16" customWidth="1" min="1" max="1"/>
    <col width="15" customWidth="1" min="2" max="2"/>
    <col width="34" customWidth="1" min="3" max="3"/>
    <col width="11" customWidth="1" min="4" max="4"/>
    <col width="26" customWidth="1" min="5" max="5"/>
    <col width="48" customWidth="1" min="6" max="6"/>
    <col width="60" customWidth="1" min="7" max="7"/>
    <col width="10" customWidth="1" min="8" max="8"/>
    <col width="14" customWidth="1" min="9" max="9"/>
    <col width="10" customWidth="1" min="10" max="10"/>
    <col width="12" customWidth="1" min="11" max="11"/>
  </cols>
  <sheetData>
    <row r="1">
      <c r="A1" s="7" t="inlineStr">
        <is>
          <t>LLM bug-repair results (claude-haiku-5-5), judged by each case's test (test_new.py / test-new.py for issue_021_se, issue_058_se and issue_061; test.py for the rest) Since 9 Oct 2026, the test.py of 12 over-specific cases holds an updated test that replaced the old one.</t>
        </is>
      </c>
    </row>
    <row r="2">
      <c r="A2" t="inlineStr">
        <is>
          <t>All numbers below are formulas over the Summary sheet, so they update if Summary changes. batch 1 = Summary rows 2-11, batch 2 = Summary rows 12-21, batch 3 = Summary rows 22-31, batch 4 = Summary rows 32-41, batch 5 = Summary rows 42-51, batch 6 = Summary rows 52-61, batch 7 = Summary rows 62-68, batch 8 = Summary rows 69-74. The 4 runs that hit the 120-second timeout are counted as Runtime error.</t>
        </is>
      </c>
    </row>
    <row r="3"/>
    <row r="4">
      <c r="A4" s="7" t="inlineStr">
        <is>
          <t>1. Case × version pairs</t>
        </is>
      </c>
    </row>
    <row r="5">
      <c r="A5" s="1" t="inlineStr">
        <is>
          <t>Result</t>
        </is>
      </c>
      <c r="B5" s="1" t="inlineStr">
        <is>
          <t>Count</t>
        </is>
      </c>
      <c r="C5" s="1" t="inlineStr">
        <is>
          <t>% of tested pairs</t>
        </is>
      </c>
      <c r="D5" s="1" t="inlineStr">
        <is>
          <t>Batch 1</t>
        </is>
      </c>
      <c r="E5" s="1" t="inlineStr">
        <is>
          <t>Batch 1 %</t>
        </is>
      </c>
      <c r="F5" s="1" t="inlineStr">
        <is>
          <t>Batch 2</t>
        </is>
      </c>
      <c r="G5" s="1" t="inlineStr">
        <is>
          <t>Batch 2 %</t>
        </is>
      </c>
      <c r="H5" s="1" t="inlineStr">
        <is>
          <t>Batch 3</t>
        </is>
      </c>
      <c r="I5" s="1" t="inlineStr">
        <is>
          <t>Batch 3 %</t>
        </is>
      </c>
      <c r="J5" s="1" t="inlineStr">
        <is>
          <t>Batch 4</t>
        </is>
      </c>
      <c r="K5" s="1" t="inlineStr">
        <is>
          <t>Batch 4 %</t>
        </is>
      </c>
      <c r="L5" s="1" t="inlineStr">
        <is>
          <t>Batch 5</t>
        </is>
      </c>
      <c r="M5" s="1" t="inlineStr">
        <is>
          <t>Batch 5 %</t>
        </is>
      </c>
      <c r="N5" s="1" t="inlineStr">
        <is>
          <t>Batch 6</t>
        </is>
      </c>
      <c r="O5" s="1" t="inlineStr">
        <is>
          <t>Batch 6 %</t>
        </is>
      </c>
      <c r="P5" s="1" t="inlineStr">
        <is>
          <t>Batch 7</t>
        </is>
      </c>
      <c r="Q5" s="1" t="inlineStr">
        <is>
          <t>Batch 7 %</t>
        </is>
      </c>
      <c r="R5" s="1" t="inlineStr">
        <is>
          <t>Batch 8</t>
        </is>
      </c>
      <c r="S5" s="1" t="inlineStr">
        <is>
          <t>Batch 8 %</t>
        </is>
      </c>
    </row>
    <row r="6">
      <c r="A6" s="8" t="inlineStr">
        <is>
          <t>Passed on test</t>
        </is>
      </c>
      <c r="B6" s="2">
        <f>COUNTIF(Summary!$B$2:$AB$74,"Passed on test")</f>
        <v/>
      </c>
      <c r="C6" s="9">
        <f>IF($B$9=0,0,B6/$B$9)</f>
        <v/>
      </c>
      <c r="D6" s="2">
        <f>COUNTIF(Summary!$B$2:$AB$11,"Passed on test")</f>
        <v/>
      </c>
      <c r="E6" s="9">
        <f>IF(D$9=0,0,D6/D$9)</f>
        <v/>
      </c>
      <c r="F6" s="2">
        <f>COUNTIF(Summary!$B$12:$AB$21,"Passed on test")</f>
        <v/>
      </c>
      <c r="G6" s="9">
        <f>IF(F$9=0,0,F6/F$9)</f>
        <v/>
      </c>
      <c r="H6" s="2">
        <f>COUNTIF(Summary!$B$22:$AB$31,"Passed on test")</f>
        <v/>
      </c>
      <c r="I6" s="9">
        <f>IF(H$9=0,0,H6/H$9)</f>
        <v/>
      </c>
      <c r="J6" s="2">
        <f>COUNTIF(Summary!$B$32:$AB$41,"Passed on test")</f>
        <v/>
      </c>
      <c r="K6" s="9">
        <f>IF(J$9=0,0,J6/J$9)</f>
        <v/>
      </c>
      <c r="L6" s="2">
        <f>COUNTIF(Summary!$B$42:$AB$51,"Passed on test")</f>
        <v/>
      </c>
      <c r="M6" s="9">
        <f>IF(L$9=0,0,L6/L$9)</f>
        <v/>
      </c>
      <c r="N6" s="2">
        <f>COUNTIF(Summary!$B$52:$AB$61,"Passed on test")</f>
        <v/>
      </c>
      <c r="O6" s="9">
        <f>IF(N$9=0,0,N6/N$9)</f>
        <v/>
      </c>
      <c r="P6" s="2">
        <f>COUNTIF(Summary!$B$62:$AB$68,"Passed on test")</f>
        <v/>
      </c>
      <c r="Q6" s="9">
        <f>IF(P$9=0,0,P6/P$9)</f>
        <v/>
      </c>
      <c r="R6" s="2">
        <f>COUNTIF(Summary!$B$69:$AB$74,"Passed on test")</f>
        <v/>
      </c>
      <c r="S6" s="9">
        <f>IF(R$9=0,0,R6/R$9)</f>
        <v/>
      </c>
    </row>
    <row r="7">
      <c r="A7" s="10" t="inlineStr">
        <is>
          <t>Failed on test</t>
        </is>
      </c>
      <c r="B7" s="2">
        <f>COUNTIF(Summary!$B$2:$AB$74,"Failed on test")</f>
        <v/>
      </c>
      <c r="C7" s="9">
        <f>IF($B$9=0,0,B7/$B$9)</f>
        <v/>
      </c>
      <c r="D7" s="2">
        <f>COUNTIF(Summary!$B$2:$AB$11,"Failed on test")</f>
        <v/>
      </c>
      <c r="E7" s="9">
        <f>IF(D$9=0,0,D7/D$9)</f>
        <v/>
      </c>
      <c r="F7" s="2">
        <f>COUNTIF(Summary!$B$12:$AB$21,"Failed on test")</f>
        <v/>
      </c>
      <c r="G7" s="9">
        <f>IF(F$9=0,0,F7/F$9)</f>
        <v/>
      </c>
      <c r="H7" s="2">
        <f>COUNTIF(Summary!$B$22:$AB$31,"Failed on test")</f>
        <v/>
      </c>
      <c r="I7" s="9">
        <f>IF(H$9=0,0,H7/H$9)</f>
        <v/>
      </c>
      <c r="J7" s="2">
        <f>COUNTIF(Summary!$B$32:$AB$41,"Failed on test")</f>
        <v/>
      </c>
      <c r="K7" s="9">
        <f>IF(J$9=0,0,J7/J$9)</f>
        <v/>
      </c>
      <c r="L7" s="2">
        <f>COUNTIF(Summary!$B$42:$AB$51,"Failed on test")</f>
        <v/>
      </c>
      <c r="M7" s="9">
        <f>IF(L$9=0,0,L7/L$9)</f>
        <v/>
      </c>
      <c r="N7" s="2">
        <f>COUNTIF(Summary!$B$52:$AB$61,"Failed on test")</f>
        <v/>
      </c>
      <c r="O7" s="9">
        <f>IF(N$9=0,0,N7/N$9)</f>
        <v/>
      </c>
      <c r="P7" s="2">
        <f>COUNTIF(Summary!$B$62:$AB$68,"Failed on test")</f>
        <v/>
      </c>
      <c r="Q7" s="9">
        <f>IF(P$9=0,0,P7/P$9)</f>
        <v/>
      </c>
      <c r="R7" s="2">
        <f>COUNTIF(Summary!$B$69:$AB$74,"Failed on test")</f>
        <v/>
      </c>
      <c r="S7" s="9">
        <f>IF(R$9=0,0,R7/R$9)</f>
        <v/>
      </c>
    </row>
    <row r="8">
      <c r="A8" s="11" t="inlineStr">
        <is>
          <t>Runtime error</t>
        </is>
      </c>
      <c r="B8" s="2">
        <f>COUNTIF(Summary!$B$2:$AB$74,"Runtime error")</f>
        <v/>
      </c>
      <c r="C8" s="9">
        <f>IF($B$9=0,0,B8/$B$9)</f>
        <v/>
      </c>
      <c r="D8" s="2">
        <f>COUNTIF(Summary!$B$2:$AB$11,"Runtime error")</f>
        <v/>
      </c>
      <c r="E8" s="9">
        <f>IF(D$9=0,0,D8/D$9)</f>
        <v/>
      </c>
      <c r="F8" s="2">
        <f>COUNTIF(Summary!$B$12:$AB$21,"Runtime error")</f>
        <v/>
      </c>
      <c r="G8" s="9">
        <f>IF(F$9=0,0,F8/F$9)</f>
        <v/>
      </c>
      <c r="H8" s="2">
        <f>COUNTIF(Summary!$B$22:$AB$31,"Runtime error")</f>
        <v/>
      </c>
      <c r="I8" s="9">
        <f>IF(H$9=0,0,H8/H$9)</f>
        <v/>
      </c>
      <c r="J8" s="2">
        <f>COUNTIF(Summary!$B$32:$AB$41,"Runtime error")</f>
        <v/>
      </c>
      <c r="K8" s="9">
        <f>IF(J$9=0,0,J8/J$9)</f>
        <v/>
      </c>
      <c r="L8" s="2">
        <f>COUNTIF(Summary!$B$42:$AB$51,"Runtime error")</f>
        <v/>
      </c>
      <c r="M8" s="9">
        <f>IF(L$9=0,0,L8/L$9)</f>
        <v/>
      </c>
      <c r="N8" s="2">
        <f>COUNTIF(Summary!$B$52:$AB$61,"Runtime error")</f>
        <v/>
      </c>
      <c r="O8" s="9">
        <f>IF(N$9=0,0,N8/N$9)</f>
        <v/>
      </c>
      <c r="P8" s="2">
        <f>COUNTIF(Summary!$B$62:$AB$68,"Runtime error")</f>
        <v/>
      </c>
      <c r="Q8" s="9">
        <f>IF(P$9=0,0,P8/P$9)</f>
        <v/>
      </c>
      <c r="R8" s="2">
        <f>COUNTIF(Summary!$B$69:$AB$74,"Runtime error")</f>
        <v/>
      </c>
      <c r="S8" s="9">
        <f>IF(R$9=0,0,R8/R$9)</f>
        <v/>
      </c>
    </row>
    <row r="9">
      <c r="A9" s="12" t="inlineStr">
        <is>
          <t>Total tested</t>
        </is>
      </c>
      <c r="B9" s="12">
        <f>SUM(B6:B8)</f>
        <v/>
      </c>
      <c r="C9" s="13">
        <f>SUM(C6:C8)</f>
        <v/>
      </c>
      <c r="D9" s="12">
        <f>SUM(D6:D8)</f>
        <v/>
      </c>
      <c r="E9" s="13">
        <f>SUM(E6:E8)</f>
        <v/>
      </c>
      <c r="F9" s="12">
        <f>SUM(F6:F8)</f>
        <v/>
      </c>
      <c r="G9" s="13">
        <f>SUM(G6:G8)</f>
        <v/>
      </c>
      <c r="H9" s="12">
        <f>SUM(H6:H8)</f>
        <v/>
      </c>
      <c r="I9" s="13">
        <f>SUM(I6:I8)</f>
        <v/>
      </c>
      <c r="J9" s="12">
        <f>SUM(J6:J8)</f>
        <v/>
      </c>
      <c r="K9" s="13">
        <f>SUM(K6:K8)</f>
        <v/>
      </c>
      <c r="L9" s="12">
        <f>SUM(L6:L8)</f>
        <v/>
      </c>
      <c r="M9" s="13">
        <f>SUM(M6:M8)</f>
        <v/>
      </c>
      <c r="N9" s="12">
        <f>SUM(N6:N8)</f>
        <v/>
      </c>
      <c r="O9" s="13">
        <f>SUM(O6:O8)</f>
        <v/>
      </c>
      <c r="P9" s="12">
        <f>SUM(P6:P8)</f>
        <v/>
      </c>
      <c r="Q9" s="13">
        <f>SUM(Q6:Q8)</f>
        <v/>
      </c>
      <c r="R9" s="12">
        <f>SUM(R6:R8)</f>
        <v/>
      </c>
      <c r="S9" s="13">
        <f>SUM(S6:S8)</f>
        <v/>
      </c>
    </row>
    <row r="10">
      <c r="A10" s="2" t="inlineStr">
        <is>
          <t>Not tested (version not listed for that case)</t>
        </is>
      </c>
      <c r="B10" s="2">
        <f>COUNTIF(Summary!$B$2:$AB$74,"NOT_TESTED")</f>
        <v/>
      </c>
      <c r="D10" s="2">
        <f>COUNTIF(Summary!$B$2:$AB$11,"NOT_TESTED")</f>
        <v/>
      </c>
      <c r="F10" s="2">
        <f>COUNTIF(Summary!$B$12:$AB$21,"NOT_TESTED")</f>
        <v/>
      </c>
      <c r="H10" s="2">
        <f>COUNTIF(Summary!$B$22:$AB$31,"NOT_TESTED")</f>
        <v/>
      </c>
      <c r="J10" s="2">
        <f>COUNTIF(Summary!$B$32:$AB$41,"NOT_TESTED")</f>
        <v/>
      </c>
      <c r="L10" s="2">
        <f>COUNTIF(Summary!$B$42:$AB$51,"NOT_TESTED")</f>
        <v/>
      </c>
      <c r="N10" s="2">
        <f>COUNTIF(Summary!$B$52:$AB$61,"NOT_TESTED")</f>
        <v/>
      </c>
      <c r="P10" s="2">
        <f>COUNTIF(Summary!$B$62:$AB$68,"NOT_TESTED")</f>
        <v/>
      </c>
      <c r="R10" s="2">
        <f>COUNTIF(Summary!$B$69:$AB$74,"NOT_TESTED")</f>
        <v/>
      </c>
    </row>
    <row r="11"/>
    <row r="12">
      <c r="A12" s="7" t="inlineStr">
        <is>
          <t>2. Per case</t>
        </is>
      </c>
    </row>
    <row r="13">
      <c r="A13" s="1" t="inlineStr">
        <is>
          <t>Case</t>
        </is>
      </c>
      <c r="B13" s="1" t="inlineStr">
        <is>
          <t>Versions tested</t>
        </is>
      </c>
      <c r="C13" s="1" t="inlineStr">
        <is>
          <t>Passed on test</t>
        </is>
      </c>
      <c r="D13" s="1" t="inlineStr">
        <is>
          <t>Failed on test</t>
        </is>
      </c>
      <c r="E13" s="1" t="inlineStr">
        <is>
          <t>Runtime error</t>
        </is>
      </c>
      <c r="F13" s="1" t="inlineStr">
        <is>
          <t>Passed on test %</t>
        </is>
      </c>
      <c r="G13" s="1" t="inlineStr">
        <is>
          <t>Failed on test %</t>
        </is>
      </c>
      <c r="H13" s="1" t="inlineStr">
        <is>
          <t>Runtime error %</t>
        </is>
      </c>
      <c r="I13" s="1" t="inlineStr">
        <is>
          <t>Case outcome</t>
        </is>
      </c>
      <c r="J13" s="1" t="inlineStr">
        <is>
          <t>Batch</t>
        </is>
      </c>
    </row>
    <row r="14">
      <c r="A14" s="2">
        <f>Summary!A2</f>
        <v/>
      </c>
      <c r="B14" s="2">
        <f>COUNTIF(Summary!$B$2:$AB$2,"Passed on test")+COUNTIF(Summary!$B$2:$AB$2,"Failed on test")+COUNTIF(Summary!$B$2:$AB$2,"Runtime error")</f>
        <v/>
      </c>
      <c r="C14" s="2">
        <f>COUNTIF(Summary!$B$2:$AB$2,"Passed on test")</f>
        <v/>
      </c>
      <c r="D14" s="2">
        <f>COUNTIF(Summary!$B$2:$AB$2,"Failed on test")</f>
        <v/>
      </c>
      <c r="E14" s="2">
        <f>COUNTIF(Summary!$B$2:$AB$2,"Runtime error")</f>
        <v/>
      </c>
      <c r="F14" s="9">
        <f>IF($B14=0,0,C14/$B14)</f>
        <v/>
      </c>
      <c r="G14" s="9">
        <f>IF($B14=0,0,D14/$B14)</f>
        <v/>
      </c>
      <c r="H14" s="9">
        <f>IF($B14=0,0,E14/$B14)</f>
        <v/>
      </c>
      <c r="I14" s="2">
        <f>IF(C14=B14,"Passed on test",IF(E14&gt;0,"Runtime error","Failed on test"))</f>
        <v/>
      </c>
      <c r="J14" s="2" t="n">
        <v>1</v>
      </c>
    </row>
    <row r="15">
      <c r="A15" s="2">
        <f>Summary!A3</f>
        <v/>
      </c>
      <c r="B15" s="2">
        <f>COUNTIF(Summary!$B$3:$AB$3,"Passed on test")+COUNTIF(Summary!$B$3:$AB$3,"Failed on test")+COUNTIF(Summary!$B$3:$AB$3,"Runtime error")</f>
        <v/>
      </c>
      <c r="C15" s="2">
        <f>COUNTIF(Summary!$B$3:$AB$3,"Passed on test")</f>
        <v/>
      </c>
      <c r="D15" s="2">
        <f>COUNTIF(Summary!$B$3:$AB$3,"Failed on test")</f>
        <v/>
      </c>
      <c r="E15" s="2">
        <f>COUNTIF(Summary!$B$3:$AB$3,"Runtime error")</f>
        <v/>
      </c>
      <c r="F15" s="9">
        <f>IF($B15=0,0,C15/$B15)</f>
        <v/>
      </c>
      <c r="G15" s="9">
        <f>IF($B15=0,0,D15/$B15)</f>
        <v/>
      </c>
      <c r="H15" s="9">
        <f>IF($B15=0,0,E15/$B15)</f>
        <v/>
      </c>
      <c r="I15" s="2">
        <f>IF(C15=B15,"Passed on test",IF(E15&gt;0,"Runtime error","Failed on test"))</f>
        <v/>
      </c>
      <c r="J15" s="2" t="n">
        <v>1</v>
      </c>
    </row>
    <row r="16">
      <c r="A16" s="2">
        <f>Summary!A4</f>
        <v/>
      </c>
      <c r="B16" s="2">
        <f>COUNTIF(Summary!$B$4:$AB$4,"Passed on test")+COUNTIF(Summary!$B$4:$AB$4,"Failed on test")+COUNTIF(Summary!$B$4:$AB$4,"Runtime error")</f>
        <v/>
      </c>
      <c r="C16" s="2">
        <f>COUNTIF(Summary!$B$4:$AB$4,"Passed on test")</f>
        <v/>
      </c>
      <c r="D16" s="2">
        <f>COUNTIF(Summary!$B$4:$AB$4,"Failed on test")</f>
        <v/>
      </c>
      <c r="E16" s="2">
        <f>COUNTIF(Summary!$B$4:$AB$4,"Runtime error")</f>
        <v/>
      </c>
      <c r="F16" s="9">
        <f>IF($B16=0,0,C16/$B16)</f>
        <v/>
      </c>
      <c r="G16" s="9">
        <f>IF($B16=0,0,D16/$B16)</f>
        <v/>
      </c>
      <c r="H16" s="9">
        <f>IF($B16=0,0,E16/$B16)</f>
        <v/>
      </c>
      <c r="I16" s="2">
        <f>IF(C16=B16,"Passed on test",IF(E16&gt;0,"Runtime error","Failed on test"))</f>
        <v/>
      </c>
      <c r="J16" s="2" t="n">
        <v>1</v>
      </c>
    </row>
    <row r="17">
      <c r="A17" s="2">
        <f>Summary!A5</f>
        <v/>
      </c>
      <c r="B17" s="2">
        <f>COUNTIF(Summary!$B$5:$AB$5,"Passed on test")+COUNTIF(Summary!$B$5:$AB$5,"Failed on test")+COUNTIF(Summary!$B$5:$AB$5,"Runtime error")</f>
        <v/>
      </c>
      <c r="C17" s="2">
        <f>COUNTIF(Summary!$B$5:$AB$5,"Passed on test")</f>
        <v/>
      </c>
      <c r="D17" s="2">
        <f>COUNTIF(Summary!$B$5:$AB$5,"Failed on test")</f>
        <v/>
      </c>
      <c r="E17" s="2">
        <f>COUNTIF(Summary!$B$5:$AB$5,"Runtime error")</f>
        <v/>
      </c>
      <c r="F17" s="9">
        <f>IF($B17=0,0,C17/$B17)</f>
        <v/>
      </c>
      <c r="G17" s="9">
        <f>IF($B17=0,0,D17/$B17)</f>
        <v/>
      </c>
      <c r="H17" s="9">
        <f>IF($B17=0,0,E17/$B17)</f>
        <v/>
      </c>
      <c r="I17" s="2">
        <f>IF(C17=B17,"Passed on test",IF(E17&gt;0,"Runtime error","Failed on test"))</f>
        <v/>
      </c>
      <c r="J17" s="2" t="n">
        <v>1</v>
      </c>
    </row>
    <row r="18">
      <c r="A18" s="2">
        <f>Summary!A6</f>
        <v/>
      </c>
      <c r="B18" s="2">
        <f>COUNTIF(Summary!$B$6:$AB$6,"Passed on test")+COUNTIF(Summary!$B$6:$AB$6,"Failed on test")+COUNTIF(Summary!$B$6:$AB$6,"Runtime error")</f>
        <v/>
      </c>
      <c r="C18" s="2">
        <f>COUNTIF(Summary!$B$6:$AB$6,"Passed on test")</f>
        <v/>
      </c>
      <c r="D18" s="2">
        <f>COUNTIF(Summary!$B$6:$AB$6,"Failed on test")</f>
        <v/>
      </c>
      <c r="E18" s="2">
        <f>COUNTIF(Summary!$B$6:$AB$6,"Runtime error")</f>
        <v/>
      </c>
      <c r="F18" s="9">
        <f>IF($B18=0,0,C18/$B18)</f>
        <v/>
      </c>
      <c r="G18" s="9">
        <f>IF($B18=0,0,D18/$B18)</f>
        <v/>
      </c>
      <c r="H18" s="9">
        <f>IF($B18=0,0,E18/$B18)</f>
        <v/>
      </c>
      <c r="I18" s="2">
        <f>IF(C18=B18,"Passed on test",IF(E18&gt;0,"Runtime error","Failed on test"))</f>
        <v/>
      </c>
      <c r="J18" s="2" t="n">
        <v>1</v>
      </c>
    </row>
    <row r="19">
      <c r="A19" s="2">
        <f>Summary!A7</f>
        <v/>
      </c>
      <c r="B19" s="2">
        <f>COUNTIF(Summary!$B$7:$AB$7,"Passed on test")+COUNTIF(Summary!$B$7:$AB$7,"Failed on test")+COUNTIF(Summary!$B$7:$AB$7,"Runtime error")</f>
        <v/>
      </c>
      <c r="C19" s="2">
        <f>COUNTIF(Summary!$B$7:$AB$7,"Passed on test")</f>
        <v/>
      </c>
      <c r="D19" s="2">
        <f>COUNTIF(Summary!$B$7:$AB$7,"Failed on test")</f>
        <v/>
      </c>
      <c r="E19" s="2">
        <f>COUNTIF(Summary!$B$7:$AB$7,"Runtime error")</f>
        <v/>
      </c>
      <c r="F19" s="9">
        <f>IF($B19=0,0,C19/$B19)</f>
        <v/>
      </c>
      <c r="G19" s="9">
        <f>IF($B19=0,0,D19/$B19)</f>
        <v/>
      </c>
      <c r="H19" s="9">
        <f>IF($B19=0,0,E19/$B19)</f>
        <v/>
      </c>
      <c r="I19" s="2">
        <f>IF(C19=B19,"Passed on test",IF(E19&gt;0,"Runtime error","Failed on test"))</f>
        <v/>
      </c>
      <c r="J19" s="2" t="n">
        <v>1</v>
      </c>
    </row>
    <row r="20">
      <c r="A20" s="2">
        <f>Summary!A8</f>
        <v/>
      </c>
      <c r="B20" s="2">
        <f>COUNTIF(Summary!$B$8:$AB$8,"Passed on test")+COUNTIF(Summary!$B$8:$AB$8,"Failed on test")+COUNTIF(Summary!$B$8:$AB$8,"Runtime error")</f>
        <v/>
      </c>
      <c r="C20" s="2">
        <f>COUNTIF(Summary!$B$8:$AB$8,"Passed on test")</f>
        <v/>
      </c>
      <c r="D20" s="2">
        <f>COUNTIF(Summary!$B$8:$AB$8,"Failed on test")</f>
        <v/>
      </c>
      <c r="E20" s="2">
        <f>COUNTIF(Summary!$B$8:$AB$8,"Runtime error")</f>
        <v/>
      </c>
      <c r="F20" s="9">
        <f>IF($B20=0,0,C20/$B20)</f>
        <v/>
      </c>
      <c r="G20" s="9">
        <f>IF($B20=0,0,D20/$B20)</f>
        <v/>
      </c>
      <c r="H20" s="9">
        <f>IF($B20=0,0,E20/$B20)</f>
        <v/>
      </c>
      <c r="I20" s="2">
        <f>IF(C20=B20,"Passed on test",IF(E20&gt;0,"Runtime error","Failed on test"))</f>
        <v/>
      </c>
      <c r="J20" s="2" t="n">
        <v>1</v>
      </c>
    </row>
    <row r="21">
      <c r="A21" s="2">
        <f>Summary!A9</f>
        <v/>
      </c>
      <c r="B21" s="2">
        <f>COUNTIF(Summary!$B$9:$AB$9,"Passed on test")+COUNTIF(Summary!$B$9:$AB$9,"Failed on test")+COUNTIF(Summary!$B$9:$AB$9,"Runtime error")</f>
        <v/>
      </c>
      <c r="C21" s="2">
        <f>COUNTIF(Summary!$B$9:$AB$9,"Passed on test")</f>
        <v/>
      </c>
      <c r="D21" s="2">
        <f>COUNTIF(Summary!$B$9:$AB$9,"Failed on test")</f>
        <v/>
      </c>
      <c r="E21" s="2">
        <f>COUNTIF(Summary!$B$9:$AB$9,"Runtime error")</f>
        <v/>
      </c>
      <c r="F21" s="9">
        <f>IF($B21=0,0,C21/$B21)</f>
        <v/>
      </c>
      <c r="G21" s="9">
        <f>IF($B21=0,0,D21/$B21)</f>
        <v/>
      </c>
      <c r="H21" s="9">
        <f>IF($B21=0,0,E21/$B21)</f>
        <v/>
      </c>
      <c r="I21" s="2">
        <f>IF(C21=B21,"Passed on test",IF(E21&gt;0,"Runtime error","Failed on test"))</f>
        <v/>
      </c>
      <c r="J21" s="2" t="n">
        <v>1</v>
      </c>
    </row>
    <row r="22">
      <c r="A22" s="2">
        <f>Summary!A10</f>
        <v/>
      </c>
      <c r="B22" s="2">
        <f>COUNTIF(Summary!$B$10:$AB$10,"Passed on test")+COUNTIF(Summary!$B$10:$AB$10,"Failed on test")+COUNTIF(Summary!$B$10:$AB$10,"Runtime error")</f>
        <v/>
      </c>
      <c r="C22" s="2">
        <f>COUNTIF(Summary!$B$10:$AB$10,"Passed on test")</f>
        <v/>
      </c>
      <c r="D22" s="2">
        <f>COUNTIF(Summary!$B$10:$AB$10,"Failed on test")</f>
        <v/>
      </c>
      <c r="E22" s="2">
        <f>COUNTIF(Summary!$B$10:$AB$10,"Runtime error")</f>
        <v/>
      </c>
      <c r="F22" s="9">
        <f>IF($B22=0,0,C22/$B22)</f>
        <v/>
      </c>
      <c r="G22" s="9">
        <f>IF($B22=0,0,D22/$B22)</f>
        <v/>
      </c>
      <c r="H22" s="9">
        <f>IF($B22=0,0,E22/$B22)</f>
        <v/>
      </c>
      <c r="I22" s="2">
        <f>IF(C22=B22,"Passed on test",IF(E22&gt;0,"Runtime error","Failed on test"))</f>
        <v/>
      </c>
      <c r="J22" s="2" t="n">
        <v>1</v>
      </c>
    </row>
    <row r="23">
      <c r="A23" s="2">
        <f>Summary!A11</f>
        <v/>
      </c>
      <c r="B23" s="2">
        <f>COUNTIF(Summary!$B$11:$AB$11,"Passed on test")+COUNTIF(Summary!$B$11:$AB$11,"Failed on test")+COUNTIF(Summary!$B$11:$AB$11,"Runtime error")</f>
        <v/>
      </c>
      <c r="C23" s="2">
        <f>COUNTIF(Summary!$B$11:$AB$11,"Passed on test")</f>
        <v/>
      </c>
      <c r="D23" s="2">
        <f>COUNTIF(Summary!$B$11:$AB$11,"Failed on test")</f>
        <v/>
      </c>
      <c r="E23" s="2">
        <f>COUNTIF(Summary!$B$11:$AB$11,"Runtime error")</f>
        <v/>
      </c>
      <c r="F23" s="9">
        <f>IF($B23=0,0,C23/$B23)</f>
        <v/>
      </c>
      <c r="G23" s="9">
        <f>IF($B23=0,0,D23/$B23)</f>
        <v/>
      </c>
      <c r="H23" s="9">
        <f>IF($B23=0,0,E23/$B23)</f>
        <v/>
      </c>
      <c r="I23" s="2">
        <f>IF(C23=B23,"Passed on test",IF(E23&gt;0,"Runtime error","Failed on test"))</f>
        <v/>
      </c>
      <c r="J23" s="2" t="n">
        <v>1</v>
      </c>
    </row>
    <row r="24">
      <c r="A24" s="2">
        <f>Summary!A12</f>
        <v/>
      </c>
      <c r="B24" s="2">
        <f>COUNTIF(Summary!$B$12:$AB$12,"Passed on test")+COUNTIF(Summary!$B$12:$AB$12,"Failed on test")+COUNTIF(Summary!$B$12:$AB$12,"Runtime error")</f>
        <v/>
      </c>
      <c r="C24" s="2">
        <f>COUNTIF(Summary!$B$12:$AB$12,"Passed on test")</f>
        <v/>
      </c>
      <c r="D24" s="2">
        <f>COUNTIF(Summary!$B$12:$AB$12,"Failed on test")</f>
        <v/>
      </c>
      <c r="E24" s="2">
        <f>COUNTIF(Summary!$B$12:$AB$12,"Runtime error")</f>
        <v/>
      </c>
      <c r="F24" s="9">
        <f>IF($B24=0,0,C24/$B24)</f>
        <v/>
      </c>
      <c r="G24" s="9">
        <f>IF($B24=0,0,D24/$B24)</f>
        <v/>
      </c>
      <c r="H24" s="9">
        <f>IF($B24=0,0,E24/$B24)</f>
        <v/>
      </c>
      <c r="I24" s="2">
        <f>IF(C24=B24,"Passed on test",IF(E24&gt;0,"Runtime error","Failed on test"))</f>
        <v/>
      </c>
      <c r="J24" s="2" t="n">
        <v>2</v>
      </c>
    </row>
    <row r="25">
      <c r="A25" s="2">
        <f>Summary!A13</f>
        <v/>
      </c>
      <c r="B25" s="2">
        <f>COUNTIF(Summary!$B$13:$AB$13,"Passed on test")+COUNTIF(Summary!$B$13:$AB$13,"Failed on test")+COUNTIF(Summary!$B$13:$AB$13,"Runtime error")</f>
        <v/>
      </c>
      <c r="C25" s="2">
        <f>COUNTIF(Summary!$B$13:$AB$13,"Passed on test")</f>
        <v/>
      </c>
      <c r="D25" s="2">
        <f>COUNTIF(Summary!$B$13:$AB$13,"Failed on test")</f>
        <v/>
      </c>
      <c r="E25" s="2">
        <f>COUNTIF(Summary!$B$13:$AB$13,"Runtime error")</f>
        <v/>
      </c>
      <c r="F25" s="9">
        <f>IF($B25=0,0,C25/$B25)</f>
        <v/>
      </c>
      <c r="G25" s="9">
        <f>IF($B25=0,0,D25/$B25)</f>
        <v/>
      </c>
      <c r="H25" s="9">
        <f>IF($B25=0,0,E25/$B25)</f>
        <v/>
      </c>
      <c r="I25" s="2">
        <f>IF(C25=B25,"Passed on test",IF(E25&gt;0,"Runtime error","Failed on test"))</f>
        <v/>
      </c>
      <c r="J25" s="2" t="n">
        <v>2</v>
      </c>
    </row>
    <row r="26">
      <c r="A26" s="2">
        <f>Summary!A14</f>
        <v/>
      </c>
      <c r="B26" s="2">
        <f>COUNTIF(Summary!$B$14:$AB$14,"Passed on test")+COUNTIF(Summary!$B$14:$AB$14,"Failed on test")+COUNTIF(Summary!$B$14:$AB$14,"Runtime error")</f>
        <v/>
      </c>
      <c r="C26" s="2">
        <f>COUNTIF(Summary!$B$14:$AB$14,"Passed on test")</f>
        <v/>
      </c>
      <c r="D26" s="2">
        <f>COUNTIF(Summary!$B$14:$AB$14,"Failed on test")</f>
        <v/>
      </c>
      <c r="E26" s="2">
        <f>COUNTIF(Summary!$B$14:$AB$14,"Runtime error")</f>
        <v/>
      </c>
      <c r="F26" s="9">
        <f>IF($B26=0,0,C26/$B26)</f>
        <v/>
      </c>
      <c r="G26" s="9">
        <f>IF($B26=0,0,D26/$B26)</f>
        <v/>
      </c>
      <c r="H26" s="9">
        <f>IF($B26=0,0,E26/$B26)</f>
        <v/>
      </c>
      <c r="I26" s="2">
        <f>IF(C26=B26,"Passed on test",IF(E26&gt;0,"Runtime error","Failed on test"))</f>
        <v/>
      </c>
      <c r="J26" s="2" t="n">
        <v>2</v>
      </c>
    </row>
    <row r="27">
      <c r="A27" s="2">
        <f>Summary!A15</f>
        <v/>
      </c>
      <c r="B27" s="2">
        <f>COUNTIF(Summary!$B$15:$AB$15,"Passed on test")+COUNTIF(Summary!$B$15:$AB$15,"Failed on test")+COUNTIF(Summary!$B$15:$AB$15,"Runtime error")</f>
        <v/>
      </c>
      <c r="C27" s="2">
        <f>COUNTIF(Summary!$B$15:$AB$15,"Passed on test")</f>
        <v/>
      </c>
      <c r="D27" s="2">
        <f>COUNTIF(Summary!$B$15:$AB$15,"Failed on test")</f>
        <v/>
      </c>
      <c r="E27" s="2">
        <f>COUNTIF(Summary!$B$15:$AB$15,"Runtime error")</f>
        <v/>
      </c>
      <c r="F27" s="9">
        <f>IF($B27=0,0,C27/$B27)</f>
        <v/>
      </c>
      <c r="G27" s="9">
        <f>IF($B27=0,0,D27/$B27)</f>
        <v/>
      </c>
      <c r="H27" s="9">
        <f>IF($B27=0,0,E27/$B27)</f>
        <v/>
      </c>
      <c r="I27" s="2">
        <f>IF(C27=B27,"Passed on test",IF(E27&gt;0,"Runtime error","Failed on test"))</f>
        <v/>
      </c>
      <c r="J27" s="2" t="n">
        <v>2</v>
      </c>
    </row>
    <row r="28">
      <c r="A28" s="2">
        <f>Summary!A16</f>
        <v/>
      </c>
      <c r="B28" s="2">
        <f>COUNTIF(Summary!$B$16:$AB$16,"Passed on test")+COUNTIF(Summary!$B$16:$AB$16,"Failed on test")+COUNTIF(Summary!$B$16:$AB$16,"Runtime error")</f>
        <v/>
      </c>
      <c r="C28" s="2">
        <f>COUNTIF(Summary!$B$16:$AB$16,"Passed on test")</f>
        <v/>
      </c>
      <c r="D28" s="2">
        <f>COUNTIF(Summary!$B$16:$AB$16,"Failed on test")</f>
        <v/>
      </c>
      <c r="E28" s="2">
        <f>COUNTIF(Summary!$B$16:$AB$16,"Runtime error")</f>
        <v/>
      </c>
      <c r="F28" s="9">
        <f>IF($B28=0,0,C28/$B28)</f>
        <v/>
      </c>
      <c r="G28" s="9">
        <f>IF($B28=0,0,D28/$B28)</f>
        <v/>
      </c>
      <c r="H28" s="9">
        <f>IF($B28=0,0,E28/$B28)</f>
        <v/>
      </c>
      <c r="I28" s="2">
        <f>IF(C28=B28,"Passed on test",IF(E28&gt;0,"Runtime error","Failed on test"))</f>
        <v/>
      </c>
      <c r="J28" s="2" t="n">
        <v>2</v>
      </c>
    </row>
    <row r="29">
      <c r="A29" s="2">
        <f>Summary!A17</f>
        <v/>
      </c>
      <c r="B29" s="2">
        <f>COUNTIF(Summary!$B$17:$AB$17,"Passed on test")+COUNTIF(Summary!$B$17:$AB$17,"Failed on test")+COUNTIF(Summary!$B$17:$AB$17,"Runtime error")</f>
        <v/>
      </c>
      <c r="C29" s="2">
        <f>COUNTIF(Summary!$B$17:$AB$17,"Passed on test")</f>
        <v/>
      </c>
      <c r="D29" s="2">
        <f>COUNTIF(Summary!$B$17:$AB$17,"Failed on test")</f>
        <v/>
      </c>
      <c r="E29" s="2">
        <f>COUNTIF(Summary!$B$17:$AB$17,"Runtime error")</f>
        <v/>
      </c>
      <c r="F29" s="9">
        <f>IF($B29=0,0,C29/$B29)</f>
        <v/>
      </c>
      <c r="G29" s="9">
        <f>IF($B29=0,0,D29/$B29)</f>
        <v/>
      </c>
      <c r="H29" s="9">
        <f>IF($B29=0,0,E29/$B29)</f>
        <v/>
      </c>
      <c r="I29" s="2">
        <f>IF(C29=B29,"Passed on test",IF(E29&gt;0,"Runtime error","Failed on test"))</f>
        <v/>
      </c>
      <c r="J29" s="2" t="n">
        <v>2</v>
      </c>
    </row>
    <row r="30">
      <c r="A30" s="2">
        <f>Summary!A18</f>
        <v/>
      </c>
      <c r="B30" s="2">
        <f>COUNTIF(Summary!$B$18:$AB$18,"Passed on test")+COUNTIF(Summary!$B$18:$AB$18,"Failed on test")+COUNTIF(Summary!$B$18:$AB$18,"Runtime error")</f>
        <v/>
      </c>
      <c r="C30" s="2">
        <f>COUNTIF(Summary!$B$18:$AB$18,"Passed on test")</f>
        <v/>
      </c>
      <c r="D30" s="2">
        <f>COUNTIF(Summary!$B$18:$AB$18,"Failed on test")</f>
        <v/>
      </c>
      <c r="E30" s="2">
        <f>COUNTIF(Summary!$B$18:$AB$18,"Runtime error")</f>
        <v/>
      </c>
      <c r="F30" s="9">
        <f>IF($B30=0,0,C30/$B30)</f>
        <v/>
      </c>
      <c r="G30" s="9">
        <f>IF($B30=0,0,D30/$B30)</f>
        <v/>
      </c>
      <c r="H30" s="9">
        <f>IF($B30=0,0,E30/$B30)</f>
        <v/>
      </c>
      <c r="I30" s="2">
        <f>IF(C30=B30,"Passed on test",IF(E30&gt;0,"Runtime error","Failed on test"))</f>
        <v/>
      </c>
      <c r="J30" s="2" t="n">
        <v>2</v>
      </c>
    </row>
    <row r="31">
      <c r="A31" s="2">
        <f>Summary!A19</f>
        <v/>
      </c>
      <c r="B31" s="2">
        <f>COUNTIF(Summary!$B$19:$AB$19,"Passed on test")+COUNTIF(Summary!$B$19:$AB$19,"Failed on test")+COUNTIF(Summary!$B$19:$AB$19,"Runtime error")</f>
        <v/>
      </c>
      <c r="C31" s="2">
        <f>COUNTIF(Summary!$B$19:$AB$19,"Passed on test")</f>
        <v/>
      </c>
      <c r="D31" s="2">
        <f>COUNTIF(Summary!$B$19:$AB$19,"Failed on test")</f>
        <v/>
      </c>
      <c r="E31" s="2">
        <f>COUNTIF(Summary!$B$19:$AB$19,"Runtime error")</f>
        <v/>
      </c>
      <c r="F31" s="9">
        <f>IF($B31=0,0,C31/$B31)</f>
        <v/>
      </c>
      <c r="G31" s="9">
        <f>IF($B31=0,0,D31/$B31)</f>
        <v/>
      </c>
      <c r="H31" s="9">
        <f>IF($B31=0,0,E31/$B31)</f>
        <v/>
      </c>
      <c r="I31" s="2">
        <f>IF(C31=B31,"Passed on test",IF(E31&gt;0,"Runtime error","Failed on test"))</f>
        <v/>
      </c>
      <c r="J31" s="2" t="n">
        <v>2</v>
      </c>
    </row>
    <row r="32">
      <c r="A32" s="2">
        <f>Summary!A20</f>
        <v/>
      </c>
      <c r="B32" s="2">
        <f>COUNTIF(Summary!$B$20:$AB$20,"Passed on test")+COUNTIF(Summary!$B$20:$AB$20,"Failed on test")+COUNTIF(Summary!$B$20:$AB$20,"Runtime error")</f>
        <v/>
      </c>
      <c r="C32" s="2">
        <f>COUNTIF(Summary!$B$20:$AB$20,"Passed on test")</f>
        <v/>
      </c>
      <c r="D32" s="2">
        <f>COUNTIF(Summary!$B$20:$AB$20,"Failed on test")</f>
        <v/>
      </c>
      <c r="E32" s="2">
        <f>COUNTIF(Summary!$B$20:$AB$20,"Runtime error")</f>
        <v/>
      </c>
      <c r="F32" s="9">
        <f>IF($B32=0,0,C32/$B32)</f>
        <v/>
      </c>
      <c r="G32" s="9">
        <f>IF($B32=0,0,D32/$B32)</f>
        <v/>
      </c>
      <c r="H32" s="9">
        <f>IF($B32=0,0,E32/$B32)</f>
        <v/>
      </c>
      <c r="I32" s="2">
        <f>IF(C32=B32,"Passed on test",IF(E32&gt;0,"Runtime error","Failed on test"))</f>
        <v/>
      </c>
      <c r="J32" s="2" t="n">
        <v>2</v>
      </c>
    </row>
    <row r="33">
      <c r="A33" s="2">
        <f>Summary!A21</f>
        <v/>
      </c>
      <c r="B33" s="2">
        <f>COUNTIF(Summary!$B$21:$AB$21,"Passed on test")+COUNTIF(Summary!$B$21:$AB$21,"Failed on test")+COUNTIF(Summary!$B$21:$AB$21,"Runtime error")</f>
        <v/>
      </c>
      <c r="C33" s="2">
        <f>COUNTIF(Summary!$B$21:$AB$21,"Passed on test")</f>
        <v/>
      </c>
      <c r="D33" s="2">
        <f>COUNTIF(Summary!$B$21:$AB$21,"Failed on test")</f>
        <v/>
      </c>
      <c r="E33" s="2">
        <f>COUNTIF(Summary!$B$21:$AB$21,"Runtime error")</f>
        <v/>
      </c>
      <c r="F33" s="9">
        <f>IF($B33=0,0,C33/$B33)</f>
        <v/>
      </c>
      <c r="G33" s="9">
        <f>IF($B33=0,0,D33/$B33)</f>
        <v/>
      </c>
      <c r="H33" s="9">
        <f>IF($B33=0,0,E33/$B33)</f>
        <v/>
      </c>
      <c r="I33" s="2">
        <f>IF(C33=B33,"Passed on test",IF(E33&gt;0,"Runtime error","Failed on test"))</f>
        <v/>
      </c>
      <c r="J33" s="2" t="n">
        <v>2</v>
      </c>
    </row>
    <row r="34">
      <c r="A34" s="2">
        <f>Summary!A22</f>
        <v/>
      </c>
      <c r="B34" s="2">
        <f>COUNTIF(Summary!$B$22:$AB$22,"Passed on test")+COUNTIF(Summary!$B$22:$AB$22,"Failed on test")+COUNTIF(Summary!$B$22:$AB$22,"Runtime error")</f>
        <v/>
      </c>
      <c r="C34" s="2">
        <f>COUNTIF(Summary!$B$22:$AB$22,"Passed on test")</f>
        <v/>
      </c>
      <c r="D34" s="2">
        <f>COUNTIF(Summary!$B$22:$AB$22,"Failed on test")</f>
        <v/>
      </c>
      <c r="E34" s="2">
        <f>COUNTIF(Summary!$B$22:$AB$22,"Runtime error")</f>
        <v/>
      </c>
      <c r="F34" s="9">
        <f>IF($B34=0,0,C34/$B34)</f>
        <v/>
      </c>
      <c r="G34" s="9">
        <f>IF($B34=0,0,D34/$B34)</f>
        <v/>
      </c>
      <c r="H34" s="9">
        <f>IF($B34=0,0,E34/$B34)</f>
        <v/>
      </c>
      <c r="I34" s="2">
        <f>IF(C34=B34,"Passed on test",IF(E34&gt;0,"Runtime error","Failed on test"))</f>
        <v/>
      </c>
      <c r="J34" s="2" t="n">
        <v>3</v>
      </c>
    </row>
    <row r="35">
      <c r="A35" s="2">
        <f>Summary!A23</f>
        <v/>
      </c>
      <c r="B35" s="2">
        <f>COUNTIF(Summary!$B$23:$AB$23,"Passed on test")+COUNTIF(Summary!$B$23:$AB$23,"Failed on test")+COUNTIF(Summary!$B$23:$AB$23,"Runtime error")</f>
        <v/>
      </c>
      <c r="C35" s="2">
        <f>COUNTIF(Summary!$B$23:$AB$23,"Passed on test")</f>
        <v/>
      </c>
      <c r="D35" s="2">
        <f>COUNTIF(Summary!$B$23:$AB$23,"Failed on test")</f>
        <v/>
      </c>
      <c r="E35" s="2">
        <f>COUNTIF(Summary!$B$23:$AB$23,"Runtime error")</f>
        <v/>
      </c>
      <c r="F35" s="9">
        <f>IF($B35=0,0,C35/$B35)</f>
        <v/>
      </c>
      <c r="G35" s="9">
        <f>IF($B35=0,0,D35/$B35)</f>
        <v/>
      </c>
      <c r="H35" s="9">
        <f>IF($B35=0,0,E35/$B35)</f>
        <v/>
      </c>
      <c r="I35" s="2">
        <f>IF(C35=B35,"Passed on test",IF(E35&gt;0,"Runtime error","Failed on test"))</f>
        <v/>
      </c>
      <c r="J35" s="2" t="n">
        <v>3</v>
      </c>
    </row>
    <row r="36">
      <c r="A36" s="2">
        <f>Summary!A24</f>
        <v/>
      </c>
      <c r="B36" s="2">
        <f>COUNTIF(Summary!$B$24:$AB$24,"Passed on test")+COUNTIF(Summary!$B$24:$AB$24,"Failed on test")+COUNTIF(Summary!$B$24:$AB$24,"Runtime error")</f>
        <v/>
      </c>
      <c r="C36" s="2">
        <f>COUNTIF(Summary!$B$24:$AB$24,"Passed on test")</f>
        <v/>
      </c>
      <c r="D36" s="2">
        <f>COUNTIF(Summary!$B$24:$AB$24,"Failed on test")</f>
        <v/>
      </c>
      <c r="E36" s="2">
        <f>COUNTIF(Summary!$B$24:$AB$24,"Runtime error")</f>
        <v/>
      </c>
      <c r="F36" s="9">
        <f>IF($B36=0,0,C36/$B36)</f>
        <v/>
      </c>
      <c r="G36" s="9">
        <f>IF($B36=0,0,D36/$B36)</f>
        <v/>
      </c>
      <c r="H36" s="9">
        <f>IF($B36=0,0,E36/$B36)</f>
        <v/>
      </c>
      <c r="I36" s="2">
        <f>IF(C36=B36,"Passed on test",IF(E36&gt;0,"Runtime error","Failed on test"))</f>
        <v/>
      </c>
      <c r="J36" s="2" t="n">
        <v>3</v>
      </c>
    </row>
    <row r="37">
      <c r="A37" s="2">
        <f>Summary!A25</f>
        <v/>
      </c>
      <c r="B37" s="2">
        <f>COUNTIF(Summary!$B$25:$AB$25,"Passed on test")+COUNTIF(Summary!$B$25:$AB$25,"Failed on test")+COUNTIF(Summary!$B$25:$AB$25,"Runtime error")</f>
        <v/>
      </c>
      <c r="C37" s="2">
        <f>COUNTIF(Summary!$B$25:$AB$25,"Passed on test")</f>
        <v/>
      </c>
      <c r="D37" s="2">
        <f>COUNTIF(Summary!$B$25:$AB$25,"Failed on test")</f>
        <v/>
      </c>
      <c r="E37" s="2">
        <f>COUNTIF(Summary!$B$25:$AB$25,"Runtime error")</f>
        <v/>
      </c>
      <c r="F37" s="9">
        <f>IF($B37=0,0,C37/$B37)</f>
        <v/>
      </c>
      <c r="G37" s="9">
        <f>IF($B37=0,0,D37/$B37)</f>
        <v/>
      </c>
      <c r="H37" s="9">
        <f>IF($B37=0,0,E37/$B37)</f>
        <v/>
      </c>
      <c r="I37" s="2">
        <f>IF(C37=B37,"Passed on test",IF(E37&gt;0,"Runtime error","Failed on test"))</f>
        <v/>
      </c>
      <c r="J37" s="2" t="n">
        <v>3</v>
      </c>
    </row>
    <row r="38">
      <c r="A38" s="2">
        <f>Summary!A26</f>
        <v/>
      </c>
      <c r="B38" s="2">
        <f>COUNTIF(Summary!$B$26:$AB$26,"Passed on test")+COUNTIF(Summary!$B$26:$AB$26,"Failed on test")+COUNTIF(Summary!$B$26:$AB$26,"Runtime error")</f>
        <v/>
      </c>
      <c r="C38" s="2">
        <f>COUNTIF(Summary!$B$26:$AB$26,"Passed on test")</f>
        <v/>
      </c>
      <c r="D38" s="2">
        <f>COUNTIF(Summary!$B$26:$AB$26,"Failed on test")</f>
        <v/>
      </c>
      <c r="E38" s="2">
        <f>COUNTIF(Summary!$B$26:$AB$26,"Runtime error")</f>
        <v/>
      </c>
      <c r="F38" s="9">
        <f>IF($B38=0,0,C38/$B38)</f>
        <v/>
      </c>
      <c r="G38" s="9">
        <f>IF($B38=0,0,D38/$B38)</f>
        <v/>
      </c>
      <c r="H38" s="9">
        <f>IF($B38=0,0,E38/$B38)</f>
        <v/>
      </c>
      <c r="I38" s="2">
        <f>IF(C38=B38,"Passed on test",IF(E38&gt;0,"Runtime error","Failed on test"))</f>
        <v/>
      </c>
      <c r="J38" s="2" t="n">
        <v>3</v>
      </c>
    </row>
    <row r="39">
      <c r="A39" s="2">
        <f>Summary!A27</f>
        <v/>
      </c>
      <c r="B39" s="2">
        <f>COUNTIF(Summary!$B$27:$AB$27,"Passed on test")+COUNTIF(Summary!$B$27:$AB$27,"Failed on test")+COUNTIF(Summary!$B$27:$AB$27,"Runtime error")</f>
        <v/>
      </c>
      <c r="C39" s="2">
        <f>COUNTIF(Summary!$B$27:$AB$27,"Passed on test")</f>
        <v/>
      </c>
      <c r="D39" s="2">
        <f>COUNTIF(Summary!$B$27:$AB$27,"Failed on test")</f>
        <v/>
      </c>
      <c r="E39" s="2">
        <f>COUNTIF(Summary!$B$27:$AB$27,"Runtime error")</f>
        <v/>
      </c>
      <c r="F39" s="9">
        <f>IF($B39=0,0,C39/$B39)</f>
        <v/>
      </c>
      <c r="G39" s="9">
        <f>IF($B39=0,0,D39/$B39)</f>
        <v/>
      </c>
      <c r="H39" s="9">
        <f>IF($B39=0,0,E39/$B39)</f>
        <v/>
      </c>
      <c r="I39" s="2">
        <f>IF(C39=B39,"Passed on test",IF(E39&gt;0,"Runtime error","Failed on test"))</f>
        <v/>
      </c>
      <c r="J39" s="2" t="n">
        <v>3</v>
      </c>
    </row>
    <row r="40">
      <c r="A40" s="2">
        <f>Summary!A28</f>
        <v/>
      </c>
      <c r="B40" s="2">
        <f>COUNTIF(Summary!$B$28:$AB$28,"Passed on test")+COUNTIF(Summary!$B$28:$AB$28,"Failed on test")+COUNTIF(Summary!$B$28:$AB$28,"Runtime error")</f>
        <v/>
      </c>
      <c r="C40" s="2">
        <f>COUNTIF(Summary!$B$28:$AB$28,"Passed on test")</f>
        <v/>
      </c>
      <c r="D40" s="2">
        <f>COUNTIF(Summary!$B$28:$AB$28,"Failed on test")</f>
        <v/>
      </c>
      <c r="E40" s="2">
        <f>COUNTIF(Summary!$B$28:$AB$28,"Runtime error")</f>
        <v/>
      </c>
      <c r="F40" s="9">
        <f>IF($B40=0,0,C40/$B40)</f>
        <v/>
      </c>
      <c r="G40" s="9">
        <f>IF($B40=0,0,D40/$B40)</f>
        <v/>
      </c>
      <c r="H40" s="9">
        <f>IF($B40=0,0,E40/$B40)</f>
        <v/>
      </c>
      <c r="I40" s="2">
        <f>IF(C40=B40,"Passed on test",IF(E40&gt;0,"Runtime error","Failed on test"))</f>
        <v/>
      </c>
      <c r="J40" s="2" t="n">
        <v>3</v>
      </c>
    </row>
    <row r="41">
      <c r="A41" s="2">
        <f>Summary!A29</f>
        <v/>
      </c>
      <c r="B41" s="2">
        <f>COUNTIF(Summary!$B$29:$AB$29,"Passed on test")+COUNTIF(Summary!$B$29:$AB$29,"Failed on test")+COUNTIF(Summary!$B$29:$AB$29,"Runtime error")</f>
        <v/>
      </c>
      <c r="C41" s="2">
        <f>COUNTIF(Summary!$B$29:$AB$29,"Passed on test")</f>
        <v/>
      </c>
      <c r="D41" s="2">
        <f>COUNTIF(Summary!$B$29:$AB$29,"Failed on test")</f>
        <v/>
      </c>
      <c r="E41" s="2">
        <f>COUNTIF(Summary!$B$29:$AB$29,"Runtime error")</f>
        <v/>
      </c>
      <c r="F41" s="9">
        <f>IF($B41=0,0,C41/$B41)</f>
        <v/>
      </c>
      <c r="G41" s="9">
        <f>IF($B41=0,0,D41/$B41)</f>
        <v/>
      </c>
      <c r="H41" s="9">
        <f>IF($B41=0,0,E41/$B41)</f>
        <v/>
      </c>
      <c r="I41" s="2">
        <f>IF(C41=B41,"Passed on test",IF(E41&gt;0,"Runtime error","Failed on test"))</f>
        <v/>
      </c>
      <c r="J41" s="2" t="n">
        <v>3</v>
      </c>
    </row>
    <row r="42">
      <c r="A42" s="2">
        <f>Summary!A30</f>
        <v/>
      </c>
      <c r="B42" s="2">
        <f>COUNTIF(Summary!$B$30:$AB$30,"Passed on test")+COUNTIF(Summary!$B$30:$AB$30,"Failed on test")+COUNTIF(Summary!$B$30:$AB$30,"Runtime error")</f>
        <v/>
      </c>
      <c r="C42" s="2">
        <f>COUNTIF(Summary!$B$30:$AB$30,"Passed on test")</f>
        <v/>
      </c>
      <c r="D42" s="2">
        <f>COUNTIF(Summary!$B$30:$AB$30,"Failed on test")</f>
        <v/>
      </c>
      <c r="E42" s="2">
        <f>COUNTIF(Summary!$B$30:$AB$30,"Runtime error")</f>
        <v/>
      </c>
      <c r="F42" s="9">
        <f>IF($B42=0,0,C42/$B42)</f>
        <v/>
      </c>
      <c r="G42" s="9">
        <f>IF($B42=0,0,D42/$B42)</f>
        <v/>
      </c>
      <c r="H42" s="9">
        <f>IF($B42=0,0,E42/$B42)</f>
        <v/>
      </c>
      <c r="I42" s="2">
        <f>IF(C42=B42,"Passed on test",IF(E42&gt;0,"Runtime error","Failed on test"))</f>
        <v/>
      </c>
      <c r="J42" s="2" t="n">
        <v>3</v>
      </c>
    </row>
    <row r="43">
      <c r="A43" s="2">
        <f>Summary!A31</f>
        <v/>
      </c>
      <c r="B43" s="2">
        <f>COUNTIF(Summary!$B$31:$AB$31,"Passed on test")+COUNTIF(Summary!$B$31:$AB$31,"Failed on test")+COUNTIF(Summary!$B$31:$AB$31,"Runtime error")</f>
        <v/>
      </c>
      <c r="C43" s="2">
        <f>COUNTIF(Summary!$B$31:$AB$31,"Passed on test")</f>
        <v/>
      </c>
      <c r="D43" s="2">
        <f>COUNTIF(Summary!$B$31:$AB$31,"Failed on test")</f>
        <v/>
      </c>
      <c r="E43" s="2">
        <f>COUNTIF(Summary!$B$31:$AB$31,"Runtime error")</f>
        <v/>
      </c>
      <c r="F43" s="9">
        <f>IF($B43=0,0,C43/$B43)</f>
        <v/>
      </c>
      <c r="G43" s="9">
        <f>IF($B43=0,0,D43/$B43)</f>
        <v/>
      </c>
      <c r="H43" s="9">
        <f>IF($B43=0,0,E43/$B43)</f>
        <v/>
      </c>
      <c r="I43" s="2">
        <f>IF(C43=B43,"Passed on test",IF(E43&gt;0,"Runtime error","Failed on test"))</f>
        <v/>
      </c>
      <c r="J43" s="2" t="n">
        <v>3</v>
      </c>
    </row>
    <row r="44">
      <c r="A44" s="2">
        <f>Summary!A32</f>
        <v/>
      </c>
      <c r="B44" s="2">
        <f>COUNTIF(Summary!$B$32:$AB$32,"Passed on test")+COUNTIF(Summary!$B$32:$AB$32,"Failed on test")+COUNTIF(Summary!$B$32:$AB$32,"Runtime error")</f>
        <v/>
      </c>
      <c r="C44" s="2">
        <f>COUNTIF(Summary!$B$32:$AB$32,"Passed on test")</f>
        <v/>
      </c>
      <c r="D44" s="2">
        <f>COUNTIF(Summary!$B$32:$AB$32,"Failed on test")</f>
        <v/>
      </c>
      <c r="E44" s="2">
        <f>COUNTIF(Summary!$B$32:$AB$32,"Runtime error")</f>
        <v/>
      </c>
      <c r="F44" s="9">
        <f>IF($B44=0,0,C44/$B44)</f>
        <v/>
      </c>
      <c r="G44" s="9">
        <f>IF($B44=0,0,D44/$B44)</f>
        <v/>
      </c>
      <c r="H44" s="9">
        <f>IF($B44=0,0,E44/$B44)</f>
        <v/>
      </c>
      <c r="I44" s="2">
        <f>IF(C44=B44,"Passed on test",IF(E44&gt;0,"Runtime error","Failed on test"))</f>
        <v/>
      </c>
      <c r="J44" s="2" t="n">
        <v>4</v>
      </c>
    </row>
    <row r="45">
      <c r="A45" s="2">
        <f>Summary!A33</f>
        <v/>
      </c>
      <c r="B45" s="2">
        <f>COUNTIF(Summary!$B$33:$AB$33,"Passed on test")+COUNTIF(Summary!$B$33:$AB$33,"Failed on test")+COUNTIF(Summary!$B$33:$AB$33,"Runtime error")</f>
        <v/>
      </c>
      <c r="C45" s="2">
        <f>COUNTIF(Summary!$B$33:$AB$33,"Passed on test")</f>
        <v/>
      </c>
      <c r="D45" s="2">
        <f>COUNTIF(Summary!$B$33:$AB$33,"Failed on test")</f>
        <v/>
      </c>
      <c r="E45" s="2">
        <f>COUNTIF(Summary!$B$33:$AB$33,"Runtime error")</f>
        <v/>
      </c>
      <c r="F45" s="9">
        <f>IF($B45=0,0,C45/$B45)</f>
        <v/>
      </c>
      <c r="G45" s="9">
        <f>IF($B45=0,0,D45/$B45)</f>
        <v/>
      </c>
      <c r="H45" s="9">
        <f>IF($B45=0,0,E45/$B45)</f>
        <v/>
      </c>
      <c r="I45" s="2">
        <f>IF(C45=B45,"Passed on test",IF(E45&gt;0,"Runtime error","Failed on test"))</f>
        <v/>
      </c>
      <c r="J45" s="2" t="n">
        <v>4</v>
      </c>
    </row>
    <row r="46">
      <c r="A46" s="2">
        <f>Summary!A34</f>
        <v/>
      </c>
      <c r="B46" s="2">
        <f>COUNTIF(Summary!$B$34:$AB$34,"Passed on test")+COUNTIF(Summary!$B$34:$AB$34,"Failed on test")+COUNTIF(Summary!$B$34:$AB$34,"Runtime error")</f>
        <v/>
      </c>
      <c r="C46" s="2">
        <f>COUNTIF(Summary!$B$34:$AB$34,"Passed on test")</f>
        <v/>
      </c>
      <c r="D46" s="2">
        <f>COUNTIF(Summary!$B$34:$AB$34,"Failed on test")</f>
        <v/>
      </c>
      <c r="E46" s="2">
        <f>COUNTIF(Summary!$B$34:$AB$34,"Runtime error")</f>
        <v/>
      </c>
      <c r="F46" s="9">
        <f>IF($B46=0,0,C46/$B46)</f>
        <v/>
      </c>
      <c r="G46" s="9">
        <f>IF($B46=0,0,D46/$B46)</f>
        <v/>
      </c>
      <c r="H46" s="9">
        <f>IF($B46=0,0,E46/$B46)</f>
        <v/>
      </c>
      <c r="I46" s="2">
        <f>IF(C46=B46,"Passed on test",IF(E46&gt;0,"Runtime error","Failed on test"))</f>
        <v/>
      </c>
      <c r="J46" s="2" t="n">
        <v>4</v>
      </c>
    </row>
    <row r="47">
      <c r="A47" s="2">
        <f>Summary!A35</f>
        <v/>
      </c>
      <c r="B47" s="2">
        <f>COUNTIF(Summary!$B$35:$AB$35,"Passed on test")+COUNTIF(Summary!$B$35:$AB$35,"Failed on test")+COUNTIF(Summary!$B$35:$AB$35,"Runtime error")</f>
        <v/>
      </c>
      <c r="C47" s="2">
        <f>COUNTIF(Summary!$B$35:$AB$35,"Passed on test")</f>
        <v/>
      </c>
      <c r="D47" s="2">
        <f>COUNTIF(Summary!$B$35:$AB$35,"Failed on test")</f>
        <v/>
      </c>
      <c r="E47" s="2">
        <f>COUNTIF(Summary!$B$35:$AB$35,"Runtime error")</f>
        <v/>
      </c>
      <c r="F47" s="9">
        <f>IF($B47=0,0,C47/$B47)</f>
        <v/>
      </c>
      <c r="G47" s="9">
        <f>IF($B47=0,0,D47/$B47)</f>
        <v/>
      </c>
      <c r="H47" s="9">
        <f>IF($B47=0,0,E47/$B47)</f>
        <v/>
      </c>
      <c r="I47" s="2">
        <f>IF(C47=B47,"Passed on test",IF(E47&gt;0,"Runtime error","Failed on test"))</f>
        <v/>
      </c>
      <c r="J47" s="2" t="n">
        <v>4</v>
      </c>
    </row>
    <row r="48">
      <c r="A48" s="2">
        <f>Summary!A36</f>
        <v/>
      </c>
      <c r="B48" s="2">
        <f>COUNTIF(Summary!$B$36:$AB$36,"Passed on test")+COUNTIF(Summary!$B$36:$AB$36,"Failed on test")+COUNTIF(Summary!$B$36:$AB$36,"Runtime error")</f>
        <v/>
      </c>
      <c r="C48" s="2">
        <f>COUNTIF(Summary!$B$36:$AB$36,"Passed on test")</f>
        <v/>
      </c>
      <c r="D48" s="2">
        <f>COUNTIF(Summary!$B$36:$AB$36,"Failed on test")</f>
        <v/>
      </c>
      <c r="E48" s="2">
        <f>COUNTIF(Summary!$B$36:$AB$36,"Runtime error")</f>
        <v/>
      </c>
      <c r="F48" s="9">
        <f>IF($B48=0,0,C48/$B48)</f>
        <v/>
      </c>
      <c r="G48" s="9">
        <f>IF($B48=0,0,D48/$B48)</f>
        <v/>
      </c>
      <c r="H48" s="9">
        <f>IF($B48=0,0,E48/$B48)</f>
        <v/>
      </c>
      <c r="I48" s="2">
        <f>IF(C48=B48,"Passed on test",IF(E48&gt;0,"Runtime error","Failed on test"))</f>
        <v/>
      </c>
      <c r="J48" s="2" t="n">
        <v>4</v>
      </c>
    </row>
    <row r="49">
      <c r="A49" s="2">
        <f>Summary!A37</f>
        <v/>
      </c>
      <c r="B49" s="2">
        <f>COUNTIF(Summary!$B$37:$AB$37,"Passed on test")+COUNTIF(Summary!$B$37:$AB$37,"Failed on test")+COUNTIF(Summary!$B$37:$AB$37,"Runtime error")</f>
        <v/>
      </c>
      <c r="C49" s="2">
        <f>COUNTIF(Summary!$B$37:$AB$37,"Passed on test")</f>
        <v/>
      </c>
      <c r="D49" s="2">
        <f>COUNTIF(Summary!$B$37:$AB$37,"Failed on test")</f>
        <v/>
      </c>
      <c r="E49" s="2">
        <f>COUNTIF(Summary!$B$37:$AB$37,"Runtime error")</f>
        <v/>
      </c>
      <c r="F49" s="9">
        <f>IF($B49=0,0,C49/$B49)</f>
        <v/>
      </c>
      <c r="G49" s="9">
        <f>IF($B49=0,0,D49/$B49)</f>
        <v/>
      </c>
      <c r="H49" s="9">
        <f>IF($B49=0,0,E49/$B49)</f>
        <v/>
      </c>
      <c r="I49" s="2">
        <f>IF(C49=B49,"Passed on test",IF(E49&gt;0,"Runtime error","Failed on test"))</f>
        <v/>
      </c>
      <c r="J49" s="2" t="n">
        <v>4</v>
      </c>
    </row>
    <row r="50">
      <c r="A50" s="2">
        <f>Summary!A38</f>
        <v/>
      </c>
      <c r="B50" s="2">
        <f>COUNTIF(Summary!$B$38:$AB$38,"Passed on test")+COUNTIF(Summary!$B$38:$AB$38,"Failed on test")+COUNTIF(Summary!$B$38:$AB$38,"Runtime error")</f>
        <v/>
      </c>
      <c r="C50" s="2">
        <f>COUNTIF(Summary!$B$38:$AB$38,"Passed on test")</f>
        <v/>
      </c>
      <c r="D50" s="2">
        <f>COUNTIF(Summary!$B$38:$AB$38,"Failed on test")</f>
        <v/>
      </c>
      <c r="E50" s="2">
        <f>COUNTIF(Summary!$B$38:$AB$38,"Runtime error")</f>
        <v/>
      </c>
      <c r="F50" s="9">
        <f>IF($B50=0,0,C50/$B50)</f>
        <v/>
      </c>
      <c r="G50" s="9">
        <f>IF($B50=0,0,D50/$B50)</f>
        <v/>
      </c>
      <c r="H50" s="9">
        <f>IF($B50=0,0,E50/$B50)</f>
        <v/>
      </c>
      <c r="I50" s="2">
        <f>IF(C50=B50,"Passed on test",IF(E50&gt;0,"Runtime error","Failed on test"))</f>
        <v/>
      </c>
      <c r="J50" s="2" t="n">
        <v>4</v>
      </c>
    </row>
    <row r="51">
      <c r="A51" s="2">
        <f>Summary!A39</f>
        <v/>
      </c>
      <c r="B51" s="2">
        <f>COUNTIF(Summary!$B$39:$AB$39,"Passed on test")+COUNTIF(Summary!$B$39:$AB$39,"Failed on test")+COUNTIF(Summary!$B$39:$AB$39,"Runtime error")</f>
        <v/>
      </c>
      <c r="C51" s="2">
        <f>COUNTIF(Summary!$B$39:$AB$39,"Passed on test")</f>
        <v/>
      </c>
      <c r="D51" s="2">
        <f>COUNTIF(Summary!$B$39:$AB$39,"Failed on test")</f>
        <v/>
      </c>
      <c r="E51" s="2">
        <f>COUNTIF(Summary!$B$39:$AB$39,"Runtime error")</f>
        <v/>
      </c>
      <c r="F51" s="9">
        <f>IF($B51=0,0,C51/$B51)</f>
        <v/>
      </c>
      <c r="G51" s="9">
        <f>IF($B51=0,0,D51/$B51)</f>
        <v/>
      </c>
      <c r="H51" s="9">
        <f>IF($B51=0,0,E51/$B51)</f>
        <v/>
      </c>
      <c r="I51" s="2">
        <f>IF(C51=B51,"Passed on test",IF(E51&gt;0,"Runtime error","Failed on test"))</f>
        <v/>
      </c>
      <c r="J51" s="2" t="n">
        <v>4</v>
      </c>
    </row>
    <row r="52">
      <c r="A52" s="2">
        <f>Summary!A40</f>
        <v/>
      </c>
      <c r="B52" s="2">
        <f>COUNTIF(Summary!$B$40:$AB$40,"Passed on test")+COUNTIF(Summary!$B$40:$AB$40,"Failed on test")+COUNTIF(Summary!$B$40:$AB$40,"Runtime error")</f>
        <v/>
      </c>
      <c r="C52" s="2">
        <f>COUNTIF(Summary!$B$40:$AB$40,"Passed on test")</f>
        <v/>
      </c>
      <c r="D52" s="2">
        <f>COUNTIF(Summary!$B$40:$AB$40,"Failed on test")</f>
        <v/>
      </c>
      <c r="E52" s="2">
        <f>COUNTIF(Summary!$B$40:$AB$40,"Runtime error")</f>
        <v/>
      </c>
      <c r="F52" s="9">
        <f>IF($B52=0,0,C52/$B52)</f>
        <v/>
      </c>
      <c r="G52" s="9">
        <f>IF($B52=0,0,D52/$B52)</f>
        <v/>
      </c>
      <c r="H52" s="9">
        <f>IF($B52=0,0,E52/$B52)</f>
        <v/>
      </c>
      <c r="I52" s="2">
        <f>IF(C52=B52,"Passed on test",IF(E52&gt;0,"Runtime error","Failed on test"))</f>
        <v/>
      </c>
      <c r="J52" s="2" t="n">
        <v>4</v>
      </c>
    </row>
    <row r="53">
      <c r="A53" s="2">
        <f>Summary!A41</f>
        <v/>
      </c>
      <c r="B53" s="2">
        <f>COUNTIF(Summary!$B$41:$AB$41,"Passed on test")+COUNTIF(Summary!$B$41:$AB$41,"Failed on test")+COUNTIF(Summary!$B$41:$AB$41,"Runtime error")</f>
        <v/>
      </c>
      <c r="C53" s="2">
        <f>COUNTIF(Summary!$B$41:$AB$41,"Passed on test")</f>
        <v/>
      </c>
      <c r="D53" s="2">
        <f>COUNTIF(Summary!$B$41:$AB$41,"Failed on test")</f>
        <v/>
      </c>
      <c r="E53" s="2">
        <f>COUNTIF(Summary!$B$41:$AB$41,"Runtime error")</f>
        <v/>
      </c>
      <c r="F53" s="9">
        <f>IF($B53=0,0,C53/$B53)</f>
        <v/>
      </c>
      <c r="G53" s="9">
        <f>IF($B53=0,0,D53/$B53)</f>
        <v/>
      </c>
      <c r="H53" s="9">
        <f>IF($B53=0,0,E53/$B53)</f>
        <v/>
      </c>
      <c r="I53" s="2">
        <f>IF(C53=B53,"Passed on test",IF(E53&gt;0,"Runtime error","Failed on test"))</f>
        <v/>
      </c>
      <c r="J53" s="2" t="n">
        <v>4</v>
      </c>
    </row>
    <row r="54">
      <c r="A54" s="2">
        <f>Summary!A42</f>
        <v/>
      </c>
      <c r="B54" s="2">
        <f>COUNTIF(Summary!$B$42:$AB$42,"Passed on test")+COUNTIF(Summary!$B$42:$AB$42,"Failed on test")+COUNTIF(Summary!$B$42:$AB$42,"Runtime error")</f>
        <v/>
      </c>
      <c r="C54" s="2">
        <f>COUNTIF(Summary!$B$42:$AB$42,"Passed on test")</f>
        <v/>
      </c>
      <c r="D54" s="2">
        <f>COUNTIF(Summary!$B$42:$AB$42,"Failed on test")</f>
        <v/>
      </c>
      <c r="E54" s="2">
        <f>COUNTIF(Summary!$B$42:$AB$42,"Runtime error")</f>
        <v/>
      </c>
      <c r="F54" s="9">
        <f>IF($B54=0,0,C54/$B54)</f>
        <v/>
      </c>
      <c r="G54" s="9">
        <f>IF($B54=0,0,D54/$B54)</f>
        <v/>
      </c>
      <c r="H54" s="9">
        <f>IF($B54=0,0,E54/$B54)</f>
        <v/>
      </c>
      <c r="I54" s="2">
        <f>IF(C54=B54,"Passed on test",IF(E54&gt;0,"Runtime error","Failed on test"))</f>
        <v/>
      </c>
      <c r="J54" s="2" t="n">
        <v>5</v>
      </c>
    </row>
    <row r="55">
      <c r="A55" s="2">
        <f>Summary!A43</f>
        <v/>
      </c>
      <c r="B55" s="2">
        <f>COUNTIF(Summary!$B$43:$AB$43,"Passed on test")+COUNTIF(Summary!$B$43:$AB$43,"Failed on test")+COUNTIF(Summary!$B$43:$AB$43,"Runtime error")</f>
        <v/>
      </c>
      <c r="C55" s="2">
        <f>COUNTIF(Summary!$B$43:$AB$43,"Passed on test")</f>
        <v/>
      </c>
      <c r="D55" s="2">
        <f>COUNTIF(Summary!$B$43:$AB$43,"Failed on test")</f>
        <v/>
      </c>
      <c r="E55" s="2">
        <f>COUNTIF(Summary!$B$43:$AB$43,"Runtime error")</f>
        <v/>
      </c>
      <c r="F55" s="9">
        <f>IF($B55=0,0,C55/$B55)</f>
        <v/>
      </c>
      <c r="G55" s="9">
        <f>IF($B55=0,0,D55/$B55)</f>
        <v/>
      </c>
      <c r="H55" s="9">
        <f>IF($B55=0,0,E55/$B55)</f>
        <v/>
      </c>
      <c r="I55" s="2">
        <f>IF(C55=B55,"Passed on test",IF(E55&gt;0,"Runtime error","Failed on test"))</f>
        <v/>
      </c>
      <c r="J55" s="2" t="n">
        <v>5</v>
      </c>
    </row>
    <row r="56">
      <c r="A56" s="2">
        <f>Summary!A44</f>
        <v/>
      </c>
      <c r="B56" s="2">
        <f>COUNTIF(Summary!$B$44:$AB$44,"Passed on test")+COUNTIF(Summary!$B$44:$AB$44,"Failed on test")+COUNTIF(Summary!$B$44:$AB$44,"Runtime error")</f>
        <v/>
      </c>
      <c r="C56" s="2">
        <f>COUNTIF(Summary!$B$44:$AB$44,"Passed on test")</f>
        <v/>
      </c>
      <c r="D56" s="2">
        <f>COUNTIF(Summary!$B$44:$AB$44,"Failed on test")</f>
        <v/>
      </c>
      <c r="E56" s="2">
        <f>COUNTIF(Summary!$B$44:$AB$44,"Runtime error")</f>
        <v/>
      </c>
      <c r="F56" s="9">
        <f>IF($B56=0,0,C56/$B56)</f>
        <v/>
      </c>
      <c r="G56" s="9">
        <f>IF($B56=0,0,D56/$B56)</f>
        <v/>
      </c>
      <c r="H56" s="9">
        <f>IF($B56=0,0,E56/$B56)</f>
        <v/>
      </c>
      <c r="I56" s="2">
        <f>IF(C56=B56,"Passed on test",IF(E56&gt;0,"Runtime error","Failed on test"))</f>
        <v/>
      </c>
      <c r="J56" s="2" t="n">
        <v>5</v>
      </c>
    </row>
    <row r="57">
      <c r="A57" s="2">
        <f>Summary!A45</f>
        <v/>
      </c>
      <c r="B57" s="2">
        <f>COUNTIF(Summary!$B$45:$AB$45,"Passed on test")+COUNTIF(Summary!$B$45:$AB$45,"Failed on test")+COUNTIF(Summary!$B$45:$AB$45,"Runtime error")</f>
        <v/>
      </c>
      <c r="C57" s="2">
        <f>COUNTIF(Summary!$B$45:$AB$45,"Passed on test")</f>
        <v/>
      </c>
      <c r="D57" s="2">
        <f>COUNTIF(Summary!$B$45:$AB$45,"Failed on test")</f>
        <v/>
      </c>
      <c r="E57" s="2">
        <f>COUNTIF(Summary!$B$45:$AB$45,"Runtime error")</f>
        <v/>
      </c>
      <c r="F57" s="9">
        <f>IF($B57=0,0,C57/$B57)</f>
        <v/>
      </c>
      <c r="G57" s="9">
        <f>IF($B57=0,0,D57/$B57)</f>
        <v/>
      </c>
      <c r="H57" s="9">
        <f>IF($B57=0,0,E57/$B57)</f>
        <v/>
      </c>
      <c r="I57" s="2">
        <f>IF(C57=B57,"Passed on test",IF(E57&gt;0,"Runtime error","Failed on test"))</f>
        <v/>
      </c>
      <c r="J57" s="2" t="n">
        <v>5</v>
      </c>
    </row>
    <row r="58">
      <c r="A58" s="2">
        <f>Summary!A46</f>
        <v/>
      </c>
      <c r="B58" s="2">
        <f>COUNTIF(Summary!$B$46:$AB$46,"Passed on test")+COUNTIF(Summary!$B$46:$AB$46,"Failed on test")+COUNTIF(Summary!$B$46:$AB$46,"Runtime error")</f>
        <v/>
      </c>
      <c r="C58" s="2">
        <f>COUNTIF(Summary!$B$46:$AB$46,"Passed on test")</f>
        <v/>
      </c>
      <c r="D58" s="2">
        <f>COUNTIF(Summary!$B$46:$AB$46,"Failed on test")</f>
        <v/>
      </c>
      <c r="E58" s="2">
        <f>COUNTIF(Summary!$B$46:$AB$46,"Runtime error")</f>
        <v/>
      </c>
      <c r="F58" s="9">
        <f>IF($B58=0,0,C58/$B58)</f>
        <v/>
      </c>
      <c r="G58" s="9">
        <f>IF($B58=0,0,D58/$B58)</f>
        <v/>
      </c>
      <c r="H58" s="9">
        <f>IF($B58=0,0,E58/$B58)</f>
        <v/>
      </c>
      <c r="I58" s="2">
        <f>IF(C58=B58,"Passed on test",IF(E58&gt;0,"Runtime error","Failed on test"))</f>
        <v/>
      </c>
      <c r="J58" s="2" t="n">
        <v>5</v>
      </c>
    </row>
    <row r="59">
      <c r="A59" s="2">
        <f>Summary!A47</f>
        <v/>
      </c>
      <c r="B59" s="2">
        <f>COUNTIF(Summary!$B$47:$AB$47,"Passed on test")+COUNTIF(Summary!$B$47:$AB$47,"Failed on test")+COUNTIF(Summary!$B$47:$AB$47,"Runtime error")</f>
        <v/>
      </c>
      <c r="C59" s="2">
        <f>COUNTIF(Summary!$B$47:$AB$47,"Passed on test")</f>
        <v/>
      </c>
      <c r="D59" s="2">
        <f>COUNTIF(Summary!$B$47:$AB$47,"Failed on test")</f>
        <v/>
      </c>
      <c r="E59" s="2">
        <f>COUNTIF(Summary!$B$47:$AB$47,"Runtime error")</f>
        <v/>
      </c>
      <c r="F59" s="9">
        <f>IF($B59=0,0,C59/$B59)</f>
        <v/>
      </c>
      <c r="G59" s="9">
        <f>IF($B59=0,0,D59/$B59)</f>
        <v/>
      </c>
      <c r="H59" s="9">
        <f>IF($B59=0,0,E59/$B59)</f>
        <v/>
      </c>
      <c r="I59" s="2">
        <f>IF(C59=B59,"Passed on test",IF(E59&gt;0,"Runtime error","Failed on test"))</f>
        <v/>
      </c>
      <c r="J59" s="2" t="n">
        <v>5</v>
      </c>
    </row>
    <row r="60">
      <c r="A60" s="2">
        <f>Summary!A48</f>
        <v/>
      </c>
      <c r="B60" s="2">
        <f>COUNTIF(Summary!$B$48:$AB$48,"Passed on test")+COUNTIF(Summary!$B$48:$AB$48,"Failed on test")+COUNTIF(Summary!$B$48:$AB$48,"Runtime error")</f>
        <v/>
      </c>
      <c r="C60" s="2">
        <f>COUNTIF(Summary!$B$48:$AB$48,"Passed on test")</f>
        <v/>
      </c>
      <c r="D60" s="2">
        <f>COUNTIF(Summary!$B$48:$AB$48,"Failed on test")</f>
        <v/>
      </c>
      <c r="E60" s="2">
        <f>COUNTIF(Summary!$B$48:$AB$48,"Runtime error")</f>
        <v/>
      </c>
      <c r="F60" s="9">
        <f>IF($B60=0,0,C60/$B60)</f>
        <v/>
      </c>
      <c r="G60" s="9">
        <f>IF($B60=0,0,D60/$B60)</f>
        <v/>
      </c>
      <c r="H60" s="9">
        <f>IF($B60=0,0,E60/$B60)</f>
        <v/>
      </c>
      <c r="I60" s="2">
        <f>IF(C60=B60,"Passed on test",IF(E60&gt;0,"Runtime error","Failed on test"))</f>
        <v/>
      </c>
      <c r="J60" s="2" t="n">
        <v>5</v>
      </c>
    </row>
    <row r="61">
      <c r="A61" s="2">
        <f>Summary!A49</f>
        <v/>
      </c>
      <c r="B61" s="2">
        <f>COUNTIF(Summary!$B$49:$AB$49,"Passed on test")+COUNTIF(Summary!$B$49:$AB$49,"Failed on test")+COUNTIF(Summary!$B$49:$AB$49,"Runtime error")</f>
        <v/>
      </c>
      <c r="C61" s="2">
        <f>COUNTIF(Summary!$B$49:$AB$49,"Passed on test")</f>
        <v/>
      </c>
      <c r="D61" s="2">
        <f>COUNTIF(Summary!$B$49:$AB$49,"Failed on test")</f>
        <v/>
      </c>
      <c r="E61" s="2">
        <f>COUNTIF(Summary!$B$49:$AB$49,"Runtime error")</f>
        <v/>
      </c>
      <c r="F61" s="9">
        <f>IF($B61=0,0,C61/$B61)</f>
        <v/>
      </c>
      <c r="G61" s="9">
        <f>IF($B61=0,0,D61/$B61)</f>
        <v/>
      </c>
      <c r="H61" s="9">
        <f>IF($B61=0,0,E61/$B61)</f>
        <v/>
      </c>
      <c r="I61" s="2">
        <f>IF(C61=B61,"Passed on test",IF(E61&gt;0,"Runtime error","Failed on test"))</f>
        <v/>
      </c>
      <c r="J61" s="2" t="n">
        <v>5</v>
      </c>
    </row>
    <row r="62">
      <c r="A62" s="2">
        <f>Summary!A50</f>
        <v/>
      </c>
      <c r="B62" s="2">
        <f>COUNTIF(Summary!$B$50:$AB$50,"Passed on test")+COUNTIF(Summary!$B$50:$AB$50,"Failed on test")+COUNTIF(Summary!$B$50:$AB$50,"Runtime error")</f>
        <v/>
      </c>
      <c r="C62" s="2">
        <f>COUNTIF(Summary!$B$50:$AB$50,"Passed on test")</f>
        <v/>
      </c>
      <c r="D62" s="2">
        <f>COUNTIF(Summary!$B$50:$AB$50,"Failed on test")</f>
        <v/>
      </c>
      <c r="E62" s="2">
        <f>COUNTIF(Summary!$B$50:$AB$50,"Runtime error")</f>
        <v/>
      </c>
      <c r="F62" s="9">
        <f>IF($B62=0,0,C62/$B62)</f>
        <v/>
      </c>
      <c r="G62" s="9">
        <f>IF($B62=0,0,D62/$B62)</f>
        <v/>
      </c>
      <c r="H62" s="9">
        <f>IF($B62=0,0,E62/$B62)</f>
        <v/>
      </c>
      <c r="I62" s="2">
        <f>IF(C62=B62,"Passed on test",IF(E62&gt;0,"Runtime error","Failed on test"))</f>
        <v/>
      </c>
      <c r="J62" s="2" t="n">
        <v>5</v>
      </c>
    </row>
    <row r="63">
      <c r="A63" s="2">
        <f>Summary!A51</f>
        <v/>
      </c>
      <c r="B63" s="2">
        <f>COUNTIF(Summary!$B$51:$AB$51,"Passed on test")+COUNTIF(Summary!$B$51:$AB$51,"Failed on test")+COUNTIF(Summary!$B$51:$AB$51,"Runtime error")</f>
        <v/>
      </c>
      <c r="C63" s="2">
        <f>COUNTIF(Summary!$B$51:$AB$51,"Passed on test")</f>
        <v/>
      </c>
      <c r="D63" s="2">
        <f>COUNTIF(Summary!$B$51:$AB$51,"Failed on test")</f>
        <v/>
      </c>
      <c r="E63" s="2">
        <f>COUNTIF(Summary!$B$51:$AB$51,"Runtime error")</f>
        <v/>
      </c>
      <c r="F63" s="9">
        <f>IF($B63=0,0,C63/$B63)</f>
        <v/>
      </c>
      <c r="G63" s="9">
        <f>IF($B63=0,0,D63/$B63)</f>
        <v/>
      </c>
      <c r="H63" s="9">
        <f>IF($B63=0,0,E63/$B63)</f>
        <v/>
      </c>
      <c r="I63" s="2">
        <f>IF(C63=B63,"Passed on test",IF(E63&gt;0,"Runtime error","Failed on test"))</f>
        <v/>
      </c>
      <c r="J63" s="2" t="n">
        <v>5</v>
      </c>
    </row>
    <row r="64">
      <c r="A64" s="2">
        <f>Summary!A52</f>
        <v/>
      </c>
      <c r="B64" s="2">
        <f>COUNTIF(Summary!$B$52:$AB$52,"Passed on test")+COUNTIF(Summary!$B$52:$AB$52,"Failed on test")+COUNTIF(Summary!$B$52:$AB$52,"Runtime error")</f>
        <v/>
      </c>
      <c r="C64" s="2">
        <f>COUNTIF(Summary!$B$52:$AB$52,"Passed on test")</f>
        <v/>
      </c>
      <c r="D64" s="2">
        <f>COUNTIF(Summary!$B$52:$AB$52,"Failed on test")</f>
        <v/>
      </c>
      <c r="E64" s="2">
        <f>COUNTIF(Summary!$B$52:$AB$52,"Runtime error")</f>
        <v/>
      </c>
      <c r="F64" s="9">
        <f>IF($B64=0,0,C64/$B64)</f>
        <v/>
      </c>
      <c r="G64" s="9">
        <f>IF($B64=0,0,D64/$B64)</f>
        <v/>
      </c>
      <c r="H64" s="9">
        <f>IF($B64=0,0,E64/$B64)</f>
        <v/>
      </c>
      <c r="I64" s="2">
        <f>IF(C64=B64,"Passed on test",IF(E64&gt;0,"Runtime error","Failed on test"))</f>
        <v/>
      </c>
      <c r="J64" s="2" t="n">
        <v>6</v>
      </c>
    </row>
    <row r="65">
      <c r="A65" s="2">
        <f>Summary!A53</f>
        <v/>
      </c>
      <c r="B65" s="2">
        <f>COUNTIF(Summary!$B$53:$AB$53,"Passed on test")+COUNTIF(Summary!$B$53:$AB$53,"Failed on test")+COUNTIF(Summary!$B$53:$AB$53,"Runtime error")</f>
        <v/>
      </c>
      <c r="C65" s="2">
        <f>COUNTIF(Summary!$B$53:$AB$53,"Passed on test")</f>
        <v/>
      </c>
      <c r="D65" s="2">
        <f>COUNTIF(Summary!$B$53:$AB$53,"Failed on test")</f>
        <v/>
      </c>
      <c r="E65" s="2">
        <f>COUNTIF(Summary!$B$53:$AB$53,"Runtime error")</f>
        <v/>
      </c>
      <c r="F65" s="9">
        <f>IF($B65=0,0,C65/$B65)</f>
        <v/>
      </c>
      <c r="G65" s="9">
        <f>IF($B65=0,0,D65/$B65)</f>
        <v/>
      </c>
      <c r="H65" s="9">
        <f>IF($B65=0,0,E65/$B65)</f>
        <v/>
      </c>
      <c r="I65" s="2">
        <f>IF(C65=B65,"Passed on test",IF(E65&gt;0,"Runtime error","Failed on test"))</f>
        <v/>
      </c>
      <c r="J65" s="2" t="n">
        <v>6</v>
      </c>
    </row>
    <row r="66">
      <c r="A66" s="2">
        <f>Summary!A54</f>
        <v/>
      </c>
      <c r="B66" s="2">
        <f>COUNTIF(Summary!$B$54:$AB$54,"Passed on test")+COUNTIF(Summary!$B$54:$AB$54,"Failed on test")+COUNTIF(Summary!$B$54:$AB$54,"Runtime error")</f>
        <v/>
      </c>
      <c r="C66" s="2">
        <f>COUNTIF(Summary!$B$54:$AB$54,"Passed on test")</f>
        <v/>
      </c>
      <c r="D66" s="2">
        <f>COUNTIF(Summary!$B$54:$AB$54,"Failed on test")</f>
        <v/>
      </c>
      <c r="E66" s="2">
        <f>COUNTIF(Summary!$B$54:$AB$54,"Runtime error")</f>
        <v/>
      </c>
      <c r="F66" s="9">
        <f>IF($B66=0,0,C66/$B66)</f>
        <v/>
      </c>
      <c r="G66" s="9">
        <f>IF($B66=0,0,D66/$B66)</f>
        <v/>
      </c>
      <c r="H66" s="9">
        <f>IF($B66=0,0,E66/$B66)</f>
        <v/>
      </c>
      <c r="I66" s="2">
        <f>IF(C66=B66,"Passed on test",IF(E66&gt;0,"Runtime error","Failed on test"))</f>
        <v/>
      </c>
      <c r="J66" s="2" t="n">
        <v>6</v>
      </c>
    </row>
    <row r="67">
      <c r="A67" s="2">
        <f>Summary!A55</f>
        <v/>
      </c>
      <c r="B67" s="2">
        <f>COUNTIF(Summary!$B$55:$AB$55,"Passed on test")+COUNTIF(Summary!$B$55:$AB$55,"Failed on test")+COUNTIF(Summary!$B$55:$AB$55,"Runtime error")</f>
        <v/>
      </c>
      <c r="C67" s="2">
        <f>COUNTIF(Summary!$B$55:$AB$55,"Passed on test")</f>
        <v/>
      </c>
      <c r="D67" s="2">
        <f>COUNTIF(Summary!$B$55:$AB$55,"Failed on test")</f>
        <v/>
      </c>
      <c r="E67" s="2">
        <f>COUNTIF(Summary!$B$55:$AB$55,"Runtime error")</f>
        <v/>
      </c>
      <c r="F67" s="9">
        <f>IF($B67=0,0,C67/$B67)</f>
        <v/>
      </c>
      <c r="G67" s="9">
        <f>IF($B67=0,0,D67/$B67)</f>
        <v/>
      </c>
      <c r="H67" s="9">
        <f>IF($B67=0,0,E67/$B67)</f>
        <v/>
      </c>
      <c r="I67" s="2">
        <f>IF(C67=B67,"Passed on test",IF(E67&gt;0,"Runtime error","Failed on test"))</f>
        <v/>
      </c>
      <c r="J67" s="2" t="n">
        <v>6</v>
      </c>
    </row>
    <row r="68">
      <c r="A68" s="2">
        <f>Summary!A56</f>
        <v/>
      </c>
      <c r="B68" s="2">
        <f>COUNTIF(Summary!$B$56:$AB$56,"Passed on test")+COUNTIF(Summary!$B$56:$AB$56,"Failed on test")+COUNTIF(Summary!$B$56:$AB$56,"Runtime error")</f>
        <v/>
      </c>
      <c r="C68" s="2">
        <f>COUNTIF(Summary!$B$56:$AB$56,"Passed on test")</f>
        <v/>
      </c>
      <c r="D68" s="2">
        <f>COUNTIF(Summary!$B$56:$AB$56,"Failed on test")</f>
        <v/>
      </c>
      <c r="E68" s="2">
        <f>COUNTIF(Summary!$B$56:$AB$56,"Runtime error")</f>
        <v/>
      </c>
      <c r="F68" s="9">
        <f>IF($B68=0,0,C68/$B68)</f>
        <v/>
      </c>
      <c r="G68" s="9">
        <f>IF($B68=0,0,D68/$B68)</f>
        <v/>
      </c>
      <c r="H68" s="9">
        <f>IF($B68=0,0,E68/$B68)</f>
        <v/>
      </c>
      <c r="I68" s="2">
        <f>IF(C68=B68,"Passed on test",IF(E68&gt;0,"Runtime error","Failed on test"))</f>
        <v/>
      </c>
      <c r="J68" s="2" t="n">
        <v>6</v>
      </c>
    </row>
    <row r="69">
      <c r="A69" s="2">
        <f>Summary!A57</f>
        <v/>
      </c>
      <c r="B69" s="2">
        <f>COUNTIF(Summary!$B$57:$AB$57,"Passed on test")+COUNTIF(Summary!$B$57:$AB$57,"Failed on test")+COUNTIF(Summary!$B$57:$AB$57,"Runtime error")</f>
        <v/>
      </c>
      <c r="C69" s="2">
        <f>COUNTIF(Summary!$B$57:$AB$57,"Passed on test")</f>
        <v/>
      </c>
      <c r="D69" s="2">
        <f>COUNTIF(Summary!$B$57:$AB$57,"Failed on test")</f>
        <v/>
      </c>
      <c r="E69" s="2">
        <f>COUNTIF(Summary!$B$57:$AB$57,"Runtime error")</f>
        <v/>
      </c>
      <c r="F69" s="9">
        <f>IF($B69=0,0,C69/$B69)</f>
        <v/>
      </c>
      <c r="G69" s="9">
        <f>IF($B69=0,0,D69/$B69)</f>
        <v/>
      </c>
      <c r="H69" s="9">
        <f>IF($B69=0,0,E69/$B69)</f>
        <v/>
      </c>
      <c r="I69" s="2">
        <f>IF(C69=B69,"Passed on test",IF(E69&gt;0,"Runtime error","Failed on test"))</f>
        <v/>
      </c>
      <c r="J69" s="2" t="n">
        <v>6</v>
      </c>
    </row>
    <row r="70">
      <c r="A70" s="2">
        <f>Summary!A58</f>
        <v/>
      </c>
      <c r="B70" s="2">
        <f>COUNTIF(Summary!$B$58:$AB$58,"Passed on test")+COUNTIF(Summary!$B$58:$AB$58,"Failed on test")+COUNTIF(Summary!$B$58:$AB$58,"Runtime error")</f>
        <v/>
      </c>
      <c r="C70" s="2">
        <f>COUNTIF(Summary!$B$58:$AB$58,"Passed on test")</f>
        <v/>
      </c>
      <c r="D70" s="2">
        <f>COUNTIF(Summary!$B$58:$AB$58,"Failed on test")</f>
        <v/>
      </c>
      <c r="E70" s="2">
        <f>COUNTIF(Summary!$B$58:$AB$58,"Runtime error")</f>
        <v/>
      </c>
      <c r="F70" s="9">
        <f>IF($B70=0,0,C70/$B70)</f>
        <v/>
      </c>
      <c r="G70" s="9">
        <f>IF($B70=0,0,D70/$B70)</f>
        <v/>
      </c>
      <c r="H70" s="9">
        <f>IF($B70=0,0,E70/$B70)</f>
        <v/>
      </c>
      <c r="I70" s="2">
        <f>IF(C70=B70,"Passed on test",IF(E70&gt;0,"Runtime error","Failed on test"))</f>
        <v/>
      </c>
      <c r="J70" s="2" t="n">
        <v>6</v>
      </c>
    </row>
    <row r="71">
      <c r="A71" s="2">
        <f>Summary!A59</f>
        <v/>
      </c>
      <c r="B71" s="2">
        <f>COUNTIF(Summary!$B$59:$AB$59,"Passed on test")+COUNTIF(Summary!$B$59:$AB$59,"Failed on test")+COUNTIF(Summary!$B$59:$AB$59,"Runtime error")</f>
        <v/>
      </c>
      <c r="C71" s="2">
        <f>COUNTIF(Summary!$B$59:$AB$59,"Passed on test")</f>
        <v/>
      </c>
      <c r="D71" s="2">
        <f>COUNTIF(Summary!$B$59:$AB$59,"Failed on test")</f>
        <v/>
      </c>
      <c r="E71" s="2">
        <f>COUNTIF(Summary!$B$59:$AB$59,"Runtime error")</f>
        <v/>
      </c>
      <c r="F71" s="9">
        <f>IF($B71=0,0,C71/$B71)</f>
        <v/>
      </c>
      <c r="G71" s="9">
        <f>IF($B71=0,0,D71/$B71)</f>
        <v/>
      </c>
      <c r="H71" s="9">
        <f>IF($B71=0,0,E71/$B71)</f>
        <v/>
      </c>
      <c r="I71" s="2">
        <f>IF(C71=B71,"Passed on test",IF(E71&gt;0,"Runtime error","Failed on test"))</f>
        <v/>
      </c>
      <c r="J71" s="2" t="n">
        <v>6</v>
      </c>
    </row>
    <row r="72">
      <c r="A72" s="2">
        <f>Summary!A60</f>
        <v/>
      </c>
      <c r="B72" s="2">
        <f>COUNTIF(Summary!$B$60:$AB$60,"Passed on test")+COUNTIF(Summary!$B$60:$AB$60,"Failed on test")+COUNTIF(Summary!$B$60:$AB$60,"Runtime error")</f>
        <v/>
      </c>
      <c r="C72" s="2">
        <f>COUNTIF(Summary!$B$60:$AB$60,"Passed on test")</f>
        <v/>
      </c>
      <c r="D72" s="2">
        <f>COUNTIF(Summary!$B$60:$AB$60,"Failed on test")</f>
        <v/>
      </c>
      <c r="E72" s="2">
        <f>COUNTIF(Summary!$B$60:$AB$60,"Runtime error")</f>
        <v/>
      </c>
      <c r="F72" s="9">
        <f>IF($B72=0,0,C72/$B72)</f>
        <v/>
      </c>
      <c r="G72" s="9">
        <f>IF($B72=0,0,D72/$B72)</f>
        <v/>
      </c>
      <c r="H72" s="9">
        <f>IF($B72=0,0,E72/$B72)</f>
        <v/>
      </c>
      <c r="I72" s="2">
        <f>IF(C72=B72,"Passed on test",IF(E72&gt;0,"Runtime error","Failed on test"))</f>
        <v/>
      </c>
      <c r="J72" s="2" t="n">
        <v>6</v>
      </c>
    </row>
    <row r="73">
      <c r="A73" s="2">
        <f>Summary!A61</f>
        <v/>
      </c>
      <c r="B73" s="2">
        <f>COUNTIF(Summary!$B$61:$AB$61,"Passed on test")+COUNTIF(Summary!$B$61:$AB$61,"Failed on test")+COUNTIF(Summary!$B$61:$AB$61,"Runtime error")</f>
        <v/>
      </c>
      <c r="C73" s="2">
        <f>COUNTIF(Summary!$B$61:$AB$61,"Passed on test")</f>
        <v/>
      </c>
      <c r="D73" s="2">
        <f>COUNTIF(Summary!$B$61:$AB$61,"Failed on test")</f>
        <v/>
      </c>
      <c r="E73" s="2">
        <f>COUNTIF(Summary!$B$61:$AB$61,"Runtime error")</f>
        <v/>
      </c>
      <c r="F73" s="9">
        <f>IF($B73=0,0,C73/$B73)</f>
        <v/>
      </c>
      <c r="G73" s="9">
        <f>IF($B73=0,0,D73/$B73)</f>
        <v/>
      </c>
      <c r="H73" s="9">
        <f>IF($B73=0,0,E73/$B73)</f>
        <v/>
      </c>
      <c r="I73" s="2">
        <f>IF(C73=B73,"Passed on test",IF(E73&gt;0,"Runtime error","Failed on test"))</f>
        <v/>
      </c>
      <c r="J73" s="2" t="n">
        <v>6</v>
      </c>
    </row>
    <row r="74">
      <c r="A74" s="2">
        <f>Summary!A62</f>
        <v/>
      </c>
      <c r="B74" s="2">
        <f>COUNTIF(Summary!$B$62:$AB$62,"Passed on test")+COUNTIF(Summary!$B$62:$AB$62,"Failed on test")+COUNTIF(Summary!$B$62:$AB$62,"Runtime error")</f>
        <v/>
      </c>
      <c r="C74" s="2">
        <f>COUNTIF(Summary!$B$62:$AB$62,"Passed on test")</f>
        <v/>
      </c>
      <c r="D74" s="2">
        <f>COUNTIF(Summary!$B$62:$AB$62,"Failed on test")</f>
        <v/>
      </c>
      <c r="E74" s="2">
        <f>COUNTIF(Summary!$B$62:$AB$62,"Runtime error")</f>
        <v/>
      </c>
      <c r="F74" s="9">
        <f>IF($B74=0,0,C74/$B74)</f>
        <v/>
      </c>
      <c r="G74" s="9">
        <f>IF($B74=0,0,D74/$B74)</f>
        <v/>
      </c>
      <c r="H74" s="9">
        <f>IF($B74=0,0,E74/$B74)</f>
        <v/>
      </c>
      <c r="I74" s="2">
        <f>IF(C74=B74,"Passed on test",IF(E74&gt;0,"Runtime error","Failed on test"))</f>
        <v/>
      </c>
      <c r="J74" s="2" t="n">
        <v>7</v>
      </c>
    </row>
    <row r="75">
      <c r="A75" s="2">
        <f>Summary!A63</f>
        <v/>
      </c>
      <c r="B75" s="2">
        <f>COUNTIF(Summary!$B$63:$AB$63,"Passed on test")+COUNTIF(Summary!$B$63:$AB$63,"Failed on test")+COUNTIF(Summary!$B$63:$AB$63,"Runtime error")</f>
        <v/>
      </c>
      <c r="C75" s="2">
        <f>COUNTIF(Summary!$B$63:$AB$63,"Passed on test")</f>
        <v/>
      </c>
      <c r="D75" s="2">
        <f>COUNTIF(Summary!$B$63:$AB$63,"Failed on test")</f>
        <v/>
      </c>
      <c r="E75" s="2">
        <f>COUNTIF(Summary!$B$63:$AB$63,"Runtime error")</f>
        <v/>
      </c>
      <c r="F75" s="9">
        <f>IF($B75=0,0,C75/$B75)</f>
        <v/>
      </c>
      <c r="G75" s="9">
        <f>IF($B75=0,0,D75/$B75)</f>
        <v/>
      </c>
      <c r="H75" s="9">
        <f>IF($B75=0,0,E75/$B75)</f>
        <v/>
      </c>
      <c r="I75" s="2">
        <f>IF(C75=B75,"Passed on test",IF(E75&gt;0,"Runtime error","Failed on test"))</f>
        <v/>
      </c>
      <c r="J75" s="2" t="n">
        <v>7</v>
      </c>
    </row>
    <row r="76">
      <c r="A76" s="2">
        <f>Summary!A64</f>
        <v/>
      </c>
      <c r="B76" s="2">
        <f>COUNTIF(Summary!$B$64:$AB$64,"Passed on test")+COUNTIF(Summary!$B$64:$AB$64,"Failed on test")+COUNTIF(Summary!$B$64:$AB$64,"Runtime error")</f>
        <v/>
      </c>
      <c r="C76" s="2">
        <f>COUNTIF(Summary!$B$64:$AB$64,"Passed on test")</f>
        <v/>
      </c>
      <c r="D76" s="2">
        <f>COUNTIF(Summary!$B$64:$AB$64,"Failed on test")</f>
        <v/>
      </c>
      <c r="E76" s="2">
        <f>COUNTIF(Summary!$B$64:$AB$64,"Runtime error")</f>
        <v/>
      </c>
      <c r="F76" s="9">
        <f>IF($B76=0,0,C76/$B76)</f>
        <v/>
      </c>
      <c r="G76" s="9">
        <f>IF($B76=0,0,D76/$B76)</f>
        <v/>
      </c>
      <c r="H76" s="9">
        <f>IF($B76=0,0,E76/$B76)</f>
        <v/>
      </c>
      <c r="I76" s="2">
        <f>IF(C76=B76,"Passed on test",IF(E76&gt;0,"Runtime error","Failed on test"))</f>
        <v/>
      </c>
      <c r="J76" s="2" t="n">
        <v>7</v>
      </c>
    </row>
    <row r="77">
      <c r="A77" s="2">
        <f>Summary!A65</f>
        <v/>
      </c>
      <c r="B77" s="2">
        <f>COUNTIF(Summary!$B$65:$AB$65,"Passed on test")+COUNTIF(Summary!$B$65:$AB$65,"Failed on test")+COUNTIF(Summary!$B$65:$AB$65,"Runtime error")</f>
        <v/>
      </c>
      <c r="C77" s="2">
        <f>COUNTIF(Summary!$B$65:$AB$65,"Passed on test")</f>
        <v/>
      </c>
      <c r="D77" s="2">
        <f>COUNTIF(Summary!$B$65:$AB$65,"Failed on test")</f>
        <v/>
      </c>
      <c r="E77" s="2">
        <f>COUNTIF(Summary!$B$65:$AB$65,"Runtime error")</f>
        <v/>
      </c>
      <c r="F77" s="9">
        <f>IF($B77=0,0,C77/$B77)</f>
        <v/>
      </c>
      <c r="G77" s="9">
        <f>IF($B77=0,0,D77/$B77)</f>
        <v/>
      </c>
      <c r="H77" s="9">
        <f>IF($B77=0,0,E77/$B77)</f>
        <v/>
      </c>
      <c r="I77" s="2">
        <f>IF(C77=B77,"Passed on test",IF(E77&gt;0,"Runtime error","Failed on test"))</f>
        <v/>
      </c>
      <c r="J77" s="2" t="n">
        <v>7</v>
      </c>
    </row>
    <row r="78">
      <c r="A78" s="2">
        <f>Summary!A66</f>
        <v/>
      </c>
      <c r="B78" s="2">
        <f>COUNTIF(Summary!$B$66:$AB$66,"Passed on test")+COUNTIF(Summary!$B$66:$AB$66,"Failed on test")+COUNTIF(Summary!$B$66:$AB$66,"Runtime error")</f>
        <v/>
      </c>
      <c r="C78" s="2">
        <f>COUNTIF(Summary!$B$66:$AB$66,"Passed on test")</f>
        <v/>
      </c>
      <c r="D78" s="2">
        <f>COUNTIF(Summary!$B$66:$AB$66,"Failed on test")</f>
        <v/>
      </c>
      <c r="E78" s="2">
        <f>COUNTIF(Summary!$B$66:$AB$66,"Runtime error")</f>
        <v/>
      </c>
      <c r="F78" s="9">
        <f>IF($B78=0,0,C78/$B78)</f>
        <v/>
      </c>
      <c r="G78" s="9">
        <f>IF($B78=0,0,D78/$B78)</f>
        <v/>
      </c>
      <c r="H78" s="9">
        <f>IF($B78=0,0,E78/$B78)</f>
        <v/>
      </c>
      <c r="I78" s="2">
        <f>IF(C78=B78,"Passed on test",IF(E78&gt;0,"Runtime error","Failed on test"))</f>
        <v/>
      </c>
      <c r="J78" s="2" t="n">
        <v>7</v>
      </c>
    </row>
    <row r="79">
      <c r="A79" s="2">
        <f>Summary!A67</f>
        <v/>
      </c>
      <c r="B79" s="2">
        <f>COUNTIF(Summary!$B$67:$AB$67,"Passed on test")+COUNTIF(Summary!$B$67:$AB$67,"Failed on test")+COUNTIF(Summary!$B$67:$AB$67,"Runtime error")</f>
        <v/>
      </c>
      <c r="C79" s="2">
        <f>COUNTIF(Summary!$B$67:$AB$67,"Passed on test")</f>
        <v/>
      </c>
      <c r="D79" s="2">
        <f>COUNTIF(Summary!$B$67:$AB$67,"Failed on test")</f>
        <v/>
      </c>
      <c r="E79" s="2">
        <f>COUNTIF(Summary!$B$67:$AB$67,"Runtime error")</f>
        <v/>
      </c>
      <c r="F79" s="9">
        <f>IF($B79=0,0,C79/$B79)</f>
        <v/>
      </c>
      <c r="G79" s="9">
        <f>IF($B79=0,0,D79/$B79)</f>
        <v/>
      </c>
      <c r="H79" s="9">
        <f>IF($B79=0,0,E79/$B79)</f>
        <v/>
      </c>
      <c r="I79" s="2">
        <f>IF(C79=B79,"Passed on test",IF(E79&gt;0,"Runtime error","Failed on test"))</f>
        <v/>
      </c>
      <c r="J79" s="2" t="n">
        <v>7</v>
      </c>
    </row>
    <row r="80">
      <c r="A80" s="2">
        <f>Summary!A68</f>
        <v/>
      </c>
      <c r="B80" s="2">
        <f>COUNTIF(Summary!$B$68:$AB$68,"Passed on test")+COUNTIF(Summary!$B$68:$AB$68,"Failed on test")+COUNTIF(Summary!$B$68:$AB$68,"Runtime error")</f>
        <v/>
      </c>
      <c r="C80" s="2">
        <f>COUNTIF(Summary!$B$68:$AB$68,"Passed on test")</f>
        <v/>
      </c>
      <c r="D80" s="2">
        <f>COUNTIF(Summary!$B$68:$AB$68,"Failed on test")</f>
        <v/>
      </c>
      <c r="E80" s="2">
        <f>COUNTIF(Summary!$B$68:$AB$68,"Runtime error")</f>
        <v/>
      </c>
      <c r="F80" s="9">
        <f>IF($B80=0,0,C80/$B80)</f>
        <v/>
      </c>
      <c r="G80" s="9">
        <f>IF($B80=0,0,D80/$B80)</f>
        <v/>
      </c>
      <c r="H80" s="9">
        <f>IF($B80=0,0,E80/$B80)</f>
        <v/>
      </c>
      <c r="I80" s="2">
        <f>IF(C80=B80,"Passed on test",IF(E80&gt;0,"Runtime error","Failed on test"))</f>
        <v/>
      </c>
      <c r="J80" s="2" t="n">
        <v>7</v>
      </c>
    </row>
    <row r="81">
      <c r="A81" s="2">
        <f>Summary!A69</f>
        <v/>
      </c>
      <c r="B81" s="2">
        <f>COUNTIF(Summary!$B$69:$AB$69,"Passed on test")+COUNTIF(Summary!$B$69:$AB$69,"Failed on test")+COUNTIF(Summary!$B$69:$AB$69,"Runtime error")</f>
        <v/>
      </c>
      <c r="C81" s="2">
        <f>COUNTIF(Summary!$B$69:$AB$69,"Passed on test")</f>
        <v/>
      </c>
      <c r="D81" s="2">
        <f>COUNTIF(Summary!$B$69:$AB$69,"Failed on test")</f>
        <v/>
      </c>
      <c r="E81" s="2">
        <f>COUNTIF(Summary!$B$69:$AB$69,"Runtime error")</f>
        <v/>
      </c>
      <c r="F81" s="9">
        <f>IF($B81=0,0,C81/$B81)</f>
        <v/>
      </c>
      <c r="G81" s="9">
        <f>IF($B81=0,0,D81/$B81)</f>
        <v/>
      </c>
      <c r="H81" s="9">
        <f>IF($B81=0,0,E81/$B81)</f>
        <v/>
      </c>
      <c r="I81" s="2">
        <f>IF(C81=B81,"Passed on test",IF(E81&gt;0,"Runtime error","Failed on test"))</f>
        <v/>
      </c>
      <c r="J81" s="2" t="n">
        <v>8</v>
      </c>
    </row>
    <row r="82">
      <c r="A82" s="2">
        <f>Summary!A70</f>
        <v/>
      </c>
      <c r="B82" s="2">
        <f>COUNTIF(Summary!$B$70:$AB$70,"Passed on test")+COUNTIF(Summary!$B$70:$AB$70,"Failed on test")+COUNTIF(Summary!$B$70:$AB$70,"Runtime error")</f>
        <v/>
      </c>
      <c r="C82" s="2">
        <f>COUNTIF(Summary!$B$70:$AB$70,"Passed on test")</f>
        <v/>
      </c>
      <c r="D82" s="2">
        <f>COUNTIF(Summary!$B$70:$AB$70,"Failed on test")</f>
        <v/>
      </c>
      <c r="E82" s="2">
        <f>COUNTIF(Summary!$B$70:$AB$70,"Runtime error")</f>
        <v/>
      </c>
      <c r="F82" s="9">
        <f>IF($B82=0,0,C82/$B82)</f>
        <v/>
      </c>
      <c r="G82" s="9">
        <f>IF($B82=0,0,D82/$B82)</f>
        <v/>
      </c>
      <c r="H82" s="9">
        <f>IF($B82=0,0,E82/$B82)</f>
        <v/>
      </c>
      <c r="I82" s="2">
        <f>IF(C82=B82,"Passed on test",IF(E82&gt;0,"Runtime error","Failed on test"))</f>
        <v/>
      </c>
      <c r="J82" s="2" t="n">
        <v>8</v>
      </c>
    </row>
    <row r="83">
      <c r="A83" s="2">
        <f>Summary!A71</f>
        <v/>
      </c>
      <c r="B83" s="2">
        <f>COUNTIF(Summary!$B$71:$AB$71,"Passed on test")+COUNTIF(Summary!$B$71:$AB$71,"Failed on test")+COUNTIF(Summary!$B$71:$AB$71,"Runtime error")</f>
        <v/>
      </c>
      <c r="C83" s="2">
        <f>COUNTIF(Summary!$B$71:$AB$71,"Passed on test")</f>
        <v/>
      </c>
      <c r="D83" s="2">
        <f>COUNTIF(Summary!$B$71:$AB$71,"Failed on test")</f>
        <v/>
      </c>
      <c r="E83" s="2">
        <f>COUNTIF(Summary!$B$71:$AB$71,"Runtime error")</f>
        <v/>
      </c>
      <c r="F83" s="9">
        <f>IF($B83=0,0,C83/$B83)</f>
        <v/>
      </c>
      <c r="G83" s="9">
        <f>IF($B83=0,0,D83/$B83)</f>
        <v/>
      </c>
      <c r="H83" s="9">
        <f>IF($B83=0,0,E83/$B83)</f>
        <v/>
      </c>
      <c r="I83" s="2">
        <f>IF(C83=B83,"Passed on test",IF(E83&gt;0,"Runtime error","Failed on test"))</f>
        <v/>
      </c>
      <c r="J83" s="2" t="n">
        <v>8</v>
      </c>
    </row>
    <row r="84">
      <c r="A84" s="2">
        <f>Summary!A72</f>
        <v/>
      </c>
      <c r="B84" s="2">
        <f>COUNTIF(Summary!$B$72:$AB$72,"Passed on test")+COUNTIF(Summary!$B$72:$AB$72,"Failed on test")+COUNTIF(Summary!$B$72:$AB$72,"Runtime error")</f>
        <v/>
      </c>
      <c r="C84" s="2">
        <f>COUNTIF(Summary!$B$72:$AB$72,"Passed on test")</f>
        <v/>
      </c>
      <c r="D84" s="2">
        <f>COUNTIF(Summary!$B$72:$AB$72,"Failed on test")</f>
        <v/>
      </c>
      <c r="E84" s="2">
        <f>COUNTIF(Summary!$B$72:$AB$72,"Runtime error")</f>
        <v/>
      </c>
      <c r="F84" s="9">
        <f>IF($B84=0,0,C84/$B84)</f>
        <v/>
      </c>
      <c r="G84" s="9">
        <f>IF($B84=0,0,D84/$B84)</f>
        <v/>
      </c>
      <c r="H84" s="9">
        <f>IF($B84=0,0,E84/$B84)</f>
        <v/>
      </c>
      <c r="I84" s="2">
        <f>IF(C84=B84,"Passed on test",IF(E84&gt;0,"Runtime error","Failed on test"))</f>
        <v/>
      </c>
      <c r="J84" s="2" t="n">
        <v>8</v>
      </c>
    </row>
    <row r="85">
      <c r="A85" s="2">
        <f>Summary!A73</f>
        <v/>
      </c>
      <c r="B85" s="2">
        <f>COUNTIF(Summary!$B$73:$AB$73,"Passed on test")+COUNTIF(Summary!$B$73:$AB$73,"Failed on test")+COUNTIF(Summary!$B$73:$AB$73,"Runtime error")</f>
        <v/>
      </c>
      <c r="C85" s="2">
        <f>COUNTIF(Summary!$B$73:$AB$73,"Passed on test")</f>
        <v/>
      </c>
      <c r="D85" s="2">
        <f>COUNTIF(Summary!$B$73:$AB$73,"Failed on test")</f>
        <v/>
      </c>
      <c r="E85" s="2">
        <f>COUNTIF(Summary!$B$73:$AB$73,"Runtime error")</f>
        <v/>
      </c>
      <c r="F85" s="9">
        <f>IF($B85=0,0,C85/$B85)</f>
        <v/>
      </c>
      <c r="G85" s="9">
        <f>IF($B85=0,0,D85/$B85)</f>
        <v/>
      </c>
      <c r="H85" s="9">
        <f>IF($B85=0,0,E85/$B85)</f>
        <v/>
      </c>
      <c r="I85" s="2">
        <f>IF(C85=B85,"Passed on test",IF(E85&gt;0,"Runtime error","Failed on test"))</f>
        <v/>
      </c>
      <c r="J85" s="2" t="n">
        <v>8</v>
      </c>
    </row>
    <row r="86">
      <c r="A86" s="2">
        <f>Summary!A74</f>
        <v/>
      </c>
      <c r="B86" s="2">
        <f>COUNTIF(Summary!$B$74:$AB$74,"Passed on test")+COUNTIF(Summary!$B$74:$AB$74,"Failed on test")+COUNTIF(Summary!$B$74:$AB$74,"Runtime error")</f>
        <v/>
      </c>
      <c r="C86" s="2">
        <f>COUNTIF(Summary!$B$74:$AB$74,"Passed on test")</f>
        <v/>
      </c>
      <c r="D86" s="2">
        <f>COUNTIF(Summary!$B$74:$AB$74,"Failed on test")</f>
        <v/>
      </c>
      <c r="E86" s="2">
        <f>COUNTIF(Summary!$B$74:$AB$74,"Runtime error")</f>
        <v/>
      </c>
      <c r="F86" s="9">
        <f>IF($B86=0,0,C86/$B86)</f>
        <v/>
      </c>
      <c r="G86" s="9">
        <f>IF($B86=0,0,D86/$B86)</f>
        <v/>
      </c>
      <c r="H86" s="9">
        <f>IF($B86=0,0,E86/$B86)</f>
        <v/>
      </c>
      <c r="I86" s="2">
        <f>IF(C86=B86,"Passed on test",IF(E86&gt;0,"Runtime error","Failed on test"))</f>
        <v/>
      </c>
      <c r="J86" s="2" t="n">
        <v>8</v>
      </c>
    </row>
    <row r="87"/>
    <row r="88">
      <c r="A88" s="7" t="inlineStr">
        <is>
          <t>3. Cases by outcome</t>
        </is>
      </c>
    </row>
    <row r="89">
      <c r="A89" s="1" t="inlineStr">
        <is>
          <t>Outcome</t>
        </is>
      </c>
      <c r="B89" s="1" t="inlineStr">
        <is>
          <t>Cases</t>
        </is>
      </c>
      <c r="C89" s="1" t="inlineStr">
        <is>
          <t>% of cases</t>
        </is>
      </c>
      <c r="D89" s="1" t="inlineStr">
        <is>
          <t>Batch 1</t>
        </is>
      </c>
      <c r="E89" s="1" t="inlineStr">
        <is>
          <t>Batch 1 %</t>
        </is>
      </c>
      <c r="F89" s="1" t="inlineStr">
        <is>
          <t>Batch 2</t>
        </is>
      </c>
      <c r="G89" s="1" t="inlineStr">
        <is>
          <t>Batch 2 %</t>
        </is>
      </c>
      <c r="H89" s="1" t="inlineStr">
        <is>
          <t>Batch 3</t>
        </is>
      </c>
      <c r="I89" s="1" t="inlineStr">
        <is>
          <t>Batch 3 %</t>
        </is>
      </c>
      <c r="J89" s="1" t="inlineStr">
        <is>
          <t>Batch 4</t>
        </is>
      </c>
      <c r="K89" s="1" t="inlineStr">
        <is>
          <t>Batch 4 %</t>
        </is>
      </c>
      <c r="L89" s="1" t="inlineStr">
        <is>
          <t>Batch 5</t>
        </is>
      </c>
      <c r="M89" s="1" t="inlineStr">
        <is>
          <t>Batch 5 %</t>
        </is>
      </c>
      <c r="N89" s="1" t="inlineStr">
        <is>
          <t>Batch 6</t>
        </is>
      </c>
      <c r="O89" s="1" t="inlineStr">
        <is>
          <t>Batch 6 %</t>
        </is>
      </c>
      <c r="P89" s="1" t="inlineStr">
        <is>
          <t>Batch 7</t>
        </is>
      </c>
      <c r="Q89" s="1" t="inlineStr">
        <is>
          <t>Batch 7 %</t>
        </is>
      </c>
      <c r="R89" s="1" t="inlineStr">
        <is>
          <t>Batch 8</t>
        </is>
      </c>
      <c r="S89" s="1" t="inlineStr">
        <is>
          <t>Batch 8 %</t>
        </is>
      </c>
    </row>
    <row r="90">
      <c r="A90" s="8" t="inlineStr">
        <is>
          <t>Passed on test</t>
        </is>
      </c>
      <c r="B90" s="2">
        <f>COUNTIF($I$14:$I$86,"Passed on test")</f>
        <v/>
      </c>
      <c r="C90" s="9">
        <f>IF($B$93=0,0,B90/$B$93)</f>
        <v/>
      </c>
      <c r="D90" s="2">
        <f>COUNTIFS($I$14:$I$86,"Passed on test",$J$14:$J$86,1)</f>
        <v/>
      </c>
      <c r="E90" s="9">
        <f>IF(D$93=0,0,D90/D$93)</f>
        <v/>
      </c>
      <c r="F90" s="2">
        <f>COUNTIFS($I$14:$I$86,"Passed on test",$J$14:$J$86,2)</f>
        <v/>
      </c>
      <c r="G90" s="9">
        <f>IF(F$93=0,0,F90/F$93)</f>
        <v/>
      </c>
      <c r="H90" s="2">
        <f>COUNTIFS($I$14:$I$86,"Passed on test",$J$14:$J$86,3)</f>
        <v/>
      </c>
      <c r="I90" s="9">
        <f>IF(H$93=0,0,H90/H$93)</f>
        <v/>
      </c>
      <c r="J90" s="2">
        <f>COUNTIFS($I$14:$I$86,"Passed on test",$J$14:$J$86,4)</f>
        <v/>
      </c>
      <c r="K90" s="9">
        <f>IF(J$93=0,0,J90/J$93)</f>
        <v/>
      </c>
      <c r="L90" s="2">
        <f>COUNTIFS($I$14:$I$86,"Passed on test",$J$14:$J$86,5)</f>
        <v/>
      </c>
      <c r="M90" s="9">
        <f>IF(L$93=0,0,L90/L$93)</f>
        <v/>
      </c>
      <c r="N90" s="2">
        <f>COUNTIFS($I$14:$I$86,"Passed on test",$J$14:$J$86,6)</f>
        <v/>
      </c>
      <c r="O90" s="9">
        <f>IF(N$93=0,0,N90/N$93)</f>
        <v/>
      </c>
      <c r="P90" s="2">
        <f>COUNTIFS($I$14:$I$86,"Passed on test",$J$14:$J$86,7)</f>
        <v/>
      </c>
      <c r="Q90" s="9">
        <f>IF(P$93=0,0,P90/P$93)</f>
        <v/>
      </c>
      <c r="R90" s="2">
        <f>COUNTIFS($I$14:$I$86,"Passed on test",$J$14:$J$86,8)</f>
        <v/>
      </c>
      <c r="S90" s="9">
        <f>IF(R$93=0,0,R90/R$93)</f>
        <v/>
      </c>
    </row>
    <row r="91">
      <c r="A91" s="10" t="inlineStr">
        <is>
          <t>Failed on test</t>
        </is>
      </c>
      <c r="B91" s="2">
        <f>COUNTIF($I$14:$I$86,"Failed on test")</f>
        <v/>
      </c>
      <c r="C91" s="9">
        <f>IF($B$93=0,0,B91/$B$93)</f>
        <v/>
      </c>
      <c r="D91" s="2">
        <f>COUNTIFS($I$14:$I$86,"Failed on test",$J$14:$J$86,1)</f>
        <v/>
      </c>
      <c r="E91" s="9">
        <f>IF(D$93=0,0,D91/D$93)</f>
        <v/>
      </c>
      <c r="F91" s="2">
        <f>COUNTIFS($I$14:$I$86,"Failed on test",$J$14:$J$86,2)</f>
        <v/>
      </c>
      <c r="G91" s="9">
        <f>IF(F$93=0,0,F91/F$93)</f>
        <v/>
      </c>
      <c r="H91" s="2">
        <f>COUNTIFS($I$14:$I$86,"Failed on test",$J$14:$J$86,3)</f>
        <v/>
      </c>
      <c r="I91" s="9">
        <f>IF(H$93=0,0,H91/H$93)</f>
        <v/>
      </c>
      <c r="J91" s="2">
        <f>COUNTIFS($I$14:$I$86,"Failed on test",$J$14:$J$86,4)</f>
        <v/>
      </c>
      <c r="K91" s="9">
        <f>IF(J$93=0,0,J91/J$93)</f>
        <v/>
      </c>
      <c r="L91" s="2">
        <f>COUNTIFS($I$14:$I$86,"Failed on test",$J$14:$J$86,5)</f>
        <v/>
      </c>
      <c r="M91" s="9">
        <f>IF(L$93=0,0,L91/L$93)</f>
        <v/>
      </c>
      <c r="N91" s="2">
        <f>COUNTIFS($I$14:$I$86,"Failed on test",$J$14:$J$86,6)</f>
        <v/>
      </c>
      <c r="O91" s="9">
        <f>IF(N$93=0,0,N91/N$93)</f>
        <v/>
      </c>
      <c r="P91" s="2">
        <f>COUNTIFS($I$14:$I$86,"Failed on test",$J$14:$J$86,7)</f>
        <v/>
      </c>
      <c r="Q91" s="9">
        <f>IF(P$93=0,0,P91/P$93)</f>
        <v/>
      </c>
      <c r="R91" s="2">
        <f>COUNTIFS($I$14:$I$86,"Failed on test",$J$14:$J$86,8)</f>
        <v/>
      </c>
      <c r="S91" s="9">
        <f>IF(R$93=0,0,R91/R$93)</f>
        <v/>
      </c>
    </row>
    <row r="92">
      <c r="A92" s="11" t="inlineStr">
        <is>
          <t>Runtime error</t>
        </is>
      </c>
      <c r="B92" s="2">
        <f>COUNTIF($I$14:$I$86,"Runtime error")</f>
        <v/>
      </c>
      <c r="C92" s="9">
        <f>IF($B$93=0,0,B92/$B$93)</f>
        <v/>
      </c>
      <c r="D92" s="2">
        <f>COUNTIFS($I$14:$I$86,"Runtime error",$J$14:$J$86,1)</f>
        <v/>
      </c>
      <c r="E92" s="9">
        <f>IF(D$93=0,0,D92/D$93)</f>
        <v/>
      </c>
      <c r="F92" s="2">
        <f>COUNTIFS($I$14:$I$86,"Runtime error",$J$14:$J$86,2)</f>
        <v/>
      </c>
      <c r="G92" s="9">
        <f>IF(F$93=0,0,F92/F$93)</f>
        <v/>
      </c>
      <c r="H92" s="2">
        <f>COUNTIFS($I$14:$I$86,"Runtime error",$J$14:$J$86,3)</f>
        <v/>
      </c>
      <c r="I92" s="9">
        <f>IF(H$93=0,0,H92/H$93)</f>
        <v/>
      </c>
      <c r="J92" s="2">
        <f>COUNTIFS($I$14:$I$86,"Runtime error",$J$14:$J$86,4)</f>
        <v/>
      </c>
      <c r="K92" s="9">
        <f>IF(J$93=0,0,J92/J$93)</f>
        <v/>
      </c>
      <c r="L92" s="2">
        <f>COUNTIFS($I$14:$I$86,"Runtime error",$J$14:$J$86,5)</f>
        <v/>
      </c>
      <c r="M92" s="9">
        <f>IF(L$93=0,0,L92/L$93)</f>
        <v/>
      </c>
      <c r="N92" s="2">
        <f>COUNTIFS($I$14:$I$86,"Runtime error",$J$14:$J$86,6)</f>
        <v/>
      </c>
      <c r="O92" s="9">
        <f>IF(N$93=0,0,N92/N$93)</f>
        <v/>
      </c>
      <c r="P92" s="2">
        <f>COUNTIFS($I$14:$I$86,"Runtime error",$J$14:$J$86,7)</f>
        <v/>
      </c>
      <c r="Q92" s="9">
        <f>IF(P$93=0,0,P92/P$93)</f>
        <v/>
      </c>
      <c r="R92" s="2">
        <f>COUNTIFS($I$14:$I$86,"Runtime error",$J$14:$J$86,8)</f>
        <v/>
      </c>
      <c r="S92" s="9">
        <f>IF(R$93=0,0,R92/R$93)</f>
        <v/>
      </c>
    </row>
    <row r="93">
      <c r="A93" s="12" t="inlineStr">
        <is>
          <t>Total cases</t>
        </is>
      </c>
      <c r="B93" s="12">
        <f>SUM(B90:B92)</f>
        <v/>
      </c>
      <c r="C93" s="13">
        <f>SUM(C90:C92)</f>
        <v/>
      </c>
      <c r="D93" s="12">
        <f>SUM(D90:D92)</f>
        <v/>
      </c>
      <c r="E93" s="13">
        <f>SUM(E90:E92)</f>
        <v/>
      </c>
      <c r="F93" s="12">
        <f>SUM(F90:F92)</f>
        <v/>
      </c>
      <c r="G93" s="13">
        <f>SUM(G90:G92)</f>
        <v/>
      </c>
      <c r="H93" s="12">
        <f>SUM(H90:H92)</f>
        <v/>
      </c>
      <c r="I93" s="13">
        <f>SUM(I90:I92)</f>
        <v/>
      </c>
      <c r="J93" s="12">
        <f>SUM(J90:J92)</f>
        <v/>
      </c>
      <c r="K93" s="13">
        <f>SUM(K90:K92)</f>
        <v/>
      </c>
      <c r="L93" s="12">
        <f>SUM(L90:L92)</f>
        <v/>
      </c>
      <c r="M93" s="13">
        <f>SUM(M90:M92)</f>
        <v/>
      </c>
      <c r="N93" s="12">
        <f>SUM(N90:N92)</f>
        <v/>
      </c>
      <c r="O93" s="13">
        <f>SUM(O90:O92)</f>
        <v/>
      </c>
      <c r="P93" s="12">
        <f>SUM(P90:P92)</f>
        <v/>
      </c>
      <c r="Q93" s="13">
        <f>SUM(Q90:Q92)</f>
        <v/>
      </c>
      <c r="R93" s="12">
        <f>SUM(R90:R92)</f>
        <v/>
      </c>
      <c r="S93" s="13">
        <f>SUM(S90:S92)</f>
        <v/>
      </c>
    </row>
    <row r="94">
      <c r="A94" t="inlineStr">
        <is>
          <t>A case counts as "Passed on test" only if it passed on every version it was tested on, "Runtime error" if any version crashed, otherwise "Failed on test".</t>
        </is>
      </c>
    </row>
    <row r="95"/>
    <row r="96">
      <c r="A96" s="7" t="inlineStr">
        <is>
          <t>4. Cases that passed on at least one version</t>
        </is>
      </c>
    </row>
    <row r="97">
      <c r="A97" s="1" t="inlineStr">
        <is>
          <t>Measure</t>
        </is>
      </c>
      <c r="B97" s="1" t="inlineStr">
        <is>
          <t>Cases</t>
        </is>
      </c>
      <c r="C97" s="1" t="inlineStr">
        <is>
          <t>% of cases</t>
        </is>
      </c>
      <c r="D97" s="1" t="inlineStr">
        <is>
          <t>Batch 1</t>
        </is>
      </c>
      <c r="E97" s="1" t="inlineStr">
        <is>
          <t>Batch 1 %</t>
        </is>
      </c>
      <c r="F97" s="1" t="inlineStr">
        <is>
          <t>Batch 2</t>
        </is>
      </c>
      <c r="G97" s="1" t="inlineStr">
        <is>
          <t>Batch 2 %</t>
        </is>
      </c>
      <c r="H97" s="1" t="inlineStr">
        <is>
          <t>Batch 3</t>
        </is>
      </c>
      <c r="I97" s="1" t="inlineStr">
        <is>
          <t>Batch 3 %</t>
        </is>
      </c>
      <c r="J97" s="1" t="inlineStr">
        <is>
          <t>Batch 4</t>
        </is>
      </c>
      <c r="K97" s="1" t="inlineStr">
        <is>
          <t>Batch 4 %</t>
        </is>
      </c>
      <c r="L97" s="1" t="inlineStr">
        <is>
          <t>Batch 5</t>
        </is>
      </c>
      <c r="M97" s="1" t="inlineStr">
        <is>
          <t>Batch 5 %</t>
        </is>
      </c>
      <c r="N97" s="1" t="inlineStr">
        <is>
          <t>Batch 6</t>
        </is>
      </c>
      <c r="O97" s="1" t="inlineStr">
        <is>
          <t>Batch 6 %</t>
        </is>
      </c>
      <c r="P97" s="1" t="inlineStr">
        <is>
          <t>Batch 7</t>
        </is>
      </c>
      <c r="Q97" s="1" t="inlineStr">
        <is>
          <t>Batch 7 %</t>
        </is>
      </c>
      <c r="R97" s="1" t="inlineStr">
        <is>
          <t>Batch 8</t>
        </is>
      </c>
      <c r="S97" s="1" t="inlineStr">
        <is>
          <t>Batch 8 %</t>
        </is>
      </c>
    </row>
    <row r="98">
      <c r="A98" s="2" t="inlineStr">
        <is>
          <t>Passed on at least one version</t>
        </is>
      </c>
      <c r="B98" s="2">
        <f>COUNTIF($B$103:$B$175,"YES")</f>
        <v/>
      </c>
      <c r="C98" s="9">
        <f>IF(COUNTA($A$103:$A$175)=0,0,B98/COUNTA($A$103:$A$175))</f>
        <v/>
      </c>
      <c r="D98" s="2">
        <f>COUNTIFS($B$103:$B$175,"YES",$F$103:$F$175,1)</f>
        <v/>
      </c>
      <c r="E98" s="9">
        <f>IF(COUNTIF($F$103:$F$175,1)=0,0,D98/COUNTIF($F$103:$F$175,1))</f>
        <v/>
      </c>
      <c r="F98" s="2">
        <f>COUNTIFS($B$103:$B$175,"YES",$F$103:$F$175,2)</f>
        <v/>
      </c>
      <c r="G98" s="9">
        <f>IF(COUNTIF($F$103:$F$175,2)=0,0,F98/COUNTIF($F$103:$F$175,2))</f>
        <v/>
      </c>
      <c r="H98" s="2">
        <f>COUNTIFS($B$103:$B$175,"YES",$F$103:$F$175,3)</f>
        <v/>
      </c>
      <c r="I98" s="9">
        <f>IF(COUNTIF($F$103:$F$175,3)=0,0,H98/COUNTIF($F$103:$F$175,3))</f>
        <v/>
      </c>
      <c r="J98" s="2">
        <f>COUNTIFS($B$103:$B$175,"YES",$F$103:$F$175,4)</f>
        <v/>
      </c>
      <c r="K98" s="9">
        <f>IF(COUNTIF($F$103:$F$175,4)=0,0,J98/COUNTIF($F$103:$F$175,4))</f>
        <v/>
      </c>
      <c r="L98" s="2">
        <f>COUNTIFS($B$103:$B$175,"YES",$F$103:$F$175,5)</f>
        <v/>
      </c>
      <c r="M98" s="9">
        <f>IF(COUNTIF($F$103:$F$175,5)=0,0,L98/COUNTIF($F$103:$F$175,5))</f>
        <v/>
      </c>
      <c r="N98" s="2">
        <f>COUNTIFS($B$103:$B$175,"YES",$F$103:$F$175,6)</f>
        <v/>
      </c>
      <c r="O98" s="9">
        <f>IF(COUNTIF($F$103:$F$175,6)=0,0,N98/COUNTIF($F$103:$F$175,6))</f>
        <v/>
      </c>
      <c r="P98" s="2">
        <f>COUNTIFS($B$103:$B$175,"YES",$F$103:$F$175,7)</f>
        <v/>
      </c>
      <c r="Q98" s="9">
        <f>IF(COUNTIF($F$103:$F$175,7)=0,0,P98/COUNTIF($F$103:$F$175,7))</f>
        <v/>
      </c>
      <c r="R98" s="2">
        <f>COUNTIFS($B$103:$B$175,"YES",$F$103:$F$175,8)</f>
        <v/>
      </c>
      <c r="S98" s="9">
        <f>IF(COUNTIF($F$103:$F$175,8)=0,0,R98/COUNTIF($F$103:$F$175,8))</f>
        <v/>
      </c>
    </row>
    <row r="99">
      <c r="A99" s="2" t="inlineStr">
        <is>
          <t>Passed on every version (strict, as in section 3)</t>
        </is>
      </c>
      <c r="B99" s="2">
        <f>B90</f>
        <v/>
      </c>
      <c r="C99" s="9">
        <f>IF(COUNTA($A$103:$A$175)=0,0,B99/COUNTA($A$103:$A$175))</f>
        <v/>
      </c>
      <c r="D99" s="2">
        <f>D90</f>
        <v/>
      </c>
      <c r="E99" s="9">
        <f>IF(COUNTIF($F$103:$F$175,1)=0,0,D99/COUNTIF($F$103:$F$175,1))</f>
        <v/>
      </c>
      <c r="F99" s="2">
        <f>F90</f>
        <v/>
      </c>
      <c r="G99" s="9">
        <f>IF(COUNTIF($F$103:$F$175,2)=0,0,F99/COUNTIF($F$103:$F$175,2))</f>
        <v/>
      </c>
      <c r="H99" s="2">
        <f>H90</f>
        <v/>
      </c>
      <c r="I99" s="9">
        <f>IF(COUNTIF($F$103:$F$175,3)=0,0,H99/COUNTIF($F$103:$F$175,3))</f>
        <v/>
      </c>
      <c r="J99" s="2">
        <f>J90</f>
        <v/>
      </c>
      <c r="K99" s="9">
        <f>IF(COUNTIF($F$103:$F$175,4)=0,0,J99/COUNTIF($F$103:$F$175,4))</f>
        <v/>
      </c>
      <c r="L99" s="2">
        <f>L90</f>
        <v/>
      </c>
      <c r="M99" s="9">
        <f>IF(COUNTIF($F$103:$F$175,5)=0,0,L99/COUNTIF($F$103:$F$175,5))</f>
        <v/>
      </c>
      <c r="N99" s="2">
        <f>N90</f>
        <v/>
      </c>
      <c r="O99" s="9">
        <f>IF(COUNTIF($F$103:$F$175,6)=0,0,N99/COUNTIF($F$103:$F$175,6))</f>
        <v/>
      </c>
      <c r="P99" s="2">
        <f>P90</f>
        <v/>
      </c>
      <c r="Q99" s="9">
        <f>IF(COUNTIF($F$103:$F$175,7)=0,0,P99/COUNTIF($F$103:$F$175,7))</f>
        <v/>
      </c>
      <c r="R99" s="2">
        <f>R90</f>
        <v/>
      </c>
      <c r="S99" s="9">
        <f>IF(COUNTIF($F$103:$F$175,8)=0,0,R99/COUNTIF($F$103:$F$175,8))</f>
        <v/>
      </c>
    </row>
    <row r="100">
      <c r="A100" s="2" t="inlineStr">
        <is>
          <t>Passed on some but not all versions</t>
        </is>
      </c>
      <c r="B100" s="2">
        <f>B98-B99</f>
        <v/>
      </c>
      <c r="C100" s="9">
        <f>IF(COUNTA($A$103:$A$175)=0,0,B100/COUNTA($A$103:$A$175))</f>
        <v/>
      </c>
      <c r="D100" s="2">
        <f>D98-D99</f>
        <v/>
      </c>
      <c r="E100" s="9">
        <f>IF(COUNTIF($F$103:$F$175,1)=0,0,D100/COUNTIF($F$103:$F$175,1))</f>
        <v/>
      </c>
      <c r="F100" s="2">
        <f>F98-F99</f>
        <v/>
      </c>
      <c r="G100" s="9">
        <f>IF(COUNTIF($F$103:$F$175,2)=0,0,F100/COUNTIF($F$103:$F$175,2))</f>
        <v/>
      </c>
      <c r="H100" s="2">
        <f>H98-H99</f>
        <v/>
      </c>
      <c r="I100" s="9">
        <f>IF(COUNTIF($F$103:$F$175,3)=0,0,H100/COUNTIF($F$103:$F$175,3))</f>
        <v/>
      </c>
      <c r="J100" s="2">
        <f>J98-J99</f>
        <v/>
      </c>
      <c r="K100" s="9">
        <f>IF(COUNTIF($F$103:$F$175,4)=0,0,J100/COUNTIF($F$103:$F$175,4))</f>
        <v/>
      </c>
      <c r="L100" s="2">
        <f>L98-L99</f>
        <v/>
      </c>
      <c r="M100" s="9">
        <f>IF(COUNTIF($F$103:$F$175,5)=0,0,L100/COUNTIF($F$103:$F$175,5))</f>
        <v/>
      </c>
      <c r="N100" s="2">
        <f>N98-N99</f>
        <v/>
      </c>
      <c r="O100" s="9">
        <f>IF(COUNTIF($F$103:$F$175,6)=0,0,N100/COUNTIF($F$103:$F$175,6))</f>
        <v/>
      </c>
      <c r="P100" s="2">
        <f>P98-P99</f>
        <v/>
      </c>
      <c r="Q100" s="9">
        <f>IF(COUNTIF($F$103:$F$175,7)=0,0,P100/COUNTIF($F$103:$F$175,7))</f>
        <v/>
      </c>
      <c r="R100" s="2">
        <f>R98-R99</f>
        <v/>
      </c>
      <c r="S100" s="9">
        <f>IF(COUNTIF($F$103:$F$175,8)=0,0,R100/COUNTIF($F$103:$F$175,8))</f>
        <v/>
      </c>
    </row>
    <row r="101">
      <c r="A101" s="2" t="inlineStr">
        <is>
          <t>Passed on no version</t>
        </is>
      </c>
      <c r="B101" s="2">
        <f>COUNTIF($B$103:$B$175,"NO")</f>
        <v/>
      </c>
      <c r="C101" s="9">
        <f>IF(COUNTA($A$103:$A$175)=0,0,B101/COUNTA($A$103:$A$175))</f>
        <v/>
      </c>
      <c r="D101" s="2">
        <f>COUNTIFS($B$103:$B$175,"NO",$F$103:$F$175,1)</f>
        <v/>
      </c>
      <c r="E101" s="9">
        <f>IF(COUNTIF($F$103:$F$175,1)=0,0,D101/COUNTIF($F$103:$F$175,1))</f>
        <v/>
      </c>
      <c r="F101" s="2">
        <f>COUNTIFS($B$103:$B$175,"NO",$F$103:$F$175,2)</f>
        <v/>
      </c>
      <c r="G101" s="9">
        <f>IF(COUNTIF($F$103:$F$175,2)=0,0,F101/COUNTIF($F$103:$F$175,2))</f>
        <v/>
      </c>
      <c r="H101" s="2">
        <f>COUNTIFS($B$103:$B$175,"NO",$F$103:$F$175,3)</f>
        <v/>
      </c>
      <c r="I101" s="9">
        <f>IF(COUNTIF($F$103:$F$175,3)=0,0,H101/COUNTIF($F$103:$F$175,3))</f>
        <v/>
      </c>
      <c r="J101" s="2">
        <f>COUNTIFS($B$103:$B$175,"NO",$F$103:$F$175,4)</f>
        <v/>
      </c>
      <c r="K101" s="9">
        <f>IF(COUNTIF($F$103:$F$175,4)=0,0,J101/COUNTIF($F$103:$F$175,4))</f>
        <v/>
      </c>
      <c r="L101" s="2">
        <f>COUNTIFS($B$103:$B$175,"NO",$F$103:$F$175,5)</f>
        <v/>
      </c>
      <c r="M101" s="9">
        <f>IF(COUNTIF($F$103:$F$175,5)=0,0,L101/COUNTIF($F$103:$F$175,5))</f>
        <v/>
      </c>
      <c r="N101" s="2">
        <f>COUNTIFS($B$103:$B$175,"NO",$F$103:$F$175,6)</f>
        <v/>
      </c>
      <c r="O101" s="9">
        <f>IF(COUNTIF($F$103:$F$175,6)=0,0,N101/COUNTIF($F$103:$F$175,6))</f>
        <v/>
      </c>
      <c r="P101" s="2">
        <f>COUNTIFS($B$103:$B$175,"NO",$F$103:$F$175,7)</f>
        <v/>
      </c>
      <c r="Q101" s="9">
        <f>IF(COUNTIF($F$103:$F$175,7)=0,0,P101/COUNTIF($F$103:$F$175,7))</f>
        <v/>
      </c>
      <c r="R101" s="2">
        <f>COUNTIFS($B$103:$B$175,"NO",$F$103:$F$175,8)</f>
        <v/>
      </c>
      <c r="S101" s="9">
        <f>IF(COUNTIF($F$103:$F$175,8)=0,0,R101/COUNTIF($F$103:$F$175,8))</f>
        <v/>
      </c>
    </row>
    <row r="102">
      <c r="A102" s="1" t="inlineStr">
        <is>
          <t>Case</t>
        </is>
      </c>
      <c r="B102" s="1" t="inlineStr">
        <is>
          <t>Passed on ≥1 version?</t>
        </is>
      </c>
      <c r="C102" s="1" t="inlineStr">
        <is>
          <t>Versions it passed on</t>
        </is>
      </c>
      <c r="D102" s="1" t="inlineStr">
        <is>
          <t># passed</t>
        </is>
      </c>
      <c r="E102" s="1" t="inlineStr">
        <is>
          <t># tested</t>
        </is>
      </c>
      <c r="F102" s="1" t="inlineStr">
        <is>
          <t>Batch</t>
        </is>
      </c>
    </row>
    <row r="103">
      <c r="A103" s="2">
        <f>Summary!A2</f>
        <v/>
      </c>
      <c r="B103" s="2">
        <f>IF(C14&gt;0,"YES","NO")</f>
        <v/>
      </c>
      <c r="C103" s="14">
        <f t="array" ref="C103">IF(C14=0,"-",_xlfn.TEXTJOIN(", ",TRUE,IF(Summary!$B$2:$AB$2="Passed on test",Summary!$B$1:$AB$1,"")))</f>
        <v/>
      </c>
      <c r="D103" s="2">
        <f>C14</f>
        <v/>
      </c>
      <c r="E103" s="2">
        <f>B14</f>
        <v/>
      </c>
      <c r="F103" s="2" t="n">
        <v>1</v>
      </c>
    </row>
    <row r="104">
      <c r="A104" s="2">
        <f>Summary!A3</f>
        <v/>
      </c>
      <c r="B104" s="2">
        <f>IF(C15&gt;0,"YES","NO")</f>
        <v/>
      </c>
      <c r="C104" s="14">
        <f t="array" ref="C104">IF(C15=0,"-",_xlfn.TEXTJOIN(", ",TRUE,IF(Summary!$B$3:$AB$3="Passed on test",Summary!$B$1:$AB$1,"")))</f>
        <v/>
      </c>
      <c r="D104" s="2">
        <f>C15</f>
        <v/>
      </c>
      <c r="E104" s="2">
        <f>B15</f>
        <v/>
      </c>
      <c r="F104" s="2" t="n">
        <v>1</v>
      </c>
    </row>
    <row r="105">
      <c r="A105" s="2">
        <f>Summary!A4</f>
        <v/>
      </c>
      <c r="B105" s="2">
        <f>IF(C16&gt;0,"YES","NO")</f>
        <v/>
      </c>
      <c r="C105" s="14">
        <f t="array" ref="C105">IF(C16=0,"-",_xlfn.TEXTJOIN(", ",TRUE,IF(Summary!$B$4:$AB$4="Passed on test",Summary!$B$1:$AB$1,"")))</f>
        <v/>
      </c>
      <c r="D105" s="2">
        <f>C16</f>
        <v/>
      </c>
      <c r="E105" s="2">
        <f>B16</f>
        <v/>
      </c>
      <c r="F105" s="2" t="n">
        <v>1</v>
      </c>
    </row>
    <row r="106">
      <c r="A106" s="2">
        <f>Summary!A5</f>
        <v/>
      </c>
      <c r="B106" s="2">
        <f>IF(C17&gt;0,"YES","NO")</f>
        <v/>
      </c>
      <c r="C106" s="14">
        <f t="array" ref="C106">IF(C17=0,"-",_xlfn.TEXTJOIN(", ",TRUE,IF(Summary!$B$5:$AB$5="Passed on test",Summary!$B$1:$AB$1,"")))</f>
        <v/>
      </c>
      <c r="D106" s="2">
        <f>C17</f>
        <v/>
      </c>
      <c r="E106" s="2">
        <f>B17</f>
        <v/>
      </c>
      <c r="F106" s="2" t="n">
        <v>1</v>
      </c>
    </row>
    <row r="107">
      <c r="A107" s="2">
        <f>Summary!A6</f>
        <v/>
      </c>
      <c r="B107" s="2">
        <f>IF(C18&gt;0,"YES","NO")</f>
        <v/>
      </c>
      <c r="C107" s="14">
        <f t="array" ref="C107">IF(C18=0,"-",_xlfn.TEXTJOIN(", ",TRUE,IF(Summary!$B$6:$AB$6="Passed on test",Summary!$B$1:$AB$1,"")))</f>
        <v/>
      </c>
      <c r="D107" s="2">
        <f>C18</f>
        <v/>
      </c>
      <c r="E107" s="2">
        <f>B18</f>
        <v/>
      </c>
      <c r="F107" s="2" t="n">
        <v>1</v>
      </c>
    </row>
    <row r="108">
      <c r="A108" s="2">
        <f>Summary!A7</f>
        <v/>
      </c>
      <c r="B108" s="2">
        <f>IF(C19&gt;0,"YES","NO")</f>
        <v/>
      </c>
      <c r="C108" s="14">
        <f t="array" ref="C108">IF(C19=0,"-",_xlfn.TEXTJOIN(", ",TRUE,IF(Summary!$B$7:$AB$7="Passed on test",Summary!$B$1:$AB$1,"")))</f>
        <v/>
      </c>
      <c r="D108" s="2">
        <f>C19</f>
        <v/>
      </c>
      <c r="E108" s="2">
        <f>B19</f>
        <v/>
      </c>
      <c r="F108" s="2" t="n">
        <v>1</v>
      </c>
    </row>
    <row r="109">
      <c r="A109" s="2">
        <f>Summary!A8</f>
        <v/>
      </c>
      <c r="B109" s="2">
        <f>IF(C20&gt;0,"YES","NO")</f>
        <v/>
      </c>
      <c r="C109" s="14">
        <f t="array" ref="C109">IF(C20=0,"-",_xlfn.TEXTJOIN(", ",TRUE,IF(Summary!$B$8:$AB$8="Passed on test",Summary!$B$1:$AB$1,"")))</f>
        <v/>
      </c>
      <c r="D109" s="2">
        <f>C20</f>
        <v/>
      </c>
      <c r="E109" s="2">
        <f>B20</f>
        <v/>
      </c>
      <c r="F109" s="2" t="n">
        <v>1</v>
      </c>
    </row>
    <row r="110">
      <c r="A110" s="2">
        <f>Summary!A9</f>
        <v/>
      </c>
      <c r="B110" s="2">
        <f>IF(C21&gt;0,"YES","NO")</f>
        <v/>
      </c>
      <c r="C110" s="14">
        <f t="array" ref="C110">IF(C21=0,"-",_xlfn.TEXTJOIN(", ",TRUE,IF(Summary!$B$9:$AB$9="Passed on test",Summary!$B$1:$AB$1,"")))</f>
        <v/>
      </c>
      <c r="D110" s="2">
        <f>C21</f>
        <v/>
      </c>
      <c r="E110" s="2">
        <f>B21</f>
        <v/>
      </c>
      <c r="F110" s="2" t="n">
        <v>1</v>
      </c>
    </row>
    <row r="111">
      <c r="A111" s="2">
        <f>Summary!A10</f>
        <v/>
      </c>
      <c r="B111" s="2">
        <f>IF(C22&gt;0,"YES","NO")</f>
        <v/>
      </c>
      <c r="C111" s="14">
        <f t="array" ref="C111">IF(C22=0,"-",_xlfn.TEXTJOIN(", ",TRUE,IF(Summary!$B$10:$AB$10="Passed on test",Summary!$B$1:$AB$1,"")))</f>
        <v/>
      </c>
      <c r="D111" s="2">
        <f>C22</f>
        <v/>
      </c>
      <c r="E111" s="2">
        <f>B22</f>
        <v/>
      </c>
      <c r="F111" s="2" t="n">
        <v>1</v>
      </c>
    </row>
    <row r="112">
      <c r="A112" s="2">
        <f>Summary!A11</f>
        <v/>
      </c>
      <c r="B112" s="2">
        <f>IF(C23&gt;0,"YES","NO")</f>
        <v/>
      </c>
      <c r="C112" s="14">
        <f t="array" ref="C112">IF(C23=0,"-",_xlfn.TEXTJOIN(", ",TRUE,IF(Summary!$B$11:$AB$11="Passed on test",Summary!$B$1:$AB$1,"")))</f>
        <v/>
      </c>
      <c r="D112" s="2">
        <f>C23</f>
        <v/>
      </c>
      <c r="E112" s="2">
        <f>B23</f>
        <v/>
      </c>
      <c r="F112" s="2" t="n">
        <v>1</v>
      </c>
    </row>
    <row r="113">
      <c r="A113" s="2">
        <f>Summary!A12</f>
        <v/>
      </c>
      <c r="B113" s="2">
        <f>IF(C24&gt;0,"YES","NO")</f>
        <v/>
      </c>
      <c r="C113" s="14">
        <f t="array" ref="C113">IF(C24=0,"-",_xlfn.TEXTJOIN(", ",TRUE,IF(Summary!$B$12:$AB$12="Passed on test",Summary!$B$1:$AB$1,"")))</f>
        <v/>
      </c>
      <c r="D113" s="2">
        <f>C24</f>
        <v/>
      </c>
      <c r="E113" s="2">
        <f>B24</f>
        <v/>
      </c>
      <c r="F113" s="2" t="n">
        <v>2</v>
      </c>
    </row>
    <row r="114">
      <c r="A114" s="2">
        <f>Summary!A13</f>
        <v/>
      </c>
      <c r="B114" s="2">
        <f>IF(C25&gt;0,"YES","NO")</f>
        <v/>
      </c>
      <c r="C114" s="14">
        <f t="array" ref="C114">IF(C25=0,"-",_xlfn.TEXTJOIN(", ",TRUE,IF(Summary!$B$13:$AB$13="Passed on test",Summary!$B$1:$AB$1,"")))</f>
        <v/>
      </c>
      <c r="D114" s="2">
        <f>C25</f>
        <v/>
      </c>
      <c r="E114" s="2">
        <f>B25</f>
        <v/>
      </c>
      <c r="F114" s="2" t="n">
        <v>2</v>
      </c>
    </row>
    <row r="115">
      <c r="A115" s="2">
        <f>Summary!A14</f>
        <v/>
      </c>
      <c r="B115" s="2">
        <f>IF(C26&gt;0,"YES","NO")</f>
        <v/>
      </c>
      <c r="C115" s="14">
        <f t="array" ref="C115">IF(C26=0,"-",_xlfn.TEXTJOIN(", ",TRUE,IF(Summary!$B$14:$AB$14="Passed on test",Summary!$B$1:$AB$1,"")))</f>
        <v/>
      </c>
      <c r="D115" s="2">
        <f>C26</f>
        <v/>
      </c>
      <c r="E115" s="2">
        <f>B26</f>
        <v/>
      </c>
      <c r="F115" s="2" t="n">
        <v>2</v>
      </c>
    </row>
    <row r="116">
      <c r="A116" s="2">
        <f>Summary!A15</f>
        <v/>
      </c>
      <c r="B116" s="2">
        <f>IF(C27&gt;0,"YES","NO")</f>
        <v/>
      </c>
      <c r="C116" s="14">
        <f t="array" ref="C116">IF(C27=0,"-",_xlfn.TEXTJOIN(", ",TRUE,IF(Summary!$B$15:$AB$15="Passed on test",Summary!$B$1:$AB$1,"")))</f>
        <v/>
      </c>
      <c r="D116" s="2">
        <f>C27</f>
        <v/>
      </c>
      <c r="E116" s="2">
        <f>B27</f>
        <v/>
      </c>
      <c r="F116" s="2" t="n">
        <v>2</v>
      </c>
    </row>
    <row r="117">
      <c r="A117" s="2">
        <f>Summary!A16</f>
        <v/>
      </c>
      <c r="B117" s="2">
        <f>IF(C28&gt;0,"YES","NO")</f>
        <v/>
      </c>
      <c r="C117" s="14">
        <f t="array" ref="C117">IF(C28=0,"-",_xlfn.TEXTJOIN(", ",TRUE,IF(Summary!$B$16:$AB$16="Passed on test",Summary!$B$1:$AB$1,"")))</f>
        <v/>
      </c>
      <c r="D117" s="2">
        <f>C28</f>
        <v/>
      </c>
      <c r="E117" s="2">
        <f>B28</f>
        <v/>
      </c>
      <c r="F117" s="2" t="n">
        <v>2</v>
      </c>
    </row>
    <row r="118">
      <c r="A118" s="2">
        <f>Summary!A17</f>
        <v/>
      </c>
      <c r="B118" s="2">
        <f>IF(C29&gt;0,"YES","NO")</f>
        <v/>
      </c>
      <c r="C118" s="14">
        <f t="array" ref="C118">IF(C29=0,"-",_xlfn.TEXTJOIN(", ",TRUE,IF(Summary!$B$17:$AB$17="Passed on test",Summary!$B$1:$AB$1,"")))</f>
        <v/>
      </c>
      <c r="D118" s="2">
        <f>C29</f>
        <v/>
      </c>
      <c r="E118" s="2">
        <f>B29</f>
        <v/>
      </c>
      <c r="F118" s="2" t="n">
        <v>2</v>
      </c>
    </row>
    <row r="119">
      <c r="A119" s="2">
        <f>Summary!A18</f>
        <v/>
      </c>
      <c r="B119" s="2">
        <f>IF(C30&gt;0,"YES","NO")</f>
        <v/>
      </c>
      <c r="C119" s="14">
        <f t="array" ref="C119">IF(C30=0,"-",_xlfn.TEXTJOIN(", ",TRUE,IF(Summary!$B$18:$AB$18="Passed on test",Summary!$B$1:$AB$1,"")))</f>
        <v/>
      </c>
      <c r="D119" s="2">
        <f>C30</f>
        <v/>
      </c>
      <c r="E119" s="2">
        <f>B30</f>
        <v/>
      </c>
      <c r="F119" s="2" t="n">
        <v>2</v>
      </c>
    </row>
    <row r="120">
      <c r="A120" s="2">
        <f>Summary!A19</f>
        <v/>
      </c>
      <c r="B120" s="2">
        <f>IF(C31&gt;0,"YES","NO")</f>
        <v/>
      </c>
      <c r="C120" s="14">
        <f t="array" ref="C120">IF(C31=0,"-",_xlfn.TEXTJOIN(", ",TRUE,IF(Summary!$B$19:$AB$19="Passed on test",Summary!$B$1:$AB$1,"")))</f>
        <v/>
      </c>
      <c r="D120" s="2">
        <f>C31</f>
        <v/>
      </c>
      <c r="E120" s="2">
        <f>B31</f>
        <v/>
      </c>
      <c r="F120" s="2" t="n">
        <v>2</v>
      </c>
    </row>
    <row r="121">
      <c r="A121" s="2">
        <f>Summary!A20</f>
        <v/>
      </c>
      <c r="B121" s="2">
        <f>IF(C32&gt;0,"YES","NO")</f>
        <v/>
      </c>
      <c r="C121" s="14">
        <f t="array" ref="C121">IF(C32=0,"-",_xlfn.TEXTJOIN(", ",TRUE,IF(Summary!$B$20:$AB$20="Passed on test",Summary!$B$1:$AB$1,"")))</f>
        <v/>
      </c>
      <c r="D121" s="2">
        <f>C32</f>
        <v/>
      </c>
      <c r="E121" s="2">
        <f>B32</f>
        <v/>
      </c>
      <c r="F121" s="2" t="n">
        <v>2</v>
      </c>
    </row>
    <row r="122">
      <c r="A122" s="2">
        <f>Summary!A21</f>
        <v/>
      </c>
      <c r="B122" s="2">
        <f>IF(C33&gt;0,"YES","NO")</f>
        <v/>
      </c>
      <c r="C122" s="14">
        <f t="array" ref="C122">IF(C33=0,"-",_xlfn.TEXTJOIN(", ",TRUE,IF(Summary!$B$21:$AB$21="Passed on test",Summary!$B$1:$AB$1,"")))</f>
        <v/>
      </c>
      <c r="D122" s="2">
        <f>C33</f>
        <v/>
      </c>
      <c r="E122" s="2">
        <f>B33</f>
        <v/>
      </c>
      <c r="F122" s="2" t="n">
        <v>2</v>
      </c>
    </row>
    <row r="123">
      <c r="A123" s="2">
        <f>Summary!A22</f>
        <v/>
      </c>
      <c r="B123" s="2">
        <f>IF(C34&gt;0,"YES","NO")</f>
        <v/>
      </c>
      <c r="C123" s="14">
        <f t="array" ref="C123">IF(C34=0,"-",_xlfn.TEXTJOIN(", ",TRUE,IF(Summary!$B$22:$AB$22="Passed on test",Summary!$B$1:$AB$1,"")))</f>
        <v/>
      </c>
      <c r="D123" s="2">
        <f>C34</f>
        <v/>
      </c>
      <c r="E123" s="2">
        <f>B34</f>
        <v/>
      </c>
      <c r="F123" s="2" t="n">
        <v>3</v>
      </c>
    </row>
    <row r="124">
      <c r="A124" s="2">
        <f>Summary!A23</f>
        <v/>
      </c>
      <c r="B124" s="2">
        <f>IF(C35&gt;0,"YES","NO")</f>
        <v/>
      </c>
      <c r="C124" s="14">
        <f t="array" ref="C124">IF(C35=0,"-",_xlfn.TEXTJOIN(", ",TRUE,IF(Summary!$B$23:$AB$23="Passed on test",Summary!$B$1:$AB$1,"")))</f>
        <v/>
      </c>
      <c r="D124" s="2">
        <f>C35</f>
        <v/>
      </c>
      <c r="E124" s="2">
        <f>B35</f>
        <v/>
      </c>
      <c r="F124" s="2" t="n">
        <v>3</v>
      </c>
    </row>
    <row r="125">
      <c r="A125" s="2">
        <f>Summary!A24</f>
        <v/>
      </c>
      <c r="B125" s="2">
        <f>IF(C36&gt;0,"YES","NO")</f>
        <v/>
      </c>
      <c r="C125" s="14">
        <f t="array" ref="C125">IF(C36=0,"-",_xlfn.TEXTJOIN(", ",TRUE,IF(Summary!$B$24:$AB$24="Passed on test",Summary!$B$1:$AB$1,"")))</f>
        <v/>
      </c>
      <c r="D125" s="2">
        <f>C36</f>
        <v/>
      </c>
      <c r="E125" s="2">
        <f>B36</f>
        <v/>
      </c>
      <c r="F125" s="2" t="n">
        <v>3</v>
      </c>
    </row>
    <row r="126">
      <c r="A126" s="2">
        <f>Summary!A25</f>
        <v/>
      </c>
      <c r="B126" s="2">
        <f>IF(C37&gt;0,"YES","NO")</f>
        <v/>
      </c>
      <c r="C126" s="14">
        <f t="array" ref="C126">IF(C37=0,"-",_xlfn.TEXTJOIN(", ",TRUE,IF(Summary!$B$25:$AB$25="Passed on test",Summary!$B$1:$AB$1,"")))</f>
        <v/>
      </c>
      <c r="D126" s="2">
        <f>C37</f>
        <v/>
      </c>
      <c r="E126" s="2">
        <f>B37</f>
        <v/>
      </c>
      <c r="F126" s="2" t="n">
        <v>3</v>
      </c>
    </row>
    <row r="127">
      <c r="A127" s="2">
        <f>Summary!A26</f>
        <v/>
      </c>
      <c r="B127" s="2">
        <f>IF(C38&gt;0,"YES","NO")</f>
        <v/>
      </c>
      <c r="C127" s="14">
        <f t="array" ref="C127">IF(C38=0,"-",_xlfn.TEXTJOIN(", ",TRUE,IF(Summary!$B$26:$AB$26="Passed on test",Summary!$B$1:$AB$1,"")))</f>
        <v/>
      </c>
      <c r="D127" s="2">
        <f>C38</f>
        <v/>
      </c>
      <c r="E127" s="2">
        <f>B38</f>
        <v/>
      </c>
      <c r="F127" s="2" t="n">
        <v>3</v>
      </c>
    </row>
    <row r="128">
      <c r="A128" s="2">
        <f>Summary!A27</f>
        <v/>
      </c>
      <c r="B128" s="2">
        <f>IF(C39&gt;0,"YES","NO")</f>
        <v/>
      </c>
      <c r="C128" s="14">
        <f t="array" ref="C128">IF(C39=0,"-",_xlfn.TEXTJOIN(", ",TRUE,IF(Summary!$B$27:$AB$27="Passed on test",Summary!$B$1:$AB$1,"")))</f>
        <v/>
      </c>
      <c r="D128" s="2">
        <f>C39</f>
        <v/>
      </c>
      <c r="E128" s="2">
        <f>B39</f>
        <v/>
      </c>
      <c r="F128" s="2" t="n">
        <v>3</v>
      </c>
    </row>
    <row r="129">
      <c r="A129" s="2">
        <f>Summary!A28</f>
        <v/>
      </c>
      <c r="B129" s="2">
        <f>IF(C40&gt;0,"YES","NO")</f>
        <v/>
      </c>
      <c r="C129" s="14">
        <f t="array" ref="C129">IF(C40=0,"-",_xlfn.TEXTJOIN(", ",TRUE,IF(Summary!$B$28:$AB$28="Passed on test",Summary!$B$1:$AB$1,"")))</f>
        <v/>
      </c>
      <c r="D129" s="2">
        <f>C40</f>
        <v/>
      </c>
      <c r="E129" s="2">
        <f>B40</f>
        <v/>
      </c>
      <c r="F129" s="2" t="n">
        <v>3</v>
      </c>
    </row>
    <row r="130">
      <c r="A130" s="2">
        <f>Summary!A29</f>
        <v/>
      </c>
      <c r="B130" s="2">
        <f>IF(C41&gt;0,"YES","NO")</f>
        <v/>
      </c>
      <c r="C130" s="14">
        <f t="array" ref="C130">IF(C41=0,"-",_xlfn.TEXTJOIN(", ",TRUE,IF(Summary!$B$29:$AB$29="Passed on test",Summary!$B$1:$AB$1,"")))</f>
        <v/>
      </c>
      <c r="D130" s="2">
        <f>C41</f>
        <v/>
      </c>
      <c r="E130" s="2">
        <f>B41</f>
        <v/>
      </c>
      <c r="F130" s="2" t="n">
        <v>3</v>
      </c>
    </row>
    <row r="131">
      <c r="A131" s="2">
        <f>Summary!A30</f>
        <v/>
      </c>
      <c r="B131" s="2">
        <f>IF(C42&gt;0,"YES","NO")</f>
        <v/>
      </c>
      <c r="C131" s="14">
        <f t="array" ref="C131">IF(C42=0,"-",_xlfn.TEXTJOIN(", ",TRUE,IF(Summary!$B$30:$AB$30="Passed on test",Summary!$B$1:$AB$1,"")))</f>
        <v/>
      </c>
      <c r="D131" s="2">
        <f>C42</f>
        <v/>
      </c>
      <c r="E131" s="2">
        <f>B42</f>
        <v/>
      </c>
      <c r="F131" s="2" t="n">
        <v>3</v>
      </c>
    </row>
    <row r="132">
      <c r="A132" s="2">
        <f>Summary!A31</f>
        <v/>
      </c>
      <c r="B132" s="2">
        <f>IF(C43&gt;0,"YES","NO")</f>
        <v/>
      </c>
      <c r="C132" s="14">
        <f t="array" ref="C132">IF(C43=0,"-",_xlfn.TEXTJOIN(", ",TRUE,IF(Summary!$B$31:$AB$31="Passed on test",Summary!$B$1:$AB$1,"")))</f>
        <v/>
      </c>
      <c r="D132" s="2">
        <f>C43</f>
        <v/>
      </c>
      <c r="E132" s="2">
        <f>B43</f>
        <v/>
      </c>
      <c r="F132" s="2" t="n">
        <v>3</v>
      </c>
    </row>
    <row r="133">
      <c r="A133" s="2">
        <f>Summary!A32</f>
        <v/>
      </c>
      <c r="B133" s="2">
        <f>IF(C44&gt;0,"YES","NO")</f>
        <v/>
      </c>
      <c r="C133" s="14">
        <f t="array" ref="C133">IF(C44=0,"-",_xlfn.TEXTJOIN(", ",TRUE,IF(Summary!$B$32:$AB$32="Passed on test",Summary!$B$1:$AB$1,"")))</f>
        <v/>
      </c>
      <c r="D133" s="2">
        <f>C44</f>
        <v/>
      </c>
      <c r="E133" s="2">
        <f>B44</f>
        <v/>
      </c>
      <c r="F133" s="2" t="n">
        <v>4</v>
      </c>
    </row>
    <row r="134">
      <c r="A134" s="2">
        <f>Summary!A33</f>
        <v/>
      </c>
      <c r="B134" s="2">
        <f>IF(C45&gt;0,"YES","NO")</f>
        <v/>
      </c>
      <c r="C134" s="14">
        <f t="array" ref="C134">IF(C45=0,"-",_xlfn.TEXTJOIN(", ",TRUE,IF(Summary!$B$33:$AB$33="Passed on test",Summary!$B$1:$AB$1,"")))</f>
        <v/>
      </c>
      <c r="D134" s="2">
        <f>C45</f>
        <v/>
      </c>
      <c r="E134" s="2">
        <f>B45</f>
        <v/>
      </c>
      <c r="F134" s="2" t="n">
        <v>4</v>
      </c>
    </row>
    <row r="135">
      <c r="A135" s="2">
        <f>Summary!A34</f>
        <v/>
      </c>
      <c r="B135" s="2">
        <f>IF(C46&gt;0,"YES","NO")</f>
        <v/>
      </c>
      <c r="C135" s="14">
        <f t="array" ref="C135">IF(C46=0,"-",_xlfn.TEXTJOIN(", ",TRUE,IF(Summary!$B$34:$AB$34="Passed on test",Summary!$B$1:$AB$1,"")))</f>
        <v/>
      </c>
      <c r="D135" s="2">
        <f>C46</f>
        <v/>
      </c>
      <c r="E135" s="2">
        <f>B46</f>
        <v/>
      </c>
      <c r="F135" s="2" t="n">
        <v>4</v>
      </c>
    </row>
    <row r="136">
      <c r="A136" s="2">
        <f>Summary!A35</f>
        <v/>
      </c>
      <c r="B136" s="2">
        <f>IF(C47&gt;0,"YES","NO")</f>
        <v/>
      </c>
      <c r="C136" s="14">
        <f t="array" ref="C136">IF(C47=0,"-",_xlfn.TEXTJOIN(", ",TRUE,IF(Summary!$B$35:$AB$35="Passed on test",Summary!$B$1:$AB$1,"")))</f>
        <v/>
      </c>
      <c r="D136" s="2">
        <f>C47</f>
        <v/>
      </c>
      <c r="E136" s="2">
        <f>B47</f>
        <v/>
      </c>
      <c r="F136" s="2" t="n">
        <v>4</v>
      </c>
    </row>
    <row r="137">
      <c r="A137" s="2">
        <f>Summary!A36</f>
        <v/>
      </c>
      <c r="B137" s="2">
        <f>IF(C48&gt;0,"YES","NO")</f>
        <v/>
      </c>
      <c r="C137" s="14">
        <f t="array" ref="C137">IF(C48=0,"-",_xlfn.TEXTJOIN(", ",TRUE,IF(Summary!$B$36:$AB$36="Passed on test",Summary!$B$1:$AB$1,"")))</f>
        <v/>
      </c>
      <c r="D137" s="2">
        <f>C48</f>
        <v/>
      </c>
      <c r="E137" s="2">
        <f>B48</f>
        <v/>
      </c>
      <c r="F137" s="2" t="n">
        <v>4</v>
      </c>
    </row>
    <row r="138">
      <c r="A138" s="2">
        <f>Summary!A37</f>
        <v/>
      </c>
      <c r="B138" s="2">
        <f>IF(C49&gt;0,"YES","NO")</f>
        <v/>
      </c>
      <c r="C138" s="14">
        <f t="array" ref="C138">IF(C49=0,"-",_xlfn.TEXTJOIN(", ",TRUE,IF(Summary!$B$37:$AB$37="Passed on test",Summary!$B$1:$AB$1,"")))</f>
        <v/>
      </c>
      <c r="D138" s="2">
        <f>C49</f>
        <v/>
      </c>
      <c r="E138" s="2">
        <f>B49</f>
        <v/>
      </c>
      <c r="F138" s="2" t="n">
        <v>4</v>
      </c>
    </row>
    <row r="139">
      <c r="A139" s="2">
        <f>Summary!A38</f>
        <v/>
      </c>
      <c r="B139" s="2">
        <f>IF(C50&gt;0,"YES","NO")</f>
        <v/>
      </c>
      <c r="C139" s="14">
        <f t="array" ref="C139">IF(C50=0,"-",_xlfn.TEXTJOIN(", ",TRUE,IF(Summary!$B$38:$AB$38="Passed on test",Summary!$B$1:$AB$1,"")))</f>
        <v/>
      </c>
      <c r="D139" s="2">
        <f>C50</f>
        <v/>
      </c>
      <c r="E139" s="2">
        <f>B50</f>
        <v/>
      </c>
      <c r="F139" s="2" t="n">
        <v>4</v>
      </c>
    </row>
    <row r="140">
      <c r="A140" s="2">
        <f>Summary!A39</f>
        <v/>
      </c>
      <c r="B140" s="2">
        <f>IF(C51&gt;0,"YES","NO")</f>
        <v/>
      </c>
      <c r="C140" s="14">
        <f t="array" ref="C140">IF(C51=0,"-",_xlfn.TEXTJOIN(", ",TRUE,IF(Summary!$B$39:$AB$39="Passed on test",Summary!$B$1:$AB$1,"")))</f>
        <v/>
      </c>
      <c r="D140" s="2">
        <f>C51</f>
        <v/>
      </c>
      <c r="E140" s="2">
        <f>B51</f>
        <v/>
      </c>
      <c r="F140" s="2" t="n">
        <v>4</v>
      </c>
    </row>
    <row r="141">
      <c r="A141" s="2">
        <f>Summary!A40</f>
        <v/>
      </c>
      <c r="B141" s="2">
        <f>IF(C52&gt;0,"YES","NO")</f>
        <v/>
      </c>
      <c r="C141" s="14">
        <f t="array" ref="C141">IF(C52=0,"-",_xlfn.TEXTJOIN(", ",TRUE,IF(Summary!$B$40:$AB$40="Passed on test",Summary!$B$1:$AB$1,"")))</f>
        <v/>
      </c>
      <c r="D141" s="2">
        <f>C52</f>
        <v/>
      </c>
      <c r="E141" s="2">
        <f>B52</f>
        <v/>
      </c>
      <c r="F141" s="2" t="n">
        <v>4</v>
      </c>
    </row>
    <row r="142">
      <c r="A142" s="2">
        <f>Summary!A41</f>
        <v/>
      </c>
      <c r="B142" s="2">
        <f>IF(C53&gt;0,"YES","NO")</f>
        <v/>
      </c>
      <c r="C142" s="14">
        <f t="array" ref="C142">IF(C53=0,"-",_xlfn.TEXTJOIN(", ",TRUE,IF(Summary!$B$41:$AB$41="Passed on test",Summary!$B$1:$AB$1,"")))</f>
        <v/>
      </c>
      <c r="D142" s="2">
        <f>C53</f>
        <v/>
      </c>
      <c r="E142" s="2">
        <f>B53</f>
        <v/>
      </c>
      <c r="F142" s="2" t="n">
        <v>4</v>
      </c>
    </row>
    <row r="143">
      <c r="A143" s="2">
        <f>Summary!A42</f>
        <v/>
      </c>
      <c r="B143" s="2">
        <f>IF(C54&gt;0,"YES","NO")</f>
        <v/>
      </c>
      <c r="C143" s="14">
        <f t="array" ref="C143">IF(C54=0,"-",_xlfn.TEXTJOIN(", ",TRUE,IF(Summary!$B$42:$AB$42="Passed on test",Summary!$B$1:$AB$1,"")))</f>
        <v/>
      </c>
      <c r="D143" s="2">
        <f>C54</f>
        <v/>
      </c>
      <c r="E143" s="2">
        <f>B54</f>
        <v/>
      </c>
      <c r="F143" s="2" t="n">
        <v>5</v>
      </c>
    </row>
    <row r="144">
      <c r="A144" s="2">
        <f>Summary!A43</f>
        <v/>
      </c>
      <c r="B144" s="2">
        <f>IF(C55&gt;0,"YES","NO")</f>
        <v/>
      </c>
      <c r="C144" s="14">
        <f t="array" ref="C144">IF(C55=0,"-",_xlfn.TEXTJOIN(", ",TRUE,IF(Summary!$B$43:$AB$43="Passed on test",Summary!$B$1:$AB$1,"")))</f>
        <v/>
      </c>
      <c r="D144" s="2">
        <f>C55</f>
        <v/>
      </c>
      <c r="E144" s="2">
        <f>B55</f>
        <v/>
      </c>
      <c r="F144" s="2" t="n">
        <v>5</v>
      </c>
    </row>
    <row r="145">
      <c r="A145" s="2">
        <f>Summary!A44</f>
        <v/>
      </c>
      <c r="B145" s="2">
        <f>IF(C56&gt;0,"YES","NO")</f>
        <v/>
      </c>
      <c r="C145" s="14">
        <f t="array" ref="C145">IF(C56=0,"-",_xlfn.TEXTJOIN(", ",TRUE,IF(Summary!$B$44:$AB$44="Passed on test",Summary!$B$1:$AB$1,"")))</f>
        <v/>
      </c>
      <c r="D145" s="2">
        <f>C56</f>
        <v/>
      </c>
      <c r="E145" s="2">
        <f>B56</f>
        <v/>
      </c>
      <c r="F145" s="2" t="n">
        <v>5</v>
      </c>
    </row>
    <row r="146">
      <c r="A146" s="2">
        <f>Summary!A45</f>
        <v/>
      </c>
      <c r="B146" s="2">
        <f>IF(C57&gt;0,"YES","NO")</f>
        <v/>
      </c>
      <c r="C146" s="14">
        <f t="array" ref="C146">IF(C57=0,"-",_xlfn.TEXTJOIN(", ",TRUE,IF(Summary!$B$45:$AB$45="Passed on test",Summary!$B$1:$AB$1,"")))</f>
        <v/>
      </c>
      <c r="D146" s="2">
        <f>C57</f>
        <v/>
      </c>
      <c r="E146" s="2">
        <f>B57</f>
        <v/>
      </c>
      <c r="F146" s="2" t="n">
        <v>5</v>
      </c>
    </row>
    <row r="147">
      <c r="A147" s="2">
        <f>Summary!A46</f>
        <v/>
      </c>
      <c r="B147" s="2">
        <f>IF(C58&gt;0,"YES","NO")</f>
        <v/>
      </c>
      <c r="C147" s="14">
        <f t="array" ref="C147">IF(C58=0,"-",_xlfn.TEXTJOIN(", ",TRUE,IF(Summary!$B$46:$AB$46="Passed on test",Summary!$B$1:$AB$1,"")))</f>
        <v/>
      </c>
      <c r="D147" s="2">
        <f>C58</f>
        <v/>
      </c>
      <c r="E147" s="2">
        <f>B58</f>
        <v/>
      </c>
      <c r="F147" s="2" t="n">
        <v>5</v>
      </c>
    </row>
    <row r="148">
      <c r="A148" s="2">
        <f>Summary!A47</f>
        <v/>
      </c>
      <c r="B148" s="2">
        <f>IF(C59&gt;0,"YES","NO")</f>
        <v/>
      </c>
      <c r="C148" s="14">
        <f t="array" ref="C148">IF(C59=0,"-",_xlfn.TEXTJOIN(", ",TRUE,IF(Summary!$B$47:$AB$47="Passed on test",Summary!$B$1:$AB$1,"")))</f>
        <v/>
      </c>
      <c r="D148" s="2">
        <f>C59</f>
        <v/>
      </c>
      <c r="E148" s="2">
        <f>B59</f>
        <v/>
      </c>
      <c r="F148" s="2" t="n">
        <v>5</v>
      </c>
    </row>
    <row r="149">
      <c r="A149" s="2">
        <f>Summary!A48</f>
        <v/>
      </c>
      <c r="B149" s="2">
        <f>IF(C60&gt;0,"YES","NO")</f>
        <v/>
      </c>
      <c r="C149" s="14">
        <f t="array" ref="C149">IF(C60=0,"-",_xlfn.TEXTJOIN(", ",TRUE,IF(Summary!$B$48:$AB$48="Passed on test",Summary!$B$1:$AB$1,"")))</f>
        <v/>
      </c>
      <c r="D149" s="2">
        <f>C60</f>
        <v/>
      </c>
      <c r="E149" s="2">
        <f>B60</f>
        <v/>
      </c>
      <c r="F149" s="2" t="n">
        <v>5</v>
      </c>
    </row>
    <row r="150">
      <c r="A150" s="2">
        <f>Summary!A49</f>
        <v/>
      </c>
      <c r="B150" s="2">
        <f>IF(C61&gt;0,"YES","NO")</f>
        <v/>
      </c>
      <c r="C150" s="14">
        <f t="array" ref="C150">IF(C61=0,"-",_xlfn.TEXTJOIN(", ",TRUE,IF(Summary!$B$49:$AB$49="Passed on test",Summary!$B$1:$AB$1,"")))</f>
        <v/>
      </c>
      <c r="D150" s="2">
        <f>C61</f>
        <v/>
      </c>
      <c r="E150" s="2">
        <f>B61</f>
        <v/>
      </c>
      <c r="F150" s="2" t="n">
        <v>5</v>
      </c>
    </row>
    <row r="151">
      <c r="A151" s="2">
        <f>Summary!A50</f>
        <v/>
      </c>
      <c r="B151" s="2">
        <f>IF(C62&gt;0,"YES","NO")</f>
        <v/>
      </c>
      <c r="C151" s="14">
        <f t="array" ref="C151">IF(C62=0,"-",_xlfn.TEXTJOIN(", ",TRUE,IF(Summary!$B$50:$AB$50="Passed on test",Summary!$B$1:$AB$1,"")))</f>
        <v/>
      </c>
      <c r="D151" s="2">
        <f>C62</f>
        <v/>
      </c>
      <c r="E151" s="2">
        <f>B62</f>
        <v/>
      </c>
      <c r="F151" s="2" t="n">
        <v>5</v>
      </c>
    </row>
    <row r="152">
      <c r="A152" s="2">
        <f>Summary!A51</f>
        <v/>
      </c>
      <c r="B152" s="2">
        <f>IF(C63&gt;0,"YES","NO")</f>
        <v/>
      </c>
      <c r="C152" s="14">
        <f t="array" ref="C152">IF(C63=0,"-",_xlfn.TEXTJOIN(", ",TRUE,IF(Summary!$B$51:$AB$51="Passed on test",Summary!$B$1:$AB$1,"")))</f>
        <v/>
      </c>
      <c r="D152" s="2">
        <f>C63</f>
        <v/>
      </c>
      <c r="E152" s="2">
        <f>B63</f>
        <v/>
      </c>
      <c r="F152" s="2" t="n">
        <v>5</v>
      </c>
    </row>
    <row r="153">
      <c r="A153" s="2">
        <f>Summary!A52</f>
        <v/>
      </c>
      <c r="B153" s="2">
        <f>IF(C64&gt;0,"YES","NO")</f>
        <v/>
      </c>
      <c r="C153" s="14">
        <f t="array" ref="C153">IF(C64=0,"-",_xlfn.TEXTJOIN(", ",TRUE,IF(Summary!$B$52:$AB$52="Passed on test",Summary!$B$1:$AB$1,"")))</f>
        <v/>
      </c>
      <c r="D153" s="2">
        <f>C64</f>
        <v/>
      </c>
      <c r="E153" s="2">
        <f>B64</f>
        <v/>
      </c>
      <c r="F153" s="2" t="n">
        <v>6</v>
      </c>
    </row>
    <row r="154">
      <c r="A154" s="2">
        <f>Summary!A53</f>
        <v/>
      </c>
      <c r="B154" s="2">
        <f>IF(C65&gt;0,"YES","NO")</f>
        <v/>
      </c>
      <c r="C154" s="14">
        <f t="array" ref="C154">IF(C65=0,"-",_xlfn.TEXTJOIN(", ",TRUE,IF(Summary!$B$53:$AB$53="Passed on test",Summary!$B$1:$AB$1,"")))</f>
        <v/>
      </c>
      <c r="D154" s="2">
        <f>C65</f>
        <v/>
      </c>
      <c r="E154" s="2">
        <f>B65</f>
        <v/>
      </c>
      <c r="F154" s="2" t="n">
        <v>6</v>
      </c>
    </row>
    <row r="155">
      <c r="A155" s="2">
        <f>Summary!A54</f>
        <v/>
      </c>
      <c r="B155" s="2">
        <f>IF(C66&gt;0,"YES","NO")</f>
        <v/>
      </c>
      <c r="C155" s="14">
        <f t="array" ref="C155">IF(C66=0,"-",_xlfn.TEXTJOIN(", ",TRUE,IF(Summary!$B$54:$AB$54="Passed on test",Summary!$B$1:$AB$1,"")))</f>
        <v/>
      </c>
      <c r="D155" s="2">
        <f>C66</f>
        <v/>
      </c>
      <c r="E155" s="2">
        <f>B66</f>
        <v/>
      </c>
      <c r="F155" s="2" t="n">
        <v>6</v>
      </c>
    </row>
    <row r="156">
      <c r="A156" s="2">
        <f>Summary!A55</f>
        <v/>
      </c>
      <c r="B156" s="2">
        <f>IF(C67&gt;0,"YES","NO")</f>
        <v/>
      </c>
      <c r="C156" s="14">
        <f t="array" ref="C156">IF(C67=0,"-",_xlfn.TEXTJOIN(", ",TRUE,IF(Summary!$B$55:$AB$55="Passed on test",Summary!$B$1:$AB$1,"")))</f>
        <v/>
      </c>
      <c r="D156" s="2">
        <f>C67</f>
        <v/>
      </c>
      <c r="E156" s="2">
        <f>B67</f>
        <v/>
      </c>
      <c r="F156" s="2" t="n">
        <v>6</v>
      </c>
    </row>
    <row r="157">
      <c r="A157" s="2">
        <f>Summary!A56</f>
        <v/>
      </c>
      <c r="B157" s="2">
        <f>IF(C68&gt;0,"YES","NO")</f>
        <v/>
      </c>
      <c r="C157" s="14">
        <f t="array" ref="C157">IF(C68=0,"-",_xlfn.TEXTJOIN(", ",TRUE,IF(Summary!$B$56:$AB$56="Passed on test",Summary!$B$1:$AB$1,"")))</f>
        <v/>
      </c>
      <c r="D157" s="2">
        <f>C68</f>
        <v/>
      </c>
      <c r="E157" s="2">
        <f>B68</f>
        <v/>
      </c>
      <c r="F157" s="2" t="n">
        <v>6</v>
      </c>
    </row>
    <row r="158">
      <c r="A158" s="2">
        <f>Summary!A57</f>
        <v/>
      </c>
      <c r="B158" s="2">
        <f>IF(C69&gt;0,"YES","NO")</f>
        <v/>
      </c>
      <c r="C158" s="14">
        <f t="array" ref="C158">IF(C69=0,"-",_xlfn.TEXTJOIN(", ",TRUE,IF(Summary!$B$57:$AB$57="Passed on test",Summary!$B$1:$AB$1,"")))</f>
        <v/>
      </c>
      <c r="D158" s="2">
        <f>C69</f>
        <v/>
      </c>
      <c r="E158" s="2">
        <f>B69</f>
        <v/>
      </c>
      <c r="F158" s="2" t="n">
        <v>6</v>
      </c>
    </row>
    <row r="159">
      <c r="A159" s="2">
        <f>Summary!A58</f>
        <v/>
      </c>
      <c r="B159" s="2">
        <f>IF(C70&gt;0,"YES","NO")</f>
        <v/>
      </c>
      <c r="C159" s="14">
        <f t="array" ref="C159">IF(C70=0,"-",_xlfn.TEXTJOIN(", ",TRUE,IF(Summary!$B$58:$AB$58="Passed on test",Summary!$B$1:$AB$1,"")))</f>
        <v/>
      </c>
      <c r="D159" s="2">
        <f>C70</f>
        <v/>
      </c>
      <c r="E159" s="2">
        <f>B70</f>
        <v/>
      </c>
      <c r="F159" s="2" t="n">
        <v>6</v>
      </c>
    </row>
    <row r="160">
      <c r="A160" s="2">
        <f>Summary!A59</f>
        <v/>
      </c>
      <c r="B160" s="2">
        <f>IF(C71&gt;0,"YES","NO")</f>
        <v/>
      </c>
      <c r="C160" s="14">
        <f t="array" ref="C160">IF(C71=0,"-",_xlfn.TEXTJOIN(", ",TRUE,IF(Summary!$B$59:$AB$59="Passed on test",Summary!$B$1:$AB$1,"")))</f>
        <v/>
      </c>
      <c r="D160" s="2">
        <f>C71</f>
        <v/>
      </c>
      <c r="E160" s="2">
        <f>B71</f>
        <v/>
      </c>
      <c r="F160" s="2" t="n">
        <v>6</v>
      </c>
    </row>
    <row r="161">
      <c r="A161" s="2">
        <f>Summary!A60</f>
        <v/>
      </c>
      <c r="B161" s="2">
        <f>IF(C72&gt;0,"YES","NO")</f>
        <v/>
      </c>
      <c r="C161" s="14">
        <f t="array" ref="C161">IF(C72=0,"-",_xlfn.TEXTJOIN(", ",TRUE,IF(Summary!$B$60:$AB$60="Passed on test",Summary!$B$1:$AB$1,"")))</f>
        <v/>
      </c>
      <c r="D161" s="2">
        <f>C72</f>
        <v/>
      </c>
      <c r="E161" s="2">
        <f>B72</f>
        <v/>
      </c>
      <c r="F161" s="2" t="n">
        <v>6</v>
      </c>
    </row>
    <row r="162">
      <c r="A162" s="2">
        <f>Summary!A61</f>
        <v/>
      </c>
      <c r="B162" s="2">
        <f>IF(C73&gt;0,"YES","NO")</f>
        <v/>
      </c>
      <c r="C162" s="14">
        <f t="array" ref="C162">IF(C73=0,"-",_xlfn.TEXTJOIN(", ",TRUE,IF(Summary!$B$61:$AB$61="Passed on test",Summary!$B$1:$AB$1,"")))</f>
        <v/>
      </c>
      <c r="D162" s="2">
        <f>C73</f>
        <v/>
      </c>
      <c r="E162" s="2">
        <f>B73</f>
        <v/>
      </c>
      <c r="F162" s="2" t="n">
        <v>6</v>
      </c>
    </row>
    <row r="163">
      <c r="A163" s="2">
        <f>Summary!A62</f>
        <v/>
      </c>
      <c r="B163" s="2">
        <f>IF(C74&gt;0,"YES","NO")</f>
        <v/>
      </c>
      <c r="C163" s="14">
        <f t="array" ref="C163">IF(C74=0,"-",_xlfn.TEXTJOIN(", ",TRUE,IF(Summary!$B$62:$AB$62="Passed on test",Summary!$B$1:$AB$1,"")))</f>
        <v/>
      </c>
      <c r="D163" s="2">
        <f>C74</f>
        <v/>
      </c>
      <c r="E163" s="2">
        <f>B74</f>
        <v/>
      </c>
      <c r="F163" s="2" t="n">
        <v>7</v>
      </c>
    </row>
    <row r="164">
      <c r="A164" s="2">
        <f>Summary!A63</f>
        <v/>
      </c>
      <c r="B164" s="2">
        <f>IF(C75&gt;0,"YES","NO")</f>
        <v/>
      </c>
      <c r="C164" s="14">
        <f t="array" ref="C164">IF(C75=0,"-",_xlfn.TEXTJOIN(", ",TRUE,IF(Summary!$B$63:$AB$63="Passed on test",Summary!$B$1:$AB$1,"")))</f>
        <v/>
      </c>
      <c r="D164" s="2">
        <f>C75</f>
        <v/>
      </c>
      <c r="E164" s="2">
        <f>B75</f>
        <v/>
      </c>
      <c r="F164" s="2" t="n">
        <v>7</v>
      </c>
    </row>
    <row r="165">
      <c r="A165" s="2">
        <f>Summary!A64</f>
        <v/>
      </c>
      <c r="B165" s="2">
        <f>IF(C76&gt;0,"YES","NO")</f>
        <v/>
      </c>
      <c r="C165" s="14">
        <f t="array" ref="C165">IF(C76=0,"-",_xlfn.TEXTJOIN(", ",TRUE,IF(Summary!$B$64:$AB$64="Passed on test",Summary!$B$1:$AB$1,"")))</f>
        <v/>
      </c>
      <c r="D165" s="2">
        <f>C76</f>
        <v/>
      </c>
      <c r="E165" s="2">
        <f>B76</f>
        <v/>
      </c>
      <c r="F165" s="2" t="n">
        <v>7</v>
      </c>
    </row>
    <row r="166">
      <c r="A166" s="2">
        <f>Summary!A65</f>
        <v/>
      </c>
      <c r="B166" s="2">
        <f>IF(C77&gt;0,"YES","NO")</f>
        <v/>
      </c>
      <c r="C166" s="14">
        <f t="array" ref="C166">IF(C77=0,"-",_xlfn.TEXTJOIN(", ",TRUE,IF(Summary!$B$65:$AB$65="Passed on test",Summary!$B$1:$AB$1,"")))</f>
        <v/>
      </c>
      <c r="D166" s="2">
        <f>C77</f>
        <v/>
      </c>
      <c r="E166" s="2">
        <f>B77</f>
        <v/>
      </c>
      <c r="F166" s="2" t="n">
        <v>7</v>
      </c>
    </row>
    <row r="167">
      <c r="A167" s="2">
        <f>Summary!A66</f>
        <v/>
      </c>
      <c r="B167" s="2">
        <f>IF(C78&gt;0,"YES","NO")</f>
        <v/>
      </c>
      <c r="C167" s="14">
        <f t="array" ref="C167">IF(C78=0,"-",_xlfn.TEXTJOIN(", ",TRUE,IF(Summary!$B$66:$AB$66="Passed on test",Summary!$B$1:$AB$1,"")))</f>
        <v/>
      </c>
      <c r="D167" s="2">
        <f>C78</f>
        <v/>
      </c>
      <c r="E167" s="2">
        <f>B78</f>
        <v/>
      </c>
      <c r="F167" s="2" t="n">
        <v>7</v>
      </c>
    </row>
    <row r="168">
      <c r="A168" s="2">
        <f>Summary!A67</f>
        <v/>
      </c>
      <c r="B168" s="2">
        <f>IF(C79&gt;0,"YES","NO")</f>
        <v/>
      </c>
      <c r="C168" s="14">
        <f t="array" ref="C168">IF(C79=0,"-",_xlfn.TEXTJOIN(", ",TRUE,IF(Summary!$B$67:$AB$67="Passed on test",Summary!$B$1:$AB$1,"")))</f>
        <v/>
      </c>
      <c r="D168" s="2">
        <f>C79</f>
        <v/>
      </c>
      <c r="E168" s="2">
        <f>B79</f>
        <v/>
      </c>
      <c r="F168" s="2" t="n">
        <v>7</v>
      </c>
    </row>
    <row r="169">
      <c r="A169" s="2">
        <f>Summary!A68</f>
        <v/>
      </c>
      <c r="B169" s="2">
        <f>IF(C80&gt;0,"YES","NO")</f>
        <v/>
      </c>
      <c r="C169" s="14">
        <f t="array" ref="C169">IF(C80=0,"-",_xlfn.TEXTJOIN(", ",TRUE,IF(Summary!$B$68:$AB$68="Passed on test",Summary!$B$1:$AB$1,"")))</f>
        <v/>
      </c>
      <c r="D169" s="2">
        <f>C80</f>
        <v/>
      </c>
      <c r="E169" s="2">
        <f>B80</f>
        <v/>
      </c>
      <c r="F169" s="2" t="n">
        <v>7</v>
      </c>
    </row>
    <row r="170">
      <c r="A170" s="2">
        <f>Summary!A69</f>
        <v/>
      </c>
      <c r="B170" s="2">
        <f>IF(C81&gt;0,"YES","NO")</f>
        <v/>
      </c>
      <c r="C170" s="14">
        <f t="array" ref="C170">IF(C81=0,"-",_xlfn.TEXTJOIN(", ",TRUE,IF(Summary!$B$69:$AB$69="Passed on test",Summary!$B$1:$AB$1,"")))</f>
        <v/>
      </c>
      <c r="D170" s="2">
        <f>C81</f>
        <v/>
      </c>
      <c r="E170" s="2">
        <f>B81</f>
        <v/>
      </c>
      <c r="F170" s="2" t="n">
        <v>8</v>
      </c>
    </row>
    <row r="171">
      <c r="A171" s="2">
        <f>Summary!A70</f>
        <v/>
      </c>
      <c r="B171" s="2">
        <f>IF(C82&gt;0,"YES","NO")</f>
        <v/>
      </c>
      <c r="C171" s="14">
        <f t="array" ref="C171">IF(C82=0,"-",_xlfn.TEXTJOIN(", ",TRUE,IF(Summary!$B$70:$AB$70="Passed on test",Summary!$B$1:$AB$1,"")))</f>
        <v/>
      </c>
      <c r="D171" s="2">
        <f>C82</f>
        <v/>
      </c>
      <c r="E171" s="2">
        <f>B82</f>
        <v/>
      </c>
      <c r="F171" s="2" t="n">
        <v>8</v>
      </c>
    </row>
    <row r="172">
      <c r="A172" s="2">
        <f>Summary!A71</f>
        <v/>
      </c>
      <c r="B172" s="2">
        <f>IF(C83&gt;0,"YES","NO")</f>
        <v/>
      </c>
      <c r="C172" s="14">
        <f t="array" ref="C172">IF(C83=0,"-",_xlfn.TEXTJOIN(", ",TRUE,IF(Summary!$B$71:$AB$71="Passed on test",Summary!$B$1:$AB$1,"")))</f>
        <v/>
      </c>
      <c r="D172" s="2">
        <f>C83</f>
        <v/>
      </c>
      <c r="E172" s="2">
        <f>B83</f>
        <v/>
      </c>
      <c r="F172" s="2" t="n">
        <v>8</v>
      </c>
    </row>
    <row r="173">
      <c r="A173" s="2">
        <f>Summary!A72</f>
        <v/>
      </c>
      <c r="B173" s="2">
        <f>IF(C84&gt;0,"YES","NO")</f>
        <v/>
      </c>
      <c r="C173" s="14">
        <f t="array" ref="C173">IF(C84=0,"-",_xlfn.TEXTJOIN(", ",TRUE,IF(Summary!$B$72:$AB$72="Passed on test",Summary!$B$1:$AB$1,"")))</f>
        <v/>
      </c>
      <c r="D173" s="2">
        <f>C84</f>
        <v/>
      </c>
      <c r="E173" s="2">
        <f>B84</f>
        <v/>
      </c>
      <c r="F173" s="2" t="n">
        <v>8</v>
      </c>
    </row>
    <row r="174">
      <c r="A174" s="2">
        <f>Summary!A73</f>
        <v/>
      </c>
      <c r="B174" s="2">
        <f>IF(C85&gt;0,"YES","NO")</f>
        <v/>
      </c>
      <c r="C174" s="14">
        <f t="array" ref="C174">IF(C85=0,"-",_xlfn.TEXTJOIN(", ",TRUE,IF(Summary!$B$73:$AB$73="Passed on test",Summary!$B$1:$AB$1,"")))</f>
        <v/>
      </c>
      <c r="D174" s="2">
        <f>C85</f>
        <v/>
      </c>
      <c r="E174" s="2">
        <f>B85</f>
        <v/>
      </c>
      <c r="F174" s="2" t="n">
        <v>8</v>
      </c>
    </row>
    <row r="175">
      <c r="A175" s="2">
        <f>Summary!A74</f>
        <v/>
      </c>
      <c r="B175" s="2">
        <f>IF(C86&gt;0,"YES","NO")</f>
        <v/>
      </c>
      <c r="C175" s="14">
        <f t="array" ref="C175">IF(C86=0,"-",_xlfn.TEXTJOIN(", ",TRUE,IF(Summary!$B$74:$AB$74="Passed on test",Summary!$B$1:$AB$1,"")))</f>
        <v/>
      </c>
      <c r="D175" s="2">
        <f>C86</f>
        <v/>
      </c>
      <c r="E175" s="2">
        <f>B86</f>
        <v/>
      </c>
      <c r="F175" s="2" t="n">
        <v>8</v>
      </c>
    </row>
    <row r="176">
      <c r="A176">
        <f>IF(B100=0,"Every case passed on either all or none of its versions, so the at-least-one count equals the strict count.","Some cases passed on only part of their versions; see the table above.")</f>
        <v/>
      </c>
    </row>
    <row r="177"/>
    <row r="178">
      <c r="A178" s="7" t="inlineStr">
        <is>
          <t>5. Notes: every case, its versions and what happened</t>
        </is>
      </c>
    </row>
    <row r="179">
      <c r="A179" s="1" t="inlineStr">
        <is>
          <t>Result</t>
        </is>
      </c>
      <c r="B179" s="1" t="inlineStr">
        <is>
          <t>Case</t>
        </is>
      </c>
      <c r="C179" s="1" t="inlineStr">
        <is>
          <t>Versions</t>
        </is>
      </c>
      <c r="D179" s="1" t="inlineStr">
        <is>
          <t># versions</t>
        </is>
      </c>
      <c r="E179" s="1" t="inlineStr">
        <is>
          <t>Error type</t>
        </is>
      </c>
      <c r="F179" s="1" t="inlineStr">
        <is>
          <t>Error message (last traceback line)</t>
        </is>
      </c>
      <c r="G179" s="1" t="inlineStr">
        <is>
          <t>What happened (plain English)</t>
        </is>
      </c>
      <c r="H179" s="1" t="inlineStr">
        <is>
          <t>Batch</t>
        </is>
      </c>
    </row>
    <row r="180">
      <c r="A180" s="15" t="inlineStr">
        <is>
          <t>Passed on test</t>
        </is>
      </c>
      <c r="B180" s="14" t="inlineStr">
        <is>
          <t>issue_009</t>
        </is>
      </c>
      <c r="C180" s="14" t="inlineStr">
        <is>
          <t>0.45.0, 0.45.1, 0.45.2, 0.45.3, 0.46.0, 0.46.1, 0.46.2, 0.46.3</t>
        </is>
      </c>
      <c r="D180" s="14" t="n">
        <v>8</v>
      </c>
      <c r="E180" s="14" t="n"/>
      <c r="F180" s="14" t="n"/>
      <c r="G180" s="14" t="inlineStr">
        <is>
          <t>The LLM removed the invalid layout_method='csp_layout' argument and kept optimization_level=3, which already tries a perfect layout first (same code as claude-sonnet-5-5 and gpt-6-luna).</t>
        </is>
      </c>
      <c r="H180" s="14" t="n">
        <v>1</v>
      </c>
    </row>
    <row r="181">
      <c r="A181" s="16" t="inlineStr">
        <is>
          <t>Failed on test</t>
        </is>
      </c>
      <c r="B181" s="14" t="inlineStr">
        <is>
          <t>issue_018_se</t>
        </is>
      </c>
      <c r="C181" s="14" t="inlineStr">
        <is>
          <t>1.0.0, 1.0.1, 1.0.2, 1.1.0, 1.1.1, 1.1.2, 1.2.0, 1.2.1, 1.2.2, 1.2.4, 2.0.0, 2.2.0, 2.3.0, 2.4.0, 2.5.0</t>
        </is>
      </c>
      <c r="D181" s="14" t="n">
        <v>15</v>
      </c>
      <c r="E181" s="14" t="inlineStr">
        <is>
          <t>AssertionError</t>
        </is>
      </c>
      <c r="F181" s="14" t="inlineStr">
        <is>
          <t>RuntimeError: SIMULATOR_PROCESS_ERROR: exit=3221226356 (0xC0000374); AssertionError:</t>
        </is>
      </c>
      <c r="G181" s="14" t="inlineStr">
        <is>
          <t>The LLM reversed each outcome string before reading the four bits, assuming the bug is Qiskit's little-endian bit order (the same idea as claude-sonnet-5-5). The real bug is which qubits the players measure, so the loss probabilities stay at 0.5 on six of the nine (x, y) inputs and test_exact_perfect_strategy_for_all_nine_inputs fails. The simulator check also hits the known Windows Aer native crash. Every model fails this case.</t>
        </is>
      </c>
      <c r="H181" s="14" t="n">
        <v>1</v>
      </c>
    </row>
    <row r="182">
      <c r="A182" s="15" t="inlineStr">
        <is>
          <t>Passed on test</t>
        </is>
      </c>
      <c r="B182" s="14" t="inlineStr">
        <is>
          <t>issue_021_se</t>
        </is>
      </c>
      <c r="C182" s="14" t="inlineStr">
        <is>
          <t>0.25.0, 0.25.1, 0.25.2, 0.25.3, 0.45.0, 0.45.1, 0.45.2, 0.45.3, 0.46.0, 0.46.1, 0.46.2, 0.46.3</t>
        </is>
      </c>
      <c r="D182" s="14" t="n">
        <v>12</v>
      </c>
      <c r="E182" s="14" t="n"/>
      <c r="F182" s="14" t="n"/>
      <c r="G182" s="14" t="inlineStr">
        <is>
          <t>The LLM imported transpile and called assemble(transpile(circuit, svsim)), which fully unrolls the custom CNOTNOT gate and initialize into instructions Aer supports (the same fix as claude-opus-5-5, gpt-6.1-sol and gpt-6-astra). Both luna models used a one-level decompose() and crashed.</t>
        </is>
      </c>
      <c r="H182" s="14" t="n">
        <v>1</v>
      </c>
    </row>
    <row r="183">
      <c r="A183" s="15" t="inlineStr">
        <is>
          <t>Passed on test</t>
        </is>
      </c>
      <c r="B183" s="14" t="inlineStr">
        <is>
          <t>issue_032_se</t>
        </is>
      </c>
      <c r="C183" s="14" t="inlineStr">
        <is>
          <t>0.25.0, 0.25.1, 0.25.2, 0.25.3</t>
        </is>
      </c>
      <c r="D183" s="14" t="n">
        <v>4</v>
      </c>
      <c r="E183" s="14" t="n"/>
      <c r="F183" s="14" t="n"/>
      <c r="G183" s="14" t="inlineStr">
        <is>
          <t>The LLM imported iSwapGate and passed iSwapGate() as entanglement_blocks instead of the unrecognised string 'iswap' (same code as claude-opus-5-5 and all four GPT models).</t>
        </is>
      </c>
      <c r="H183" s="14" t="n">
        <v>1</v>
      </c>
    </row>
    <row r="184">
      <c r="A184" s="15" t="inlineStr">
        <is>
          <t>Passed on test</t>
        </is>
      </c>
      <c r="B184" s="14" t="inlineStr">
        <is>
          <t>issue_034</t>
        </is>
      </c>
      <c r="C184" s="14" t="inlineStr">
        <is>
          <t>1.0.0, 1.0.1, 1.0.2, 1.1.0, 1.1.1, 1.1.2, 1.2.0, 1.2.1, 1.2.2, 1.2.4, 2.0.0, 2.2.0, 2.3.0, 2.4.0, 2.5.0</t>
        </is>
      </c>
      <c r="D184" s="14" t="n">
        <v>15</v>
      </c>
      <c r="E184" s="14" t="n"/>
      <c r="F184" s="14" t="n"/>
      <c r="G184" s="14" t="inlineStr">
        <is>
          <t>The LLM imported Aer from qiskit_aer instead of qiskit, where it no longer exists (same code as all four GPT models).</t>
        </is>
      </c>
      <c r="H184" s="14" t="n">
        <v>1</v>
      </c>
    </row>
    <row r="185">
      <c r="A185" s="15" t="inlineStr">
        <is>
          <t>Passed on test</t>
        </is>
      </c>
      <c r="B185" s="14" t="inlineStr">
        <is>
          <t>issue_036</t>
        </is>
      </c>
      <c r="C185" s="14" t="inlineStr">
        <is>
          <t>1.0.0, 1.0.1, 1.0.2, 1.1.0, 1.1.1, 1.1.2, 1.2.0, 1.2.1, 1.2.2, 1.2.4, 2.0.0, 2.2.0, 2.3.0, 2.4.0, 2.5.0</t>
        </is>
      </c>
      <c r="D185" s="14" t="n">
        <v>15</v>
      </c>
      <c r="E185" s="14" t="n"/>
      <c r="F185" s="14" t="n"/>
      <c r="G185" s="14" t="inlineStr">
        <is>
          <t>The LLM imported qiskit.qasm2 and replaced the removed QuantumCircuit.qasm() with qiskit.qasm2.dumps(c) (same code as gpt-6.1-sol and gpt-6-astra).</t>
        </is>
      </c>
      <c r="H185" s="14" t="n">
        <v>1</v>
      </c>
    </row>
    <row r="186">
      <c r="A186" s="15" t="inlineStr">
        <is>
          <t>Passed on test</t>
        </is>
      </c>
      <c r="B186" s="14" t="inlineStr">
        <is>
          <t>issue_058_se</t>
        </is>
      </c>
      <c r="C186" s="14" t="inlineStr">
        <is>
          <t>0.25.0, 0.25.1, 0.25.2, 0.25.3, 0.45.0, 0.45.1, 0.45.2, 0.45.3, 0.46.0, 0.46.1, 0.46.2, 0.46.3</t>
        </is>
      </c>
      <c r="D186" s="14" t="n">
        <v>12</v>
      </c>
      <c r="E186" s="14" t="n"/>
      <c r="F186" s="14" t="n"/>
      <c r="G186" s="14" t="inlineStr">
        <is>
          <t>The LLM imported transpile and transpiled the circuit for the backend before backend.run(), so the custom diffuser gate is decomposed into gates Aer supports (same code as gpt-6.1-sol, gpt-6-astra and gpt-6-luna).</t>
        </is>
      </c>
      <c r="H186" s="14" t="n">
        <v>1</v>
      </c>
    </row>
    <row r="187">
      <c r="A187" s="15" t="inlineStr">
        <is>
          <t>Passed on test</t>
        </is>
      </c>
      <c r="B187" s="14" t="inlineStr">
        <is>
          <t>issue_061</t>
        </is>
      </c>
      <c r="C187" s="14" t="inlineStr">
        <is>
          <t>1.0.0, 1.0.1, 1.0.2, 1.1.0, 1.1.1, 1.1.2, 1.2.0, 1.2.1, 1.2.2, 1.2.4, 2.0.0, 2.2.0, 2.3.0, 2.4.0, 2.5.0</t>
        </is>
      </c>
      <c r="D187" s="14" t="n">
        <v>15</v>
      </c>
      <c r="E187" s="14" t="n"/>
      <c r="F187" s="14" t="n"/>
      <c r="G187" s="14" t="inlineStr">
        <is>
          <t>The LLM replaced the removed Bit.register / Bit.index with qc.find_bit(qbit).registers, which lists each register together with the qubit's index inside it, and qc.find_bit(qbit).index. The register list gives the test the register-local index it checks; claude-opus-5-5 printed only the circuit-wide index and failed.</t>
        </is>
      </c>
      <c r="H187" s="14" t="n">
        <v>1</v>
      </c>
    </row>
    <row r="188">
      <c r="A188" s="15" t="inlineStr">
        <is>
          <t>Passed on test</t>
        </is>
      </c>
      <c r="B188" s="14" t="inlineStr">
        <is>
          <t>issue_072</t>
        </is>
      </c>
      <c r="C188" s="14" t="inlineStr">
        <is>
          <t>0.25.0, 0.25.1, 0.25.2, 0.25.3</t>
        </is>
      </c>
      <c r="D188" s="14" t="n">
        <v>4</v>
      </c>
      <c r="E188" s="14" t="n"/>
      <c r="F188" s="14" t="n"/>
      <c r="G188" s="14" t="inlineStr">
        <is>
          <t>Qreg[0] and qreg[5] were both mapped to physical qubit 12; the LLM mapped qreg[5] to the unused physical qubit 5 (the other models chose 15), so the initial layout is valid.</t>
        </is>
      </c>
      <c r="H188" s="14" t="n">
        <v>1</v>
      </c>
    </row>
    <row r="189">
      <c r="A189" s="16" t="inlineStr">
        <is>
          <t>Failed on test</t>
        </is>
      </c>
      <c r="B189" s="14" t="inlineStr">
        <is>
          <t>issue_096</t>
        </is>
      </c>
      <c r="C189" s="14" t="inlineStr">
        <is>
          <t>0.25.0, 0.25.1, 0.25.2, 0.25.3, 0.45.0, 0.45.1, 0.45.2, 0.45.3, 0.46.0, 0.46.1, 0.46.2, 0.46.3, 1.0.0, 1.0.1, 1.0.2, 1.1.0, 1.1.1, 1.1.2, 1.2.0, 1.2.1, 1.2.2, 1.2.4, 2.0.0, 2.2.0, 2.3.0, 2.4.0, 2.5.0</t>
        </is>
      </c>
      <c r="D189" s="14" t="n">
        <v>27</v>
      </c>
      <c r="E189" s="14" t="inlineStr">
        <is>
          <t>AssertionError</t>
        </is>
      </c>
      <c r="F189" s="14" t="inlineStr">
        <is>
          <t>AssertionError: '' != '[default]\n'; AssertionError: False is not true : Missing ipython_kernel_config.py (even when the profile directory already exists)</t>
        </is>
      </c>
      <c r="G189" s="14" t="inlineStr">
        <is>
          <t>The LLM creates ~/.qiskit and an empty settings.conf when they are missing, which stops the crash, but the test expects the file to contain a [default] section and the IPython profile's ipython_kernel_config.py to be created, which the fix does not do. Every model fails this case.</t>
        </is>
      </c>
      <c r="H189" s="14" t="n">
        <v>1</v>
      </c>
    </row>
    <row r="190">
      <c r="A190" s="15" t="inlineStr">
        <is>
          <t>Passed on test</t>
        </is>
      </c>
      <c r="B190" s="14" t="inlineStr">
        <is>
          <t>issue_155</t>
        </is>
      </c>
      <c r="C190" s="14" t="inlineStr">
        <is>
          <t>0.25.0, 0.25.1, 0.25.2, 0.25.3, 0.45.0, 0.45.1, 0.45.2, 0.45.3, 0.46.0, 0.46.1, 0.46.2, 0.46.3</t>
        </is>
      </c>
      <c r="D190" s="14" t="n">
        <v>12</v>
      </c>
      <c r="E190" s="14" t="n"/>
      <c r="F190" s="14" t="n"/>
      <c r="G190" s="14" t="inlineStr">
        <is>
          <t>The LLM turned the traced-out registers into integer qubit positions with qc.qubits.index(q), which exists in every tested version, so it passes on all 12 versions including 0.25.x (the same approach as claude-opus-5-5 and gpt-5.6-luna). The other models used find_bit(), which doesn't exist in 0.25.</t>
        </is>
      </c>
      <c r="H190" s="14" t="n">
        <v>2</v>
      </c>
    </row>
    <row r="191">
      <c r="A191" s="15" t="inlineStr">
        <is>
          <t>Passed on test</t>
        </is>
      </c>
      <c r="B191" s="14" t="inlineStr">
        <is>
          <t>issue_157</t>
        </is>
      </c>
      <c r="C191" s="14" t="inlineStr">
        <is>
          <t>0.45.0, 0.45.1, 0.45.2, 0.45.3, 0.46.0, 0.46.1, 0.46.2, 0.46.3</t>
        </is>
      </c>
      <c r="D191" s="14" t="n">
        <v>8</v>
      </c>
      <c r="E191" s="14" t="n"/>
      <c r="F191" s="14" t="n"/>
      <c r="G191" s="14" t="inlineStr">
        <is>
          <t>Error on 0.25.x, passed on 0.45.x / 0.46.x: the LLM replaced initialize() (which contains a non-unitary reset and can't be controlled) with a StatePreparation gate, which is correct, but StatePreparation doesn't exist yet in Qiskit 0.25 (ImportError). Same code as claude-sonnet-5-5; every model loses 0.25.x on this case.</t>
        </is>
      </c>
      <c r="H191" s="14" t="n">
        <v>2</v>
      </c>
    </row>
    <row r="192">
      <c r="A192" s="17" t="inlineStr">
        <is>
          <t>Runtime error</t>
        </is>
      </c>
      <c r="B192" s="14" t="inlineStr">
        <is>
          <t>issue_157</t>
        </is>
      </c>
      <c r="C192" s="14" t="inlineStr">
        <is>
          <t>0.25.0, 0.25.1, 0.25.2, 0.25.3</t>
        </is>
      </c>
      <c r="D192" s="14" t="n">
        <v>4</v>
      </c>
      <c r="E192" s="14" t="inlineStr">
        <is>
          <t>ImportError</t>
        </is>
      </c>
      <c r="F192" s="14" t="inlineStr">
        <is>
          <t>ImportError: cannot import name 'StatePreparation' from 'qiskit.circuit.library' (C:\qiskit_envs\q0250\lib\site-packages\qiskit\circuit\library\__init__.py)</t>
        </is>
      </c>
      <c r="G192" s="14" t="inlineStr">
        <is>
          <t>Error on 0.25.x, passed on 0.45.x / 0.46.x: the LLM replaced initialize() (which contains a non-unitary reset and can't be controlled) with a StatePreparation gate, which is correct, but StatePreparation doesn't exist yet in Qiskit 0.25 (ImportError). Same code as claude-sonnet-5-5; every model loses 0.25.x on this case.</t>
        </is>
      </c>
      <c r="H192" s="14" t="n">
        <v>2</v>
      </c>
    </row>
    <row r="193">
      <c r="A193" s="15" t="inlineStr">
        <is>
          <t>Passed on test</t>
        </is>
      </c>
      <c r="B193" s="14" t="inlineStr">
        <is>
          <t>issue_174</t>
        </is>
      </c>
      <c r="C193" s="14" t="inlineStr">
        <is>
          <t>0.25.0, 0.25.1, 0.25.2, 0.25.3, 0.45.0, 0.45.1, 0.45.2, 0.45.3, 0.46.0, 0.46.1, 0.46.2, 0.46.3</t>
        </is>
      </c>
      <c r="D193" s="14" t="n">
        <v>12</v>
      </c>
      <c r="E193" s="14" t="n"/>
      <c r="F193" s="14" t="n"/>
      <c r="G193" s="14" t="inlineStr">
        <is>
          <t>The LLM changed all six conditions to if (c==1), like the reference, and put its '# FIX:' comment above the QASM string (same code as claude-opus-5-5, gpt-6.1-sol and gpt-6-astra). Both luna models put the comment inside the string and crashed.</t>
        </is>
      </c>
      <c r="H193" s="14" t="n">
        <v>2</v>
      </c>
    </row>
    <row r="194">
      <c r="A194" s="15" t="inlineStr">
        <is>
          <t>Passed on test</t>
        </is>
      </c>
      <c r="B194" s="14" t="inlineStr">
        <is>
          <t>issue_189</t>
        </is>
      </c>
      <c r="C194" s="14" t="inlineStr">
        <is>
          <t>0.45.0, 0.45.1, 0.45.2, 0.45.3, 0.46.0, 0.46.1, 0.46.2, 0.46.3, 1.0.0, 1.0.1, 1.0.2, 1.1.0, 1.1.1, 1.1.2, 1.2.0, 1.2.1, 1.2.2, 1.2.4, 2.0.0, 2.2.0, 2.3.0, 2.4.0, 2.5.0</t>
        </is>
      </c>
      <c r="D194" s="14" t="n">
        <v>23</v>
      </c>
      <c r="E194" s="14" t="n"/>
      <c r="F194" s="14" t="n"/>
      <c r="G194" s="14" t="inlineStr">
        <is>
          <t>The LLM rebuilt the qubit list as one control qubit plus the system qubits, with the control order reversed relative to the reference. The updated test accepts either control order (same code as every other model).</t>
        </is>
      </c>
      <c r="H194" s="14" t="n">
        <v>2</v>
      </c>
    </row>
    <row r="195">
      <c r="A195" s="15" t="inlineStr">
        <is>
          <t>Passed on test</t>
        </is>
      </c>
      <c r="B195" s="14" t="inlineStr">
        <is>
          <t>issue_225</t>
        </is>
      </c>
      <c r="C195" s="14" t="inlineStr">
        <is>
          <t>0.45.0, 0.45.1, 0.45.2, 0.45.3, 0.46.0, 0.46.1, 0.46.2, 0.46.3</t>
        </is>
      </c>
      <c r="D195" s="14" t="n">
        <v>8</v>
      </c>
      <c r="E195" s="14" t="n"/>
      <c r="F195" s="14" t="n"/>
      <c r="G195" s="14" t="inlineStr">
        <is>
          <t>The LLM wrapped the Statevector in np.asarray() before reshape(), so it reshapes the amplitude array instead of calling reshape() on the Statevector object (same code as claude-sonnet-5-5 and claude-opus-5-5).</t>
        </is>
      </c>
      <c r="H195" s="14" t="n">
        <v>2</v>
      </c>
    </row>
    <row r="196">
      <c r="A196" s="17" t="inlineStr">
        <is>
          <t>Runtime error</t>
        </is>
      </c>
      <c r="B196" s="14" t="inlineStr">
        <is>
          <t>issue_233</t>
        </is>
      </c>
      <c r="C196" s="14" t="inlineStr">
        <is>
          <t>0.25.0, 0.25.1, 0.25.2, 0.25.3, 0.45.0, 0.45.1, 0.45.2, 0.45.3, 0.46.0, 0.46.1, 0.46.2, 0.46.3, 1.0.0, 1.0.1, 1.0.2, 1.1.0, 1.1.1, 1.1.2, 1.2.0, 1.2.1, 1.2.2, 1.2.4, 2.0.0, 2.2.0, 2.3.0, 2.4.0, 2.5.0</t>
        </is>
      </c>
      <c r="D196" s="14" t="n">
        <v>27</v>
      </c>
      <c r="E196" s="14" t="inlineStr">
        <is>
          <t>TypeError</t>
        </is>
      </c>
      <c r="F196" s="14" t="inlineStr">
        <is>
          <t>TypeError: 'int' object is not callable</t>
        </is>
      </c>
      <c r="G196" s="14" t="inlineStr">
        <is>
          <t>The LLM decided the bug was composing into a TwoLocal blueprint circuit and replaced the in-place compose with rot = rot.compose(var), but it kept the rot.num_parameters_settable() calls, and num_parameters_settable is an int property, so calling it raises TypeError on every version. claude-sonnet-5-5 and both luna models crashed the same way; claude-opus-5-5, gpt-6.1-sol and gpt-6-astra replaced both calls with num_parameters and passed.</t>
        </is>
      </c>
      <c r="H196" s="14" t="n">
        <v>2</v>
      </c>
    </row>
    <row r="197">
      <c r="A197" s="15" t="inlineStr">
        <is>
          <t>Passed on test</t>
        </is>
      </c>
      <c r="B197" s="14" t="inlineStr">
        <is>
          <t>issue_261</t>
        </is>
      </c>
      <c r="C197" s="14" t="inlineStr">
        <is>
          <t>0.25.0, 0.25.1, 0.25.2, 0.25.3, 0.45.0, 0.45.1, 0.45.2, 0.45.3, 0.46.0, 0.46.1, 0.46.2, 0.46.3</t>
        </is>
      </c>
      <c r="D197" s="14" t="n">
        <v>12</v>
      </c>
      <c r="E197" s="14" t="n"/>
      <c r="F197" s="14" t="n"/>
      <c r="G197" s="14" t="inlineStr">
        <is>
          <t>The LLM replaced PauliOp(hamiltonian_string) with eval(hamiltonian_string), the same fix as the reference (same code as claude-opus-5-5 and all four GPT models).</t>
        </is>
      </c>
      <c r="H197" s="14" t="n">
        <v>2</v>
      </c>
    </row>
    <row r="198">
      <c r="A198" s="15" t="inlineStr">
        <is>
          <t>Passed on test</t>
        </is>
      </c>
      <c r="B198" s="14" t="inlineStr">
        <is>
          <t>issue_280</t>
        </is>
      </c>
      <c r="C198" s="14" t="inlineStr">
        <is>
          <t>0.25.0, 0.25.1, 0.25.2, 0.25.3, 0.45.0, 0.45.1, 0.45.2, 0.45.3, 0.46.0, 0.46.1, 0.46.2, 0.46.3</t>
        </is>
      </c>
      <c r="D198" s="14" t="n">
        <v>12</v>
      </c>
      <c r="E198" s="14" t="n"/>
      <c r="F198" s="14" t="n"/>
      <c r="G198" s="14" t="inlineStr">
        <is>
          <t>The LLM used a two-qubit depolarizing_error(0.05, 2) for the cx gate and kept the original qiskit.providers.aer import, so it passes on all 12 versions (same code as claude-sonnet-5-5; claude-opus-5-5 moved the import and lost the four 0.25.x versions).</t>
        </is>
      </c>
      <c r="H198" s="14" t="n">
        <v>2</v>
      </c>
    </row>
    <row r="199">
      <c r="A199" s="17" t="inlineStr">
        <is>
          <t>Runtime error</t>
        </is>
      </c>
      <c r="B199" s="14" t="inlineStr">
        <is>
          <t>issue_295</t>
        </is>
      </c>
      <c r="C199" s="14" t="inlineStr">
        <is>
          <t>0.45.0, 0.45.1, 0.45.2, 0.45.3, 0.46.0, 0.46.1, 0.46.2, 0.46.3</t>
        </is>
      </c>
      <c r="D199" s="14" t="n">
        <v>8</v>
      </c>
      <c r="E199" s="14" t="inlineStr">
        <is>
          <t>TypeError</t>
        </is>
      </c>
      <c r="F199" s="14" t="inlineStr">
        <is>
          <t>TypeError: unsupported operand type(s) for +=: 'QuantumCircuit' and 'QuantumCircuit'</t>
        </is>
      </c>
      <c r="G199" s="14" t="inlineStr">
        <is>
          <t>The LLM answered NO BUG, saying circuit += oracle validly appends the oracle, and returned the code unchanged, but QuantumCircuit no longer supports += in these versions (TypeError: unsupported operand type(s) for +=). claude-sonnet-5-5 also kept +=; every other model replaced it with compose() and passed.</t>
        </is>
      </c>
      <c r="H199" s="14" t="n">
        <v>2</v>
      </c>
    </row>
    <row r="200">
      <c r="A200" s="17" t="inlineStr">
        <is>
          <t>Runtime error</t>
        </is>
      </c>
      <c r="B200" s="14" t="inlineStr">
        <is>
          <t>issue_315</t>
        </is>
      </c>
      <c r="C200" s="14" t="inlineStr">
        <is>
          <t>0.45.0, 0.45.1, 0.45.2, 0.45.3, 0.46.0, 0.46.1, 0.46.2, 0.46.3, 1.0.0, 1.0.1, 1.0.2, 1.1.0, 1.1.1, 1.1.2, 1.2.0, 1.2.1, 1.2.2, 1.2.4, 2.0.0, 2.2.0, 2.3.0, 2.4.0, 2.5.0</t>
        </is>
      </c>
      <c r="D200" s="14" t="n">
        <v>23</v>
      </c>
      <c r="E200" s="14" t="inlineStr">
        <is>
          <t>ModuleNotFoundError, KeyError</t>
        </is>
      </c>
      <c r="F200" s="14" t="inlineStr">
        <is>
          <t>KeyError: 'max_parallel_threads'; AttributeError: Option max_parallel_threads is not defined</t>
        </is>
      </c>
      <c r="G200" s="14"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and on 0.45.x the code's BasicProvider import doesn't exist yet (ModuleNotFoundError). Same code as claude-sonnet-5-5, claude-opus-5-5, gpt-6.1-sol, gpt-6-astra and gpt-5.6-luna.</t>
        </is>
      </c>
      <c r="H200" s="14" t="n">
        <v>2</v>
      </c>
    </row>
    <row r="201">
      <c r="A201" s="17" t="inlineStr">
        <is>
          <t>Runtime error</t>
        </is>
      </c>
      <c r="B201" s="14" t="inlineStr">
        <is>
          <t>issue_344</t>
        </is>
      </c>
      <c r="C201" s="14" t="inlineStr">
        <is>
          <t>0.25.0, 0.25.1, 0.25.2, 0.25.3, 0.45.0, 0.45.1, 0.45.2, 0.45.3, 0.46.0, 0.46.1, 0.46.2, 0.46.3</t>
        </is>
      </c>
      <c r="D201" s="14" t="n">
        <v>12</v>
      </c>
      <c r="E201" s="14" t="inlineStr">
        <is>
          <t>QiskitError</t>
        </is>
      </c>
      <c r="F201" s="14" t="inlineStr">
        <is>
          <t>qiskit.exceptions.QiskitError: 'Input quantum state is not a valid'</t>
        </is>
      </c>
      <c r="G201" s="14" t="inlineStr">
        <is>
          <t>The LLM passed the Statevector object to entropy() instead of the array, but kept get_statevector(..., decimals=3); the rounded amplitudes are no longer normalized, so Qiskit rejects the state ('Input quantum state is not a valid'). Same code as gpt-5.6-luna; the other five models removed decimals=3 and passed.</t>
        </is>
      </c>
      <c r="H201" s="14" t="n">
        <v>3</v>
      </c>
    </row>
    <row r="202">
      <c r="A202" s="15" t="inlineStr">
        <is>
          <t>Passed on test</t>
        </is>
      </c>
      <c r="B202" s="14" t="inlineStr">
        <is>
          <t>issue_362</t>
        </is>
      </c>
      <c r="C202" s="14" t="inlineStr">
        <is>
          <t>0.45.0, 0.45.1, 0.45.2, 0.45.3, 0.46.0, 0.46.1, 0.46.2, 0.46.3, 1.0.0, 1.0.1, 1.0.2, 1.1.0, 1.1.1, 1.1.2, 1.2.0, 1.2.1, 1.2.2, 1.2.4, 2.0.0, 2.2.0, 2.3.0, 2.4.0, 2.5.0</t>
        </is>
      </c>
      <c r="D202" s="14" t="n">
        <v>23</v>
      </c>
      <c r="E202" s="14" t="n"/>
      <c r="F202" s="14" t="n"/>
      <c r="G202" s="14" t="inlineStr">
        <is>
          <t>The LLM added circuit.save_unitary(), so AerSimulator returns the unitary (same code as claude-sonnet-5-5, claude-opus-5-5, gpt-6.1-sol, gpt-6-astra and gpt-5.6-luna).</t>
        </is>
      </c>
      <c r="H202" s="14" t="n">
        <v>3</v>
      </c>
    </row>
    <row r="203">
      <c r="A203" s="15" t="inlineStr">
        <is>
          <t>Passed on test</t>
        </is>
      </c>
      <c r="B203" s="14" t="inlineStr">
        <is>
          <t>issue_369</t>
        </is>
      </c>
      <c r="C203" s="14" t="inlineStr">
        <is>
          <t>0.25.0, 0.25.1, 0.25.2, 0.25.3, 0.45.0, 0.45.1, 0.45.2, 0.45.3, 0.46.0, 0.46.1, 0.46.2, 0.46.3, 1.0.0, 1.0.1, 1.0.2, 1.1.0, 1.1.1, 1.1.2, 1.2.0, 1.2.1, 1.2.2, 1.2.4, 2.0.0, 2.2.0, 2.3.0, 2.4.0, 2.5.0</t>
        </is>
      </c>
      <c r="D203" s="14" t="n">
        <v>27</v>
      </c>
      <c r="E203" s="14" t="n"/>
      <c r="F203" s="14" t="n"/>
      <c r="G203" s="14" t="inlineStr">
        <is>
          <t>The LLM mapped the control and all 16 subcircuit qubits in compose() instead of only the control wire (same code as gpt-6.1-sol and gpt-6-astra).</t>
        </is>
      </c>
      <c r="H203" s="14" t="n">
        <v>3</v>
      </c>
    </row>
    <row r="204">
      <c r="A204" s="15" t="inlineStr">
        <is>
          <t>Passed on test</t>
        </is>
      </c>
      <c r="B204" s="14" t="inlineStr">
        <is>
          <t>issue_396</t>
        </is>
      </c>
      <c r="C204" s="14" t="inlineStr">
        <is>
          <t>0.25.0, 0.25.1, 0.25.2, 0.25.3, 0.45.0, 0.45.1, 0.45.2, 0.45.3, 0.46.0, 0.46.1, 0.46.2, 0.46.3, 1.0.0, 1.0.1, 1.0.2, 1.1.0, 1.1.1, 1.1.2, 1.2.0, 1.2.1, 1.2.2, 1.2.4, 2.0.0, 2.2.0, 2.3.0, 2.4.0, 2.5.0</t>
        </is>
      </c>
      <c r="D204" s="14" t="n">
        <v>27</v>
      </c>
      <c r="E204" s="14" t="n"/>
      <c r="F204" s="14" t="n"/>
      <c r="G204" s="14" t="inlineStr">
        <is>
          <t>The LLM built the oracle as an explicit 3-qubit circuit: for each target it flips the 0 bits with X, applies a multi-controlled Z (H, mcx, H) and flips them back, so each target state gets a -1 phase with no extra global phase. It is the only model to pass this case on all 27 versions; gpt-6-astra's Diagonal oracle passes on 23 and both luna models' diagonal() on 12.</t>
        </is>
      </c>
      <c r="H204" s="14" t="n">
        <v>3</v>
      </c>
    </row>
    <row r="205">
      <c r="A205" s="15" t="inlineStr">
        <is>
          <t>Passed on test</t>
        </is>
      </c>
      <c r="B205" s="14" t="inlineStr">
        <is>
          <t>issue_415</t>
        </is>
      </c>
      <c r="C205" s="14" t="inlineStr">
        <is>
          <t>0.25.0, 0.25.1, 0.25.2, 0.25.3</t>
        </is>
      </c>
      <c r="D205" s="14" t="n">
        <v>4</v>
      </c>
      <c r="E205" s="14" t="n"/>
      <c r="F205" s="14" t="n"/>
      <c r="G205" s="14" t="inlineStr">
        <is>
          <t>The LLM computed real U3 angles, theta from the magnitude of the |0&gt; amplitude and phi as the phase of the |1&gt; amplitude minus the phase of the |0&gt; amplitude (the same idea as claude-sonnet-5-5, claude-opus-5-5 and gpt-6-luna).</t>
        </is>
      </c>
      <c r="H205" s="14" t="n">
        <v>3</v>
      </c>
    </row>
    <row r="206">
      <c r="A206" s="17" t="inlineStr">
        <is>
          <t>Runtime error</t>
        </is>
      </c>
      <c r="B206" s="14" t="inlineStr">
        <is>
          <t>issue_436</t>
        </is>
      </c>
      <c r="C206" s="14" t="inlineStr">
        <is>
          <t>0.25.0, 0.25.1, 0.25.2, 0.25.3</t>
        </is>
      </c>
      <c r="D206" s="14" t="n">
        <v>4</v>
      </c>
      <c r="E206" s="14" t="inlineStr">
        <is>
          <t>KeyError</t>
        </is>
      </c>
      <c r="F206" s="14" t="inlineStr">
        <is>
          <t>KeyError: 'qubit_lo_freq'; AttributeError: Attribute qubit_lo_freq is not defined</t>
        </is>
      </c>
      <c r="G206" s="14" t="inlineStr">
        <is>
          <t>The LLM removed set_frequency() and modulated the pulse samples instead, which is the right idea, but it reads the LO frequency from backend_config.qubit_lo_freq, which this simulated backend's configuration doesn't have (AttributeError: Attribute qubit_lo_freq is not defined). Every other model passed this case.</t>
        </is>
      </c>
      <c r="H206" s="14" t="n">
        <v>3</v>
      </c>
    </row>
    <row r="207">
      <c r="A207" s="15" t="inlineStr">
        <is>
          <t>Passed on test</t>
        </is>
      </c>
      <c r="B207" s="14" t="inlineStr">
        <is>
          <t>issue_443</t>
        </is>
      </c>
      <c r="C207" s="14" t="inlineStr">
        <is>
          <t>0.25.0, 0.25.1, 0.25.2, 0.25.3, 0.45.0, 0.45.1, 0.45.2, 0.45.3, 0.46.0, 0.46.1, 0.46.2, 0.46.3, 1.0.0, 1.0.1, 1.0.2, 1.1.0, 1.1.1, 1.1.2, 1.2.0, 1.2.1, 1.2.2, 1.2.4, 2.0.0, 2.2.0, 2.3.0, 2.4.0, 2.5.0</t>
        </is>
      </c>
      <c r="D207" s="14" t="n">
        <v>27</v>
      </c>
      <c r="E207" s="14" t="n"/>
      <c r="F207" s="14" t="n"/>
      <c r="G207" s="14" t="inlineStr">
        <is>
          <t>The LLM passed the qubits of both registers as one flat list to append() and kept the snippet's register unpacking (same code as gpt-6-astra and gpt-5.6-luna). claude-sonnet-5-5, claude-opus-5-5 and gpt-6.1-sol also swapped the register unpacking and failed.</t>
        </is>
      </c>
      <c r="H207" s="14" t="n">
        <v>3</v>
      </c>
    </row>
    <row r="208">
      <c r="A208" s="16" t="inlineStr">
        <is>
          <t>Failed on test</t>
        </is>
      </c>
      <c r="B208" s="14" t="inlineStr">
        <is>
          <t>issue_453</t>
        </is>
      </c>
      <c r="C208" s="14" t="inlineStr">
        <is>
          <t>0.45.0, 0.45.1, 0.45.2, 0.45.3, 0.46.0, 0.46.1, 0.46.2, 0.46.3, 1.0.0, 1.0.1, 1.0.2, 1.1.0, 1.1.1, 1.1.2, 1.2.0, 1.2.1, 1.2.2, 1.2.4, 2.0.0, 2.2.0, 2.3.0, 2.4.0, 2.5.0</t>
        </is>
      </c>
      <c r="D208" s="14" t="n">
        <v>23</v>
      </c>
      <c r="E208" s="14" t="inlineStr">
        <is>
          <t>AssertionError</t>
        </is>
      </c>
      <c r="F208" s="14" t="inlineStr">
        <is>
          <t>AttributeError: 'QuantumCircuit' object has no attribute 'compose_with_auto_ancillas'; AssertionError: 0 != 2</t>
        </is>
      </c>
      <c r="G208" s="14" t="inlineStr">
        <is>
          <t>The LLM widened the target circuit to 4 + anc1.size plain qubits and mapped all six qubits, instead of adding ancillas automatically as the user asked; the test calls the reference answer's helper compose_with_auto_ancillas() by name (AttributeError), and its other check finds no ancilla qubits in the result (0 != 2). Every model fails this case.</t>
        </is>
      </c>
      <c r="H208" s="14" t="n">
        <v>3</v>
      </c>
    </row>
    <row r="209">
      <c r="A209" s="16" t="inlineStr">
        <is>
          <t>Failed on test</t>
        </is>
      </c>
      <c r="B209" s="14" t="inlineStr">
        <is>
          <t>issue_468</t>
        </is>
      </c>
      <c r="C209" s="14" t="inlineStr">
        <is>
          <t>0.25.0, 0.25.1, 0.25.2, 0.25.3</t>
        </is>
      </c>
      <c r="D209" s="14" t="n">
        <v>4</v>
      </c>
      <c r="E209" s="14" t="inlineStr">
        <is>
          <t>AssertionError</t>
        </is>
      </c>
      <c r="F209" s="14" t="inlineStr">
        <is>
          <t>AssertionError: Expected one actual commutator call</t>
        </is>
      </c>
      <c r="G209" s="14" t="inlineStr">
        <is>
          <t>The LLM dropped Aqua's legacy commutator() and computed AB - BA directly on the density matrices' data, so the script computes the commutator, but the test checks that Qiskit's commutator() is actually called ('Expected one actual commutator call'). Same idea as claude-sonnet-5-5 and claude-opus-5-5; every model fails this case.</t>
        </is>
      </c>
      <c r="H209" s="14" t="n">
        <v>3</v>
      </c>
    </row>
    <row r="210">
      <c r="A210" s="16" t="inlineStr">
        <is>
          <t>Failed on test</t>
        </is>
      </c>
      <c r="B210" s="14" t="inlineStr">
        <is>
          <t>issue_497</t>
        </is>
      </c>
      <c r="C210" s="14" t="inlineStr">
        <is>
          <t>0.25.0, 0.25.1, 0.25.2, 0.25.3</t>
        </is>
      </c>
      <c r="D210" s="14" t="n">
        <v>4</v>
      </c>
      <c r="E210" s="14" t="inlineStr">
        <is>
          <t>AssertionError</t>
        </is>
      </c>
      <c r="F210" s="14" t="inlineStr">
        <is>
          <t>AssertionError: 2 != 1 : The local expectation batch should use one backend submission</t>
        </is>
      </c>
      <c r="G210" s="14" t="inlineStr">
        <is>
          <t>The LLM only added the missing IBMQJobManager import and kept the two expectation values as separate evaluations, so the test sees two backend submissions instead of one batched job (2 != 1). claude-opus-5-5 made the same change; gpt-5.6-luna batched them into one CircuitSampler call and passed.</t>
        </is>
      </c>
      <c r="H210" s="14" t="n">
        <v>3</v>
      </c>
    </row>
    <row r="211">
      <c r="A211" s="15" t="inlineStr">
        <is>
          <t>Passed on test</t>
        </is>
      </c>
      <c r="B211" s="14" t="inlineStr">
        <is>
          <t>issue_504</t>
        </is>
      </c>
      <c r="C211" s="14" t="inlineStr">
        <is>
          <t>0.45.0, 0.45.1, 0.45.2, 0.45.3, 0.46.0, 0.46.1, 0.46.2, 0.46.3, 1.0.0, 1.0.1, 1.0.2, 1.1.0, 1.1.1, 1.1.2, 1.2.0, 1.2.1, 1.2.2, 1.2.4, 2.0.0, 2.2.0, 2.3.0, 2.4.0, 2.5.0</t>
        </is>
      </c>
      <c r="D211" s="14" t="n">
        <v>23</v>
      </c>
      <c r="E211" s="14" t="n"/>
      <c r="F211" s="14" t="n"/>
      <c r="G211" s="14" t="inlineStr">
        <is>
          <t>The LLM created the register once as qr and used it everywhere instead of a new QuantumRegister(n) on each call, and ran the transpiled circuit with backend.run() instead of treating transpile()'s output as a job (the same fix as every other model). In the batch run the machine was busy: the reference fixed.py timed out on 2 versions, which made those pairs invalid, and the fix timed out on 1.2.4; a single-worker rerun made all 23 pairs valid and the fix passed on all of them.</t>
        </is>
      </c>
      <c r="H211" s="14" t="n">
        <v>4</v>
      </c>
    </row>
    <row r="212">
      <c r="A212" s="15" t="inlineStr">
        <is>
          <t>Passed on test</t>
        </is>
      </c>
      <c r="B212" s="14" t="inlineStr">
        <is>
          <t>issue_505</t>
        </is>
      </c>
      <c r="C212" s="14" t="inlineStr">
        <is>
          <t>0.45.0, 0.45.1, 0.45.2, 0.45.3, 0.46.0, 0.46.1, 0.46.2, 0.46.3</t>
        </is>
      </c>
      <c r="D212" s="14" t="n">
        <v>8</v>
      </c>
      <c r="E212" s="14" t="n"/>
      <c r="F212" s="14" t="n"/>
      <c r="G212" s="14" t="inlineStr">
        <is>
          <t>The LLM put the NumPy scalar on the right (op * x), so the Qiskit operator's multiplication is used instead of NumPy's (same code as gpt-6-luna).</t>
        </is>
      </c>
      <c r="H212" s="14" t="n">
        <v>4</v>
      </c>
    </row>
    <row r="213">
      <c r="A213" s="17" t="inlineStr">
        <is>
          <t>Runtime error</t>
        </is>
      </c>
      <c r="B213" s="14" t="inlineStr">
        <is>
          <t>issue_565</t>
        </is>
      </c>
      <c r="C213" s="14" t="inlineStr">
        <is>
          <t>0.25.0, 0.25.1, 0.25.2, 0.25.3</t>
        </is>
      </c>
      <c r="D213" s="14" t="n">
        <v>4</v>
      </c>
      <c r="E213" s="14" t="inlineStr">
        <is>
          <t>Timeout</t>
        </is>
      </c>
      <c r="F213" s="14" t="inlineStr">
        <is>
          <t>120 second timeout</t>
        </is>
      </c>
      <c r="G213" s="14" t="inlineStr">
        <is>
          <t>Error (timeout): the LLM returned Aqua PauliOps instead of quantum_info Operators and built the mixer products with @= starting from the first operator, which removes the crash both luna models hit, but building the QAOA circuits doesn't finish within 120 seconds on any version (2 runs, the second with a single worker). claude-sonnet-5-5, claude-opus-5-5, gpt-6.1-sol and gpt-6-astra timed out the same way.</t>
        </is>
      </c>
      <c r="H213" s="14" t="n">
        <v>4</v>
      </c>
    </row>
    <row r="214">
      <c r="A214" s="17" t="inlineStr">
        <is>
          <t>Runtime error</t>
        </is>
      </c>
      <c r="B214" s="14" t="inlineStr">
        <is>
          <t>issue_595</t>
        </is>
      </c>
      <c r="C214" s="14" t="inlineStr">
        <is>
          <t>0.45.0, 0.45.1, 0.45.2, 0.45.3, 0.46.0, 0.46.1, 0.46.2, 0.46.3, 1.0.0, 1.0.1, 1.0.2, 1.1.0, 1.1.1, 1.1.2, 1.2.0, 1.2.1, 1.2.2, 1.2.4, 2.0.0, 2.2.0, 2.3.0, 2.4.0, 2.5.0</t>
        </is>
      </c>
      <c r="D214" s="14" t="n">
        <v>23</v>
      </c>
      <c r="E214" s="14" t="inlineStr">
        <is>
          <t>KeyError</t>
        </is>
      </c>
      <c r="F214" s="14" t="inlineStr">
        <is>
          <t>KeyError: 'unitary'; qiskit.exceptions.QiskitError: 'No unitary for experiment "&lt;qiskit.circuit.quantumcircuit.QuantumCircuit object at 0x000001B43E48E9D0&gt;"'</t>
        </is>
      </c>
      <c r="G214" s="14" t="inlineStr">
        <is>
          <t>The LLM selected AerSimulator(method='unitary') but didn't add circ.save_unitary(), so the result holds no unitary ('No unitary for experiment'). Every other model passed (claude-opus-5-5, claude-sonnet-5-5, gpt-6.1-sol and gpt-6-astra added both).</t>
        </is>
      </c>
      <c r="H214" s="14" t="n">
        <v>4</v>
      </c>
    </row>
    <row r="215">
      <c r="A215" s="15" t="inlineStr">
        <is>
          <t>Passed on test</t>
        </is>
      </c>
      <c r="B215" s="14" t="inlineStr">
        <is>
          <t>issue_596</t>
        </is>
      </c>
      <c r="C215" s="14" t="inlineStr">
        <is>
          <t>0.25.0, 0.25.1, 0.25.2, 0.25.3, 0.45.0, 0.45.1, 0.45.2, 0.45.3, 0.46.0, 0.46.1, 0.46.2, 0.46.3</t>
        </is>
      </c>
      <c r="D215" s="14" t="n">
        <v>12</v>
      </c>
      <c r="E215" s="14" t="n"/>
      <c r="F215" s="14" t="n"/>
      <c r="G215" s="14" t="inlineStr">
        <is>
          <t>The LLM bound each parameter by its name and index (p[i] to inp[0][i], th[i] to theta[i]) instead of the endless while loop, and kept the bound circuit with qc = qc.assign_parameters(bind_dict), so no parameters are left unbound.</t>
        </is>
      </c>
      <c r="H215" s="14" t="n">
        <v>4</v>
      </c>
    </row>
    <row r="216">
      <c r="A216" s="15" t="inlineStr">
        <is>
          <t>Passed on test</t>
        </is>
      </c>
      <c r="B216" s="14" t="inlineStr">
        <is>
          <t>issue_600</t>
        </is>
      </c>
      <c r="C216" s="14" t="inlineStr">
        <is>
          <t>0.45.0, 0.45.1, 0.45.2, 0.45.3, 0.46.0, 0.46.1, 0.46.2, 0.46.3</t>
        </is>
      </c>
      <c r="D216" s="14" t="n">
        <v>8</v>
      </c>
      <c r="E216" s="14" t="n"/>
      <c r="F216" s="14" t="n"/>
      <c r="G216" s="14" t="inlineStr">
        <is>
          <t>Error on 0.25.x, passed on 0.45.x / 0.46.x: the LLM replaced PauliGate(...).power(param) with RXXGate / RYYGate / RZZGate(pi * param), which is correct up to a global phase, but kept the PauliGate import, which doesn't exist in Qiskit 0.25 (ImportError). Same code as claude-sonnet-5-5, claude-opus-5-5 and gpt-6-luna; gpt-6.1-sol and gpt-6-astra removed the import and passed on all 12 versions.</t>
        </is>
      </c>
      <c r="H216" s="14" t="n">
        <v>4</v>
      </c>
    </row>
    <row r="217">
      <c r="A217" s="17" t="inlineStr">
        <is>
          <t>Runtime error</t>
        </is>
      </c>
      <c r="B217" s="14" t="inlineStr">
        <is>
          <t>issue_600</t>
        </is>
      </c>
      <c r="C217" s="14" t="inlineStr">
        <is>
          <t>0.25.0, 0.25.1, 0.25.2, 0.25.3</t>
        </is>
      </c>
      <c r="D217" s="14" t="n">
        <v>4</v>
      </c>
      <c r="E217" s="14" t="inlineStr">
        <is>
          <t>ImportError</t>
        </is>
      </c>
      <c r="F217" s="14" t="inlineStr">
        <is>
          <t>ImportError: cannot import name 'PauliGate' from 'qiskit.circuit.library' (C:\qiskit_envs\q0250\lib\site-packages\qiskit\circuit\library\__init__.py)</t>
        </is>
      </c>
      <c r="G217" s="14" t="inlineStr">
        <is>
          <t>Error on 0.25.x, passed on 0.45.x / 0.46.x: the LLM replaced PauliGate(...).power(param) with RXXGate / RYYGate / RZZGate(pi * param), which is correct up to a global phase, but kept the PauliGate import, which doesn't exist in Qiskit 0.25 (ImportError). Same code as claude-sonnet-5-5, claude-opus-5-5 and gpt-6-luna; gpt-6.1-sol and gpt-6-astra removed the import and passed on all 12 versions.</t>
        </is>
      </c>
      <c r="H217" s="14" t="n">
        <v>4</v>
      </c>
    </row>
    <row r="218">
      <c r="A218" s="15" t="inlineStr">
        <is>
          <t>Passed on test</t>
        </is>
      </c>
      <c r="B218" s="14" t="inlineStr">
        <is>
          <t>issue_622</t>
        </is>
      </c>
      <c r="C218" s="14" t="inlineStr">
        <is>
          <t>0.25.0, 0.25.1, 0.25.2, 0.25.3, 0.45.0, 0.45.1, 0.45.2, 0.45.3, 0.46.0, 0.46.1, 0.46.2, 0.46.3</t>
        </is>
      </c>
      <c r="D218" s="14" t="n">
        <v>12</v>
      </c>
      <c r="E218" s="14" t="n"/>
      <c r="F218" s="14" t="n"/>
      <c r="G218" s="14" t="inlineStr">
        <is>
          <t>The LLM swapped the 1-qubit FakeArmonk for the 5-qubit FakeVigo, so the Bell circuit runs. The updated test allows the fake device's noise (same code as claude-opus-5-5, gpt-6.1-sol and gpt-6-astra).</t>
        </is>
      </c>
      <c r="H218" s="14" t="n">
        <v>4</v>
      </c>
    </row>
    <row r="219">
      <c r="A219" s="17" t="inlineStr">
        <is>
          <t>Runtime error</t>
        </is>
      </c>
      <c r="B219" s="14" t="inlineStr">
        <is>
          <t>issue_624</t>
        </is>
      </c>
      <c r="C219" s="14" t="inlineStr">
        <is>
          <t>0.25.0, 0.25.1, 0.25.2, 0.25.3, 0.45.0, 0.45.1, 0.45.2, 0.45.3, 0.46.0, 0.46.1, 0.46.2, 0.46.3</t>
        </is>
      </c>
      <c r="D219" s="14" t="n">
        <v>12</v>
      </c>
      <c r="E219" s="14" t="inlineStr">
        <is>
          <t>QiskitError, AttributeError</t>
        </is>
      </c>
      <c r="F219" s="14" t="inlineStr">
        <is>
          <t>AttributeError: 'SparsePauliOp' object has no attribute 'primitive_strings'</t>
        </is>
      </c>
      <c r="G219" s="14" t="inlineStr">
        <is>
          <t>Instead of converting the user's circuit H into an operator, the LLM invented a new cost operator (a sum of Z on each qubit, as a SparsePauliOp) and kept H as the mixer. The opflow QAOA in these versions rejects the SparsePauliOp ('Invalid input data for PauliTable' on 0.25.x, no attribute primitive_strings on 0.45.x / 0.46.x), and the operator isn't the user's problem anyway. Both luna models crashed too; the other models passed.</t>
        </is>
      </c>
      <c r="H219" s="14" t="n">
        <v>4</v>
      </c>
    </row>
    <row r="220">
      <c r="A220" s="17" t="inlineStr">
        <is>
          <t>Runtime error</t>
        </is>
      </c>
      <c r="B220" s="14" t="inlineStr">
        <is>
          <t>issue_635</t>
        </is>
      </c>
      <c r="C220" s="14" t="inlineStr">
        <is>
          <t>0.25.0, 0.25.1, 0.25.2, 0.25.3</t>
        </is>
      </c>
      <c r="D220" s="14" t="n">
        <v>4</v>
      </c>
      <c r="E220" s="14" t="inlineStr">
        <is>
          <t>ModuleNotFoundError</t>
        </is>
      </c>
      <c r="F220" s="14" t="inlineStr">
        <is>
          <t>ModuleNotFoundError: No module named 'qiskit_aer'</t>
        </is>
      </c>
      <c r="G220" s="14" t="inlineStr">
        <is>
          <t>The LLM didn't touch the c_if conditions the question is about; it only replaced execute() with backend.run(transpile(...)) and moved Aer to qiskit_aer, and the Aer 0.8 that comes with Qiskit 0.25, the only versions this case runs on, can only be imported as qiskit.providers.aer (ModuleNotFoundError). gpt-6.1-sol is the only model that passes this case.</t>
        </is>
      </c>
      <c r="H220" s="14" t="n">
        <v>4</v>
      </c>
    </row>
    <row r="221">
      <c r="A221" s="17" t="inlineStr">
        <is>
          <t>Runtime error</t>
        </is>
      </c>
      <c r="B221" s="14" t="inlineStr">
        <is>
          <t>issue_662</t>
        </is>
      </c>
      <c r="C221" s="14" t="inlineStr">
        <is>
          <t>0.45.0, 0.45.1, 0.45.2, 0.45.3, 0.46.0, 0.46.1, 0.46.2, 0.46.3, 1.0.0, 1.0.1, 1.0.2, 1.1.0, 1.1.1, 1.1.2, 1.2.0, 1.2.1, 1.2.2, 1.2.4, 2.0.0, 2.2.0, 2.3.0, 2.4.0, 2.5.0</t>
        </is>
      </c>
      <c r="D221" s="14" t="n">
        <v>23</v>
      </c>
      <c r="E221" s="14" t="inlineStr">
        <is>
          <t>AttributeError</t>
        </is>
      </c>
      <c r="F221" s="14" t="inlineStr">
        <is>
          <t>AttributeError: 'DAGOpNode' object has no attribute 'type'</t>
        </is>
      </c>
      <c r="G221" s="14" t="inlineStr">
        <is>
          <t>The LLM switched the loop to dag.op_nodes() to count every gate, but kept the buggy code's node.type check, and DAGOpNode no longer has a type attribute (AttributeError). Same code as both luna models; the other models passed.</t>
        </is>
      </c>
      <c r="H221" s="14" t="n">
        <v>4</v>
      </c>
    </row>
    <row r="222">
      <c r="A222" s="15" t="inlineStr">
        <is>
          <t>Passed on test</t>
        </is>
      </c>
      <c r="B222" s="14" t="inlineStr">
        <is>
          <t>issue_663</t>
        </is>
      </c>
      <c r="C222" s="14" t="inlineStr">
        <is>
          <t>0.45.0, 0.45.1, 0.45.2, 0.45.3, 0.46.0, 0.46.1, 0.46.2, 0.46.3</t>
        </is>
      </c>
      <c r="D222" s="14" t="n">
        <v>8</v>
      </c>
      <c r="E222" s="14" t="n"/>
      <c r="F222" s="14" t="n"/>
      <c r="G222" s="14" t="inlineStr">
        <is>
          <t>The LLM measured each qubit into its classical bit, so the counts are no longer always 000 (same code as claude-sonnet-5-5, gpt-6.1-sol, gpt-6-astra and gpt-6-luna).</t>
        </is>
      </c>
      <c r="H222" s="14" t="n">
        <v>5</v>
      </c>
    </row>
    <row r="223">
      <c r="A223" s="15" t="inlineStr">
        <is>
          <t>Passed on test</t>
        </is>
      </c>
      <c r="B223" s="14" t="inlineStr">
        <is>
          <t>issue_671</t>
        </is>
      </c>
      <c r="C223" s="14" t="inlineStr">
        <is>
          <t>0.25.0, 0.25.1, 0.25.2, 0.25.3, 0.45.0, 0.45.1, 0.45.2, 0.45.3, 0.46.0, 0.46.1, 0.46.2, 0.46.3, 1.0.0, 1.0.1, 1.0.2, 1.1.0, 1.1.1, 1.1.2, 1.2.0, 1.2.1, 1.2.2, 1.2.4, 2.0.0, 2.2.0, 2.3.0, 2.4.0, 2.5.0</t>
        </is>
      </c>
      <c r="D223" s="14" t="n">
        <v>27</v>
      </c>
      <c r="E223" s="14" t="n"/>
      <c r="F223" s="14" t="n"/>
      <c r="G223" s="14" t="inlineStr">
        <is>
          <t>QuantumCircuit(a, *v, b) unpacks the list of registers, which builds exactly the registers the question asks for. The updated test checks the registers, not the answer's example gates (same code as every other model).</t>
        </is>
      </c>
      <c r="H223" s="14" t="n">
        <v>5</v>
      </c>
    </row>
    <row r="224">
      <c r="A224" s="17" t="inlineStr">
        <is>
          <t>Runtime error</t>
        </is>
      </c>
      <c r="B224" s="14" t="inlineStr">
        <is>
          <t>issue_727</t>
        </is>
      </c>
      <c r="C224" s="14" t="inlineStr">
        <is>
          <t>0.25.0, 0.25.1, 0.25.2, 0.25.3, 0.45.0, 0.45.1, 0.45.2, 0.45.3, 0.46.0, 0.46.1, 0.46.2, 0.46.3</t>
        </is>
      </c>
      <c r="D224" s="14" t="n">
        <v>12</v>
      </c>
      <c r="E224" s="14" t="inlineStr">
        <is>
          <t>TypeError</t>
        </is>
      </c>
      <c r="F224" s="14" t="inlineStr">
        <is>
          <t>TypeError: unsupported operand type(s) for ** or pow(): 'int' and 'Parameter'</t>
        </is>
      </c>
      <c r="G224" s="14" t="inlineStr">
        <is>
          <t>The LLM wrote NO BUG above its code block, saying ParameterExpression supports 2 ** k, and returned the code unchanged, but in these versions int ** Parameter raises TypeError ('unsupported operand type(s) for ** or pow()'). Every other model passed (the Claude models and gpt-6.1-sol / gpt-6-astra rewrote 2 ** k with exp()).</t>
        </is>
      </c>
      <c r="H224" s="14" t="n">
        <v>5</v>
      </c>
    </row>
    <row r="225">
      <c r="A225" s="15" t="inlineStr">
        <is>
          <t>Passed on test</t>
        </is>
      </c>
      <c r="B225" s="14" t="inlineStr">
        <is>
          <t>issue_742</t>
        </is>
      </c>
      <c r="C225" s="14" t="inlineStr">
        <is>
          <t>1.1.0, 1.1.1, 1.1.2, 1.2.0, 1.2.1, 1.2.2, 1.2.4, 2.0.0, 2.2.0, 2.3.0, 2.4.0, 2.5.0</t>
        </is>
      </c>
      <c r="D225" s="14" t="n">
        <v>12</v>
      </c>
      <c r="E225" s="14" t="n"/>
      <c r="F225" s="14" t="n"/>
      <c r="G225" s="14" t="inlineStr">
        <is>
          <t>The LLM converted the Operator observable with SparsePauliOp.from_operator(O) (same code as every other model).</t>
        </is>
      </c>
      <c r="H225" s="14" t="n">
        <v>5</v>
      </c>
    </row>
    <row r="226">
      <c r="A226" s="15" t="inlineStr">
        <is>
          <t>Passed on test</t>
        </is>
      </c>
      <c r="B226" s="14" t="inlineStr">
        <is>
          <t>issue_747</t>
        </is>
      </c>
      <c r="C226" s="14" t="inlineStr">
        <is>
          <t>0.45.0, 0.45.1, 0.45.2, 0.45.3, 0.46.0, 0.46.1, 0.46.2, 0.46.3</t>
        </is>
      </c>
      <c r="D226" s="14" t="n">
        <v>8</v>
      </c>
      <c r="E226" s="14" t="n"/>
      <c r="F226" s="14" t="n"/>
      <c r="G226" s="14" t="inlineStr">
        <is>
          <t>The LLM measured the three qubits into the existing classical register, so the count keys are 000 / 111 (same code as claude-sonnet-5-5, claude-opus-5-5 and gpt-6-astra).</t>
        </is>
      </c>
      <c r="H226" s="14" t="n">
        <v>5</v>
      </c>
    </row>
    <row r="227">
      <c r="A227" s="17" t="inlineStr">
        <is>
          <t>Runtime error</t>
        </is>
      </c>
      <c r="B227" s="14" t="inlineStr">
        <is>
          <t>issue_750</t>
        </is>
      </c>
      <c r="C227" s="14" t="inlineStr">
        <is>
          <t>0.45.0, 0.45.1, 0.45.2, 0.45.3, 0.46.0, 0.46.1, 0.46.2, 0.46.3, 1.0.0, 1.0.1, 1.0.2, 1.1.0, 1.1.1, 1.1.2, 1.2.0, 1.2.1, 1.2.2, 1.2.4, 2.0.0, 2.2.0, 2.3.0, 2.4.0, 2.5.0</t>
        </is>
      </c>
      <c r="D227" s="14" t="n">
        <v>23</v>
      </c>
      <c r="E227" s="14" t="inlineStr">
        <is>
          <t>TypeError</t>
        </is>
      </c>
      <c r="F227" s="14" t="inlineStr">
        <is>
          <t>TypeError: Pauli.__init__() got an unexpected keyword argument 'label'</t>
        </is>
      </c>
      <c r="G227" s="14" t="inlineStr">
        <is>
          <t>The LLM wrote NO BUG above its code block and returned the code unchanged, but Pauli(label=...) no longer exists (TypeError: Pauli.__init__() got an unexpected keyword argument 'label'). Same answer as claude-sonnet-5-5 and both luna models; claude-opus-5-5, gpt-6.1-sol and gpt-6-astra passed the label positionally and passed.</t>
        </is>
      </c>
      <c r="H227" s="14" t="n">
        <v>5</v>
      </c>
    </row>
    <row r="228">
      <c r="A228" s="17" t="inlineStr">
        <is>
          <t>Runtime error</t>
        </is>
      </c>
      <c r="B228" s="14" t="inlineStr">
        <is>
          <t>issue_769</t>
        </is>
      </c>
      <c r="C228" s="14" t="inlineStr">
        <is>
          <t>1.0.0, 1.0.1, 1.0.2, 1.1.0, 1.1.1, 1.1.2, 1.2.0, 1.2.1, 1.2.2, 1.2.4, 2.0.0, 2.2.0, 2.3.0, 2.4.0, 2.5.0</t>
        </is>
      </c>
      <c r="D228" s="14" t="n">
        <v>15</v>
      </c>
      <c r="E228" s="14" t="inlineStr">
        <is>
          <t>KeyError</t>
        </is>
      </c>
      <c r="F228" s="14" t="inlineStr">
        <is>
          <t>KeyError: 'get_qiskit_gate'</t>
        </is>
      </c>
      <c r="G228" s="14" t="inlineStr">
        <is>
          <t>The LLM imported UnitaryGate from its current location and compared the unitary with a fixed list of standard gates (I, X, Y, Z, H, S, T), printing the matching name, which answers the user's question for those gates, and the script runs; but the test calls the reference answer's function get_qiskit_gate() by name (KeyError). Over-specific test, and every model fails it.</t>
        </is>
      </c>
      <c r="H228" s="14" t="n">
        <v>5</v>
      </c>
    </row>
    <row r="229">
      <c r="A229" s="15" t="inlineStr">
        <is>
          <t>Passed on test</t>
        </is>
      </c>
      <c r="B229" s="14" t="inlineStr">
        <is>
          <t>issue_773</t>
        </is>
      </c>
      <c r="C229" s="14" t="inlineStr">
        <is>
          <t>0.45.0, 0.45.1, 0.45.2, 0.45.3, 0.46.0, 0.46.1, 0.46.2, 0.46.3</t>
        </is>
      </c>
      <c r="D229" s="14" t="n">
        <v>8</v>
      </c>
      <c r="E229" s="14" t="n"/>
      <c r="F229" s="14" t="n"/>
      <c r="G229" s="14" t="inlineStr">
        <is>
          <t>The LLM removed the IBMQ job_monitor import that shadowed the general one (same code as every other model).</t>
        </is>
      </c>
      <c r="H229" s="14" t="n">
        <v>5</v>
      </c>
    </row>
    <row r="230">
      <c r="A230" s="15" t="inlineStr">
        <is>
          <t>Passed on test</t>
        </is>
      </c>
      <c r="B230" s="14" t="inlineStr">
        <is>
          <t>issue_775</t>
        </is>
      </c>
      <c r="C230" s="14" t="inlineStr">
        <is>
          <t>0.25.0, 0.25.1, 0.25.2, 0.25.3, 0.45.0, 0.45.1, 0.45.2, 0.45.3, 0.46.0, 0.46.1, 0.46.2, 0.46.3</t>
        </is>
      </c>
      <c r="D230" s="14" t="n">
        <v>12</v>
      </c>
      <c r="E230" s="14" t="n"/>
      <c r="F230" s="14" t="n"/>
      <c r="G230" s="14" t="inlineStr">
        <is>
          <t>The LLM imported QuantumCircuit, parsed the OpenQASM string with QuantumCircuit.from_qasm_str() and passed the circuit to execute(), keeping Aer from qiskit, so it runs on all 12 versions. The updated test checks the executed result instead of a variable named qc.</t>
        </is>
      </c>
      <c r="H230" s="14" t="n">
        <v>5</v>
      </c>
    </row>
    <row r="231">
      <c r="A231" s="15" t="inlineStr">
        <is>
          <t>Passed on test</t>
        </is>
      </c>
      <c r="B231" s="14" t="inlineStr">
        <is>
          <t>issue_795</t>
        </is>
      </c>
      <c r="C231" s="14" t="inlineStr">
        <is>
          <t>0.25.0, 0.25.1, 0.25.2, 0.25.3, 0.45.0, 0.45.1, 0.45.2, 0.45.3, 0.46.0, 0.46.1, 0.46.2, 0.46.3</t>
        </is>
      </c>
      <c r="D231" s="14" t="n">
        <v>12</v>
      </c>
      <c r="E231" s="14" t="n"/>
      <c r="F231" s="14" t="n"/>
      <c r="G231" s="14" t="inlineStr">
        <is>
          <t>The LLM appended the operator's matrix with circuit.unitary(...to_matrix(), [0]), so to_gate() succeeds (same code as claude-sonnet-5-5 and all four GPT models).</t>
        </is>
      </c>
      <c r="H231" s="14" t="n">
        <v>5</v>
      </c>
    </row>
    <row r="232">
      <c r="A232" s="16" t="inlineStr">
        <is>
          <t>Failed on test</t>
        </is>
      </c>
      <c r="B232" s="14" t="inlineStr">
        <is>
          <t>issue_803</t>
        </is>
      </c>
      <c r="C232" s="14" t="inlineStr">
        <is>
          <t>0.25.0, 0.25.1, 0.25.2, 0.25.3</t>
        </is>
      </c>
      <c r="D232" s="14" t="n">
        <v>4</v>
      </c>
      <c r="E232" s="14" t="inlineStr">
        <is>
          <t>AssertionError</t>
        </is>
      </c>
      <c r="F232" s="14" t="inlineStr">
        <is>
          <t>ValueError: The truth value of an array with more than one element is ambiguous. Use a.any() or a.all(); AssertionError: array([list([53, 47]), list([100]), list([100])], dtype=object) is not an instance of &lt;class 'list'&gt;</t>
        </is>
      </c>
      <c r="G232" s="14"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H232" s="14" t="n">
        <v>6</v>
      </c>
    </row>
    <row r="233">
      <c r="A233" s="17" t="inlineStr">
        <is>
          <t>Runtime error</t>
        </is>
      </c>
      <c r="B233" s="14" t="inlineStr">
        <is>
          <t>issue_803</t>
        </is>
      </c>
      <c r="C233" s="14" t="inlineStr">
        <is>
          <t>0.45.0, 0.45.1, 0.45.2, 0.45.3, 0.46.0, 0.46.1, 0.46.2, 0.46.3</t>
        </is>
      </c>
      <c r="D233" s="14" t="n">
        <v>8</v>
      </c>
      <c r="E233" s="14" t="inlineStr">
        <is>
          <t>ValueError</t>
        </is>
      </c>
      <c r="F233" s="14"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G233" s="14" t="inlineStr">
        <is>
          <t>Error on 0.45.x / 0.46.x, failed on 0.25.x: the LLM turned the list of count dictionaries into a NumPy array of value lists, which loses the outcome keys; the test wants one counts dictionary per circuit, and newer NumPy refuses the ragged array (ValueError). Same code as claude-sonnet-5-5, gpt-6.1-sol and gpt-6-astra; every model fails this case.</t>
        </is>
      </c>
      <c r="H233" s="14" t="n">
        <v>6</v>
      </c>
    </row>
    <row r="234">
      <c r="A234" s="15" t="inlineStr">
        <is>
          <t>Passed on test</t>
        </is>
      </c>
      <c r="B234" s="14" t="inlineStr">
        <is>
          <t>issue_810</t>
        </is>
      </c>
      <c r="C234" s="14" t="inlineStr">
        <is>
          <t>0.45.1, 0.46.2</t>
        </is>
      </c>
      <c r="D234" s="14" t="n">
        <v>2</v>
      </c>
      <c r="E234" s="14" t="n"/>
      <c r="F234" s="14" t="n"/>
      <c r="G234" s="14" t="inlineStr">
        <is>
          <t>The LLM replaced job.result(job) with job.result().get_counts(), which returns the raw counts dictionary. The updated test accepts any variable name and the script's own shot count (same code as claude-sonnet-5-5 and both luna models).</t>
        </is>
      </c>
      <c r="H234" s="14" t="n">
        <v>6</v>
      </c>
    </row>
    <row r="235">
      <c r="A235" s="15" t="inlineStr">
        <is>
          <t>Passed on test</t>
        </is>
      </c>
      <c r="B235" s="14" t="inlineStr">
        <is>
          <t>issue_816</t>
        </is>
      </c>
      <c r="C235" s="14" t="inlineStr">
        <is>
          <t>0.45.0, 0.45.1, 0.45.2, 0.45.3, 0.46.0, 0.46.1, 0.46.2, 0.46.3, 1.0.0, 1.0.1, 1.0.2, 1.1.0, 1.1.1, 1.1.2, 1.2.0, 1.2.1, 1.2.2, 1.2.4, 2.0.0, 2.2.0, 2.3.0, 2.4.0, 2.5.0</t>
        </is>
      </c>
      <c r="D235" s="14" t="n">
        <v>23</v>
      </c>
      <c r="E235" s="14" t="n"/>
      <c r="F235" s="14" t="n"/>
      <c r="G235" s="14" t="inlineStr">
        <is>
          <t>The LLM passed memory=True to simulator.run() (same code as every other model).</t>
        </is>
      </c>
      <c r="H235" s="14" t="n">
        <v>6</v>
      </c>
    </row>
    <row r="236">
      <c r="A236" s="17" t="inlineStr">
        <is>
          <t>Runtime error</t>
        </is>
      </c>
      <c r="B236" s="14" t="inlineStr">
        <is>
          <t>issue_876</t>
        </is>
      </c>
      <c r="C236" s="14" t="inlineStr">
        <is>
          <t>1.0.0, 1.0.1, 1.0.2, 1.1.0, 1.1.1, 1.1.2, 1.2.0, 1.2.1, 1.2.2, 1.2.4, 2.0.0, 2.2.0, 2.3.0, 2.4.0, 2.5.0</t>
        </is>
      </c>
      <c r="D236" s="14" t="n">
        <v>15</v>
      </c>
      <c r="E236" s="14" t="inlineStr">
        <is>
          <t>QiskitError</t>
        </is>
      </c>
      <c r="F236" s="14" t="inlineStr">
        <is>
          <t>qiskit.exceptions.QiskitError: 'ERROR:  [Experiment 0] Insufficient memory to run circuit QFT using the statevector simulator. Required memory: 18446744073709551615M, max memory: 16024M ,  ERROR: Insufficient memory to run circuit QFT using the statevector simulator. Required memory: 18446744073709551615M, max memory: 16024M'</t>
        </is>
      </c>
      <c r="G236" s="14" t="inlineStr">
        <is>
          <t>The LLM added save_statevector() to the transpiled circuit, but the circuit was transpiled for the 127-qubit FakeBrisbane, so Aer would need a 127-qubit statevector and refuses ('Insufficient memory to run circuit QFT'). It also ignores the noise the question is about, and the test reads the reference's variable rho_real. Same code as claude-sonnet-5-5; every model fails this case.</t>
        </is>
      </c>
      <c r="H236" s="14" t="n">
        <v>6</v>
      </c>
    </row>
    <row r="237">
      <c r="A237" s="17" t="inlineStr">
        <is>
          <t>Runtime error</t>
        </is>
      </c>
      <c r="B237" s="14" t="inlineStr">
        <is>
          <t>issue_877</t>
        </is>
      </c>
      <c r="C237" s="14" t="inlineStr">
        <is>
          <t>0.45.0, 0.45.1, 0.45.2, 0.45.3, 0.46.0, 0.46.1, 0.46.2, 0.46.3</t>
        </is>
      </c>
      <c r="D237" s="14" t="n">
        <v>8</v>
      </c>
      <c r="E237" s="14" t="inlineStr">
        <is>
          <t>ModuleNotFoundError</t>
        </is>
      </c>
      <c r="F237" s="14" t="inlineStr">
        <is>
          <t>ModuleNotFoundError: No module named 'qiskit_ibm_runtime'</t>
        </is>
      </c>
      <c r="G237" s="14" t="inlineStr">
        <is>
          <t>The LLM defined the missing backend as FakeWashingtonV2 from qiskit_ibm_runtime.fake_provider, but qiskit_ibm_runtime isn't installed for Qiskit 0.45 / 0.46 (ModuleNotFoundError). gpt-6-astra, claude-opus-5-5 and claude-sonnet-5-5 crashed the same way; gpt-6-luna's bundled FakeMontreal passed.</t>
        </is>
      </c>
      <c r="H237" s="14" t="n">
        <v>6</v>
      </c>
    </row>
    <row r="238">
      <c r="A238" s="15" t="inlineStr">
        <is>
          <t>Passed on test</t>
        </is>
      </c>
      <c r="B238" s="14" t="inlineStr">
        <is>
          <t>issue_886</t>
        </is>
      </c>
      <c r="C238" s="14" t="inlineStr">
        <is>
          <t>0.45.0, 0.45.1</t>
        </is>
      </c>
      <c r="D238" s="14" t="n">
        <v>2</v>
      </c>
      <c r="E238" s="14" t="n"/>
      <c r="F238" s="14" t="n"/>
      <c r="G238" s="14" t="inlineStr">
        <is>
          <t>The LLM transpiled the circuit for the qasm_simulator before running it, which decomposes the crx gate Aer can't run. The updated test checks the job result regardless of the unused classical register and the variable name (same code as claude-opus-5-5, gpt-6.1-sol and both luna models).</t>
        </is>
      </c>
      <c r="H238" s="14" t="n">
        <v>6</v>
      </c>
    </row>
    <row r="239">
      <c r="A239" s="16" t="inlineStr">
        <is>
          <t>Failed on test</t>
        </is>
      </c>
      <c r="B239" s="14" t="inlineStr">
        <is>
          <t>issue_889</t>
        </is>
      </c>
      <c r="C239" s="14" t="inlineStr">
        <is>
          <t>0.45.0, 0.45.1, 0.45.2, 0.45.3, 0.46.0, 0.46.1, 0.46.2, 0.46.3</t>
        </is>
      </c>
      <c r="D239" s="14" t="n">
        <v>8</v>
      </c>
      <c r="E239" s="14" t="inlineStr">
        <is>
          <t>AssertionError</t>
        </is>
      </c>
      <c r="F239" s="14" t="inlineStr">
        <is>
          <t>AssertionError:</t>
        </is>
      </c>
      <c r="G239" s="14"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H239" s="14" t="n">
        <v>6</v>
      </c>
    </row>
    <row r="240">
      <c r="A240" s="17" t="inlineStr">
        <is>
          <t>Runtime error</t>
        </is>
      </c>
      <c r="B240" s="14" t="inlineStr">
        <is>
          <t>issue_889</t>
        </is>
      </c>
      <c r="C240" s="14" t="inlineStr">
        <is>
          <t>0.25.0, 0.25.1, 0.25.2, 0.25.3</t>
        </is>
      </c>
      <c r="D240" s="14" t="n">
        <v>4</v>
      </c>
      <c r="E240" s="14" t="inlineStr">
        <is>
          <t>ImportError</t>
        </is>
      </c>
      <c r="F240" s="14" t="inlineStr">
        <is>
          <t>ImportError: cannot import name 'PauliEvolutionGate' from 'qiskit.circuit.library' (C:\qiskit_envs\q0250\lib\site-packages\qiskit\circuit\library\__init__.py)</t>
        </is>
      </c>
      <c r="G240" s="14" t="inlineStr">
        <is>
          <t>Error on 0.25.x, failed on 0.45.x / 0.46.x: the LLM changed the hopping term to (XX + YY) / 2 and appended PauliEvolutionGate(H.primitive, time=time_). PauliEvolutionGate doesn't exist in Qiskit 0.25 (ImportError), and on 0.45 / 0.46 the changed Hamiltonian, evolved with a single Lie-Trotter step, no longer matches the exact evolution of the Hamiltonian in the question. Every model fails this case.</t>
        </is>
      </c>
      <c r="H240" s="14" t="n">
        <v>6</v>
      </c>
    </row>
    <row r="241">
      <c r="A241" s="17" t="inlineStr">
        <is>
          <t>Runtime error</t>
        </is>
      </c>
      <c r="B241" s="14" t="inlineStr">
        <is>
          <t>issue_911</t>
        </is>
      </c>
      <c r="C241" s="14" t="inlineStr">
        <is>
          <t>0.45.0, 0.45.1, 0.45.2, 0.45.3, 0.46.0, 0.46.1, 0.46.2, 0.46.3, 1.0.0, 1.0.1, 1.0.2, 1.1.0, 1.1.1, 1.1.2, 1.2.0, 1.2.1, 1.2.2, 1.2.4, 2.0.0, 2.2.0, 2.3.0, 2.4.0, 2.5.0</t>
        </is>
      </c>
      <c r="D241" s="14" t="n">
        <v>23</v>
      </c>
      <c r="E241" s="14" t="inlineStr">
        <is>
          <t>IndexError</t>
        </is>
      </c>
      <c r="F241" s="14" t="inlineStr">
        <is>
          <t>IndexError: list index out of range</t>
        </is>
      </c>
      <c r="G241" s="14" t="inlineStr">
        <is>
          <t>The LLM replaced the removed Qubit attributes with qc.find_bit(qargs[1]), but still reads qargs[1] for every instruction, so the first single-qubit gate raises IndexError: list index out of range. claude-sonnet-5-5 (looping over every qubit) and gpt-5.6-luna passed.</t>
        </is>
      </c>
      <c r="H241" s="14" t="n">
        <v>6</v>
      </c>
    </row>
    <row r="242">
      <c r="A242" s="15" t="inlineStr">
        <is>
          <t>Passed on test</t>
        </is>
      </c>
      <c r="B242" s="14" t="inlineStr">
        <is>
          <t>issue_925</t>
        </is>
      </c>
      <c r="C242" s="14" t="inlineStr">
        <is>
          <t>0.25.0, 0.25.1, 0.25.2, 0.25.3</t>
        </is>
      </c>
      <c r="D242" s="14" t="n">
        <v>4</v>
      </c>
      <c r="E242" s="14" t="n"/>
      <c r="F242" s="14" t="n"/>
      <c r="G242" s="14" t="inlineStr">
        <is>
          <t>The LLM replaced the 15-qubit FakeMelbourne with BasicAer's qasm_simulator, so the 18-qubit Shor circuit runs, the same fix as the reference (and as claude-opus-5-5; claude-sonnet-5-5 used Aer's qasm_simulator). The batch run timed out on all 4 versions while the machine was busy; a single-worker rerun passed on all 4. gpt-6.1-sol and gpt-6-astra answered NO BUG, gpt-5.6-luna only added a comment, and gpt-6-luna's noisy FakeTokyo simulation timed out.</t>
        </is>
      </c>
      <c r="H242" s="14" t="n">
        <v>6</v>
      </c>
    </row>
    <row r="243">
      <c r="A243" s="15" t="inlineStr">
        <is>
          <t>Passed on test</t>
        </is>
      </c>
      <c r="B243" s="14" t="inlineStr">
        <is>
          <t>issue_944</t>
        </is>
      </c>
      <c r="C243" s="14" t="inlineStr">
        <is>
          <t>0.25.0, 0.25.1, 0.25.2, 0.25.3, 0.45.0, 0.45.1, 0.45.2, 0.45.3, 0.46.0, 0.46.1, 0.46.2, 0.46.3</t>
        </is>
      </c>
      <c r="D243" s="14" t="n">
        <v>12</v>
      </c>
      <c r="E243" s="14" t="n"/>
      <c r="F243" s="14" t="n"/>
      <c r="G243" s="14" t="inlineStr">
        <is>
          <t>The LLM built the projector |+&gt;&lt;+| as a MatrixOp from the |+&gt; state's density matrix and passed that projector to the eigensolver. The updated test accepts any operator type (the same idea as claude-sonnet-5-5, claude-opus-5-5, gpt-6.1-sol and gpt-6-astra).</t>
        </is>
      </c>
      <c r="H243" s="14" t="n">
        <v>6</v>
      </c>
    </row>
    <row r="244">
      <c r="A244" s="16" t="inlineStr">
        <is>
          <t>Failed on test</t>
        </is>
      </c>
      <c r="B244" s="14" t="inlineStr">
        <is>
          <t>issue_950</t>
        </is>
      </c>
      <c r="C244" s="14" t="inlineStr">
        <is>
          <t>0.25.0, 0.25.1, 0.25.2, 0.25.3, 0.45.0, 0.45.1, 0.45.2, 0.45.3, 0.46.0, 0.46.1, 0.46.2, 0.46.3, 1.0.0, 1.0.1, 1.0.2, 1.1.0, 1.1.1, 1.1.2, 1.2.0, 1.2.1, 1.2.2, 1.2.4, 2.0.0, 2.2.0, 2.3.0, 2.4.0, 2.5.0</t>
        </is>
      </c>
      <c r="D244" s="14" t="n">
        <v>27</v>
      </c>
      <c r="E244" s="14" t="inlineStr">
        <is>
          <t>AssertionError</t>
        </is>
      </c>
      <c r="F244" s="14" t="inlineStr">
        <is>
          <t>AssertionError:</t>
        </is>
      </c>
      <c r="G244" s="14" t="inlineStr">
        <is>
          <t>The LLM widened the identity to N qubits but kept _add(), which adds the Z operator to the identity instead of placing Z on the requested qubits (same code as claude-sonnet-5-5 and both luna models). claude-opus-5-5, gpt-6.1-sol and gpt-6-astra used compose() and passed.</t>
        </is>
      </c>
      <c r="H244" s="14" t="n">
        <v>7</v>
      </c>
    </row>
    <row r="245">
      <c r="A245" s="17" t="inlineStr">
        <is>
          <t>Runtime error</t>
        </is>
      </c>
      <c r="B245" s="14" t="inlineStr">
        <is>
          <t>issue_958</t>
        </is>
      </c>
      <c r="C245" s="14" t="inlineStr">
        <is>
          <t>0.45.0, 0.45.1, 0.45.2, 0.45.3, 0.46.0, 0.46.1, 0.46.2, 0.46.3, 1.0.0, 1.0.1, 1.0.2, 1.1.0, 1.1.1, 1.1.2, 1.2.0, 1.2.1, 1.2.2, 1.2.4, 2.0.0, 2.2.0, 2.3.0, 2.4.0, 2.5.0</t>
        </is>
      </c>
      <c r="D245" s="14" t="n">
        <v>23</v>
      </c>
      <c r="E245" s="14" t="inlineStr">
        <is>
          <t>KeyError</t>
        </is>
      </c>
      <c r="F245" s="14" t="inlineStr">
        <is>
          <t>KeyError: 'qc2'</t>
        </is>
      </c>
      <c r="G245" s="14" t="inlineStr">
        <is>
          <t>Setting the circuit's global phase to pi (qc.global_phase += np.pi) gives exactly -(H x H) and passes the check on qc, but the test also requires the reference answer's second circuit qc2 (KeyError: 'qc2'). Over-specific test, and no updated test exists for this case; the same fix as gpt-6.1-sol, gpt-6-astra and gpt-6-luna.</t>
        </is>
      </c>
      <c r="H245" s="14" t="n">
        <v>7</v>
      </c>
    </row>
    <row r="246">
      <c r="A246" s="15" t="inlineStr">
        <is>
          <t>Passed on test</t>
        </is>
      </c>
      <c r="B246" s="14" t="inlineStr">
        <is>
          <t>issue_977</t>
        </is>
      </c>
      <c r="C246" s="14" t="inlineStr">
        <is>
          <t>0.45.0, 0.45.1, 0.45.2, 0.45.3, 0.46.0, 0.46.1, 0.46.2, 0.46.3, 1.0.0, 1.0.1, 1.0.2, 1.1.0, 1.1.1, 1.1.2, 1.2.0, 1.2.1, 1.2.2, 1.2.4, 2.0.0, 2.2.0, 2.3.0, 2.4.0, 2.5.0</t>
        </is>
      </c>
      <c r="D246" s="14" t="n">
        <v>23</v>
      </c>
      <c r="E246" s="14" t="n"/>
      <c r="F246" s="14" t="n"/>
      <c r="G246" s="14" t="inlineStr">
        <is>
          <t>The LLM built the operator with SparsePauliOp.from_operator(Operator(Hamiltonian)) and dropped the buggy .to_operator() call, so H_op is a SparsePauliOp. The updated test accepts any variable name. claude-sonnet-5-5 kept .to_operator() and failed.</t>
        </is>
      </c>
      <c r="H246" s="14" t="n">
        <v>7</v>
      </c>
    </row>
    <row r="247">
      <c r="A247" s="16" t="inlineStr">
        <is>
          <t>Failed on test</t>
        </is>
      </c>
      <c r="B247" s="14" t="inlineStr">
        <is>
          <t>issue_985</t>
        </is>
      </c>
      <c r="C247" s="14" t="inlineStr">
        <is>
          <t>0.45.0, 0.45.1, 0.45.2, 0.45.3, 0.46.0, 0.46.1, 0.46.2, 0.46.3, 1.0.0, 1.0.1, 1.0.2, 1.1.0, 1.1.1, 1.1.2, 1.2.0, 1.2.1, 1.2.2, 1.2.4, 2.0.0, 2.2.0, 2.3.0, 2.4.0, 2.5.0</t>
        </is>
      </c>
      <c r="D247" s="14" t="n">
        <v>23</v>
      </c>
      <c r="E247" s="14" t="inlineStr">
        <is>
          <t>AssertionError</t>
        </is>
      </c>
      <c r="F247" s="14" t="inlineStr">
        <is>
          <t>AssertionError:</t>
        </is>
      </c>
      <c r="G247" s="14" t="inlineStr">
        <is>
          <t>The LLM replaced u1(lam) with rz(lam) and added lam / 2 to the global phase, which reproduces U1 exactly, phase included; the current test requires the phase to be dropped (determinant 1), as in the reference. The team's earlier test_before.py requires the exact U1 phase (debatable test; every model fails it).</t>
        </is>
      </c>
      <c r="H247" s="14" t="n">
        <v>7</v>
      </c>
    </row>
    <row r="248">
      <c r="A248" s="15" t="inlineStr">
        <is>
          <t>Passed on test</t>
        </is>
      </c>
      <c r="B248" s="14" t="inlineStr">
        <is>
          <t>issue_989</t>
        </is>
      </c>
      <c r="C248" s="14" t="inlineStr">
        <is>
          <t>1.0.0, 1.0.1, 1.0.2, 1.1.0, 1.1.1, 1.1.2, 1.2.0, 1.2.1, 1.2.2, 1.2.4, 2.0.0, 2.2.0, 2.3.0, 2.4.0, 2.5.0</t>
        </is>
      </c>
      <c r="D248" s="14" t="n">
        <v>15</v>
      </c>
      <c r="E248" s="14" t="n"/>
      <c r="F248" s="14" t="n"/>
      <c r="G248" s="14" t="inlineStr">
        <is>
          <t>The LLM imported Aer from qiskit_aer (same code as every other model).</t>
        </is>
      </c>
      <c r="H248" s="14" t="n">
        <v>7</v>
      </c>
    </row>
    <row r="249">
      <c r="A249" s="15" t="inlineStr">
        <is>
          <t>Passed on test</t>
        </is>
      </c>
      <c r="B249" s="14" t="inlineStr">
        <is>
          <t>issue_994</t>
        </is>
      </c>
      <c r="C249" s="14" t="inlineStr">
        <is>
          <t>0.25.0, 0.25.1, 0.25.2, 0.25.3</t>
        </is>
      </c>
      <c r="D249" s="14" t="n">
        <v>4</v>
      </c>
      <c r="E249" s="14" t="n"/>
      <c r="F249" s="14" t="n"/>
      <c r="G249" s="14" t="inlineStr">
        <is>
          <t>Adding qc.save_statevector() makes get_statevector() work on the QasmSimulator. The updated test takes the statevector from either a variable or get_statevector() (same code as claude-sonnet-5-5 and all four GPT models).</t>
        </is>
      </c>
      <c r="H249" s="14" t="n">
        <v>7</v>
      </c>
    </row>
    <row r="250">
      <c r="A250" s="15" t="inlineStr">
        <is>
          <t>Passed on test</t>
        </is>
      </c>
      <c r="B250" s="14" t="inlineStr">
        <is>
          <t>issue_1035</t>
        </is>
      </c>
      <c r="C250" s="14" t="inlineStr">
        <is>
          <t>0.45.0, 0.45.1, 0.45.2, 0.45.3, 0.46.0, 0.46.1, 0.46.2, 0.46.3</t>
        </is>
      </c>
      <c r="D250" s="14" t="n">
        <v>8</v>
      </c>
      <c r="E250" s="14" t="n"/>
      <c r="F250" s="14" t="n"/>
      <c r="G250" s="14" t="inlineStr">
        <is>
          <t>The LLM removed the cloud QiskitRuntimeService, Session and Options and ran the circuit with the local reference Estimator from qiskit.primitives, which needs no account. Both luna models (local Aer Estimator) also passed; claude-sonnet-5-5 and claude-opus-5-5 used Runtime local testing mode, which the offline test rejects, and gpt-6.1-sol and gpt-6-astra answered NO BUG.</t>
        </is>
      </c>
      <c r="H250" s="14" t="n">
        <v>7</v>
      </c>
    </row>
    <row r="251">
      <c r="A251" s="15" t="inlineStr">
        <is>
          <t>Passed on test</t>
        </is>
      </c>
      <c r="B251" s="14" t="inlineStr">
        <is>
          <t>issue_772</t>
        </is>
      </c>
      <c r="C251" s="14" t="inlineStr">
        <is>
          <t>0.25.0, 0.25.1, 0.25.2, 0.25.3, 0.45.0, 0.45.1, 0.45.2, 0.45.3, 0.46.0, 0.46.1, 0.46.2, 0.46.3</t>
        </is>
      </c>
      <c r="D251" s="14" t="n">
        <v>12</v>
      </c>
      <c r="E251" s="14" t="n"/>
      <c r="F251" s="14" t="n"/>
      <c r="G251" s="14" t="inlineStr">
        <is>
          <t>The LLM passed both register slices as one qubit list (qr1[1:2] + qr2[0:3]) to append() and kept the original UnitaryGate import, so it passes on all 12 versions (same code as claude-sonnet-5-5 and all four GPT models).</t>
        </is>
      </c>
      <c r="H251" s="14" t="n">
        <v>8</v>
      </c>
    </row>
    <row r="252">
      <c r="A252" s="16" t="inlineStr">
        <is>
          <t>Failed on test</t>
        </is>
      </c>
      <c r="B252" s="14" t="inlineStr">
        <is>
          <t>issue_790</t>
        </is>
      </c>
      <c r="C252" s="14" t="inlineStr">
        <is>
          <t>0.45.0, 0.45.1, 0.45.2, 0.45.3, 0.46.0, 0.46.1, 0.46.2, 0.46.3, 1.0.0, 1.0.1, 1.0.2, 1.1.0, 1.1.1, 1.1.2, 1.2.0, 1.2.1, 1.2.2, 1.2.4, 2.0.0, 2.2.0, 2.3.0, 2.4.0, 2.5.0</t>
        </is>
      </c>
      <c r="D252" s="14" t="n">
        <v>23</v>
      </c>
      <c r="E252" s="14" t="inlineStr">
        <is>
          <t>AssertionError</t>
        </is>
      </c>
      <c r="F252" s="14" t="inlineStr">
        <is>
          <t>AssertionError: np.float64(1.6307157390045255) not less than or equal to np.float64(0.7083783495810843) : circuit does not approximate exp(-i H) within the six-step second-order bound</t>
        </is>
      </c>
      <c r="G252" s="14" t="inlineStr">
        <is>
          <t>The LLM wrapped each Pauli term in SparsePauliOp, which removes the Pauli - Pauli subtraction crash, and passed SuzukiTrotter(order=2, reps=6) as each PauliEvolutionGate's synthesis. Each bond is then split into six steps on its own, but the bonds are still applied one after another only once, a single coarse Trotter step of the full Hamiltonian, so the distance from exp(-iH) is 1.63, above the test's bound of 0.71 (the same approach as claude-sonnet-5-5 and gpt-6.1-sol). Every model fails this case.</t>
        </is>
      </c>
      <c r="H252" s="14" t="n">
        <v>8</v>
      </c>
    </row>
    <row r="253">
      <c r="A253" s="17" t="inlineStr">
        <is>
          <t>Runtime error</t>
        </is>
      </c>
      <c r="B253" s="14" t="inlineStr">
        <is>
          <t>issue_827</t>
        </is>
      </c>
      <c r="C253" s="14" t="inlineStr">
        <is>
          <t>0.25.0, 0.25.1, 0.25.2, 0.25.3, 0.45.0, 0.45.1, 0.45.2, 0.45.3, 0.46.0, 0.46.1, 0.46.2, 0.46.3</t>
        </is>
      </c>
      <c r="D253" s="14" t="n">
        <v>12</v>
      </c>
      <c r="E253" s="14" t="inlineStr">
        <is>
          <t>ModuleNotFoundError</t>
        </is>
      </c>
      <c r="F253" s="14" t="inlineStr">
        <is>
          <t>ModuleNotFoundError: No module named 'qiskit.backends'</t>
        </is>
      </c>
      <c r="G253" s="14" t="inlineStr">
        <is>
          <t>The LLM replaced compile() with assemble(transpile(...)), but kept the qiskit.backends.jobstatus import, which no longer exists (ModuleNotFoundError), like all four GPT models. claude-sonnet-5-5 passed on all 12 versions and claude-opus-5-5 on 8 by switching to qiskit.providers.jobstatus.</t>
        </is>
      </c>
      <c r="H253" s="14" t="n">
        <v>8</v>
      </c>
    </row>
    <row r="254">
      <c r="A254" s="17" t="inlineStr">
        <is>
          <t>Runtime error</t>
        </is>
      </c>
      <c r="B254" s="14" t="inlineStr">
        <is>
          <t>issue_858</t>
        </is>
      </c>
      <c r="C254" s="14" t="inlineStr">
        <is>
          <t>0.45.0, 0.45.1, 0.45.2, 0.45.3, 0.46.0, 0.46.1, 0.46.2, 0.46.3</t>
        </is>
      </c>
      <c r="D254" s="14" t="n">
        <v>8</v>
      </c>
      <c r="E254" s="14" t="inlineStr">
        <is>
          <t>OfflineAccessDenied</t>
        </is>
      </c>
      <c r="F254" s="14" t="inlineStr">
        <is>
          <t>OfflineAccessDenied: Offline snapshot fixture forbids IBMQ.load_account</t>
        </is>
      </c>
      <c r="G254" s="14" t="inlineStr">
        <is>
          <t>The LLM answered NO BUG, saying ibm_oslo is retired and no code change can fix that, and returned the code unchanged, so it still calls IBMQ.load_account(), which the offline test blocks (OfflineAccessDenied). The question asks for the T1 data of the retired device, which the reference reads from the bundled FakeOslo snapshot. Every model fails this case.</t>
        </is>
      </c>
      <c r="H254" s="14" t="n">
        <v>8</v>
      </c>
    </row>
    <row r="255">
      <c r="A255" s="15" t="inlineStr">
        <is>
          <t>Passed on test</t>
        </is>
      </c>
      <c r="B255" s="14" t="inlineStr">
        <is>
          <t>issue_901</t>
        </is>
      </c>
      <c r="C255" s="14" t="inlineStr">
        <is>
          <t>0.45.0, 0.45.1, 0.45.2, 0.45.3, 0.46.0, 0.46.1, 0.46.2, 0.46.3, 1.0.0, 1.0.1, 1.0.2, 1.1.0, 1.1.1, 1.1.2, 1.2.0, 1.2.1, 1.2.2, 1.2.4, 2.0.0</t>
        </is>
      </c>
      <c r="D255" s="14" t="n">
        <v>19</v>
      </c>
      <c r="E255" s="14" t="n"/>
      <c r="F255" s="14" t="n"/>
      <c r="G255" s="14" t="inlineStr">
        <is>
          <t>The LLM replaced qc.s(0) with two T gates (S = T T), so the circuit uses only the {H, T, CNOT} basis (same code as gpt-6-luna). claude-sonnet-5-5 added 's' to the basis and failed.</t>
        </is>
      </c>
      <c r="H255" s="14" t="n">
        <v>8</v>
      </c>
    </row>
    <row r="256">
      <c r="A256" s="17" t="inlineStr">
        <is>
          <t>Runtime error</t>
        </is>
      </c>
      <c r="B256" s="14" t="inlineStr">
        <is>
          <t>issue_921</t>
        </is>
      </c>
      <c r="C256" s="14" t="inlineStr">
        <is>
          <t>0.25.0, 0.25.1, 0.25.2, 0.25.3</t>
        </is>
      </c>
      <c r="D256" s="14" t="n">
        <v>4</v>
      </c>
      <c r="E256" s="14" t="inlineStr">
        <is>
          <t>ImportError</t>
        </is>
      </c>
      <c r="F256" s="14" t="inlineStr">
        <is>
          <t>ImportError: cannot import name 'run_algorithm' from 'qiskit.aqua' (C:\qiskit_envs\q0250\lib\site-packages\qiskit\aqua\__init__.py)</t>
        </is>
      </c>
      <c r="G256" s="14" t="inlineStr">
        <is>
          <t>The LLM answered NO BUG, saying the code matches the Aqua API of the tutorial, and returned it unchanged, but run_algorithm can't be imported from qiskit.aqua (ImportError). Same answer as claude-sonnet-5-5 and both luna models; claude-opus-5-5 rewrote it with SparsePauliOp and NumPy and passed.</t>
        </is>
      </c>
      <c r="H256" s="14" t="n">
        <v>8</v>
      </c>
    </row>
  </sheetData>
  <conditionalFormatting sqref="B103:B17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2026-10-13T23:50:04Z</dcterms:created>
  <dcterms:modified xsi:type="dcterms:W3CDTF">2026-10-13T23:50:04Z</dcterms:modified>
</cp:coreProperties>
</file>