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ts &amp; Not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EDEDED"/>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2" fillId="0" borderId="0" pivotButton="0" quotePrefix="0" xfId="0"/>
    <xf numFmtId="0" fontId="0" fillId="4" borderId="1" pivotButton="0" quotePrefix="0" xfId="0"/>
    <xf numFmtId="164" fontId="0" fillId="0" borderId="1" pivotButton="0" quotePrefix="0" xfId="0"/>
    <xf numFmtId="0" fontId="0" fillId="5" borderId="1" pivotButton="0" quotePrefix="0" xfId="0"/>
    <xf numFmtId="0" fontId="0" fillId="6" borderId="1" pivotButton="0" quotePrefix="0" xfId="0"/>
    <xf numFmtId="0" fontId="2" fillId="0" borderId="1" pivotButton="0" quotePrefix="0" xfId="0"/>
    <xf numFmtId="164" fontId="2"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7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 width="28" customWidth="1" min="105" max="105"/>
    <col width="28" customWidth="1" min="106" max="106"/>
    <col width="28" customWidth="1" min="107" max="107"/>
    <col width="28" customWidth="1" min="108" max="108"/>
    <col width="28" customWidth="1" min="109" max="109"/>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c r="AC1" s="1" t="inlineStr">
        <is>
          <t>error_type_0.25.0</t>
        </is>
      </c>
      <c r="AD1" s="1" t="inlineStr">
        <is>
          <t>error_message_0.25.0</t>
        </is>
      </c>
      <c r="AE1" s="1" t="inlineStr">
        <is>
          <t>error_description_0.25.0</t>
        </is>
      </c>
      <c r="AF1" s="1" t="inlineStr">
        <is>
          <t>error_type_0.25.1</t>
        </is>
      </c>
      <c r="AG1" s="1" t="inlineStr">
        <is>
          <t>error_message_0.25.1</t>
        </is>
      </c>
      <c r="AH1" s="1" t="inlineStr">
        <is>
          <t>error_description_0.25.1</t>
        </is>
      </c>
      <c r="AI1" s="1" t="inlineStr">
        <is>
          <t>error_type_0.25.2</t>
        </is>
      </c>
      <c r="AJ1" s="1" t="inlineStr">
        <is>
          <t>error_message_0.25.2</t>
        </is>
      </c>
      <c r="AK1" s="1" t="inlineStr">
        <is>
          <t>error_description_0.25.2</t>
        </is>
      </c>
      <c r="AL1" s="1" t="inlineStr">
        <is>
          <t>error_type_0.25.3</t>
        </is>
      </c>
      <c r="AM1" s="1" t="inlineStr">
        <is>
          <t>error_message_0.25.3</t>
        </is>
      </c>
      <c r="AN1" s="1" t="inlineStr">
        <is>
          <t>error_description_0.25.3</t>
        </is>
      </c>
      <c r="AO1" s="1" t="inlineStr">
        <is>
          <t>error_type_0.45.0</t>
        </is>
      </c>
      <c r="AP1" s="1" t="inlineStr">
        <is>
          <t>error_message_0.45.0</t>
        </is>
      </c>
      <c r="AQ1" s="1" t="inlineStr">
        <is>
          <t>error_description_0.45.0</t>
        </is>
      </c>
      <c r="AR1" s="1" t="inlineStr">
        <is>
          <t>error_type_0.45.1</t>
        </is>
      </c>
      <c r="AS1" s="1" t="inlineStr">
        <is>
          <t>error_message_0.45.1</t>
        </is>
      </c>
      <c r="AT1" s="1" t="inlineStr">
        <is>
          <t>error_description_0.45.1</t>
        </is>
      </c>
      <c r="AU1" s="1" t="inlineStr">
        <is>
          <t>error_type_0.45.2</t>
        </is>
      </c>
      <c r="AV1" s="1" t="inlineStr">
        <is>
          <t>error_message_0.45.2</t>
        </is>
      </c>
      <c r="AW1" s="1" t="inlineStr">
        <is>
          <t>error_description_0.45.2</t>
        </is>
      </c>
      <c r="AX1" s="1" t="inlineStr">
        <is>
          <t>error_type_0.45.3</t>
        </is>
      </c>
      <c r="AY1" s="1" t="inlineStr">
        <is>
          <t>error_message_0.45.3</t>
        </is>
      </c>
      <c r="AZ1" s="1" t="inlineStr">
        <is>
          <t>error_description_0.45.3</t>
        </is>
      </c>
      <c r="BA1" s="1" t="inlineStr">
        <is>
          <t>error_type_0.46.0</t>
        </is>
      </c>
      <c r="BB1" s="1" t="inlineStr">
        <is>
          <t>error_message_0.46.0</t>
        </is>
      </c>
      <c r="BC1" s="1" t="inlineStr">
        <is>
          <t>error_description_0.46.0</t>
        </is>
      </c>
      <c r="BD1" s="1" t="inlineStr">
        <is>
          <t>error_type_0.46.1</t>
        </is>
      </c>
      <c r="BE1" s="1" t="inlineStr">
        <is>
          <t>error_message_0.46.1</t>
        </is>
      </c>
      <c r="BF1" s="1" t="inlineStr">
        <is>
          <t>error_description_0.46.1</t>
        </is>
      </c>
      <c r="BG1" s="1" t="inlineStr">
        <is>
          <t>error_type_0.46.2</t>
        </is>
      </c>
      <c r="BH1" s="1" t="inlineStr">
        <is>
          <t>error_message_0.46.2</t>
        </is>
      </c>
      <c r="BI1" s="1" t="inlineStr">
        <is>
          <t>error_description_0.46.2</t>
        </is>
      </c>
      <c r="BJ1" s="1" t="inlineStr">
        <is>
          <t>error_type_0.46.3</t>
        </is>
      </c>
      <c r="BK1" s="1" t="inlineStr">
        <is>
          <t>error_message_0.46.3</t>
        </is>
      </c>
      <c r="BL1" s="1" t="inlineStr">
        <is>
          <t>error_description_0.46.3</t>
        </is>
      </c>
      <c r="BM1" s="1" t="inlineStr">
        <is>
          <t>error_type_1.0.0</t>
        </is>
      </c>
      <c r="BN1" s="1" t="inlineStr">
        <is>
          <t>error_message_1.0.0</t>
        </is>
      </c>
      <c r="BO1" s="1" t="inlineStr">
        <is>
          <t>error_description_1.0.0</t>
        </is>
      </c>
      <c r="BP1" s="1" t="inlineStr">
        <is>
          <t>error_type_1.0.1</t>
        </is>
      </c>
      <c r="BQ1" s="1" t="inlineStr">
        <is>
          <t>error_message_1.0.1</t>
        </is>
      </c>
      <c r="BR1" s="1" t="inlineStr">
        <is>
          <t>error_description_1.0.1</t>
        </is>
      </c>
      <c r="BS1" s="1" t="inlineStr">
        <is>
          <t>error_type_1.0.2</t>
        </is>
      </c>
      <c r="BT1" s="1" t="inlineStr">
        <is>
          <t>error_message_1.0.2</t>
        </is>
      </c>
      <c r="BU1" s="1" t="inlineStr">
        <is>
          <t>error_description_1.0.2</t>
        </is>
      </c>
      <c r="BV1" s="1" t="inlineStr">
        <is>
          <t>error_type_1.1.0</t>
        </is>
      </c>
      <c r="BW1" s="1" t="inlineStr">
        <is>
          <t>error_message_1.1.0</t>
        </is>
      </c>
      <c r="BX1" s="1" t="inlineStr">
        <is>
          <t>error_description_1.1.0</t>
        </is>
      </c>
      <c r="BY1" s="1" t="inlineStr">
        <is>
          <t>error_type_1.1.1</t>
        </is>
      </c>
      <c r="BZ1" s="1" t="inlineStr">
        <is>
          <t>error_message_1.1.1</t>
        </is>
      </c>
      <c r="CA1" s="1" t="inlineStr">
        <is>
          <t>error_description_1.1.1</t>
        </is>
      </c>
      <c r="CB1" s="1" t="inlineStr">
        <is>
          <t>error_type_1.1.2</t>
        </is>
      </c>
      <c r="CC1" s="1" t="inlineStr">
        <is>
          <t>error_message_1.1.2</t>
        </is>
      </c>
      <c r="CD1" s="1" t="inlineStr">
        <is>
          <t>error_description_1.1.2</t>
        </is>
      </c>
      <c r="CE1" s="1" t="inlineStr">
        <is>
          <t>error_type_1.2.0</t>
        </is>
      </c>
      <c r="CF1" s="1" t="inlineStr">
        <is>
          <t>error_message_1.2.0</t>
        </is>
      </c>
      <c r="CG1" s="1" t="inlineStr">
        <is>
          <t>error_description_1.2.0</t>
        </is>
      </c>
      <c r="CH1" s="1" t="inlineStr">
        <is>
          <t>error_type_1.2.1</t>
        </is>
      </c>
      <c r="CI1" s="1" t="inlineStr">
        <is>
          <t>error_message_1.2.1</t>
        </is>
      </c>
      <c r="CJ1" s="1" t="inlineStr">
        <is>
          <t>error_description_1.2.1</t>
        </is>
      </c>
      <c r="CK1" s="1" t="inlineStr">
        <is>
          <t>error_type_1.2.2</t>
        </is>
      </c>
      <c r="CL1" s="1" t="inlineStr">
        <is>
          <t>error_message_1.2.2</t>
        </is>
      </c>
      <c r="CM1" s="1" t="inlineStr">
        <is>
          <t>error_description_1.2.2</t>
        </is>
      </c>
      <c r="CN1" s="1" t="inlineStr">
        <is>
          <t>error_type_1.2.4</t>
        </is>
      </c>
      <c r="CO1" s="1" t="inlineStr">
        <is>
          <t>error_message_1.2.4</t>
        </is>
      </c>
      <c r="CP1" s="1" t="inlineStr">
        <is>
          <t>error_description_1.2.4</t>
        </is>
      </c>
      <c r="CQ1" s="1" t="inlineStr">
        <is>
          <t>error_type_2.0.0</t>
        </is>
      </c>
      <c r="CR1" s="1" t="inlineStr">
        <is>
          <t>error_message_2.0.0</t>
        </is>
      </c>
      <c r="CS1" s="1" t="inlineStr">
        <is>
          <t>error_description_2.0.0</t>
        </is>
      </c>
      <c r="CT1" s="1" t="inlineStr">
        <is>
          <t>error_type_2.2.0</t>
        </is>
      </c>
      <c r="CU1" s="1" t="inlineStr">
        <is>
          <t>error_message_2.2.0</t>
        </is>
      </c>
      <c r="CV1" s="1" t="inlineStr">
        <is>
          <t>error_description_2.2.0</t>
        </is>
      </c>
      <c r="CW1" s="1" t="inlineStr">
        <is>
          <t>error_type_2.3.0</t>
        </is>
      </c>
      <c r="CX1" s="1" t="inlineStr">
        <is>
          <t>error_message_2.3.0</t>
        </is>
      </c>
      <c r="CY1" s="1" t="inlineStr">
        <is>
          <t>error_description_2.3.0</t>
        </is>
      </c>
      <c r="CZ1" s="1" t="inlineStr">
        <is>
          <t>error_type_2.4.0</t>
        </is>
      </c>
      <c r="DA1" s="1" t="inlineStr">
        <is>
          <t>error_message_2.4.0</t>
        </is>
      </c>
      <c r="DB1" s="1" t="inlineStr">
        <is>
          <t>error_description_2.4.0</t>
        </is>
      </c>
      <c r="DC1" s="1" t="inlineStr">
        <is>
          <t>error_type_2.5.0</t>
        </is>
      </c>
      <c r="DD1" s="1" t="inlineStr">
        <is>
          <t>error_message_2.5.0</t>
        </is>
      </c>
      <c r="DE1" s="1" t="inlineStr">
        <is>
          <t>error_description_2.5.0</t>
        </is>
      </c>
    </row>
    <row r="2">
      <c r="A2" s="2" t="inlineStr">
        <is>
          <t>issue_009</t>
        </is>
      </c>
      <c r="B2" s="3" t="inlineStr">
        <is>
          <t>NOT_TESTED</t>
        </is>
      </c>
      <c r="C2" s="3" t="inlineStr">
        <is>
          <t>NOT_TESTED</t>
        </is>
      </c>
      <c r="D2" s="3" t="inlineStr">
        <is>
          <t>NOT_TESTED</t>
        </is>
      </c>
      <c r="E2" s="3" t="inlineStr">
        <is>
          <t>NOT_TESTED</t>
        </is>
      </c>
      <c r="F2" s="4" t="inlineStr">
        <is>
          <t>Passed on test</t>
        </is>
      </c>
      <c r="G2" s="4" t="inlineStr">
        <is>
          <t>Passed on test</t>
        </is>
      </c>
      <c r="H2" s="4" t="inlineStr">
        <is>
          <t>Passed on test</t>
        </is>
      </c>
      <c r="I2" s="4" t="inlineStr">
        <is>
          <t>Passed on test</t>
        </is>
      </c>
      <c r="J2" s="4" t="inlineStr">
        <is>
          <t>Passed on test</t>
        </is>
      </c>
      <c r="K2" s="4" t="inlineStr">
        <is>
          <t>Passed on test</t>
        </is>
      </c>
      <c r="L2" s="4" t="inlineStr">
        <is>
          <t>Passed on test</t>
        </is>
      </c>
      <c r="M2" s="4" t="inlineStr">
        <is>
          <t>Passed on test</t>
        </is>
      </c>
      <c r="N2" s="3" t="inlineStr">
        <is>
          <t>NOT_TESTED</t>
        </is>
      </c>
      <c r="O2" s="3" t="inlineStr">
        <is>
          <t>NOT_TESTED</t>
        </is>
      </c>
      <c r="P2" s="3" t="inlineStr">
        <is>
          <t>NOT_TESTED</t>
        </is>
      </c>
      <c r="Q2" s="3" t="inlineStr">
        <is>
          <t>NOT_TESTED</t>
        </is>
      </c>
      <c r="R2" s="3" t="inlineStr">
        <is>
          <t>NOT_TESTED</t>
        </is>
      </c>
      <c r="S2" s="3" t="inlineStr">
        <is>
          <t>NOT_TESTED</t>
        </is>
      </c>
      <c r="T2" s="3" t="inlineStr">
        <is>
          <t>NOT_TESTED</t>
        </is>
      </c>
      <c r="U2" s="3" t="inlineStr">
        <is>
          <t>NOT_TESTED</t>
        </is>
      </c>
      <c r="V2" s="3" t="inlineStr">
        <is>
          <t>NOT_TESTED</t>
        </is>
      </c>
      <c r="W2" s="3" t="inlineStr">
        <is>
          <t>NOT_TESTED</t>
        </is>
      </c>
      <c r="X2" s="3" t="inlineStr">
        <is>
          <t>NOT_TESTED</t>
        </is>
      </c>
      <c r="Y2" s="3" t="inlineStr">
        <is>
          <t>NOT_TESTED</t>
        </is>
      </c>
      <c r="Z2" s="3" t="inlineStr">
        <is>
          <t>NOT_TESTED</t>
        </is>
      </c>
      <c r="AA2" s="3" t="inlineStr">
        <is>
          <t>NOT_TESTED</t>
        </is>
      </c>
      <c r="AB2" s="3" t="inlineStr">
        <is>
          <t>NOT_TESTED</t>
        </is>
      </c>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row>
    <row r="3">
      <c r="A3" s="2" t="inlineStr">
        <is>
          <t>issue_018_se</t>
        </is>
      </c>
      <c r="B3" s="3" t="inlineStr">
        <is>
          <t>NOT_TESTED</t>
        </is>
      </c>
      <c r="C3" s="3" t="inlineStr">
        <is>
          <t>NOT_TESTED</t>
        </is>
      </c>
      <c r="D3" s="3" t="inlineStr">
        <is>
          <t>NOT_TESTED</t>
        </is>
      </c>
      <c r="E3" s="3" t="inlineStr">
        <is>
          <t>NOT_TESTED</t>
        </is>
      </c>
      <c r="F3" s="3" t="inlineStr">
        <is>
          <t>NOT_TESTED</t>
        </is>
      </c>
      <c r="G3" s="3" t="inlineStr">
        <is>
          <t>NOT_TESTED</t>
        </is>
      </c>
      <c r="H3" s="3" t="inlineStr">
        <is>
          <t>NOT_TESTED</t>
        </is>
      </c>
      <c r="I3" s="3" t="inlineStr">
        <is>
          <t>NOT_TESTED</t>
        </is>
      </c>
      <c r="J3" s="3" t="inlineStr">
        <is>
          <t>NOT_TESTED</t>
        </is>
      </c>
      <c r="K3" s="3" t="inlineStr">
        <is>
          <t>NOT_TESTED</t>
        </is>
      </c>
      <c r="L3" s="3" t="inlineStr">
        <is>
          <t>NOT_TESTED</t>
        </is>
      </c>
      <c r="M3" s="3" t="inlineStr">
        <is>
          <t>NOT_TESTED</t>
        </is>
      </c>
      <c r="N3" s="5" t="inlineStr">
        <is>
          <t>Failed on test</t>
        </is>
      </c>
      <c r="O3" s="5" t="inlineStr">
        <is>
          <t>Failed on test</t>
        </is>
      </c>
      <c r="P3" s="5" t="inlineStr">
        <is>
          <t>Failed on test</t>
        </is>
      </c>
      <c r="Q3" s="5" t="inlineStr">
        <is>
          <t>Failed on test</t>
        </is>
      </c>
      <c r="R3" s="5" t="inlineStr">
        <is>
          <t>Failed on test</t>
        </is>
      </c>
      <c r="S3" s="5" t="inlineStr">
        <is>
          <t>Failed on test</t>
        </is>
      </c>
      <c r="T3" s="5" t="inlineStr">
        <is>
          <t>Failed on test</t>
        </is>
      </c>
      <c r="U3" s="5" t="inlineStr">
        <is>
          <t>Failed on test</t>
        </is>
      </c>
      <c r="V3" s="5" t="inlineStr">
        <is>
          <t>Failed on test</t>
        </is>
      </c>
      <c r="W3" s="5" t="inlineStr">
        <is>
          <t>Failed on test</t>
        </is>
      </c>
      <c r="X3" s="5" t="inlineStr">
        <is>
          <t>Failed on test</t>
        </is>
      </c>
      <c r="Y3" s="5" t="inlineStr">
        <is>
          <t>Failed on test</t>
        </is>
      </c>
      <c r="Z3" s="5" t="inlineStr">
        <is>
          <t>Failed on test</t>
        </is>
      </c>
      <c r="AA3" s="5" t="inlineStr">
        <is>
          <t>Failed on test</t>
        </is>
      </c>
      <c r="AB3" s="5" t="inlineStr">
        <is>
          <t>Failed on test</t>
        </is>
      </c>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c r="BM3" s="2" t="inlineStr">
        <is>
          <t>AssertionError</t>
        </is>
      </c>
      <c r="BN3" s="2" t="inlineStr">
        <is>
          <t>RuntimeError: SIMULATOR_PROCESS_ERROR: exit=3221225477 (0xC0000005); AssertionError:</t>
        </is>
      </c>
      <c r="BO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BP3" s="2" t="inlineStr">
        <is>
          <t>AssertionError</t>
        </is>
      </c>
      <c r="BQ3" s="2" t="inlineStr">
        <is>
          <t>RuntimeError: SIMULATOR_PROCESS_ERROR: exit=3221226356 (0xC0000374); AssertionError:</t>
        </is>
      </c>
      <c r="BR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BS3" s="2" t="inlineStr">
        <is>
          <t>AssertionError</t>
        </is>
      </c>
      <c r="BT3" s="2" t="inlineStr">
        <is>
          <t>RuntimeError: SIMULATOR_PROCESS_ERROR: exit=3221226356 (0xC0000374); AssertionError:</t>
        </is>
      </c>
      <c r="BU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BV3" s="2" t="inlineStr">
        <is>
          <t>AssertionError</t>
        </is>
      </c>
      <c r="BW3" s="2" t="inlineStr">
        <is>
          <t>RuntimeError: SIMULATOR_PROCESS_ERROR: exit=3221226356 (0xC0000374); AssertionError:</t>
        </is>
      </c>
      <c r="BX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BY3" s="2" t="inlineStr">
        <is>
          <t>AssertionError</t>
        </is>
      </c>
      <c r="BZ3" s="2" t="inlineStr">
        <is>
          <t>RuntimeError: SIMULATOR_PROCESS_ERROR: exit=3221225477 (0xC0000005); AssertionError:</t>
        </is>
      </c>
      <c r="CA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B3" s="2" t="inlineStr">
        <is>
          <t>AssertionError</t>
        </is>
      </c>
      <c r="CC3" s="2" t="inlineStr">
        <is>
          <t>RuntimeError: SIMULATOR_PROCESS_ERROR: exit=3221226356 (0xC0000374); AssertionError:</t>
        </is>
      </c>
      <c r="CD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E3" s="2" t="inlineStr">
        <is>
          <t>AssertionError</t>
        </is>
      </c>
      <c r="CF3" s="2" t="inlineStr">
        <is>
          <t>RuntimeError: SIMULATOR_PROCESS_ERROR: exit=3221225477 (0xC0000005); AssertionError:</t>
        </is>
      </c>
      <c r="CG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H3" s="2" t="inlineStr">
        <is>
          <t>AssertionError</t>
        </is>
      </c>
      <c r="CI3" s="2" t="inlineStr">
        <is>
          <t>RuntimeError: SIMULATOR_PROCESS_ERROR: exit=3221225477 (0xC0000005); AssertionError:</t>
        </is>
      </c>
      <c r="CJ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K3" s="2" t="inlineStr">
        <is>
          <t>AssertionError</t>
        </is>
      </c>
      <c r="CL3" s="2" t="inlineStr">
        <is>
          <t>RuntimeError: SIMULATOR_PROCESS_ERROR: exit=3221225477 (0xC0000005); AssertionError:</t>
        </is>
      </c>
      <c r="CM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N3" s="2" t="inlineStr">
        <is>
          <t>AssertionError</t>
        </is>
      </c>
      <c r="CO3" s="2" t="inlineStr">
        <is>
          <t>RuntimeError: SIMULATOR_PROCESS_ERROR: exit=3221226356 (0xC0000374); AssertionError:</t>
        </is>
      </c>
      <c r="CP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Q3" s="2" t="inlineStr">
        <is>
          <t>AssertionError</t>
        </is>
      </c>
      <c r="CR3" s="2" t="inlineStr">
        <is>
          <t>RuntimeError: SIMULATOR_PROCESS_ERROR: exit=3221225477 (0xC0000005); AssertionError:</t>
        </is>
      </c>
      <c r="CS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T3" s="2" t="inlineStr">
        <is>
          <t>AssertionError</t>
        </is>
      </c>
      <c r="CU3" s="2" t="inlineStr">
        <is>
          <t>RuntimeError: SIMULATOR_PROCESS_ERROR: exit=3221226356 (0xC0000374); AssertionError:</t>
        </is>
      </c>
      <c r="CV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W3" s="2" t="inlineStr">
        <is>
          <t>AssertionError</t>
        </is>
      </c>
      <c r="CX3" s="2" t="inlineStr">
        <is>
          <t>RuntimeError: SIMULATOR_PROCESS_ERROR: exit=3221226356 (0xC0000374); AssertionError:</t>
        </is>
      </c>
      <c r="CY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Z3" s="2" t="inlineStr">
        <is>
          <t>AssertionError</t>
        </is>
      </c>
      <c r="DA3" s="2" t="inlineStr">
        <is>
          <t>RuntimeError: SIMULATOR_PROCESS_ERROR: exit=3221226356 (0xC0000374); AssertionError:</t>
        </is>
      </c>
      <c r="DB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DC3" s="2" t="inlineStr">
        <is>
          <t>AssertionError</t>
        </is>
      </c>
      <c r="DD3" s="2" t="inlineStr">
        <is>
          <t>RuntimeError: SIMULATOR_PROCESS_ERROR: exit=3221225477 (0xC0000005); AssertionError:</t>
        </is>
      </c>
      <c r="DE3" s="2"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row>
    <row r="4">
      <c r="A4" s="2" t="inlineStr">
        <is>
          <t>issue_021_se</t>
        </is>
      </c>
      <c r="B4" s="4" t="inlineStr">
        <is>
          <t>Passed on test</t>
        </is>
      </c>
      <c r="C4" s="4" t="inlineStr">
        <is>
          <t>Passed on test</t>
        </is>
      </c>
      <c r="D4" s="4" t="inlineStr">
        <is>
          <t>Passed on test</t>
        </is>
      </c>
      <c r="E4" s="4" t="inlineStr">
        <is>
          <t>Passed on test</t>
        </is>
      </c>
      <c r="F4" s="4" t="inlineStr">
        <is>
          <t>Passed on test</t>
        </is>
      </c>
      <c r="G4" s="4" t="inlineStr">
        <is>
          <t>Passed on test</t>
        </is>
      </c>
      <c r="H4" s="4" t="inlineStr">
        <is>
          <t>Passed on test</t>
        </is>
      </c>
      <c r="I4" s="4" t="inlineStr">
        <is>
          <t>Passed on test</t>
        </is>
      </c>
      <c r="J4" s="4" t="inlineStr">
        <is>
          <t>Passed on test</t>
        </is>
      </c>
      <c r="K4" s="4" t="inlineStr">
        <is>
          <t>Passed on test</t>
        </is>
      </c>
      <c r="L4" s="4" t="inlineStr">
        <is>
          <t>Passed on test</t>
        </is>
      </c>
      <c r="M4" s="4" t="inlineStr">
        <is>
          <t>Passed on test</t>
        </is>
      </c>
      <c r="N4" s="3" t="inlineStr">
        <is>
          <t>NOT_TESTED</t>
        </is>
      </c>
      <c r="O4" s="3" t="inlineStr">
        <is>
          <t>NOT_TESTED</t>
        </is>
      </c>
      <c r="P4" s="3" t="inlineStr">
        <is>
          <t>NOT_TESTED</t>
        </is>
      </c>
      <c r="Q4" s="3" t="inlineStr">
        <is>
          <t>NOT_TESTED</t>
        </is>
      </c>
      <c r="R4" s="3" t="inlineStr">
        <is>
          <t>NOT_TESTED</t>
        </is>
      </c>
      <c r="S4" s="3" t="inlineStr">
        <is>
          <t>NOT_TESTED</t>
        </is>
      </c>
      <c r="T4" s="3" t="inlineStr">
        <is>
          <t>NOT_TESTED</t>
        </is>
      </c>
      <c r="U4" s="3" t="inlineStr">
        <is>
          <t>NOT_TESTED</t>
        </is>
      </c>
      <c r="V4" s="3" t="inlineStr">
        <is>
          <t>NOT_TESTED</t>
        </is>
      </c>
      <c r="W4" s="3" t="inlineStr">
        <is>
          <t>NOT_TESTED</t>
        </is>
      </c>
      <c r="X4" s="3" t="inlineStr">
        <is>
          <t>NOT_TESTED</t>
        </is>
      </c>
      <c r="Y4" s="3" t="inlineStr">
        <is>
          <t>NOT_TESTED</t>
        </is>
      </c>
      <c r="Z4" s="3" t="inlineStr">
        <is>
          <t>NOT_TESTED</t>
        </is>
      </c>
      <c r="AA4" s="3" t="inlineStr">
        <is>
          <t>NOT_TESTED</t>
        </is>
      </c>
      <c r="AB4" s="3" t="inlineStr">
        <is>
          <t>NOT_TESTED</t>
        </is>
      </c>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row>
    <row r="5">
      <c r="A5" s="2" t="inlineStr">
        <is>
          <t>issue_032_se</t>
        </is>
      </c>
      <c r="B5" s="4" t="inlineStr">
        <is>
          <t>Passed on test</t>
        </is>
      </c>
      <c r="C5" s="4" t="inlineStr">
        <is>
          <t>Passed on test</t>
        </is>
      </c>
      <c r="D5" s="4" t="inlineStr">
        <is>
          <t>Passed on test</t>
        </is>
      </c>
      <c r="E5" s="4" t="inlineStr">
        <is>
          <t>Passed on test</t>
        </is>
      </c>
      <c r="F5" s="3" t="inlineStr">
        <is>
          <t>NOT_TESTED</t>
        </is>
      </c>
      <c r="G5" s="3" t="inlineStr">
        <is>
          <t>NOT_TESTED</t>
        </is>
      </c>
      <c r="H5" s="3" t="inlineStr">
        <is>
          <t>NOT_TESTED</t>
        </is>
      </c>
      <c r="I5" s="3" t="inlineStr">
        <is>
          <t>NOT_TESTED</t>
        </is>
      </c>
      <c r="J5" s="3" t="inlineStr">
        <is>
          <t>NOT_TESTED</t>
        </is>
      </c>
      <c r="K5" s="3" t="inlineStr">
        <is>
          <t>NOT_TESTED</t>
        </is>
      </c>
      <c r="L5" s="3" t="inlineStr">
        <is>
          <t>NOT_TESTED</t>
        </is>
      </c>
      <c r="M5" s="3" t="inlineStr">
        <is>
          <t>NOT_TESTED</t>
        </is>
      </c>
      <c r="N5" s="3" t="inlineStr">
        <is>
          <t>NOT_TESTED</t>
        </is>
      </c>
      <c r="O5" s="3" t="inlineStr">
        <is>
          <t>NOT_TESTED</t>
        </is>
      </c>
      <c r="P5" s="3" t="inlineStr">
        <is>
          <t>NOT_TESTED</t>
        </is>
      </c>
      <c r="Q5" s="3" t="inlineStr">
        <is>
          <t>NOT_TESTED</t>
        </is>
      </c>
      <c r="R5" s="3" t="inlineStr">
        <is>
          <t>NOT_TESTED</t>
        </is>
      </c>
      <c r="S5" s="3" t="inlineStr">
        <is>
          <t>NOT_TESTED</t>
        </is>
      </c>
      <c r="T5" s="3" t="inlineStr">
        <is>
          <t>NOT_TESTED</t>
        </is>
      </c>
      <c r="U5" s="3" t="inlineStr">
        <is>
          <t>NOT_TESTED</t>
        </is>
      </c>
      <c r="V5" s="3" t="inlineStr">
        <is>
          <t>NOT_TESTED</t>
        </is>
      </c>
      <c r="W5" s="3" t="inlineStr">
        <is>
          <t>NOT_TESTED</t>
        </is>
      </c>
      <c r="X5" s="3" t="inlineStr">
        <is>
          <t>NOT_TESTED</t>
        </is>
      </c>
      <c r="Y5" s="3" t="inlineStr">
        <is>
          <t>NOT_TESTED</t>
        </is>
      </c>
      <c r="Z5" s="3" t="inlineStr">
        <is>
          <t>NOT_TESTED</t>
        </is>
      </c>
      <c r="AA5" s="3" t="inlineStr">
        <is>
          <t>NOT_TESTED</t>
        </is>
      </c>
      <c r="AB5" s="3" t="inlineStr">
        <is>
          <t>NOT_TESTED</t>
        </is>
      </c>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2" t="n"/>
      <c r="BM5" s="2" t="n"/>
      <c r="BN5" s="2" t="n"/>
      <c r="BO5" s="2" t="n"/>
      <c r="BP5" s="2" t="n"/>
      <c r="BQ5" s="2" t="n"/>
      <c r="BR5" s="2" t="n"/>
      <c r="BS5" s="2" t="n"/>
      <c r="BT5" s="2" t="n"/>
      <c r="BU5" s="2" t="n"/>
      <c r="BV5" s="2" t="n"/>
      <c r="BW5" s="2" t="n"/>
      <c r="BX5" s="2" t="n"/>
      <c r="BY5" s="2" t="n"/>
      <c r="BZ5" s="2" t="n"/>
      <c r="CA5" s="2" t="n"/>
      <c r="CB5" s="2" t="n"/>
      <c r="CC5" s="2" t="n"/>
      <c r="CD5" s="2" t="n"/>
      <c r="CE5" s="2" t="n"/>
      <c r="CF5" s="2" t="n"/>
      <c r="CG5" s="2" t="n"/>
      <c r="CH5" s="2" t="n"/>
      <c r="CI5" s="2" t="n"/>
      <c r="CJ5" s="2" t="n"/>
      <c r="CK5" s="2" t="n"/>
      <c r="CL5" s="2" t="n"/>
      <c r="CM5" s="2" t="n"/>
      <c r="CN5" s="2" t="n"/>
      <c r="CO5" s="2" t="n"/>
      <c r="CP5" s="2" t="n"/>
      <c r="CQ5" s="2" t="n"/>
      <c r="CR5" s="2" t="n"/>
      <c r="CS5" s="2" t="n"/>
      <c r="CT5" s="2" t="n"/>
      <c r="CU5" s="2" t="n"/>
      <c r="CV5" s="2" t="n"/>
      <c r="CW5" s="2" t="n"/>
      <c r="CX5" s="2" t="n"/>
      <c r="CY5" s="2" t="n"/>
      <c r="CZ5" s="2" t="n"/>
      <c r="DA5" s="2" t="n"/>
      <c r="DB5" s="2" t="n"/>
      <c r="DC5" s="2" t="n"/>
      <c r="DD5" s="2" t="n"/>
      <c r="DE5" s="2" t="n"/>
    </row>
    <row r="6">
      <c r="A6" s="2" t="inlineStr">
        <is>
          <t>issue_034</t>
        </is>
      </c>
      <c r="B6" s="3" t="inlineStr">
        <is>
          <t>NOT_TESTED</t>
        </is>
      </c>
      <c r="C6" s="3" t="inlineStr">
        <is>
          <t>NOT_TESTED</t>
        </is>
      </c>
      <c r="D6" s="3" t="inlineStr">
        <is>
          <t>NOT_TESTED</t>
        </is>
      </c>
      <c r="E6" s="3" t="inlineStr">
        <is>
          <t>NOT_TESTED</t>
        </is>
      </c>
      <c r="F6" s="3" t="inlineStr">
        <is>
          <t>NOT_TESTED</t>
        </is>
      </c>
      <c r="G6" s="3" t="inlineStr">
        <is>
          <t>NOT_TESTED</t>
        </is>
      </c>
      <c r="H6" s="3" t="inlineStr">
        <is>
          <t>NOT_TESTED</t>
        </is>
      </c>
      <c r="I6" s="3" t="inlineStr">
        <is>
          <t>NOT_TESTED</t>
        </is>
      </c>
      <c r="J6" s="3" t="inlineStr">
        <is>
          <t>NOT_TESTED</t>
        </is>
      </c>
      <c r="K6" s="3" t="inlineStr">
        <is>
          <t>NOT_TESTED</t>
        </is>
      </c>
      <c r="L6" s="3" t="inlineStr">
        <is>
          <t>NOT_TESTED</t>
        </is>
      </c>
      <c r="M6" s="3" t="inlineStr">
        <is>
          <t>NOT_TESTED</t>
        </is>
      </c>
      <c r="N6" s="4" t="inlineStr">
        <is>
          <t>Passed on test</t>
        </is>
      </c>
      <c r="O6" s="4" t="inlineStr">
        <is>
          <t>Passed on test</t>
        </is>
      </c>
      <c r="P6" s="4" t="inlineStr">
        <is>
          <t>Passed on test</t>
        </is>
      </c>
      <c r="Q6" s="4" t="inlineStr">
        <is>
          <t>Passed on test</t>
        </is>
      </c>
      <c r="R6" s="4" t="inlineStr">
        <is>
          <t>Passed on test</t>
        </is>
      </c>
      <c r="S6" s="4" t="inlineStr">
        <is>
          <t>Passed on test</t>
        </is>
      </c>
      <c r="T6" s="4" t="inlineStr">
        <is>
          <t>Passed on test</t>
        </is>
      </c>
      <c r="U6" s="4" t="inlineStr">
        <is>
          <t>Passed on test</t>
        </is>
      </c>
      <c r="V6" s="4" t="inlineStr">
        <is>
          <t>Passed on test</t>
        </is>
      </c>
      <c r="W6" s="4" t="inlineStr">
        <is>
          <t>Passed on test</t>
        </is>
      </c>
      <c r="X6" s="4" t="inlineStr">
        <is>
          <t>Passed on test</t>
        </is>
      </c>
      <c r="Y6" s="4" t="inlineStr">
        <is>
          <t>Passed on test</t>
        </is>
      </c>
      <c r="Z6" s="4" t="inlineStr">
        <is>
          <t>Passed on test</t>
        </is>
      </c>
      <c r="AA6" s="4" t="inlineStr">
        <is>
          <t>Passed on test</t>
        </is>
      </c>
      <c r="AB6" s="4" t="inlineStr">
        <is>
          <t>Passed on test</t>
        </is>
      </c>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2" t="n"/>
      <c r="BM6" s="2" t="n"/>
      <c r="BN6" s="2" t="n"/>
      <c r="BO6" s="2" t="n"/>
      <c r="BP6" s="2" t="n"/>
      <c r="BQ6" s="2" t="n"/>
      <c r="BR6" s="2" t="n"/>
      <c r="BS6" s="2" t="n"/>
      <c r="BT6" s="2" t="n"/>
      <c r="BU6" s="2" t="n"/>
      <c r="BV6" s="2" t="n"/>
      <c r="BW6" s="2" t="n"/>
      <c r="BX6" s="2" t="n"/>
      <c r="BY6" s="2" t="n"/>
      <c r="BZ6" s="2" t="n"/>
      <c r="CA6" s="2" t="n"/>
      <c r="CB6" s="2" t="n"/>
      <c r="CC6" s="2" t="n"/>
      <c r="CD6" s="2" t="n"/>
      <c r="CE6" s="2" t="n"/>
      <c r="CF6" s="2" t="n"/>
      <c r="CG6" s="2" t="n"/>
      <c r="CH6" s="2" t="n"/>
      <c r="CI6" s="2" t="n"/>
      <c r="CJ6" s="2" t="n"/>
      <c r="CK6" s="2" t="n"/>
      <c r="CL6" s="2" t="n"/>
      <c r="CM6" s="2" t="n"/>
      <c r="CN6" s="2" t="n"/>
      <c r="CO6" s="2" t="n"/>
      <c r="CP6" s="2" t="n"/>
      <c r="CQ6" s="2" t="n"/>
      <c r="CR6" s="2" t="n"/>
      <c r="CS6" s="2" t="n"/>
      <c r="CT6" s="2" t="n"/>
      <c r="CU6" s="2" t="n"/>
      <c r="CV6" s="2" t="n"/>
      <c r="CW6" s="2" t="n"/>
      <c r="CX6" s="2" t="n"/>
      <c r="CY6" s="2" t="n"/>
      <c r="CZ6" s="2" t="n"/>
      <c r="DA6" s="2" t="n"/>
      <c r="DB6" s="2" t="n"/>
      <c r="DC6" s="2" t="n"/>
      <c r="DD6" s="2" t="n"/>
      <c r="DE6" s="2" t="n"/>
    </row>
    <row r="7">
      <c r="A7" s="2" t="inlineStr">
        <is>
          <t>issue_036</t>
        </is>
      </c>
      <c r="B7" s="3" t="inlineStr">
        <is>
          <t>NOT_TESTED</t>
        </is>
      </c>
      <c r="C7" s="3" t="inlineStr">
        <is>
          <t>NOT_TESTED</t>
        </is>
      </c>
      <c r="D7" s="3" t="inlineStr">
        <is>
          <t>NOT_TESTED</t>
        </is>
      </c>
      <c r="E7" s="3" t="inlineStr">
        <is>
          <t>NOT_TESTED</t>
        </is>
      </c>
      <c r="F7" s="3" t="inlineStr">
        <is>
          <t>NOT_TESTED</t>
        </is>
      </c>
      <c r="G7" s="3" t="inlineStr">
        <is>
          <t>NOT_TESTED</t>
        </is>
      </c>
      <c r="H7" s="3" t="inlineStr">
        <is>
          <t>NOT_TESTED</t>
        </is>
      </c>
      <c r="I7" s="3" t="inlineStr">
        <is>
          <t>NOT_TESTED</t>
        </is>
      </c>
      <c r="J7" s="3" t="inlineStr">
        <is>
          <t>NOT_TESTED</t>
        </is>
      </c>
      <c r="K7" s="3" t="inlineStr">
        <is>
          <t>NOT_TESTED</t>
        </is>
      </c>
      <c r="L7" s="3" t="inlineStr">
        <is>
          <t>NOT_TESTED</t>
        </is>
      </c>
      <c r="M7" s="3" t="inlineStr">
        <is>
          <t>NOT_TESTED</t>
        </is>
      </c>
      <c r="N7" s="4" t="inlineStr">
        <is>
          <t>Passed on test</t>
        </is>
      </c>
      <c r="O7" s="4" t="inlineStr">
        <is>
          <t>Passed on test</t>
        </is>
      </c>
      <c r="P7" s="4" t="inlineStr">
        <is>
          <t>Passed on test</t>
        </is>
      </c>
      <c r="Q7" s="4" t="inlineStr">
        <is>
          <t>Passed on test</t>
        </is>
      </c>
      <c r="R7" s="4" t="inlineStr">
        <is>
          <t>Passed on test</t>
        </is>
      </c>
      <c r="S7" s="4" t="inlineStr">
        <is>
          <t>Passed on test</t>
        </is>
      </c>
      <c r="T7" s="4" t="inlineStr">
        <is>
          <t>Passed on test</t>
        </is>
      </c>
      <c r="U7" s="4" t="inlineStr">
        <is>
          <t>Passed on test</t>
        </is>
      </c>
      <c r="V7" s="4" t="inlineStr">
        <is>
          <t>Passed on test</t>
        </is>
      </c>
      <c r="W7" s="4" t="inlineStr">
        <is>
          <t>Passed on test</t>
        </is>
      </c>
      <c r="X7" s="4" t="inlineStr">
        <is>
          <t>Passed on test</t>
        </is>
      </c>
      <c r="Y7" s="4" t="inlineStr">
        <is>
          <t>Passed on test</t>
        </is>
      </c>
      <c r="Z7" s="4" t="inlineStr">
        <is>
          <t>Passed on test</t>
        </is>
      </c>
      <c r="AA7" s="4" t="inlineStr">
        <is>
          <t>Passed on test</t>
        </is>
      </c>
      <c r="AB7" s="4" t="inlineStr">
        <is>
          <t>Passed on test</t>
        </is>
      </c>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2" t="n"/>
      <c r="CX7" s="2" t="n"/>
      <c r="CY7" s="2" t="n"/>
      <c r="CZ7" s="2" t="n"/>
      <c r="DA7" s="2" t="n"/>
      <c r="DB7" s="2" t="n"/>
      <c r="DC7" s="2" t="n"/>
      <c r="DD7" s="2" t="n"/>
      <c r="DE7" s="2" t="n"/>
    </row>
    <row r="8">
      <c r="A8" s="2" t="inlineStr">
        <is>
          <t>issue_058_se</t>
        </is>
      </c>
      <c r="B8" s="4" t="inlineStr">
        <is>
          <t>Passed on test</t>
        </is>
      </c>
      <c r="C8" s="4" t="inlineStr">
        <is>
          <t>Passed on test</t>
        </is>
      </c>
      <c r="D8" s="4" t="inlineStr">
        <is>
          <t>Passed on test</t>
        </is>
      </c>
      <c r="E8" s="4" t="inlineStr">
        <is>
          <t>Passed on test</t>
        </is>
      </c>
      <c r="F8" s="4" t="inlineStr">
        <is>
          <t>Passed on test</t>
        </is>
      </c>
      <c r="G8" s="4" t="inlineStr">
        <is>
          <t>Passed on test</t>
        </is>
      </c>
      <c r="H8" s="4" t="inlineStr">
        <is>
          <t>Passed on test</t>
        </is>
      </c>
      <c r="I8" s="4" t="inlineStr">
        <is>
          <t>Passed on test</t>
        </is>
      </c>
      <c r="J8" s="4" t="inlineStr">
        <is>
          <t>Passed on test</t>
        </is>
      </c>
      <c r="K8" s="4" t="inlineStr">
        <is>
          <t>Passed on test</t>
        </is>
      </c>
      <c r="L8" s="4" t="inlineStr">
        <is>
          <t>Passed on test</t>
        </is>
      </c>
      <c r="M8" s="4" t="inlineStr">
        <is>
          <t>Passed on test</t>
        </is>
      </c>
      <c r="N8" s="3" t="inlineStr">
        <is>
          <t>NOT_TESTED</t>
        </is>
      </c>
      <c r="O8" s="3" t="inlineStr">
        <is>
          <t>NOT_TESTED</t>
        </is>
      </c>
      <c r="P8" s="3" t="inlineStr">
        <is>
          <t>NOT_TESTED</t>
        </is>
      </c>
      <c r="Q8" s="3" t="inlineStr">
        <is>
          <t>NOT_TESTED</t>
        </is>
      </c>
      <c r="R8" s="3" t="inlineStr">
        <is>
          <t>NOT_TESTED</t>
        </is>
      </c>
      <c r="S8" s="3" t="inlineStr">
        <is>
          <t>NOT_TESTED</t>
        </is>
      </c>
      <c r="T8" s="3" t="inlineStr">
        <is>
          <t>NOT_TESTED</t>
        </is>
      </c>
      <c r="U8" s="3" t="inlineStr">
        <is>
          <t>NOT_TESTED</t>
        </is>
      </c>
      <c r="V8" s="3" t="inlineStr">
        <is>
          <t>NOT_TESTED</t>
        </is>
      </c>
      <c r="W8" s="3" t="inlineStr">
        <is>
          <t>NOT_TESTED</t>
        </is>
      </c>
      <c r="X8" s="3" t="inlineStr">
        <is>
          <t>NOT_TESTED</t>
        </is>
      </c>
      <c r="Y8" s="3" t="inlineStr">
        <is>
          <t>NOT_TESTED</t>
        </is>
      </c>
      <c r="Z8" s="3" t="inlineStr">
        <is>
          <t>NOT_TESTED</t>
        </is>
      </c>
      <c r="AA8" s="3" t="inlineStr">
        <is>
          <t>NOT_TESTED</t>
        </is>
      </c>
      <c r="AB8" s="3" t="inlineStr">
        <is>
          <t>NOT_TESTED</t>
        </is>
      </c>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2" t="n"/>
      <c r="CH8" s="2" t="n"/>
      <c r="CI8" s="2" t="n"/>
      <c r="CJ8" s="2" t="n"/>
      <c r="CK8" s="2" t="n"/>
      <c r="CL8" s="2" t="n"/>
      <c r="CM8" s="2" t="n"/>
      <c r="CN8" s="2" t="n"/>
      <c r="CO8" s="2" t="n"/>
      <c r="CP8" s="2" t="n"/>
      <c r="CQ8" s="2" t="n"/>
      <c r="CR8" s="2" t="n"/>
      <c r="CS8" s="2" t="n"/>
      <c r="CT8" s="2" t="n"/>
      <c r="CU8" s="2" t="n"/>
      <c r="CV8" s="2" t="n"/>
      <c r="CW8" s="2" t="n"/>
      <c r="CX8" s="2" t="n"/>
      <c r="CY8" s="2" t="n"/>
      <c r="CZ8" s="2" t="n"/>
      <c r="DA8" s="2" t="n"/>
      <c r="DB8" s="2" t="n"/>
      <c r="DC8" s="2" t="n"/>
      <c r="DD8" s="2" t="n"/>
      <c r="DE8" s="2" t="n"/>
    </row>
    <row r="9">
      <c r="A9" s="2" t="inlineStr">
        <is>
          <t>issue_061</t>
        </is>
      </c>
      <c r="B9" s="3" t="inlineStr">
        <is>
          <t>NOT_TESTED</t>
        </is>
      </c>
      <c r="C9" s="3" t="inlineStr">
        <is>
          <t>NOT_TESTED</t>
        </is>
      </c>
      <c r="D9" s="3" t="inlineStr">
        <is>
          <t>NOT_TESTED</t>
        </is>
      </c>
      <c r="E9" s="3" t="inlineStr">
        <is>
          <t>NOT_TESTED</t>
        </is>
      </c>
      <c r="F9" s="3" t="inlineStr">
        <is>
          <t>NOT_TESTED</t>
        </is>
      </c>
      <c r="G9" s="3" t="inlineStr">
        <is>
          <t>NOT_TESTED</t>
        </is>
      </c>
      <c r="H9" s="3" t="inlineStr">
        <is>
          <t>NOT_TESTED</t>
        </is>
      </c>
      <c r="I9" s="3" t="inlineStr">
        <is>
          <t>NOT_TESTED</t>
        </is>
      </c>
      <c r="J9" s="3" t="inlineStr">
        <is>
          <t>NOT_TESTED</t>
        </is>
      </c>
      <c r="K9" s="3" t="inlineStr">
        <is>
          <t>NOT_TESTED</t>
        </is>
      </c>
      <c r="L9" s="3" t="inlineStr">
        <is>
          <t>NOT_TESTED</t>
        </is>
      </c>
      <c r="M9" s="3" t="inlineStr">
        <is>
          <t>NOT_TESTED</t>
        </is>
      </c>
      <c r="N9" s="5" t="inlineStr">
        <is>
          <t>Failed on test</t>
        </is>
      </c>
      <c r="O9" s="5" t="inlineStr">
        <is>
          <t>Failed on test</t>
        </is>
      </c>
      <c r="P9" s="5" t="inlineStr">
        <is>
          <t>Failed on test</t>
        </is>
      </c>
      <c r="Q9" s="5" t="inlineStr">
        <is>
          <t>Failed on test</t>
        </is>
      </c>
      <c r="R9" s="5" t="inlineStr">
        <is>
          <t>Failed on test</t>
        </is>
      </c>
      <c r="S9" s="5" t="inlineStr">
        <is>
          <t>Failed on test</t>
        </is>
      </c>
      <c r="T9" s="5" t="inlineStr">
        <is>
          <t>Failed on test</t>
        </is>
      </c>
      <c r="U9" s="5" t="inlineStr">
        <is>
          <t>Failed on test</t>
        </is>
      </c>
      <c r="V9" s="5" t="inlineStr">
        <is>
          <t>Failed on test</t>
        </is>
      </c>
      <c r="W9" s="5" t="inlineStr">
        <is>
          <t>Failed on test</t>
        </is>
      </c>
      <c r="X9" s="5" t="inlineStr">
        <is>
          <t>Failed on test</t>
        </is>
      </c>
      <c r="Y9" s="5" t="inlineStr">
        <is>
          <t>Failed on test</t>
        </is>
      </c>
      <c r="Z9" s="5" t="inlineStr">
        <is>
          <t>Failed on test</t>
        </is>
      </c>
      <c r="AA9" s="5" t="inlineStr">
        <is>
          <t>Failed on test</t>
        </is>
      </c>
      <c r="AB9" s="5" t="inlineStr">
        <is>
          <t>Failed on test</t>
        </is>
      </c>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inlineStr">
        <is>
          <t>AssertionError</t>
        </is>
      </c>
      <c r="BN9" s="2" t="inlineStr">
        <is>
          <t>AssertionError: Printed register/index records do not match the actual instruction bits.</t>
        </is>
      </c>
      <c r="BO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BP9" s="2" t="inlineStr">
        <is>
          <t>AssertionError</t>
        </is>
      </c>
      <c r="BQ9" s="2" t="inlineStr">
        <is>
          <t>AssertionError: Printed register/index records do not match the actual instruction bits.</t>
        </is>
      </c>
      <c r="BR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BS9" s="2" t="inlineStr">
        <is>
          <t>AssertionError</t>
        </is>
      </c>
      <c r="BT9" s="2" t="inlineStr">
        <is>
          <t>AssertionError: Printed register/index records do not match the actual instruction bits.</t>
        </is>
      </c>
      <c r="BU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BV9" s="2" t="inlineStr">
        <is>
          <t>AssertionError</t>
        </is>
      </c>
      <c r="BW9" s="2" t="inlineStr">
        <is>
          <t>AssertionError: Printed register/index records do not match the actual instruction bits.</t>
        </is>
      </c>
      <c r="BX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BY9" s="2" t="inlineStr">
        <is>
          <t>AssertionError</t>
        </is>
      </c>
      <c r="BZ9" s="2" t="inlineStr">
        <is>
          <t>AssertionError: Printed register/index records do not match the actual instruction bits.</t>
        </is>
      </c>
      <c r="CA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B9" s="2" t="inlineStr">
        <is>
          <t>AssertionError</t>
        </is>
      </c>
      <c r="CC9" s="2" t="inlineStr">
        <is>
          <t>AssertionError: Printed register/index records do not match the actual instruction bits.</t>
        </is>
      </c>
      <c r="CD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E9" s="2" t="inlineStr">
        <is>
          <t>AssertionError</t>
        </is>
      </c>
      <c r="CF9" s="2" t="inlineStr">
        <is>
          <t>AssertionError: Printed register/index records do not match the actual instruction bits.</t>
        </is>
      </c>
      <c r="CG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H9" s="2" t="inlineStr">
        <is>
          <t>AssertionError</t>
        </is>
      </c>
      <c r="CI9" s="2" t="inlineStr">
        <is>
          <t>AssertionError: Printed register/index records do not match the actual instruction bits.</t>
        </is>
      </c>
      <c r="CJ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K9" s="2" t="inlineStr">
        <is>
          <t>AssertionError</t>
        </is>
      </c>
      <c r="CL9" s="2" t="inlineStr">
        <is>
          <t>AssertionError: Printed register/index records do not match the actual instruction bits.</t>
        </is>
      </c>
      <c r="CM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N9" s="2" t="inlineStr">
        <is>
          <t>AssertionError</t>
        </is>
      </c>
      <c r="CO9" s="2" t="inlineStr">
        <is>
          <t>AssertionError: Printed register/index records do not match the actual instruction bits.</t>
        </is>
      </c>
      <c r="CP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Q9" s="2" t="inlineStr">
        <is>
          <t>AssertionError</t>
        </is>
      </c>
      <c r="CR9" s="2" t="inlineStr">
        <is>
          <t>AssertionError: Printed register/index records do not match the actual instruction bits.</t>
        </is>
      </c>
      <c r="CS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T9" s="2" t="inlineStr">
        <is>
          <t>AssertionError</t>
        </is>
      </c>
      <c r="CU9" s="2" t="inlineStr">
        <is>
          <t>AssertionError: Printed register/index records do not match the actual instruction bits.</t>
        </is>
      </c>
      <c r="CV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W9" s="2" t="inlineStr">
        <is>
          <t>AssertionError</t>
        </is>
      </c>
      <c r="CX9" s="2" t="inlineStr">
        <is>
          <t>AssertionError: Printed register/index records do not match the actual instruction bits.</t>
        </is>
      </c>
      <c r="CY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CZ9" s="2" t="inlineStr">
        <is>
          <t>AssertionError</t>
        </is>
      </c>
      <c r="DA9" s="2" t="inlineStr">
        <is>
          <t>AssertionError: Printed register/index records do not match the actual instruction bits.</t>
        </is>
      </c>
      <c r="DB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DC9" s="2" t="inlineStr">
        <is>
          <t>AssertionError</t>
        </is>
      </c>
      <c r="DD9" s="2" t="inlineStr">
        <is>
          <t>AssertionError: Printed register/index records do not match the actual instruction bits.</t>
        </is>
      </c>
      <c r="DE9" s="2"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row>
    <row r="10">
      <c r="A10" s="2" t="inlineStr">
        <is>
          <t>issue_072</t>
        </is>
      </c>
      <c r="B10" s="4" t="inlineStr">
        <is>
          <t>Passed on test</t>
        </is>
      </c>
      <c r="C10" s="4" t="inlineStr">
        <is>
          <t>Passed on test</t>
        </is>
      </c>
      <c r="D10" s="4" t="inlineStr">
        <is>
          <t>Passed on test</t>
        </is>
      </c>
      <c r="E10" s="4" t="inlineStr">
        <is>
          <t>Passed on test</t>
        </is>
      </c>
      <c r="F10" s="3" t="inlineStr">
        <is>
          <t>NOT_TESTED</t>
        </is>
      </c>
      <c r="G10" s="3" t="inlineStr">
        <is>
          <t>NOT_TESTED</t>
        </is>
      </c>
      <c r="H10" s="3" t="inlineStr">
        <is>
          <t>NOT_TESTED</t>
        </is>
      </c>
      <c r="I10" s="3" t="inlineStr">
        <is>
          <t>NOT_TESTED</t>
        </is>
      </c>
      <c r="J10" s="3" t="inlineStr">
        <is>
          <t>NOT_TESTED</t>
        </is>
      </c>
      <c r="K10" s="3" t="inlineStr">
        <is>
          <t>NOT_TESTED</t>
        </is>
      </c>
      <c r="L10" s="3" t="inlineStr">
        <is>
          <t>NOT_TESTED</t>
        </is>
      </c>
      <c r="M10" s="3" t="inlineStr">
        <is>
          <t>NOT_TESTED</t>
        </is>
      </c>
      <c r="N10" s="3" t="inlineStr">
        <is>
          <t>NOT_TESTED</t>
        </is>
      </c>
      <c r="O10" s="3" t="inlineStr">
        <is>
          <t>NOT_TESTED</t>
        </is>
      </c>
      <c r="P10" s="3" t="inlineStr">
        <is>
          <t>NOT_TESTED</t>
        </is>
      </c>
      <c r="Q10" s="3" t="inlineStr">
        <is>
          <t>NOT_TESTED</t>
        </is>
      </c>
      <c r="R10" s="3" t="inlineStr">
        <is>
          <t>NOT_TESTED</t>
        </is>
      </c>
      <c r="S10" s="3" t="inlineStr">
        <is>
          <t>NOT_TESTED</t>
        </is>
      </c>
      <c r="T10" s="3" t="inlineStr">
        <is>
          <t>NOT_TESTED</t>
        </is>
      </c>
      <c r="U10" s="3" t="inlineStr">
        <is>
          <t>NOT_TESTED</t>
        </is>
      </c>
      <c r="V10" s="3" t="inlineStr">
        <is>
          <t>NOT_TESTED</t>
        </is>
      </c>
      <c r="W10" s="3" t="inlineStr">
        <is>
          <t>NOT_TESTED</t>
        </is>
      </c>
      <c r="X10" s="3" t="inlineStr">
        <is>
          <t>NOT_TESTED</t>
        </is>
      </c>
      <c r="Y10" s="3" t="inlineStr">
        <is>
          <t>NOT_TESTED</t>
        </is>
      </c>
      <c r="Z10" s="3" t="inlineStr">
        <is>
          <t>NOT_TESTED</t>
        </is>
      </c>
      <c r="AA10" s="3" t="inlineStr">
        <is>
          <t>NOT_TESTED</t>
        </is>
      </c>
      <c r="AB10" s="3" t="inlineStr">
        <is>
          <t>NOT_TESTED</t>
        </is>
      </c>
      <c r="AC10" s="2" t="n"/>
      <c r="AD10" s="2"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2" t="n"/>
      <c r="CH10" s="2" t="n"/>
      <c r="CI10" s="2" t="n"/>
      <c r="CJ10" s="2" t="n"/>
      <c r="CK10" s="2" t="n"/>
      <c r="CL10" s="2" t="n"/>
      <c r="CM10" s="2" t="n"/>
      <c r="CN10" s="2" t="n"/>
      <c r="CO10" s="2" t="n"/>
      <c r="CP10" s="2" t="n"/>
      <c r="CQ10" s="2" t="n"/>
      <c r="CR10" s="2" t="n"/>
      <c r="CS10" s="2" t="n"/>
      <c r="CT10" s="2" t="n"/>
      <c r="CU10" s="2" t="n"/>
      <c r="CV10" s="2" t="n"/>
      <c r="CW10" s="2" t="n"/>
      <c r="CX10" s="2" t="n"/>
      <c r="CY10" s="2" t="n"/>
      <c r="CZ10" s="2" t="n"/>
      <c r="DA10" s="2" t="n"/>
      <c r="DB10" s="2" t="n"/>
      <c r="DC10" s="2" t="n"/>
      <c r="DD10" s="2" t="n"/>
      <c r="DE10" s="2" t="n"/>
    </row>
    <row r="11">
      <c r="A11" s="2" t="inlineStr">
        <is>
          <t>issue_096</t>
        </is>
      </c>
      <c r="B11" s="5" t="inlineStr">
        <is>
          <t>Failed on test</t>
        </is>
      </c>
      <c r="C11" s="5" t="inlineStr">
        <is>
          <t>Failed on test</t>
        </is>
      </c>
      <c r="D11" s="5" t="inlineStr">
        <is>
          <t>Failed on test</t>
        </is>
      </c>
      <c r="E11" s="5" t="inlineStr">
        <is>
          <t>Failed on test</t>
        </is>
      </c>
      <c r="F11" s="5" t="inlineStr">
        <is>
          <t>Failed on test</t>
        </is>
      </c>
      <c r="G11" s="5" t="inlineStr">
        <is>
          <t>Failed on test</t>
        </is>
      </c>
      <c r="H11" s="5" t="inlineStr">
        <is>
          <t>Failed on test</t>
        </is>
      </c>
      <c r="I11" s="5" t="inlineStr">
        <is>
          <t>Failed on test</t>
        </is>
      </c>
      <c r="J11" s="5" t="inlineStr">
        <is>
          <t>Failed on test</t>
        </is>
      </c>
      <c r="K11" s="5" t="inlineStr">
        <is>
          <t>Failed on test</t>
        </is>
      </c>
      <c r="L11" s="5" t="inlineStr">
        <is>
          <t>Failed on test</t>
        </is>
      </c>
      <c r="M11" s="5" t="inlineStr">
        <is>
          <t>Failed on test</t>
        </is>
      </c>
      <c r="N11" s="5" t="inlineStr">
        <is>
          <t>Failed on test</t>
        </is>
      </c>
      <c r="O11" s="5" t="inlineStr">
        <is>
          <t>Failed on test</t>
        </is>
      </c>
      <c r="P11" s="5" t="inlineStr">
        <is>
          <t>Failed on test</t>
        </is>
      </c>
      <c r="Q11" s="5" t="inlineStr">
        <is>
          <t>Failed on test</t>
        </is>
      </c>
      <c r="R11" s="5" t="inlineStr">
        <is>
          <t>Failed on test</t>
        </is>
      </c>
      <c r="S11" s="5" t="inlineStr">
        <is>
          <t>Failed on test</t>
        </is>
      </c>
      <c r="T11" s="5" t="inlineStr">
        <is>
          <t>Failed on test</t>
        </is>
      </c>
      <c r="U11" s="5" t="inlineStr">
        <is>
          <t>Failed on test</t>
        </is>
      </c>
      <c r="V11" s="5" t="inlineStr">
        <is>
          <t>Failed on test</t>
        </is>
      </c>
      <c r="W11" s="5" t="inlineStr">
        <is>
          <t>Failed on test</t>
        </is>
      </c>
      <c r="X11" s="5" t="inlineStr">
        <is>
          <t>Failed on test</t>
        </is>
      </c>
      <c r="Y11" s="5" t="inlineStr">
        <is>
          <t>Failed on test</t>
        </is>
      </c>
      <c r="Z11" s="5" t="inlineStr">
        <is>
          <t>Failed on test</t>
        </is>
      </c>
      <c r="AA11" s="5" t="inlineStr">
        <is>
          <t>Failed on test</t>
        </is>
      </c>
      <c r="AB11" s="5" t="inlineStr">
        <is>
          <t>Failed on test</t>
        </is>
      </c>
      <c r="AC11" s="2" t="inlineStr">
        <is>
          <t>AssertionError</t>
        </is>
      </c>
      <c r="AD11" s="2" t="inlineStr">
        <is>
          <t>AssertionError: '' != '[default]\n'; AssertionError: False is not true : Missing ipython_kernel_config.py (even when the profile directory already exists)</t>
        </is>
      </c>
      <c r="AE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AF11" s="2" t="inlineStr">
        <is>
          <t>AssertionError</t>
        </is>
      </c>
      <c r="AG11" s="2" t="inlineStr">
        <is>
          <t>AssertionError: '' != '[default]\n'; AssertionError: False is not true : Missing ipython_kernel_config.py (even when the profile directory already exists)</t>
        </is>
      </c>
      <c r="AH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AI11" s="2" t="inlineStr">
        <is>
          <t>AssertionError</t>
        </is>
      </c>
      <c r="AJ11" s="2" t="inlineStr">
        <is>
          <t>AssertionError: '' != '[default]\n'; AssertionError: False is not true : Missing ipython_kernel_config.py (even when the profile directory already exists)</t>
        </is>
      </c>
      <c r="AK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AL11" s="2" t="inlineStr">
        <is>
          <t>AssertionError</t>
        </is>
      </c>
      <c r="AM11" s="2" t="inlineStr">
        <is>
          <t>AssertionError: '' != '[default]\n'; AssertionError: False is not true : Missing ipython_kernel_config.py (even when the profile directory already exists)</t>
        </is>
      </c>
      <c r="AN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AO11" s="2" t="inlineStr">
        <is>
          <t>AssertionError</t>
        </is>
      </c>
      <c r="AP11" s="2" t="inlineStr">
        <is>
          <t>AssertionError: '' != '[default]\n'; AssertionError: False is not true : Missing ipython_kernel_config.py (even when the profile directory already exists)</t>
        </is>
      </c>
      <c r="AQ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AR11" s="2" t="inlineStr">
        <is>
          <t>AssertionError</t>
        </is>
      </c>
      <c r="AS11" s="2" t="inlineStr">
        <is>
          <t>AssertionError: '' != '[default]\n'; AssertionError: False is not true : Missing ipython_kernel_config.py (even when the profile directory already exists)</t>
        </is>
      </c>
      <c r="AT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AU11" s="2" t="inlineStr">
        <is>
          <t>AssertionError</t>
        </is>
      </c>
      <c r="AV11" s="2" t="inlineStr">
        <is>
          <t>AssertionError: '' != '[default]\n'; AssertionError: False is not true : Missing ipython_kernel_config.py (even when the profile directory already exists)</t>
        </is>
      </c>
      <c r="AW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AX11" s="2" t="inlineStr">
        <is>
          <t>AssertionError</t>
        </is>
      </c>
      <c r="AY11" s="2" t="inlineStr">
        <is>
          <t>AssertionError: '' != '[default]\n'; AssertionError: False is not true : Missing ipython_kernel_config.py (even when the profile directory already exists)</t>
        </is>
      </c>
      <c r="AZ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A11" s="2" t="inlineStr">
        <is>
          <t>AssertionError</t>
        </is>
      </c>
      <c r="BB11" s="2" t="inlineStr">
        <is>
          <t>AssertionError: '' != '[default]\n'; AssertionError: False is not true : Missing ipython_kernel_config.py (even when the profile directory already exists)</t>
        </is>
      </c>
      <c r="BC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D11" s="2" t="inlineStr">
        <is>
          <t>AssertionError</t>
        </is>
      </c>
      <c r="BE11" s="2" t="inlineStr">
        <is>
          <t>AssertionError: '' != '[default]\n'; AssertionError: False is not true : Missing ipython_kernel_config.py (even when the profile directory already exists)</t>
        </is>
      </c>
      <c r="BF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G11" s="2" t="inlineStr">
        <is>
          <t>AssertionError</t>
        </is>
      </c>
      <c r="BH11" s="2" t="inlineStr">
        <is>
          <t>AssertionError: '' != '[default]\n'; AssertionError: False is not true : Missing ipython_kernel_config.py (even when the profile directory already exists)</t>
        </is>
      </c>
      <c r="BI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J11" s="2" t="inlineStr">
        <is>
          <t>AssertionError</t>
        </is>
      </c>
      <c r="BK11" s="2" t="inlineStr">
        <is>
          <t>AssertionError: '' != '[default]\n'; AssertionError: False is not true : Missing ipython_kernel_config.py (even when the profile directory already exists)</t>
        </is>
      </c>
      <c r="BL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M11" s="2" t="inlineStr">
        <is>
          <t>AssertionError</t>
        </is>
      </c>
      <c r="BN11" s="2" t="inlineStr">
        <is>
          <t>AssertionError: '' != '[default]\n'; AssertionError: False is not true : Missing ipython_kernel_config.py (even when the profile directory already exists)</t>
        </is>
      </c>
      <c r="BO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P11" s="2" t="inlineStr">
        <is>
          <t>AssertionError</t>
        </is>
      </c>
      <c r="BQ11" s="2" t="inlineStr">
        <is>
          <t>AssertionError: '' != '[default]\n'; AssertionError: False is not true : Missing ipython_kernel_config.py (even when the profile directory already exists)</t>
        </is>
      </c>
      <c r="BR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S11" s="2" t="inlineStr">
        <is>
          <t>AssertionError</t>
        </is>
      </c>
      <c r="BT11" s="2" t="inlineStr">
        <is>
          <t>AssertionError: '' != '[default]\n'; AssertionError: False is not true : Missing ipython_kernel_config.py (even when the profile directory already exists)</t>
        </is>
      </c>
      <c r="BU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V11" s="2" t="inlineStr">
        <is>
          <t>AssertionError</t>
        </is>
      </c>
      <c r="BW11" s="2" t="inlineStr">
        <is>
          <t>AssertionError: '' != '[default]\n'; AssertionError: False is not true : Missing ipython_kernel_config.py (even when the profile directory already exists)</t>
        </is>
      </c>
      <c r="BX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BY11" s="2" t="inlineStr">
        <is>
          <t>AssertionError</t>
        </is>
      </c>
      <c r="BZ11" s="2" t="inlineStr">
        <is>
          <t>AssertionError: '' != '[default]\n'; AssertionError: False is not true : Missing ipython_kernel_config.py (even when the profile directory already exists)</t>
        </is>
      </c>
      <c r="CA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B11" s="2" t="inlineStr">
        <is>
          <t>AssertionError</t>
        </is>
      </c>
      <c r="CC11" s="2" t="inlineStr">
        <is>
          <t>AssertionError: '' != '[default]\n'; AssertionError: False is not true : Missing ipython_kernel_config.py (even when the profile directory already exists)</t>
        </is>
      </c>
      <c r="CD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E11" s="2" t="inlineStr">
        <is>
          <t>AssertionError</t>
        </is>
      </c>
      <c r="CF11" s="2" t="inlineStr">
        <is>
          <t>AssertionError: '' != '[default]\n'; AssertionError: False is not true : Missing ipython_kernel_config.py (even when the profile directory already exists)</t>
        </is>
      </c>
      <c r="CG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H11" s="2" t="inlineStr">
        <is>
          <t>AssertionError</t>
        </is>
      </c>
      <c r="CI11" s="2" t="inlineStr">
        <is>
          <t>AssertionError: '' != '[default]\n'; AssertionError: False is not true : Missing ipython_kernel_config.py (even when the profile directory already exists)</t>
        </is>
      </c>
      <c r="CJ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K11" s="2" t="inlineStr">
        <is>
          <t>AssertionError</t>
        </is>
      </c>
      <c r="CL11" s="2" t="inlineStr">
        <is>
          <t>AssertionError: '' != '[default]\n'; AssertionError: False is not true : Missing ipython_kernel_config.py (even when the profile directory already exists)</t>
        </is>
      </c>
      <c r="CM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N11" s="2" t="inlineStr">
        <is>
          <t>AssertionError</t>
        </is>
      </c>
      <c r="CO11" s="2" t="inlineStr">
        <is>
          <t>AssertionError: '' != '[default]\n'; AssertionError: False is not true : Missing ipython_kernel_config.py (even when the profile directory already exists)</t>
        </is>
      </c>
      <c r="CP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Q11" s="2" t="inlineStr">
        <is>
          <t>AssertionError</t>
        </is>
      </c>
      <c r="CR11" s="2" t="inlineStr">
        <is>
          <t>AssertionError: '' != '[default]\n'; AssertionError: False is not true : Missing ipython_kernel_config.py (even when the profile directory already exists)</t>
        </is>
      </c>
      <c r="CS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T11" s="2" t="inlineStr">
        <is>
          <t>AssertionError</t>
        </is>
      </c>
      <c r="CU11" s="2" t="inlineStr">
        <is>
          <t>AssertionError: '' != '[default]\n'; AssertionError: False is not true : Missing ipython_kernel_config.py (even when the profile directory already exists)</t>
        </is>
      </c>
      <c r="CV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W11" s="2" t="inlineStr">
        <is>
          <t>AssertionError</t>
        </is>
      </c>
      <c r="CX11" s="2" t="inlineStr">
        <is>
          <t>AssertionError: '' != '[default]\n'; AssertionError: False is not true : Missing ipython_kernel_config.py (even when the profile directory already exists)</t>
        </is>
      </c>
      <c r="CY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CZ11" s="2" t="inlineStr">
        <is>
          <t>AssertionError</t>
        </is>
      </c>
      <c r="DA11" s="2" t="inlineStr">
        <is>
          <t>AssertionError: '' != '[default]\n'; AssertionError: False is not true : Missing ipython_kernel_config.py (even when the profile directory already exists)</t>
        </is>
      </c>
      <c r="DB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DC11" s="2" t="inlineStr">
        <is>
          <t>AssertionError</t>
        </is>
      </c>
      <c r="DD11" s="2" t="inlineStr">
        <is>
          <t>AssertionError: '' != '[default]\n'; AssertionError: False is not true : Missing ipython_kernel_config.py (even when the profile directory already exists)</t>
        </is>
      </c>
      <c r="DE11" s="2"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row>
    <row r="12">
      <c r="A12" s="2" t="inlineStr">
        <is>
          <t>issue_155</t>
        </is>
      </c>
      <c r="B12" s="4" t="inlineStr">
        <is>
          <t>Passed on test</t>
        </is>
      </c>
      <c r="C12" s="4" t="inlineStr">
        <is>
          <t>Passed on test</t>
        </is>
      </c>
      <c r="D12" s="4" t="inlineStr">
        <is>
          <t>Passed on test</t>
        </is>
      </c>
      <c r="E12" s="4" t="inlineStr">
        <is>
          <t>Passed on test</t>
        </is>
      </c>
      <c r="F12" s="4" t="inlineStr">
        <is>
          <t>Passed on test</t>
        </is>
      </c>
      <c r="G12" s="4" t="inlineStr">
        <is>
          <t>Passed on test</t>
        </is>
      </c>
      <c r="H12" s="4" t="inlineStr">
        <is>
          <t>Passed on test</t>
        </is>
      </c>
      <c r="I12" s="4" t="inlineStr">
        <is>
          <t>Passed on test</t>
        </is>
      </c>
      <c r="J12" s="4" t="inlineStr">
        <is>
          <t>Passed on test</t>
        </is>
      </c>
      <c r="K12" s="4" t="inlineStr">
        <is>
          <t>Passed on test</t>
        </is>
      </c>
      <c r="L12" s="4" t="inlineStr">
        <is>
          <t>Passed on test</t>
        </is>
      </c>
      <c r="M12" s="4" t="inlineStr">
        <is>
          <t>Passed on test</t>
        </is>
      </c>
      <c r="N12" s="3" t="inlineStr">
        <is>
          <t>NOT_TESTED</t>
        </is>
      </c>
      <c r="O12" s="3" t="inlineStr">
        <is>
          <t>NOT_TESTED</t>
        </is>
      </c>
      <c r="P12" s="3" t="inlineStr">
        <is>
          <t>NOT_TESTED</t>
        </is>
      </c>
      <c r="Q12" s="3" t="inlineStr">
        <is>
          <t>NOT_TESTED</t>
        </is>
      </c>
      <c r="R12" s="3" t="inlineStr">
        <is>
          <t>NOT_TESTED</t>
        </is>
      </c>
      <c r="S12" s="3" t="inlineStr">
        <is>
          <t>NOT_TESTED</t>
        </is>
      </c>
      <c r="T12" s="3" t="inlineStr">
        <is>
          <t>NOT_TESTED</t>
        </is>
      </c>
      <c r="U12" s="3" t="inlineStr">
        <is>
          <t>NOT_TESTED</t>
        </is>
      </c>
      <c r="V12" s="3" t="inlineStr">
        <is>
          <t>NOT_TESTED</t>
        </is>
      </c>
      <c r="W12" s="3" t="inlineStr">
        <is>
          <t>NOT_TESTED</t>
        </is>
      </c>
      <c r="X12" s="3" t="inlineStr">
        <is>
          <t>NOT_TESTED</t>
        </is>
      </c>
      <c r="Y12" s="3" t="inlineStr">
        <is>
          <t>NOT_TESTED</t>
        </is>
      </c>
      <c r="Z12" s="3" t="inlineStr">
        <is>
          <t>NOT_TESTED</t>
        </is>
      </c>
      <c r="AA12" s="3" t="inlineStr">
        <is>
          <t>NOT_TESTED</t>
        </is>
      </c>
      <c r="AB12" s="3" t="inlineStr">
        <is>
          <t>NOT_TESTED</t>
        </is>
      </c>
      <c r="AC12" s="2" t="n"/>
      <c r="AD12" s="2" t="n"/>
      <c r="AE12" s="2" t="n"/>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2" t="n"/>
      <c r="CN12" s="2" t="n"/>
      <c r="CO12" s="2" t="n"/>
      <c r="CP12" s="2" t="n"/>
      <c r="CQ12" s="2" t="n"/>
      <c r="CR12" s="2" t="n"/>
      <c r="CS12" s="2" t="n"/>
      <c r="CT12" s="2" t="n"/>
      <c r="CU12" s="2" t="n"/>
      <c r="CV12" s="2" t="n"/>
      <c r="CW12" s="2" t="n"/>
      <c r="CX12" s="2" t="n"/>
      <c r="CY12" s="2" t="n"/>
      <c r="CZ12" s="2" t="n"/>
      <c r="DA12" s="2" t="n"/>
      <c r="DB12" s="2" t="n"/>
      <c r="DC12" s="2" t="n"/>
      <c r="DD12" s="2" t="n"/>
      <c r="DE12" s="2" t="n"/>
    </row>
    <row r="13">
      <c r="A13" s="2" t="inlineStr">
        <is>
          <t>issue_157</t>
        </is>
      </c>
      <c r="B13" s="6" t="inlineStr">
        <is>
          <t>Runtime error</t>
        </is>
      </c>
      <c r="C13" s="6" t="inlineStr">
        <is>
          <t>Runtime error</t>
        </is>
      </c>
      <c r="D13" s="6" t="inlineStr">
        <is>
          <t>Runtime error</t>
        </is>
      </c>
      <c r="E13" s="6" t="inlineStr">
        <is>
          <t>Runtime error</t>
        </is>
      </c>
      <c r="F13" s="4" t="inlineStr">
        <is>
          <t>Passed on test</t>
        </is>
      </c>
      <c r="G13" s="4" t="inlineStr">
        <is>
          <t>Passed on test</t>
        </is>
      </c>
      <c r="H13" s="4" t="inlineStr">
        <is>
          <t>Passed on test</t>
        </is>
      </c>
      <c r="I13" s="4" t="inlineStr">
        <is>
          <t>Passed on test</t>
        </is>
      </c>
      <c r="J13" s="4" t="inlineStr">
        <is>
          <t>Passed on test</t>
        </is>
      </c>
      <c r="K13" s="4" t="inlineStr">
        <is>
          <t>Passed on test</t>
        </is>
      </c>
      <c r="L13" s="4" t="inlineStr">
        <is>
          <t>Passed on test</t>
        </is>
      </c>
      <c r="M13" s="4" t="inlineStr">
        <is>
          <t>Passed on test</t>
        </is>
      </c>
      <c r="N13" s="3" t="inlineStr">
        <is>
          <t>NOT_TESTED</t>
        </is>
      </c>
      <c r="O13" s="3" t="inlineStr">
        <is>
          <t>NOT_TESTED</t>
        </is>
      </c>
      <c r="P13" s="3" t="inlineStr">
        <is>
          <t>NOT_TESTED</t>
        </is>
      </c>
      <c r="Q13" s="3" t="inlineStr">
        <is>
          <t>NOT_TESTED</t>
        </is>
      </c>
      <c r="R13" s="3" t="inlineStr">
        <is>
          <t>NOT_TESTED</t>
        </is>
      </c>
      <c r="S13" s="3" t="inlineStr">
        <is>
          <t>NOT_TESTED</t>
        </is>
      </c>
      <c r="T13" s="3" t="inlineStr">
        <is>
          <t>NOT_TESTED</t>
        </is>
      </c>
      <c r="U13" s="3" t="inlineStr">
        <is>
          <t>NOT_TESTED</t>
        </is>
      </c>
      <c r="V13" s="3" t="inlineStr">
        <is>
          <t>NOT_TESTED</t>
        </is>
      </c>
      <c r="W13" s="3" t="inlineStr">
        <is>
          <t>NOT_TESTED</t>
        </is>
      </c>
      <c r="X13" s="3" t="inlineStr">
        <is>
          <t>NOT_TESTED</t>
        </is>
      </c>
      <c r="Y13" s="3" t="inlineStr">
        <is>
          <t>NOT_TESTED</t>
        </is>
      </c>
      <c r="Z13" s="3" t="inlineStr">
        <is>
          <t>NOT_TESTED</t>
        </is>
      </c>
      <c r="AA13" s="3" t="inlineStr">
        <is>
          <t>NOT_TESTED</t>
        </is>
      </c>
      <c r="AB13" s="3" t="inlineStr">
        <is>
          <t>NOT_TESTED</t>
        </is>
      </c>
      <c r="AC13" s="2" t="inlineStr">
        <is>
          <t>AttributeError</t>
        </is>
      </c>
      <c r="AD13" s="2" t="inlineStr">
        <is>
          <t>AttributeError: 'QuantumCircuit' object has no attribute 'prepare_state'</t>
        </is>
      </c>
      <c r="AE13" s="2" t="inlineStr">
        <is>
          <t>Error on 0.25.x, passed on 0.45.x / 0.46.x: the LLM replaced initialize() (which contains a non-unitary reset and can't be controlled) with prepare_state(), which is correct but doesn't exist yet in Qiskit 0.25 (AttributeError). Same code as all four GPT models.</t>
        </is>
      </c>
      <c r="AF13" s="2" t="inlineStr">
        <is>
          <t>AttributeError</t>
        </is>
      </c>
      <c r="AG13" s="2" t="inlineStr">
        <is>
          <t>AttributeError: 'QuantumCircuit' object has no attribute 'prepare_state'</t>
        </is>
      </c>
      <c r="AH13" s="2" t="inlineStr">
        <is>
          <t>Error on 0.25.x, passed on 0.45.x / 0.46.x: the LLM replaced initialize() (which contains a non-unitary reset and can't be controlled) with prepare_state(), which is correct but doesn't exist yet in Qiskit 0.25 (AttributeError). Same code as all four GPT models.</t>
        </is>
      </c>
      <c r="AI13" s="2" t="inlineStr">
        <is>
          <t>AttributeError</t>
        </is>
      </c>
      <c r="AJ13" s="2" t="inlineStr">
        <is>
          <t>AttributeError: 'QuantumCircuit' object has no attribute 'prepare_state'</t>
        </is>
      </c>
      <c r="AK13" s="2" t="inlineStr">
        <is>
          <t>Error on 0.25.x, passed on 0.45.x / 0.46.x: the LLM replaced initialize() (which contains a non-unitary reset and can't be controlled) with prepare_state(), which is correct but doesn't exist yet in Qiskit 0.25 (AttributeError). Same code as all four GPT models.</t>
        </is>
      </c>
      <c r="AL13" s="2" t="inlineStr">
        <is>
          <t>AttributeError</t>
        </is>
      </c>
      <c r="AM13" s="2" t="inlineStr">
        <is>
          <t>AttributeError: 'QuantumCircuit' object has no attribute 'prepare_state'</t>
        </is>
      </c>
      <c r="AN13" s="2" t="inlineStr">
        <is>
          <t>Error on 0.25.x, passed on 0.45.x / 0.46.x: the LLM replaced initialize() (which contains a non-unitary reset and can't be controlled) with prepare_state(), which is correct but doesn't exist yet in Qiskit 0.25 (AttributeError). Same code as all four GPT models.</t>
        </is>
      </c>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2" t="n"/>
      <c r="CS13" s="2" t="n"/>
      <c r="CT13" s="2" t="n"/>
      <c r="CU13" s="2" t="n"/>
      <c r="CV13" s="2" t="n"/>
      <c r="CW13" s="2" t="n"/>
      <c r="CX13" s="2" t="n"/>
      <c r="CY13" s="2" t="n"/>
      <c r="CZ13" s="2" t="n"/>
      <c r="DA13" s="2" t="n"/>
      <c r="DB13" s="2" t="n"/>
      <c r="DC13" s="2" t="n"/>
      <c r="DD13" s="2" t="n"/>
      <c r="DE13" s="2" t="n"/>
    </row>
    <row r="14">
      <c r="A14" s="2" t="inlineStr">
        <is>
          <t>issue_174</t>
        </is>
      </c>
      <c r="B14" s="4" t="inlineStr">
        <is>
          <t>Passed on test</t>
        </is>
      </c>
      <c r="C14" s="4" t="inlineStr">
        <is>
          <t>Passed on test</t>
        </is>
      </c>
      <c r="D14" s="4" t="inlineStr">
        <is>
          <t>Passed on test</t>
        </is>
      </c>
      <c r="E14" s="4" t="inlineStr">
        <is>
          <t>Passed on test</t>
        </is>
      </c>
      <c r="F14" s="4" t="inlineStr">
        <is>
          <t>Passed on test</t>
        </is>
      </c>
      <c r="G14" s="4" t="inlineStr">
        <is>
          <t>Passed on test</t>
        </is>
      </c>
      <c r="H14" s="4" t="inlineStr">
        <is>
          <t>Passed on test</t>
        </is>
      </c>
      <c r="I14" s="4" t="inlineStr">
        <is>
          <t>Passed on test</t>
        </is>
      </c>
      <c r="J14" s="4" t="inlineStr">
        <is>
          <t>Passed on test</t>
        </is>
      </c>
      <c r="K14" s="4" t="inlineStr">
        <is>
          <t>Passed on test</t>
        </is>
      </c>
      <c r="L14" s="4" t="inlineStr">
        <is>
          <t>Passed on test</t>
        </is>
      </c>
      <c r="M14" s="4" t="inlineStr">
        <is>
          <t>Passed on test</t>
        </is>
      </c>
      <c r="N14" s="3" t="inlineStr">
        <is>
          <t>NOT_TESTED</t>
        </is>
      </c>
      <c r="O14" s="3" t="inlineStr">
        <is>
          <t>NOT_TESTED</t>
        </is>
      </c>
      <c r="P14" s="3" t="inlineStr">
        <is>
          <t>NOT_TESTED</t>
        </is>
      </c>
      <c r="Q14" s="3" t="inlineStr">
        <is>
          <t>NOT_TESTED</t>
        </is>
      </c>
      <c r="R14" s="3" t="inlineStr">
        <is>
          <t>NOT_TESTED</t>
        </is>
      </c>
      <c r="S14" s="3" t="inlineStr">
        <is>
          <t>NOT_TESTED</t>
        </is>
      </c>
      <c r="T14" s="3" t="inlineStr">
        <is>
          <t>NOT_TESTED</t>
        </is>
      </c>
      <c r="U14" s="3" t="inlineStr">
        <is>
          <t>NOT_TESTED</t>
        </is>
      </c>
      <c r="V14" s="3" t="inlineStr">
        <is>
          <t>NOT_TESTED</t>
        </is>
      </c>
      <c r="W14" s="3" t="inlineStr">
        <is>
          <t>NOT_TESTED</t>
        </is>
      </c>
      <c r="X14" s="3" t="inlineStr">
        <is>
          <t>NOT_TESTED</t>
        </is>
      </c>
      <c r="Y14" s="3" t="inlineStr">
        <is>
          <t>NOT_TESTED</t>
        </is>
      </c>
      <c r="Z14" s="3" t="inlineStr">
        <is>
          <t>NOT_TESTED</t>
        </is>
      </c>
      <c r="AA14" s="3" t="inlineStr">
        <is>
          <t>NOT_TESTED</t>
        </is>
      </c>
      <c r="AB14" s="3" t="inlineStr">
        <is>
          <t>NOT_TESTED</t>
        </is>
      </c>
      <c r="AC14" s="2" t="n"/>
      <c r="AD14" s="2" t="n"/>
      <c r="AE14" s="2" t="n"/>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2" t="n"/>
      <c r="CS14" s="2" t="n"/>
      <c r="CT14" s="2" t="n"/>
      <c r="CU14" s="2" t="n"/>
      <c r="CV14" s="2" t="n"/>
      <c r="CW14" s="2" t="n"/>
      <c r="CX14" s="2" t="n"/>
      <c r="CY14" s="2" t="n"/>
      <c r="CZ14" s="2" t="n"/>
      <c r="DA14" s="2" t="n"/>
      <c r="DB14" s="2" t="n"/>
      <c r="DC14" s="2" t="n"/>
      <c r="DD14" s="2" t="n"/>
      <c r="DE14" s="2" t="n"/>
    </row>
    <row r="15">
      <c r="A15" s="2" t="inlineStr">
        <is>
          <t>issue_189</t>
        </is>
      </c>
      <c r="B15" s="3" t="inlineStr">
        <is>
          <t>NOT_TESTED</t>
        </is>
      </c>
      <c r="C15" s="3" t="inlineStr">
        <is>
          <t>NOT_TESTED</t>
        </is>
      </c>
      <c r="D15" s="3" t="inlineStr">
        <is>
          <t>NOT_TESTED</t>
        </is>
      </c>
      <c r="E15" s="3" t="inlineStr">
        <is>
          <t>NOT_TESTED</t>
        </is>
      </c>
      <c r="F15" s="4" t="inlineStr">
        <is>
          <t>Passed on test</t>
        </is>
      </c>
      <c r="G15" s="4" t="inlineStr">
        <is>
          <t>Passed on test</t>
        </is>
      </c>
      <c r="H15" s="4" t="inlineStr">
        <is>
          <t>Passed on test</t>
        </is>
      </c>
      <c r="I15" s="4" t="inlineStr">
        <is>
          <t>Passed on test</t>
        </is>
      </c>
      <c r="J15" s="4" t="inlineStr">
        <is>
          <t>Passed on test</t>
        </is>
      </c>
      <c r="K15" s="4" t="inlineStr">
        <is>
          <t>Passed on test</t>
        </is>
      </c>
      <c r="L15" s="4" t="inlineStr">
        <is>
          <t>Passed on test</t>
        </is>
      </c>
      <c r="M15" s="4" t="inlineStr">
        <is>
          <t>Passed on test</t>
        </is>
      </c>
      <c r="N15" s="4" t="inlineStr">
        <is>
          <t>Passed on test</t>
        </is>
      </c>
      <c r="O15" s="4" t="inlineStr">
        <is>
          <t>Passed on test</t>
        </is>
      </c>
      <c r="P15" s="4" t="inlineStr">
        <is>
          <t>Passed on test</t>
        </is>
      </c>
      <c r="Q15" s="4" t="inlineStr">
        <is>
          <t>Passed on test</t>
        </is>
      </c>
      <c r="R15" s="4" t="inlineStr">
        <is>
          <t>Passed on test</t>
        </is>
      </c>
      <c r="S15" s="4" t="inlineStr">
        <is>
          <t>Passed on test</t>
        </is>
      </c>
      <c r="T15" s="4" t="inlineStr">
        <is>
          <t>Passed on test</t>
        </is>
      </c>
      <c r="U15" s="4" t="inlineStr">
        <is>
          <t>Passed on test</t>
        </is>
      </c>
      <c r="V15" s="4" t="inlineStr">
        <is>
          <t>Passed on test</t>
        </is>
      </c>
      <c r="W15" s="4" t="inlineStr">
        <is>
          <t>Passed on test</t>
        </is>
      </c>
      <c r="X15" s="4" t="inlineStr">
        <is>
          <t>Passed on test</t>
        </is>
      </c>
      <c r="Y15" s="4" t="inlineStr">
        <is>
          <t>Passed on test</t>
        </is>
      </c>
      <c r="Z15" s="4" t="inlineStr">
        <is>
          <t>Passed on test</t>
        </is>
      </c>
      <c r="AA15" s="4" t="inlineStr">
        <is>
          <t>Passed on test</t>
        </is>
      </c>
      <c r="AB15" s="4" t="inlineStr">
        <is>
          <t>Passed on test</t>
        </is>
      </c>
      <c r="AC15" s="2" t="n"/>
      <c r="AD15" s="2"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2" t="n"/>
      <c r="CS15" s="2" t="n"/>
      <c r="CT15" s="2" t="n"/>
      <c r="CU15" s="2" t="n"/>
      <c r="CV15" s="2" t="n"/>
      <c r="CW15" s="2" t="n"/>
      <c r="CX15" s="2" t="n"/>
      <c r="CY15" s="2" t="n"/>
      <c r="CZ15" s="2" t="n"/>
      <c r="DA15" s="2" t="n"/>
      <c r="DB15" s="2" t="n"/>
      <c r="DC15" s="2" t="n"/>
      <c r="DD15" s="2" t="n"/>
      <c r="DE15" s="2" t="n"/>
    </row>
    <row r="16">
      <c r="A16" s="2" t="inlineStr">
        <is>
          <t>issue_225</t>
        </is>
      </c>
      <c r="B16" s="3" t="inlineStr">
        <is>
          <t>NOT_TESTED</t>
        </is>
      </c>
      <c r="C16" s="3" t="inlineStr">
        <is>
          <t>NOT_TESTED</t>
        </is>
      </c>
      <c r="D16" s="3" t="inlineStr">
        <is>
          <t>NOT_TESTED</t>
        </is>
      </c>
      <c r="E16" s="3" t="inlineStr">
        <is>
          <t>NOT_TESTED</t>
        </is>
      </c>
      <c r="F16" s="4" t="inlineStr">
        <is>
          <t>Passed on test</t>
        </is>
      </c>
      <c r="G16" s="4" t="inlineStr">
        <is>
          <t>Passed on test</t>
        </is>
      </c>
      <c r="H16" s="4" t="inlineStr">
        <is>
          <t>Passed on test</t>
        </is>
      </c>
      <c r="I16" s="4" t="inlineStr">
        <is>
          <t>Passed on test</t>
        </is>
      </c>
      <c r="J16" s="4" t="inlineStr">
        <is>
          <t>Passed on test</t>
        </is>
      </c>
      <c r="K16" s="4" t="inlineStr">
        <is>
          <t>Passed on test</t>
        </is>
      </c>
      <c r="L16" s="4" t="inlineStr">
        <is>
          <t>Passed on test</t>
        </is>
      </c>
      <c r="M16" s="4" t="inlineStr">
        <is>
          <t>Passed on test</t>
        </is>
      </c>
      <c r="N16" s="3" t="inlineStr">
        <is>
          <t>NOT_TESTED</t>
        </is>
      </c>
      <c r="O16" s="3" t="inlineStr">
        <is>
          <t>NOT_TESTED</t>
        </is>
      </c>
      <c r="P16" s="3" t="inlineStr">
        <is>
          <t>NOT_TESTED</t>
        </is>
      </c>
      <c r="Q16" s="3" t="inlineStr">
        <is>
          <t>NOT_TESTED</t>
        </is>
      </c>
      <c r="R16" s="3" t="inlineStr">
        <is>
          <t>NOT_TESTED</t>
        </is>
      </c>
      <c r="S16" s="3" t="inlineStr">
        <is>
          <t>NOT_TESTED</t>
        </is>
      </c>
      <c r="T16" s="3" t="inlineStr">
        <is>
          <t>NOT_TESTED</t>
        </is>
      </c>
      <c r="U16" s="3" t="inlineStr">
        <is>
          <t>NOT_TESTED</t>
        </is>
      </c>
      <c r="V16" s="3" t="inlineStr">
        <is>
          <t>NOT_TESTED</t>
        </is>
      </c>
      <c r="W16" s="3" t="inlineStr">
        <is>
          <t>NOT_TESTED</t>
        </is>
      </c>
      <c r="X16" s="3" t="inlineStr">
        <is>
          <t>NOT_TESTED</t>
        </is>
      </c>
      <c r="Y16" s="3" t="inlineStr">
        <is>
          <t>NOT_TESTED</t>
        </is>
      </c>
      <c r="Z16" s="3" t="inlineStr">
        <is>
          <t>NOT_TESTED</t>
        </is>
      </c>
      <c r="AA16" s="3" t="inlineStr">
        <is>
          <t>NOT_TESTED</t>
        </is>
      </c>
      <c r="AB16" s="3" t="inlineStr">
        <is>
          <t>NOT_TESTED</t>
        </is>
      </c>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2" t="n"/>
      <c r="CS16" s="2" t="n"/>
      <c r="CT16" s="2" t="n"/>
      <c r="CU16" s="2" t="n"/>
      <c r="CV16" s="2" t="n"/>
      <c r="CW16" s="2" t="n"/>
      <c r="CX16" s="2" t="n"/>
      <c r="CY16" s="2" t="n"/>
      <c r="CZ16" s="2" t="n"/>
      <c r="DA16" s="2" t="n"/>
      <c r="DB16" s="2" t="n"/>
      <c r="DC16" s="2" t="n"/>
      <c r="DD16" s="2" t="n"/>
      <c r="DE16" s="2" t="n"/>
    </row>
    <row r="17">
      <c r="A17" s="2" t="inlineStr">
        <is>
          <t>issue_233</t>
        </is>
      </c>
      <c r="B17" s="4" t="inlineStr">
        <is>
          <t>Passed on test</t>
        </is>
      </c>
      <c r="C17" s="4" t="inlineStr">
        <is>
          <t>Passed on test</t>
        </is>
      </c>
      <c r="D17" s="4" t="inlineStr">
        <is>
          <t>Passed on test</t>
        </is>
      </c>
      <c r="E17" s="4" t="inlineStr">
        <is>
          <t>Passed on test</t>
        </is>
      </c>
      <c r="F17" s="4" t="inlineStr">
        <is>
          <t>Passed on test</t>
        </is>
      </c>
      <c r="G17" s="4" t="inlineStr">
        <is>
          <t>Passed on test</t>
        </is>
      </c>
      <c r="H17" s="4" t="inlineStr">
        <is>
          <t>Passed on test</t>
        </is>
      </c>
      <c r="I17" s="4" t="inlineStr">
        <is>
          <t>Passed on test</t>
        </is>
      </c>
      <c r="J17" s="4" t="inlineStr">
        <is>
          <t>Passed on test</t>
        </is>
      </c>
      <c r="K17" s="4" t="inlineStr">
        <is>
          <t>Passed on test</t>
        </is>
      </c>
      <c r="L17" s="4" t="inlineStr">
        <is>
          <t>Passed on test</t>
        </is>
      </c>
      <c r="M17" s="4" t="inlineStr">
        <is>
          <t>Passed on test</t>
        </is>
      </c>
      <c r="N17" s="4" t="inlineStr">
        <is>
          <t>Passed on test</t>
        </is>
      </c>
      <c r="O17" s="4" t="inlineStr">
        <is>
          <t>Passed on test</t>
        </is>
      </c>
      <c r="P17" s="4" t="inlineStr">
        <is>
          <t>Passed on test</t>
        </is>
      </c>
      <c r="Q17" s="4" t="inlineStr">
        <is>
          <t>Passed on test</t>
        </is>
      </c>
      <c r="R17" s="4" t="inlineStr">
        <is>
          <t>Passed on test</t>
        </is>
      </c>
      <c r="S17" s="4" t="inlineStr">
        <is>
          <t>Passed on test</t>
        </is>
      </c>
      <c r="T17" s="4" t="inlineStr">
        <is>
          <t>Passed on test</t>
        </is>
      </c>
      <c r="U17" s="4" t="inlineStr">
        <is>
          <t>Passed on test</t>
        </is>
      </c>
      <c r="V17" s="4" t="inlineStr">
        <is>
          <t>Passed on test</t>
        </is>
      </c>
      <c r="W17" s="4" t="inlineStr">
        <is>
          <t>Passed on test</t>
        </is>
      </c>
      <c r="X17" s="4" t="inlineStr">
        <is>
          <t>Passed on test</t>
        </is>
      </c>
      <c r="Y17" s="4" t="inlineStr">
        <is>
          <t>Passed on test</t>
        </is>
      </c>
      <c r="Z17" s="4" t="inlineStr">
        <is>
          <t>Passed on test</t>
        </is>
      </c>
      <c r="AA17" s="4" t="inlineStr">
        <is>
          <t>Passed on test</t>
        </is>
      </c>
      <c r="AB17" s="4" t="inlineStr">
        <is>
          <t>Passed on test</t>
        </is>
      </c>
      <c r="AC17" s="2" t="n"/>
      <c r="AD17" s="2" t="n"/>
      <c r="AE17" s="2" t="n"/>
      <c r="AF17" s="2" t="n"/>
      <c r="AG17" s="2" t="n"/>
      <c r="AH17" s="2" t="n"/>
      <c r="AI17" s="2" t="n"/>
      <c r="AJ17" s="2" t="n"/>
      <c r="AK17" s="2" t="n"/>
      <c r="AL17" s="2" t="n"/>
      <c r="AM17" s="2" t="n"/>
      <c r="AN17" s="2" t="n"/>
      <c r="AO17" s="2" t="n"/>
      <c r="AP17" s="2" t="n"/>
      <c r="AQ17" s="2" t="n"/>
      <c r="AR17" s="2" t="n"/>
      <c r="AS17" s="2" t="n"/>
      <c r="AT17" s="2" t="n"/>
      <c r="AU17" s="2" t="n"/>
      <c r="AV17" s="2"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2" t="n"/>
      <c r="CS17" s="2" t="n"/>
      <c r="CT17" s="2" t="n"/>
      <c r="CU17" s="2" t="n"/>
      <c r="CV17" s="2" t="n"/>
      <c r="CW17" s="2" t="n"/>
      <c r="CX17" s="2" t="n"/>
      <c r="CY17" s="2" t="n"/>
      <c r="CZ17" s="2" t="n"/>
      <c r="DA17" s="2" t="n"/>
      <c r="DB17" s="2" t="n"/>
      <c r="DC17" s="2" t="n"/>
      <c r="DD17" s="2" t="n"/>
      <c r="DE17" s="2" t="n"/>
    </row>
    <row r="18">
      <c r="A18" s="2" t="inlineStr">
        <is>
          <t>issue_261</t>
        </is>
      </c>
      <c r="B18" s="4" t="inlineStr">
        <is>
          <t>Passed on test</t>
        </is>
      </c>
      <c r="C18" s="4" t="inlineStr">
        <is>
          <t>Passed on test</t>
        </is>
      </c>
      <c r="D18" s="4" t="inlineStr">
        <is>
          <t>Passed on test</t>
        </is>
      </c>
      <c r="E18" s="4" t="inlineStr">
        <is>
          <t>Passed on test</t>
        </is>
      </c>
      <c r="F18" s="4" t="inlineStr">
        <is>
          <t>Passed on test</t>
        </is>
      </c>
      <c r="G18" s="4" t="inlineStr">
        <is>
          <t>Passed on test</t>
        </is>
      </c>
      <c r="H18" s="4" t="inlineStr">
        <is>
          <t>Passed on test</t>
        </is>
      </c>
      <c r="I18" s="4" t="inlineStr">
        <is>
          <t>Passed on test</t>
        </is>
      </c>
      <c r="J18" s="4" t="inlineStr">
        <is>
          <t>Passed on test</t>
        </is>
      </c>
      <c r="K18" s="4" t="inlineStr">
        <is>
          <t>Passed on test</t>
        </is>
      </c>
      <c r="L18" s="4" t="inlineStr">
        <is>
          <t>Passed on test</t>
        </is>
      </c>
      <c r="M18" s="4" t="inlineStr">
        <is>
          <t>Passed on test</t>
        </is>
      </c>
      <c r="N18" s="3" t="inlineStr">
        <is>
          <t>NOT_TESTED</t>
        </is>
      </c>
      <c r="O18" s="3" t="inlineStr">
        <is>
          <t>NOT_TESTED</t>
        </is>
      </c>
      <c r="P18" s="3" t="inlineStr">
        <is>
          <t>NOT_TESTED</t>
        </is>
      </c>
      <c r="Q18" s="3" t="inlineStr">
        <is>
          <t>NOT_TESTED</t>
        </is>
      </c>
      <c r="R18" s="3" t="inlineStr">
        <is>
          <t>NOT_TESTED</t>
        </is>
      </c>
      <c r="S18" s="3" t="inlineStr">
        <is>
          <t>NOT_TESTED</t>
        </is>
      </c>
      <c r="T18" s="3" t="inlineStr">
        <is>
          <t>NOT_TESTED</t>
        </is>
      </c>
      <c r="U18" s="3" t="inlineStr">
        <is>
          <t>NOT_TESTED</t>
        </is>
      </c>
      <c r="V18" s="3" t="inlineStr">
        <is>
          <t>NOT_TESTED</t>
        </is>
      </c>
      <c r="W18" s="3" t="inlineStr">
        <is>
          <t>NOT_TESTED</t>
        </is>
      </c>
      <c r="X18" s="3" t="inlineStr">
        <is>
          <t>NOT_TESTED</t>
        </is>
      </c>
      <c r="Y18" s="3" t="inlineStr">
        <is>
          <t>NOT_TESTED</t>
        </is>
      </c>
      <c r="Z18" s="3" t="inlineStr">
        <is>
          <t>NOT_TESTED</t>
        </is>
      </c>
      <c r="AA18" s="3" t="inlineStr">
        <is>
          <t>NOT_TESTED</t>
        </is>
      </c>
      <c r="AB18" s="3" t="inlineStr">
        <is>
          <t>NOT_TESTED</t>
        </is>
      </c>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2" t="n"/>
      <c r="CS18" s="2" t="n"/>
      <c r="CT18" s="2" t="n"/>
      <c r="CU18" s="2" t="n"/>
      <c r="CV18" s="2" t="n"/>
      <c r="CW18" s="2" t="n"/>
      <c r="CX18" s="2" t="n"/>
      <c r="CY18" s="2" t="n"/>
      <c r="CZ18" s="2" t="n"/>
      <c r="DA18" s="2" t="n"/>
      <c r="DB18" s="2" t="n"/>
      <c r="DC18" s="2" t="n"/>
      <c r="DD18" s="2" t="n"/>
      <c r="DE18" s="2" t="n"/>
    </row>
    <row r="19">
      <c r="A19" s="2" t="inlineStr">
        <is>
          <t>issue_280</t>
        </is>
      </c>
      <c r="B19" s="6" t="inlineStr">
        <is>
          <t>Runtime error</t>
        </is>
      </c>
      <c r="C19" s="6" t="inlineStr">
        <is>
          <t>Runtime error</t>
        </is>
      </c>
      <c r="D19" s="6" t="inlineStr">
        <is>
          <t>Runtime error</t>
        </is>
      </c>
      <c r="E19" s="6" t="inlineStr">
        <is>
          <t>Runtime error</t>
        </is>
      </c>
      <c r="F19" s="4" t="inlineStr">
        <is>
          <t>Passed on test</t>
        </is>
      </c>
      <c r="G19" s="4" t="inlineStr">
        <is>
          <t>Passed on test</t>
        </is>
      </c>
      <c r="H19" s="4" t="inlineStr">
        <is>
          <t>Passed on test</t>
        </is>
      </c>
      <c r="I19" s="4" t="inlineStr">
        <is>
          <t>Passed on test</t>
        </is>
      </c>
      <c r="J19" s="4" t="inlineStr">
        <is>
          <t>Passed on test</t>
        </is>
      </c>
      <c r="K19" s="4" t="inlineStr">
        <is>
          <t>Passed on test</t>
        </is>
      </c>
      <c r="L19" s="4" t="inlineStr">
        <is>
          <t>Passed on test</t>
        </is>
      </c>
      <c r="M19" s="4" t="inlineStr">
        <is>
          <t>Passed on test</t>
        </is>
      </c>
      <c r="N19" s="3" t="inlineStr">
        <is>
          <t>NOT_TESTED</t>
        </is>
      </c>
      <c r="O19" s="3" t="inlineStr">
        <is>
          <t>NOT_TESTED</t>
        </is>
      </c>
      <c r="P19" s="3" t="inlineStr">
        <is>
          <t>NOT_TESTED</t>
        </is>
      </c>
      <c r="Q19" s="3" t="inlineStr">
        <is>
          <t>NOT_TESTED</t>
        </is>
      </c>
      <c r="R19" s="3" t="inlineStr">
        <is>
          <t>NOT_TESTED</t>
        </is>
      </c>
      <c r="S19" s="3" t="inlineStr">
        <is>
          <t>NOT_TESTED</t>
        </is>
      </c>
      <c r="T19" s="3" t="inlineStr">
        <is>
          <t>NOT_TESTED</t>
        </is>
      </c>
      <c r="U19" s="3" t="inlineStr">
        <is>
          <t>NOT_TESTED</t>
        </is>
      </c>
      <c r="V19" s="3" t="inlineStr">
        <is>
          <t>NOT_TESTED</t>
        </is>
      </c>
      <c r="W19" s="3" t="inlineStr">
        <is>
          <t>NOT_TESTED</t>
        </is>
      </c>
      <c r="X19" s="3" t="inlineStr">
        <is>
          <t>NOT_TESTED</t>
        </is>
      </c>
      <c r="Y19" s="3" t="inlineStr">
        <is>
          <t>NOT_TESTED</t>
        </is>
      </c>
      <c r="Z19" s="3" t="inlineStr">
        <is>
          <t>NOT_TESTED</t>
        </is>
      </c>
      <c r="AA19" s="3" t="inlineStr">
        <is>
          <t>NOT_TESTED</t>
        </is>
      </c>
      <c r="AB19" s="3" t="inlineStr">
        <is>
          <t>NOT_TESTED</t>
        </is>
      </c>
      <c r="AC19" s="2" t="inlineStr">
        <is>
          <t>ModuleNotFoundError</t>
        </is>
      </c>
      <c r="AD19" s="2" t="inlineStr">
        <is>
          <t>ModuleNotFoundError: No module named 'qiskit_aer'</t>
        </is>
      </c>
      <c r="AE19" s="2" t="inlineStr">
        <is>
          <t>Error on 0.25.x, passed on 0.45.x / 0.46.x: the LLM used a two-qubit depolarizing_error(0.05, 2) for the cx gate, which is the fix, but also moved the import from qiskit.providers.aer to qiskit_aer; the Aer 0.8 that comes with Qiskit 0.25 can only be imported as qiskit.providers.aer (ModuleNotFoundError). The GPT models kept the original import and passed on all 12 versions.</t>
        </is>
      </c>
      <c r="AF19" s="2" t="inlineStr">
        <is>
          <t>ModuleNotFoundError</t>
        </is>
      </c>
      <c r="AG19" s="2" t="inlineStr">
        <is>
          <t>ModuleNotFoundError: No module named 'qiskit_aer'</t>
        </is>
      </c>
      <c r="AH19" s="2" t="inlineStr">
        <is>
          <t>Error on 0.25.x, passed on 0.45.x / 0.46.x: the LLM used a two-qubit depolarizing_error(0.05, 2) for the cx gate, which is the fix, but also moved the import from qiskit.providers.aer to qiskit_aer; the Aer 0.8 that comes with Qiskit 0.25 can only be imported as qiskit.providers.aer (ModuleNotFoundError). The GPT models kept the original import and passed on all 12 versions.</t>
        </is>
      </c>
      <c r="AI19" s="2" t="inlineStr">
        <is>
          <t>ModuleNotFoundError</t>
        </is>
      </c>
      <c r="AJ19" s="2" t="inlineStr">
        <is>
          <t>ModuleNotFoundError: No module named 'qiskit_aer'</t>
        </is>
      </c>
      <c r="AK19" s="2" t="inlineStr">
        <is>
          <t>Error on 0.25.x, passed on 0.45.x / 0.46.x: the LLM used a two-qubit depolarizing_error(0.05, 2) for the cx gate, which is the fix, but also moved the import from qiskit.providers.aer to qiskit_aer; the Aer 0.8 that comes with Qiskit 0.25 can only be imported as qiskit.providers.aer (ModuleNotFoundError). The GPT models kept the original import and passed on all 12 versions.</t>
        </is>
      </c>
      <c r="AL19" s="2" t="inlineStr">
        <is>
          <t>ModuleNotFoundError</t>
        </is>
      </c>
      <c r="AM19" s="2" t="inlineStr">
        <is>
          <t>ModuleNotFoundError: No module named 'qiskit_aer'</t>
        </is>
      </c>
      <c r="AN19" s="2" t="inlineStr">
        <is>
          <t>Error on 0.25.x, passed on 0.45.x / 0.46.x: the LLM used a two-qubit depolarizing_error(0.05, 2) for the cx gate, which is the fix, but also moved the import from qiskit.providers.aer to qiskit_aer; the Aer 0.8 that comes with Qiskit 0.25 can only be imported as qiskit.providers.aer (ModuleNotFoundError). The GPT models kept the original import and passed on all 12 versions.</t>
        </is>
      </c>
      <c r="AO19" s="2" t="n"/>
      <c r="AP19" s="2" t="n"/>
      <c r="AQ19" s="2"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2" t="n"/>
      <c r="CN19" s="2" t="n"/>
      <c r="CO19" s="2" t="n"/>
      <c r="CP19" s="2" t="n"/>
      <c r="CQ19" s="2" t="n"/>
      <c r="CR19" s="2" t="n"/>
      <c r="CS19" s="2" t="n"/>
      <c r="CT19" s="2" t="n"/>
      <c r="CU19" s="2" t="n"/>
      <c r="CV19" s="2" t="n"/>
      <c r="CW19" s="2" t="n"/>
      <c r="CX19" s="2" t="n"/>
      <c r="CY19" s="2" t="n"/>
      <c r="CZ19" s="2" t="n"/>
      <c r="DA19" s="2" t="n"/>
      <c r="DB19" s="2" t="n"/>
      <c r="DC19" s="2" t="n"/>
      <c r="DD19" s="2" t="n"/>
      <c r="DE19" s="2" t="n"/>
    </row>
    <row r="20">
      <c r="A20" s="2" t="inlineStr">
        <is>
          <t>issue_295</t>
        </is>
      </c>
      <c r="B20" s="3" t="inlineStr">
        <is>
          <t>NOT_TESTED</t>
        </is>
      </c>
      <c r="C20" s="3" t="inlineStr">
        <is>
          <t>NOT_TESTED</t>
        </is>
      </c>
      <c r="D20" s="3" t="inlineStr">
        <is>
          <t>NOT_TESTED</t>
        </is>
      </c>
      <c r="E20" s="3" t="inlineStr">
        <is>
          <t>NOT_TESTED</t>
        </is>
      </c>
      <c r="F20" s="4" t="inlineStr">
        <is>
          <t>Passed on test</t>
        </is>
      </c>
      <c r="G20" s="4" t="inlineStr">
        <is>
          <t>Passed on test</t>
        </is>
      </c>
      <c r="H20" s="4" t="inlineStr">
        <is>
          <t>Passed on test</t>
        </is>
      </c>
      <c r="I20" s="4" t="inlineStr">
        <is>
          <t>Passed on test</t>
        </is>
      </c>
      <c r="J20" s="4" t="inlineStr">
        <is>
          <t>Passed on test</t>
        </is>
      </c>
      <c r="K20" s="4" t="inlineStr">
        <is>
          <t>Passed on test</t>
        </is>
      </c>
      <c r="L20" s="4" t="inlineStr">
        <is>
          <t>Passed on test</t>
        </is>
      </c>
      <c r="M20" s="4" t="inlineStr">
        <is>
          <t>Passed on test</t>
        </is>
      </c>
      <c r="N20" s="3" t="inlineStr">
        <is>
          <t>NOT_TESTED</t>
        </is>
      </c>
      <c r="O20" s="3" t="inlineStr">
        <is>
          <t>NOT_TESTED</t>
        </is>
      </c>
      <c r="P20" s="3" t="inlineStr">
        <is>
          <t>NOT_TESTED</t>
        </is>
      </c>
      <c r="Q20" s="3" t="inlineStr">
        <is>
          <t>NOT_TESTED</t>
        </is>
      </c>
      <c r="R20" s="3" t="inlineStr">
        <is>
          <t>NOT_TESTED</t>
        </is>
      </c>
      <c r="S20" s="3" t="inlineStr">
        <is>
          <t>NOT_TESTED</t>
        </is>
      </c>
      <c r="T20" s="3" t="inlineStr">
        <is>
          <t>NOT_TESTED</t>
        </is>
      </c>
      <c r="U20" s="3" t="inlineStr">
        <is>
          <t>NOT_TESTED</t>
        </is>
      </c>
      <c r="V20" s="3" t="inlineStr">
        <is>
          <t>NOT_TESTED</t>
        </is>
      </c>
      <c r="W20" s="3" t="inlineStr">
        <is>
          <t>NOT_TESTED</t>
        </is>
      </c>
      <c r="X20" s="3" t="inlineStr">
        <is>
          <t>NOT_TESTED</t>
        </is>
      </c>
      <c r="Y20" s="3" t="inlineStr">
        <is>
          <t>NOT_TESTED</t>
        </is>
      </c>
      <c r="Z20" s="3" t="inlineStr">
        <is>
          <t>NOT_TESTED</t>
        </is>
      </c>
      <c r="AA20" s="3" t="inlineStr">
        <is>
          <t>NOT_TESTED</t>
        </is>
      </c>
      <c r="AB20" s="3" t="inlineStr">
        <is>
          <t>NOT_TESTED</t>
        </is>
      </c>
      <c r="AC20" s="2" t="n"/>
      <c r="AD20" s="2" t="n"/>
      <c r="AE20" s="2" t="n"/>
      <c r="AF20" s="2" t="n"/>
      <c r="AG20" s="2" t="n"/>
      <c r="AH20" s="2" t="n"/>
      <c r="AI20" s="2" t="n"/>
      <c r="AJ20" s="2" t="n"/>
      <c r="AK20" s="2" t="n"/>
      <c r="AL20" s="2" t="n"/>
      <c r="AM20" s="2" t="n"/>
      <c r="AN20" s="2" t="n"/>
      <c r="AO20" s="2" t="n"/>
      <c r="AP20" s="2" t="n"/>
      <c r="AQ20" s="2" t="n"/>
      <c r="AR20" s="2"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2" t="n"/>
      <c r="CO20" s="2" t="n"/>
      <c r="CP20" s="2" t="n"/>
      <c r="CQ20" s="2" t="n"/>
      <c r="CR20" s="2" t="n"/>
      <c r="CS20" s="2" t="n"/>
      <c r="CT20" s="2" t="n"/>
      <c r="CU20" s="2" t="n"/>
      <c r="CV20" s="2" t="n"/>
      <c r="CW20" s="2" t="n"/>
      <c r="CX20" s="2" t="n"/>
      <c r="CY20" s="2" t="n"/>
      <c r="CZ20" s="2" t="n"/>
      <c r="DA20" s="2" t="n"/>
      <c r="DB20" s="2" t="n"/>
      <c r="DC20" s="2" t="n"/>
      <c r="DD20" s="2" t="n"/>
      <c r="DE20" s="2" t="n"/>
    </row>
    <row r="21">
      <c r="A21" s="2" t="inlineStr">
        <is>
          <t>issue_315</t>
        </is>
      </c>
      <c r="B21" s="3" t="inlineStr">
        <is>
          <t>NOT_TESTED</t>
        </is>
      </c>
      <c r="C21" s="3" t="inlineStr">
        <is>
          <t>NOT_TESTED</t>
        </is>
      </c>
      <c r="D21" s="3" t="inlineStr">
        <is>
          <t>NOT_TESTED</t>
        </is>
      </c>
      <c r="E21" s="3" t="inlineStr">
        <is>
          <t>NOT_TESTED</t>
        </is>
      </c>
      <c r="F21" s="6" t="inlineStr">
        <is>
          <t>Runtime error</t>
        </is>
      </c>
      <c r="G21" s="6" t="inlineStr">
        <is>
          <t>Runtime error</t>
        </is>
      </c>
      <c r="H21" s="6" t="inlineStr">
        <is>
          <t>Runtime error</t>
        </is>
      </c>
      <c r="I21" s="6" t="inlineStr">
        <is>
          <t>Runtime error</t>
        </is>
      </c>
      <c r="J21" s="6" t="inlineStr">
        <is>
          <t>Runtime error</t>
        </is>
      </c>
      <c r="K21" s="6" t="inlineStr">
        <is>
          <t>Runtime error</t>
        </is>
      </c>
      <c r="L21" s="6" t="inlineStr">
        <is>
          <t>Runtime error</t>
        </is>
      </c>
      <c r="M21" s="6" t="inlineStr">
        <is>
          <t>Runtime error</t>
        </is>
      </c>
      <c r="N21" s="6" t="inlineStr">
        <is>
          <t>Runtime error</t>
        </is>
      </c>
      <c r="O21" s="6" t="inlineStr">
        <is>
          <t>Runtime error</t>
        </is>
      </c>
      <c r="P21" s="6" t="inlineStr">
        <is>
          <t>Runtime error</t>
        </is>
      </c>
      <c r="Q21" s="6" t="inlineStr">
        <is>
          <t>Runtime error</t>
        </is>
      </c>
      <c r="R21" s="6" t="inlineStr">
        <is>
          <t>Runtime error</t>
        </is>
      </c>
      <c r="S21" s="6" t="inlineStr">
        <is>
          <t>Runtime error</t>
        </is>
      </c>
      <c r="T21" s="6" t="inlineStr">
        <is>
          <t>Runtime error</t>
        </is>
      </c>
      <c r="U21" s="6" t="inlineStr">
        <is>
          <t>Runtime error</t>
        </is>
      </c>
      <c r="V21" s="6" t="inlineStr">
        <is>
          <t>Runtime error</t>
        </is>
      </c>
      <c r="W21" s="6" t="inlineStr">
        <is>
          <t>Runtime error</t>
        </is>
      </c>
      <c r="X21" s="6" t="inlineStr">
        <is>
          <t>Runtime error</t>
        </is>
      </c>
      <c r="Y21" s="6" t="inlineStr">
        <is>
          <t>Runtime error</t>
        </is>
      </c>
      <c r="Z21" s="6" t="inlineStr">
        <is>
          <t>Runtime error</t>
        </is>
      </c>
      <c r="AA21" s="6" t="inlineStr">
        <is>
          <t>Runtime error</t>
        </is>
      </c>
      <c r="AB21" s="6" t="inlineStr">
        <is>
          <t>Runtime error</t>
        </is>
      </c>
      <c r="AC21" s="2" t="n"/>
      <c r="AD21" s="2" t="n"/>
      <c r="AE21" s="2" t="n"/>
      <c r="AF21" s="2" t="n"/>
      <c r="AG21" s="2" t="n"/>
      <c r="AH21" s="2" t="n"/>
      <c r="AI21" s="2" t="n"/>
      <c r="AJ21" s="2" t="n"/>
      <c r="AK21" s="2" t="n"/>
      <c r="AL21" s="2" t="n"/>
      <c r="AM21" s="2" t="n"/>
      <c r="AN21" s="2" t="n"/>
      <c r="AO21" s="2" t="inlineStr">
        <is>
          <t>ModuleNotFoundError</t>
        </is>
      </c>
      <c r="AP21" s="2" t="inlineStr">
        <is>
          <t>ModuleNotFoundError: No module named 'qiskit.providers.basic_provider'</t>
        </is>
      </c>
      <c r="AQ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AR21" s="2" t="inlineStr">
        <is>
          <t>ModuleNotFoundError</t>
        </is>
      </c>
      <c r="AS21" s="2" t="inlineStr">
        <is>
          <t>ModuleNotFoundError: No module named 'qiskit.providers.basic_provider'</t>
        </is>
      </c>
      <c r="AT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AU21" s="2" t="inlineStr">
        <is>
          <t>ModuleNotFoundError</t>
        </is>
      </c>
      <c r="AV21" s="2" t="inlineStr">
        <is>
          <t>ModuleNotFoundError: No module named 'qiskit.providers.basic_provider'</t>
        </is>
      </c>
      <c r="AW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AX21" s="2" t="inlineStr">
        <is>
          <t>ModuleNotFoundError</t>
        </is>
      </c>
      <c r="AY21" s="2" t="inlineStr">
        <is>
          <t>ModuleNotFoundError: No module named 'qiskit.providers.basic_provider'</t>
        </is>
      </c>
      <c r="AZ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A21" s="2" t="inlineStr">
        <is>
          <t>KeyError</t>
        </is>
      </c>
      <c r="BB21" s="2" t="inlineStr">
        <is>
          <t>KeyError: 'max_parallel_threads'; AttributeError: Option max_parallel_threads is not defined</t>
        </is>
      </c>
      <c r="BC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D21" s="2" t="inlineStr">
        <is>
          <t>KeyError</t>
        </is>
      </c>
      <c r="BE21" s="2" t="inlineStr">
        <is>
          <t>KeyError: 'max_parallel_threads'; AttributeError: Option max_parallel_threads is not defined</t>
        </is>
      </c>
      <c r="BF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G21" s="2" t="inlineStr">
        <is>
          <t>KeyError</t>
        </is>
      </c>
      <c r="BH21" s="2" t="inlineStr">
        <is>
          <t>KeyError: 'max_parallel_threads'; AttributeError: Option max_parallel_threads is not defined</t>
        </is>
      </c>
      <c r="BI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J21" s="2" t="inlineStr">
        <is>
          <t>KeyError</t>
        </is>
      </c>
      <c r="BK21" s="2" t="inlineStr">
        <is>
          <t>KeyError: 'max_parallel_threads'; AttributeError: Option max_parallel_threads is not defined</t>
        </is>
      </c>
      <c r="BL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M21" s="2" t="inlineStr">
        <is>
          <t>KeyError</t>
        </is>
      </c>
      <c r="BN21" s="2" t="inlineStr">
        <is>
          <t>KeyError: 'max_parallel_threads'; AttributeError: Option max_parallel_threads is not defined</t>
        </is>
      </c>
      <c r="BO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P21" s="2" t="inlineStr">
        <is>
          <t>KeyError</t>
        </is>
      </c>
      <c r="BQ21" s="2" t="inlineStr">
        <is>
          <t>KeyError: 'max_parallel_threads'; AttributeError: Option max_parallel_threads is not defined</t>
        </is>
      </c>
      <c r="BR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S21" s="2" t="inlineStr">
        <is>
          <t>KeyError</t>
        </is>
      </c>
      <c r="BT21" s="2" t="inlineStr">
        <is>
          <t>KeyError: 'max_parallel_threads'; AttributeError: Option max_parallel_threads is not defined</t>
        </is>
      </c>
      <c r="BU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V21" s="2" t="inlineStr">
        <is>
          <t>KeyError</t>
        </is>
      </c>
      <c r="BW21" s="2" t="inlineStr">
        <is>
          <t>KeyError: 'max_parallel_threads'; AttributeError: Option max_parallel_threads is not defined</t>
        </is>
      </c>
      <c r="BX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BY21" s="2" t="inlineStr">
        <is>
          <t>KeyError</t>
        </is>
      </c>
      <c r="BZ21" s="2" t="inlineStr">
        <is>
          <t>KeyError: 'max_parallel_threads'; AttributeError: Option max_parallel_threads is not defined</t>
        </is>
      </c>
      <c r="CA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B21" s="2" t="inlineStr">
        <is>
          <t>KeyError</t>
        </is>
      </c>
      <c r="CC21" s="2" t="inlineStr">
        <is>
          <t>KeyError: 'max_parallel_threads'; AttributeError: Option max_parallel_threads is not defined</t>
        </is>
      </c>
      <c r="CD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E21" s="2" t="inlineStr">
        <is>
          <t>KeyError</t>
        </is>
      </c>
      <c r="CF21" s="2" t="inlineStr">
        <is>
          <t>KeyError: 'max_parallel_threads'; AttributeError: Option max_parallel_threads is not defined</t>
        </is>
      </c>
      <c r="CG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H21" s="2" t="inlineStr">
        <is>
          <t>KeyError</t>
        </is>
      </c>
      <c r="CI21" s="2" t="inlineStr">
        <is>
          <t>KeyError: 'max_parallel_threads'; AttributeError: Option max_parallel_threads is not defined</t>
        </is>
      </c>
      <c r="CJ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K21" s="2" t="inlineStr">
        <is>
          <t>KeyError</t>
        </is>
      </c>
      <c r="CL21" s="2" t="inlineStr">
        <is>
          <t>KeyError: 'max_parallel_threads'; AttributeError: Option max_parallel_threads is not defined</t>
        </is>
      </c>
      <c r="CM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N21" s="2" t="inlineStr">
        <is>
          <t>KeyError</t>
        </is>
      </c>
      <c r="CO21" s="2" t="inlineStr">
        <is>
          <t>KeyError: 'max_parallel_threads'; AttributeError: Option max_parallel_threads is not defined</t>
        </is>
      </c>
      <c r="CP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Q21" s="2" t="inlineStr">
        <is>
          <t>KeyError</t>
        </is>
      </c>
      <c r="CR21" s="2" t="inlineStr">
        <is>
          <t>KeyError: 'max_parallel_threads'; AttributeError: Option max_parallel_threads is not defined</t>
        </is>
      </c>
      <c r="CS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T21" s="2" t="inlineStr">
        <is>
          <t>KeyError</t>
        </is>
      </c>
      <c r="CU21" s="2" t="inlineStr">
        <is>
          <t>KeyError: 'max_parallel_threads'; AttributeError: Option max_parallel_threads is not defined</t>
        </is>
      </c>
      <c r="CV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W21" s="2" t="inlineStr">
        <is>
          <t>KeyError</t>
        </is>
      </c>
      <c r="CX21" s="2" t="inlineStr">
        <is>
          <t>KeyError: 'max_parallel_threads'; AttributeError: Option max_parallel_threads is not defined</t>
        </is>
      </c>
      <c r="CY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CZ21" s="2" t="inlineStr">
        <is>
          <t>KeyError</t>
        </is>
      </c>
      <c r="DA21" s="2" t="inlineStr">
        <is>
          <t>KeyError: 'max_parallel_threads'; AttributeError: Option max_parallel_threads is not defined</t>
        </is>
      </c>
      <c r="DB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DC21" s="2" t="inlineStr">
        <is>
          <t>KeyError</t>
        </is>
      </c>
      <c r="DD21" s="2" t="inlineStr">
        <is>
          <t>KeyError: 'max_parallel_threads'; AttributeError: Option max_parallel_threads is not defined</t>
        </is>
      </c>
      <c r="DE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row>
    <row r="22">
      <c r="A22" s="2" t="inlineStr">
        <is>
          <t>issue_344</t>
        </is>
      </c>
      <c r="B22" s="4" t="inlineStr">
        <is>
          <t>Passed on test</t>
        </is>
      </c>
      <c r="C22" s="4" t="inlineStr">
        <is>
          <t>Passed on test</t>
        </is>
      </c>
      <c r="D22" s="4" t="inlineStr">
        <is>
          <t>Passed on test</t>
        </is>
      </c>
      <c r="E22" s="4" t="inlineStr">
        <is>
          <t>Passed on test</t>
        </is>
      </c>
      <c r="F22" s="4" t="inlineStr">
        <is>
          <t>Passed on test</t>
        </is>
      </c>
      <c r="G22" s="4" t="inlineStr">
        <is>
          <t>Passed on test</t>
        </is>
      </c>
      <c r="H22" s="4" t="inlineStr">
        <is>
          <t>Passed on test</t>
        </is>
      </c>
      <c r="I22" s="4" t="inlineStr">
        <is>
          <t>Passed on test</t>
        </is>
      </c>
      <c r="J22" s="4" t="inlineStr">
        <is>
          <t>Passed on test</t>
        </is>
      </c>
      <c r="K22" s="4" t="inlineStr">
        <is>
          <t>Passed on test</t>
        </is>
      </c>
      <c r="L22" s="4" t="inlineStr">
        <is>
          <t>Passed on test</t>
        </is>
      </c>
      <c r="M22" s="4" t="inlineStr">
        <is>
          <t>Passed on test</t>
        </is>
      </c>
      <c r="N22" s="3" t="inlineStr">
        <is>
          <t>NOT_TESTED</t>
        </is>
      </c>
      <c r="O22" s="3" t="inlineStr">
        <is>
          <t>NOT_TESTED</t>
        </is>
      </c>
      <c r="P22" s="3" t="inlineStr">
        <is>
          <t>NOT_TESTED</t>
        </is>
      </c>
      <c r="Q22" s="3" t="inlineStr">
        <is>
          <t>NOT_TESTED</t>
        </is>
      </c>
      <c r="R22" s="3" t="inlineStr">
        <is>
          <t>NOT_TESTED</t>
        </is>
      </c>
      <c r="S22" s="3" t="inlineStr">
        <is>
          <t>NOT_TESTED</t>
        </is>
      </c>
      <c r="T22" s="3" t="inlineStr">
        <is>
          <t>NOT_TESTED</t>
        </is>
      </c>
      <c r="U22" s="3" t="inlineStr">
        <is>
          <t>NOT_TESTED</t>
        </is>
      </c>
      <c r="V22" s="3" t="inlineStr">
        <is>
          <t>NOT_TESTED</t>
        </is>
      </c>
      <c r="W22" s="3" t="inlineStr">
        <is>
          <t>NOT_TESTED</t>
        </is>
      </c>
      <c r="X22" s="3" t="inlineStr">
        <is>
          <t>NOT_TESTED</t>
        </is>
      </c>
      <c r="Y22" s="3" t="inlineStr">
        <is>
          <t>NOT_TESTED</t>
        </is>
      </c>
      <c r="Z22" s="3" t="inlineStr">
        <is>
          <t>NOT_TESTED</t>
        </is>
      </c>
      <c r="AA22" s="3" t="inlineStr">
        <is>
          <t>NOT_TESTED</t>
        </is>
      </c>
      <c r="AB22" s="3" t="inlineStr">
        <is>
          <t>NOT_TESTED</t>
        </is>
      </c>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2" t="n"/>
      <c r="CO22" s="2" t="n"/>
      <c r="CP22" s="2" t="n"/>
      <c r="CQ22" s="2" t="n"/>
      <c r="CR22" s="2" t="n"/>
      <c r="CS22" s="2" t="n"/>
      <c r="CT22" s="2" t="n"/>
      <c r="CU22" s="2" t="n"/>
      <c r="CV22" s="2" t="n"/>
      <c r="CW22" s="2" t="n"/>
      <c r="CX22" s="2" t="n"/>
      <c r="CY22" s="2" t="n"/>
      <c r="CZ22" s="2" t="n"/>
      <c r="DA22" s="2" t="n"/>
      <c r="DB22" s="2" t="n"/>
      <c r="DC22" s="2" t="n"/>
      <c r="DD22" s="2" t="n"/>
      <c r="DE22" s="2" t="n"/>
    </row>
    <row r="23">
      <c r="A23" s="2" t="inlineStr">
        <is>
          <t>issue_362</t>
        </is>
      </c>
      <c r="B23" s="3" t="inlineStr">
        <is>
          <t>NOT_TESTED</t>
        </is>
      </c>
      <c r="C23" s="3" t="inlineStr">
        <is>
          <t>NOT_TESTED</t>
        </is>
      </c>
      <c r="D23" s="3" t="inlineStr">
        <is>
          <t>NOT_TESTED</t>
        </is>
      </c>
      <c r="E23" s="3" t="inlineStr">
        <is>
          <t>NOT_TESTED</t>
        </is>
      </c>
      <c r="F23" s="4" t="inlineStr">
        <is>
          <t>Passed on test</t>
        </is>
      </c>
      <c r="G23" s="4" t="inlineStr">
        <is>
          <t>Passed on test</t>
        </is>
      </c>
      <c r="H23" s="4" t="inlineStr">
        <is>
          <t>Passed on test</t>
        </is>
      </c>
      <c r="I23" s="4" t="inlineStr">
        <is>
          <t>Passed on test</t>
        </is>
      </c>
      <c r="J23" s="4" t="inlineStr">
        <is>
          <t>Passed on test</t>
        </is>
      </c>
      <c r="K23" s="4" t="inlineStr">
        <is>
          <t>Passed on test</t>
        </is>
      </c>
      <c r="L23" s="4" t="inlineStr">
        <is>
          <t>Passed on test</t>
        </is>
      </c>
      <c r="M23" s="4" t="inlineStr">
        <is>
          <t>Passed on test</t>
        </is>
      </c>
      <c r="N23" s="4" t="inlineStr">
        <is>
          <t>Passed on test</t>
        </is>
      </c>
      <c r="O23" s="4" t="inlineStr">
        <is>
          <t>Passed on test</t>
        </is>
      </c>
      <c r="P23" s="4" t="inlineStr">
        <is>
          <t>Passed on test</t>
        </is>
      </c>
      <c r="Q23" s="4" t="inlineStr">
        <is>
          <t>Passed on test</t>
        </is>
      </c>
      <c r="R23" s="4" t="inlineStr">
        <is>
          <t>Passed on test</t>
        </is>
      </c>
      <c r="S23" s="4" t="inlineStr">
        <is>
          <t>Passed on test</t>
        </is>
      </c>
      <c r="T23" s="4" t="inlineStr">
        <is>
          <t>Passed on test</t>
        </is>
      </c>
      <c r="U23" s="4" t="inlineStr">
        <is>
          <t>Passed on test</t>
        </is>
      </c>
      <c r="V23" s="4" t="inlineStr">
        <is>
          <t>Passed on test</t>
        </is>
      </c>
      <c r="W23" s="4" t="inlineStr">
        <is>
          <t>Passed on test</t>
        </is>
      </c>
      <c r="X23" s="4" t="inlineStr">
        <is>
          <t>Passed on test</t>
        </is>
      </c>
      <c r="Y23" s="4" t="inlineStr">
        <is>
          <t>Passed on test</t>
        </is>
      </c>
      <c r="Z23" s="4" t="inlineStr">
        <is>
          <t>Passed on test</t>
        </is>
      </c>
      <c r="AA23" s="4" t="inlineStr">
        <is>
          <t>Passed on test</t>
        </is>
      </c>
      <c r="AB23" s="4" t="inlineStr">
        <is>
          <t>Passed on test</t>
        </is>
      </c>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row>
    <row r="24">
      <c r="A24" s="2" t="inlineStr">
        <is>
          <t>issue_369</t>
        </is>
      </c>
      <c r="B24" s="4" t="inlineStr">
        <is>
          <t>Passed on test</t>
        </is>
      </c>
      <c r="C24" s="4" t="inlineStr">
        <is>
          <t>Passed on test</t>
        </is>
      </c>
      <c r="D24" s="4" t="inlineStr">
        <is>
          <t>Passed on test</t>
        </is>
      </c>
      <c r="E24" s="4" t="inlineStr">
        <is>
          <t>Passed on test</t>
        </is>
      </c>
      <c r="F24" s="4" t="inlineStr">
        <is>
          <t>Passed on test</t>
        </is>
      </c>
      <c r="G24" s="4" t="inlineStr">
        <is>
          <t>Passed on test</t>
        </is>
      </c>
      <c r="H24" s="4" t="inlineStr">
        <is>
          <t>Passed on test</t>
        </is>
      </c>
      <c r="I24" s="4" t="inlineStr">
        <is>
          <t>Passed on test</t>
        </is>
      </c>
      <c r="J24" s="4" t="inlineStr">
        <is>
          <t>Passed on test</t>
        </is>
      </c>
      <c r="K24" s="4" t="inlineStr">
        <is>
          <t>Passed on test</t>
        </is>
      </c>
      <c r="L24" s="4" t="inlineStr">
        <is>
          <t>Passed on test</t>
        </is>
      </c>
      <c r="M24" s="4" t="inlineStr">
        <is>
          <t>Passed on test</t>
        </is>
      </c>
      <c r="N24" s="4" t="inlineStr">
        <is>
          <t>Passed on test</t>
        </is>
      </c>
      <c r="O24" s="4" t="inlineStr">
        <is>
          <t>Passed on test</t>
        </is>
      </c>
      <c r="P24" s="4" t="inlineStr">
        <is>
          <t>Passed on test</t>
        </is>
      </c>
      <c r="Q24" s="4" t="inlineStr">
        <is>
          <t>Passed on test</t>
        </is>
      </c>
      <c r="R24" s="4" t="inlineStr">
        <is>
          <t>Passed on test</t>
        </is>
      </c>
      <c r="S24" s="4" t="inlineStr">
        <is>
          <t>Passed on test</t>
        </is>
      </c>
      <c r="T24" s="4" t="inlineStr">
        <is>
          <t>Passed on test</t>
        </is>
      </c>
      <c r="U24" s="4" t="inlineStr">
        <is>
          <t>Passed on test</t>
        </is>
      </c>
      <c r="V24" s="4" t="inlineStr">
        <is>
          <t>Passed on test</t>
        </is>
      </c>
      <c r="W24" s="4" t="inlineStr">
        <is>
          <t>Passed on test</t>
        </is>
      </c>
      <c r="X24" s="4" t="inlineStr">
        <is>
          <t>Passed on test</t>
        </is>
      </c>
      <c r="Y24" s="4" t="inlineStr">
        <is>
          <t>Passed on test</t>
        </is>
      </c>
      <c r="Z24" s="4" t="inlineStr">
        <is>
          <t>Passed on test</t>
        </is>
      </c>
      <c r="AA24" s="4" t="inlineStr">
        <is>
          <t>Passed on test</t>
        </is>
      </c>
      <c r="AB24" s="4" t="inlineStr">
        <is>
          <t>Passed on test</t>
        </is>
      </c>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2" t="n"/>
      <c r="BJ24" s="2" t="n"/>
      <c r="BK24" s="2" t="n"/>
      <c r="BL24" s="2" t="n"/>
      <c r="BM24" s="2" t="n"/>
      <c r="BN24" s="2" t="n"/>
      <c r="BO24" s="2" t="n"/>
      <c r="BP24" s="2" t="n"/>
      <c r="BQ24" s="2" t="n"/>
      <c r="BR24" s="2" t="n"/>
      <c r="BS24" s="2" t="n"/>
      <c r="BT24" s="2" t="n"/>
      <c r="BU24" s="2" t="n"/>
      <c r="BV24" s="2" t="n"/>
      <c r="BW24" s="2" t="n"/>
      <c r="BX24" s="2" t="n"/>
      <c r="BY24" s="2" t="n"/>
      <c r="BZ24" s="2" t="n"/>
      <c r="CA24" s="2" t="n"/>
      <c r="CB24" s="2" t="n"/>
      <c r="CC24" s="2" t="n"/>
      <c r="CD24" s="2" t="n"/>
      <c r="CE24" s="2" t="n"/>
      <c r="CF24" s="2" t="n"/>
      <c r="CG24" s="2" t="n"/>
      <c r="CH24" s="2" t="n"/>
      <c r="CI24" s="2" t="n"/>
      <c r="CJ24" s="2" t="n"/>
      <c r="CK24" s="2" t="n"/>
      <c r="CL24" s="2" t="n"/>
      <c r="CM24" s="2" t="n"/>
      <c r="CN24" s="2" t="n"/>
      <c r="CO24" s="2" t="n"/>
      <c r="CP24" s="2" t="n"/>
      <c r="CQ24" s="2" t="n"/>
      <c r="CR24" s="2" t="n"/>
      <c r="CS24" s="2" t="n"/>
      <c r="CT24" s="2" t="n"/>
      <c r="CU24" s="2" t="n"/>
      <c r="CV24" s="2" t="n"/>
      <c r="CW24" s="2" t="n"/>
      <c r="CX24" s="2" t="n"/>
      <c r="CY24" s="2" t="n"/>
      <c r="CZ24" s="2" t="n"/>
      <c r="DA24" s="2" t="n"/>
      <c r="DB24" s="2" t="n"/>
      <c r="DC24" s="2" t="n"/>
      <c r="DD24" s="2" t="n"/>
      <c r="DE24" s="2" t="n"/>
    </row>
    <row r="25">
      <c r="A25" s="2" t="inlineStr">
        <is>
          <t>issue_396</t>
        </is>
      </c>
      <c r="B25" s="6" t="inlineStr">
        <is>
          <t>Runtime error</t>
        </is>
      </c>
      <c r="C25" s="6" t="inlineStr">
        <is>
          <t>Runtime error</t>
        </is>
      </c>
      <c r="D25" s="6" t="inlineStr">
        <is>
          <t>Runtime error</t>
        </is>
      </c>
      <c r="E25" s="6" t="inlineStr">
        <is>
          <t>Runtime error</t>
        </is>
      </c>
      <c r="F25" s="6" t="inlineStr">
        <is>
          <t>Runtime error</t>
        </is>
      </c>
      <c r="G25" s="6" t="inlineStr">
        <is>
          <t>Runtime error</t>
        </is>
      </c>
      <c r="H25" s="6" t="inlineStr">
        <is>
          <t>Runtime error</t>
        </is>
      </c>
      <c r="I25" s="6" t="inlineStr">
        <is>
          <t>Runtime error</t>
        </is>
      </c>
      <c r="J25" s="6" t="inlineStr">
        <is>
          <t>Runtime error</t>
        </is>
      </c>
      <c r="K25" s="6" t="inlineStr">
        <is>
          <t>Runtime error</t>
        </is>
      </c>
      <c r="L25" s="6" t="inlineStr">
        <is>
          <t>Runtime error</t>
        </is>
      </c>
      <c r="M25" s="6" t="inlineStr">
        <is>
          <t>Runtime error</t>
        </is>
      </c>
      <c r="N25" s="6" t="inlineStr">
        <is>
          <t>Runtime error</t>
        </is>
      </c>
      <c r="O25" s="6" t="inlineStr">
        <is>
          <t>Runtime error</t>
        </is>
      </c>
      <c r="P25" s="6" t="inlineStr">
        <is>
          <t>Runtime error</t>
        </is>
      </c>
      <c r="Q25" s="6" t="inlineStr">
        <is>
          <t>Runtime error</t>
        </is>
      </c>
      <c r="R25" s="6" t="inlineStr">
        <is>
          <t>Runtime error</t>
        </is>
      </c>
      <c r="S25" s="6" t="inlineStr">
        <is>
          <t>Runtime error</t>
        </is>
      </c>
      <c r="T25" s="6" t="inlineStr">
        <is>
          <t>Runtime error</t>
        </is>
      </c>
      <c r="U25" s="6" t="inlineStr">
        <is>
          <t>Runtime error</t>
        </is>
      </c>
      <c r="V25" s="6" t="inlineStr">
        <is>
          <t>Runtime error</t>
        </is>
      </c>
      <c r="W25" s="6" t="inlineStr">
        <is>
          <t>Runtime error</t>
        </is>
      </c>
      <c r="X25" s="6" t="inlineStr">
        <is>
          <t>Runtime error</t>
        </is>
      </c>
      <c r="Y25" s="6" t="inlineStr">
        <is>
          <t>Runtime error</t>
        </is>
      </c>
      <c r="Z25" s="6" t="inlineStr">
        <is>
          <t>Runtime error</t>
        </is>
      </c>
      <c r="AA25" s="6" t="inlineStr">
        <is>
          <t>Runtime error</t>
        </is>
      </c>
      <c r="AB25" s="6" t="inlineStr">
        <is>
          <t>Runtime error</t>
        </is>
      </c>
      <c r="AC25" s="2" t="inlineStr">
        <is>
          <t>TypeError</t>
        </is>
      </c>
      <c r="AD25" s="2" t="inlineStr">
        <is>
          <t>TypeError: unsupported operand type(s) for +: 'int' and 'Statevector'</t>
        </is>
      </c>
      <c r="AE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AF25" s="2" t="inlineStr">
        <is>
          <t>TypeError</t>
        </is>
      </c>
      <c r="AG25" s="2" t="inlineStr">
        <is>
          <t>TypeError: unsupported operand type(s) for +: 'int' and 'Statevector'</t>
        </is>
      </c>
      <c r="AH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AI25" s="2" t="inlineStr">
        <is>
          <t>TypeError</t>
        </is>
      </c>
      <c r="AJ25" s="2" t="inlineStr">
        <is>
          <t>TypeError: unsupported operand type(s) for +: 'int' and 'Statevector'</t>
        </is>
      </c>
      <c r="AK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AL25" s="2" t="inlineStr">
        <is>
          <t>TypeError</t>
        </is>
      </c>
      <c r="AM25" s="2" t="inlineStr">
        <is>
          <t>TypeError: unsupported operand type(s) for +: 'int' and 'Statevector'</t>
        </is>
      </c>
      <c r="AN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AO25" s="2" t="inlineStr">
        <is>
          <t>TypeError</t>
        </is>
      </c>
      <c r="AP25" s="2" t="inlineStr">
        <is>
          <t>TypeError: unsupported operand type(s) for +: 'int' and 'Statevector'</t>
        </is>
      </c>
      <c r="AQ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AR25" s="2" t="inlineStr">
        <is>
          <t>TypeError</t>
        </is>
      </c>
      <c r="AS25" s="2" t="inlineStr">
        <is>
          <t>TypeError: unsupported operand type(s) for +: 'int' and 'Statevector'</t>
        </is>
      </c>
      <c r="AT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AU25" s="2" t="inlineStr">
        <is>
          <t>TypeError</t>
        </is>
      </c>
      <c r="AV25" s="2" t="inlineStr">
        <is>
          <t>TypeError: unsupported operand type(s) for +: 'int' and 'Statevector'</t>
        </is>
      </c>
      <c r="AW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AX25" s="2" t="inlineStr">
        <is>
          <t>TypeError</t>
        </is>
      </c>
      <c r="AY25" s="2" t="inlineStr">
        <is>
          <t>TypeError: unsupported operand type(s) for +: 'int' and 'Statevector'</t>
        </is>
      </c>
      <c r="AZ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A25" s="2" t="inlineStr">
        <is>
          <t>TypeError</t>
        </is>
      </c>
      <c r="BB25" s="2" t="inlineStr">
        <is>
          <t>TypeError: unsupported operand type(s) for +: 'int' and 'Statevector'</t>
        </is>
      </c>
      <c r="BC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D25" s="2" t="inlineStr">
        <is>
          <t>TypeError</t>
        </is>
      </c>
      <c r="BE25" s="2" t="inlineStr">
        <is>
          <t>TypeError: unsupported operand type(s) for +: 'int' and 'Statevector'</t>
        </is>
      </c>
      <c r="BF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G25" s="2" t="inlineStr">
        <is>
          <t>TypeError</t>
        </is>
      </c>
      <c r="BH25" s="2" t="inlineStr">
        <is>
          <t>TypeError: unsupported operand type(s) for +: 'int' and 'Statevector'</t>
        </is>
      </c>
      <c r="BI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J25" s="2" t="inlineStr">
        <is>
          <t>TypeError</t>
        </is>
      </c>
      <c r="BK25" s="2" t="inlineStr">
        <is>
          <t>TypeError: unsupported operand type(s) for +: 'int' and 'Statevector'</t>
        </is>
      </c>
      <c r="BL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M25" s="2" t="inlineStr">
        <is>
          <t>TypeError</t>
        </is>
      </c>
      <c r="BN25" s="2" t="inlineStr">
        <is>
          <t>TypeError: unsupported operand type(s) for +: 'int' and 'Statevector'</t>
        </is>
      </c>
      <c r="BO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P25" s="2" t="inlineStr">
        <is>
          <t>TypeError</t>
        </is>
      </c>
      <c r="BQ25" s="2" t="inlineStr">
        <is>
          <t>TypeError: unsupported operand type(s) for +: 'int' and 'Statevector'</t>
        </is>
      </c>
      <c r="BR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S25" s="2" t="inlineStr">
        <is>
          <t>TypeError</t>
        </is>
      </c>
      <c r="BT25" s="2" t="inlineStr">
        <is>
          <t>TypeError: unsupported operand type(s) for +: 'int' and 'Statevector'</t>
        </is>
      </c>
      <c r="BU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V25" s="2" t="inlineStr">
        <is>
          <t>TypeError</t>
        </is>
      </c>
      <c r="BW25" s="2" t="inlineStr">
        <is>
          <t>TypeError: unsupported operand type(s) for +: 'int' and 'Statevector'</t>
        </is>
      </c>
      <c r="BX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BY25" s="2" t="inlineStr">
        <is>
          <t>TypeError</t>
        </is>
      </c>
      <c r="BZ25" s="2" t="inlineStr">
        <is>
          <t>TypeError: unsupported operand type(s) for +: 'int' and 'Statevector'</t>
        </is>
      </c>
      <c r="CA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B25" s="2" t="inlineStr">
        <is>
          <t>TypeError</t>
        </is>
      </c>
      <c r="CC25" s="2" t="inlineStr">
        <is>
          <t>TypeError: unsupported operand type(s) for +: 'int' and 'Statevector'</t>
        </is>
      </c>
      <c r="CD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E25" s="2" t="inlineStr">
        <is>
          <t>TypeError</t>
        </is>
      </c>
      <c r="CF25" s="2" t="inlineStr">
        <is>
          <t>TypeError: unsupported operand type(s) for +: 'int' and 'Statevector'</t>
        </is>
      </c>
      <c r="CG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H25" s="2" t="inlineStr">
        <is>
          <t>TypeError</t>
        </is>
      </c>
      <c r="CI25" s="2" t="inlineStr">
        <is>
          <t>TypeError: unsupported operand type(s) for +: 'int' and 'Statevector'</t>
        </is>
      </c>
      <c r="CJ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K25" s="2" t="inlineStr">
        <is>
          <t>TypeError</t>
        </is>
      </c>
      <c r="CL25" s="2" t="inlineStr">
        <is>
          <t>TypeError: unsupported operand type(s) for +: 'int' and 'Statevector'</t>
        </is>
      </c>
      <c r="CM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N25" s="2" t="inlineStr">
        <is>
          <t>TypeError</t>
        </is>
      </c>
      <c r="CO25" s="2" t="inlineStr">
        <is>
          <t>TypeError: unsupported operand type(s) for +: 'int' and 'Statevector'</t>
        </is>
      </c>
      <c r="CP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Q25" s="2" t="inlineStr">
        <is>
          <t>TypeError</t>
        </is>
      </c>
      <c r="CR25" s="2" t="inlineStr">
        <is>
          <t>TypeError: unsupported operand type(s) for +: 'int' and 'Statevector'</t>
        </is>
      </c>
      <c r="CS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T25" s="2" t="inlineStr">
        <is>
          <t>TypeError</t>
        </is>
      </c>
      <c r="CU25" s="2" t="inlineStr">
        <is>
          <t>TypeError: unsupported operand type(s) for +: 'int' and 'Statevector'</t>
        </is>
      </c>
      <c r="CV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W25" s="2" t="inlineStr">
        <is>
          <t>TypeError</t>
        </is>
      </c>
      <c r="CX25" s="2" t="inlineStr">
        <is>
          <t>TypeError: unsupported operand type(s) for +: 'int' and 'Statevector'</t>
        </is>
      </c>
      <c r="CY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CZ25" s="2" t="inlineStr">
        <is>
          <t>TypeError</t>
        </is>
      </c>
      <c r="DA25" s="2" t="inlineStr">
        <is>
          <t>TypeError: unsupported operand type(s) for +: 'int' and 'Statevector'</t>
        </is>
      </c>
      <c r="DB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DC25" s="2" t="inlineStr">
        <is>
          <t>TypeError</t>
        </is>
      </c>
      <c r="DD25" s="2" t="inlineStr">
        <is>
          <t>TypeError: unsupported operand type(s) for +: 'int' and 'Statevector'</t>
        </is>
      </c>
      <c r="DE25" s="2"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row>
    <row r="26">
      <c r="A26" s="2" t="inlineStr">
        <is>
          <t>issue_415</t>
        </is>
      </c>
      <c r="B26" s="4" t="inlineStr">
        <is>
          <t>Passed on test</t>
        </is>
      </c>
      <c r="C26" s="4" t="inlineStr">
        <is>
          <t>Passed on test</t>
        </is>
      </c>
      <c r="D26" s="4" t="inlineStr">
        <is>
          <t>Passed on test</t>
        </is>
      </c>
      <c r="E26" s="4" t="inlineStr">
        <is>
          <t>Passed on test</t>
        </is>
      </c>
      <c r="F26" s="3" t="inlineStr">
        <is>
          <t>NOT_TESTED</t>
        </is>
      </c>
      <c r="G26" s="3" t="inlineStr">
        <is>
          <t>NOT_TESTED</t>
        </is>
      </c>
      <c r="H26" s="3" t="inlineStr">
        <is>
          <t>NOT_TESTED</t>
        </is>
      </c>
      <c r="I26" s="3" t="inlineStr">
        <is>
          <t>NOT_TESTED</t>
        </is>
      </c>
      <c r="J26" s="3" t="inlineStr">
        <is>
          <t>NOT_TESTED</t>
        </is>
      </c>
      <c r="K26" s="3" t="inlineStr">
        <is>
          <t>NOT_TESTED</t>
        </is>
      </c>
      <c r="L26" s="3" t="inlineStr">
        <is>
          <t>NOT_TESTED</t>
        </is>
      </c>
      <c r="M26" s="3" t="inlineStr">
        <is>
          <t>NOT_TESTED</t>
        </is>
      </c>
      <c r="N26" s="3" t="inlineStr">
        <is>
          <t>NOT_TESTED</t>
        </is>
      </c>
      <c r="O26" s="3" t="inlineStr">
        <is>
          <t>NOT_TESTED</t>
        </is>
      </c>
      <c r="P26" s="3" t="inlineStr">
        <is>
          <t>NOT_TESTED</t>
        </is>
      </c>
      <c r="Q26" s="3" t="inlineStr">
        <is>
          <t>NOT_TESTED</t>
        </is>
      </c>
      <c r="R26" s="3" t="inlineStr">
        <is>
          <t>NOT_TESTED</t>
        </is>
      </c>
      <c r="S26" s="3" t="inlineStr">
        <is>
          <t>NOT_TESTED</t>
        </is>
      </c>
      <c r="T26" s="3" t="inlineStr">
        <is>
          <t>NOT_TESTED</t>
        </is>
      </c>
      <c r="U26" s="3" t="inlineStr">
        <is>
          <t>NOT_TESTED</t>
        </is>
      </c>
      <c r="V26" s="3" t="inlineStr">
        <is>
          <t>NOT_TESTED</t>
        </is>
      </c>
      <c r="W26" s="3" t="inlineStr">
        <is>
          <t>NOT_TESTED</t>
        </is>
      </c>
      <c r="X26" s="3" t="inlineStr">
        <is>
          <t>NOT_TESTED</t>
        </is>
      </c>
      <c r="Y26" s="3" t="inlineStr">
        <is>
          <t>NOT_TESTED</t>
        </is>
      </c>
      <c r="Z26" s="3" t="inlineStr">
        <is>
          <t>NOT_TESTED</t>
        </is>
      </c>
      <c r="AA26" s="3" t="inlineStr">
        <is>
          <t>NOT_TESTED</t>
        </is>
      </c>
      <c r="AB26" s="3" t="inlineStr">
        <is>
          <t>NOT_TESTED</t>
        </is>
      </c>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2" t="n"/>
      <c r="CJ26" s="2" t="n"/>
      <c r="CK26" s="2" t="n"/>
      <c r="CL26" s="2" t="n"/>
      <c r="CM26" s="2" t="n"/>
      <c r="CN26" s="2" t="n"/>
      <c r="CO26" s="2" t="n"/>
      <c r="CP26" s="2" t="n"/>
      <c r="CQ26" s="2" t="n"/>
      <c r="CR26" s="2" t="n"/>
      <c r="CS26" s="2" t="n"/>
      <c r="CT26" s="2" t="n"/>
      <c r="CU26" s="2" t="n"/>
      <c r="CV26" s="2" t="n"/>
      <c r="CW26" s="2" t="n"/>
      <c r="CX26" s="2" t="n"/>
      <c r="CY26" s="2" t="n"/>
      <c r="CZ26" s="2" t="n"/>
      <c r="DA26" s="2" t="n"/>
      <c r="DB26" s="2" t="n"/>
      <c r="DC26" s="2" t="n"/>
      <c r="DD26" s="2" t="n"/>
      <c r="DE26" s="2" t="n"/>
    </row>
    <row r="27">
      <c r="A27" s="2" t="inlineStr">
        <is>
          <t>issue_436</t>
        </is>
      </c>
      <c r="B27" s="4" t="inlineStr">
        <is>
          <t>Passed on test</t>
        </is>
      </c>
      <c r="C27" s="4" t="inlineStr">
        <is>
          <t>Passed on test</t>
        </is>
      </c>
      <c r="D27" s="4" t="inlineStr">
        <is>
          <t>Passed on test</t>
        </is>
      </c>
      <c r="E27" s="4" t="inlineStr">
        <is>
          <t>Passed on test</t>
        </is>
      </c>
      <c r="F27" s="3" t="inlineStr">
        <is>
          <t>NOT_TESTED</t>
        </is>
      </c>
      <c r="G27" s="3" t="inlineStr">
        <is>
          <t>NOT_TESTED</t>
        </is>
      </c>
      <c r="H27" s="3" t="inlineStr">
        <is>
          <t>NOT_TESTED</t>
        </is>
      </c>
      <c r="I27" s="3" t="inlineStr">
        <is>
          <t>NOT_TESTED</t>
        </is>
      </c>
      <c r="J27" s="3" t="inlineStr">
        <is>
          <t>NOT_TESTED</t>
        </is>
      </c>
      <c r="K27" s="3" t="inlineStr">
        <is>
          <t>NOT_TESTED</t>
        </is>
      </c>
      <c r="L27" s="3" t="inlineStr">
        <is>
          <t>NOT_TESTED</t>
        </is>
      </c>
      <c r="M27" s="3" t="inlineStr">
        <is>
          <t>NOT_TESTED</t>
        </is>
      </c>
      <c r="N27" s="3" t="inlineStr">
        <is>
          <t>NOT_TESTED</t>
        </is>
      </c>
      <c r="O27" s="3" t="inlineStr">
        <is>
          <t>NOT_TESTED</t>
        </is>
      </c>
      <c r="P27" s="3" t="inlineStr">
        <is>
          <t>NOT_TESTED</t>
        </is>
      </c>
      <c r="Q27" s="3" t="inlineStr">
        <is>
          <t>NOT_TESTED</t>
        </is>
      </c>
      <c r="R27" s="3" t="inlineStr">
        <is>
          <t>NOT_TESTED</t>
        </is>
      </c>
      <c r="S27" s="3" t="inlineStr">
        <is>
          <t>NOT_TESTED</t>
        </is>
      </c>
      <c r="T27" s="3" t="inlineStr">
        <is>
          <t>NOT_TESTED</t>
        </is>
      </c>
      <c r="U27" s="3" t="inlineStr">
        <is>
          <t>NOT_TESTED</t>
        </is>
      </c>
      <c r="V27" s="3" t="inlineStr">
        <is>
          <t>NOT_TESTED</t>
        </is>
      </c>
      <c r="W27" s="3" t="inlineStr">
        <is>
          <t>NOT_TESTED</t>
        </is>
      </c>
      <c r="X27" s="3" t="inlineStr">
        <is>
          <t>NOT_TESTED</t>
        </is>
      </c>
      <c r="Y27" s="3" t="inlineStr">
        <is>
          <t>NOT_TESTED</t>
        </is>
      </c>
      <c r="Z27" s="3" t="inlineStr">
        <is>
          <t>NOT_TESTED</t>
        </is>
      </c>
      <c r="AA27" s="3" t="inlineStr">
        <is>
          <t>NOT_TESTED</t>
        </is>
      </c>
      <c r="AB27" s="3" t="inlineStr">
        <is>
          <t>NOT_TESTED</t>
        </is>
      </c>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2" t="n"/>
      <c r="CJ27" s="2" t="n"/>
      <c r="CK27" s="2" t="n"/>
      <c r="CL27" s="2" t="n"/>
      <c r="CM27" s="2" t="n"/>
      <c r="CN27" s="2" t="n"/>
      <c r="CO27" s="2" t="n"/>
      <c r="CP27" s="2" t="n"/>
      <c r="CQ27" s="2" t="n"/>
      <c r="CR27" s="2" t="n"/>
      <c r="CS27" s="2" t="n"/>
      <c r="CT27" s="2" t="n"/>
      <c r="CU27" s="2" t="n"/>
      <c r="CV27" s="2" t="n"/>
      <c r="CW27" s="2" t="n"/>
      <c r="CX27" s="2" t="n"/>
      <c r="CY27" s="2" t="n"/>
      <c r="CZ27" s="2" t="n"/>
      <c r="DA27" s="2" t="n"/>
      <c r="DB27" s="2" t="n"/>
      <c r="DC27" s="2" t="n"/>
      <c r="DD27" s="2" t="n"/>
      <c r="DE27" s="2" t="n"/>
    </row>
    <row r="28">
      <c r="A28" s="2" t="inlineStr">
        <is>
          <t>issue_443</t>
        </is>
      </c>
      <c r="B28" s="5" t="inlineStr">
        <is>
          <t>Failed on test</t>
        </is>
      </c>
      <c r="C28" s="5" t="inlineStr">
        <is>
          <t>Failed on test</t>
        </is>
      </c>
      <c r="D28" s="5" t="inlineStr">
        <is>
          <t>Failed on test</t>
        </is>
      </c>
      <c r="E28" s="5" t="inlineStr">
        <is>
          <t>Failed on test</t>
        </is>
      </c>
      <c r="F28" s="5" t="inlineStr">
        <is>
          <t>Failed on test</t>
        </is>
      </c>
      <c r="G28" s="5" t="inlineStr">
        <is>
          <t>Failed on test</t>
        </is>
      </c>
      <c r="H28" s="5" t="inlineStr">
        <is>
          <t>Failed on test</t>
        </is>
      </c>
      <c r="I28" s="5" t="inlineStr">
        <is>
          <t>Failed on test</t>
        </is>
      </c>
      <c r="J28" s="5" t="inlineStr">
        <is>
          <t>Failed on test</t>
        </is>
      </c>
      <c r="K28" s="5" t="inlineStr">
        <is>
          <t>Failed on test</t>
        </is>
      </c>
      <c r="L28" s="5" t="inlineStr">
        <is>
          <t>Failed on test</t>
        </is>
      </c>
      <c r="M28" s="5" t="inlineStr">
        <is>
          <t>Failed on test</t>
        </is>
      </c>
      <c r="N28" s="5" t="inlineStr">
        <is>
          <t>Failed on test</t>
        </is>
      </c>
      <c r="O28" s="5" t="inlineStr">
        <is>
          <t>Failed on test</t>
        </is>
      </c>
      <c r="P28" s="5" t="inlineStr">
        <is>
          <t>Failed on test</t>
        </is>
      </c>
      <c r="Q28" s="5" t="inlineStr">
        <is>
          <t>Failed on test</t>
        </is>
      </c>
      <c r="R28" s="5" t="inlineStr">
        <is>
          <t>Failed on test</t>
        </is>
      </c>
      <c r="S28" s="5" t="inlineStr">
        <is>
          <t>Failed on test</t>
        </is>
      </c>
      <c r="T28" s="5" t="inlineStr">
        <is>
          <t>Failed on test</t>
        </is>
      </c>
      <c r="U28" s="5" t="inlineStr">
        <is>
          <t>Failed on test</t>
        </is>
      </c>
      <c r="V28" s="5" t="inlineStr">
        <is>
          <t>Failed on test</t>
        </is>
      </c>
      <c r="W28" s="5" t="inlineStr">
        <is>
          <t>Failed on test</t>
        </is>
      </c>
      <c r="X28" s="5" t="inlineStr">
        <is>
          <t>Failed on test</t>
        </is>
      </c>
      <c r="Y28" s="5" t="inlineStr">
        <is>
          <t>Failed on test</t>
        </is>
      </c>
      <c r="Z28" s="5" t="inlineStr">
        <is>
          <t>Failed on test</t>
        </is>
      </c>
      <c r="AA28" s="5" t="inlineStr">
        <is>
          <t>Failed on test</t>
        </is>
      </c>
      <c r="AB28" s="5" t="inlineStr">
        <is>
          <t>Failed on test</t>
        </is>
      </c>
      <c r="AC28" s="2" t="inlineStr">
        <is>
          <t>AssertionError</t>
        </is>
      </c>
      <c r="AD28" s="2" t="inlineStr">
        <is>
          <t>AssertionError:</t>
        </is>
      </c>
      <c r="AE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AF28" s="2" t="inlineStr">
        <is>
          <t>AssertionError</t>
        </is>
      </c>
      <c r="AG28" s="2" t="inlineStr">
        <is>
          <t>AssertionError:</t>
        </is>
      </c>
      <c r="AH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AI28" s="2" t="inlineStr">
        <is>
          <t>AssertionError</t>
        </is>
      </c>
      <c r="AJ28" s="2" t="inlineStr">
        <is>
          <t>AssertionError:</t>
        </is>
      </c>
      <c r="AK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AL28" s="2" t="inlineStr">
        <is>
          <t>AssertionError</t>
        </is>
      </c>
      <c r="AM28" s="2" t="inlineStr">
        <is>
          <t>AssertionError:</t>
        </is>
      </c>
      <c r="AN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AO28" s="2" t="inlineStr">
        <is>
          <t>AssertionError</t>
        </is>
      </c>
      <c r="AP28" s="2" t="inlineStr">
        <is>
          <t>AssertionError:</t>
        </is>
      </c>
      <c r="AQ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AR28" s="2" t="inlineStr">
        <is>
          <t>AssertionError</t>
        </is>
      </c>
      <c r="AS28" s="2" t="inlineStr">
        <is>
          <t>AssertionError:</t>
        </is>
      </c>
      <c r="AT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AU28" s="2" t="inlineStr">
        <is>
          <t>AssertionError</t>
        </is>
      </c>
      <c r="AV28" s="2" t="inlineStr">
        <is>
          <t>AssertionError:</t>
        </is>
      </c>
      <c r="AW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AX28" s="2" t="inlineStr">
        <is>
          <t>AssertionError</t>
        </is>
      </c>
      <c r="AY28" s="2" t="inlineStr">
        <is>
          <t>AssertionError:</t>
        </is>
      </c>
      <c r="AZ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A28" s="2" t="inlineStr">
        <is>
          <t>AssertionError</t>
        </is>
      </c>
      <c r="BB28" s="2" t="inlineStr">
        <is>
          <t>AssertionError:</t>
        </is>
      </c>
      <c r="BC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D28" s="2" t="inlineStr">
        <is>
          <t>AssertionError</t>
        </is>
      </c>
      <c r="BE28" s="2" t="inlineStr">
        <is>
          <t>AssertionError:</t>
        </is>
      </c>
      <c r="BF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G28" s="2" t="inlineStr">
        <is>
          <t>AssertionError</t>
        </is>
      </c>
      <c r="BH28" s="2" t="inlineStr">
        <is>
          <t>AssertionError:</t>
        </is>
      </c>
      <c r="BI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J28" s="2" t="inlineStr">
        <is>
          <t>AssertionError</t>
        </is>
      </c>
      <c r="BK28" s="2" t="inlineStr">
        <is>
          <t>AssertionError:</t>
        </is>
      </c>
      <c r="BL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M28" s="2" t="inlineStr">
        <is>
          <t>AssertionError</t>
        </is>
      </c>
      <c r="BN28" s="2" t="inlineStr">
        <is>
          <t>AssertionError:</t>
        </is>
      </c>
      <c r="BO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P28" s="2" t="inlineStr">
        <is>
          <t>AssertionError</t>
        </is>
      </c>
      <c r="BQ28" s="2" t="inlineStr">
        <is>
          <t>AssertionError:</t>
        </is>
      </c>
      <c r="BR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S28" s="2" t="inlineStr">
        <is>
          <t>AssertionError</t>
        </is>
      </c>
      <c r="BT28" s="2" t="inlineStr">
        <is>
          <t>AssertionError:</t>
        </is>
      </c>
      <c r="BU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V28" s="2" t="inlineStr">
        <is>
          <t>AssertionError</t>
        </is>
      </c>
      <c r="BW28" s="2" t="inlineStr">
        <is>
          <t>AssertionError:</t>
        </is>
      </c>
      <c r="BX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BY28" s="2" t="inlineStr">
        <is>
          <t>AssertionError</t>
        </is>
      </c>
      <c r="BZ28" s="2" t="inlineStr">
        <is>
          <t>AssertionError:</t>
        </is>
      </c>
      <c r="CA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B28" s="2" t="inlineStr">
        <is>
          <t>AssertionError</t>
        </is>
      </c>
      <c r="CC28" s="2" t="inlineStr">
        <is>
          <t>AssertionError:</t>
        </is>
      </c>
      <c r="CD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E28" s="2" t="inlineStr">
        <is>
          <t>AssertionError</t>
        </is>
      </c>
      <c r="CF28" s="2" t="inlineStr">
        <is>
          <t>AssertionError:</t>
        </is>
      </c>
      <c r="CG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H28" s="2" t="inlineStr">
        <is>
          <t>AssertionError</t>
        </is>
      </c>
      <c r="CI28" s="2" t="inlineStr">
        <is>
          <t>AssertionError:</t>
        </is>
      </c>
      <c r="CJ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K28" s="2" t="inlineStr">
        <is>
          <t>AssertionError</t>
        </is>
      </c>
      <c r="CL28" s="2" t="inlineStr">
        <is>
          <t>AssertionError:</t>
        </is>
      </c>
      <c r="CM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N28" s="2" t="inlineStr">
        <is>
          <t>AssertionError</t>
        </is>
      </c>
      <c r="CO28" s="2" t="inlineStr">
        <is>
          <t>AssertionError:</t>
        </is>
      </c>
      <c r="CP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Q28" s="2" t="inlineStr">
        <is>
          <t>AssertionError</t>
        </is>
      </c>
      <c r="CR28" s="2" t="inlineStr">
        <is>
          <t>AssertionError:</t>
        </is>
      </c>
      <c r="CS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T28" s="2" t="inlineStr">
        <is>
          <t>AssertionError</t>
        </is>
      </c>
      <c r="CU28" s="2" t="inlineStr">
        <is>
          <t>AssertionError:</t>
        </is>
      </c>
      <c r="CV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W28" s="2" t="inlineStr">
        <is>
          <t>AssertionError</t>
        </is>
      </c>
      <c r="CX28" s="2" t="inlineStr">
        <is>
          <t>AssertionError:</t>
        </is>
      </c>
      <c r="CY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CZ28" s="2" t="inlineStr">
        <is>
          <t>AssertionError</t>
        </is>
      </c>
      <c r="DA28" s="2" t="inlineStr">
        <is>
          <t>AssertionError:</t>
        </is>
      </c>
      <c r="DB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DC28" s="2" t="inlineStr">
        <is>
          <t>AssertionError</t>
        </is>
      </c>
      <c r="DD28" s="2" t="inlineStr">
        <is>
          <t>AssertionError:</t>
        </is>
      </c>
      <c r="DE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row>
    <row r="29">
      <c r="A29" s="2" t="inlineStr">
        <is>
          <t>issue_453</t>
        </is>
      </c>
      <c r="B29" s="3" t="inlineStr">
        <is>
          <t>NOT_TESTED</t>
        </is>
      </c>
      <c r="C29" s="3" t="inlineStr">
        <is>
          <t>NOT_TESTED</t>
        </is>
      </c>
      <c r="D29" s="3" t="inlineStr">
        <is>
          <t>NOT_TESTED</t>
        </is>
      </c>
      <c r="E29" s="3" t="inlineStr">
        <is>
          <t>NOT_TESTED</t>
        </is>
      </c>
      <c r="F29" s="6" t="inlineStr">
        <is>
          <t>Runtime error</t>
        </is>
      </c>
      <c r="G29" s="6" t="inlineStr">
        <is>
          <t>Runtime error</t>
        </is>
      </c>
      <c r="H29" s="6" t="inlineStr">
        <is>
          <t>Runtime error</t>
        </is>
      </c>
      <c r="I29" s="6" t="inlineStr">
        <is>
          <t>Runtime error</t>
        </is>
      </c>
      <c r="J29" s="6" t="inlineStr">
        <is>
          <t>Runtime error</t>
        </is>
      </c>
      <c r="K29" s="6" t="inlineStr">
        <is>
          <t>Runtime error</t>
        </is>
      </c>
      <c r="L29" s="6" t="inlineStr">
        <is>
          <t>Runtime error</t>
        </is>
      </c>
      <c r="M29" s="6" t="inlineStr">
        <is>
          <t>Runtime error</t>
        </is>
      </c>
      <c r="N29" s="6" t="inlineStr">
        <is>
          <t>Runtime error</t>
        </is>
      </c>
      <c r="O29" s="6" t="inlineStr">
        <is>
          <t>Runtime error</t>
        </is>
      </c>
      <c r="P29" s="6" t="inlineStr">
        <is>
          <t>Runtime error</t>
        </is>
      </c>
      <c r="Q29" s="6" t="inlineStr">
        <is>
          <t>Runtime error</t>
        </is>
      </c>
      <c r="R29" s="6" t="inlineStr">
        <is>
          <t>Runtime error</t>
        </is>
      </c>
      <c r="S29" s="6" t="inlineStr">
        <is>
          <t>Runtime error</t>
        </is>
      </c>
      <c r="T29" s="6" t="inlineStr">
        <is>
          <t>Runtime error</t>
        </is>
      </c>
      <c r="U29" s="6" t="inlineStr">
        <is>
          <t>Runtime error</t>
        </is>
      </c>
      <c r="V29" s="6" t="inlineStr">
        <is>
          <t>Runtime error</t>
        </is>
      </c>
      <c r="W29" s="6" t="inlineStr">
        <is>
          <t>Runtime error</t>
        </is>
      </c>
      <c r="X29" s="6" t="inlineStr">
        <is>
          <t>Runtime error</t>
        </is>
      </c>
      <c r="Y29" s="6" t="inlineStr">
        <is>
          <t>Runtime error</t>
        </is>
      </c>
      <c r="Z29" s="6" t="inlineStr">
        <is>
          <t>Runtime error</t>
        </is>
      </c>
      <c r="AA29" s="6" t="inlineStr">
        <is>
          <t>Runtime error</t>
        </is>
      </c>
      <c r="AB29" s="6" t="inlineStr">
        <is>
          <t>Runtime error</t>
        </is>
      </c>
      <c r="AC29" s="2" t="n"/>
      <c r="AD29" s="2" t="n"/>
      <c r="AE29" s="2" t="n"/>
      <c r="AF29" s="2" t="n"/>
      <c r="AG29" s="2" t="n"/>
      <c r="AH29" s="2" t="n"/>
      <c r="AI29" s="2" t="n"/>
      <c r="AJ29" s="2" t="n"/>
      <c r="AK29" s="2" t="n"/>
      <c r="AL29" s="2" t="n"/>
      <c r="AM29" s="2" t="n"/>
      <c r="AN29" s="2" t="n"/>
      <c r="AO29" s="2" t="inlineStr">
        <is>
          <t>AttributeError</t>
        </is>
      </c>
      <c r="AP29" s="2" t="inlineStr">
        <is>
          <t>AttributeError: 'QuantumCircuit' object has no attribute 'compose_with_auto_ancillas'</t>
        </is>
      </c>
      <c r="AQ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AR29" s="2" t="inlineStr">
        <is>
          <t>AttributeError</t>
        </is>
      </c>
      <c r="AS29" s="2" t="inlineStr">
        <is>
          <t>AttributeError: 'QuantumCircuit' object has no attribute 'compose_with_auto_ancillas'</t>
        </is>
      </c>
      <c r="AT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AU29" s="2" t="inlineStr">
        <is>
          <t>AttributeError</t>
        </is>
      </c>
      <c r="AV29" s="2" t="inlineStr">
        <is>
          <t>AttributeError: 'QuantumCircuit' object has no attribute 'compose_with_auto_ancillas'</t>
        </is>
      </c>
      <c r="AW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AX29" s="2" t="inlineStr">
        <is>
          <t>AttributeError</t>
        </is>
      </c>
      <c r="AY29" s="2" t="inlineStr">
        <is>
          <t>AttributeError: 'QuantumCircuit' object has no attribute 'compose_with_auto_ancillas'</t>
        </is>
      </c>
      <c r="AZ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A29" s="2" t="inlineStr">
        <is>
          <t>AttributeError</t>
        </is>
      </c>
      <c r="BB29" s="2" t="inlineStr">
        <is>
          <t>AttributeError: 'QuantumCircuit' object has no attribute 'compose_with_auto_ancillas'</t>
        </is>
      </c>
      <c r="BC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D29" s="2" t="inlineStr">
        <is>
          <t>AttributeError</t>
        </is>
      </c>
      <c r="BE29" s="2" t="inlineStr">
        <is>
          <t>AttributeError: 'QuantumCircuit' object has no attribute 'compose_with_auto_ancillas'</t>
        </is>
      </c>
      <c r="BF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G29" s="2" t="inlineStr">
        <is>
          <t>AttributeError</t>
        </is>
      </c>
      <c r="BH29" s="2" t="inlineStr">
        <is>
          <t>AttributeError: 'QuantumCircuit' object has no attribute 'compose_with_auto_ancillas'</t>
        </is>
      </c>
      <c r="BI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J29" s="2" t="inlineStr">
        <is>
          <t>AttributeError</t>
        </is>
      </c>
      <c r="BK29" s="2" t="inlineStr">
        <is>
          <t>AttributeError: 'QuantumCircuit' object has no attribute 'compose_with_auto_ancillas'</t>
        </is>
      </c>
      <c r="BL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M29" s="2" t="inlineStr">
        <is>
          <t>AttributeError</t>
        </is>
      </c>
      <c r="BN29" s="2" t="inlineStr">
        <is>
          <t>AttributeError: 'QuantumCircuit' object has no attribute 'compose_with_auto_ancillas'</t>
        </is>
      </c>
      <c r="BO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P29" s="2" t="inlineStr">
        <is>
          <t>AttributeError</t>
        </is>
      </c>
      <c r="BQ29" s="2" t="inlineStr">
        <is>
          <t>AttributeError: 'QuantumCircuit' object has no attribute 'compose_with_auto_ancillas'</t>
        </is>
      </c>
      <c r="BR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S29" s="2" t="inlineStr">
        <is>
          <t>AttributeError</t>
        </is>
      </c>
      <c r="BT29" s="2" t="inlineStr">
        <is>
          <t>AttributeError: 'QuantumCircuit' object has no attribute 'compose_with_auto_ancillas'</t>
        </is>
      </c>
      <c r="BU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V29" s="2" t="inlineStr">
        <is>
          <t>AttributeError</t>
        </is>
      </c>
      <c r="BW29" s="2" t="inlineStr">
        <is>
          <t>AttributeError: 'QuantumCircuit' object has no attribute 'compose_with_auto_ancillas'</t>
        </is>
      </c>
      <c r="BX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BY29" s="2" t="inlineStr">
        <is>
          <t>AttributeError</t>
        </is>
      </c>
      <c r="BZ29" s="2" t="inlineStr">
        <is>
          <t>AttributeError: 'QuantumCircuit' object has no attribute 'compose_with_auto_ancillas'</t>
        </is>
      </c>
      <c r="CA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B29" s="2" t="inlineStr">
        <is>
          <t>AttributeError</t>
        </is>
      </c>
      <c r="CC29" s="2" t="inlineStr">
        <is>
          <t>AttributeError: 'QuantumCircuit' object has no attribute 'compose_with_auto_ancillas'</t>
        </is>
      </c>
      <c r="CD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E29" s="2" t="inlineStr">
        <is>
          <t>AttributeError</t>
        </is>
      </c>
      <c r="CF29" s="2" t="inlineStr">
        <is>
          <t>AttributeError: 'QuantumCircuit' object has no attribute 'compose_with_auto_ancillas'</t>
        </is>
      </c>
      <c r="CG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H29" s="2" t="inlineStr">
        <is>
          <t>AttributeError</t>
        </is>
      </c>
      <c r="CI29" s="2" t="inlineStr">
        <is>
          <t>AttributeError: 'QuantumCircuit' object has no attribute 'compose_with_auto_ancillas'</t>
        </is>
      </c>
      <c r="CJ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K29" s="2" t="inlineStr">
        <is>
          <t>AttributeError</t>
        </is>
      </c>
      <c r="CL29" s="2" t="inlineStr">
        <is>
          <t>AttributeError: 'QuantumCircuit' object has no attribute 'compose_with_auto_ancillas'</t>
        </is>
      </c>
      <c r="CM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N29" s="2" t="inlineStr">
        <is>
          <t>AttributeError</t>
        </is>
      </c>
      <c r="CO29" s="2" t="inlineStr">
        <is>
          <t>AttributeError: 'QuantumCircuit' object has no attribute 'compose_with_auto_ancillas'</t>
        </is>
      </c>
      <c r="CP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Q29" s="2" t="inlineStr">
        <is>
          <t>AttributeError</t>
        </is>
      </c>
      <c r="CR29" s="2" t="inlineStr">
        <is>
          <t>AttributeError: 'QuantumCircuit' object has no attribute 'compose_with_auto_ancillas'</t>
        </is>
      </c>
      <c r="CS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T29" s="2" t="inlineStr">
        <is>
          <t>AttributeError</t>
        </is>
      </c>
      <c r="CU29" s="2" t="inlineStr">
        <is>
          <t>AttributeError: 'QuantumCircuit' object has no attribute 'compose_with_auto_ancillas'</t>
        </is>
      </c>
      <c r="CV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W29" s="2" t="inlineStr">
        <is>
          <t>AttributeError</t>
        </is>
      </c>
      <c r="CX29" s="2" t="inlineStr">
        <is>
          <t>AttributeError: 'QuantumCircuit' object has no attribute 'compose_with_auto_ancillas'</t>
        </is>
      </c>
      <c r="CY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CZ29" s="2" t="inlineStr">
        <is>
          <t>AttributeError</t>
        </is>
      </c>
      <c r="DA29" s="2" t="inlineStr">
        <is>
          <t>AttributeError: 'QuantumCircuit' object has no attribute 'compose_with_auto_ancillas'</t>
        </is>
      </c>
      <c r="DB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DC29" s="2" t="inlineStr">
        <is>
          <t>AttributeError</t>
        </is>
      </c>
      <c r="DD29" s="2" t="inlineStr">
        <is>
          <t>AttributeError: 'QuantumCircuit' object has no attribute 'compose_with_auto_ancillas'</t>
        </is>
      </c>
      <c r="DE29" s="2"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row>
    <row r="30">
      <c r="A30" s="2" t="inlineStr">
        <is>
          <t>issue_468</t>
        </is>
      </c>
      <c r="B30" s="5" t="inlineStr">
        <is>
          <t>Failed on test</t>
        </is>
      </c>
      <c r="C30" s="5" t="inlineStr">
        <is>
          <t>Failed on test</t>
        </is>
      </c>
      <c r="D30" s="5" t="inlineStr">
        <is>
          <t>Failed on test</t>
        </is>
      </c>
      <c r="E30" s="5" t="inlineStr">
        <is>
          <t>Failed on test</t>
        </is>
      </c>
      <c r="F30" s="3" t="inlineStr">
        <is>
          <t>NOT_TESTED</t>
        </is>
      </c>
      <c r="G30" s="3" t="inlineStr">
        <is>
          <t>NOT_TESTED</t>
        </is>
      </c>
      <c r="H30" s="3" t="inlineStr">
        <is>
          <t>NOT_TESTED</t>
        </is>
      </c>
      <c r="I30" s="3" t="inlineStr">
        <is>
          <t>NOT_TESTED</t>
        </is>
      </c>
      <c r="J30" s="3" t="inlineStr">
        <is>
          <t>NOT_TESTED</t>
        </is>
      </c>
      <c r="K30" s="3" t="inlineStr">
        <is>
          <t>NOT_TESTED</t>
        </is>
      </c>
      <c r="L30" s="3" t="inlineStr">
        <is>
          <t>NOT_TESTED</t>
        </is>
      </c>
      <c r="M30" s="3" t="inlineStr">
        <is>
          <t>NOT_TESTED</t>
        </is>
      </c>
      <c r="N30" s="3" t="inlineStr">
        <is>
          <t>NOT_TESTED</t>
        </is>
      </c>
      <c r="O30" s="3" t="inlineStr">
        <is>
          <t>NOT_TESTED</t>
        </is>
      </c>
      <c r="P30" s="3" t="inlineStr">
        <is>
          <t>NOT_TESTED</t>
        </is>
      </c>
      <c r="Q30" s="3" t="inlineStr">
        <is>
          <t>NOT_TESTED</t>
        </is>
      </c>
      <c r="R30" s="3" t="inlineStr">
        <is>
          <t>NOT_TESTED</t>
        </is>
      </c>
      <c r="S30" s="3" t="inlineStr">
        <is>
          <t>NOT_TESTED</t>
        </is>
      </c>
      <c r="T30" s="3" t="inlineStr">
        <is>
          <t>NOT_TESTED</t>
        </is>
      </c>
      <c r="U30" s="3" t="inlineStr">
        <is>
          <t>NOT_TESTED</t>
        </is>
      </c>
      <c r="V30" s="3" t="inlineStr">
        <is>
          <t>NOT_TESTED</t>
        </is>
      </c>
      <c r="W30" s="3" t="inlineStr">
        <is>
          <t>NOT_TESTED</t>
        </is>
      </c>
      <c r="X30" s="3" t="inlineStr">
        <is>
          <t>NOT_TESTED</t>
        </is>
      </c>
      <c r="Y30" s="3" t="inlineStr">
        <is>
          <t>NOT_TESTED</t>
        </is>
      </c>
      <c r="Z30" s="3" t="inlineStr">
        <is>
          <t>NOT_TESTED</t>
        </is>
      </c>
      <c r="AA30" s="3" t="inlineStr">
        <is>
          <t>NOT_TESTED</t>
        </is>
      </c>
      <c r="AB30" s="3" t="inlineStr">
        <is>
          <t>NOT_TESTED</t>
        </is>
      </c>
      <c r="AC30" s="2" t="inlineStr">
        <is>
          <t>AssertionError</t>
        </is>
      </c>
      <c r="AD30" s="2" t="inlineStr">
        <is>
          <t>AssertionError: Expected one actual commutator call</t>
        </is>
      </c>
      <c r="AE30" s="2" t="inlineStr">
        <is>
          <t>The LLM dropped Aqua's legacy commutator() and defined its own commutator(A, B) = AB - BA with quantum_info Operators, so the script computes the commutator, but the test checks that Qiskit's commutator() is actually called ('Expected one actual commutator call'). The GPT models kept Aqua's commutator() and crashed with the wrong operator types.</t>
        </is>
      </c>
      <c r="AF30" s="2" t="inlineStr">
        <is>
          <t>AssertionError</t>
        </is>
      </c>
      <c r="AG30" s="2" t="inlineStr">
        <is>
          <t>AssertionError: Expected one actual commutator call</t>
        </is>
      </c>
      <c r="AH30" s="2" t="inlineStr">
        <is>
          <t>The LLM dropped Aqua's legacy commutator() and defined its own commutator(A, B) = AB - BA with quantum_info Operators, so the script computes the commutator, but the test checks that Qiskit's commutator() is actually called ('Expected one actual commutator call'). The GPT models kept Aqua's commutator() and crashed with the wrong operator types.</t>
        </is>
      </c>
      <c r="AI30" s="2" t="inlineStr">
        <is>
          <t>AssertionError</t>
        </is>
      </c>
      <c r="AJ30" s="2" t="inlineStr">
        <is>
          <t>AssertionError: Expected one actual commutator call</t>
        </is>
      </c>
      <c r="AK30" s="2" t="inlineStr">
        <is>
          <t>The LLM dropped Aqua's legacy commutator() and defined its own commutator(A, B) = AB - BA with quantum_info Operators, so the script computes the commutator, but the test checks that Qiskit's commutator() is actually called ('Expected one actual commutator call'). The GPT models kept Aqua's commutator() and crashed with the wrong operator types.</t>
        </is>
      </c>
      <c r="AL30" s="2" t="inlineStr">
        <is>
          <t>AssertionError</t>
        </is>
      </c>
      <c r="AM30" s="2" t="inlineStr">
        <is>
          <t>AssertionError: Expected one actual commutator call</t>
        </is>
      </c>
      <c r="AN30" s="2" t="inlineStr">
        <is>
          <t>The LLM dropped Aqua's legacy commutator() and defined its own commutator(A, B) = AB - BA with quantum_info Operators, so the script computes the commutator, but the test checks that Qiskit's commutator() is actually called ('Expected one actual commutator call'). The GPT models kept Aqua's commutator() and crashed with the wrong operator types.</t>
        </is>
      </c>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2" t="n"/>
      <c r="CO30" s="2" t="n"/>
      <c r="CP30" s="2" t="n"/>
      <c r="CQ30" s="2" t="n"/>
      <c r="CR30" s="2" t="n"/>
      <c r="CS30" s="2" t="n"/>
      <c r="CT30" s="2" t="n"/>
      <c r="CU30" s="2" t="n"/>
      <c r="CV30" s="2" t="n"/>
      <c r="CW30" s="2" t="n"/>
      <c r="CX30" s="2" t="n"/>
      <c r="CY30" s="2" t="n"/>
      <c r="CZ30" s="2" t="n"/>
      <c r="DA30" s="2" t="n"/>
      <c r="DB30" s="2" t="n"/>
      <c r="DC30" s="2" t="n"/>
      <c r="DD30" s="2" t="n"/>
      <c r="DE30" s="2" t="n"/>
    </row>
    <row r="31">
      <c r="A31" s="2" t="inlineStr">
        <is>
          <t>issue_497</t>
        </is>
      </c>
      <c r="B31" s="5" t="inlineStr">
        <is>
          <t>Failed on test</t>
        </is>
      </c>
      <c r="C31" s="5" t="inlineStr">
        <is>
          <t>Failed on test</t>
        </is>
      </c>
      <c r="D31" s="5" t="inlineStr">
        <is>
          <t>Failed on test</t>
        </is>
      </c>
      <c r="E31" s="5" t="inlineStr">
        <is>
          <t>Failed on test</t>
        </is>
      </c>
      <c r="F31" s="3" t="inlineStr">
        <is>
          <t>NOT_TESTED</t>
        </is>
      </c>
      <c r="G31" s="3" t="inlineStr">
        <is>
          <t>NOT_TESTED</t>
        </is>
      </c>
      <c r="H31" s="3" t="inlineStr">
        <is>
          <t>NOT_TESTED</t>
        </is>
      </c>
      <c r="I31" s="3" t="inlineStr">
        <is>
          <t>NOT_TESTED</t>
        </is>
      </c>
      <c r="J31" s="3" t="inlineStr">
        <is>
          <t>NOT_TESTED</t>
        </is>
      </c>
      <c r="K31" s="3" t="inlineStr">
        <is>
          <t>NOT_TESTED</t>
        </is>
      </c>
      <c r="L31" s="3" t="inlineStr">
        <is>
          <t>NOT_TESTED</t>
        </is>
      </c>
      <c r="M31" s="3" t="inlineStr">
        <is>
          <t>NOT_TESTED</t>
        </is>
      </c>
      <c r="N31" s="3" t="inlineStr">
        <is>
          <t>NOT_TESTED</t>
        </is>
      </c>
      <c r="O31" s="3" t="inlineStr">
        <is>
          <t>NOT_TESTED</t>
        </is>
      </c>
      <c r="P31" s="3" t="inlineStr">
        <is>
          <t>NOT_TESTED</t>
        </is>
      </c>
      <c r="Q31" s="3" t="inlineStr">
        <is>
          <t>NOT_TESTED</t>
        </is>
      </c>
      <c r="R31" s="3" t="inlineStr">
        <is>
          <t>NOT_TESTED</t>
        </is>
      </c>
      <c r="S31" s="3" t="inlineStr">
        <is>
          <t>NOT_TESTED</t>
        </is>
      </c>
      <c r="T31" s="3" t="inlineStr">
        <is>
          <t>NOT_TESTED</t>
        </is>
      </c>
      <c r="U31" s="3" t="inlineStr">
        <is>
          <t>NOT_TESTED</t>
        </is>
      </c>
      <c r="V31" s="3" t="inlineStr">
        <is>
          <t>NOT_TESTED</t>
        </is>
      </c>
      <c r="W31" s="3" t="inlineStr">
        <is>
          <t>NOT_TESTED</t>
        </is>
      </c>
      <c r="X31" s="3" t="inlineStr">
        <is>
          <t>NOT_TESTED</t>
        </is>
      </c>
      <c r="Y31" s="3" t="inlineStr">
        <is>
          <t>NOT_TESTED</t>
        </is>
      </c>
      <c r="Z31" s="3" t="inlineStr">
        <is>
          <t>NOT_TESTED</t>
        </is>
      </c>
      <c r="AA31" s="3" t="inlineStr">
        <is>
          <t>NOT_TESTED</t>
        </is>
      </c>
      <c r="AB31" s="3" t="inlineStr">
        <is>
          <t>NOT_TESTED</t>
        </is>
      </c>
      <c r="AC31" s="2" t="inlineStr">
        <is>
          <t>AssertionError</t>
        </is>
      </c>
      <c r="AD31" s="2" t="inlineStr">
        <is>
          <t>AssertionError: 2 != 1 : The local expectation batch should use one backend submission</t>
        </is>
      </c>
      <c r="AE31" s="2" t="inlineStr">
        <is>
          <t>The LLM only added the missing IBMQJobManager import and kept the two expectation values as separate evaluations, so the test sees two backend submissions instead of one batched job (2 != 1). gpt-5.6-luna batched them into one CircuitSampler call and passed.</t>
        </is>
      </c>
      <c r="AF31" s="2" t="inlineStr">
        <is>
          <t>AssertionError</t>
        </is>
      </c>
      <c r="AG31" s="2" t="inlineStr">
        <is>
          <t>AssertionError: 2 != 1 : The local expectation batch should use one backend submission</t>
        </is>
      </c>
      <c r="AH31" s="2" t="inlineStr">
        <is>
          <t>The LLM only added the missing IBMQJobManager import and kept the two expectation values as separate evaluations, so the test sees two backend submissions instead of one batched job (2 != 1). gpt-5.6-luna batched them into one CircuitSampler call and passed.</t>
        </is>
      </c>
      <c r="AI31" s="2" t="inlineStr">
        <is>
          <t>AssertionError</t>
        </is>
      </c>
      <c r="AJ31" s="2" t="inlineStr">
        <is>
          <t>AssertionError: 2 != 1 : The local expectation batch should use one backend submission</t>
        </is>
      </c>
      <c r="AK31" s="2" t="inlineStr">
        <is>
          <t>The LLM only added the missing IBMQJobManager import and kept the two expectation values as separate evaluations, so the test sees two backend submissions instead of one batched job (2 != 1). gpt-5.6-luna batched them into one CircuitSampler call and passed.</t>
        </is>
      </c>
      <c r="AL31" s="2" t="inlineStr">
        <is>
          <t>AssertionError</t>
        </is>
      </c>
      <c r="AM31" s="2" t="inlineStr">
        <is>
          <t>AssertionError: 2 != 1 : The local expectation batch should use one backend submission</t>
        </is>
      </c>
      <c r="AN31" s="2" t="inlineStr">
        <is>
          <t>The LLM only added the missing IBMQJobManager import and kept the two expectation values as separate evaluations, so the test sees two backend submissions instead of one batched job (2 != 1). gpt-5.6-luna batched them into one CircuitSampler call and passed.</t>
        </is>
      </c>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2" t="n"/>
      <c r="CO31" s="2" t="n"/>
      <c r="CP31" s="2" t="n"/>
      <c r="CQ31" s="2" t="n"/>
      <c r="CR31" s="2" t="n"/>
      <c r="CS31" s="2" t="n"/>
      <c r="CT31" s="2" t="n"/>
      <c r="CU31" s="2" t="n"/>
      <c r="CV31" s="2" t="n"/>
      <c r="CW31" s="2" t="n"/>
      <c r="CX31" s="2" t="n"/>
      <c r="CY31" s="2" t="n"/>
      <c r="CZ31" s="2" t="n"/>
      <c r="DA31" s="2" t="n"/>
      <c r="DB31" s="2" t="n"/>
      <c r="DC31" s="2" t="n"/>
      <c r="DD31" s="2" t="n"/>
      <c r="DE31" s="2" t="n"/>
    </row>
    <row r="32">
      <c r="A32" s="2" t="inlineStr">
        <is>
          <t>issue_504</t>
        </is>
      </c>
      <c r="B32" s="3" t="inlineStr">
        <is>
          <t>NOT_TESTED</t>
        </is>
      </c>
      <c r="C32" s="3" t="inlineStr">
        <is>
          <t>NOT_TESTED</t>
        </is>
      </c>
      <c r="D32" s="3" t="inlineStr">
        <is>
          <t>NOT_TESTED</t>
        </is>
      </c>
      <c r="E32" s="3" t="inlineStr">
        <is>
          <t>NOT_TESTED</t>
        </is>
      </c>
      <c r="F32" s="4" t="inlineStr">
        <is>
          <t>Passed on test</t>
        </is>
      </c>
      <c r="G32" s="4" t="inlineStr">
        <is>
          <t>Passed on test</t>
        </is>
      </c>
      <c r="H32" s="4" t="inlineStr">
        <is>
          <t>Passed on test</t>
        </is>
      </c>
      <c r="I32" s="4" t="inlineStr">
        <is>
          <t>Passed on test</t>
        </is>
      </c>
      <c r="J32" s="4" t="inlineStr">
        <is>
          <t>Passed on test</t>
        </is>
      </c>
      <c r="K32" s="4" t="inlineStr">
        <is>
          <t>Passed on test</t>
        </is>
      </c>
      <c r="L32" s="4" t="inlineStr">
        <is>
          <t>Passed on test</t>
        </is>
      </c>
      <c r="M32" s="4" t="inlineStr">
        <is>
          <t>Passed on test</t>
        </is>
      </c>
      <c r="N32" s="4" t="inlineStr">
        <is>
          <t>Passed on test</t>
        </is>
      </c>
      <c r="O32" s="4" t="inlineStr">
        <is>
          <t>Passed on test</t>
        </is>
      </c>
      <c r="P32" s="4" t="inlineStr">
        <is>
          <t>Passed on test</t>
        </is>
      </c>
      <c r="Q32" s="4" t="inlineStr">
        <is>
          <t>Passed on test</t>
        </is>
      </c>
      <c r="R32" s="4" t="inlineStr">
        <is>
          <t>Passed on test</t>
        </is>
      </c>
      <c r="S32" s="4" t="inlineStr">
        <is>
          <t>Passed on test</t>
        </is>
      </c>
      <c r="T32" s="4" t="inlineStr">
        <is>
          <t>Passed on test</t>
        </is>
      </c>
      <c r="U32" s="4" t="inlineStr">
        <is>
          <t>Passed on test</t>
        </is>
      </c>
      <c r="V32" s="4" t="inlineStr">
        <is>
          <t>Passed on test</t>
        </is>
      </c>
      <c r="W32" s="4" t="inlineStr">
        <is>
          <t>Passed on test</t>
        </is>
      </c>
      <c r="X32" s="4" t="inlineStr">
        <is>
          <t>Passed on test</t>
        </is>
      </c>
      <c r="Y32" s="4" t="inlineStr">
        <is>
          <t>Passed on test</t>
        </is>
      </c>
      <c r="Z32" s="4" t="inlineStr">
        <is>
          <t>Passed on test</t>
        </is>
      </c>
      <c r="AA32" s="4" t="inlineStr">
        <is>
          <t>Passed on test</t>
        </is>
      </c>
      <c r="AB32" s="4" t="inlineStr">
        <is>
          <t>Passed on test</t>
        </is>
      </c>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2" t="n"/>
      <c r="CS32" s="2" t="n"/>
      <c r="CT32" s="2" t="n"/>
      <c r="CU32" s="2" t="n"/>
      <c r="CV32" s="2" t="n"/>
      <c r="CW32" s="2" t="n"/>
      <c r="CX32" s="2" t="n"/>
      <c r="CY32" s="2" t="n"/>
      <c r="CZ32" s="2" t="n"/>
      <c r="DA32" s="2" t="n"/>
      <c r="DB32" s="2" t="n"/>
      <c r="DC32" s="2" t="n"/>
      <c r="DD32" s="2" t="n"/>
      <c r="DE32" s="2" t="n"/>
    </row>
    <row r="33">
      <c r="A33" s="2" t="inlineStr">
        <is>
          <t>issue_505</t>
        </is>
      </c>
      <c r="B33" s="3" t="inlineStr">
        <is>
          <t>NOT_TESTED</t>
        </is>
      </c>
      <c r="C33" s="3" t="inlineStr">
        <is>
          <t>NOT_TESTED</t>
        </is>
      </c>
      <c r="D33" s="3" t="inlineStr">
        <is>
          <t>NOT_TESTED</t>
        </is>
      </c>
      <c r="E33" s="3" t="inlineStr">
        <is>
          <t>NOT_TESTED</t>
        </is>
      </c>
      <c r="F33" s="4" t="inlineStr">
        <is>
          <t>Passed on test</t>
        </is>
      </c>
      <c r="G33" s="4" t="inlineStr">
        <is>
          <t>Passed on test</t>
        </is>
      </c>
      <c r="H33" s="4" t="inlineStr">
        <is>
          <t>Passed on test</t>
        </is>
      </c>
      <c r="I33" s="4" t="inlineStr">
        <is>
          <t>Passed on test</t>
        </is>
      </c>
      <c r="J33" s="4" t="inlineStr">
        <is>
          <t>Passed on test</t>
        </is>
      </c>
      <c r="K33" s="4" t="inlineStr">
        <is>
          <t>Passed on test</t>
        </is>
      </c>
      <c r="L33" s="4" t="inlineStr">
        <is>
          <t>Passed on test</t>
        </is>
      </c>
      <c r="M33" s="4" t="inlineStr">
        <is>
          <t>Passed on test</t>
        </is>
      </c>
      <c r="N33" s="3" t="inlineStr">
        <is>
          <t>NOT_TESTED</t>
        </is>
      </c>
      <c r="O33" s="3" t="inlineStr">
        <is>
          <t>NOT_TESTED</t>
        </is>
      </c>
      <c r="P33" s="3" t="inlineStr">
        <is>
          <t>NOT_TESTED</t>
        </is>
      </c>
      <c r="Q33" s="3" t="inlineStr">
        <is>
          <t>NOT_TESTED</t>
        </is>
      </c>
      <c r="R33" s="3" t="inlineStr">
        <is>
          <t>NOT_TESTED</t>
        </is>
      </c>
      <c r="S33" s="3" t="inlineStr">
        <is>
          <t>NOT_TESTED</t>
        </is>
      </c>
      <c r="T33" s="3" t="inlineStr">
        <is>
          <t>NOT_TESTED</t>
        </is>
      </c>
      <c r="U33" s="3" t="inlineStr">
        <is>
          <t>NOT_TESTED</t>
        </is>
      </c>
      <c r="V33" s="3" t="inlineStr">
        <is>
          <t>NOT_TESTED</t>
        </is>
      </c>
      <c r="W33" s="3" t="inlineStr">
        <is>
          <t>NOT_TESTED</t>
        </is>
      </c>
      <c r="X33" s="3" t="inlineStr">
        <is>
          <t>NOT_TESTED</t>
        </is>
      </c>
      <c r="Y33" s="3" t="inlineStr">
        <is>
          <t>NOT_TESTED</t>
        </is>
      </c>
      <c r="Z33" s="3" t="inlineStr">
        <is>
          <t>NOT_TESTED</t>
        </is>
      </c>
      <c r="AA33" s="3" t="inlineStr">
        <is>
          <t>NOT_TESTED</t>
        </is>
      </c>
      <c r="AB33" s="3" t="inlineStr">
        <is>
          <t>NOT_TESTED</t>
        </is>
      </c>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row>
    <row r="34">
      <c r="A34" s="2" t="inlineStr">
        <is>
          <t>issue_565</t>
        </is>
      </c>
      <c r="B34" s="6" t="inlineStr">
        <is>
          <t>Runtime error</t>
        </is>
      </c>
      <c r="C34" s="6" t="inlineStr">
        <is>
          <t>Runtime error</t>
        </is>
      </c>
      <c r="D34" s="6" t="inlineStr">
        <is>
          <t>Runtime error</t>
        </is>
      </c>
      <c r="E34" s="6" t="inlineStr">
        <is>
          <t>Runtime error</t>
        </is>
      </c>
      <c r="F34" s="3" t="inlineStr">
        <is>
          <t>NOT_TESTED</t>
        </is>
      </c>
      <c r="G34" s="3" t="inlineStr">
        <is>
          <t>NOT_TESTED</t>
        </is>
      </c>
      <c r="H34" s="3" t="inlineStr">
        <is>
          <t>NOT_TESTED</t>
        </is>
      </c>
      <c r="I34" s="3" t="inlineStr">
        <is>
          <t>NOT_TESTED</t>
        </is>
      </c>
      <c r="J34" s="3" t="inlineStr">
        <is>
          <t>NOT_TESTED</t>
        </is>
      </c>
      <c r="K34" s="3" t="inlineStr">
        <is>
          <t>NOT_TESTED</t>
        </is>
      </c>
      <c r="L34" s="3" t="inlineStr">
        <is>
          <t>NOT_TESTED</t>
        </is>
      </c>
      <c r="M34" s="3" t="inlineStr">
        <is>
          <t>NOT_TESTED</t>
        </is>
      </c>
      <c r="N34" s="3" t="inlineStr">
        <is>
          <t>NOT_TESTED</t>
        </is>
      </c>
      <c r="O34" s="3" t="inlineStr">
        <is>
          <t>NOT_TESTED</t>
        </is>
      </c>
      <c r="P34" s="3" t="inlineStr">
        <is>
          <t>NOT_TESTED</t>
        </is>
      </c>
      <c r="Q34" s="3" t="inlineStr">
        <is>
          <t>NOT_TESTED</t>
        </is>
      </c>
      <c r="R34" s="3" t="inlineStr">
        <is>
          <t>NOT_TESTED</t>
        </is>
      </c>
      <c r="S34" s="3" t="inlineStr">
        <is>
          <t>NOT_TESTED</t>
        </is>
      </c>
      <c r="T34" s="3" t="inlineStr">
        <is>
          <t>NOT_TESTED</t>
        </is>
      </c>
      <c r="U34" s="3" t="inlineStr">
        <is>
          <t>NOT_TESTED</t>
        </is>
      </c>
      <c r="V34" s="3" t="inlineStr">
        <is>
          <t>NOT_TESTED</t>
        </is>
      </c>
      <c r="W34" s="3" t="inlineStr">
        <is>
          <t>NOT_TESTED</t>
        </is>
      </c>
      <c r="X34" s="3" t="inlineStr">
        <is>
          <t>NOT_TESTED</t>
        </is>
      </c>
      <c r="Y34" s="3" t="inlineStr">
        <is>
          <t>NOT_TESTED</t>
        </is>
      </c>
      <c r="Z34" s="3" t="inlineStr">
        <is>
          <t>NOT_TESTED</t>
        </is>
      </c>
      <c r="AA34" s="3" t="inlineStr">
        <is>
          <t>NOT_TESTED</t>
        </is>
      </c>
      <c r="AB34" s="3" t="inlineStr">
        <is>
          <t>NOT_TESTED</t>
        </is>
      </c>
      <c r="AC34" s="2" t="inlineStr">
        <is>
          <t>Timeout</t>
        </is>
      </c>
      <c r="AD34" s="2" t="inlineStr">
        <is>
          <t>120 second timeout</t>
        </is>
      </c>
      <c r="AE34" s="2" t="inlineStr">
        <is>
          <t>Error (timeout): the LLM wrapped each mixer Operator in Aqua's PrimitiveOp before building the SummedOp, which removes the crash both luna models hit, but building the QAOA circuits doesn't finish within 120 seconds on any version (2 runs, the second with a single worker). gpt-6-astra and gpt-6.1-sol, which wrapped them in MatrixOp, timed out the same way.</t>
        </is>
      </c>
      <c r="AF34" s="2" t="inlineStr">
        <is>
          <t>Timeout</t>
        </is>
      </c>
      <c r="AG34" s="2" t="inlineStr">
        <is>
          <t>120 second timeout</t>
        </is>
      </c>
      <c r="AH34" s="2" t="inlineStr">
        <is>
          <t>Error (timeout): the LLM wrapped each mixer Operator in Aqua's PrimitiveOp before building the SummedOp, which removes the crash both luna models hit, but building the QAOA circuits doesn't finish within 120 seconds on any version (2 runs, the second with a single worker). gpt-6-astra and gpt-6.1-sol, which wrapped them in MatrixOp, timed out the same way.</t>
        </is>
      </c>
      <c r="AI34" s="2" t="inlineStr">
        <is>
          <t>Timeout</t>
        </is>
      </c>
      <c r="AJ34" s="2" t="inlineStr">
        <is>
          <t>120 second timeout</t>
        </is>
      </c>
      <c r="AK34" s="2" t="inlineStr">
        <is>
          <t>Error (timeout): the LLM wrapped each mixer Operator in Aqua's PrimitiveOp before building the SummedOp, which removes the crash both luna models hit, but building the QAOA circuits doesn't finish within 120 seconds on any version (2 runs, the second with a single worker). gpt-6-astra and gpt-6.1-sol, which wrapped them in MatrixOp, timed out the same way.</t>
        </is>
      </c>
      <c r="AL34" s="2" t="inlineStr">
        <is>
          <t>Timeout</t>
        </is>
      </c>
      <c r="AM34" s="2" t="inlineStr">
        <is>
          <t>120 second timeout</t>
        </is>
      </c>
      <c r="AN34" s="2" t="inlineStr">
        <is>
          <t>Error (timeout): the LLM wrapped each mixer Operator in Aqua's PrimitiveOp before building the SummedOp, which removes the crash both luna models hit, but building the QAOA circuits doesn't finish within 120 seconds on any version (2 runs, the second with a single worker). gpt-6-astra and gpt-6.1-sol, which wrapped them in MatrixOp, timed out the same way.</t>
        </is>
      </c>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2" t="n"/>
      <c r="CS34" s="2" t="n"/>
      <c r="CT34" s="2" t="n"/>
      <c r="CU34" s="2" t="n"/>
      <c r="CV34" s="2" t="n"/>
      <c r="CW34" s="2" t="n"/>
      <c r="CX34" s="2" t="n"/>
      <c r="CY34" s="2" t="n"/>
      <c r="CZ34" s="2" t="n"/>
      <c r="DA34" s="2" t="n"/>
      <c r="DB34" s="2" t="n"/>
      <c r="DC34" s="2" t="n"/>
      <c r="DD34" s="2" t="n"/>
      <c r="DE34" s="2" t="n"/>
    </row>
    <row r="35">
      <c r="A35" s="2" t="inlineStr">
        <is>
          <t>issue_595</t>
        </is>
      </c>
      <c r="B35" s="3" t="inlineStr">
        <is>
          <t>NOT_TESTED</t>
        </is>
      </c>
      <c r="C35" s="3" t="inlineStr">
        <is>
          <t>NOT_TESTED</t>
        </is>
      </c>
      <c r="D35" s="3" t="inlineStr">
        <is>
          <t>NOT_TESTED</t>
        </is>
      </c>
      <c r="E35" s="3" t="inlineStr">
        <is>
          <t>NOT_TESTED</t>
        </is>
      </c>
      <c r="F35" s="4" t="inlineStr">
        <is>
          <t>Passed on test</t>
        </is>
      </c>
      <c r="G35" s="4" t="inlineStr">
        <is>
          <t>Passed on test</t>
        </is>
      </c>
      <c r="H35" s="4" t="inlineStr">
        <is>
          <t>Passed on test</t>
        </is>
      </c>
      <c r="I35" s="4" t="inlineStr">
        <is>
          <t>Passed on test</t>
        </is>
      </c>
      <c r="J35" s="4" t="inlineStr">
        <is>
          <t>Passed on test</t>
        </is>
      </c>
      <c r="K35" s="4" t="inlineStr">
        <is>
          <t>Passed on test</t>
        </is>
      </c>
      <c r="L35" s="4" t="inlineStr">
        <is>
          <t>Passed on test</t>
        </is>
      </c>
      <c r="M35" s="4" t="inlineStr">
        <is>
          <t>Passed on test</t>
        </is>
      </c>
      <c r="N35" s="4" t="inlineStr">
        <is>
          <t>Passed on test</t>
        </is>
      </c>
      <c r="O35" s="4" t="inlineStr">
        <is>
          <t>Passed on test</t>
        </is>
      </c>
      <c r="P35" s="4" t="inlineStr">
        <is>
          <t>Passed on test</t>
        </is>
      </c>
      <c r="Q35" s="4" t="inlineStr">
        <is>
          <t>Passed on test</t>
        </is>
      </c>
      <c r="R35" s="4" t="inlineStr">
        <is>
          <t>Passed on test</t>
        </is>
      </c>
      <c r="S35" s="4" t="inlineStr">
        <is>
          <t>Passed on test</t>
        </is>
      </c>
      <c r="T35" s="4" t="inlineStr">
        <is>
          <t>Passed on test</t>
        </is>
      </c>
      <c r="U35" s="4" t="inlineStr">
        <is>
          <t>Passed on test</t>
        </is>
      </c>
      <c r="V35" s="4" t="inlineStr">
        <is>
          <t>Passed on test</t>
        </is>
      </c>
      <c r="W35" s="4" t="inlineStr">
        <is>
          <t>Passed on test</t>
        </is>
      </c>
      <c r="X35" s="4" t="inlineStr">
        <is>
          <t>Passed on test</t>
        </is>
      </c>
      <c r="Y35" s="4" t="inlineStr">
        <is>
          <t>Passed on test</t>
        </is>
      </c>
      <c r="Z35" s="4" t="inlineStr">
        <is>
          <t>Passed on test</t>
        </is>
      </c>
      <c r="AA35" s="4" t="inlineStr">
        <is>
          <t>Passed on test</t>
        </is>
      </c>
      <c r="AB35" s="4" t="inlineStr">
        <is>
          <t>Passed on test</t>
        </is>
      </c>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2" t="n"/>
      <c r="CS35" s="2" t="n"/>
      <c r="CT35" s="2" t="n"/>
      <c r="CU35" s="2" t="n"/>
      <c r="CV35" s="2" t="n"/>
      <c r="CW35" s="2" t="n"/>
      <c r="CX35" s="2" t="n"/>
      <c r="CY35" s="2" t="n"/>
      <c r="CZ35" s="2" t="n"/>
      <c r="DA35" s="2" t="n"/>
      <c r="DB35" s="2" t="n"/>
      <c r="DC35" s="2" t="n"/>
      <c r="DD35" s="2" t="n"/>
      <c r="DE35" s="2" t="n"/>
    </row>
    <row r="36">
      <c r="A36" s="2" t="inlineStr">
        <is>
          <t>issue_596</t>
        </is>
      </c>
      <c r="B36" s="4" t="inlineStr">
        <is>
          <t>Passed on test</t>
        </is>
      </c>
      <c r="C36" s="4" t="inlineStr">
        <is>
          <t>Passed on test</t>
        </is>
      </c>
      <c r="D36" s="4" t="inlineStr">
        <is>
          <t>Passed on test</t>
        </is>
      </c>
      <c r="E36" s="4" t="inlineStr">
        <is>
          <t>Passed on test</t>
        </is>
      </c>
      <c r="F36" s="4" t="inlineStr">
        <is>
          <t>Passed on test</t>
        </is>
      </c>
      <c r="G36" s="4" t="inlineStr">
        <is>
          <t>Passed on test</t>
        </is>
      </c>
      <c r="H36" s="4" t="inlineStr">
        <is>
          <t>Passed on test</t>
        </is>
      </c>
      <c r="I36" s="4" t="inlineStr">
        <is>
          <t>Passed on test</t>
        </is>
      </c>
      <c r="J36" s="4" t="inlineStr">
        <is>
          <t>Passed on test</t>
        </is>
      </c>
      <c r="K36" s="4" t="inlineStr">
        <is>
          <t>Passed on test</t>
        </is>
      </c>
      <c r="L36" s="4" t="inlineStr">
        <is>
          <t>Passed on test</t>
        </is>
      </c>
      <c r="M36" s="4" t="inlineStr">
        <is>
          <t>Passed on test</t>
        </is>
      </c>
      <c r="N36" s="3" t="inlineStr">
        <is>
          <t>NOT_TESTED</t>
        </is>
      </c>
      <c r="O36" s="3" t="inlineStr">
        <is>
          <t>NOT_TESTED</t>
        </is>
      </c>
      <c r="P36" s="3" t="inlineStr">
        <is>
          <t>NOT_TESTED</t>
        </is>
      </c>
      <c r="Q36" s="3" t="inlineStr">
        <is>
          <t>NOT_TESTED</t>
        </is>
      </c>
      <c r="R36" s="3" t="inlineStr">
        <is>
          <t>NOT_TESTED</t>
        </is>
      </c>
      <c r="S36" s="3" t="inlineStr">
        <is>
          <t>NOT_TESTED</t>
        </is>
      </c>
      <c r="T36" s="3" t="inlineStr">
        <is>
          <t>NOT_TESTED</t>
        </is>
      </c>
      <c r="U36" s="3" t="inlineStr">
        <is>
          <t>NOT_TESTED</t>
        </is>
      </c>
      <c r="V36" s="3" t="inlineStr">
        <is>
          <t>NOT_TESTED</t>
        </is>
      </c>
      <c r="W36" s="3" t="inlineStr">
        <is>
          <t>NOT_TESTED</t>
        </is>
      </c>
      <c r="X36" s="3" t="inlineStr">
        <is>
          <t>NOT_TESTED</t>
        </is>
      </c>
      <c r="Y36" s="3" t="inlineStr">
        <is>
          <t>NOT_TESTED</t>
        </is>
      </c>
      <c r="Z36" s="3" t="inlineStr">
        <is>
          <t>NOT_TESTED</t>
        </is>
      </c>
      <c r="AA36" s="3" t="inlineStr">
        <is>
          <t>NOT_TESTED</t>
        </is>
      </c>
      <c r="AB36" s="3" t="inlineStr">
        <is>
          <t>NOT_TESTED</t>
        </is>
      </c>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2" t="n"/>
      <c r="CV36" s="2" t="n"/>
      <c r="CW36" s="2" t="n"/>
      <c r="CX36" s="2" t="n"/>
      <c r="CY36" s="2" t="n"/>
      <c r="CZ36" s="2" t="n"/>
      <c r="DA36" s="2" t="n"/>
      <c r="DB36" s="2" t="n"/>
      <c r="DC36" s="2" t="n"/>
      <c r="DD36" s="2" t="n"/>
      <c r="DE36" s="2" t="n"/>
    </row>
    <row r="37">
      <c r="A37" s="2" t="inlineStr">
        <is>
          <t>issue_600</t>
        </is>
      </c>
      <c r="B37" s="6" t="inlineStr">
        <is>
          <t>Runtime error</t>
        </is>
      </c>
      <c r="C37" s="6" t="inlineStr">
        <is>
          <t>Runtime error</t>
        </is>
      </c>
      <c r="D37" s="6" t="inlineStr">
        <is>
          <t>Runtime error</t>
        </is>
      </c>
      <c r="E37" s="6" t="inlineStr">
        <is>
          <t>Runtime error</t>
        </is>
      </c>
      <c r="F37" s="4" t="inlineStr">
        <is>
          <t>Passed on test</t>
        </is>
      </c>
      <c r="G37" s="4" t="inlineStr">
        <is>
          <t>Passed on test</t>
        </is>
      </c>
      <c r="H37" s="4" t="inlineStr">
        <is>
          <t>Passed on test</t>
        </is>
      </c>
      <c r="I37" s="4" t="inlineStr">
        <is>
          <t>Passed on test</t>
        </is>
      </c>
      <c r="J37" s="4" t="inlineStr">
        <is>
          <t>Passed on test</t>
        </is>
      </c>
      <c r="K37" s="4" t="inlineStr">
        <is>
          <t>Passed on test</t>
        </is>
      </c>
      <c r="L37" s="4" t="inlineStr">
        <is>
          <t>Passed on test</t>
        </is>
      </c>
      <c r="M37" s="4" t="inlineStr">
        <is>
          <t>Passed on test</t>
        </is>
      </c>
      <c r="N37" s="3" t="inlineStr">
        <is>
          <t>NOT_TESTED</t>
        </is>
      </c>
      <c r="O37" s="3" t="inlineStr">
        <is>
          <t>NOT_TESTED</t>
        </is>
      </c>
      <c r="P37" s="3" t="inlineStr">
        <is>
          <t>NOT_TESTED</t>
        </is>
      </c>
      <c r="Q37" s="3" t="inlineStr">
        <is>
          <t>NOT_TESTED</t>
        </is>
      </c>
      <c r="R37" s="3" t="inlineStr">
        <is>
          <t>NOT_TESTED</t>
        </is>
      </c>
      <c r="S37" s="3" t="inlineStr">
        <is>
          <t>NOT_TESTED</t>
        </is>
      </c>
      <c r="T37" s="3" t="inlineStr">
        <is>
          <t>NOT_TESTED</t>
        </is>
      </c>
      <c r="U37" s="3" t="inlineStr">
        <is>
          <t>NOT_TESTED</t>
        </is>
      </c>
      <c r="V37" s="3" t="inlineStr">
        <is>
          <t>NOT_TESTED</t>
        </is>
      </c>
      <c r="W37" s="3" t="inlineStr">
        <is>
          <t>NOT_TESTED</t>
        </is>
      </c>
      <c r="X37" s="3" t="inlineStr">
        <is>
          <t>NOT_TESTED</t>
        </is>
      </c>
      <c r="Y37" s="3" t="inlineStr">
        <is>
          <t>NOT_TESTED</t>
        </is>
      </c>
      <c r="Z37" s="3" t="inlineStr">
        <is>
          <t>NOT_TESTED</t>
        </is>
      </c>
      <c r="AA37" s="3" t="inlineStr">
        <is>
          <t>NOT_TESTED</t>
        </is>
      </c>
      <c r="AB37" s="3" t="inlineStr">
        <is>
          <t>NOT_TESTED</t>
        </is>
      </c>
      <c r="AC37" s="2" t="inlineStr">
        <is>
          <t>ImportError</t>
        </is>
      </c>
      <c r="AD37" s="2" t="inlineStr">
        <is>
          <t>ImportError: cannot import name 'PauliGate' from 'qiskit.circuit.library' (C:\qiskit_envs\q0250\lib\site-packages\qiskit\circuit\library\__init__.py)</t>
        </is>
      </c>
      <c r="AE37" s="2" t="inlineStr">
        <is>
          <t>Error on 0.25.x, passed on 0.45.x / 0.46.x: the LLM replaced PauliGate(...).power(param) with RXXGate / RYYGate / RZZGate(pi * param), which is correct up to a global phase, but kept the PauliGate import, which doesn't exist in Qiskit 0.25 (ImportError). Same code as gpt-6-luna; gpt-6.1-sol and gpt-6-astra removed the import and passed on all 12 versions.</t>
        </is>
      </c>
      <c r="AF37" s="2" t="inlineStr">
        <is>
          <t>ImportError</t>
        </is>
      </c>
      <c r="AG37" s="2" t="inlineStr">
        <is>
          <t>ImportError: cannot import name 'PauliGate' from 'qiskit.circuit.library' (C:\qiskit_envs\q0251\lib\site-packages\qiskit\circuit\library\__init__.py)</t>
        </is>
      </c>
      <c r="AH37" s="2" t="inlineStr">
        <is>
          <t>Error on 0.25.x, passed on 0.45.x / 0.46.x: the LLM replaced PauliGate(...).power(param) with RXXGate / RYYGate / RZZGate(pi * param), which is correct up to a global phase, but kept the PauliGate import, which doesn't exist in Qiskit 0.25 (ImportError). Same code as gpt-6-luna; gpt-6.1-sol and gpt-6-astra removed the import and passed on all 12 versions.</t>
        </is>
      </c>
      <c r="AI37" s="2" t="inlineStr">
        <is>
          <t>ImportError</t>
        </is>
      </c>
      <c r="AJ37" s="2" t="inlineStr">
        <is>
          <t>ImportError: cannot import name 'PauliGate' from 'qiskit.circuit.library' (C:\qiskit_envs\q0252\lib\site-packages\qiskit\circuit\library\__init__.py)</t>
        </is>
      </c>
      <c r="AK37" s="2" t="inlineStr">
        <is>
          <t>Error on 0.25.x, passed on 0.45.x / 0.46.x: the LLM replaced PauliGate(...).power(param) with RXXGate / RYYGate / RZZGate(pi * param), which is correct up to a global phase, but kept the PauliGate import, which doesn't exist in Qiskit 0.25 (ImportError). Same code as gpt-6-luna; gpt-6.1-sol and gpt-6-astra removed the import and passed on all 12 versions.</t>
        </is>
      </c>
      <c r="AL37" s="2" t="inlineStr">
        <is>
          <t>ImportError</t>
        </is>
      </c>
      <c r="AM37" s="2" t="inlineStr">
        <is>
          <t>ImportError: cannot import name 'PauliGate' from 'qiskit.circuit.library' (C:\qiskit_envs\q0253\lib\site-packages\qiskit\circuit\library\__init__.py)</t>
        </is>
      </c>
      <c r="AN37" s="2" t="inlineStr">
        <is>
          <t>Error on 0.25.x, passed on 0.45.x / 0.46.x: the LLM replaced PauliGate(...).power(param) with RXXGate / RYYGate / RZZGate(pi * param), which is correct up to a global phase, but kept the PauliGate import, which doesn't exist in Qiskit 0.25 (ImportError). Same code as gpt-6-luna; gpt-6.1-sol and gpt-6-astra removed the import and passed on all 12 versions.</t>
        </is>
      </c>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2" t="n"/>
      <c r="CV37" s="2" t="n"/>
      <c r="CW37" s="2" t="n"/>
      <c r="CX37" s="2" t="n"/>
      <c r="CY37" s="2" t="n"/>
      <c r="CZ37" s="2" t="n"/>
      <c r="DA37" s="2" t="n"/>
      <c r="DB37" s="2" t="n"/>
      <c r="DC37" s="2" t="n"/>
      <c r="DD37" s="2" t="n"/>
      <c r="DE37" s="2" t="n"/>
    </row>
    <row r="38">
      <c r="A38" s="2" t="inlineStr">
        <is>
          <t>issue_622</t>
        </is>
      </c>
      <c r="B38" s="4" t="inlineStr">
        <is>
          <t>Passed on test</t>
        </is>
      </c>
      <c r="C38" s="4" t="inlineStr">
        <is>
          <t>Passed on test</t>
        </is>
      </c>
      <c r="D38" s="4" t="inlineStr">
        <is>
          <t>Passed on test</t>
        </is>
      </c>
      <c r="E38" s="4" t="inlineStr">
        <is>
          <t>Passed on test</t>
        </is>
      </c>
      <c r="F38" s="4" t="inlineStr">
        <is>
          <t>Passed on test</t>
        </is>
      </c>
      <c r="G38" s="4" t="inlineStr">
        <is>
          <t>Passed on test</t>
        </is>
      </c>
      <c r="H38" s="4" t="inlineStr">
        <is>
          <t>Passed on test</t>
        </is>
      </c>
      <c r="I38" s="4" t="inlineStr">
        <is>
          <t>Passed on test</t>
        </is>
      </c>
      <c r="J38" s="4" t="inlineStr">
        <is>
          <t>Passed on test</t>
        </is>
      </c>
      <c r="K38" s="4" t="inlineStr">
        <is>
          <t>Passed on test</t>
        </is>
      </c>
      <c r="L38" s="4" t="inlineStr">
        <is>
          <t>Passed on test</t>
        </is>
      </c>
      <c r="M38" s="4" t="inlineStr">
        <is>
          <t>Passed on test</t>
        </is>
      </c>
      <c r="N38" s="3" t="inlineStr">
        <is>
          <t>NOT_TESTED</t>
        </is>
      </c>
      <c r="O38" s="3" t="inlineStr">
        <is>
          <t>NOT_TESTED</t>
        </is>
      </c>
      <c r="P38" s="3" t="inlineStr">
        <is>
          <t>NOT_TESTED</t>
        </is>
      </c>
      <c r="Q38" s="3" t="inlineStr">
        <is>
          <t>NOT_TESTED</t>
        </is>
      </c>
      <c r="R38" s="3" t="inlineStr">
        <is>
          <t>NOT_TESTED</t>
        </is>
      </c>
      <c r="S38" s="3" t="inlineStr">
        <is>
          <t>NOT_TESTED</t>
        </is>
      </c>
      <c r="T38" s="3" t="inlineStr">
        <is>
          <t>NOT_TESTED</t>
        </is>
      </c>
      <c r="U38" s="3" t="inlineStr">
        <is>
          <t>NOT_TESTED</t>
        </is>
      </c>
      <c r="V38" s="3" t="inlineStr">
        <is>
          <t>NOT_TESTED</t>
        </is>
      </c>
      <c r="W38" s="3" t="inlineStr">
        <is>
          <t>NOT_TESTED</t>
        </is>
      </c>
      <c r="X38" s="3" t="inlineStr">
        <is>
          <t>NOT_TESTED</t>
        </is>
      </c>
      <c r="Y38" s="3" t="inlineStr">
        <is>
          <t>NOT_TESTED</t>
        </is>
      </c>
      <c r="Z38" s="3" t="inlineStr">
        <is>
          <t>NOT_TESTED</t>
        </is>
      </c>
      <c r="AA38" s="3" t="inlineStr">
        <is>
          <t>NOT_TESTED</t>
        </is>
      </c>
      <c r="AB38" s="3" t="inlineStr">
        <is>
          <t>NOT_TESTED</t>
        </is>
      </c>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2" t="n"/>
      <c r="CV38" s="2" t="n"/>
      <c r="CW38" s="2" t="n"/>
      <c r="CX38" s="2" t="n"/>
      <c r="CY38" s="2" t="n"/>
      <c r="CZ38" s="2" t="n"/>
      <c r="DA38" s="2" t="n"/>
      <c r="DB38" s="2" t="n"/>
      <c r="DC38" s="2" t="n"/>
      <c r="DD38" s="2" t="n"/>
      <c r="DE38" s="2" t="n"/>
    </row>
    <row r="39">
      <c r="A39" s="2" t="inlineStr">
        <is>
          <t>issue_624</t>
        </is>
      </c>
      <c r="B39" s="4" t="inlineStr">
        <is>
          <t>Passed on test</t>
        </is>
      </c>
      <c r="C39" s="4" t="inlineStr">
        <is>
          <t>Passed on test</t>
        </is>
      </c>
      <c r="D39" s="4" t="inlineStr">
        <is>
          <t>Passed on test</t>
        </is>
      </c>
      <c r="E39" s="4" t="inlineStr">
        <is>
          <t>Passed on test</t>
        </is>
      </c>
      <c r="F39" s="4" t="inlineStr">
        <is>
          <t>Passed on test</t>
        </is>
      </c>
      <c r="G39" s="4" t="inlineStr">
        <is>
          <t>Passed on test</t>
        </is>
      </c>
      <c r="H39" s="4" t="inlineStr">
        <is>
          <t>Passed on test</t>
        </is>
      </c>
      <c r="I39" s="4" t="inlineStr">
        <is>
          <t>Passed on test</t>
        </is>
      </c>
      <c r="J39" s="4" t="inlineStr">
        <is>
          <t>Passed on test</t>
        </is>
      </c>
      <c r="K39" s="4" t="inlineStr">
        <is>
          <t>Passed on test</t>
        </is>
      </c>
      <c r="L39" s="4" t="inlineStr">
        <is>
          <t>Passed on test</t>
        </is>
      </c>
      <c r="M39" s="4" t="inlineStr">
        <is>
          <t>Passed on test</t>
        </is>
      </c>
      <c r="N39" s="3" t="inlineStr">
        <is>
          <t>NOT_TESTED</t>
        </is>
      </c>
      <c r="O39" s="3" t="inlineStr">
        <is>
          <t>NOT_TESTED</t>
        </is>
      </c>
      <c r="P39" s="3" t="inlineStr">
        <is>
          <t>NOT_TESTED</t>
        </is>
      </c>
      <c r="Q39" s="3" t="inlineStr">
        <is>
          <t>NOT_TESTED</t>
        </is>
      </c>
      <c r="R39" s="3" t="inlineStr">
        <is>
          <t>NOT_TESTED</t>
        </is>
      </c>
      <c r="S39" s="3" t="inlineStr">
        <is>
          <t>NOT_TESTED</t>
        </is>
      </c>
      <c r="T39" s="3" t="inlineStr">
        <is>
          <t>NOT_TESTED</t>
        </is>
      </c>
      <c r="U39" s="3" t="inlineStr">
        <is>
          <t>NOT_TESTED</t>
        </is>
      </c>
      <c r="V39" s="3" t="inlineStr">
        <is>
          <t>NOT_TESTED</t>
        </is>
      </c>
      <c r="W39" s="3" t="inlineStr">
        <is>
          <t>NOT_TESTED</t>
        </is>
      </c>
      <c r="X39" s="3" t="inlineStr">
        <is>
          <t>NOT_TESTED</t>
        </is>
      </c>
      <c r="Y39" s="3" t="inlineStr">
        <is>
          <t>NOT_TESTED</t>
        </is>
      </c>
      <c r="Z39" s="3" t="inlineStr">
        <is>
          <t>NOT_TESTED</t>
        </is>
      </c>
      <c r="AA39" s="3" t="inlineStr">
        <is>
          <t>NOT_TESTED</t>
        </is>
      </c>
      <c r="AB39" s="3" t="inlineStr">
        <is>
          <t>NOT_TESTED</t>
        </is>
      </c>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2" t="n"/>
      <c r="CV39" s="2" t="n"/>
      <c r="CW39" s="2" t="n"/>
      <c r="CX39" s="2" t="n"/>
      <c r="CY39" s="2" t="n"/>
      <c r="CZ39" s="2" t="n"/>
      <c r="DA39" s="2" t="n"/>
      <c r="DB39" s="2" t="n"/>
      <c r="DC39" s="2" t="n"/>
      <c r="DD39" s="2" t="n"/>
      <c r="DE39" s="2" t="n"/>
    </row>
    <row r="40">
      <c r="A40" s="2" t="inlineStr">
        <is>
          <t>issue_635</t>
        </is>
      </c>
      <c r="B40" s="6" t="inlineStr">
        <is>
          <t>Runtime error</t>
        </is>
      </c>
      <c r="C40" s="6" t="inlineStr">
        <is>
          <t>Runtime error</t>
        </is>
      </c>
      <c r="D40" s="6" t="inlineStr">
        <is>
          <t>Runtime error</t>
        </is>
      </c>
      <c r="E40" s="6" t="inlineStr">
        <is>
          <t>Runtime error</t>
        </is>
      </c>
      <c r="F40" s="3" t="inlineStr">
        <is>
          <t>NOT_TESTED</t>
        </is>
      </c>
      <c r="G40" s="3" t="inlineStr">
        <is>
          <t>NOT_TESTED</t>
        </is>
      </c>
      <c r="H40" s="3" t="inlineStr">
        <is>
          <t>NOT_TESTED</t>
        </is>
      </c>
      <c r="I40" s="3" t="inlineStr">
        <is>
          <t>NOT_TESTED</t>
        </is>
      </c>
      <c r="J40" s="3" t="inlineStr">
        <is>
          <t>NOT_TESTED</t>
        </is>
      </c>
      <c r="K40" s="3" t="inlineStr">
        <is>
          <t>NOT_TESTED</t>
        </is>
      </c>
      <c r="L40" s="3" t="inlineStr">
        <is>
          <t>NOT_TESTED</t>
        </is>
      </c>
      <c r="M40" s="3" t="inlineStr">
        <is>
          <t>NOT_TESTED</t>
        </is>
      </c>
      <c r="N40" s="3" t="inlineStr">
        <is>
          <t>NOT_TESTED</t>
        </is>
      </c>
      <c r="O40" s="3" t="inlineStr">
        <is>
          <t>NOT_TESTED</t>
        </is>
      </c>
      <c r="P40" s="3" t="inlineStr">
        <is>
          <t>NOT_TESTED</t>
        </is>
      </c>
      <c r="Q40" s="3" t="inlineStr">
        <is>
          <t>NOT_TESTED</t>
        </is>
      </c>
      <c r="R40" s="3" t="inlineStr">
        <is>
          <t>NOT_TESTED</t>
        </is>
      </c>
      <c r="S40" s="3" t="inlineStr">
        <is>
          <t>NOT_TESTED</t>
        </is>
      </c>
      <c r="T40" s="3" t="inlineStr">
        <is>
          <t>NOT_TESTED</t>
        </is>
      </c>
      <c r="U40" s="3" t="inlineStr">
        <is>
          <t>NOT_TESTED</t>
        </is>
      </c>
      <c r="V40" s="3" t="inlineStr">
        <is>
          <t>NOT_TESTED</t>
        </is>
      </c>
      <c r="W40" s="3" t="inlineStr">
        <is>
          <t>NOT_TESTED</t>
        </is>
      </c>
      <c r="X40" s="3" t="inlineStr">
        <is>
          <t>NOT_TESTED</t>
        </is>
      </c>
      <c r="Y40" s="3" t="inlineStr">
        <is>
          <t>NOT_TESTED</t>
        </is>
      </c>
      <c r="Z40" s="3" t="inlineStr">
        <is>
          <t>NOT_TESTED</t>
        </is>
      </c>
      <c r="AA40" s="3" t="inlineStr">
        <is>
          <t>NOT_TESTED</t>
        </is>
      </c>
      <c r="AB40" s="3" t="inlineStr">
        <is>
          <t>NOT_TESTED</t>
        </is>
      </c>
      <c r="AC40" s="2" t="inlineStr">
        <is>
          <t>AttributeError</t>
        </is>
      </c>
      <c r="AD40" s="2" t="inlineStr">
        <is>
          <t>AttributeError: 'QuantumCircuit' object has no attribute 'if_test'</t>
        </is>
      </c>
      <c r="AE40" s="2" t="inlineStr">
        <is>
          <t>The LLM nested two qc.if_test() blocks so both X gates need c[0] = 1 and c[1] = 1, which is the logic the question asks for, but if_test() doesn't exist in Qiskit 0.25, the only versions this case runs on (AttributeError). Same code as gpt-6-astra; gpt-6.1-sol's c_if(c, 3) / c_if(c, 7) is the only passing fix so far.</t>
        </is>
      </c>
      <c r="AF40" s="2" t="inlineStr">
        <is>
          <t>AttributeError</t>
        </is>
      </c>
      <c r="AG40" s="2" t="inlineStr">
        <is>
          <t>AttributeError: 'QuantumCircuit' object has no attribute 'if_test'</t>
        </is>
      </c>
      <c r="AH40" s="2" t="inlineStr">
        <is>
          <t>The LLM nested two qc.if_test() blocks so both X gates need c[0] = 1 and c[1] = 1, which is the logic the question asks for, but if_test() doesn't exist in Qiskit 0.25, the only versions this case runs on (AttributeError). Same code as gpt-6-astra; gpt-6.1-sol's c_if(c, 3) / c_if(c, 7) is the only passing fix so far.</t>
        </is>
      </c>
      <c r="AI40" s="2" t="inlineStr">
        <is>
          <t>AttributeError</t>
        </is>
      </c>
      <c r="AJ40" s="2" t="inlineStr">
        <is>
          <t>AttributeError: 'QuantumCircuit' object has no attribute 'if_test'</t>
        </is>
      </c>
      <c r="AK40" s="2" t="inlineStr">
        <is>
          <t>The LLM nested two qc.if_test() blocks so both X gates need c[0] = 1 and c[1] = 1, which is the logic the question asks for, but if_test() doesn't exist in Qiskit 0.25, the only versions this case runs on (AttributeError). Same code as gpt-6-astra; gpt-6.1-sol's c_if(c, 3) / c_if(c, 7) is the only passing fix so far.</t>
        </is>
      </c>
      <c r="AL40" s="2" t="inlineStr">
        <is>
          <t>AttributeError</t>
        </is>
      </c>
      <c r="AM40" s="2" t="inlineStr">
        <is>
          <t>AttributeError: 'QuantumCircuit' object has no attribute 'if_test'</t>
        </is>
      </c>
      <c r="AN40" s="2" t="inlineStr">
        <is>
          <t>The LLM nested two qc.if_test() blocks so both X gates need c[0] = 1 and c[1] = 1, which is the logic the question asks for, but if_test() doesn't exist in Qiskit 0.25, the only versions this case runs on (AttributeError). Same code as gpt-6-astra; gpt-6.1-sol's c_if(c, 3) / c_if(c, 7) is the only passing fix so far.</t>
        </is>
      </c>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2" t="n"/>
      <c r="CV40" s="2" t="n"/>
      <c r="CW40" s="2" t="n"/>
      <c r="CX40" s="2" t="n"/>
      <c r="CY40" s="2" t="n"/>
      <c r="CZ40" s="2" t="n"/>
      <c r="DA40" s="2" t="n"/>
      <c r="DB40" s="2" t="n"/>
      <c r="DC40" s="2" t="n"/>
      <c r="DD40" s="2" t="n"/>
      <c r="DE40" s="2" t="n"/>
    </row>
    <row r="41">
      <c r="A41" s="2" t="inlineStr">
        <is>
          <t>issue_662</t>
        </is>
      </c>
      <c r="B41" s="3" t="inlineStr">
        <is>
          <t>NOT_TESTED</t>
        </is>
      </c>
      <c r="C41" s="3" t="inlineStr">
        <is>
          <t>NOT_TESTED</t>
        </is>
      </c>
      <c r="D41" s="3" t="inlineStr">
        <is>
          <t>NOT_TESTED</t>
        </is>
      </c>
      <c r="E41" s="3" t="inlineStr">
        <is>
          <t>NOT_TESTED</t>
        </is>
      </c>
      <c r="F41" s="4" t="inlineStr">
        <is>
          <t>Passed on test</t>
        </is>
      </c>
      <c r="G41" s="4" t="inlineStr">
        <is>
          <t>Passed on test</t>
        </is>
      </c>
      <c r="H41" s="4" t="inlineStr">
        <is>
          <t>Passed on test</t>
        </is>
      </c>
      <c r="I41" s="4" t="inlineStr">
        <is>
          <t>Passed on test</t>
        </is>
      </c>
      <c r="J41" s="4" t="inlineStr">
        <is>
          <t>Passed on test</t>
        </is>
      </c>
      <c r="K41" s="4" t="inlineStr">
        <is>
          <t>Passed on test</t>
        </is>
      </c>
      <c r="L41" s="4" t="inlineStr">
        <is>
          <t>Passed on test</t>
        </is>
      </c>
      <c r="M41" s="4" t="inlineStr">
        <is>
          <t>Passed on test</t>
        </is>
      </c>
      <c r="N41" s="4" t="inlineStr">
        <is>
          <t>Passed on test</t>
        </is>
      </c>
      <c r="O41" s="4" t="inlineStr">
        <is>
          <t>Passed on test</t>
        </is>
      </c>
      <c r="P41" s="4" t="inlineStr">
        <is>
          <t>Passed on test</t>
        </is>
      </c>
      <c r="Q41" s="4" t="inlineStr">
        <is>
          <t>Passed on test</t>
        </is>
      </c>
      <c r="R41" s="4" t="inlineStr">
        <is>
          <t>Passed on test</t>
        </is>
      </c>
      <c r="S41" s="4" t="inlineStr">
        <is>
          <t>Passed on test</t>
        </is>
      </c>
      <c r="T41" s="4" t="inlineStr">
        <is>
          <t>Passed on test</t>
        </is>
      </c>
      <c r="U41" s="4" t="inlineStr">
        <is>
          <t>Passed on test</t>
        </is>
      </c>
      <c r="V41" s="4" t="inlineStr">
        <is>
          <t>Passed on test</t>
        </is>
      </c>
      <c r="W41" s="4" t="inlineStr">
        <is>
          <t>Passed on test</t>
        </is>
      </c>
      <c r="X41" s="4" t="inlineStr">
        <is>
          <t>Passed on test</t>
        </is>
      </c>
      <c r="Y41" s="4" t="inlineStr">
        <is>
          <t>Passed on test</t>
        </is>
      </c>
      <c r="Z41" s="4" t="inlineStr">
        <is>
          <t>Passed on test</t>
        </is>
      </c>
      <c r="AA41" s="4" t="inlineStr">
        <is>
          <t>Passed on test</t>
        </is>
      </c>
      <c r="AB41" s="4" t="inlineStr">
        <is>
          <t>Passed on test</t>
        </is>
      </c>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2" t="n"/>
      <c r="CV41" s="2" t="n"/>
      <c r="CW41" s="2" t="n"/>
      <c r="CX41" s="2" t="n"/>
      <c r="CY41" s="2" t="n"/>
      <c r="CZ41" s="2" t="n"/>
      <c r="DA41" s="2" t="n"/>
      <c r="DB41" s="2" t="n"/>
      <c r="DC41" s="2" t="n"/>
      <c r="DD41" s="2" t="n"/>
      <c r="DE41" s="2" t="n"/>
    </row>
    <row r="42">
      <c r="A42" s="2" t="inlineStr">
        <is>
          <t>issue_663</t>
        </is>
      </c>
      <c r="B42" s="3" t="inlineStr">
        <is>
          <t>NOT_TESTED</t>
        </is>
      </c>
      <c r="C42" s="3" t="inlineStr">
        <is>
          <t>NOT_TESTED</t>
        </is>
      </c>
      <c r="D42" s="3" t="inlineStr">
        <is>
          <t>NOT_TESTED</t>
        </is>
      </c>
      <c r="E42" s="3" t="inlineStr">
        <is>
          <t>NOT_TESTED</t>
        </is>
      </c>
      <c r="F42" s="4" t="inlineStr">
        <is>
          <t>Passed on test</t>
        </is>
      </c>
      <c r="G42" s="4" t="inlineStr">
        <is>
          <t>Passed on test</t>
        </is>
      </c>
      <c r="H42" s="4" t="inlineStr">
        <is>
          <t>Passed on test</t>
        </is>
      </c>
      <c r="I42" s="4" t="inlineStr">
        <is>
          <t>Passed on test</t>
        </is>
      </c>
      <c r="J42" s="4" t="inlineStr">
        <is>
          <t>Passed on test</t>
        </is>
      </c>
      <c r="K42" s="4" t="inlineStr">
        <is>
          <t>Passed on test</t>
        </is>
      </c>
      <c r="L42" s="4" t="inlineStr">
        <is>
          <t>Passed on test</t>
        </is>
      </c>
      <c r="M42" s="4" t="inlineStr">
        <is>
          <t>Passed on test</t>
        </is>
      </c>
      <c r="N42" s="3" t="inlineStr">
        <is>
          <t>NOT_TESTED</t>
        </is>
      </c>
      <c r="O42" s="3" t="inlineStr">
        <is>
          <t>NOT_TESTED</t>
        </is>
      </c>
      <c r="P42" s="3" t="inlineStr">
        <is>
          <t>NOT_TESTED</t>
        </is>
      </c>
      <c r="Q42" s="3" t="inlineStr">
        <is>
          <t>NOT_TESTED</t>
        </is>
      </c>
      <c r="R42" s="3" t="inlineStr">
        <is>
          <t>NOT_TESTED</t>
        </is>
      </c>
      <c r="S42" s="3" t="inlineStr">
        <is>
          <t>NOT_TESTED</t>
        </is>
      </c>
      <c r="T42" s="3" t="inlineStr">
        <is>
          <t>NOT_TESTED</t>
        </is>
      </c>
      <c r="U42" s="3" t="inlineStr">
        <is>
          <t>NOT_TESTED</t>
        </is>
      </c>
      <c r="V42" s="3" t="inlineStr">
        <is>
          <t>NOT_TESTED</t>
        </is>
      </c>
      <c r="W42" s="3" t="inlineStr">
        <is>
          <t>NOT_TESTED</t>
        </is>
      </c>
      <c r="X42" s="3" t="inlineStr">
        <is>
          <t>NOT_TESTED</t>
        </is>
      </c>
      <c r="Y42" s="3" t="inlineStr">
        <is>
          <t>NOT_TESTED</t>
        </is>
      </c>
      <c r="Z42" s="3" t="inlineStr">
        <is>
          <t>NOT_TESTED</t>
        </is>
      </c>
      <c r="AA42" s="3" t="inlineStr">
        <is>
          <t>NOT_TESTED</t>
        </is>
      </c>
      <c r="AB42" s="3" t="inlineStr">
        <is>
          <t>NOT_TESTED</t>
        </is>
      </c>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2" t="n"/>
      <c r="CW42" s="2" t="n"/>
      <c r="CX42" s="2" t="n"/>
      <c r="CY42" s="2" t="n"/>
      <c r="CZ42" s="2" t="n"/>
      <c r="DA42" s="2" t="n"/>
      <c r="DB42" s="2" t="n"/>
      <c r="DC42" s="2" t="n"/>
      <c r="DD42" s="2" t="n"/>
      <c r="DE42" s="2" t="n"/>
    </row>
    <row r="43">
      <c r="A43" s="2" t="inlineStr">
        <is>
          <t>issue_671</t>
        </is>
      </c>
      <c r="B43" s="4" t="inlineStr">
        <is>
          <t>Passed on test</t>
        </is>
      </c>
      <c r="C43" s="4" t="inlineStr">
        <is>
          <t>Passed on test</t>
        </is>
      </c>
      <c r="D43" s="4" t="inlineStr">
        <is>
          <t>Passed on test</t>
        </is>
      </c>
      <c r="E43" s="4" t="inlineStr">
        <is>
          <t>Passed on test</t>
        </is>
      </c>
      <c r="F43" s="4" t="inlineStr">
        <is>
          <t>Passed on test</t>
        </is>
      </c>
      <c r="G43" s="4" t="inlineStr">
        <is>
          <t>Passed on test</t>
        </is>
      </c>
      <c r="H43" s="4" t="inlineStr">
        <is>
          <t>Passed on test</t>
        </is>
      </c>
      <c r="I43" s="4" t="inlineStr">
        <is>
          <t>Passed on test</t>
        </is>
      </c>
      <c r="J43" s="4" t="inlineStr">
        <is>
          <t>Passed on test</t>
        </is>
      </c>
      <c r="K43" s="4" t="inlineStr">
        <is>
          <t>Passed on test</t>
        </is>
      </c>
      <c r="L43" s="4" t="inlineStr">
        <is>
          <t>Passed on test</t>
        </is>
      </c>
      <c r="M43" s="4" t="inlineStr">
        <is>
          <t>Passed on test</t>
        </is>
      </c>
      <c r="N43" s="4" t="inlineStr">
        <is>
          <t>Passed on test</t>
        </is>
      </c>
      <c r="O43" s="4" t="inlineStr">
        <is>
          <t>Passed on test</t>
        </is>
      </c>
      <c r="P43" s="4" t="inlineStr">
        <is>
          <t>Passed on test</t>
        </is>
      </c>
      <c r="Q43" s="4" t="inlineStr">
        <is>
          <t>Passed on test</t>
        </is>
      </c>
      <c r="R43" s="4" t="inlineStr">
        <is>
          <t>Passed on test</t>
        </is>
      </c>
      <c r="S43" s="4" t="inlineStr">
        <is>
          <t>Passed on test</t>
        </is>
      </c>
      <c r="T43" s="4" t="inlineStr">
        <is>
          <t>Passed on test</t>
        </is>
      </c>
      <c r="U43" s="4" t="inlineStr">
        <is>
          <t>Passed on test</t>
        </is>
      </c>
      <c r="V43" s="4" t="inlineStr">
        <is>
          <t>Passed on test</t>
        </is>
      </c>
      <c r="W43" s="4" t="inlineStr">
        <is>
          <t>Passed on test</t>
        </is>
      </c>
      <c r="X43" s="4" t="inlineStr">
        <is>
          <t>Passed on test</t>
        </is>
      </c>
      <c r="Y43" s="4" t="inlineStr">
        <is>
          <t>Passed on test</t>
        </is>
      </c>
      <c r="Z43" s="4" t="inlineStr">
        <is>
          <t>Passed on test</t>
        </is>
      </c>
      <c r="AA43" s="4" t="inlineStr">
        <is>
          <t>Passed on test</t>
        </is>
      </c>
      <c r="AB43" s="4" t="inlineStr">
        <is>
          <t>Passed on test</t>
        </is>
      </c>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2" t="n"/>
      <c r="CW43" s="2" t="n"/>
      <c r="CX43" s="2" t="n"/>
      <c r="CY43" s="2" t="n"/>
      <c r="CZ43" s="2" t="n"/>
      <c r="DA43" s="2" t="n"/>
      <c r="DB43" s="2" t="n"/>
      <c r="DC43" s="2" t="n"/>
      <c r="DD43" s="2" t="n"/>
      <c r="DE43" s="2" t="n"/>
    </row>
    <row r="44">
      <c r="A44" s="2" t="inlineStr">
        <is>
          <t>issue_727</t>
        </is>
      </c>
      <c r="B44" s="4" t="inlineStr">
        <is>
          <t>Passed on test</t>
        </is>
      </c>
      <c r="C44" s="4" t="inlineStr">
        <is>
          <t>Passed on test</t>
        </is>
      </c>
      <c r="D44" s="4" t="inlineStr">
        <is>
          <t>Passed on test</t>
        </is>
      </c>
      <c r="E44" s="4" t="inlineStr">
        <is>
          <t>Passed on test</t>
        </is>
      </c>
      <c r="F44" s="4" t="inlineStr">
        <is>
          <t>Passed on test</t>
        </is>
      </c>
      <c r="G44" s="4" t="inlineStr">
        <is>
          <t>Passed on test</t>
        </is>
      </c>
      <c r="H44" s="4" t="inlineStr">
        <is>
          <t>Passed on test</t>
        </is>
      </c>
      <c r="I44" s="4" t="inlineStr">
        <is>
          <t>Passed on test</t>
        </is>
      </c>
      <c r="J44" s="4" t="inlineStr">
        <is>
          <t>Passed on test</t>
        </is>
      </c>
      <c r="K44" s="4" t="inlineStr">
        <is>
          <t>Passed on test</t>
        </is>
      </c>
      <c r="L44" s="4" t="inlineStr">
        <is>
          <t>Passed on test</t>
        </is>
      </c>
      <c r="M44" s="4" t="inlineStr">
        <is>
          <t>Passed on test</t>
        </is>
      </c>
      <c r="N44" s="3" t="inlineStr">
        <is>
          <t>NOT_TESTED</t>
        </is>
      </c>
      <c r="O44" s="3" t="inlineStr">
        <is>
          <t>NOT_TESTED</t>
        </is>
      </c>
      <c r="P44" s="3" t="inlineStr">
        <is>
          <t>NOT_TESTED</t>
        </is>
      </c>
      <c r="Q44" s="3" t="inlineStr">
        <is>
          <t>NOT_TESTED</t>
        </is>
      </c>
      <c r="R44" s="3" t="inlineStr">
        <is>
          <t>NOT_TESTED</t>
        </is>
      </c>
      <c r="S44" s="3" t="inlineStr">
        <is>
          <t>NOT_TESTED</t>
        </is>
      </c>
      <c r="T44" s="3" t="inlineStr">
        <is>
          <t>NOT_TESTED</t>
        </is>
      </c>
      <c r="U44" s="3" t="inlineStr">
        <is>
          <t>NOT_TESTED</t>
        </is>
      </c>
      <c r="V44" s="3" t="inlineStr">
        <is>
          <t>NOT_TESTED</t>
        </is>
      </c>
      <c r="W44" s="3" t="inlineStr">
        <is>
          <t>NOT_TESTED</t>
        </is>
      </c>
      <c r="X44" s="3" t="inlineStr">
        <is>
          <t>NOT_TESTED</t>
        </is>
      </c>
      <c r="Y44" s="3" t="inlineStr">
        <is>
          <t>NOT_TESTED</t>
        </is>
      </c>
      <c r="Z44" s="3" t="inlineStr">
        <is>
          <t>NOT_TESTED</t>
        </is>
      </c>
      <c r="AA44" s="3" t="inlineStr">
        <is>
          <t>NOT_TESTED</t>
        </is>
      </c>
      <c r="AB44" s="3" t="inlineStr">
        <is>
          <t>NOT_TESTED</t>
        </is>
      </c>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2" t="n"/>
      <c r="CW44" s="2" t="n"/>
      <c r="CX44" s="2" t="n"/>
      <c r="CY44" s="2" t="n"/>
      <c r="CZ44" s="2" t="n"/>
      <c r="DA44" s="2" t="n"/>
      <c r="DB44" s="2" t="n"/>
      <c r="DC44" s="2" t="n"/>
      <c r="DD44" s="2" t="n"/>
      <c r="DE44" s="2" t="n"/>
    </row>
    <row r="45">
      <c r="A45" s="2" t="inlineStr">
        <is>
          <t>issue_742</t>
        </is>
      </c>
      <c r="B45" s="3" t="inlineStr">
        <is>
          <t>NOT_TESTED</t>
        </is>
      </c>
      <c r="C45" s="3" t="inlineStr">
        <is>
          <t>NOT_TESTED</t>
        </is>
      </c>
      <c r="D45" s="3" t="inlineStr">
        <is>
          <t>NOT_TESTED</t>
        </is>
      </c>
      <c r="E45" s="3" t="inlineStr">
        <is>
          <t>NOT_TESTED</t>
        </is>
      </c>
      <c r="F45" s="3" t="inlineStr">
        <is>
          <t>NOT_TESTED</t>
        </is>
      </c>
      <c r="G45" s="3" t="inlineStr">
        <is>
          <t>NOT_TESTED</t>
        </is>
      </c>
      <c r="H45" s="3" t="inlineStr">
        <is>
          <t>NOT_TESTED</t>
        </is>
      </c>
      <c r="I45" s="3" t="inlineStr">
        <is>
          <t>NOT_TESTED</t>
        </is>
      </c>
      <c r="J45" s="3" t="inlineStr">
        <is>
          <t>NOT_TESTED</t>
        </is>
      </c>
      <c r="K45" s="3" t="inlineStr">
        <is>
          <t>NOT_TESTED</t>
        </is>
      </c>
      <c r="L45" s="3" t="inlineStr">
        <is>
          <t>NOT_TESTED</t>
        </is>
      </c>
      <c r="M45" s="3" t="inlineStr">
        <is>
          <t>NOT_TESTED</t>
        </is>
      </c>
      <c r="N45" s="3" t="inlineStr">
        <is>
          <t>NOT_TESTED</t>
        </is>
      </c>
      <c r="O45" s="3" t="inlineStr">
        <is>
          <t>NOT_TESTED</t>
        </is>
      </c>
      <c r="P45" s="3" t="inlineStr">
        <is>
          <t>NOT_TESTED</t>
        </is>
      </c>
      <c r="Q45" s="4" t="inlineStr">
        <is>
          <t>Passed on test</t>
        </is>
      </c>
      <c r="R45" s="4" t="inlineStr">
        <is>
          <t>Passed on test</t>
        </is>
      </c>
      <c r="S45" s="4" t="inlineStr">
        <is>
          <t>Passed on test</t>
        </is>
      </c>
      <c r="T45" s="4" t="inlineStr">
        <is>
          <t>Passed on test</t>
        </is>
      </c>
      <c r="U45" s="4" t="inlineStr">
        <is>
          <t>Passed on test</t>
        </is>
      </c>
      <c r="V45" s="4" t="inlineStr">
        <is>
          <t>Passed on test</t>
        </is>
      </c>
      <c r="W45" s="4" t="inlineStr">
        <is>
          <t>Passed on test</t>
        </is>
      </c>
      <c r="X45" s="4" t="inlineStr">
        <is>
          <t>Passed on test</t>
        </is>
      </c>
      <c r="Y45" s="4" t="inlineStr">
        <is>
          <t>Passed on test</t>
        </is>
      </c>
      <c r="Z45" s="4" t="inlineStr">
        <is>
          <t>Passed on test</t>
        </is>
      </c>
      <c r="AA45" s="4" t="inlineStr">
        <is>
          <t>Passed on test</t>
        </is>
      </c>
      <c r="AB45" s="4" t="inlineStr">
        <is>
          <t>Passed on test</t>
        </is>
      </c>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2" t="n"/>
      <c r="CW45" s="2" t="n"/>
      <c r="CX45" s="2" t="n"/>
      <c r="CY45" s="2" t="n"/>
      <c r="CZ45" s="2" t="n"/>
      <c r="DA45" s="2" t="n"/>
      <c r="DB45" s="2" t="n"/>
      <c r="DC45" s="2" t="n"/>
      <c r="DD45" s="2" t="n"/>
      <c r="DE45" s="2" t="n"/>
    </row>
    <row r="46">
      <c r="A46" s="2" t="inlineStr">
        <is>
          <t>issue_747</t>
        </is>
      </c>
      <c r="B46" s="3" t="inlineStr">
        <is>
          <t>NOT_TESTED</t>
        </is>
      </c>
      <c r="C46" s="3" t="inlineStr">
        <is>
          <t>NOT_TESTED</t>
        </is>
      </c>
      <c r="D46" s="3" t="inlineStr">
        <is>
          <t>NOT_TESTED</t>
        </is>
      </c>
      <c r="E46" s="3" t="inlineStr">
        <is>
          <t>NOT_TESTED</t>
        </is>
      </c>
      <c r="F46" s="4" t="inlineStr">
        <is>
          <t>Passed on test</t>
        </is>
      </c>
      <c r="G46" s="4" t="inlineStr">
        <is>
          <t>Passed on test</t>
        </is>
      </c>
      <c r="H46" s="4" t="inlineStr">
        <is>
          <t>Passed on test</t>
        </is>
      </c>
      <c r="I46" s="4" t="inlineStr">
        <is>
          <t>Passed on test</t>
        </is>
      </c>
      <c r="J46" s="4" t="inlineStr">
        <is>
          <t>Passed on test</t>
        </is>
      </c>
      <c r="K46" s="4" t="inlineStr">
        <is>
          <t>Passed on test</t>
        </is>
      </c>
      <c r="L46" s="4" t="inlineStr">
        <is>
          <t>Passed on test</t>
        </is>
      </c>
      <c r="M46" s="4" t="inlineStr">
        <is>
          <t>Passed on test</t>
        </is>
      </c>
      <c r="N46" s="3" t="inlineStr">
        <is>
          <t>NOT_TESTED</t>
        </is>
      </c>
      <c r="O46" s="3" t="inlineStr">
        <is>
          <t>NOT_TESTED</t>
        </is>
      </c>
      <c r="P46" s="3" t="inlineStr">
        <is>
          <t>NOT_TESTED</t>
        </is>
      </c>
      <c r="Q46" s="3" t="inlineStr">
        <is>
          <t>NOT_TESTED</t>
        </is>
      </c>
      <c r="R46" s="3" t="inlineStr">
        <is>
          <t>NOT_TESTED</t>
        </is>
      </c>
      <c r="S46" s="3" t="inlineStr">
        <is>
          <t>NOT_TESTED</t>
        </is>
      </c>
      <c r="T46" s="3" t="inlineStr">
        <is>
          <t>NOT_TESTED</t>
        </is>
      </c>
      <c r="U46" s="3" t="inlineStr">
        <is>
          <t>NOT_TESTED</t>
        </is>
      </c>
      <c r="V46" s="3" t="inlineStr">
        <is>
          <t>NOT_TESTED</t>
        </is>
      </c>
      <c r="W46" s="3" t="inlineStr">
        <is>
          <t>NOT_TESTED</t>
        </is>
      </c>
      <c r="X46" s="3" t="inlineStr">
        <is>
          <t>NOT_TESTED</t>
        </is>
      </c>
      <c r="Y46" s="3" t="inlineStr">
        <is>
          <t>NOT_TESTED</t>
        </is>
      </c>
      <c r="Z46" s="3" t="inlineStr">
        <is>
          <t>NOT_TESTED</t>
        </is>
      </c>
      <c r="AA46" s="3" t="inlineStr">
        <is>
          <t>NOT_TESTED</t>
        </is>
      </c>
      <c r="AB46" s="3" t="inlineStr">
        <is>
          <t>NOT_TESTED</t>
        </is>
      </c>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2" t="n"/>
      <c r="CW46" s="2" t="n"/>
      <c r="CX46" s="2" t="n"/>
      <c r="CY46" s="2" t="n"/>
      <c r="CZ46" s="2" t="n"/>
      <c r="DA46" s="2" t="n"/>
      <c r="DB46" s="2" t="n"/>
      <c r="DC46" s="2" t="n"/>
      <c r="DD46" s="2" t="n"/>
      <c r="DE46" s="2" t="n"/>
    </row>
    <row r="47">
      <c r="A47" s="2" t="inlineStr">
        <is>
          <t>issue_750</t>
        </is>
      </c>
      <c r="B47" s="3" t="inlineStr">
        <is>
          <t>NOT_TESTED</t>
        </is>
      </c>
      <c r="C47" s="3" t="inlineStr">
        <is>
          <t>NOT_TESTED</t>
        </is>
      </c>
      <c r="D47" s="3" t="inlineStr">
        <is>
          <t>NOT_TESTED</t>
        </is>
      </c>
      <c r="E47" s="3" t="inlineStr">
        <is>
          <t>NOT_TESTED</t>
        </is>
      </c>
      <c r="F47" s="4" t="inlineStr">
        <is>
          <t>Passed on test</t>
        </is>
      </c>
      <c r="G47" s="4" t="inlineStr">
        <is>
          <t>Passed on test</t>
        </is>
      </c>
      <c r="H47" s="4" t="inlineStr">
        <is>
          <t>Passed on test</t>
        </is>
      </c>
      <c r="I47" s="4" t="inlineStr">
        <is>
          <t>Passed on test</t>
        </is>
      </c>
      <c r="J47" s="4" t="inlineStr">
        <is>
          <t>Passed on test</t>
        </is>
      </c>
      <c r="K47" s="4" t="inlineStr">
        <is>
          <t>Passed on test</t>
        </is>
      </c>
      <c r="L47" s="4" t="inlineStr">
        <is>
          <t>Passed on test</t>
        </is>
      </c>
      <c r="M47" s="4" t="inlineStr">
        <is>
          <t>Passed on test</t>
        </is>
      </c>
      <c r="N47" s="4" t="inlineStr">
        <is>
          <t>Passed on test</t>
        </is>
      </c>
      <c r="O47" s="4" t="inlineStr">
        <is>
          <t>Passed on test</t>
        </is>
      </c>
      <c r="P47" s="4" t="inlineStr">
        <is>
          <t>Passed on test</t>
        </is>
      </c>
      <c r="Q47" s="4" t="inlineStr">
        <is>
          <t>Passed on test</t>
        </is>
      </c>
      <c r="R47" s="4" t="inlineStr">
        <is>
          <t>Passed on test</t>
        </is>
      </c>
      <c r="S47" s="4" t="inlineStr">
        <is>
          <t>Passed on test</t>
        </is>
      </c>
      <c r="T47" s="4" t="inlineStr">
        <is>
          <t>Passed on test</t>
        </is>
      </c>
      <c r="U47" s="4" t="inlineStr">
        <is>
          <t>Passed on test</t>
        </is>
      </c>
      <c r="V47" s="4" t="inlineStr">
        <is>
          <t>Passed on test</t>
        </is>
      </c>
      <c r="W47" s="4" t="inlineStr">
        <is>
          <t>Passed on test</t>
        </is>
      </c>
      <c r="X47" s="4" t="inlineStr">
        <is>
          <t>Passed on test</t>
        </is>
      </c>
      <c r="Y47" s="4" t="inlineStr">
        <is>
          <t>Passed on test</t>
        </is>
      </c>
      <c r="Z47" s="4" t="inlineStr">
        <is>
          <t>Passed on test</t>
        </is>
      </c>
      <c r="AA47" s="4" t="inlineStr">
        <is>
          <t>Passed on test</t>
        </is>
      </c>
      <c r="AB47" s="4" t="inlineStr">
        <is>
          <t>Passed on test</t>
        </is>
      </c>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2" t="n"/>
      <c r="CW47" s="2" t="n"/>
      <c r="CX47" s="2" t="n"/>
      <c r="CY47" s="2" t="n"/>
      <c r="CZ47" s="2" t="n"/>
      <c r="DA47" s="2" t="n"/>
      <c r="DB47" s="2" t="n"/>
      <c r="DC47" s="2" t="n"/>
      <c r="DD47" s="2" t="n"/>
      <c r="DE47" s="2" t="n"/>
    </row>
    <row r="48">
      <c r="A48" s="2" t="inlineStr">
        <is>
          <t>issue_769</t>
        </is>
      </c>
      <c r="B48" s="3" t="inlineStr">
        <is>
          <t>NOT_TESTED</t>
        </is>
      </c>
      <c r="C48" s="3" t="inlineStr">
        <is>
          <t>NOT_TESTED</t>
        </is>
      </c>
      <c r="D48" s="3" t="inlineStr">
        <is>
          <t>NOT_TESTED</t>
        </is>
      </c>
      <c r="E48" s="3" t="inlineStr">
        <is>
          <t>NOT_TESTED</t>
        </is>
      </c>
      <c r="F48" s="3" t="inlineStr">
        <is>
          <t>NOT_TESTED</t>
        </is>
      </c>
      <c r="G48" s="3" t="inlineStr">
        <is>
          <t>NOT_TESTED</t>
        </is>
      </c>
      <c r="H48" s="3" t="inlineStr">
        <is>
          <t>NOT_TESTED</t>
        </is>
      </c>
      <c r="I48" s="3" t="inlineStr">
        <is>
          <t>NOT_TESTED</t>
        </is>
      </c>
      <c r="J48" s="3" t="inlineStr">
        <is>
          <t>NOT_TESTED</t>
        </is>
      </c>
      <c r="K48" s="3" t="inlineStr">
        <is>
          <t>NOT_TESTED</t>
        </is>
      </c>
      <c r="L48" s="3" t="inlineStr">
        <is>
          <t>NOT_TESTED</t>
        </is>
      </c>
      <c r="M48" s="3" t="inlineStr">
        <is>
          <t>NOT_TESTED</t>
        </is>
      </c>
      <c r="N48" s="6" t="inlineStr">
        <is>
          <t>Runtime error</t>
        </is>
      </c>
      <c r="O48" s="6" t="inlineStr">
        <is>
          <t>Runtime error</t>
        </is>
      </c>
      <c r="P48" s="6" t="inlineStr">
        <is>
          <t>Runtime error</t>
        </is>
      </c>
      <c r="Q48" s="6" t="inlineStr">
        <is>
          <t>Runtime error</t>
        </is>
      </c>
      <c r="R48" s="6" t="inlineStr">
        <is>
          <t>Runtime error</t>
        </is>
      </c>
      <c r="S48" s="6" t="inlineStr">
        <is>
          <t>Runtime error</t>
        </is>
      </c>
      <c r="T48" s="6" t="inlineStr">
        <is>
          <t>Runtime error</t>
        </is>
      </c>
      <c r="U48" s="6" t="inlineStr">
        <is>
          <t>Runtime error</t>
        </is>
      </c>
      <c r="V48" s="6" t="inlineStr">
        <is>
          <t>Runtime error</t>
        </is>
      </c>
      <c r="W48" s="6" t="inlineStr">
        <is>
          <t>Runtime error</t>
        </is>
      </c>
      <c r="X48" s="6" t="inlineStr">
        <is>
          <t>Runtime error</t>
        </is>
      </c>
      <c r="Y48" s="6" t="inlineStr">
        <is>
          <t>Runtime error</t>
        </is>
      </c>
      <c r="Z48" s="6" t="inlineStr">
        <is>
          <t>Runtime error</t>
        </is>
      </c>
      <c r="AA48" s="6" t="inlineStr">
        <is>
          <t>Runtime error</t>
        </is>
      </c>
      <c r="AB48" s="6" t="inlineStr">
        <is>
          <t>Runtime error</t>
        </is>
      </c>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inlineStr">
        <is>
          <t>KeyError</t>
        </is>
      </c>
      <c r="BN48" s="2" t="inlineStr">
        <is>
          <t>KeyError: 'get_qiskit_gate'</t>
        </is>
      </c>
      <c r="BO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BP48" s="2" t="inlineStr">
        <is>
          <t>KeyError</t>
        </is>
      </c>
      <c r="BQ48" s="2" t="inlineStr">
        <is>
          <t>KeyError: 'get_qiskit_gate'</t>
        </is>
      </c>
      <c r="BR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BS48" s="2" t="inlineStr">
        <is>
          <t>KeyError</t>
        </is>
      </c>
      <c r="BT48" s="2" t="inlineStr">
        <is>
          <t>KeyError: 'get_qiskit_gate'</t>
        </is>
      </c>
      <c r="BU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BV48" s="2" t="inlineStr">
        <is>
          <t>KeyError</t>
        </is>
      </c>
      <c r="BW48" s="2" t="inlineStr">
        <is>
          <t>KeyError: 'get_qiskit_gate'</t>
        </is>
      </c>
      <c r="BX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BY48" s="2" t="inlineStr">
        <is>
          <t>KeyError</t>
        </is>
      </c>
      <c r="BZ48" s="2" t="inlineStr">
        <is>
          <t>KeyError: 'get_qiskit_gate'</t>
        </is>
      </c>
      <c r="CA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B48" s="2" t="inlineStr">
        <is>
          <t>KeyError</t>
        </is>
      </c>
      <c r="CC48" s="2" t="inlineStr">
        <is>
          <t>KeyError: 'get_qiskit_gate'</t>
        </is>
      </c>
      <c r="CD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E48" s="2" t="inlineStr">
        <is>
          <t>KeyError</t>
        </is>
      </c>
      <c r="CF48" s="2" t="inlineStr">
        <is>
          <t>KeyError: 'get_qiskit_gate'</t>
        </is>
      </c>
      <c r="CG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H48" s="2" t="inlineStr">
        <is>
          <t>KeyError</t>
        </is>
      </c>
      <c r="CI48" s="2" t="inlineStr">
        <is>
          <t>KeyError: 'get_qiskit_gate'</t>
        </is>
      </c>
      <c r="CJ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K48" s="2" t="inlineStr">
        <is>
          <t>KeyError</t>
        </is>
      </c>
      <c r="CL48" s="2" t="inlineStr">
        <is>
          <t>KeyError: 'get_qiskit_gate'</t>
        </is>
      </c>
      <c r="CM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N48" s="2" t="inlineStr">
        <is>
          <t>KeyError</t>
        </is>
      </c>
      <c r="CO48" s="2" t="inlineStr">
        <is>
          <t>KeyError: 'get_qiskit_gate'</t>
        </is>
      </c>
      <c r="CP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Q48" s="2" t="inlineStr">
        <is>
          <t>KeyError</t>
        </is>
      </c>
      <c r="CR48" s="2" t="inlineStr">
        <is>
          <t>KeyError: 'get_qiskit_gate'</t>
        </is>
      </c>
      <c r="CS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T48" s="2" t="inlineStr">
        <is>
          <t>KeyError</t>
        </is>
      </c>
      <c r="CU48" s="2" t="inlineStr">
        <is>
          <t>KeyError: 'get_qiskit_gate'</t>
        </is>
      </c>
      <c r="CV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W48" s="2" t="inlineStr">
        <is>
          <t>KeyError</t>
        </is>
      </c>
      <c r="CX48" s="2" t="inlineStr">
        <is>
          <t>KeyError: 'get_qiskit_gate'</t>
        </is>
      </c>
      <c r="CY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CZ48" s="2" t="inlineStr">
        <is>
          <t>KeyError</t>
        </is>
      </c>
      <c r="DA48" s="2" t="inlineStr">
        <is>
          <t>KeyError: 'get_qiskit_gate'</t>
        </is>
      </c>
      <c r="DB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DC48" s="2" t="inlineStr">
        <is>
          <t>KeyError</t>
        </is>
      </c>
      <c r="DD48" s="2" t="inlineStr">
        <is>
          <t>KeyError: 'get_qiskit_gate'</t>
        </is>
      </c>
      <c r="DE48" s="2"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row>
    <row r="49">
      <c r="A49" s="2" t="inlineStr">
        <is>
          <t>issue_773</t>
        </is>
      </c>
      <c r="B49" s="3" t="inlineStr">
        <is>
          <t>NOT_TESTED</t>
        </is>
      </c>
      <c r="C49" s="3" t="inlineStr">
        <is>
          <t>NOT_TESTED</t>
        </is>
      </c>
      <c r="D49" s="3" t="inlineStr">
        <is>
          <t>NOT_TESTED</t>
        </is>
      </c>
      <c r="E49" s="3" t="inlineStr">
        <is>
          <t>NOT_TESTED</t>
        </is>
      </c>
      <c r="F49" s="4" t="inlineStr">
        <is>
          <t>Passed on test</t>
        </is>
      </c>
      <c r="G49" s="4" t="inlineStr">
        <is>
          <t>Passed on test</t>
        </is>
      </c>
      <c r="H49" s="4" t="inlineStr">
        <is>
          <t>Passed on test</t>
        </is>
      </c>
      <c r="I49" s="4" t="inlineStr">
        <is>
          <t>Passed on test</t>
        </is>
      </c>
      <c r="J49" s="4" t="inlineStr">
        <is>
          <t>Passed on test</t>
        </is>
      </c>
      <c r="K49" s="4" t="inlineStr">
        <is>
          <t>Passed on test</t>
        </is>
      </c>
      <c r="L49" s="4" t="inlineStr">
        <is>
          <t>Passed on test</t>
        </is>
      </c>
      <c r="M49" s="4" t="inlineStr">
        <is>
          <t>Passed on test</t>
        </is>
      </c>
      <c r="N49" s="3" t="inlineStr">
        <is>
          <t>NOT_TESTED</t>
        </is>
      </c>
      <c r="O49" s="3" t="inlineStr">
        <is>
          <t>NOT_TESTED</t>
        </is>
      </c>
      <c r="P49" s="3" t="inlineStr">
        <is>
          <t>NOT_TESTED</t>
        </is>
      </c>
      <c r="Q49" s="3" t="inlineStr">
        <is>
          <t>NOT_TESTED</t>
        </is>
      </c>
      <c r="R49" s="3" t="inlineStr">
        <is>
          <t>NOT_TESTED</t>
        </is>
      </c>
      <c r="S49" s="3" t="inlineStr">
        <is>
          <t>NOT_TESTED</t>
        </is>
      </c>
      <c r="T49" s="3" t="inlineStr">
        <is>
          <t>NOT_TESTED</t>
        </is>
      </c>
      <c r="U49" s="3" t="inlineStr">
        <is>
          <t>NOT_TESTED</t>
        </is>
      </c>
      <c r="V49" s="3" t="inlineStr">
        <is>
          <t>NOT_TESTED</t>
        </is>
      </c>
      <c r="W49" s="3" t="inlineStr">
        <is>
          <t>NOT_TESTED</t>
        </is>
      </c>
      <c r="X49" s="3" t="inlineStr">
        <is>
          <t>NOT_TESTED</t>
        </is>
      </c>
      <c r="Y49" s="3" t="inlineStr">
        <is>
          <t>NOT_TESTED</t>
        </is>
      </c>
      <c r="Z49" s="3" t="inlineStr">
        <is>
          <t>NOT_TESTED</t>
        </is>
      </c>
      <c r="AA49" s="3" t="inlineStr">
        <is>
          <t>NOT_TESTED</t>
        </is>
      </c>
      <c r="AB49" s="3" t="inlineStr">
        <is>
          <t>NOT_TESTED</t>
        </is>
      </c>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2" t="n"/>
      <c r="CW49" s="2" t="n"/>
      <c r="CX49" s="2" t="n"/>
      <c r="CY49" s="2" t="n"/>
      <c r="CZ49" s="2" t="n"/>
      <c r="DA49" s="2" t="n"/>
      <c r="DB49" s="2" t="n"/>
      <c r="DC49" s="2" t="n"/>
      <c r="DD49" s="2" t="n"/>
      <c r="DE49" s="2" t="n"/>
    </row>
    <row r="50">
      <c r="A50" s="2" t="inlineStr">
        <is>
          <t>issue_775</t>
        </is>
      </c>
      <c r="B50" s="6" t="inlineStr">
        <is>
          <t>Runtime error</t>
        </is>
      </c>
      <c r="C50" s="6" t="inlineStr">
        <is>
          <t>Runtime error</t>
        </is>
      </c>
      <c r="D50" s="6" t="inlineStr">
        <is>
          <t>Runtime error</t>
        </is>
      </c>
      <c r="E50" s="6" t="inlineStr">
        <is>
          <t>Runtime error</t>
        </is>
      </c>
      <c r="F50" s="4" t="inlineStr">
        <is>
          <t>Passed on test</t>
        </is>
      </c>
      <c r="G50" s="4" t="inlineStr">
        <is>
          <t>Passed on test</t>
        </is>
      </c>
      <c r="H50" s="4" t="inlineStr">
        <is>
          <t>Passed on test</t>
        </is>
      </c>
      <c r="I50" s="4" t="inlineStr">
        <is>
          <t>Passed on test</t>
        </is>
      </c>
      <c r="J50" s="4" t="inlineStr">
        <is>
          <t>Passed on test</t>
        </is>
      </c>
      <c r="K50" s="4" t="inlineStr">
        <is>
          <t>Passed on test</t>
        </is>
      </c>
      <c r="L50" s="4" t="inlineStr">
        <is>
          <t>Passed on test</t>
        </is>
      </c>
      <c r="M50" s="4" t="inlineStr">
        <is>
          <t>Passed on test</t>
        </is>
      </c>
      <c r="N50" s="3" t="inlineStr">
        <is>
          <t>NOT_TESTED</t>
        </is>
      </c>
      <c r="O50" s="3" t="inlineStr">
        <is>
          <t>NOT_TESTED</t>
        </is>
      </c>
      <c r="P50" s="3" t="inlineStr">
        <is>
          <t>NOT_TESTED</t>
        </is>
      </c>
      <c r="Q50" s="3" t="inlineStr">
        <is>
          <t>NOT_TESTED</t>
        </is>
      </c>
      <c r="R50" s="3" t="inlineStr">
        <is>
          <t>NOT_TESTED</t>
        </is>
      </c>
      <c r="S50" s="3" t="inlineStr">
        <is>
          <t>NOT_TESTED</t>
        </is>
      </c>
      <c r="T50" s="3" t="inlineStr">
        <is>
          <t>NOT_TESTED</t>
        </is>
      </c>
      <c r="U50" s="3" t="inlineStr">
        <is>
          <t>NOT_TESTED</t>
        </is>
      </c>
      <c r="V50" s="3" t="inlineStr">
        <is>
          <t>NOT_TESTED</t>
        </is>
      </c>
      <c r="W50" s="3" t="inlineStr">
        <is>
          <t>NOT_TESTED</t>
        </is>
      </c>
      <c r="X50" s="3" t="inlineStr">
        <is>
          <t>NOT_TESTED</t>
        </is>
      </c>
      <c r="Y50" s="3" t="inlineStr">
        <is>
          <t>NOT_TESTED</t>
        </is>
      </c>
      <c r="Z50" s="3" t="inlineStr">
        <is>
          <t>NOT_TESTED</t>
        </is>
      </c>
      <c r="AA50" s="3" t="inlineStr">
        <is>
          <t>NOT_TESTED</t>
        </is>
      </c>
      <c r="AB50" s="3" t="inlineStr">
        <is>
          <t>NOT_TESTED</t>
        </is>
      </c>
      <c r="AC50" s="2" t="inlineStr">
        <is>
          <t>ModuleNotFoundError</t>
        </is>
      </c>
      <c r="AD50" s="2" t="inlineStr">
        <is>
          <t>ModuleNotFoundError: No module named 'qiskit_aer'</t>
        </is>
      </c>
      <c r="AE50" s="2" t="inlineStr">
        <is>
          <t>Error on 0.25.x, passed on 0.45.x / 0.46.x: the LLM parsed the OpenQASM string with QuantumCircuit.from_qasm_str() and ran it with backend.run(transpile(...)), which is the fix, but it also moved Aer to qiskit_aer; the Aer 0.8 that comes with Qiskit 0.25 can only be imported as qiskit.providers.aer (ModuleNotFoundError). The GPT models kept execute() and Aer from qiskit and passed on all 12 versions.</t>
        </is>
      </c>
      <c r="AF50" s="2" t="inlineStr">
        <is>
          <t>ModuleNotFoundError</t>
        </is>
      </c>
      <c r="AG50" s="2" t="inlineStr">
        <is>
          <t>ModuleNotFoundError: No module named 'qiskit_aer'</t>
        </is>
      </c>
      <c r="AH50" s="2" t="inlineStr">
        <is>
          <t>Error on 0.25.x, passed on 0.45.x / 0.46.x: the LLM parsed the OpenQASM string with QuantumCircuit.from_qasm_str() and ran it with backend.run(transpile(...)), which is the fix, but it also moved Aer to qiskit_aer; the Aer 0.8 that comes with Qiskit 0.25 can only be imported as qiskit.providers.aer (ModuleNotFoundError). The GPT models kept execute() and Aer from qiskit and passed on all 12 versions.</t>
        </is>
      </c>
      <c r="AI50" s="2" t="inlineStr">
        <is>
          <t>ModuleNotFoundError</t>
        </is>
      </c>
      <c r="AJ50" s="2" t="inlineStr">
        <is>
          <t>ModuleNotFoundError: No module named 'qiskit_aer'</t>
        </is>
      </c>
      <c r="AK50" s="2" t="inlineStr">
        <is>
          <t>Error on 0.25.x, passed on 0.45.x / 0.46.x: the LLM parsed the OpenQASM string with QuantumCircuit.from_qasm_str() and ran it with backend.run(transpile(...)), which is the fix, but it also moved Aer to qiskit_aer; the Aer 0.8 that comes with Qiskit 0.25 can only be imported as qiskit.providers.aer (ModuleNotFoundError). The GPT models kept execute() and Aer from qiskit and passed on all 12 versions.</t>
        </is>
      </c>
      <c r="AL50" s="2" t="inlineStr">
        <is>
          <t>ModuleNotFoundError</t>
        </is>
      </c>
      <c r="AM50" s="2" t="inlineStr">
        <is>
          <t>ModuleNotFoundError: No module named 'qiskit_aer'</t>
        </is>
      </c>
      <c r="AN50" s="2" t="inlineStr">
        <is>
          <t>Error on 0.25.x, passed on 0.45.x / 0.46.x: the LLM parsed the OpenQASM string with QuantumCircuit.from_qasm_str() and ran it with backend.run(transpile(...)), which is the fix, but it also moved Aer to qiskit_aer; the Aer 0.8 that comes with Qiskit 0.25 can only be imported as qiskit.providers.aer (ModuleNotFoundError). The GPT models kept execute() and Aer from qiskit and passed on all 12 versions.</t>
        </is>
      </c>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2" t="n"/>
      <c r="CW50" s="2" t="n"/>
      <c r="CX50" s="2" t="n"/>
      <c r="CY50" s="2" t="n"/>
      <c r="CZ50" s="2" t="n"/>
      <c r="DA50" s="2" t="n"/>
      <c r="DB50" s="2" t="n"/>
      <c r="DC50" s="2" t="n"/>
      <c r="DD50" s="2" t="n"/>
      <c r="DE50" s="2" t="n"/>
    </row>
    <row r="51">
      <c r="A51" s="2" t="inlineStr">
        <is>
          <t>issue_795</t>
        </is>
      </c>
      <c r="B51" s="4" t="inlineStr">
        <is>
          <t>Passed on test</t>
        </is>
      </c>
      <c r="C51" s="4" t="inlineStr">
        <is>
          <t>Passed on test</t>
        </is>
      </c>
      <c r="D51" s="4" t="inlineStr">
        <is>
          <t>Passed on test</t>
        </is>
      </c>
      <c r="E51" s="4" t="inlineStr">
        <is>
          <t>Passed on test</t>
        </is>
      </c>
      <c r="F51" s="4" t="inlineStr">
        <is>
          <t>Passed on test</t>
        </is>
      </c>
      <c r="G51" s="4" t="inlineStr">
        <is>
          <t>Passed on test</t>
        </is>
      </c>
      <c r="H51" s="4" t="inlineStr">
        <is>
          <t>Passed on test</t>
        </is>
      </c>
      <c r="I51" s="4" t="inlineStr">
        <is>
          <t>Passed on test</t>
        </is>
      </c>
      <c r="J51" s="4" t="inlineStr">
        <is>
          <t>Passed on test</t>
        </is>
      </c>
      <c r="K51" s="4" t="inlineStr">
        <is>
          <t>Passed on test</t>
        </is>
      </c>
      <c r="L51" s="4" t="inlineStr">
        <is>
          <t>Passed on test</t>
        </is>
      </c>
      <c r="M51" s="4" t="inlineStr">
        <is>
          <t>Passed on test</t>
        </is>
      </c>
      <c r="N51" s="3" t="inlineStr">
        <is>
          <t>NOT_TESTED</t>
        </is>
      </c>
      <c r="O51" s="3" t="inlineStr">
        <is>
          <t>NOT_TESTED</t>
        </is>
      </c>
      <c r="P51" s="3" t="inlineStr">
        <is>
          <t>NOT_TESTED</t>
        </is>
      </c>
      <c r="Q51" s="3" t="inlineStr">
        <is>
          <t>NOT_TESTED</t>
        </is>
      </c>
      <c r="R51" s="3" t="inlineStr">
        <is>
          <t>NOT_TESTED</t>
        </is>
      </c>
      <c r="S51" s="3" t="inlineStr">
        <is>
          <t>NOT_TESTED</t>
        </is>
      </c>
      <c r="T51" s="3" t="inlineStr">
        <is>
          <t>NOT_TESTED</t>
        </is>
      </c>
      <c r="U51" s="3" t="inlineStr">
        <is>
          <t>NOT_TESTED</t>
        </is>
      </c>
      <c r="V51" s="3" t="inlineStr">
        <is>
          <t>NOT_TESTED</t>
        </is>
      </c>
      <c r="W51" s="3" t="inlineStr">
        <is>
          <t>NOT_TESTED</t>
        </is>
      </c>
      <c r="X51" s="3" t="inlineStr">
        <is>
          <t>NOT_TESTED</t>
        </is>
      </c>
      <c r="Y51" s="3" t="inlineStr">
        <is>
          <t>NOT_TESTED</t>
        </is>
      </c>
      <c r="Z51" s="3" t="inlineStr">
        <is>
          <t>NOT_TESTED</t>
        </is>
      </c>
      <c r="AA51" s="3" t="inlineStr">
        <is>
          <t>NOT_TESTED</t>
        </is>
      </c>
      <c r="AB51" s="3" t="inlineStr">
        <is>
          <t>NOT_TESTED</t>
        </is>
      </c>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2" t="n"/>
      <c r="CW51" s="2" t="n"/>
      <c r="CX51" s="2" t="n"/>
      <c r="CY51" s="2" t="n"/>
      <c r="CZ51" s="2" t="n"/>
      <c r="DA51" s="2" t="n"/>
      <c r="DB51" s="2" t="n"/>
      <c r="DC51" s="2" t="n"/>
      <c r="DD51" s="2" t="n"/>
      <c r="DE51" s="2" t="n"/>
    </row>
    <row r="52">
      <c r="A52" s="2" t="inlineStr">
        <is>
          <t>issue_803</t>
        </is>
      </c>
      <c r="B52" s="5" t="inlineStr">
        <is>
          <t>Failed on test</t>
        </is>
      </c>
      <c r="C52" s="5" t="inlineStr">
        <is>
          <t>Failed on test</t>
        </is>
      </c>
      <c r="D52" s="5" t="inlineStr">
        <is>
          <t>Failed on test</t>
        </is>
      </c>
      <c r="E52" s="5" t="inlineStr">
        <is>
          <t>Failed on test</t>
        </is>
      </c>
      <c r="F52" s="6" t="inlineStr">
        <is>
          <t>Runtime error</t>
        </is>
      </c>
      <c r="G52" s="6" t="inlineStr">
        <is>
          <t>Runtime error</t>
        </is>
      </c>
      <c r="H52" s="6" t="inlineStr">
        <is>
          <t>Runtime error</t>
        </is>
      </c>
      <c r="I52" s="6" t="inlineStr">
        <is>
          <t>Runtime error</t>
        </is>
      </c>
      <c r="J52" s="6" t="inlineStr">
        <is>
          <t>Runtime error</t>
        </is>
      </c>
      <c r="K52" s="6" t="inlineStr">
        <is>
          <t>Runtime error</t>
        </is>
      </c>
      <c r="L52" s="6" t="inlineStr">
        <is>
          <t>Runtime error</t>
        </is>
      </c>
      <c r="M52" s="6" t="inlineStr">
        <is>
          <t>Runtime error</t>
        </is>
      </c>
      <c r="N52" s="3" t="inlineStr">
        <is>
          <t>NOT_TESTED</t>
        </is>
      </c>
      <c r="O52" s="3" t="inlineStr">
        <is>
          <t>NOT_TESTED</t>
        </is>
      </c>
      <c r="P52" s="3" t="inlineStr">
        <is>
          <t>NOT_TESTED</t>
        </is>
      </c>
      <c r="Q52" s="3" t="inlineStr">
        <is>
          <t>NOT_TESTED</t>
        </is>
      </c>
      <c r="R52" s="3" t="inlineStr">
        <is>
          <t>NOT_TESTED</t>
        </is>
      </c>
      <c r="S52" s="3" t="inlineStr">
        <is>
          <t>NOT_TESTED</t>
        </is>
      </c>
      <c r="T52" s="3" t="inlineStr">
        <is>
          <t>NOT_TESTED</t>
        </is>
      </c>
      <c r="U52" s="3" t="inlineStr">
        <is>
          <t>NOT_TESTED</t>
        </is>
      </c>
      <c r="V52" s="3" t="inlineStr">
        <is>
          <t>NOT_TESTED</t>
        </is>
      </c>
      <c r="W52" s="3" t="inlineStr">
        <is>
          <t>NOT_TESTED</t>
        </is>
      </c>
      <c r="X52" s="3" t="inlineStr">
        <is>
          <t>NOT_TESTED</t>
        </is>
      </c>
      <c r="Y52" s="3" t="inlineStr">
        <is>
          <t>NOT_TESTED</t>
        </is>
      </c>
      <c r="Z52" s="3" t="inlineStr">
        <is>
          <t>NOT_TESTED</t>
        </is>
      </c>
      <c r="AA52" s="3" t="inlineStr">
        <is>
          <t>NOT_TESTED</t>
        </is>
      </c>
      <c r="AB52" s="3" t="inlineStr">
        <is>
          <t>NOT_TESTED</t>
        </is>
      </c>
      <c r="AC52" s="2" t="inlineStr">
        <is>
          <t>AssertionError</t>
        </is>
      </c>
      <c r="AD52" s="2" t="inlineStr">
        <is>
          <t>ValueError: The truth value of an array with more than one element is ambiguous. Use a.any() or a.all(); AssertionError: array([list([45, 55]), list([100]), list([100])], dtype=object) is not an instance of &lt;class 'list'&gt;</t>
        </is>
      </c>
      <c r="AE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AF52" s="2" t="inlineStr">
        <is>
          <t>AssertionError</t>
        </is>
      </c>
      <c r="AG52" s="2" t="inlineStr">
        <is>
          <t>ValueError: The truth value of an array with more than one element is ambiguous. Use a.any() or a.all(); AssertionError: array([list([49, 51]), list([100]), list([100])], dtype=object) is not an instance of &lt;class 'list'&gt;</t>
        </is>
      </c>
      <c r="AH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AI52" s="2" t="inlineStr">
        <is>
          <t>AssertionError</t>
        </is>
      </c>
      <c r="AJ52" s="2" t="inlineStr">
        <is>
          <t>ValueError: The truth value of an array with more than one element is ambiguous. Use a.any() or a.all(); AssertionError: array([list([51, 49]), list([100]), list([100])], dtype=object) is not an instance of &lt;class 'list'&gt;</t>
        </is>
      </c>
      <c r="AK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AL52" s="2" t="inlineStr">
        <is>
          <t>AssertionError</t>
        </is>
      </c>
      <c r="AM52" s="2" t="inlineStr">
        <is>
          <t>ValueError: The truth value of an array with more than one element is ambiguous. Use a.any() or a.all(); AssertionError: array([list([42, 58]), list([100]), list([100])], dtype=object) is not an instance of &lt;class 'list'&gt;</t>
        </is>
      </c>
      <c r="AN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AO52" s="2" t="inlineStr">
        <is>
          <t>ValueError</t>
        </is>
      </c>
      <c r="AP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Q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AR52" s="2" t="inlineStr">
        <is>
          <t>ValueError</t>
        </is>
      </c>
      <c r="AS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T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AU52" s="2" t="inlineStr">
        <is>
          <t>ValueError</t>
        </is>
      </c>
      <c r="AV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W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AX52" s="2" t="inlineStr">
        <is>
          <t>ValueError</t>
        </is>
      </c>
      <c r="AY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Z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BA52" s="2" t="inlineStr">
        <is>
          <t>ValueError</t>
        </is>
      </c>
      <c r="BB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C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BD52" s="2" t="inlineStr">
        <is>
          <t>ValueError</t>
        </is>
      </c>
      <c r="BE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F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BG52" s="2" t="inlineStr">
        <is>
          <t>ValueError</t>
        </is>
      </c>
      <c r="BH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I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BJ52" s="2" t="inlineStr">
        <is>
          <t>ValueError</t>
        </is>
      </c>
      <c r="BK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L52" s="2"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2" t="n"/>
      <c r="CW52" s="2" t="n"/>
      <c r="CX52" s="2" t="n"/>
      <c r="CY52" s="2" t="n"/>
      <c r="CZ52" s="2" t="n"/>
      <c r="DA52" s="2" t="n"/>
      <c r="DB52" s="2" t="n"/>
      <c r="DC52" s="2" t="n"/>
      <c r="DD52" s="2" t="n"/>
      <c r="DE52" s="2" t="n"/>
    </row>
    <row r="53">
      <c r="A53" s="2" t="inlineStr">
        <is>
          <t>issue_810</t>
        </is>
      </c>
      <c r="B53" s="3" t="inlineStr">
        <is>
          <t>NOT_TESTED</t>
        </is>
      </c>
      <c r="C53" s="3" t="inlineStr">
        <is>
          <t>NOT_TESTED</t>
        </is>
      </c>
      <c r="D53" s="3" t="inlineStr">
        <is>
          <t>NOT_TESTED</t>
        </is>
      </c>
      <c r="E53" s="3" t="inlineStr">
        <is>
          <t>NOT_TESTED</t>
        </is>
      </c>
      <c r="F53" s="3" t="inlineStr">
        <is>
          <t>NOT_TESTED</t>
        </is>
      </c>
      <c r="G53" s="5" t="inlineStr">
        <is>
          <t>Failed on test</t>
        </is>
      </c>
      <c r="H53" s="3" t="inlineStr">
        <is>
          <t>NOT_TESTED</t>
        </is>
      </c>
      <c r="I53" s="3" t="inlineStr">
        <is>
          <t>NOT_TESTED</t>
        </is>
      </c>
      <c r="J53" s="3" t="inlineStr">
        <is>
          <t>NOT_TESTED</t>
        </is>
      </c>
      <c r="K53" s="3" t="inlineStr">
        <is>
          <t>NOT_TESTED</t>
        </is>
      </c>
      <c r="L53" s="5" t="inlineStr">
        <is>
          <t>Failed on test</t>
        </is>
      </c>
      <c r="M53" s="3" t="inlineStr">
        <is>
          <t>NOT_TESTED</t>
        </is>
      </c>
      <c r="N53" s="3" t="inlineStr">
        <is>
          <t>NOT_TESTED</t>
        </is>
      </c>
      <c r="O53" s="3" t="inlineStr">
        <is>
          <t>NOT_TESTED</t>
        </is>
      </c>
      <c r="P53" s="3" t="inlineStr">
        <is>
          <t>NOT_TESTED</t>
        </is>
      </c>
      <c r="Q53" s="3" t="inlineStr">
        <is>
          <t>NOT_TESTED</t>
        </is>
      </c>
      <c r="R53" s="3" t="inlineStr">
        <is>
          <t>NOT_TESTED</t>
        </is>
      </c>
      <c r="S53" s="3" t="inlineStr">
        <is>
          <t>NOT_TESTED</t>
        </is>
      </c>
      <c r="T53" s="3" t="inlineStr">
        <is>
          <t>NOT_TESTED</t>
        </is>
      </c>
      <c r="U53" s="3" t="inlineStr">
        <is>
          <t>NOT_TESTED</t>
        </is>
      </c>
      <c r="V53" s="3" t="inlineStr">
        <is>
          <t>NOT_TESTED</t>
        </is>
      </c>
      <c r="W53" s="3" t="inlineStr">
        <is>
          <t>NOT_TESTED</t>
        </is>
      </c>
      <c r="X53" s="3" t="inlineStr">
        <is>
          <t>NOT_TESTED</t>
        </is>
      </c>
      <c r="Y53" s="3" t="inlineStr">
        <is>
          <t>NOT_TESTED</t>
        </is>
      </c>
      <c r="Z53" s="3" t="inlineStr">
        <is>
          <t>NOT_TESTED</t>
        </is>
      </c>
      <c r="AA53" s="3" t="inlineStr">
        <is>
          <t>NOT_TESTED</t>
        </is>
      </c>
      <c r="AB53" s="3" t="inlineStr">
        <is>
          <t>NOT_TESTED</t>
        </is>
      </c>
      <c r="AC53" s="2" t="n"/>
      <c r="AD53" s="2" t="n"/>
      <c r="AE53" s="2" t="n"/>
      <c r="AF53" s="2" t="n"/>
      <c r="AG53" s="2" t="n"/>
      <c r="AH53" s="2" t="n"/>
      <c r="AI53" s="2" t="n"/>
      <c r="AJ53" s="2" t="n"/>
      <c r="AK53" s="2" t="n"/>
      <c r="AL53" s="2" t="n"/>
      <c r="AM53" s="2" t="n"/>
      <c r="AN53" s="2" t="n"/>
      <c r="AO53" s="2" t="n"/>
      <c r="AP53" s="2" t="n"/>
      <c r="AQ53" s="2" t="n"/>
      <c r="AR53" s="2" t="inlineStr">
        <is>
          <t>AssertionError</t>
        </is>
      </c>
      <c r="AS53" s="2" t="inlineStr">
        <is>
          <t>AssertionError: [] is not true : no raw counts dictionary</t>
        </is>
      </c>
      <c r="AT53" s="2" t="inlineStr">
        <is>
          <t>The LLM enabled memory=True and returned the per-shot list job.result().get_memory() instead of a counts dictionary; the updated test, which accepts any variable name and shot count, finds no raw counts dictionary. gpt-6.1-sol and gpt-6-astra did the same; both luna models used get_counts() and passed.</t>
        </is>
      </c>
      <c r="AU53" s="2" t="n"/>
      <c r="AV53" s="2" t="n"/>
      <c r="AW53" s="2" t="n"/>
      <c r="AX53" s="2" t="n"/>
      <c r="AY53" s="2" t="n"/>
      <c r="AZ53" s="2" t="n"/>
      <c r="BA53" s="2" t="n"/>
      <c r="BB53" s="2" t="n"/>
      <c r="BC53" s="2" t="n"/>
      <c r="BD53" s="2" t="n"/>
      <c r="BE53" s="2" t="n"/>
      <c r="BF53" s="2" t="n"/>
      <c r="BG53" s="2" t="inlineStr">
        <is>
          <t>AssertionError</t>
        </is>
      </c>
      <c r="BH53" s="2" t="inlineStr">
        <is>
          <t>AssertionError: [] is not true : no raw counts dictionary</t>
        </is>
      </c>
      <c r="BI53" s="2" t="inlineStr">
        <is>
          <t>The LLM enabled memory=True and returned the per-shot list job.result().get_memory() instead of a counts dictionary; the updated test, which accepts any variable name and shot count, finds no raw counts dictionary. gpt-6.1-sol and gpt-6-astra did the same; both luna models used get_counts() and passed.</t>
        </is>
      </c>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2" t="n"/>
      <c r="CW53" s="2" t="n"/>
      <c r="CX53" s="2" t="n"/>
      <c r="CY53" s="2" t="n"/>
      <c r="CZ53" s="2" t="n"/>
      <c r="DA53" s="2" t="n"/>
      <c r="DB53" s="2" t="n"/>
      <c r="DC53" s="2" t="n"/>
      <c r="DD53" s="2" t="n"/>
      <c r="DE53" s="2" t="n"/>
    </row>
    <row r="54">
      <c r="A54" s="2" t="inlineStr">
        <is>
          <t>issue_816</t>
        </is>
      </c>
      <c r="B54" s="3" t="inlineStr">
        <is>
          <t>NOT_TESTED</t>
        </is>
      </c>
      <c r="C54" s="3" t="inlineStr">
        <is>
          <t>NOT_TESTED</t>
        </is>
      </c>
      <c r="D54" s="3" t="inlineStr">
        <is>
          <t>NOT_TESTED</t>
        </is>
      </c>
      <c r="E54" s="3" t="inlineStr">
        <is>
          <t>NOT_TESTED</t>
        </is>
      </c>
      <c r="F54" s="4" t="inlineStr">
        <is>
          <t>Passed on test</t>
        </is>
      </c>
      <c r="G54" s="4" t="inlineStr">
        <is>
          <t>Passed on test</t>
        </is>
      </c>
      <c r="H54" s="4" t="inlineStr">
        <is>
          <t>Passed on test</t>
        </is>
      </c>
      <c r="I54" s="4" t="inlineStr">
        <is>
          <t>Passed on test</t>
        </is>
      </c>
      <c r="J54" s="4" t="inlineStr">
        <is>
          <t>Passed on test</t>
        </is>
      </c>
      <c r="K54" s="4" t="inlineStr">
        <is>
          <t>Passed on test</t>
        </is>
      </c>
      <c r="L54" s="4" t="inlineStr">
        <is>
          <t>Passed on test</t>
        </is>
      </c>
      <c r="M54" s="4" t="inlineStr">
        <is>
          <t>Passed on test</t>
        </is>
      </c>
      <c r="N54" s="4" t="inlineStr">
        <is>
          <t>Passed on test</t>
        </is>
      </c>
      <c r="O54" s="4" t="inlineStr">
        <is>
          <t>Passed on test</t>
        </is>
      </c>
      <c r="P54" s="4" t="inlineStr">
        <is>
          <t>Passed on test</t>
        </is>
      </c>
      <c r="Q54" s="4" t="inlineStr">
        <is>
          <t>Passed on test</t>
        </is>
      </c>
      <c r="R54" s="4" t="inlineStr">
        <is>
          <t>Passed on test</t>
        </is>
      </c>
      <c r="S54" s="4" t="inlineStr">
        <is>
          <t>Passed on test</t>
        </is>
      </c>
      <c r="T54" s="4" t="inlineStr">
        <is>
          <t>Passed on test</t>
        </is>
      </c>
      <c r="U54" s="4" t="inlineStr">
        <is>
          <t>Passed on test</t>
        </is>
      </c>
      <c r="V54" s="4" t="inlineStr">
        <is>
          <t>Passed on test</t>
        </is>
      </c>
      <c r="W54" s="4" t="inlineStr">
        <is>
          <t>Passed on test</t>
        </is>
      </c>
      <c r="X54" s="4" t="inlineStr">
        <is>
          <t>Passed on test</t>
        </is>
      </c>
      <c r="Y54" s="4" t="inlineStr">
        <is>
          <t>Passed on test</t>
        </is>
      </c>
      <c r="Z54" s="4" t="inlineStr">
        <is>
          <t>Passed on test</t>
        </is>
      </c>
      <c r="AA54" s="4" t="inlineStr">
        <is>
          <t>Passed on test</t>
        </is>
      </c>
      <c r="AB54" s="4" t="inlineStr">
        <is>
          <t>Passed on test</t>
        </is>
      </c>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2" t="n"/>
      <c r="CW54" s="2" t="n"/>
      <c r="CX54" s="2" t="n"/>
      <c r="CY54" s="2" t="n"/>
      <c r="CZ54" s="2" t="n"/>
      <c r="DA54" s="2" t="n"/>
      <c r="DB54" s="2" t="n"/>
      <c r="DC54" s="2" t="n"/>
      <c r="DD54" s="2" t="n"/>
      <c r="DE54" s="2" t="n"/>
    </row>
    <row r="55">
      <c r="A55" s="2" t="inlineStr">
        <is>
          <t>issue_876</t>
        </is>
      </c>
      <c r="B55" s="3" t="inlineStr">
        <is>
          <t>NOT_TESTED</t>
        </is>
      </c>
      <c r="C55" s="3" t="inlineStr">
        <is>
          <t>NOT_TESTED</t>
        </is>
      </c>
      <c r="D55" s="3" t="inlineStr">
        <is>
          <t>NOT_TESTED</t>
        </is>
      </c>
      <c r="E55" s="3" t="inlineStr">
        <is>
          <t>NOT_TESTED</t>
        </is>
      </c>
      <c r="F55" s="3" t="inlineStr">
        <is>
          <t>NOT_TESTED</t>
        </is>
      </c>
      <c r="G55" s="3" t="inlineStr">
        <is>
          <t>NOT_TESTED</t>
        </is>
      </c>
      <c r="H55" s="3" t="inlineStr">
        <is>
          <t>NOT_TESTED</t>
        </is>
      </c>
      <c r="I55" s="3" t="inlineStr">
        <is>
          <t>NOT_TESTED</t>
        </is>
      </c>
      <c r="J55" s="3" t="inlineStr">
        <is>
          <t>NOT_TESTED</t>
        </is>
      </c>
      <c r="K55" s="3" t="inlineStr">
        <is>
          <t>NOT_TESTED</t>
        </is>
      </c>
      <c r="L55" s="3" t="inlineStr">
        <is>
          <t>NOT_TESTED</t>
        </is>
      </c>
      <c r="M55" s="3" t="inlineStr">
        <is>
          <t>NOT_TESTED</t>
        </is>
      </c>
      <c r="N55" s="6" t="inlineStr">
        <is>
          <t>Runtime error</t>
        </is>
      </c>
      <c r="O55" s="6" t="inlineStr">
        <is>
          <t>Runtime error</t>
        </is>
      </c>
      <c r="P55" s="6" t="inlineStr">
        <is>
          <t>Runtime error</t>
        </is>
      </c>
      <c r="Q55" s="6" t="inlineStr">
        <is>
          <t>Runtime error</t>
        </is>
      </c>
      <c r="R55" s="6" t="inlineStr">
        <is>
          <t>Runtime error</t>
        </is>
      </c>
      <c r="S55" s="6" t="inlineStr">
        <is>
          <t>Runtime error</t>
        </is>
      </c>
      <c r="T55" s="6" t="inlineStr">
        <is>
          <t>Runtime error</t>
        </is>
      </c>
      <c r="U55" s="6" t="inlineStr">
        <is>
          <t>Runtime error</t>
        </is>
      </c>
      <c r="V55" s="6" t="inlineStr">
        <is>
          <t>Runtime error</t>
        </is>
      </c>
      <c r="W55" s="6" t="inlineStr">
        <is>
          <t>Runtime error</t>
        </is>
      </c>
      <c r="X55" s="6" t="inlineStr">
        <is>
          <t>Runtime error</t>
        </is>
      </c>
      <c r="Y55" s="6" t="inlineStr">
        <is>
          <t>Runtime error</t>
        </is>
      </c>
      <c r="Z55" s="6" t="inlineStr">
        <is>
          <t>Runtime error</t>
        </is>
      </c>
      <c r="AA55" s="6" t="inlineStr">
        <is>
          <t>Runtime error</t>
        </is>
      </c>
      <c r="AB55" s="6" t="inlineStr">
        <is>
          <t>Runtime error</t>
        </is>
      </c>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inlineStr">
        <is>
          <t>KeyError</t>
        </is>
      </c>
      <c r="BN55" s="2" t="inlineStr">
        <is>
          <t>KeyError: 'rho_real'</t>
        </is>
      </c>
      <c r="BO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BP55" s="2" t="inlineStr">
        <is>
          <t>KeyError</t>
        </is>
      </c>
      <c r="BQ55" s="2" t="inlineStr">
        <is>
          <t>KeyError: 'rho_real'</t>
        </is>
      </c>
      <c r="BR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BS55" s="2" t="inlineStr">
        <is>
          <t>KeyError</t>
        </is>
      </c>
      <c r="BT55" s="2" t="inlineStr">
        <is>
          <t>KeyError: 'rho_real'</t>
        </is>
      </c>
      <c r="BU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BV55" s="2" t="inlineStr">
        <is>
          <t>KeyError</t>
        </is>
      </c>
      <c r="BW55" s="2" t="inlineStr">
        <is>
          <t>KeyError: 'rho_real'</t>
        </is>
      </c>
      <c r="BX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BY55" s="2" t="inlineStr">
        <is>
          <t>KeyError</t>
        </is>
      </c>
      <c r="BZ55" s="2" t="inlineStr">
        <is>
          <t>KeyError: 'rho_real'</t>
        </is>
      </c>
      <c r="CA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B55" s="2" t="inlineStr">
        <is>
          <t>KeyError</t>
        </is>
      </c>
      <c r="CC55" s="2" t="inlineStr">
        <is>
          <t>KeyError: 'rho_real'</t>
        </is>
      </c>
      <c r="CD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E55" s="2" t="inlineStr">
        <is>
          <t>KeyError</t>
        </is>
      </c>
      <c r="CF55" s="2" t="inlineStr">
        <is>
          <t>KeyError: 'rho_real'</t>
        </is>
      </c>
      <c r="CG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H55" s="2" t="inlineStr">
        <is>
          <t>KeyError</t>
        </is>
      </c>
      <c r="CI55" s="2" t="inlineStr">
        <is>
          <t>KeyError: 'rho_real'</t>
        </is>
      </c>
      <c r="CJ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K55" s="2" t="inlineStr">
        <is>
          <t>KeyError</t>
        </is>
      </c>
      <c r="CL55" s="2" t="inlineStr">
        <is>
          <t>KeyError: 'rho_real'</t>
        </is>
      </c>
      <c r="CM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N55" s="2" t="inlineStr">
        <is>
          <t>KeyError</t>
        </is>
      </c>
      <c r="CO55" s="2" t="inlineStr">
        <is>
          <t>KeyError: 'rho_real'</t>
        </is>
      </c>
      <c r="CP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Q55" s="2" t="inlineStr">
        <is>
          <t>KeyError</t>
        </is>
      </c>
      <c r="CR55" s="2" t="inlineStr">
        <is>
          <t>KeyError: 'rho_real'</t>
        </is>
      </c>
      <c r="CS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T55" s="2" t="inlineStr">
        <is>
          <t>KeyError</t>
        </is>
      </c>
      <c r="CU55" s="2" t="inlineStr">
        <is>
          <t>KeyError: 'rho_real'</t>
        </is>
      </c>
      <c r="CV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W55" s="2" t="inlineStr">
        <is>
          <t>KeyError</t>
        </is>
      </c>
      <c r="CX55" s="2" t="inlineStr">
        <is>
          <t>KeyError: 'rho_real'</t>
        </is>
      </c>
      <c r="CY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CZ55" s="2" t="inlineStr">
        <is>
          <t>KeyError</t>
        </is>
      </c>
      <c r="DA55" s="2" t="inlineStr">
        <is>
          <t>KeyError: 'rho_real'</t>
        </is>
      </c>
      <c r="DB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DC55" s="2" t="inlineStr">
        <is>
          <t>KeyError</t>
        </is>
      </c>
      <c r="DD55" s="2" t="inlineStr">
        <is>
          <t>KeyError: 'rho_real'</t>
        </is>
      </c>
      <c r="DE55" s="2"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row>
    <row r="56">
      <c r="A56" s="2" t="inlineStr">
        <is>
          <t>issue_877</t>
        </is>
      </c>
      <c r="B56" s="3" t="inlineStr">
        <is>
          <t>NOT_TESTED</t>
        </is>
      </c>
      <c r="C56" s="3" t="inlineStr">
        <is>
          <t>NOT_TESTED</t>
        </is>
      </c>
      <c r="D56" s="3" t="inlineStr">
        <is>
          <t>NOT_TESTED</t>
        </is>
      </c>
      <c r="E56" s="3" t="inlineStr">
        <is>
          <t>NOT_TESTED</t>
        </is>
      </c>
      <c r="F56" s="6" t="inlineStr">
        <is>
          <t>Runtime error</t>
        </is>
      </c>
      <c r="G56" s="6" t="inlineStr">
        <is>
          <t>Runtime error</t>
        </is>
      </c>
      <c r="H56" s="6" t="inlineStr">
        <is>
          <t>Runtime error</t>
        </is>
      </c>
      <c r="I56" s="6" t="inlineStr">
        <is>
          <t>Runtime error</t>
        </is>
      </c>
      <c r="J56" s="6" t="inlineStr">
        <is>
          <t>Runtime error</t>
        </is>
      </c>
      <c r="K56" s="6" t="inlineStr">
        <is>
          <t>Runtime error</t>
        </is>
      </c>
      <c r="L56" s="6" t="inlineStr">
        <is>
          <t>Runtime error</t>
        </is>
      </c>
      <c r="M56" s="6" t="inlineStr">
        <is>
          <t>Runtime error</t>
        </is>
      </c>
      <c r="N56" s="3" t="inlineStr">
        <is>
          <t>NOT_TESTED</t>
        </is>
      </c>
      <c r="O56" s="3" t="inlineStr">
        <is>
          <t>NOT_TESTED</t>
        </is>
      </c>
      <c r="P56" s="3" t="inlineStr">
        <is>
          <t>NOT_TESTED</t>
        </is>
      </c>
      <c r="Q56" s="3" t="inlineStr">
        <is>
          <t>NOT_TESTED</t>
        </is>
      </c>
      <c r="R56" s="3" t="inlineStr">
        <is>
          <t>NOT_TESTED</t>
        </is>
      </c>
      <c r="S56" s="3" t="inlineStr">
        <is>
          <t>NOT_TESTED</t>
        </is>
      </c>
      <c r="T56" s="3" t="inlineStr">
        <is>
          <t>NOT_TESTED</t>
        </is>
      </c>
      <c r="U56" s="3" t="inlineStr">
        <is>
          <t>NOT_TESTED</t>
        </is>
      </c>
      <c r="V56" s="3" t="inlineStr">
        <is>
          <t>NOT_TESTED</t>
        </is>
      </c>
      <c r="W56" s="3" t="inlineStr">
        <is>
          <t>NOT_TESTED</t>
        </is>
      </c>
      <c r="X56" s="3" t="inlineStr">
        <is>
          <t>NOT_TESTED</t>
        </is>
      </c>
      <c r="Y56" s="3" t="inlineStr">
        <is>
          <t>NOT_TESTED</t>
        </is>
      </c>
      <c r="Z56" s="3" t="inlineStr">
        <is>
          <t>NOT_TESTED</t>
        </is>
      </c>
      <c r="AA56" s="3" t="inlineStr">
        <is>
          <t>NOT_TESTED</t>
        </is>
      </c>
      <c r="AB56" s="3" t="inlineStr">
        <is>
          <t>NOT_TESTED</t>
        </is>
      </c>
      <c r="AC56" s="2" t="n"/>
      <c r="AD56" s="2" t="n"/>
      <c r="AE56" s="2" t="n"/>
      <c r="AF56" s="2" t="n"/>
      <c r="AG56" s="2" t="n"/>
      <c r="AH56" s="2" t="n"/>
      <c r="AI56" s="2" t="n"/>
      <c r="AJ56" s="2" t="n"/>
      <c r="AK56" s="2" t="n"/>
      <c r="AL56" s="2" t="n"/>
      <c r="AM56" s="2" t="n"/>
      <c r="AN56" s="2" t="n"/>
      <c r="AO56" s="2" t="inlineStr">
        <is>
          <t>ModuleNotFoundError</t>
        </is>
      </c>
      <c r="AP56" s="2" t="inlineStr">
        <is>
          <t>ModuleNotFoundError: No module named 'qiskit_ibm_runtime'</t>
        </is>
      </c>
      <c r="AQ56" s="2"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AR56" s="2" t="inlineStr">
        <is>
          <t>ModuleNotFoundError</t>
        </is>
      </c>
      <c r="AS56" s="2" t="inlineStr">
        <is>
          <t>ModuleNotFoundError: No module named 'qiskit_ibm_runtime'</t>
        </is>
      </c>
      <c r="AT56" s="2"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AU56" s="2" t="inlineStr">
        <is>
          <t>ModuleNotFoundError</t>
        </is>
      </c>
      <c r="AV56" s="2" t="inlineStr">
        <is>
          <t>ModuleNotFoundError: No module named 'qiskit_ibm_runtime'</t>
        </is>
      </c>
      <c r="AW56" s="2"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AX56" s="2" t="inlineStr">
        <is>
          <t>ModuleNotFoundError</t>
        </is>
      </c>
      <c r="AY56" s="2" t="inlineStr">
        <is>
          <t>ModuleNotFoundError: No module named 'qiskit_ibm_runtime'</t>
        </is>
      </c>
      <c r="AZ56" s="2"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BA56" s="2" t="inlineStr">
        <is>
          <t>ModuleNotFoundError</t>
        </is>
      </c>
      <c r="BB56" s="2" t="inlineStr">
        <is>
          <t>ModuleNotFoundError: No module named 'qiskit_ibm_runtime'</t>
        </is>
      </c>
      <c r="BC56" s="2"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BD56" s="2" t="inlineStr">
        <is>
          <t>ModuleNotFoundError</t>
        </is>
      </c>
      <c r="BE56" s="2" t="inlineStr">
        <is>
          <t>ModuleNotFoundError: No module named 'qiskit_ibm_runtime'</t>
        </is>
      </c>
      <c r="BF56" s="2"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BG56" s="2" t="inlineStr">
        <is>
          <t>ModuleNotFoundError</t>
        </is>
      </c>
      <c r="BH56" s="2" t="inlineStr">
        <is>
          <t>ModuleNotFoundError: No module named 'qiskit_ibm_runtime'</t>
        </is>
      </c>
      <c r="BI56" s="2"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BJ56" s="2" t="inlineStr">
        <is>
          <t>ModuleNotFoundError</t>
        </is>
      </c>
      <c r="BK56" s="2" t="inlineStr">
        <is>
          <t>ModuleNotFoundError: No module named 'qiskit_ibm_runtime'</t>
        </is>
      </c>
      <c r="BL56" s="2"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2" t="n"/>
      <c r="CU56" s="2" t="n"/>
      <c r="CV56" s="2" t="n"/>
      <c r="CW56" s="2" t="n"/>
      <c r="CX56" s="2" t="n"/>
      <c r="CY56" s="2" t="n"/>
      <c r="CZ56" s="2" t="n"/>
      <c r="DA56" s="2" t="n"/>
      <c r="DB56" s="2" t="n"/>
      <c r="DC56" s="2" t="n"/>
      <c r="DD56" s="2" t="n"/>
      <c r="DE56" s="2" t="n"/>
    </row>
    <row r="57">
      <c r="A57" s="2" t="inlineStr">
        <is>
          <t>issue_886</t>
        </is>
      </c>
      <c r="B57" s="3" t="inlineStr">
        <is>
          <t>NOT_TESTED</t>
        </is>
      </c>
      <c r="C57" s="3" t="inlineStr">
        <is>
          <t>NOT_TESTED</t>
        </is>
      </c>
      <c r="D57" s="3" t="inlineStr">
        <is>
          <t>NOT_TESTED</t>
        </is>
      </c>
      <c r="E57" s="3" t="inlineStr">
        <is>
          <t>NOT_TESTED</t>
        </is>
      </c>
      <c r="F57" s="4" t="inlineStr">
        <is>
          <t>Passed on test</t>
        </is>
      </c>
      <c r="G57" s="4" t="inlineStr">
        <is>
          <t>Passed on test</t>
        </is>
      </c>
      <c r="H57" s="3" t="inlineStr">
        <is>
          <t>NOT_TESTED</t>
        </is>
      </c>
      <c r="I57" s="3" t="inlineStr">
        <is>
          <t>NOT_TESTED</t>
        </is>
      </c>
      <c r="J57" s="3" t="inlineStr">
        <is>
          <t>NOT_TESTED</t>
        </is>
      </c>
      <c r="K57" s="3" t="inlineStr">
        <is>
          <t>NOT_TESTED</t>
        </is>
      </c>
      <c r="L57" s="3" t="inlineStr">
        <is>
          <t>NOT_TESTED</t>
        </is>
      </c>
      <c r="M57" s="3" t="inlineStr">
        <is>
          <t>NOT_TESTED</t>
        </is>
      </c>
      <c r="N57" s="3" t="inlineStr">
        <is>
          <t>NOT_TESTED</t>
        </is>
      </c>
      <c r="O57" s="3" t="inlineStr">
        <is>
          <t>NOT_TESTED</t>
        </is>
      </c>
      <c r="P57" s="3" t="inlineStr">
        <is>
          <t>NOT_TESTED</t>
        </is>
      </c>
      <c r="Q57" s="3" t="inlineStr">
        <is>
          <t>NOT_TESTED</t>
        </is>
      </c>
      <c r="R57" s="3" t="inlineStr">
        <is>
          <t>NOT_TESTED</t>
        </is>
      </c>
      <c r="S57" s="3" t="inlineStr">
        <is>
          <t>NOT_TESTED</t>
        </is>
      </c>
      <c r="T57" s="3" t="inlineStr">
        <is>
          <t>NOT_TESTED</t>
        </is>
      </c>
      <c r="U57" s="3" t="inlineStr">
        <is>
          <t>NOT_TESTED</t>
        </is>
      </c>
      <c r="V57" s="3" t="inlineStr">
        <is>
          <t>NOT_TESTED</t>
        </is>
      </c>
      <c r="W57" s="3" t="inlineStr">
        <is>
          <t>NOT_TESTED</t>
        </is>
      </c>
      <c r="X57" s="3" t="inlineStr">
        <is>
          <t>NOT_TESTED</t>
        </is>
      </c>
      <c r="Y57" s="3" t="inlineStr">
        <is>
          <t>NOT_TESTED</t>
        </is>
      </c>
      <c r="Z57" s="3" t="inlineStr">
        <is>
          <t>NOT_TESTED</t>
        </is>
      </c>
      <c r="AA57" s="3" t="inlineStr">
        <is>
          <t>NOT_TESTED</t>
        </is>
      </c>
      <c r="AB57" s="3" t="inlineStr">
        <is>
          <t>NOT_TESTED</t>
        </is>
      </c>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c r="CV57" s="2" t="n"/>
      <c r="CW57" s="2" t="n"/>
      <c r="CX57" s="2" t="n"/>
      <c r="CY57" s="2" t="n"/>
      <c r="CZ57" s="2" t="n"/>
      <c r="DA57" s="2" t="n"/>
      <c r="DB57" s="2" t="n"/>
      <c r="DC57" s="2" t="n"/>
      <c r="DD57" s="2" t="n"/>
      <c r="DE57" s="2" t="n"/>
    </row>
    <row r="58">
      <c r="A58" s="2" t="inlineStr">
        <is>
          <t>issue_889</t>
        </is>
      </c>
      <c r="B58" s="6" t="inlineStr">
        <is>
          <t>Runtime error</t>
        </is>
      </c>
      <c r="C58" s="6" t="inlineStr">
        <is>
          <t>Runtime error</t>
        </is>
      </c>
      <c r="D58" s="6" t="inlineStr">
        <is>
          <t>Runtime error</t>
        </is>
      </c>
      <c r="E58" s="6" t="inlineStr">
        <is>
          <t>Runtime error</t>
        </is>
      </c>
      <c r="F58" s="5" t="inlineStr">
        <is>
          <t>Failed on test</t>
        </is>
      </c>
      <c r="G58" s="5" t="inlineStr">
        <is>
          <t>Failed on test</t>
        </is>
      </c>
      <c r="H58" s="5" t="inlineStr">
        <is>
          <t>Failed on test</t>
        </is>
      </c>
      <c r="I58" s="5" t="inlineStr">
        <is>
          <t>Failed on test</t>
        </is>
      </c>
      <c r="J58" s="5" t="inlineStr">
        <is>
          <t>Failed on test</t>
        </is>
      </c>
      <c r="K58" s="5" t="inlineStr">
        <is>
          <t>Failed on test</t>
        </is>
      </c>
      <c r="L58" s="5" t="inlineStr">
        <is>
          <t>Failed on test</t>
        </is>
      </c>
      <c r="M58" s="5" t="inlineStr">
        <is>
          <t>Failed on test</t>
        </is>
      </c>
      <c r="N58" s="3" t="inlineStr">
        <is>
          <t>NOT_TESTED</t>
        </is>
      </c>
      <c r="O58" s="3" t="inlineStr">
        <is>
          <t>NOT_TESTED</t>
        </is>
      </c>
      <c r="P58" s="3" t="inlineStr">
        <is>
          <t>NOT_TESTED</t>
        </is>
      </c>
      <c r="Q58" s="3" t="inlineStr">
        <is>
          <t>NOT_TESTED</t>
        </is>
      </c>
      <c r="R58" s="3" t="inlineStr">
        <is>
          <t>NOT_TESTED</t>
        </is>
      </c>
      <c r="S58" s="3" t="inlineStr">
        <is>
          <t>NOT_TESTED</t>
        </is>
      </c>
      <c r="T58" s="3" t="inlineStr">
        <is>
          <t>NOT_TESTED</t>
        </is>
      </c>
      <c r="U58" s="3" t="inlineStr">
        <is>
          <t>NOT_TESTED</t>
        </is>
      </c>
      <c r="V58" s="3" t="inlineStr">
        <is>
          <t>NOT_TESTED</t>
        </is>
      </c>
      <c r="W58" s="3" t="inlineStr">
        <is>
          <t>NOT_TESTED</t>
        </is>
      </c>
      <c r="X58" s="3" t="inlineStr">
        <is>
          <t>NOT_TESTED</t>
        </is>
      </c>
      <c r="Y58" s="3" t="inlineStr">
        <is>
          <t>NOT_TESTED</t>
        </is>
      </c>
      <c r="Z58" s="3" t="inlineStr">
        <is>
          <t>NOT_TESTED</t>
        </is>
      </c>
      <c r="AA58" s="3" t="inlineStr">
        <is>
          <t>NOT_TESTED</t>
        </is>
      </c>
      <c r="AB58" s="3" t="inlineStr">
        <is>
          <t>NOT_TESTED</t>
        </is>
      </c>
      <c r="AC58" s="2" t="inlineStr">
        <is>
          <t>ImportError</t>
        </is>
      </c>
      <c r="AD58" s="2" t="inlineStr">
        <is>
          <t>ImportError: cannot import name 'PauliEvolutionGate' from 'qiskit.circuit.library' (C:\qiskit_envs\q0250\lib\site-packages\qiskit\circuit\library\__init__.py)</t>
        </is>
      </c>
      <c r="AE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AF58" s="2" t="inlineStr">
        <is>
          <t>ImportError</t>
        </is>
      </c>
      <c r="AG58" s="2" t="inlineStr">
        <is>
          <t>ImportError: cannot import name 'PauliEvolutionGate' from 'qiskit.circuit.library' (C:\qiskit_envs\q0251\lib\site-packages\qiskit\circuit\library\__init__.py)</t>
        </is>
      </c>
      <c r="AH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AI58" s="2" t="inlineStr">
        <is>
          <t>ImportError</t>
        </is>
      </c>
      <c r="AJ58" s="2" t="inlineStr">
        <is>
          <t>ImportError: cannot import name 'PauliEvolutionGate' from 'qiskit.circuit.library' (C:\qiskit_envs\q0252\lib\site-packages\qiskit\circuit\library\__init__.py)</t>
        </is>
      </c>
      <c r="AK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AL58" s="2" t="inlineStr">
        <is>
          <t>ImportError</t>
        </is>
      </c>
      <c r="AM58" s="2" t="inlineStr">
        <is>
          <t>ImportError: cannot import name 'PauliEvolutionGate' from 'qiskit.circuit.library' (C:\qiskit_envs\q0253\lib\site-packages\qiskit\circuit\library\__init__.py)</t>
        </is>
      </c>
      <c r="AN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AO58" s="2" t="inlineStr">
        <is>
          <t>AssertionError</t>
        </is>
      </c>
      <c r="AP58" s="2" t="inlineStr">
        <is>
          <t>AssertionError:</t>
        </is>
      </c>
      <c r="AQ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AR58" s="2" t="inlineStr">
        <is>
          <t>AssertionError</t>
        </is>
      </c>
      <c r="AS58" s="2" t="inlineStr">
        <is>
          <t>AssertionError:</t>
        </is>
      </c>
      <c r="AT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AU58" s="2" t="inlineStr">
        <is>
          <t>AssertionError</t>
        </is>
      </c>
      <c r="AV58" s="2" t="inlineStr">
        <is>
          <t>AssertionError:</t>
        </is>
      </c>
      <c r="AW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AX58" s="2" t="inlineStr">
        <is>
          <t>AssertionError</t>
        </is>
      </c>
      <c r="AY58" s="2" t="inlineStr">
        <is>
          <t>AssertionError:</t>
        </is>
      </c>
      <c r="AZ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BA58" s="2" t="inlineStr">
        <is>
          <t>AssertionError</t>
        </is>
      </c>
      <c r="BB58" s="2" t="inlineStr">
        <is>
          <t>AssertionError:</t>
        </is>
      </c>
      <c r="BC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BD58" s="2" t="inlineStr">
        <is>
          <t>AssertionError</t>
        </is>
      </c>
      <c r="BE58" s="2" t="inlineStr">
        <is>
          <t>AssertionError:</t>
        </is>
      </c>
      <c r="BF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BG58" s="2" t="inlineStr">
        <is>
          <t>AssertionError</t>
        </is>
      </c>
      <c r="BH58" s="2" t="inlineStr">
        <is>
          <t>AssertionError:</t>
        </is>
      </c>
      <c r="BI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BJ58" s="2" t="inlineStr">
        <is>
          <t>AssertionError</t>
        </is>
      </c>
      <c r="BK58" s="2" t="inlineStr">
        <is>
          <t>AssertionError:</t>
        </is>
      </c>
      <c r="BL58" s="2"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2" t="n"/>
      <c r="CV58" s="2" t="n"/>
      <c r="CW58" s="2" t="n"/>
      <c r="CX58" s="2" t="n"/>
      <c r="CY58" s="2" t="n"/>
      <c r="CZ58" s="2" t="n"/>
      <c r="DA58" s="2" t="n"/>
      <c r="DB58" s="2" t="n"/>
      <c r="DC58" s="2" t="n"/>
      <c r="DD58" s="2" t="n"/>
      <c r="DE58" s="2" t="n"/>
    </row>
    <row r="59">
      <c r="A59" s="2" t="inlineStr">
        <is>
          <t>issue_911</t>
        </is>
      </c>
      <c r="B59" s="3" t="inlineStr">
        <is>
          <t>NOT_TESTED</t>
        </is>
      </c>
      <c r="C59" s="3" t="inlineStr">
        <is>
          <t>NOT_TESTED</t>
        </is>
      </c>
      <c r="D59" s="3" t="inlineStr">
        <is>
          <t>NOT_TESTED</t>
        </is>
      </c>
      <c r="E59" s="3" t="inlineStr">
        <is>
          <t>NOT_TESTED</t>
        </is>
      </c>
      <c r="F59" s="5" t="inlineStr">
        <is>
          <t>Failed on test</t>
        </is>
      </c>
      <c r="G59" s="5" t="inlineStr">
        <is>
          <t>Failed on test</t>
        </is>
      </c>
      <c r="H59" s="5" t="inlineStr">
        <is>
          <t>Failed on test</t>
        </is>
      </c>
      <c r="I59" s="5" t="inlineStr">
        <is>
          <t>Failed on test</t>
        </is>
      </c>
      <c r="J59" s="5" t="inlineStr">
        <is>
          <t>Failed on test</t>
        </is>
      </c>
      <c r="K59" s="5" t="inlineStr">
        <is>
          <t>Failed on test</t>
        </is>
      </c>
      <c r="L59" s="5" t="inlineStr">
        <is>
          <t>Failed on test</t>
        </is>
      </c>
      <c r="M59" s="5" t="inlineStr">
        <is>
          <t>Failed on test</t>
        </is>
      </c>
      <c r="N59" s="5" t="inlineStr">
        <is>
          <t>Failed on test</t>
        </is>
      </c>
      <c r="O59" s="5" t="inlineStr">
        <is>
          <t>Failed on test</t>
        </is>
      </c>
      <c r="P59" s="5" t="inlineStr">
        <is>
          <t>Failed on test</t>
        </is>
      </c>
      <c r="Q59" s="5" t="inlineStr">
        <is>
          <t>Failed on test</t>
        </is>
      </c>
      <c r="R59" s="5" t="inlineStr">
        <is>
          <t>Failed on test</t>
        </is>
      </c>
      <c r="S59" s="5" t="inlineStr">
        <is>
          <t>Failed on test</t>
        </is>
      </c>
      <c r="T59" s="5" t="inlineStr">
        <is>
          <t>Failed on test</t>
        </is>
      </c>
      <c r="U59" s="5" t="inlineStr">
        <is>
          <t>Failed on test</t>
        </is>
      </c>
      <c r="V59" s="5" t="inlineStr">
        <is>
          <t>Failed on test</t>
        </is>
      </c>
      <c r="W59" s="5" t="inlineStr">
        <is>
          <t>Failed on test</t>
        </is>
      </c>
      <c r="X59" s="5" t="inlineStr">
        <is>
          <t>Failed on test</t>
        </is>
      </c>
      <c r="Y59" s="5" t="inlineStr">
        <is>
          <t>Failed on test</t>
        </is>
      </c>
      <c r="Z59" s="5" t="inlineStr">
        <is>
          <t>Failed on test</t>
        </is>
      </c>
      <c r="AA59" s="5" t="inlineStr">
        <is>
          <t>Failed on test</t>
        </is>
      </c>
      <c r="AB59" s="5" t="inlineStr">
        <is>
          <t>Failed on test</t>
        </is>
      </c>
      <c r="AC59" s="2" t="n"/>
      <c r="AD59" s="2" t="n"/>
      <c r="AE59" s="2" t="n"/>
      <c r="AF59" s="2" t="n"/>
      <c r="AG59" s="2" t="n"/>
      <c r="AH59" s="2" t="n"/>
      <c r="AI59" s="2" t="n"/>
      <c r="AJ59" s="2" t="n"/>
      <c r="AK59" s="2" t="n"/>
      <c r="AL59" s="2" t="n"/>
      <c r="AM59" s="2" t="n"/>
      <c r="AN59" s="2" t="n"/>
      <c r="AO59" s="2" t="inlineStr">
        <is>
          <t>AssertionError</t>
        </is>
      </c>
      <c r="AP59" s="2" t="inlineStr">
        <is>
          <t>AssertionError: Lists differ: [] != [1, 2, 0]</t>
        </is>
      </c>
      <c r="AQ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AR59" s="2" t="inlineStr">
        <is>
          <t>AssertionError</t>
        </is>
      </c>
      <c r="AS59" s="2" t="inlineStr">
        <is>
          <t>AssertionError: Lists differ: [] != [1, 2, 0]</t>
        </is>
      </c>
      <c r="AT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AU59" s="2" t="inlineStr">
        <is>
          <t>AssertionError</t>
        </is>
      </c>
      <c r="AV59" s="2" t="inlineStr">
        <is>
          <t>AssertionError: Lists differ: [] != [1, 2, 0]</t>
        </is>
      </c>
      <c r="AW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AX59" s="2" t="inlineStr">
        <is>
          <t>AssertionError</t>
        </is>
      </c>
      <c r="AY59" s="2" t="inlineStr">
        <is>
          <t>AssertionError: Lists differ: [] != [1, 2, 0]</t>
        </is>
      </c>
      <c r="AZ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A59" s="2" t="inlineStr">
        <is>
          <t>AssertionError</t>
        </is>
      </c>
      <c r="BB59" s="2" t="inlineStr">
        <is>
          <t>AssertionError: Lists differ: [] != [1, 2, 0]</t>
        </is>
      </c>
      <c r="BC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D59" s="2" t="inlineStr">
        <is>
          <t>AssertionError</t>
        </is>
      </c>
      <c r="BE59" s="2" t="inlineStr">
        <is>
          <t>AssertionError: Lists differ: [] != [1, 2, 0]</t>
        </is>
      </c>
      <c r="BF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G59" s="2" t="inlineStr">
        <is>
          <t>AssertionError</t>
        </is>
      </c>
      <c r="BH59" s="2" t="inlineStr">
        <is>
          <t>AssertionError: Lists differ: [] != [1, 2, 0]</t>
        </is>
      </c>
      <c r="BI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J59" s="2" t="inlineStr">
        <is>
          <t>AssertionError</t>
        </is>
      </c>
      <c r="BK59" s="2" t="inlineStr">
        <is>
          <t>AssertionError: Lists differ: [] != [1, 2, 0]</t>
        </is>
      </c>
      <c r="BL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M59" s="2" t="inlineStr">
        <is>
          <t>AssertionError</t>
        </is>
      </c>
      <c r="BN59" s="2" t="inlineStr">
        <is>
          <t>AssertionError: Lists differ: [] != [1, 2, 0]</t>
        </is>
      </c>
      <c r="BO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P59" s="2" t="inlineStr">
        <is>
          <t>AssertionError</t>
        </is>
      </c>
      <c r="BQ59" s="2" t="inlineStr">
        <is>
          <t>AssertionError: Lists differ: [] != [1, 2, 0]</t>
        </is>
      </c>
      <c r="BR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S59" s="2" t="inlineStr">
        <is>
          <t>AssertionError</t>
        </is>
      </c>
      <c r="BT59" s="2" t="inlineStr">
        <is>
          <t>AssertionError: Lists differ: [] != [1, 2, 0]</t>
        </is>
      </c>
      <c r="BU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V59" s="2" t="inlineStr">
        <is>
          <t>AssertionError</t>
        </is>
      </c>
      <c r="BW59" s="2" t="inlineStr">
        <is>
          <t>AssertionError: Lists differ: [] != [1, 2, 0]</t>
        </is>
      </c>
      <c r="BX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BY59" s="2" t="inlineStr">
        <is>
          <t>AssertionError</t>
        </is>
      </c>
      <c r="BZ59" s="2" t="inlineStr">
        <is>
          <t>AssertionError: Lists differ: [] != [1, 2, 0]</t>
        </is>
      </c>
      <c r="CA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B59" s="2" t="inlineStr">
        <is>
          <t>AssertionError</t>
        </is>
      </c>
      <c r="CC59" s="2" t="inlineStr">
        <is>
          <t>AssertionError: Lists differ: [] != [1, 2, 0]</t>
        </is>
      </c>
      <c r="CD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E59" s="2" t="inlineStr">
        <is>
          <t>AssertionError</t>
        </is>
      </c>
      <c r="CF59" s="2" t="inlineStr">
        <is>
          <t>AssertionError: Lists differ: [] != [0, 0, 0, 0, 0, 1, 1, 0, 1, 0, 1, 0, 1, 0, 0, 0, 0, 0, 1, 1, 2]</t>
        </is>
      </c>
      <c r="CG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H59" s="2" t="inlineStr">
        <is>
          <t>AssertionError</t>
        </is>
      </c>
      <c r="CI59" s="2" t="inlineStr">
        <is>
          <t>AssertionError: Lists differ: [] != [0, 0, 0, 0, 0, 1, 1, 0, 1, 0, 1, 0, 1, 0, 0, 0, 0, 0, 1, 1, 2]</t>
        </is>
      </c>
      <c r="CJ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K59" s="2" t="inlineStr">
        <is>
          <t>AssertionError</t>
        </is>
      </c>
      <c r="CL59" s="2" t="inlineStr">
        <is>
          <t>AssertionError: Lists differ: [] != [0, 0, 0, 0, 0, 1, 1, 0, 1, 0, 1, 0, 1, 0, 0, 0, 0, 0, 1, 1, 2]</t>
        </is>
      </c>
      <c r="CM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N59" s="2" t="inlineStr">
        <is>
          <t>AssertionError</t>
        </is>
      </c>
      <c r="CO59" s="2" t="inlineStr">
        <is>
          <t>AssertionError: Lists differ: [] != [0, 0, 0, 0, 0, 1, 1, 0, 1, 0, 1, 0, 1, 0, 0, 0, 0, 0, 1, 1, 2]</t>
        </is>
      </c>
      <c r="CP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Q59" s="2" t="inlineStr">
        <is>
          <t>AssertionError</t>
        </is>
      </c>
      <c r="CR59" s="2" t="inlineStr">
        <is>
          <t>AssertionError: Lists differ: [] != [0, 0, 0, 0, 0, 1, 1, 0, 1, 0, 1, 0, 1, 0, 0, 0, 0, 0, 1, 1, 2]</t>
        </is>
      </c>
      <c r="CS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T59" s="2" t="inlineStr">
        <is>
          <t>AssertionError</t>
        </is>
      </c>
      <c r="CU59" s="2" t="inlineStr">
        <is>
          <t>AssertionError: Lists differ: [] != [0, 0, 0, 0, 0, 1, 1, 0, 1, 0, 1, 0, 1, 0, 0, 0, 0, 0, 1, 1, 2]</t>
        </is>
      </c>
      <c r="CV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W59" s="2" t="inlineStr">
        <is>
          <t>AssertionError</t>
        </is>
      </c>
      <c r="CX59" s="2" t="inlineStr">
        <is>
          <t>AssertionError: Lists differ: [] != [0, 0, 0, 0, 0, 1, 1, 0, 1, 0, 1, 0, 1, 0, 0, 0, 0, 0, 1, 1, 2]</t>
        </is>
      </c>
      <c r="CY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CZ59" s="2" t="inlineStr">
        <is>
          <t>AssertionError</t>
        </is>
      </c>
      <c r="DA59" s="2" t="inlineStr">
        <is>
          <t>AssertionError: Lists differ: [] != [0, 0, 0, 0, 0, 1, 1, 0, 1, 0, 1, 0, 1, 0, 0, 0, 0, 0, 1, 1, 2]</t>
        </is>
      </c>
      <c r="DB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DC59" s="2" t="inlineStr">
        <is>
          <t>AssertionError</t>
        </is>
      </c>
      <c r="DD59" s="2" t="inlineStr">
        <is>
          <t>AssertionError: Lists differ: [] != [0, 0, 0, 0, 0, 1, 1, 0, 1, 0, 1, 0, 1, 0, 0, 0, 0, 0, 1, 1, 2]</t>
        </is>
      </c>
      <c r="DE59" s="2"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row>
    <row r="60">
      <c r="A60" s="2" t="inlineStr">
        <is>
          <t>issue_925</t>
        </is>
      </c>
      <c r="B60" s="4" t="inlineStr">
        <is>
          <t>Passed on test</t>
        </is>
      </c>
      <c r="C60" s="4" t="inlineStr">
        <is>
          <t>Passed on test</t>
        </is>
      </c>
      <c r="D60" s="4" t="inlineStr">
        <is>
          <t>Passed on test</t>
        </is>
      </c>
      <c r="E60" s="4" t="inlineStr">
        <is>
          <t>Passed on test</t>
        </is>
      </c>
      <c r="F60" s="3" t="inlineStr">
        <is>
          <t>NOT_TESTED</t>
        </is>
      </c>
      <c r="G60" s="3" t="inlineStr">
        <is>
          <t>NOT_TESTED</t>
        </is>
      </c>
      <c r="H60" s="3" t="inlineStr">
        <is>
          <t>NOT_TESTED</t>
        </is>
      </c>
      <c r="I60" s="3" t="inlineStr">
        <is>
          <t>NOT_TESTED</t>
        </is>
      </c>
      <c r="J60" s="3" t="inlineStr">
        <is>
          <t>NOT_TESTED</t>
        </is>
      </c>
      <c r="K60" s="3" t="inlineStr">
        <is>
          <t>NOT_TESTED</t>
        </is>
      </c>
      <c r="L60" s="3" t="inlineStr">
        <is>
          <t>NOT_TESTED</t>
        </is>
      </c>
      <c r="M60" s="3" t="inlineStr">
        <is>
          <t>NOT_TESTED</t>
        </is>
      </c>
      <c r="N60" s="3" t="inlineStr">
        <is>
          <t>NOT_TESTED</t>
        </is>
      </c>
      <c r="O60" s="3" t="inlineStr">
        <is>
          <t>NOT_TESTED</t>
        </is>
      </c>
      <c r="P60" s="3" t="inlineStr">
        <is>
          <t>NOT_TESTED</t>
        </is>
      </c>
      <c r="Q60" s="3" t="inlineStr">
        <is>
          <t>NOT_TESTED</t>
        </is>
      </c>
      <c r="R60" s="3" t="inlineStr">
        <is>
          <t>NOT_TESTED</t>
        </is>
      </c>
      <c r="S60" s="3" t="inlineStr">
        <is>
          <t>NOT_TESTED</t>
        </is>
      </c>
      <c r="T60" s="3" t="inlineStr">
        <is>
          <t>NOT_TESTED</t>
        </is>
      </c>
      <c r="U60" s="3" t="inlineStr">
        <is>
          <t>NOT_TESTED</t>
        </is>
      </c>
      <c r="V60" s="3" t="inlineStr">
        <is>
          <t>NOT_TESTED</t>
        </is>
      </c>
      <c r="W60" s="3" t="inlineStr">
        <is>
          <t>NOT_TESTED</t>
        </is>
      </c>
      <c r="X60" s="3" t="inlineStr">
        <is>
          <t>NOT_TESTED</t>
        </is>
      </c>
      <c r="Y60" s="3" t="inlineStr">
        <is>
          <t>NOT_TESTED</t>
        </is>
      </c>
      <c r="Z60" s="3" t="inlineStr">
        <is>
          <t>NOT_TESTED</t>
        </is>
      </c>
      <c r="AA60" s="3" t="inlineStr">
        <is>
          <t>NOT_TESTED</t>
        </is>
      </c>
      <c r="AB60" s="3" t="inlineStr">
        <is>
          <t>NOT_TESTED</t>
        </is>
      </c>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2" t="n"/>
      <c r="CV60" s="2" t="n"/>
      <c r="CW60" s="2" t="n"/>
      <c r="CX60" s="2" t="n"/>
      <c r="CY60" s="2" t="n"/>
      <c r="CZ60" s="2" t="n"/>
      <c r="DA60" s="2" t="n"/>
      <c r="DB60" s="2" t="n"/>
      <c r="DC60" s="2" t="n"/>
      <c r="DD60" s="2" t="n"/>
      <c r="DE60" s="2" t="n"/>
    </row>
    <row r="61">
      <c r="A61" s="2" t="inlineStr">
        <is>
          <t>issue_944</t>
        </is>
      </c>
      <c r="B61" s="4" t="inlineStr">
        <is>
          <t>Passed on test</t>
        </is>
      </c>
      <c r="C61" s="4" t="inlineStr">
        <is>
          <t>Passed on test</t>
        </is>
      </c>
      <c r="D61" s="4" t="inlineStr">
        <is>
          <t>Passed on test</t>
        </is>
      </c>
      <c r="E61" s="4" t="inlineStr">
        <is>
          <t>Passed on test</t>
        </is>
      </c>
      <c r="F61" s="4" t="inlineStr">
        <is>
          <t>Passed on test</t>
        </is>
      </c>
      <c r="G61" s="4" t="inlineStr">
        <is>
          <t>Passed on test</t>
        </is>
      </c>
      <c r="H61" s="4" t="inlineStr">
        <is>
          <t>Passed on test</t>
        </is>
      </c>
      <c r="I61" s="4" t="inlineStr">
        <is>
          <t>Passed on test</t>
        </is>
      </c>
      <c r="J61" s="4" t="inlineStr">
        <is>
          <t>Passed on test</t>
        </is>
      </c>
      <c r="K61" s="4" t="inlineStr">
        <is>
          <t>Passed on test</t>
        </is>
      </c>
      <c r="L61" s="4" t="inlineStr">
        <is>
          <t>Passed on test</t>
        </is>
      </c>
      <c r="M61" s="4" t="inlineStr">
        <is>
          <t>Passed on test</t>
        </is>
      </c>
      <c r="N61" s="3" t="inlineStr">
        <is>
          <t>NOT_TESTED</t>
        </is>
      </c>
      <c r="O61" s="3" t="inlineStr">
        <is>
          <t>NOT_TESTED</t>
        </is>
      </c>
      <c r="P61" s="3" t="inlineStr">
        <is>
          <t>NOT_TESTED</t>
        </is>
      </c>
      <c r="Q61" s="3" t="inlineStr">
        <is>
          <t>NOT_TESTED</t>
        </is>
      </c>
      <c r="R61" s="3" t="inlineStr">
        <is>
          <t>NOT_TESTED</t>
        </is>
      </c>
      <c r="S61" s="3" t="inlineStr">
        <is>
          <t>NOT_TESTED</t>
        </is>
      </c>
      <c r="T61" s="3" t="inlineStr">
        <is>
          <t>NOT_TESTED</t>
        </is>
      </c>
      <c r="U61" s="3" t="inlineStr">
        <is>
          <t>NOT_TESTED</t>
        </is>
      </c>
      <c r="V61" s="3" t="inlineStr">
        <is>
          <t>NOT_TESTED</t>
        </is>
      </c>
      <c r="W61" s="3" t="inlineStr">
        <is>
          <t>NOT_TESTED</t>
        </is>
      </c>
      <c r="X61" s="3" t="inlineStr">
        <is>
          <t>NOT_TESTED</t>
        </is>
      </c>
      <c r="Y61" s="3" t="inlineStr">
        <is>
          <t>NOT_TESTED</t>
        </is>
      </c>
      <c r="Z61" s="3" t="inlineStr">
        <is>
          <t>NOT_TESTED</t>
        </is>
      </c>
      <c r="AA61" s="3" t="inlineStr">
        <is>
          <t>NOT_TESTED</t>
        </is>
      </c>
      <c r="AB61" s="3" t="inlineStr">
        <is>
          <t>NOT_TESTED</t>
        </is>
      </c>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2" t="n"/>
      <c r="BM61" s="2" t="n"/>
      <c r="BN61" s="2" t="n"/>
      <c r="BO61" s="2" t="n"/>
      <c r="BP61" s="2" t="n"/>
      <c r="BQ61" s="2" t="n"/>
      <c r="BR61" s="2" t="n"/>
      <c r="BS61" s="2" t="n"/>
      <c r="BT61" s="2" t="n"/>
      <c r="BU61" s="2" t="n"/>
      <c r="BV61" s="2" t="n"/>
      <c r="BW61" s="2" t="n"/>
      <c r="BX61" s="2" t="n"/>
      <c r="BY61" s="2" t="n"/>
      <c r="BZ61" s="2" t="n"/>
      <c r="CA61" s="2" t="n"/>
      <c r="CB61" s="2" t="n"/>
      <c r="CC61" s="2" t="n"/>
      <c r="CD61" s="2" t="n"/>
      <c r="CE61" s="2" t="n"/>
      <c r="CF61" s="2" t="n"/>
      <c r="CG61" s="2" t="n"/>
      <c r="CH61" s="2" t="n"/>
      <c r="CI61" s="2" t="n"/>
      <c r="CJ61" s="2" t="n"/>
      <c r="CK61" s="2" t="n"/>
      <c r="CL61" s="2" t="n"/>
      <c r="CM61" s="2" t="n"/>
      <c r="CN61" s="2" t="n"/>
      <c r="CO61" s="2" t="n"/>
      <c r="CP61" s="2" t="n"/>
      <c r="CQ61" s="2" t="n"/>
      <c r="CR61" s="2" t="n"/>
      <c r="CS61" s="2" t="n"/>
      <c r="CT61" s="2" t="n"/>
      <c r="CU61" s="2" t="n"/>
      <c r="CV61" s="2" t="n"/>
      <c r="CW61" s="2" t="n"/>
      <c r="CX61" s="2" t="n"/>
      <c r="CY61" s="2" t="n"/>
      <c r="CZ61" s="2" t="n"/>
      <c r="DA61" s="2" t="n"/>
      <c r="DB61" s="2" t="n"/>
      <c r="DC61" s="2" t="n"/>
      <c r="DD61" s="2" t="n"/>
      <c r="DE61" s="2" t="n"/>
    </row>
    <row r="62">
      <c r="A62" s="2" t="inlineStr">
        <is>
          <t>issue_950</t>
        </is>
      </c>
      <c r="B62" s="4" t="inlineStr">
        <is>
          <t>Passed on test</t>
        </is>
      </c>
      <c r="C62" s="4" t="inlineStr">
        <is>
          <t>Passed on test</t>
        </is>
      </c>
      <c r="D62" s="4" t="inlineStr">
        <is>
          <t>Passed on test</t>
        </is>
      </c>
      <c r="E62" s="4" t="inlineStr">
        <is>
          <t>Passed on test</t>
        </is>
      </c>
      <c r="F62" s="4" t="inlineStr">
        <is>
          <t>Passed on test</t>
        </is>
      </c>
      <c r="G62" s="4" t="inlineStr">
        <is>
          <t>Passed on test</t>
        </is>
      </c>
      <c r="H62" s="4" t="inlineStr">
        <is>
          <t>Passed on test</t>
        </is>
      </c>
      <c r="I62" s="4" t="inlineStr">
        <is>
          <t>Passed on test</t>
        </is>
      </c>
      <c r="J62" s="4" t="inlineStr">
        <is>
          <t>Passed on test</t>
        </is>
      </c>
      <c r="K62" s="4" t="inlineStr">
        <is>
          <t>Passed on test</t>
        </is>
      </c>
      <c r="L62" s="4" t="inlineStr">
        <is>
          <t>Passed on test</t>
        </is>
      </c>
      <c r="M62" s="4" t="inlineStr">
        <is>
          <t>Passed on test</t>
        </is>
      </c>
      <c r="N62" s="4" t="inlineStr">
        <is>
          <t>Passed on test</t>
        </is>
      </c>
      <c r="O62" s="4" t="inlineStr">
        <is>
          <t>Passed on test</t>
        </is>
      </c>
      <c r="P62" s="4" t="inlineStr">
        <is>
          <t>Passed on test</t>
        </is>
      </c>
      <c r="Q62" s="4" t="inlineStr">
        <is>
          <t>Passed on test</t>
        </is>
      </c>
      <c r="R62" s="4" t="inlineStr">
        <is>
          <t>Passed on test</t>
        </is>
      </c>
      <c r="S62" s="4" t="inlineStr">
        <is>
          <t>Passed on test</t>
        </is>
      </c>
      <c r="T62" s="4" t="inlineStr">
        <is>
          <t>Passed on test</t>
        </is>
      </c>
      <c r="U62" s="4" t="inlineStr">
        <is>
          <t>Passed on test</t>
        </is>
      </c>
      <c r="V62" s="4" t="inlineStr">
        <is>
          <t>Passed on test</t>
        </is>
      </c>
      <c r="W62" s="4" t="inlineStr">
        <is>
          <t>Passed on test</t>
        </is>
      </c>
      <c r="X62" s="4" t="inlineStr">
        <is>
          <t>Passed on test</t>
        </is>
      </c>
      <c r="Y62" s="4" t="inlineStr">
        <is>
          <t>Passed on test</t>
        </is>
      </c>
      <c r="Z62" s="4" t="inlineStr">
        <is>
          <t>Passed on test</t>
        </is>
      </c>
      <c r="AA62" s="4" t="inlineStr">
        <is>
          <t>Passed on test</t>
        </is>
      </c>
      <c r="AB62" s="4" t="inlineStr">
        <is>
          <t>Passed on test</t>
        </is>
      </c>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2" t="n"/>
      <c r="BM62" s="2" t="n"/>
      <c r="BN62" s="2" t="n"/>
      <c r="BO62" s="2" t="n"/>
      <c r="BP62" s="2" t="n"/>
      <c r="BQ62" s="2" t="n"/>
      <c r="BR62" s="2" t="n"/>
      <c r="BS62" s="2" t="n"/>
      <c r="BT62" s="2" t="n"/>
      <c r="BU62" s="2" t="n"/>
      <c r="BV62" s="2" t="n"/>
      <c r="BW62" s="2" t="n"/>
      <c r="BX62" s="2" t="n"/>
      <c r="BY62" s="2" t="n"/>
      <c r="BZ62" s="2" t="n"/>
      <c r="CA62" s="2" t="n"/>
      <c r="CB62" s="2" t="n"/>
      <c r="CC62" s="2" t="n"/>
      <c r="CD62" s="2" t="n"/>
      <c r="CE62" s="2" t="n"/>
      <c r="CF62" s="2" t="n"/>
      <c r="CG62" s="2" t="n"/>
      <c r="CH62" s="2" t="n"/>
      <c r="CI62" s="2" t="n"/>
      <c r="CJ62" s="2" t="n"/>
      <c r="CK62" s="2" t="n"/>
      <c r="CL62" s="2" t="n"/>
      <c r="CM62" s="2" t="n"/>
      <c r="CN62" s="2" t="n"/>
      <c r="CO62" s="2" t="n"/>
      <c r="CP62" s="2" t="n"/>
      <c r="CQ62" s="2" t="n"/>
      <c r="CR62" s="2" t="n"/>
      <c r="CS62" s="2" t="n"/>
      <c r="CT62" s="2" t="n"/>
      <c r="CU62" s="2" t="n"/>
      <c r="CV62" s="2" t="n"/>
      <c r="CW62" s="2" t="n"/>
      <c r="CX62" s="2" t="n"/>
      <c r="CY62" s="2" t="n"/>
      <c r="CZ62" s="2" t="n"/>
      <c r="DA62" s="2" t="n"/>
      <c r="DB62" s="2" t="n"/>
      <c r="DC62" s="2" t="n"/>
      <c r="DD62" s="2" t="n"/>
      <c r="DE62" s="2" t="n"/>
    </row>
    <row r="63">
      <c r="A63" s="2" t="inlineStr">
        <is>
          <t>issue_958</t>
        </is>
      </c>
      <c r="B63" s="3" t="inlineStr">
        <is>
          <t>NOT_TESTED</t>
        </is>
      </c>
      <c r="C63" s="3" t="inlineStr">
        <is>
          <t>NOT_TESTED</t>
        </is>
      </c>
      <c r="D63" s="3" t="inlineStr">
        <is>
          <t>NOT_TESTED</t>
        </is>
      </c>
      <c r="E63" s="3" t="inlineStr">
        <is>
          <t>NOT_TESTED</t>
        </is>
      </c>
      <c r="F63" s="5" t="inlineStr">
        <is>
          <t>Failed on test</t>
        </is>
      </c>
      <c r="G63" s="5" t="inlineStr">
        <is>
          <t>Failed on test</t>
        </is>
      </c>
      <c r="H63" s="5" t="inlineStr">
        <is>
          <t>Failed on test</t>
        </is>
      </c>
      <c r="I63" s="5" t="inlineStr">
        <is>
          <t>Failed on test</t>
        </is>
      </c>
      <c r="J63" s="5" t="inlineStr">
        <is>
          <t>Failed on test</t>
        </is>
      </c>
      <c r="K63" s="5" t="inlineStr">
        <is>
          <t>Failed on test</t>
        </is>
      </c>
      <c r="L63" s="5" t="inlineStr">
        <is>
          <t>Failed on test</t>
        </is>
      </c>
      <c r="M63" s="5" t="inlineStr">
        <is>
          <t>Failed on test</t>
        </is>
      </c>
      <c r="N63" s="5" t="inlineStr">
        <is>
          <t>Failed on test</t>
        </is>
      </c>
      <c r="O63" s="5" t="inlineStr">
        <is>
          <t>Failed on test</t>
        </is>
      </c>
      <c r="P63" s="5" t="inlineStr">
        <is>
          <t>Failed on test</t>
        </is>
      </c>
      <c r="Q63" s="5" t="inlineStr">
        <is>
          <t>Failed on test</t>
        </is>
      </c>
      <c r="R63" s="5" t="inlineStr">
        <is>
          <t>Failed on test</t>
        </is>
      </c>
      <c r="S63" s="5" t="inlineStr">
        <is>
          <t>Failed on test</t>
        </is>
      </c>
      <c r="T63" s="5" t="inlineStr">
        <is>
          <t>Failed on test</t>
        </is>
      </c>
      <c r="U63" s="5" t="inlineStr">
        <is>
          <t>Failed on test</t>
        </is>
      </c>
      <c r="V63" s="5" t="inlineStr">
        <is>
          <t>Failed on test</t>
        </is>
      </c>
      <c r="W63" s="5" t="inlineStr">
        <is>
          <t>Failed on test</t>
        </is>
      </c>
      <c r="X63" s="5" t="inlineStr">
        <is>
          <t>Failed on test</t>
        </is>
      </c>
      <c r="Y63" s="5" t="inlineStr">
        <is>
          <t>Failed on test</t>
        </is>
      </c>
      <c r="Z63" s="5" t="inlineStr">
        <is>
          <t>Failed on test</t>
        </is>
      </c>
      <c r="AA63" s="5" t="inlineStr">
        <is>
          <t>Failed on test</t>
        </is>
      </c>
      <c r="AB63" s="5" t="inlineStr">
        <is>
          <t>Failed on test</t>
        </is>
      </c>
      <c r="AC63" s="2" t="n"/>
      <c r="AD63" s="2" t="n"/>
      <c r="AE63" s="2" t="n"/>
      <c r="AF63" s="2" t="n"/>
      <c r="AG63" s="2" t="n"/>
      <c r="AH63" s="2" t="n"/>
      <c r="AI63" s="2" t="n"/>
      <c r="AJ63" s="2" t="n"/>
      <c r="AK63" s="2" t="n"/>
      <c r="AL63" s="2" t="n"/>
      <c r="AM63" s="2" t="n"/>
      <c r="AN63" s="2" t="n"/>
      <c r="AO63" s="2" t="inlineStr">
        <is>
          <t>AssertionError</t>
        </is>
      </c>
      <c r="AP63" s="2" t="inlineStr">
        <is>
          <t>KeyError: 'qc2'; AssertionError:</t>
        </is>
      </c>
      <c r="AQ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AR63" s="2" t="inlineStr">
        <is>
          <t>AssertionError</t>
        </is>
      </c>
      <c r="AS63" s="2" t="inlineStr">
        <is>
          <t>KeyError: 'qc2'; AssertionError:</t>
        </is>
      </c>
      <c r="AT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AU63" s="2" t="inlineStr">
        <is>
          <t>AssertionError</t>
        </is>
      </c>
      <c r="AV63" s="2" t="inlineStr">
        <is>
          <t>KeyError: 'qc2'; AssertionError:</t>
        </is>
      </c>
      <c r="AW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AX63" s="2" t="inlineStr">
        <is>
          <t>AssertionError</t>
        </is>
      </c>
      <c r="AY63" s="2" t="inlineStr">
        <is>
          <t>KeyError: 'qc2'; AssertionError:</t>
        </is>
      </c>
      <c r="AZ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A63" s="2" t="inlineStr">
        <is>
          <t>AssertionError</t>
        </is>
      </c>
      <c r="BB63" s="2" t="inlineStr">
        <is>
          <t>KeyError: 'qc2'; AssertionError:</t>
        </is>
      </c>
      <c r="BC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D63" s="2" t="inlineStr">
        <is>
          <t>AssertionError</t>
        </is>
      </c>
      <c r="BE63" s="2" t="inlineStr">
        <is>
          <t>KeyError: 'qc2'; AssertionError:</t>
        </is>
      </c>
      <c r="BF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G63" s="2" t="inlineStr">
        <is>
          <t>AssertionError</t>
        </is>
      </c>
      <c r="BH63" s="2" t="inlineStr">
        <is>
          <t>KeyError: 'qc2'; AssertionError:</t>
        </is>
      </c>
      <c r="BI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J63" s="2" t="inlineStr">
        <is>
          <t>AssertionError</t>
        </is>
      </c>
      <c r="BK63" s="2" t="inlineStr">
        <is>
          <t>KeyError: 'qc2'; AssertionError:</t>
        </is>
      </c>
      <c r="BL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M63" s="2" t="inlineStr">
        <is>
          <t>AssertionError</t>
        </is>
      </c>
      <c r="BN63" s="2" t="inlineStr">
        <is>
          <t>KeyError: 'qc2'; AssertionError:</t>
        </is>
      </c>
      <c r="BO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P63" s="2" t="inlineStr">
        <is>
          <t>AssertionError</t>
        </is>
      </c>
      <c r="BQ63" s="2" t="inlineStr">
        <is>
          <t>KeyError: 'qc2'; AssertionError:</t>
        </is>
      </c>
      <c r="BR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S63" s="2" t="inlineStr">
        <is>
          <t>AssertionError</t>
        </is>
      </c>
      <c r="BT63" s="2" t="inlineStr">
        <is>
          <t>KeyError: 'qc2'; AssertionError:</t>
        </is>
      </c>
      <c r="BU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V63" s="2" t="inlineStr">
        <is>
          <t>AssertionError</t>
        </is>
      </c>
      <c r="BW63" s="2" t="inlineStr">
        <is>
          <t>KeyError: 'qc2'; AssertionError:</t>
        </is>
      </c>
      <c r="BX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BY63" s="2" t="inlineStr">
        <is>
          <t>AssertionError</t>
        </is>
      </c>
      <c r="BZ63" s="2" t="inlineStr">
        <is>
          <t>KeyError: 'qc2'; AssertionError:</t>
        </is>
      </c>
      <c r="CA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B63" s="2" t="inlineStr">
        <is>
          <t>AssertionError</t>
        </is>
      </c>
      <c r="CC63" s="2" t="inlineStr">
        <is>
          <t>KeyError: 'qc2'; AssertionError:</t>
        </is>
      </c>
      <c r="CD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E63" s="2" t="inlineStr">
        <is>
          <t>AssertionError</t>
        </is>
      </c>
      <c r="CF63" s="2" t="inlineStr">
        <is>
          <t>KeyError: 'qc2'; AssertionError:</t>
        </is>
      </c>
      <c r="CG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H63" s="2" t="inlineStr">
        <is>
          <t>AssertionError</t>
        </is>
      </c>
      <c r="CI63" s="2" t="inlineStr">
        <is>
          <t>KeyError: 'qc2'; AssertionError:</t>
        </is>
      </c>
      <c r="CJ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K63" s="2" t="inlineStr">
        <is>
          <t>AssertionError</t>
        </is>
      </c>
      <c r="CL63" s="2" t="inlineStr">
        <is>
          <t>KeyError: 'qc2'; AssertionError:</t>
        </is>
      </c>
      <c r="CM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N63" s="2" t="inlineStr">
        <is>
          <t>AssertionError</t>
        </is>
      </c>
      <c r="CO63" s="2" t="inlineStr">
        <is>
          <t>KeyError: 'qc2'; AssertionError:</t>
        </is>
      </c>
      <c r="CP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Q63" s="2" t="inlineStr">
        <is>
          <t>AssertionError</t>
        </is>
      </c>
      <c r="CR63" s="2" t="inlineStr">
        <is>
          <t>KeyError: 'qc2'; AssertionError:</t>
        </is>
      </c>
      <c r="CS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T63" s="2" t="inlineStr">
        <is>
          <t>AssertionError</t>
        </is>
      </c>
      <c r="CU63" s="2" t="inlineStr">
        <is>
          <t>KeyError: 'qc2'; AssertionError:</t>
        </is>
      </c>
      <c r="CV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W63" s="2" t="inlineStr">
        <is>
          <t>AssertionError</t>
        </is>
      </c>
      <c r="CX63" s="2" t="inlineStr">
        <is>
          <t>KeyError: 'qc2'; AssertionError:</t>
        </is>
      </c>
      <c r="CY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CZ63" s="2" t="inlineStr">
        <is>
          <t>AssertionError</t>
        </is>
      </c>
      <c r="DA63" s="2" t="inlineStr">
        <is>
          <t>KeyError: 'qc2'; AssertionError:</t>
        </is>
      </c>
      <c r="DB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DC63" s="2" t="inlineStr">
        <is>
          <t>AssertionError</t>
        </is>
      </c>
      <c r="DD63" s="2" t="inlineStr">
        <is>
          <t>KeyError: 'qc2'; AssertionError:</t>
        </is>
      </c>
      <c r="DE63" s="2"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row>
    <row r="64">
      <c r="A64" s="2" t="inlineStr">
        <is>
          <t>issue_977</t>
        </is>
      </c>
      <c r="B64" s="3" t="inlineStr">
        <is>
          <t>NOT_TESTED</t>
        </is>
      </c>
      <c r="C64" s="3" t="inlineStr">
        <is>
          <t>NOT_TESTED</t>
        </is>
      </c>
      <c r="D64" s="3" t="inlineStr">
        <is>
          <t>NOT_TESTED</t>
        </is>
      </c>
      <c r="E64" s="3" t="inlineStr">
        <is>
          <t>NOT_TESTED</t>
        </is>
      </c>
      <c r="F64" s="4" t="inlineStr">
        <is>
          <t>Passed on test</t>
        </is>
      </c>
      <c r="G64" s="4" t="inlineStr">
        <is>
          <t>Passed on test</t>
        </is>
      </c>
      <c r="H64" s="4" t="inlineStr">
        <is>
          <t>Passed on test</t>
        </is>
      </c>
      <c r="I64" s="4" t="inlineStr">
        <is>
          <t>Passed on test</t>
        </is>
      </c>
      <c r="J64" s="4" t="inlineStr">
        <is>
          <t>Passed on test</t>
        </is>
      </c>
      <c r="K64" s="4" t="inlineStr">
        <is>
          <t>Passed on test</t>
        </is>
      </c>
      <c r="L64" s="4" t="inlineStr">
        <is>
          <t>Passed on test</t>
        </is>
      </c>
      <c r="M64" s="4" t="inlineStr">
        <is>
          <t>Passed on test</t>
        </is>
      </c>
      <c r="N64" s="4" t="inlineStr">
        <is>
          <t>Passed on test</t>
        </is>
      </c>
      <c r="O64" s="4" t="inlineStr">
        <is>
          <t>Passed on test</t>
        </is>
      </c>
      <c r="P64" s="4" t="inlineStr">
        <is>
          <t>Passed on test</t>
        </is>
      </c>
      <c r="Q64" s="4" t="inlineStr">
        <is>
          <t>Passed on test</t>
        </is>
      </c>
      <c r="R64" s="4" t="inlineStr">
        <is>
          <t>Passed on test</t>
        </is>
      </c>
      <c r="S64" s="4" t="inlineStr">
        <is>
          <t>Passed on test</t>
        </is>
      </c>
      <c r="T64" s="4" t="inlineStr">
        <is>
          <t>Passed on test</t>
        </is>
      </c>
      <c r="U64" s="4" t="inlineStr">
        <is>
          <t>Passed on test</t>
        </is>
      </c>
      <c r="V64" s="4" t="inlineStr">
        <is>
          <t>Passed on test</t>
        </is>
      </c>
      <c r="W64" s="4" t="inlineStr">
        <is>
          <t>Passed on test</t>
        </is>
      </c>
      <c r="X64" s="4" t="inlineStr">
        <is>
          <t>Passed on test</t>
        </is>
      </c>
      <c r="Y64" s="4" t="inlineStr">
        <is>
          <t>Passed on test</t>
        </is>
      </c>
      <c r="Z64" s="4" t="inlineStr">
        <is>
          <t>Passed on test</t>
        </is>
      </c>
      <c r="AA64" s="4" t="inlineStr">
        <is>
          <t>Passed on test</t>
        </is>
      </c>
      <c r="AB64" s="4" t="inlineStr">
        <is>
          <t>Passed on test</t>
        </is>
      </c>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c r="BC64" s="2" t="n"/>
      <c r="BD64" s="2" t="n"/>
      <c r="BE64" s="2" t="n"/>
      <c r="BF64" s="2" t="n"/>
      <c r="BG64" s="2" t="n"/>
      <c r="BH64" s="2" t="n"/>
      <c r="BI64" s="2" t="n"/>
      <c r="BJ64" s="2" t="n"/>
      <c r="BK64" s="2" t="n"/>
      <c r="BL64" s="2" t="n"/>
      <c r="BM64" s="2" t="n"/>
      <c r="BN64" s="2" t="n"/>
      <c r="BO64" s="2" t="n"/>
      <c r="BP64" s="2" t="n"/>
      <c r="BQ64" s="2" t="n"/>
      <c r="BR64" s="2" t="n"/>
      <c r="BS64" s="2" t="n"/>
      <c r="BT64" s="2" t="n"/>
      <c r="BU64" s="2" t="n"/>
      <c r="BV64" s="2" t="n"/>
      <c r="BW64" s="2" t="n"/>
      <c r="BX64" s="2" t="n"/>
      <c r="BY64" s="2" t="n"/>
      <c r="BZ64" s="2" t="n"/>
      <c r="CA64" s="2" t="n"/>
      <c r="CB64" s="2" t="n"/>
      <c r="CC64" s="2" t="n"/>
      <c r="CD64" s="2" t="n"/>
      <c r="CE64" s="2" t="n"/>
      <c r="CF64" s="2" t="n"/>
      <c r="CG64" s="2" t="n"/>
      <c r="CH64" s="2" t="n"/>
      <c r="CI64" s="2" t="n"/>
      <c r="CJ64" s="2" t="n"/>
      <c r="CK64" s="2" t="n"/>
      <c r="CL64" s="2" t="n"/>
      <c r="CM64" s="2" t="n"/>
      <c r="CN64" s="2" t="n"/>
      <c r="CO64" s="2" t="n"/>
      <c r="CP64" s="2" t="n"/>
      <c r="CQ64" s="2" t="n"/>
      <c r="CR64" s="2" t="n"/>
      <c r="CS64" s="2" t="n"/>
      <c r="CT64" s="2" t="n"/>
      <c r="CU64" s="2" t="n"/>
      <c r="CV64" s="2" t="n"/>
      <c r="CW64" s="2" t="n"/>
      <c r="CX64" s="2" t="n"/>
      <c r="CY64" s="2" t="n"/>
      <c r="CZ64" s="2" t="n"/>
      <c r="DA64" s="2" t="n"/>
      <c r="DB64" s="2" t="n"/>
      <c r="DC64" s="2" t="n"/>
      <c r="DD64" s="2" t="n"/>
      <c r="DE64" s="2" t="n"/>
    </row>
    <row r="65">
      <c r="A65" s="2" t="inlineStr">
        <is>
          <t>issue_985</t>
        </is>
      </c>
      <c r="B65" s="3" t="inlineStr">
        <is>
          <t>NOT_TESTED</t>
        </is>
      </c>
      <c r="C65" s="3" t="inlineStr">
        <is>
          <t>NOT_TESTED</t>
        </is>
      </c>
      <c r="D65" s="3" t="inlineStr">
        <is>
          <t>NOT_TESTED</t>
        </is>
      </c>
      <c r="E65" s="3" t="inlineStr">
        <is>
          <t>NOT_TESTED</t>
        </is>
      </c>
      <c r="F65" s="5" t="inlineStr">
        <is>
          <t>Failed on test</t>
        </is>
      </c>
      <c r="G65" s="5" t="inlineStr">
        <is>
          <t>Failed on test</t>
        </is>
      </c>
      <c r="H65" s="5" t="inlineStr">
        <is>
          <t>Failed on test</t>
        </is>
      </c>
      <c r="I65" s="5" t="inlineStr">
        <is>
          <t>Failed on test</t>
        </is>
      </c>
      <c r="J65" s="5" t="inlineStr">
        <is>
          <t>Failed on test</t>
        </is>
      </c>
      <c r="K65" s="5" t="inlineStr">
        <is>
          <t>Failed on test</t>
        </is>
      </c>
      <c r="L65" s="5" t="inlineStr">
        <is>
          <t>Failed on test</t>
        </is>
      </c>
      <c r="M65" s="5" t="inlineStr">
        <is>
          <t>Failed on test</t>
        </is>
      </c>
      <c r="N65" s="5" t="inlineStr">
        <is>
          <t>Failed on test</t>
        </is>
      </c>
      <c r="O65" s="5" t="inlineStr">
        <is>
          <t>Failed on test</t>
        </is>
      </c>
      <c r="P65" s="5" t="inlineStr">
        <is>
          <t>Failed on test</t>
        </is>
      </c>
      <c r="Q65" s="5" t="inlineStr">
        <is>
          <t>Failed on test</t>
        </is>
      </c>
      <c r="R65" s="5" t="inlineStr">
        <is>
          <t>Failed on test</t>
        </is>
      </c>
      <c r="S65" s="5" t="inlineStr">
        <is>
          <t>Failed on test</t>
        </is>
      </c>
      <c r="T65" s="5" t="inlineStr">
        <is>
          <t>Failed on test</t>
        </is>
      </c>
      <c r="U65" s="5" t="inlineStr">
        <is>
          <t>Failed on test</t>
        </is>
      </c>
      <c r="V65" s="5" t="inlineStr">
        <is>
          <t>Failed on test</t>
        </is>
      </c>
      <c r="W65" s="5" t="inlineStr">
        <is>
          <t>Failed on test</t>
        </is>
      </c>
      <c r="X65" s="5" t="inlineStr">
        <is>
          <t>Failed on test</t>
        </is>
      </c>
      <c r="Y65" s="5" t="inlineStr">
        <is>
          <t>Failed on test</t>
        </is>
      </c>
      <c r="Z65" s="5" t="inlineStr">
        <is>
          <t>Failed on test</t>
        </is>
      </c>
      <c r="AA65" s="5" t="inlineStr">
        <is>
          <t>Failed on test</t>
        </is>
      </c>
      <c r="AB65" s="5" t="inlineStr">
        <is>
          <t>Failed on test</t>
        </is>
      </c>
      <c r="AC65" s="2" t="n"/>
      <c r="AD65" s="2" t="n"/>
      <c r="AE65" s="2" t="n"/>
      <c r="AF65" s="2" t="n"/>
      <c r="AG65" s="2" t="n"/>
      <c r="AH65" s="2" t="n"/>
      <c r="AI65" s="2" t="n"/>
      <c r="AJ65" s="2" t="n"/>
      <c r="AK65" s="2" t="n"/>
      <c r="AL65" s="2" t="n"/>
      <c r="AM65" s="2" t="n"/>
      <c r="AN65" s="2" t="n"/>
      <c r="AO65" s="2" t="inlineStr">
        <is>
          <t>AssertionError</t>
        </is>
      </c>
      <c r="AP65" s="2" t="inlineStr">
        <is>
          <t>AssertionError:</t>
        </is>
      </c>
      <c r="AQ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AR65" s="2" t="inlineStr">
        <is>
          <t>AssertionError</t>
        </is>
      </c>
      <c r="AS65" s="2" t="inlineStr">
        <is>
          <t>AssertionError:</t>
        </is>
      </c>
      <c r="AT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AU65" s="2" t="inlineStr">
        <is>
          <t>AssertionError</t>
        </is>
      </c>
      <c r="AV65" s="2" t="inlineStr">
        <is>
          <t>AssertionError:</t>
        </is>
      </c>
      <c r="AW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AX65" s="2" t="inlineStr">
        <is>
          <t>AssertionError</t>
        </is>
      </c>
      <c r="AY65" s="2" t="inlineStr">
        <is>
          <t>AssertionError:</t>
        </is>
      </c>
      <c r="AZ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A65" s="2" t="inlineStr">
        <is>
          <t>AssertionError</t>
        </is>
      </c>
      <c r="BB65" s="2" t="inlineStr">
        <is>
          <t>AssertionError:</t>
        </is>
      </c>
      <c r="BC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D65" s="2" t="inlineStr">
        <is>
          <t>AssertionError</t>
        </is>
      </c>
      <c r="BE65" s="2" t="inlineStr">
        <is>
          <t>AssertionError:</t>
        </is>
      </c>
      <c r="BF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G65" s="2" t="inlineStr">
        <is>
          <t>AssertionError</t>
        </is>
      </c>
      <c r="BH65" s="2" t="inlineStr">
        <is>
          <t>AssertionError:</t>
        </is>
      </c>
      <c r="BI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J65" s="2" t="inlineStr">
        <is>
          <t>AssertionError</t>
        </is>
      </c>
      <c r="BK65" s="2" t="inlineStr">
        <is>
          <t>AssertionError:</t>
        </is>
      </c>
      <c r="BL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M65" s="2" t="inlineStr">
        <is>
          <t>AssertionError</t>
        </is>
      </c>
      <c r="BN65" s="2" t="inlineStr">
        <is>
          <t>AssertionError:</t>
        </is>
      </c>
      <c r="BO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P65" s="2" t="inlineStr">
        <is>
          <t>AssertionError</t>
        </is>
      </c>
      <c r="BQ65" s="2" t="inlineStr">
        <is>
          <t>AssertionError:</t>
        </is>
      </c>
      <c r="BR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S65" s="2" t="inlineStr">
        <is>
          <t>AssertionError</t>
        </is>
      </c>
      <c r="BT65" s="2" t="inlineStr">
        <is>
          <t>AssertionError:</t>
        </is>
      </c>
      <c r="BU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V65" s="2" t="inlineStr">
        <is>
          <t>AssertionError</t>
        </is>
      </c>
      <c r="BW65" s="2" t="inlineStr">
        <is>
          <t>AssertionError:</t>
        </is>
      </c>
      <c r="BX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BY65" s="2" t="inlineStr">
        <is>
          <t>AssertionError</t>
        </is>
      </c>
      <c r="BZ65" s="2" t="inlineStr">
        <is>
          <t>AssertionError:</t>
        </is>
      </c>
      <c r="CA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B65" s="2" t="inlineStr">
        <is>
          <t>AssertionError</t>
        </is>
      </c>
      <c r="CC65" s="2" t="inlineStr">
        <is>
          <t>AssertionError:</t>
        </is>
      </c>
      <c r="CD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E65" s="2" t="inlineStr">
        <is>
          <t>AssertionError</t>
        </is>
      </c>
      <c r="CF65" s="2" t="inlineStr">
        <is>
          <t>AssertionError:</t>
        </is>
      </c>
      <c r="CG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H65" s="2" t="inlineStr">
        <is>
          <t>AssertionError</t>
        </is>
      </c>
      <c r="CI65" s="2" t="inlineStr">
        <is>
          <t>AssertionError:</t>
        </is>
      </c>
      <c r="CJ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K65" s="2" t="inlineStr">
        <is>
          <t>AssertionError</t>
        </is>
      </c>
      <c r="CL65" s="2" t="inlineStr">
        <is>
          <t>AssertionError:</t>
        </is>
      </c>
      <c r="CM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N65" s="2" t="inlineStr">
        <is>
          <t>AssertionError</t>
        </is>
      </c>
      <c r="CO65" s="2" t="inlineStr">
        <is>
          <t>AssertionError:</t>
        </is>
      </c>
      <c r="CP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Q65" s="2" t="inlineStr">
        <is>
          <t>AssertionError</t>
        </is>
      </c>
      <c r="CR65" s="2" t="inlineStr">
        <is>
          <t>AssertionError:</t>
        </is>
      </c>
      <c r="CS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T65" s="2" t="inlineStr">
        <is>
          <t>AssertionError</t>
        </is>
      </c>
      <c r="CU65" s="2" t="inlineStr">
        <is>
          <t>AssertionError:</t>
        </is>
      </c>
      <c r="CV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W65" s="2" t="inlineStr">
        <is>
          <t>AssertionError</t>
        </is>
      </c>
      <c r="CX65" s="2" t="inlineStr">
        <is>
          <t>AssertionError:</t>
        </is>
      </c>
      <c r="CY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CZ65" s="2" t="inlineStr">
        <is>
          <t>AssertionError</t>
        </is>
      </c>
      <c r="DA65" s="2" t="inlineStr">
        <is>
          <t>AssertionError:</t>
        </is>
      </c>
      <c r="DB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DC65" s="2" t="inlineStr">
        <is>
          <t>AssertionError</t>
        </is>
      </c>
      <c r="DD65" s="2" t="inlineStr">
        <is>
          <t>AssertionError:</t>
        </is>
      </c>
      <c r="DE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row>
    <row r="66">
      <c r="A66" s="2" t="inlineStr">
        <is>
          <t>issue_989</t>
        </is>
      </c>
      <c r="B66" s="3" t="inlineStr">
        <is>
          <t>NOT_TESTED</t>
        </is>
      </c>
      <c r="C66" s="3" t="inlineStr">
        <is>
          <t>NOT_TESTED</t>
        </is>
      </c>
      <c r="D66" s="3" t="inlineStr">
        <is>
          <t>NOT_TESTED</t>
        </is>
      </c>
      <c r="E66" s="3" t="inlineStr">
        <is>
          <t>NOT_TESTED</t>
        </is>
      </c>
      <c r="F66" s="3" t="inlineStr">
        <is>
          <t>NOT_TESTED</t>
        </is>
      </c>
      <c r="G66" s="3" t="inlineStr">
        <is>
          <t>NOT_TESTED</t>
        </is>
      </c>
      <c r="H66" s="3" t="inlineStr">
        <is>
          <t>NOT_TESTED</t>
        </is>
      </c>
      <c r="I66" s="3" t="inlineStr">
        <is>
          <t>NOT_TESTED</t>
        </is>
      </c>
      <c r="J66" s="3" t="inlineStr">
        <is>
          <t>NOT_TESTED</t>
        </is>
      </c>
      <c r="K66" s="3" t="inlineStr">
        <is>
          <t>NOT_TESTED</t>
        </is>
      </c>
      <c r="L66" s="3" t="inlineStr">
        <is>
          <t>NOT_TESTED</t>
        </is>
      </c>
      <c r="M66" s="3" t="inlineStr">
        <is>
          <t>NOT_TESTED</t>
        </is>
      </c>
      <c r="N66" s="4" t="inlineStr">
        <is>
          <t>Passed on test</t>
        </is>
      </c>
      <c r="O66" s="4" t="inlineStr">
        <is>
          <t>Passed on test</t>
        </is>
      </c>
      <c r="P66" s="4" t="inlineStr">
        <is>
          <t>Passed on test</t>
        </is>
      </c>
      <c r="Q66" s="4" t="inlineStr">
        <is>
          <t>Passed on test</t>
        </is>
      </c>
      <c r="R66" s="4" t="inlineStr">
        <is>
          <t>Passed on test</t>
        </is>
      </c>
      <c r="S66" s="4" t="inlineStr">
        <is>
          <t>Passed on test</t>
        </is>
      </c>
      <c r="T66" s="4" t="inlineStr">
        <is>
          <t>Passed on test</t>
        </is>
      </c>
      <c r="U66" s="4" t="inlineStr">
        <is>
          <t>Passed on test</t>
        </is>
      </c>
      <c r="V66" s="4" t="inlineStr">
        <is>
          <t>Passed on test</t>
        </is>
      </c>
      <c r="W66" s="4" t="inlineStr">
        <is>
          <t>Passed on test</t>
        </is>
      </c>
      <c r="X66" s="4" t="inlineStr">
        <is>
          <t>Passed on test</t>
        </is>
      </c>
      <c r="Y66" s="4" t="inlineStr">
        <is>
          <t>Passed on test</t>
        </is>
      </c>
      <c r="Z66" s="4" t="inlineStr">
        <is>
          <t>Passed on test</t>
        </is>
      </c>
      <c r="AA66" s="4" t="inlineStr">
        <is>
          <t>Passed on test</t>
        </is>
      </c>
      <c r="AB66" s="4" t="inlineStr">
        <is>
          <t>Passed on test</t>
        </is>
      </c>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2" t="n"/>
      <c r="BJ66" s="2" t="n"/>
      <c r="BK66" s="2" t="n"/>
      <c r="BL66" s="2" t="n"/>
      <c r="BM66" s="2" t="n"/>
      <c r="BN66" s="2" t="n"/>
      <c r="BO66" s="2" t="n"/>
      <c r="BP66" s="2" t="n"/>
      <c r="BQ66" s="2" t="n"/>
      <c r="BR66" s="2" t="n"/>
      <c r="BS66" s="2" t="n"/>
      <c r="BT66" s="2" t="n"/>
      <c r="BU66" s="2" t="n"/>
      <c r="BV66" s="2" t="n"/>
      <c r="BW66" s="2" t="n"/>
      <c r="BX66" s="2" t="n"/>
      <c r="BY66" s="2" t="n"/>
      <c r="BZ66" s="2" t="n"/>
      <c r="CA66" s="2" t="n"/>
      <c r="CB66" s="2" t="n"/>
      <c r="CC66" s="2" t="n"/>
      <c r="CD66" s="2" t="n"/>
      <c r="CE66" s="2" t="n"/>
      <c r="CF66" s="2" t="n"/>
      <c r="CG66" s="2" t="n"/>
      <c r="CH66" s="2" t="n"/>
      <c r="CI66" s="2" t="n"/>
      <c r="CJ66" s="2" t="n"/>
      <c r="CK66" s="2" t="n"/>
      <c r="CL66" s="2" t="n"/>
      <c r="CM66" s="2" t="n"/>
      <c r="CN66" s="2" t="n"/>
      <c r="CO66" s="2" t="n"/>
      <c r="CP66" s="2" t="n"/>
      <c r="CQ66" s="2" t="n"/>
      <c r="CR66" s="2" t="n"/>
      <c r="CS66" s="2" t="n"/>
      <c r="CT66" s="2" t="n"/>
      <c r="CU66" s="2" t="n"/>
      <c r="CV66" s="2" t="n"/>
      <c r="CW66" s="2" t="n"/>
      <c r="CX66" s="2" t="n"/>
      <c r="CY66" s="2" t="n"/>
      <c r="CZ66" s="2" t="n"/>
      <c r="DA66" s="2" t="n"/>
      <c r="DB66" s="2" t="n"/>
      <c r="DC66" s="2" t="n"/>
      <c r="DD66" s="2" t="n"/>
      <c r="DE66" s="2" t="n"/>
    </row>
    <row r="67">
      <c r="A67" s="2" t="inlineStr">
        <is>
          <t>issue_994</t>
        </is>
      </c>
      <c r="B67" s="4" t="inlineStr">
        <is>
          <t>Passed on test</t>
        </is>
      </c>
      <c r="C67" s="4" t="inlineStr">
        <is>
          <t>Passed on test</t>
        </is>
      </c>
      <c r="D67" s="4" t="inlineStr">
        <is>
          <t>Passed on test</t>
        </is>
      </c>
      <c r="E67" s="4" t="inlineStr">
        <is>
          <t>Passed on test</t>
        </is>
      </c>
      <c r="F67" s="3" t="inlineStr">
        <is>
          <t>NOT_TESTED</t>
        </is>
      </c>
      <c r="G67" s="3" t="inlineStr">
        <is>
          <t>NOT_TESTED</t>
        </is>
      </c>
      <c r="H67" s="3" t="inlineStr">
        <is>
          <t>NOT_TESTED</t>
        </is>
      </c>
      <c r="I67" s="3" t="inlineStr">
        <is>
          <t>NOT_TESTED</t>
        </is>
      </c>
      <c r="J67" s="3" t="inlineStr">
        <is>
          <t>NOT_TESTED</t>
        </is>
      </c>
      <c r="K67" s="3" t="inlineStr">
        <is>
          <t>NOT_TESTED</t>
        </is>
      </c>
      <c r="L67" s="3" t="inlineStr">
        <is>
          <t>NOT_TESTED</t>
        </is>
      </c>
      <c r="M67" s="3" t="inlineStr">
        <is>
          <t>NOT_TESTED</t>
        </is>
      </c>
      <c r="N67" s="3" t="inlineStr">
        <is>
          <t>NOT_TESTED</t>
        </is>
      </c>
      <c r="O67" s="3" t="inlineStr">
        <is>
          <t>NOT_TESTED</t>
        </is>
      </c>
      <c r="P67" s="3" t="inlineStr">
        <is>
          <t>NOT_TESTED</t>
        </is>
      </c>
      <c r="Q67" s="3" t="inlineStr">
        <is>
          <t>NOT_TESTED</t>
        </is>
      </c>
      <c r="R67" s="3" t="inlineStr">
        <is>
          <t>NOT_TESTED</t>
        </is>
      </c>
      <c r="S67" s="3" t="inlineStr">
        <is>
          <t>NOT_TESTED</t>
        </is>
      </c>
      <c r="T67" s="3" t="inlineStr">
        <is>
          <t>NOT_TESTED</t>
        </is>
      </c>
      <c r="U67" s="3" t="inlineStr">
        <is>
          <t>NOT_TESTED</t>
        </is>
      </c>
      <c r="V67" s="3" t="inlineStr">
        <is>
          <t>NOT_TESTED</t>
        </is>
      </c>
      <c r="W67" s="3" t="inlineStr">
        <is>
          <t>NOT_TESTED</t>
        </is>
      </c>
      <c r="X67" s="3" t="inlineStr">
        <is>
          <t>NOT_TESTED</t>
        </is>
      </c>
      <c r="Y67" s="3" t="inlineStr">
        <is>
          <t>NOT_TESTED</t>
        </is>
      </c>
      <c r="Z67" s="3" t="inlineStr">
        <is>
          <t>NOT_TESTED</t>
        </is>
      </c>
      <c r="AA67" s="3" t="inlineStr">
        <is>
          <t>NOT_TESTED</t>
        </is>
      </c>
      <c r="AB67" s="3" t="inlineStr">
        <is>
          <t>NOT_TESTED</t>
        </is>
      </c>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2" t="n"/>
      <c r="BJ67" s="2" t="n"/>
      <c r="BK67" s="2" t="n"/>
      <c r="BL67" s="2" t="n"/>
      <c r="BM67" s="2" t="n"/>
      <c r="BN67" s="2" t="n"/>
      <c r="BO67" s="2" t="n"/>
      <c r="BP67" s="2" t="n"/>
      <c r="BQ67" s="2" t="n"/>
      <c r="BR67" s="2" t="n"/>
      <c r="BS67" s="2" t="n"/>
      <c r="BT67" s="2" t="n"/>
      <c r="BU67" s="2" t="n"/>
      <c r="BV67" s="2" t="n"/>
      <c r="BW67" s="2" t="n"/>
      <c r="BX67" s="2" t="n"/>
      <c r="BY67" s="2" t="n"/>
      <c r="BZ67" s="2" t="n"/>
      <c r="CA67" s="2" t="n"/>
      <c r="CB67" s="2" t="n"/>
      <c r="CC67" s="2" t="n"/>
      <c r="CD67" s="2" t="n"/>
      <c r="CE67" s="2" t="n"/>
      <c r="CF67" s="2" t="n"/>
      <c r="CG67" s="2" t="n"/>
      <c r="CH67" s="2" t="n"/>
      <c r="CI67" s="2" t="n"/>
      <c r="CJ67" s="2" t="n"/>
      <c r="CK67" s="2" t="n"/>
      <c r="CL67" s="2" t="n"/>
      <c r="CM67" s="2" t="n"/>
      <c r="CN67" s="2" t="n"/>
      <c r="CO67" s="2" t="n"/>
      <c r="CP67" s="2" t="n"/>
      <c r="CQ67" s="2" t="n"/>
      <c r="CR67" s="2" t="n"/>
      <c r="CS67" s="2" t="n"/>
      <c r="CT67" s="2" t="n"/>
      <c r="CU67" s="2" t="n"/>
      <c r="CV67" s="2" t="n"/>
      <c r="CW67" s="2" t="n"/>
      <c r="CX67" s="2" t="n"/>
      <c r="CY67" s="2" t="n"/>
      <c r="CZ67" s="2" t="n"/>
      <c r="DA67" s="2" t="n"/>
      <c r="DB67" s="2" t="n"/>
      <c r="DC67" s="2" t="n"/>
      <c r="DD67" s="2" t="n"/>
      <c r="DE67" s="2" t="n"/>
    </row>
    <row r="68">
      <c r="A68" s="2" t="inlineStr">
        <is>
          <t>issue_1035</t>
        </is>
      </c>
      <c r="B68" s="3" t="inlineStr">
        <is>
          <t>NOT_TESTED</t>
        </is>
      </c>
      <c r="C68" s="3" t="inlineStr">
        <is>
          <t>NOT_TESTED</t>
        </is>
      </c>
      <c r="D68" s="3" t="inlineStr">
        <is>
          <t>NOT_TESTED</t>
        </is>
      </c>
      <c r="E68" s="3" t="inlineStr">
        <is>
          <t>NOT_TESTED</t>
        </is>
      </c>
      <c r="F68" s="5" t="inlineStr">
        <is>
          <t>Failed on test</t>
        </is>
      </c>
      <c r="G68" s="5" t="inlineStr">
        <is>
          <t>Failed on test</t>
        </is>
      </c>
      <c r="H68" s="5" t="inlineStr">
        <is>
          <t>Failed on test</t>
        </is>
      </c>
      <c r="I68" s="5" t="inlineStr">
        <is>
          <t>Failed on test</t>
        </is>
      </c>
      <c r="J68" s="5" t="inlineStr">
        <is>
          <t>Failed on test</t>
        </is>
      </c>
      <c r="K68" s="5" t="inlineStr">
        <is>
          <t>Failed on test</t>
        </is>
      </c>
      <c r="L68" s="5" t="inlineStr">
        <is>
          <t>Failed on test</t>
        </is>
      </c>
      <c r="M68" s="5" t="inlineStr">
        <is>
          <t>Failed on test</t>
        </is>
      </c>
      <c r="N68" s="3" t="inlineStr">
        <is>
          <t>NOT_TESTED</t>
        </is>
      </c>
      <c r="O68" s="3" t="inlineStr">
        <is>
          <t>NOT_TESTED</t>
        </is>
      </c>
      <c r="P68" s="3" t="inlineStr">
        <is>
          <t>NOT_TESTED</t>
        </is>
      </c>
      <c r="Q68" s="3" t="inlineStr">
        <is>
          <t>NOT_TESTED</t>
        </is>
      </c>
      <c r="R68" s="3" t="inlineStr">
        <is>
          <t>NOT_TESTED</t>
        </is>
      </c>
      <c r="S68" s="3" t="inlineStr">
        <is>
          <t>NOT_TESTED</t>
        </is>
      </c>
      <c r="T68" s="3" t="inlineStr">
        <is>
          <t>NOT_TESTED</t>
        </is>
      </c>
      <c r="U68" s="3" t="inlineStr">
        <is>
          <t>NOT_TESTED</t>
        </is>
      </c>
      <c r="V68" s="3" t="inlineStr">
        <is>
          <t>NOT_TESTED</t>
        </is>
      </c>
      <c r="W68" s="3" t="inlineStr">
        <is>
          <t>NOT_TESTED</t>
        </is>
      </c>
      <c r="X68" s="3" t="inlineStr">
        <is>
          <t>NOT_TESTED</t>
        </is>
      </c>
      <c r="Y68" s="3" t="inlineStr">
        <is>
          <t>NOT_TESTED</t>
        </is>
      </c>
      <c r="Z68" s="3" t="inlineStr">
        <is>
          <t>NOT_TESTED</t>
        </is>
      </c>
      <c r="AA68" s="3" t="inlineStr">
        <is>
          <t>NOT_TESTED</t>
        </is>
      </c>
      <c r="AB68" s="3" t="inlineStr">
        <is>
          <t>NOT_TESTED</t>
        </is>
      </c>
      <c r="AC68" s="2" t="n"/>
      <c r="AD68" s="2" t="n"/>
      <c r="AE68" s="2" t="n"/>
      <c r="AF68" s="2" t="n"/>
      <c r="AG68" s="2" t="n"/>
      <c r="AH68" s="2" t="n"/>
      <c r="AI68" s="2" t="n"/>
      <c r="AJ68" s="2" t="n"/>
      <c r="AK68" s="2" t="n"/>
      <c r="AL68" s="2" t="n"/>
      <c r="AM68" s="2" t="n"/>
      <c r="AN68" s="2" t="n"/>
      <c r="AO68" s="2" t="inlineStr">
        <is>
          <t>AssertionError</t>
        </is>
      </c>
      <c r="AP68" s="2" t="inlineStr">
        <is>
          <t>AssertionError: OFFLINE_CONTRACT: Runtime account/session is not a local fake backend</t>
        </is>
      </c>
      <c r="AQ68" s="2"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AR68" s="2" t="inlineStr">
        <is>
          <t>AssertionError</t>
        </is>
      </c>
      <c r="AS68" s="2" t="inlineStr">
        <is>
          <t>AssertionError: OFFLINE_CONTRACT: Runtime account/session is not a local fake backend</t>
        </is>
      </c>
      <c r="AT68" s="2"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AU68" s="2" t="inlineStr">
        <is>
          <t>AssertionError</t>
        </is>
      </c>
      <c r="AV68" s="2" t="inlineStr">
        <is>
          <t>AssertionError: OFFLINE_CONTRACT: Runtime account/session is not a local fake backend</t>
        </is>
      </c>
      <c r="AW68" s="2"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AX68" s="2" t="inlineStr">
        <is>
          <t>AssertionError</t>
        </is>
      </c>
      <c r="AY68" s="2" t="inlineStr">
        <is>
          <t>AssertionError: OFFLINE_CONTRACT: Runtime account/session is not a local fake backend</t>
        </is>
      </c>
      <c r="AZ68" s="2"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BA68" s="2" t="inlineStr">
        <is>
          <t>AssertionError</t>
        </is>
      </c>
      <c r="BB68" s="2" t="inlineStr">
        <is>
          <t>AssertionError: OFFLINE_CONTRACT: Runtime account/session is not a local fake backend</t>
        </is>
      </c>
      <c r="BC68" s="2"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BD68" s="2" t="inlineStr">
        <is>
          <t>AssertionError</t>
        </is>
      </c>
      <c r="BE68" s="2" t="inlineStr">
        <is>
          <t>AssertionError: OFFLINE_CONTRACT: Runtime account/session is not a local fake backend</t>
        </is>
      </c>
      <c r="BF68" s="2"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BG68" s="2" t="inlineStr">
        <is>
          <t>AssertionError</t>
        </is>
      </c>
      <c r="BH68" s="2" t="inlineStr">
        <is>
          <t>AssertionError: OFFLINE_CONTRACT: Runtime account/session is not a local fake backend</t>
        </is>
      </c>
      <c r="BI68" s="2"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BJ68" s="2" t="inlineStr">
        <is>
          <t>AssertionError</t>
        </is>
      </c>
      <c r="BK68" s="2" t="inlineStr">
        <is>
          <t>AssertionError: OFFLINE_CONTRACT: Runtime account/session is not a local fake backend</t>
        </is>
      </c>
      <c r="BL68" s="2"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BM68" s="2" t="n"/>
      <c r="BN68" s="2" t="n"/>
      <c r="BO68" s="2" t="n"/>
      <c r="BP68" s="2" t="n"/>
      <c r="BQ68" s="2" t="n"/>
      <c r="BR68" s="2" t="n"/>
      <c r="BS68" s="2" t="n"/>
      <c r="BT68" s="2" t="n"/>
      <c r="BU68" s="2" t="n"/>
      <c r="BV68" s="2" t="n"/>
      <c r="BW68" s="2" t="n"/>
      <c r="BX68" s="2" t="n"/>
      <c r="BY68" s="2" t="n"/>
      <c r="BZ68" s="2" t="n"/>
      <c r="CA68" s="2" t="n"/>
      <c r="CB68" s="2" t="n"/>
      <c r="CC68" s="2" t="n"/>
      <c r="CD68" s="2" t="n"/>
      <c r="CE68" s="2" t="n"/>
      <c r="CF68" s="2" t="n"/>
      <c r="CG68" s="2" t="n"/>
      <c r="CH68" s="2" t="n"/>
      <c r="CI68" s="2" t="n"/>
      <c r="CJ68" s="2" t="n"/>
      <c r="CK68" s="2" t="n"/>
      <c r="CL68" s="2" t="n"/>
      <c r="CM68" s="2" t="n"/>
      <c r="CN68" s="2" t="n"/>
      <c r="CO68" s="2" t="n"/>
      <c r="CP68" s="2" t="n"/>
      <c r="CQ68" s="2" t="n"/>
      <c r="CR68" s="2" t="n"/>
      <c r="CS68" s="2" t="n"/>
      <c r="CT68" s="2" t="n"/>
      <c r="CU68" s="2" t="n"/>
      <c r="CV68" s="2" t="n"/>
      <c r="CW68" s="2" t="n"/>
      <c r="CX68" s="2" t="n"/>
      <c r="CY68" s="2" t="n"/>
      <c r="CZ68" s="2" t="n"/>
      <c r="DA68" s="2" t="n"/>
      <c r="DB68" s="2" t="n"/>
      <c r="DC68" s="2" t="n"/>
      <c r="DD68" s="2" t="n"/>
      <c r="DE68" s="2" t="n"/>
    </row>
    <row r="69">
      <c r="A69" s="2" t="inlineStr">
        <is>
          <t>issue_772</t>
        </is>
      </c>
      <c r="B69" s="6" t="inlineStr">
        <is>
          <t>Runtime error</t>
        </is>
      </c>
      <c r="C69" s="6" t="inlineStr">
        <is>
          <t>Runtime error</t>
        </is>
      </c>
      <c r="D69" s="6" t="inlineStr">
        <is>
          <t>Runtime error</t>
        </is>
      </c>
      <c r="E69" s="6" t="inlineStr">
        <is>
          <t>Runtime error</t>
        </is>
      </c>
      <c r="F69" s="4" t="inlineStr">
        <is>
          <t>Passed on test</t>
        </is>
      </c>
      <c r="G69" s="4" t="inlineStr">
        <is>
          <t>Passed on test</t>
        </is>
      </c>
      <c r="H69" s="4" t="inlineStr">
        <is>
          <t>Passed on test</t>
        </is>
      </c>
      <c r="I69" s="4" t="inlineStr">
        <is>
          <t>Passed on test</t>
        </is>
      </c>
      <c r="J69" s="4" t="inlineStr">
        <is>
          <t>Passed on test</t>
        </is>
      </c>
      <c r="K69" s="4" t="inlineStr">
        <is>
          <t>Passed on test</t>
        </is>
      </c>
      <c r="L69" s="4" t="inlineStr">
        <is>
          <t>Passed on test</t>
        </is>
      </c>
      <c r="M69" s="4" t="inlineStr">
        <is>
          <t>Passed on test</t>
        </is>
      </c>
      <c r="N69" s="3" t="inlineStr">
        <is>
          <t>NOT_TESTED</t>
        </is>
      </c>
      <c r="O69" s="3" t="inlineStr">
        <is>
          <t>NOT_TESTED</t>
        </is>
      </c>
      <c r="P69" s="3" t="inlineStr">
        <is>
          <t>NOT_TESTED</t>
        </is>
      </c>
      <c r="Q69" s="3" t="inlineStr">
        <is>
          <t>NOT_TESTED</t>
        </is>
      </c>
      <c r="R69" s="3" t="inlineStr">
        <is>
          <t>NOT_TESTED</t>
        </is>
      </c>
      <c r="S69" s="3" t="inlineStr">
        <is>
          <t>NOT_TESTED</t>
        </is>
      </c>
      <c r="T69" s="3" t="inlineStr">
        <is>
          <t>NOT_TESTED</t>
        </is>
      </c>
      <c r="U69" s="3" t="inlineStr">
        <is>
          <t>NOT_TESTED</t>
        </is>
      </c>
      <c r="V69" s="3" t="inlineStr">
        <is>
          <t>NOT_TESTED</t>
        </is>
      </c>
      <c r="W69" s="3" t="inlineStr">
        <is>
          <t>NOT_TESTED</t>
        </is>
      </c>
      <c r="X69" s="3" t="inlineStr">
        <is>
          <t>NOT_TESTED</t>
        </is>
      </c>
      <c r="Y69" s="3" t="inlineStr">
        <is>
          <t>NOT_TESTED</t>
        </is>
      </c>
      <c r="Z69" s="3" t="inlineStr">
        <is>
          <t>NOT_TESTED</t>
        </is>
      </c>
      <c r="AA69" s="3" t="inlineStr">
        <is>
          <t>NOT_TESTED</t>
        </is>
      </c>
      <c r="AB69" s="3" t="inlineStr">
        <is>
          <t>NOT_TESTED</t>
        </is>
      </c>
      <c r="AC69" s="2" t="inlineStr">
        <is>
          <t>ImportError</t>
        </is>
      </c>
      <c r="AD69" s="2" t="inlineStr">
        <is>
          <t>ImportError: cannot import name 'UnitaryGate' from 'qiskit.circuit.library' (C:\qiskit_envs\q0250\lib\site-packages\qiskit\circuit\library\__init__.py)</t>
        </is>
      </c>
      <c r="AE69" s="2" t="inlineStr">
        <is>
          <t>Error on 0.25.x, passed on 0.45.x / 0.46.x: the LLM passed both register slices as one qubit list (qr1[1:2] + qr2[0:3]) to append(), which is the fix, but also moved the UnitaryGate import from qiskit.extensions to qiskit.circuit.library, where it doesn't exist yet in Qiskit 0.25 (ImportError). The GPT models kept the original import and passed on all 12 versions.</t>
        </is>
      </c>
      <c r="AF69" s="2" t="inlineStr">
        <is>
          <t>ImportError</t>
        </is>
      </c>
      <c r="AG69" s="2" t="inlineStr">
        <is>
          <t>ImportError: cannot import name 'UnitaryGate' from 'qiskit.circuit.library' (C:\qiskit_envs\q0251\lib\site-packages\qiskit\circuit\library\__init__.py)</t>
        </is>
      </c>
      <c r="AH69" s="2" t="inlineStr">
        <is>
          <t>Error on 0.25.x, passed on 0.45.x / 0.46.x: the LLM passed both register slices as one qubit list (qr1[1:2] + qr2[0:3]) to append(), which is the fix, but also moved the UnitaryGate import from qiskit.extensions to qiskit.circuit.library, where it doesn't exist yet in Qiskit 0.25 (ImportError). The GPT models kept the original import and passed on all 12 versions.</t>
        </is>
      </c>
      <c r="AI69" s="2" t="inlineStr">
        <is>
          <t>ImportError</t>
        </is>
      </c>
      <c r="AJ69" s="2" t="inlineStr">
        <is>
          <t>ImportError: cannot import name 'UnitaryGate' from 'qiskit.circuit.library' (C:\qiskit_envs\q0252\lib\site-packages\qiskit\circuit\library\__init__.py)</t>
        </is>
      </c>
      <c r="AK69" s="2" t="inlineStr">
        <is>
          <t>Error on 0.25.x, passed on 0.45.x / 0.46.x: the LLM passed both register slices as one qubit list (qr1[1:2] + qr2[0:3]) to append(), which is the fix, but also moved the UnitaryGate import from qiskit.extensions to qiskit.circuit.library, where it doesn't exist yet in Qiskit 0.25 (ImportError). The GPT models kept the original import and passed on all 12 versions.</t>
        </is>
      </c>
      <c r="AL69" s="2" t="inlineStr">
        <is>
          <t>ImportError</t>
        </is>
      </c>
      <c r="AM69" s="2" t="inlineStr">
        <is>
          <t>ImportError: cannot import name 'UnitaryGate' from 'qiskit.circuit.library' (C:\qiskit_envs\q0253\lib\site-packages\qiskit\circuit\library\__init__.py)</t>
        </is>
      </c>
      <c r="AN69" s="2" t="inlineStr">
        <is>
          <t>Error on 0.25.x, passed on 0.45.x / 0.46.x: the LLM passed both register slices as one qubit list (qr1[1:2] + qr2[0:3]) to append(), which is the fix, but also moved the UnitaryGate import from qiskit.extensions to qiskit.circuit.library, where it doesn't exist yet in Qiskit 0.25 (ImportError). The GPT models kept the original import and passed on all 12 versions.</t>
        </is>
      </c>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2" t="n"/>
      <c r="BM69" s="2" t="n"/>
      <c r="BN69" s="2" t="n"/>
      <c r="BO69" s="2" t="n"/>
      <c r="BP69" s="2" t="n"/>
      <c r="BQ69" s="2" t="n"/>
      <c r="BR69" s="2" t="n"/>
      <c r="BS69" s="2" t="n"/>
      <c r="BT69" s="2" t="n"/>
      <c r="BU69" s="2" t="n"/>
      <c r="BV69" s="2" t="n"/>
      <c r="BW69" s="2" t="n"/>
      <c r="BX69" s="2" t="n"/>
      <c r="BY69" s="2" t="n"/>
      <c r="BZ69" s="2" t="n"/>
      <c r="CA69" s="2" t="n"/>
      <c r="CB69" s="2" t="n"/>
      <c r="CC69" s="2" t="n"/>
      <c r="CD69" s="2" t="n"/>
      <c r="CE69" s="2" t="n"/>
      <c r="CF69" s="2" t="n"/>
      <c r="CG69" s="2" t="n"/>
      <c r="CH69" s="2" t="n"/>
      <c r="CI69" s="2" t="n"/>
      <c r="CJ69" s="2" t="n"/>
      <c r="CK69" s="2" t="n"/>
      <c r="CL69" s="2" t="n"/>
      <c r="CM69" s="2" t="n"/>
      <c r="CN69" s="2" t="n"/>
      <c r="CO69" s="2" t="n"/>
      <c r="CP69" s="2" t="n"/>
      <c r="CQ69" s="2" t="n"/>
      <c r="CR69" s="2" t="n"/>
      <c r="CS69" s="2" t="n"/>
      <c r="CT69" s="2" t="n"/>
      <c r="CU69" s="2" t="n"/>
      <c r="CV69" s="2" t="n"/>
      <c r="CW69" s="2" t="n"/>
      <c r="CX69" s="2" t="n"/>
      <c r="CY69" s="2" t="n"/>
      <c r="CZ69" s="2" t="n"/>
      <c r="DA69" s="2" t="n"/>
      <c r="DB69" s="2" t="n"/>
      <c r="DC69" s="2" t="n"/>
      <c r="DD69" s="2" t="n"/>
      <c r="DE69" s="2" t="n"/>
    </row>
    <row r="70">
      <c r="A70" s="2" t="inlineStr">
        <is>
          <t>issue_790</t>
        </is>
      </c>
      <c r="B70" s="3" t="inlineStr">
        <is>
          <t>NOT_TESTED</t>
        </is>
      </c>
      <c r="C70" s="3" t="inlineStr">
        <is>
          <t>NOT_TESTED</t>
        </is>
      </c>
      <c r="D70" s="3" t="inlineStr">
        <is>
          <t>NOT_TESTED</t>
        </is>
      </c>
      <c r="E70" s="3" t="inlineStr">
        <is>
          <t>NOT_TESTED</t>
        </is>
      </c>
      <c r="F70" s="6" t="inlineStr">
        <is>
          <t>Runtime error</t>
        </is>
      </c>
      <c r="G70" s="6" t="inlineStr">
        <is>
          <t>Runtime error</t>
        </is>
      </c>
      <c r="H70" s="6" t="inlineStr">
        <is>
          <t>Runtime error</t>
        </is>
      </c>
      <c r="I70" s="6" t="inlineStr">
        <is>
          <t>Runtime error</t>
        </is>
      </c>
      <c r="J70" s="6" t="inlineStr">
        <is>
          <t>Runtime error</t>
        </is>
      </c>
      <c r="K70" s="6" t="inlineStr">
        <is>
          <t>Runtime error</t>
        </is>
      </c>
      <c r="L70" s="6" t="inlineStr">
        <is>
          <t>Runtime error</t>
        </is>
      </c>
      <c r="M70" s="6" t="inlineStr">
        <is>
          <t>Runtime error</t>
        </is>
      </c>
      <c r="N70" s="6" t="inlineStr">
        <is>
          <t>Runtime error</t>
        </is>
      </c>
      <c r="O70" s="6" t="inlineStr">
        <is>
          <t>Runtime error</t>
        </is>
      </c>
      <c r="P70" s="6" t="inlineStr">
        <is>
          <t>Runtime error</t>
        </is>
      </c>
      <c r="Q70" s="6" t="inlineStr">
        <is>
          <t>Runtime error</t>
        </is>
      </c>
      <c r="R70" s="6" t="inlineStr">
        <is>
          <t>Runtime error</t>
        </is>
      </c>
      <c r="S70" s="6" t="inlineStr">
        <is>
          <t>Runtime error</t>
        </is>
      </c>
      <c r="T70" s="6" t="inlineStr">
        <is>
          <t>Runtime error</t>
        </is>
      </c>
      <c r="U70" s="6" t="inlineStr">
        <is>
          <t>Runtime error</t>
        </is>
      </c>
      <c r="V70" s="6" t="inlineStr">
        <is>
          <t>Runtime error</t>
        </is>
      </c>
      <c r="W70" s="6" t="inlineStr">
        <is>
          <t>Runtime error</t>
        </is>
      </c>
      <c r="X70" s="6" t="inlineStr">
        <is>
          <t>Runtime error</t>
        </is>
      </c>
      <c r="Y70" s="6" t="inlineStr">
        <is>
          <t>Runtime error</t>
        </is>
      </c>
      <c r="Z70" s="6" t="inlineStr">
        <is>
          <t>Runtime error</t>
        </is>
      </c>
      <c r="AA70" s="6" t="inlineStr">
        <is>
          <t>Runtime error</t>
        </is>
      </c>
      <c r="AB70" s="6" t="inlineStr">
        <is>
          <t>Runtime error</t>
        </is>
      </c>
      <c r="AC70" s="2" t="n"/>
      <c r="AD70" s="2" t="n"/>
      <c r="AE70" s="2" t="n"/>
      <c r="AF70" s="2" t="n"/>
      <c r="AG70" s="2" t="n"/>
      <c r="AH70" s="2" t="n"/>
      <c r="AI70" s="2" t="n"/>
      <c r="AJ70" s="2" t="n"/>
      <c r="AK70" s="2" t="n"/>
      <c r="AL70" s="2" t="n"/>
      <c r="AM70" s="2" t="n"/>
      <c r="AN70" s="2" t="n"/>
      <c r="AO70" s="2" t="inlineStr">
        <is>
          <t>TypeError</t>
        </is>
      </c>
      <c r="AP70" s="2" t="inlineStr">
        <is>
          <t>TypeError: unsupported operand type(s) for -: 'Pauli' and 'Pauli'</t>
        </is>
      </c>
      <c r="AQ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AR70" s="2" t="inlineStr">
        <is>
          <t>TypeError</t>
        </is>
      </c>
      <c r="AS70" s="2" t="inlineStr">
        <is>
          <t>TypeError: unsupported operand type(s) for -: 'Pauli' and 'Pauli'</t>
        </is>
      </c>
      <c r="AT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AU70" s="2" t="inlineStr">
        <is>
          <t>TypeError</t>
        </is>
      </c>
      <c r="AV70" s="2" t="inlineStr">
        <is>
          <t>TypeError: unsupported operand type(s) for -: 'Pauli' and 'Pauli'</t>
        </is>
      </c>
      <c r="AW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AX70" s="2" t="inlineStr">
        <is>
          <t>TypeError</t>
        </is>
      </c>
      <c r="AY70" s="2" t="inlineStr">
        <is>
          <t>TypeError: unsupported operand type(s) for -: 'Pauli' and 'Pauli'</t>
        </is>
      </c>
      <c r="AZ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A70" s="2" t="inlineStr">
        <is>
          <t>TypeError</t>
        </is>
      </c>
      <c r="BB70" s="2" t="inlineStr">
        <is>
          <t>TypeError: unsupported operand type(s) for -: 'Pauli' and 'Pauli'</t>
        </is>
      </c>
      <c r="BC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D70" s="2" t="inlineStr">
        <is>
          <t>TypeError</t>
        </is>
      </c>
      <c r="BE70" s="2" t="inlineStr">
        <is>
          <t>TypeError: unsupported operand type(s) for -: 'Pauli' and 'Pauli'</t>
        </is>
      </c>
      <c r="BF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G70" s="2" t="inlineStr">
        <is>
          <t>TypeError</t>
        </is>
      </c>
      <c r="BH70" s="2" t="inlineStr">
        <is>
          <t>TypeError: unsupported operand type(s) for -: 'Pauli' and 'Pauli'</t>
        </is>
      </c>
      <c r="BI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J70" s="2" t="inlineStr">
        <is>
          <t>TypeError</t>
        </is>
      </c>
      <c r="BK70" s="2" t="inlineStr">
        <is>
          <t>TypeError: unsupported operand type(s) for -: 'Pauli' and 'Pauli'</t>
        </is>
      </c>
      <c r="BL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M70" s="2" t="inlineStr">
        <is>
          <t>TypeError</t>
        </is>
      </c>
      <c r="BN70" s="2" t="inlineStr">
        <is>
          <t>TypeError: unsupported operand type(s) for -: 'Pauli' and 'Pauli'</t>
        </is>
      </c>
      <c r="BO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P70" s="2" t="inlineStr">
        <is>
          <t>TypeError</t>
        </is>
      </c>
      <c r="BQ70" s="2" t="inlineStr">
        <is>
          <t>TypeError: unsupported operand type(s) for -: 'Pauli' and 'Pauli'</t>
        </is>
      </c>
      <c r="BR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S70" s="2" t="inlineStr">
        <is>
          <t>TypeError</t>
        </is>
      </c>
      <c r="BT70" s="2" t="inlineStr">
        <is>
          <t>TypeError: unsupported operand type(s) for -: 'Pauli' and 'Pauli'</t>
        </is>
      </c>
      <c r="BU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V70" s="2" t="inlineStr">
        <is>
          <t>TypeError</t>
        </is>
      </c>
      <c r="BW70" s="2" t="inlineStr">
        <is>
          <t>TypeError: unsupported operand type(s) for -: 'Pauli' and 'Pauli'</t>
        </is>
      </c>
      <c r="BX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BY70" s="2" t="inlineStr">
        <is>
          <t>TypeError</t>
        </is>
      </c>
      <c r="BZ70" s="2" t="inlineStr">
        <is>
          <t>TypeError: unsupported operand type(s) for -: 'Pauli' and 'Pauli'</t>
        </is>
      </c>
      <c r="CA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B70" s="2" t="inlineStr">
        <is>
          <t>TypeError</t>
        </is>
      </c>
      <c r="CC70" s="2" t="inlineStr">
        <is>
          <t>TypeError: unsupported operand type(s) for -: 'Pauli' and 'Pauli'</t>
        </is>
      </c>
      <c r="CD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E70" s="2" t="inlineStr">
        <is>
          <t>TypeError</t>
        </is>
      </c>
      <c r="CF70" s="2" t="inlineStr">
        <is>
          <t>TypeError: unsupported operand type(s) for -: 'Pauli' and 'Pauli'</t>
        </is>
      </c>
      <c r="CG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H70" s="2" t="inlineStr">
        <is>
          <t>TypeError</t>
        </is>
      </c>
      <c r="CI70" s="2" t="inlineStr">
        <is>
          <t>TypeError: unsupported operand type(s) for -: 'Pauli' and 'Pauli'</t>
        </is>
      </c>
      <c r="CJ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K70" s="2" t="inlineStr">
        <is>
          <t>TypeError</t>
        </is>
      </c>
      <c r="CL70" s="2" t="inlineStr">
        <is>
          <t>TypeError: unsupported operand type(s) for -: 'Pauli' and 'Pauli'</t>
        </is>
      </c>
      <c r="CM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N70" s="2" t="inlineStr">
        <is>
          <t>TypeError</t>
        </is>
      </c>
      <c r="CO70" s="2" t="inlineStr">
        <is>
          <t>TypeError: unsupported operand type(s) for -: 'Pauli' and 'Pauli'</t>
        </is>
      </c>
      <c r="CP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Q70" s="2" t="inlineStr">
        <is>
          <t>TypeError</t>
        </is>
      </c>
      <c r="CR70" s="2" t="inlineStr">
        <is>
          <t>TypeError: unsupported operand type(s) for -: 'Pauli' and 'Pauli'</t>
        </is>
      </c>
      <c r="CS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T70" s="2" t="inlineStr">
        <is>
          <t>TypeError</t>
        </is>
      </c>
      <c r="CU70" s="2" t="inlineStr">
        <is>
          <t>TypeError: unsupported operand type(s) for -: 'Pauli' and 'Pauli'</t>
        </is>
      </c>
      <c r="CV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W70" s="2" t="inlineStr">
        <is>
          <t>TypeError</t>
        </is>
      </c>
      <c r="CX70" s="2" t="inlineStr">
        <is>
          <t>TypeError: unsupported operand type(s) for -: 'Pauli' and 'Pauli'</t>
        </is>
      </c>
      <c r="CY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CZ70" s="2" t="inlineStr">
        <is>
          <t>TypeError</t>
        </is>
      </c>
      <c r="DA70" s="2" t="inlineStr">
        <is>
          <t>TypeError: unsupported operand type(s) for -: 'Pauli' and 'Pauli'</t>
        </is>
      </c>
      <c r="DB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DC70" s="2" t="inlineStr">
        <is>
          <t>TypeError</t>
        </is>
      </c>
      <c r="DD70" s="2" t="inlineStr">
        <is>
          <t>TypeError: unsupported operand type(s) for -: 'Pauli' and 'Pauli'</t>
        </is>
      </c>
      <c r="DE70" s="2"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row>
    <row r="71">
      <c r="A71" s="2" t="inlineStr">
        <is>
          <t>issue_827</t>
        </is>
      </c>
      <c r="B71" s="6" t="inlineStr">
        <is>
          <t>Runtime error</t>
        </is>
      </c>
      <c r="C71" s="6" t="inlineStr">
        <is>
          <t>Runtime error</t>
        </is>
      </c>
      <c r="D71" s="6" t="inlineStr">
        <is>
          <t>Runtime error</t>
        </is>
      </c>
      <c r="E71" s="6" t="inlineStr">
        <is>
          <t>Runtime error</t>
        </is>
      </c>
      <c r="F71" s="4" t="inlineStr">
        <is>
          <t>Passed on test</t>
        </is>
      </c>
      <c r="G71" s="4" t="inlineStr">
        <is>
          <t>Passed on test</t>
        </is>
      </c>
      <c r="H71" s="4" t="inlineStr">
        <is>
          <t>Passed on test</t>
        </is>
      </c>
      <c r="I71" s="4" t="inlineStr">
        <is>
          <t>Passed on test</t>
        </is>
      </c>
      <c r="J71" s="4" t="inlineStr">
        <is>
          <t>Passed on test</t>
        </is>
      </c>
      <c r="K71" s="4" t="inlineStr">
        <is>
          <t>Passed on test</t>
        </is>
      </c>
      <c r="L71" s="4" t="inlineStr">
        <is>
          <t>Passed on test</t>
        </is>
      </c>
      <c r="M71" s="4" t="inlineStr">
        <is>
          <t>Passed on test</t>
        </is>
      </c>
      <c r="N71" s="3" t="inlineStr">
        <is>
          <t>NOT_TESTED</t>
        </is>
      </c>
      <c r="O71" s="3" t="inlineStr">
        <is>
          <t>NOT_TESTED</t>
        </is>
      </c>
      <c r="P71" s="3" t="inlineStr">
        <is>
          <t>NOT_TESTED</t>
        </is>
      </c>
      <c r="Q71" s="3" t="inlineStr">
        <is>
          <t>NOT_TESTED</t>
        </is>
      </c>
      <c r="R71" s="3" t="inlineStr">
        <is>
          <t>NOT_TESTED</t>
        </is>
      </c>
      <c r="S71" s="3" t="inlineStr">
        <is>
          <t>NOT_TESTED</t>
        </is>
      </c>
      <c r="T71" s="3" t="inlineStr">
        <is>
          <t>NOT_TESTED</t>
        </is>
      </c>
      <c r="U71" s="3" t="inlineStr">
        <is>
          <t>NOT_TESTED</t>
        </is>
      </c>
      <c r="V71" s="3" t="inlineStr">
        <is>
          <t>NOT_TESTED</t>
        </is>
      </c>
      <c r="W71" s="3" t="inlineStr">
        <is>
          <t>NOT_TESTED</t>
        </is>
      </c>
      <c r="X71" s="3" t="inlineStr">
        <is>
          <t>NOT_TESTED</t>
        </is>
      </c>
      <c r="Y71" s="3" t="inlineStr">
        <is>
          <t>NOT_TESTED</t>
        </is>
      </c>
      <c r="Z71" s="3" t="inlineStr">
        <is>
          <t>NOT_TESTED</t>
        </is>
      </c>
      <c r="AA71" s="3" t="inlineStr">
        <is>
          <t>NOT_TESTED</t>
        </is>
      </c>
      <c r="AB71" s="3" t="inlineStr">
        <is>
          <t>NOT_TESTED</t>
        </is>
      </c>
      <c r="AC71" s="2" t="inlineStr">
        <is>
          <t>ModuleNotFoundError</t>
        </is>
      </c>
      <c r="AD71" s="2" t="inlineStr">
        <is>
          <t>ModuleNotFoundError: No module named 'qiskit_aer'</t>
        </is>
      </c>
      <c r="AE71" s="2" t="inlineStr">
        <is>
          <t>Error on 0.25.x, passed on 0.45.x / 0.46.x: the LLM replaced compile() with transpile() and the removed qiskit.backends import with qiskit.providers.jobstatus, which fixes the script, but it also moved Aer to qiskit_aer; the Aer 0.8 that comes with Qiskit 0.25 can only be imported as qiskit.providers.aer (ModuleNotFoundError). It is the first model to pass this case on any version; all four GPT models kept the qiskit.backends import.</t>
        </is>
      </c>
      <c r="AF71" s="2" t="inlineStr">
        <is>
          <t>ModuleNotFoundError</t>
        </is>
      </c>
      <c r="AG71" s="2" t="inlineStr">
        <is>
          <t>ModuleNotFoundError: No module named 'qiskit_aer'</t>
        </is>
      </c>
      <c r="AH71" s="2" t="inlineStr">
        <is>
          <t>Error on 0.25.x, passed on 0.45.x / 0.46.x: the LLM replaced compile() with transpile() and the removed qiskit.backends import with qiskit.providers.jobstatus, which fixes the script, but it also moved Aer to qiskit_aer; the Aer 0.8 that comes with Qiskit 0.25 can only be imported as qiskit.providers.aer (ModuleNotFoundError). It is the first model to pass this case on any version; all four GPT models kept the qiskit.backends import.</t>
        </is>
      </c>
      <c r="AI71" s="2" t="inlineStr">
        <is>
          <t>ModuleNotFoundError</t>
        </is>
      </c>
      <c r="AJ71" s="2" t="inlineStr">
        <is>
          <t>ModuleNotFoundError: No module named 'qiskit_aer'</t>
        </is>
      </c>
      <c r="AK71" s="2" t="inlineStr">
        <is>
          <t>Error on 0.25.x, passed on 0.45.x / 0.46.x: the LLM replaced compile() with transpile() and the removed qiskit.backends import with qiskit.providers.jobstatus, which fixes the script, but it also moved Aer to qiskit_aer; the Aer 0.8 that comes with Qiskit 0.25 can only be imported as qiskit.providers.aer (ModuleNotFoundError). It is the first model to pass this case on any version; all four GPT models kept the qiskit.backends import.</t>
        </is>
      </c>
      <c r="AL71" s="2" t="inlineStr">
        <is>
          <t>ModuleNotFoundError</t>
        </is>
      </c>
      <c r="AM71" s="2" t="inlineStr">
        <is>
          <t>ModuleNotFoundError: No module named 'qiskit_aer'</t>
        </is>
      </c>
      <c r="AN71" s="2" t="inlineStr">
        <is>
          <t>Error on 0.25.x, passed on 0.45.x / 0.46.x: the LLM replaced compile() with transpile() and the removed qiskit.backends import with qiskit.providers.jobstatus, which fixes the script, but it also moved Aer to qiskit_aer; the Aer 0.8 that comes with Qiskit 0.25 can only be imported as qiskit.providers.aer (ModuleNotFoundError). It is the first model to pass this case on any version; all four GPT models kept the qiskit.backends import.</t>
        </is>
      </c>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2" t="n"/>
      <c r="BJ71" s="2" t="n"/>
      <c r="BK71" s="2" t="n"/>
      <c r="BL71" s="2" t="n"/>
      <c r="BM71" s="2" t="n"/>
      <c r="BN71" s="2" t="n"/>
      <c r="BO71" s="2" t="n"/>
      <c r="BP71" s="2" t="n"/>
      <c r="BQ71" s="2" t="n"/>
      <c r="BR71" s="2" t="n"/>
      <c r="BS71" s="2" t="n"/>
      <c r="BT71" s="2" t="n"/>
      <c r="BU71" s="2" t="n"/>
      <c r="BV71" s="2" t="n"/>
      <c r="BW71" s="2" t="n"/>
      <c r="BX71" s="2" t="n"/>
      <c r="BY71" s="2" t="n"/>
      <c r="BZ71" s="2" t="n"/>
      <c r="CA71" s="2" t="n"/>
      <c r="CB71" s="2" t="n"/>
      <c r="CC71" s="2" t="n"/>
      <c r="CD71" s="2" t="n"/>
      <c r="CE71" s="2" t="n"/>
      <c r="CF71" s="2" t="n"/>
      <c r="CG71" s="2" t="n"/>
      <c r="CH71" s="2" t="n"/>
      <c r="CI71" s="2" t="n"/>
      <c r="CJ71" s="2" t="n"/>
      <c r="CK71" s="2" t="n"/>
      <c r="CL71" s="2" t="n"/>
      <c r="CM71" s="2" t="n"/>
      <c r="CN71" s="2" t="n"/>
      <c r="CO71" s="2" t="n"/>
      <c r="CP71" s="2" t="n"/>
      <c r="CQ71" s="2" t="n"/>
      <c r="CR71" s="2" t="n"/>
      <c r="CS71" s="2" t="n"/>
      <c r="CT71" s="2" t="n"/>
      <c r="CU71" s="2" t="n"/>
      <c r="CV71" s="2" t="n"/>
      <c r="CW71" s="2" t="n"/>
      <c r="CX71" s="2" t="n"/>
      <c r="CY71" s="2" t="n"/>
      <c r="CZ71" s="2" t="n"/>
      <c r="DA71" s="2" t="n"/>
      <c r="DB71" s="2" t="n"/>
      <c r="DC71" s="2" t="n"/>
      <c r="DD71" s="2" t="n"/>
      <c r="DE71" s="2" t="n"/>
    </row>
    <row r="72">
      <c r="A72" s="2" t="inlineStr">
        <is>
          <t>issue_858</t>
        </is>
      </c>
      <c r="B72" s="3" t="inlineStr">
        <is>
          <t>NOT_TESTED</t>
        </is>
      </c>
      <c r="C72" s="3" t="inlineStr">
        <is>
          <t>NOT_TESTED</t>
        </is>
      </c>
      <c r="D72" s="3" t="inlineStr">
        <is>
          <t>NOT_TESTED</t>
        </is>
      </c>
      <c r="E72" s="3" t="inlineStr">
        <is>
          <t>NOT_TESTED</t>
        </is>
      </c>
      <c r="F72" s="6" t="inlineStr">
        <is>
          <t>Runtime error</t>
        </is>
      </c>
      <c r="G72" s="6" t="inlineStr">
        <is>
          <t>Runtime error</t>
        </is>
      </c>
      <c r="H72" s="6" t="inlineStr">
        <is>
          <t>Runtime error</t>
        </is>
      </c>
      <c r="I72" s="6" t="inlineStr">
        <is>
          <t>Runtime error</t>
        </is>
      </c>
      <c r="J72" s="6" t="inlineStr">
        <is>
          <t>Runtime error</t>
        </is>
      </c>
      <c r="K72" s="6" t="inlineStr">
        <is>
          <t>Runtime error</t>
        </is>
      </c>
      <c r="L72" s="6" t="inlineStr">
        <is>
          <t>Runtime error</t>
        </is>
      </c>
      <c r="M72" s="6" t="inlineStr">
        <is>
          <t>Runtime error</t>
        </is>
      </c>
      <c r="N72" s="3" t="inlineStr">
        <is>
          <t>NOT_TESTED</t>
        </is>
      </c>
      <c r="O72" s="3" t="inlineStr">
        <is>
          <t>NOT_TESTED</t>
        </is>
      </c>
      <c r="P72" s="3" t="inlineStr">
        <is>
          <t>NOT_TESTED</t>
        </is>
      </c>
      <c r="Q72" s="3" t="inlineStr">
        <is>
          <t>NOT_TESTED</t>
        </is>
      </c>
      <c r="R72" s="3" t="inlineStr">
        <is>
          <t>NOT_TESTED</t>
        </is>
      </c>
      <c r="S72" s="3" t="inlineStr">
        <is>
          <t>NOT_TESTED</t>
        </is>
      </c>
      <c r="T72" s="3" t="inlineStr">
        <is>
          <t>NOT_TESTED</t>
        </is>
      </c>
      <c r="U72" s="3" t="inlineStr">
        <is>
          <t>NOT_TESTED</t>
        </is>
      </c>
      <c r="V72" s="3" t="inlineStr">
        <is>
          <t>NOT_TESTED</t>
        </is>
      </c>
      <c r="W72" s="3" t="inlineStr">
        <is>
          <t>NOT_TESTED</t>
        </is>
      </c>
      <c r="X72" s="3" t="inlineStr">
        <is>
          <t>NOT_TESTED</t>
        </is>
      </c>
      <c r="Y72" s="3" t="inlineStr">
        <is>
          <t>NOT_TESTED</t>
        </is>
      </c>
      <c r="Z72" s="3" t="inlineStr">
        <is>
          <t>NOT_TESTED</t>
        </is>
      </c>
      <c r="AA72" s="3" t="inlineStr">
        <is>
          <t>NOT_TESTED</t>
        </is>
      </c>
      <c r="AB72" s="3" t="inlineStr">
        <is>
          <t>NOT_TESTED</t>
        </is>
      </c>
      <c r="AC72" s="2" t="n"/>
      <c r="AD72" s="2" t="n"/>
      <c r="AE72" s="2" t="n"/>
      <c r="AF72" s="2" t="n"/>
      <c r="AG72" s="2" t="n"/>
      <c r="AH72" s="2" t="n"/>
      <c r="AI72" s="2" t="n"/>
      <c r="AJ72" s="2" t="n"/>
      <c r="AK72" s="2" t="n"/>
      <c r="AL72" s="2" t="n"/>
      <c r="AM72" s="2" t="n"/>
      <c r="AN72" s="2" t="n"/>
      <c r="AO72" s="2" t="inlineStr">
        <is>
          <t>ModuleNotFoundError</t>
        </is>
      </c>
      <c r="AP72" s="2" t="inlineStr">
        <is>
          <t>ModuleNotFoundError: No module named 'qiskit_ibm_runtime'</t>
        </is>
      </c>
      <c r="AQ72" s="2" t="inlineStr">
        <is>
          <t>The LLM replaced the IBMQ account and the retired ibm_oslo with the FakeOslo snapshot, but imported it from qiskit_ibm_runtime.fake_provider, which isn't installed for Qiskit 0.45 / 0.46 (ModuleNotFoundError). Every model so far fails this case.</t>
        </is>
      </c>
      <c r="AR72" s="2" t="inlineStr">
        <is>
          <t>ModuleNotFoundError</t>
        </is>
      </c>
      <c r="AS72" s="2" t="inlineStr">
        <is>
          <t>ModuleNotFoundError: No module named 'qiskit_ibm_runtime'</t>
        </is>
      </c>
      <c r="AT72" s="2" t="inlineStr">
        <is>
          <t>The LLM replaced the IBMQ account and the retired ibm_oslo with the FakeOslo snapshot, but imported it from qiskit_ibm_runtime.fake_provider, which isn't installed for Qiskit 0.45 / 0.46 (ModuleNotFoundError). Every model so far fails this case.</t>
        </is>
      </c>
      <c r="AU72" s="2" t="inlineStr">
        <is>
          <t>ModuleNotFoundError</t>
        </is>
      </c>
      <c r="AV72" s="2" t="inlineStr">
        <is>
          <t>ModuleNotFoundError: No module named 'qiskit_ibm_runtime'</t>
        </is>
      </c>
      <c r="AW72" s="2" t="inlineStr">
        <is>
          <t>The LLM replaced the IBMQ account and the retired ibm_oslo with the FakeOslo snapshot, but imported it from qiskit_ibm_runtime.fake_provider, which isn't installed for Qiskit 0.45 / 0.46 (ModuleNotFoundError). Every model so far fails this case.</t>
        </is>
      </c>
      <c r="AX72" s="2" t="inlineStr">
        <is>
          <t>ModuleNotFoundError</t>
        </is>
      </c>
      <c r="AY72" s="2" t="inlineStr">
        <is>
          <t>ModuleNotFoundError: No module named 'qiskit_ibm_runtime'</t>
        </is>
      </c>
      <c r="AZ72" s="2" t="inlineStr">
        <is>
          <t>The LLM replaced the IBMQ account and the retired ibm_oslo with the FakeOslo snapshot, but imported it from qiskit_ibm_runtime.fake_provider, which isn't installed for Qiskit 0.45 / 0.46 (ModuleNotFoundError). Every model so far fails this case.</t>
        </is>
      </c>
      <c r="BA72" s="2" t="inlineStr">
        <is>
          <t>ModuleNotFoundError</t>
        </is>
      </c>
      <c r="BB72" s="2" t="inlineStr">
        <is>
          <t>ModuleNotFoundError: No module named 'qiskit_ibm_runtime'</t>
        </is>
      </c>
      <c r="BC72" s="2" t="inlineStr">
        <is>
          <t>The LLM replaced the IBMQ account and the retired ibm_oslo with the FakeOslo snapshot, but imported it from qiskit_ibm_runtime.fake_provider, which isn't installed for Qiskit 0.45 / 0.46 (ModuleNotFoundError). Every model so far fails this case.</t>
        </is>
      </c>
      <c r="BD72" s="2" t="inlineStr">
        <is>
          <t>ModuleNotFoundError</t>
        </is>
      </c>
      <c r="BE72" s="2" t="inlineStr">
        <is>
          <t>ModuleNotFoundError: No module named 'qiskit_ibm_runtime'</t>
        </is>
      </c>
      <c r="BF72" s="2" t="inlineStr">
        <is>
          <t>The LLM replaced the IBMQ account and the retired ibm_oslo with the FakeOslo snapshot, but imported it from qiskit_ibm_runtime.fake_provider, which isn't installed for Qiskit 0.45 / 0.46 (ModuleNotFoundError). Every model so far fails this case.</t>
        </is>
      </c>
      <c r="BG72" s="2" t="inlineStr">
        <is>
          <t>ModuleNotFoundError</t>
        </is>
      </c>
      <c r="BH72" s="2" t="inlineStr">
        <is>
          <t>ModuleNotFoundError: No module named 'qiskit_ibm_runtime'</t>
        </is>
      </c>
      <c r="BI72" s="2" t="inlineStr">
        <is>
          <t>The LLM replaced the IBMQ account and the retired ibm_oslo with the FakeOslo snapshot, but imported it from qiskit_ibm_runtime.fake_provider, which isn't installed for Qiskit 0.45 / 0.46 (ModuleNotFoundError). Every model so far fails this case.</t>
        </is>
      </c>
      <c r="BJ72" s="2" t="inlineStr">
        <is>
          <t>ModuleNotFoundError</t>
        </is>
      </c>
      <c r="BK72" s="2" t="inlineStr">
        <is>
          <t>ModuleNotFoundError: No module named 'qiskit_ibm_runtime'</t>
        </is>
      </c>
      <c r="BL72" s="2" t="inlineStr">
        <is>
          <t>The LLM replaced the IBMQ account and the retired ibm_oslo with the FakeOslo snapshot, but imported it from qiskit_ibm_runtime.fake_provider, which isn't installed for Qiskit 0.45 / 0.46 (ModuleNotFoundError). Every model so far fails this case.</t>
        </is>
      </c>
      <c r="BM72" s="2" t="n"/>
      <c r="BN72" s="2" t="n"/>
      <c r="BO72" s="2" t="n"/>
      <c r="BP72" s="2" t="n"/>
      <c r="BQ72" s="2" t="n"/>
      <c r="BR72" s="2" t="n"/>
      <c r="BS72" s="2" t="n"/>
      <c r="BT72" s="2" t="n"/>
      <c r="BU72" s="2" t="n"/>
      <c r="BV72" s="2" t="n"/>
      <c r="BW72" s="2" t="n"/>
      <c r="BX72" s="2" t="n"/>
      <c r="BY72" s="2" t="n"/>
      <c r="BZ72" s="2" t="n"/>
      <c r="CA72" s="2" t="n"/>
      <c r="CB72" s="2" t="n"/>
      <c r="CC72" s="2" t="n"/>
      <c r="CD72" s="2" t="n"/>
      <c r="CE72" s="2" t="n"/>
      <c r="CF72" s="2" t="n"/>
      <c r="CG72" s="2" t="n"/>
      <c r="CH72" s="2" t="n"/>
      <c r="CI72" s="2" t="n"/>
      <c r="CJ72" s="2" t="n"/>
      <c r="CK72" s="2" t="n"/>
      <c r="CL72" s="2" t="n"/>
      <c r="CM72" s="2" t="n"/>
      <c r="CN72" s="2" t="n"/>
      <c r="CO72" s="2" t="n"/>
      <c r="CP72" s="2" t="n"/>
      <c r="CQ72" s="2" t="n"/>
      <c r="CR72" s="2" t="n"/>
      <c r="CS72" s="2" t="n"/>
      <c r="CT72" s="2" t="n"/>
      <c r="CU72" s="2" t="n"/>
      <c r="CV72" s="2" t="n"/>
      <c r="CW72" s="2" t="n"/>
      <c r="CX72" s="2" t="n"/>
      <c r="CY72" s="2" t="n"/>
      <c r="CZ72" s="2" t="n"/>
      <c r="DA72" s="2" t="n"/>
      <c r="DB72" s="2" t="n"/>
      <c r="DC72" s="2" t="n"/>
      <c r="DD72" s="2" t="n"/>
      <c r="DE72" s="2" t="n"/>
    </row>
    <row r="73">
      <c r="A73" s="2" t="inlineStr">
        <is>
          <t>issue_901</t>
        </is>
      </c>
      <c r="B73" s="3" t="inlineStr">
        <is>
          <t>NOT_TESTED</t>
        </is>
      </c>
      <c r="C73" s="3" t="inlineStr">
        <is>
          <t>NOT_TESTED</t>
        </is>
      </c>
      <c r="D73" s="3" t="inlineStr">
        <is>
          <t>NOT_TESTED</t>
        </is>
      </c>
      <c r="E73" s="3" t="inlineStr">
        <is>
          <t>NOT_TESTED</t>
        </is>
      </c>
      <c r="F73" s="4" t="inlineStr">
        <is>
          <t>Passed on test</t>
        </is>
      </c>
      <c r="G73" s="4" t="inlineStr">
        <is>
          <t>Passed on test</t>
        </is>
      </c>
      <c r="H73" s="4" t="inlineStr">
        <is>
          <t>Passed on test</t>
        </is>
      </c>
      <c r="I73" s="4" t="inlineStr">
        <is>
          <t>Passed on test</t>
        </is>
      </c>
      <c r="J73" s="4" t="inlineStr">
        <is>
          <t>Passed on test</t>
        </is>
      </c>
      <c r="K73" s="4" t="inlineStr">
        <is>
          <t>Passed on test</t>
        </is>
      </c>
      <c r="L73" s="4" t="inlineStr">
        <is>
          <t>Passed on test</t>
        </is>
      </c>
      <c r="M73" s="4" t="inlineStr">
        <is>
          <t>Passed on test</t>
        </is>
      </c>
      <c r="N73" s="4" t="inlineStr">
        <is>
          <t>Passed on test</t>
        </is>
      </c>
      <c r="O73" s="4" t="inlineStr">
        <is>
          <t>Passed on test</t>
        </is>
      </c>
      <c r="P73" s="4" t="inlineStr">
        <is>
          <t>Passed on test</t>
        </is>
      </c>
      <c r="Q73" s="4" t="inlineStr">
        <is>
          <t>Passed on test</t>
        </is>
      </c>
      <c r="R73" s="4" t="inlineStr">
        <is>
          <t>Passed on test</t>
        </is>
      </c>
      <c r="S73" s="4" t="inlineStr">
        <is>
          <t>Passed on test</t>
        </is>
      </c>
      <c r="T73" s="4" t="inlineStr">
        <is>
          <t>Passed on test</t>
        </is>
      </c>
      <c r="U73" s="4" t="inlineStr">
        <is>
          <t>Passed on test</t>
        </is>
      </c>
      <c r="V73" s="4" t="inlineStr">
        <is>
          <t>Passed on test</t>
        </is>
      </c>
      <c r="W73" s="4" t="inlineStr">
        <is>
          <t>Passed on test</t>
        </is>
      </c>
      <c r="X73" s="4" t="inlineStr">
        <is>
          <t>Passed on test</t>
        </is>
      </c>
      <c r="Y73" s="3" t="inlineStr">
        <is>
          <t>NOT_TESTED</t>
        </is>
      </c>
      <c r="Z73" s="3" t="inlineStr">
        <is>
          <t>NOT_TESTED</t>
        </is>
      </c>
      <c r="AA73" s="3" t="inlineStr">
        <is>
          <t>NOT_TESTED</t>
        </is>
      </c>
      <c r="AB73" s="3" t="inlineStr">
        <is>
          <t>NOT_TESTED</t>
        </is>
      </c>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2" t="n"/>
      <c r="BM73" s="2" t="n"/>
      <c r="BN73" s="2" t="n"/>
      <c r="BO73" s="2" t="n"/>
      <c r="BP73" s="2" t="n"/>
      <c r="BQ73" s="2" t="n"/>
      <c r="BR73" s="2" t="n"/>
      <c r="BS73" s="2" t="n"/>
      <c r="BT73" s="2" t="n"/>
      <c r="BU73" s="2" t="n"/>
      <c r="BV73" s="2" t="n"/>
      <c r="BW73" s="2" t="n"/>
      <c r="BX73" s="2" t="n"/>
      <c r="BY73" s="2" t="n"/>
      <c r="BZ73" s="2" t="n"/>
      <c r="CA73" s="2" t="n"/>
      <c r="CB73" s="2" t="n"/>
      <c r="CC73" s="2" t="n"/>
      <c r="CD73" s="2" t="n"/>
      <c r="CE73" s="2" t="n"/>
      <c r="CF73" s="2" t="n"/>
      <c r="CG73" s="2" t="n"/>
      <c r="CH73" s="2" t="n"/>
      <c r="CI73" s="2" t="n"/>
      <c r="CJ73" s="2" t="n"/>
      <c r="CK73" s="2" t="n"/>
      <c r="CL73" s="2" t="n"/>
      <c r="CM73" s="2" t="n"/>
      <c r="CN73" s="2" t="n"/>
      <c r="CO73" s="2" t="n"/>
      <c r="CP73" s="2" t="n"/>
      <c r="CQ73" s="2" t="n"/>
      <c r="CR73" s="2" t="n"/>
      <c r="CS73" s="2" t="n"/>
      <c r="CT73" s="2" t="n"/>
      <c r="CU73" s="2" t="n"/>
      <c r="CV73" s="2" t="n"/>
      <c r="CW73" s="2" t="n"/>
      <c r="CX73" s="2" t="n"/>
      <c r="CY73" s="2" t="n"/>
      <c r="CZ73" s="2" t="n"/>
      <c r="DA73" s="2" t="n"/>
      <c r="DB73" s="2" t="n"/>
      <c r="DC73" s="2" t="n"/>
      <c r="DD73" s="2" t="n"/>
      <c r="DE73" s="2" t="n"/>
    </row>
    <row r="74">
      <c r="A74" s="2" t="inlineStr">
        <is>
          <t>issue_921</t>
        </is>
      </c>
      <c r="B74" s="4" t="inlineStr">
        <is>
          <t>Passed on test</t>
        </is>
      </c>
      <c r="C74" s="4" t="inlineStr">
        <is>
          <t>Passed on test</t>
        </is>
      </c>
      <c r="D74" s="4" t="inlineStr">
        <is>
          <t>Passed on test</t>
        </is>
      </c>
      <c r="E74" s="4" t="inlineStr">
        <is>
          <t>Passed on test</t>
        </is>
      </c>
      <c r="F74" s="3" t="inlineStr">
        <is>
          <t>NOT_TESTED</t>
        </is>
      </c>
      <c r="G74" s="3" t="inlineStr">
        <is>
          <t>NOT_TESTED</t>
        </is>
      </c>
      <c r="H74" s="3" t="inlineStr">
        <is>
          <t>NOT_TESTED</t>
        </is>
      </c>
      <c r="I74" s="3" t="inlineStr">
        <is>
          <t>NOT_TESTED</t>
        </is>
      </c>
      <c r="J74" s="3" t="inlineStr">
        <is>
          <t>NOT_TESTED</t>
        </is>
      </c>
      <c r="K74" s="3" t="inlineStr">
        <is>
          <t>NOT_TESTED</t>
        </is>
      </c>
      <c r="L74" s="3" t="inlineStr">
        <is>
          <t>NOT_TESTED</t>
        </is>
      </c>
      <c r="M74" s="3" t="inlineStr">
        <is>
          <t>NOT_TESTED</t>
        </is>
      </c>
      <c r="N74" s="3" t="inlineStr">
        <is>
          <t>NOT_TESTED</t>
        </is>
      </c>
      <c r="O74" s="3" t="inlineStr">
        <is>
          <t>NOT_TESTED</t>
        </is>
      </c>
      <c r="P74" s="3" t="inlineStr">
        <is>
          <t>NOT_TESTED</t>
        </is>
      </c>
      <c r="Q74" s="3" t="inlineStr">
        <is>
          <t>NOT_TESTED</t>
        </is>
      </c>
      <c r="R74" s="3" t="inlineStr">
        <is>
          <t>NOT_TESTED</t>
        </is>
      </c>
      <c r="S74" s="3" t="inlineStr">
        <is>
          <t>NOT_TESTED</t>
        </is>
      </c>
      <c r="T74" s="3" t="inlineStr">
        <is>
          <t>NOT_TESTED</t>
        </is>
      </c>
      <c r="U74" s="3" t="inlineStr">
        <is>
          <t>NOT_TESTED</t>
        </is>
      </c>
      <c r="V74" s="3" t="inlineStr">
        <is>
          <t>NOT_TESTED</t>
        </is>
      </c>
      <c r="W74" s="3" t="inlineStr">
        <is>
          <t>NOT_TESTED</t>
        </is>
      </c>
      <c r="X74" s="3" t="inlineStr">
        <is>
          <t>NOT_TESTED</t>
        </is>
      </c>
      <c r="Y74" s="3" t="inlineStr">
        <is>
          <t>NOT_TESTED</t>
        </is>
      </c>
      <c r="Z74" s="3" t="inlineStr">
        <is>
          <t>NOT_TESTED</t>
        </is>
      </c>
      <c r="AA74" s="3" t="inlineStr">
        <is>
          <t>NOT_TESTED</t>
        </is>
      </c>
      <c r="AB74" s="3" t="inlineStr">
        <is>
          <t>NOT_TESTED</t>
        </is>
      </c>
      <c r="AC74" s="2" t="n"/>
      <c r="AD74" s="2" t="n"/>
      <c r="AE74" s="2" t="n"/>
      <c r="AF74" s="2" t="n"/>
      <c r="AG74" s="2" t="n"/>
      <c r="AH74" s="2" t="n"/>
      <c r="AI74" s="2" t="n"/>
      <c r="AJ74" s="2" t="n"/>
      <c r="AK74" s="2" t="n"/>
      <c r="AL74" s="2" t="n"/>
      <c r="AM74" s="2" t="n"/>
      <c r="AN74" s="2" t="n"/>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2" t="n"/>
      <c r="BM74" s="2" t="n"/>
      <c r="BN74" s="2" t="n"/>
      <c r="BO74" s="2" t="n"/>
      <c r="BP74" s="2" t="n"/>
      <c r="BQ74" s="2" t="n"/>
      <c r="BR74" s="2" t="n"/>
      <c r="BS74" s="2" t="n"/>
      <c r="BT74" s="2" t="n"/>
      <c r="BU74" s="2" t="n"/>
      <c r="BV74" s="2" t="n"/>
      <c r="BW74" s="2" t="n"/>
      <c r="BX74" s="2" t="n"/>
      <c r="BY74" s="2" t="n"/>
      <c r="BZ74" s="2" t="n"/>
      <c r="CA74" s="2" t="n"/>
      <c r="CB74" s="2" t="n"/>
      <c r="CC74" s="2" t="n"/>
      <c r="CD74" s="2" t="n"/>
      <c r="CE74" s="2" t="n"/>
      <c r="CF74" s="2" t="n"/>
      <c r="CG74" s="2" t="n"/>
      <c r="CH74" s="2" t="n"/>
      <c r="CI74" s="2" t="n"/>
      <c r="CJ74" s="2" t="n"/>
      <c r="CK74" s="2" t="n"/>
      <c r="CL74" s="2" t="n"/>
      <c r="CM74" s="2" t="n"/>
      <c r="CN74" s="2" t="n"/>
      <c r="CO74" s="2" t="n"/>
      <c r="CP74" s="2" t="n"/>
      <c r="CQ74" s="2" t="n"/>
      <c r="CR74" s="2" t="n"/>
      <c r="CS74" s="2" t="n"/>
      <c r="CT74" s="2" t="n"/>
      <c r="CU74" s="2" t="n"/>
      <c r="CV74" s="2" t="n"/>
      <c r="CW74" s="2" t="n"/>
      <c r="CX74" s="2" t="n"/>
      <c r="CY74" s="2" t="n"/>
      <c r="CZ74" s="2" t="n"/>
      <c r="DA74" s="2" t="n"/>
      <c r="DB74" s="2" t="n"/>
      <c r="DC74" s="2" t="n"/>
      <c r="DD74" s="2" t="n"/>
      <c r="DE7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60"/>
  <sheetViews>
    <sheetView workbookViewId="0">
      <selection activeCell="A1" sqref="A1"/>
    </sheetView>
  </sheetViews>
  <sheetFormatPr baseColWidth="8" defaultRowHeight="15"/>
  <cols>
    <col width="16" customWidth="1" min="1" max="1"/>
    <col width="15" customWidth="1" min="2" max="2"/>
    <col width="34" customWidth="1" min="3" max="3"/>
    <col width="11" customWidth="1" min="4" max="4"/>
    <col width="26" customWidth="1" min="5" max="5"/>
    <col width="48" customWidth="1" min="6" max="6"/>
    <col width="60" customWidth="1" min="7" max="7"/>
    <col width="10" customWidth="1" min="8" max="8"/>
    <col width="14" customWidth="1" min="9" max="9"/>
    <col width="10" customWidth="1" min="10" max="10"/>
    <col width="12" customWidth="1" min="11" max="11"/>
  </cols>
  <sheetData>
    <row r="1">
      <c r="A1" s="7" t="inlineStr">
        <is>
          <t>LLM bug-repair results (claude-opus-5-5), judged by each case's test (test_new.py / test-new.py for issue_021_se, issue_058_se and issue_061; test.py for the rest) Since 9 Oct 2026, the test.py of 12 over-specific cases holds an updated test that replaced the old one.</t>
        </is>
      </c>
    </row>
    <row r="2">
      <c r="A2" t="inlineStr">
        <is>
          <t>All numbers below are formulas over the Summary sheet, so they update if Summary changes. batch 1 = Summary rows 2-11, batch 2 = Summary rows 12-21, batch 3 = Summary rows 22-31, batch 4 = Summary rows 32-41, batch 5 = Summary rows 42-51, batch 6 = Summary rows 52-61, batch 7 = Summary rows 62-68, batch 8 = Summary rows 69-74. The 4 runs that hit the 120-second timeout are counted as Runtime error.</t>
        </is>
      </c>
    </row>
    <row r="3"/>
    <row r="4">
      <c r="A4" s="7" t="inlineStr">
        <is>
          <t>1. Case × version pairs</t>
        </is>
      </c>
    </row>
    <row r="5">
      <c r="A5" s="1" t="inlineStr">
        <is>
          <t>Result</t>
        </is>
      </c>
      <c r="B5" s="1" t="inlineStr">
        <is>
          <t>Count</t>
        </is>
      </c>
      <c r="C5" s="1" t="inlineStr">
        <is>
          <t>% of tested pairs</t>
        </is>
      </c>
      <c r="D5" s="1" t="inlineStr">
        <is>
          <t>Batch 1</t>
        </is>
      </c>
      <c r="E5" s="1" t="inlineStr">
        <is>
          <t>Batch 1 %</t>
        </is>
      </c>
      <c r="F5" s="1" t="inlineStr">
        <is>
          <t>Batch 2</t>
        </is>
      </c>
      <c r="G5" s="1" t="inlineStr">
        <is>
          <t>Batch 2 %</t>
        </is>
      </c>
      <c r="H5" s="1" t="inlineStr">
        <is>
          <t>Batch 3</t>
        </is>
      </c>
      <c r="I5" s="1" t="inlineStr">
        <is>
          <t>Batch 3 %</t>
        </is>
      </c>
      <c r="J5" s="1" t="inlineStr">
        <is>
          <t>Batch 4</t>
        </is>
      </c>
      <c r="K5" s="1" t="inlineStr">
        <is>
          <t>Batch 4 %</t>
        </is>
      </c>
      <c r="L5" s="1" t="inlineStr">
        <is>
          <t>Batch 5</t>
        </is>
      </c>
      <c r="M5" s="1" t="inlineStr">
        <is>
          <t>Batch 5 %</t>
        </is>
      </c>
      <c r="N5" s="1" t="inlineStr">
        <is>
          <t>Batch 6</t>
        </is>
      </c>
      <c r="O5" s="1" t="inlineStr">
        <is>
          <t>Batch 6 %</t>
        </is>
      </c>
      <c r="P5" s="1" t="inlineStr">
        <is>
          <t>Batch 7</t>
        </is>
      </c>
      <c r="Q5" s="1" t="inlineStr">
        <is>
          <t>Batch 7 %</t>
        </is>
      </c>
      <c r="R5" s="1" t="inlineStr">
        <is>
          <t>Batch 8</t>
        </is>
      </c>
      <c r="S5" s="1" t="inlineStr">
        <is>
          <t>Batch 8 %</t>
        </is>
      </c>
    </row>
    <row r="6">
      <c r="A6" s="8" t="inlineStr">
        <is>
          <t>Passed on test</t>
        </is>
      </c>
      <c r="B6" s="2">
        <f>COUNTIF(Summary!$B$2:$AB$74,"Passed on test")</f>
        <v/>
      </c>
      <c r="C6" s="9">
        <f>IF($B$9=0,0,B6/$B$9)</f>
        <v/>
      </c>
      <c r="D6" s="2">
        <f>COUNTIF(Summary!$B$2:$AB$11,"Passed on test")</f>
        <v/>
      </c>
      <c r="E6" s="9">
        <f>IF(D$9=0,0,D6/D$9)</f>
        <v/>
      </c>
      <c r="F6" s="2">
        <f>COUNTIF(Summary!$B$12:$AB$21,"Passed on test")</f>
        <v/>
      </c>
      <c r="G6" s="9">
        <f>IF(F$9=0,0,F6/F$9)</f>
        <v/>
      </c>
      <c r="H6" s="2">
        <f>COUNTIF(Summary!$B$22:$AB$31,"Passed on test")</f>
        <v/>
      </c>
      <c r="I6" s="9">
        <f>IF(H$9=0,0,H6/H$9)</f>
        <v/>
      </c>
      <c r="J6" s="2">
        <f>COUNTIF(Summary!$B$32:$AB$41,"Passed on test")</f>
        <v/>
      </c>
      <c r="K6" s="9">
        <f>IF(J$9=0,0,J6/J$9)</f>
        <v/>
      </c>
      <c r="L6" s="2">
        <f>COUNTIF(Summary!$B$42:$AB$51,"Passed on test")</f>
        <v/>
      </c>
      <c r="M6" s="9">
        <f>IF(L$9=0,0,L6/L$9)</f>
        <v/>
      </c>
      <c r="N6" s="2">
        <f>COUNTIF(Summary!$B$52:$AB$61,"Passed on test")</f>
        <v/>
      </c>
      <c r="O6" s="9">
        <f>IF(N$9=0,0,N6/N$9)</f>
        <v/>
      </c>
      <c r="P6" s="2">
        <f>COUNTIF(Summary!$B$62:$AB$68,"Passed on test")</f>
        <v/>
      </c>
      <c r="Q6" s="9">
        <f>IF(P$9=0,0,P6/P$9)</f>
        <v/>
      </c>
      <c r="R6" s="2">
        <f>COUNTIF(Summary!$B$69:$AB$74,"Passed on test")</f>
        <v/>
      </c>
      <c r="S6" s="9">
        <f>IF(R$9=0,0,R6/R$9)</f>
        <v/>
      </c>
    </row>
    <row r="7">
      <c r="A7" s="10" t="inlineStr">
        <is>
          <t>Failed on test</t>
        </is>
      </c>
      <c r="B7" s="2">
        <f>COUNTIF(Summary!$B$2:$AB$74,"Failed on test")</f>
        <v/>
      </c>
      <c r="C7" s="9">
        <f>IF($B$9=0,0,B7/$B$9)</f>
        <v/>
      </c>
      <c r="D7" s="2">
        <f>COUNTIF(Summary!$B$2:$AB$11,"Failed on test")</f>
        <v/>
      </c>
      <c r="E7" s="9">
        <f>IF(D$9=0,0,D7/D$9)</f>
        <v/>
      </c>
      <c r="F7" s="2">
        <f>COUNTIF(Summary!$B$12:$AB$21,"Failed on test")</f>
        <v/>
      </c>
      <c r="G7" s="9">
        <f>IF(F$9=0,0,F7/F$9)</f>
        <v/>
      </c>
      <c r="H7" s="2">
        <f>COUNTIF(Summary!$B$22:$AB$31,"Failed on test")</f>
        <v/>
      </c>
      <c r="I7" s="9">
        <f>IF(H$9=0,0,H7/H$9)</f>
        <v/>
      </c>
      <c r="J7" s="2">
        <f>COUNTIF(Summary!$B$32:$AB$41,"Failed on test")</f>
        <v/>
      </c>
      <c r="K7" s="9">
        <f>IF(J$9=0,0,J7/J$9)</f>
        <v/>
      </c>
      <c r="L7" s="2">
        <f>COUNTIF(Summary!$B$42:$AB$51,"Failed on test")</f>
        <v/>
      </c>
      <c r="M7" s="9">
        <f>IF(L$9=0,0,L7/L$9)</f>
        <v/>
      </c>
      <c r="N7" s="2">
        <f>COUNTIF(Summary!$B$52:$AB$61,"Failed on test")</f>
        <v/>
      </c>
      <c r="O7" s="9">
        <f>IF(N$9=0,0,N7/N$9)</f>
        <v/>
      </c>
      <c r="P7" s="2">
        <f>COUNTIF(Summary!$B$62:$AB$68,"Failed on test")</f>
        <v/>
      </c>
      <c r="Q7" s="9">
        <f>IF(P$9=0,0,P7/P$9)</f>
        <v/>
      </c>
      <c r="R7" s="2">
        <f>COUNTIF(Summary!$B$69:$AB$74,"Failed on test")</f>
        <v/>
      </c>
      <c r="S7" s="9">
        <f>IF(R$9=0,0,R7/R$9)</f>
        <v/>
      </c>
    </row>
    <row r="8">
      <c r="A8" s="11" t="inlineStr">
        <is>
          <t>Runtime error</t>
        </is>
      </c>
      <c r="B8" s="2">
        <f>COUNTIF(Summary!$B$2:$AB$74,"Runtime error")</f>
        <v/>
      </c>
      <c r="C8" s="9">
        <f>IF($B$9=0,0,B8/$B$9)</f>
        <v/>
      </c>
      <c r="D8" s="2">
        <f>COUNTIF(Summary!$B$2:$AB$11,"Runtime error")</f>
        <v/>
      </c>
      <c r="E8" s="9">
        <f>IF(D$9=0,0,D8/D$9)</f>
        <v/>
      </c>
      <c r="F8" s="2">
        <f>COUNTIF(Summary!$B$12:$AB$21,"Runtime error")</f>
        <v/>
      </c>
      <c r="G8" s="9">
        <f>IF(F$9=0,0,F8/F$9)</f>
        <v/>
      </c>
      <c r="H8" s="2">
        <f>COUNTIF(Summary!$B$22:$AB$31,"Runtime error")</f>
        <v/>
      </c>
      <c r="I8" s="9">
        <f>IF(H$9=0,0,H8/H$9)</f>
        <v/>
      </c>
      <c r="J8" s="2">
        <f>COUNTIF(Summary!$B$32:$AB$41,"Runtime error")</f>
        <v/>
      </c>
      <c r="K8" s="9">
        <f>IF(J$9=0,0,J8/J$9)</f>
        <v/>
      </c>
      <c r="L8" s="2">
        <f>COUNTIF(Summary!$B$42:$AB$51,"Runtime error")</f>
        <v/>
      </c>
      <c r="M8" s="9">
        <f>IF(L$9=0,0,L8/L$9)</f>
        <v/>
      </c>
      <c r="N8" s="2">
        <f>COUNTIF(Summary!$B$52:$AB$61,"Runtime error")</f>
        <v/>
      </c>
      <c r="O8" s="9">
        <f>IF(N$9=0,0,N8/N$9)</f>
        <v/>
      </c>
      <c r="P8" s="2">
        <f>COUNTIF(Summary!$B$62:$AB$68,"Runtime error")</f>
        <v/>
      </c>
      <c r="Q8" s="9">
        <f>IF(P$9=0,0,P8/P$9)</f>
        <v/>
      </c>
      <c r="R8" s="2">
        <f>COUNTIF(Summary!$B$69:$AB$74,"Runtime error")</f>
        <v/>
      </c>
      <c r="S8" s="9">
        <f>IF(R$9=0,0,R8/R$9)</f>
        <v/>
      </c>
    </row>
    <row r="9">
      <c r="A9" s="12" t="inlineStr">
        <is>
          <t>Total tested</t>
        </is>
      </c>
      <c r="B9" s="12">
        <f>SUM(B6:B8)</f>
        <v/>
      </c>
      <c r="C9" s="13">
        <f>SUM(C6:C8)</f>
        <v/>
      </c>
      <c r="D9" s="12">
        <f>SUM(D6:D8)</f>
        <v/>
      </c>
      <c r="E9" s="13">
        <f>SUM(E6:E8)</f>
        <v/>
      </c>
      <c r="F9" s="12">
        <f>SUM(F6:F8)</f>
        <v/>
      </c>
      <c r="G9" s="13">
        <f>SUM(G6:G8)</f>
        <v/>
      </c>
      <c r="H9" s="12">
        <f>SUM(H6:H8)</f>
        <v/>
      </c>
      <c r="I9" s="13">
        <f>SUM(I6:I8)</f>
        <v/>
      </c>
      <c r="J9" s="12">
        <f>SUM(J6:J8)</f>
        <v/>
      </c>
      <c r="K9" s="13">
        <f>SUM(K6:K8)</f>
        <v/>
      </c>
      <c r="L9" s="12">
        <f>SUM(L6:L8)</f>
        <v/>
      </c>
      <c r="M9" s="13">
        <f>SUM(M6:M8)</f>
        <v/>
      </c>
      <c r="N9" s="12">
        <f>SUM(N6:N8)</f>
        <v/>
      </c>
      <c r="O9" s="13">
        <f>SUM(O6:O8)</f>
        <v/>
      </c>
      <c r="P9" s="12">
        <f>SUM(P6:P8)</f>
        <v/>
      </c>
      <c r="Q9" s="13">
        <f>SUM(Q6:Q8)</f>
        <v/>
      </c>
      <c r="R9" s="12">
        <f>SUM(R6:R8)</f>
        <v/>
      </c>
      <c r="S9" s="13">
        <f>SUM(S6:S8)</f>
        <v/>
      </c>
    </row>
    <row r="10">
      <c r="A10" s="2" t="inlineStr">
        <is>
          <t>Not tested (version not listed for that case)</t>
        </is>
      </c>
      <c r="B10" s="2">
        <f>COUNTIF(Summary!$B$2:$AB$74,"NOT_TESTED")</f>
        <v/>
      </c>
      <c r="D10" s="2">
        <f>COUNTIF(Summary!$B$2:$AB$11,"NOT_TESTED")</f>
        <v/>
      </c>
      <c r="F10" s="2">
        <f>COUNTIF(Summary!$B$12:$AB$21,"NOT_TESTED")</f>
        <v/>
      </c>
      <c r="H10" s="2">
        <f>COUNTIF(Summary!$B$22:$AB$31,"NOT_TESTED")</f>
        <v/>
      </c>
      <c r="J10" s="2">
        <f>COUNTIF(Summary!$B$32:$AB$41,"NOT_TESTED")</f>
        <v/>
      </c>
      <c r="L10" s="2">
        <f>COUNTIF(Summary!$B$42:$AB$51,"NOT_TESTED")</f>
        <v/>
      </c>
      <c r="N10" s="2">
        <f>COUNTIF(Summary!$B$52:$AB$61,"NOT_TESTED")</f>
        <v/>
      </c>
      <c r="P10" s="2">
        <f>COUNTIF(Summary!$B$62:$AB$68,"NOT_TESTED")</f>
        <v/>
      </c>
      <c r="R10" s="2">
        <f>COUNTIF(Summary!$B$69:$AB$74,"NOT_TESTED")</f>
        <v/>
      </c>
    </row>
    <row r="11"/>
    <row r="12">
      <c r="A12" s="7" t="inlineStr">
        <is>
          <t>2. Per case</t>
        </is>
      </c>
    </row>
    <row r="13">
      <c r="A13" s="1" t="inlineStr">
        <is>
          <t>Case</t>
        </is>
      </c>
      <c r="B13" s="1" t="inlineStr">
        <is>
          <t>Versions tested</t>
        </is>
      </c>
      <c r="C13" s="1" t="inlineStr">
        <is>
          <t>Passed on test</t>
        </is>
      </c>
      <c r="D13" s="1" t="inlineStr">
        <is>
          <t>Failed on test</t>
        </is>
      </c>
      <c r="E13" s="1" t="inlineStr">
        <is>
          <t>Runtime error</t>
        </is>
      </c>
      <c r="F13" s="1" t="inlineStr">
        <is>
          <t>Passed on test %</t>
        </is>
      </c>
      <c r="G13" s="1" t="inlineStr">
        <is>
          <t>Failed on test %</t>
        </is>
      </c>
      <c r="H13" s="1" t="inlineStr">
        <is>
          <t>Runtime error %</t>
        </is>
      </c>
      <c r="I13" s="1" t="inlineStr">
        <is>
          <t>Case outcome</t>
        </is>
      </c>
      <c r="J13" s="1" t="inlineStr">
        <is>
          <t>Batch</t>
        </is>
      </c>
    </row>
    <row r="14">
      <c r="A14" s="2">
        <f>Summary!A2</f>
        <v/>
      </c>
      <c r="B14" s="2">
        <f>COUNTIF(Summary!$B$2:$AB$2,"Passed on test")+COUNTIF(Summary!$B$2:$AB$2,"Failed on test")+COUNTIF(Summary!$B$2:$AB$2,"Runtime error")</f>
        <v/>
      </c>
      <c r="C14" s="2">
        <f>COUNTIF(Summary!$B$2:$AB$2,"Passed on test")</f>
        <v/>
      </c>
      <c r="D14" s="2">
        <f>COUNTIF(Summary!$B$2:$AB$2,"Failed on test")</f>
        <v/>
      </c>
      <c r="E14" s="2">
        <f>COUNTIF(Summary!$B$2:$AB$2,"Runtime error")</f>
        <v/>
      </c>
      <c r="F14" s="9">
        <f>IF($B14=0,0,C14/$B14)</f>
        <v/>
      </c>
      <c r="G14" s="9">
        <f>IF($B14=0,0,D14/$B14)</f>
        <v/>
      </c>
      <c r="H14" s="9">
        <f>IF($B14=0,0,E14/$B14)</f>
        <v/>
      </c>
      <c r="I14" s="2">
        <f>IF(C14=B14,"Passed on test",IF(E14&gt;0,"Runtime error","Failed on test"))</f>
        <v/>
      </c>
      <c r="J14" s="2" t="n">
        <v>1</v>
      </c>
    </row>
    <row r="15">
      <c r="A15" s="2">
        <f>Summary!A3</f>
        <v/>
      </c>
      <c r="B15" s="2">
        <f>COUNTIF(Summary!$B$3:$AB$3,"Passed on test")+COUNTIF(Summary!$B$3:$AB$3,"Failed on test")+COUNTIF(Summary!$B$3:$AB$3,"Runtime error")</f>
        <v/>
      </c>
      <c r="C15" s="2">
        <f>COUNTIF(Summary!$B$3:$AB$3,"Passed on test")</f>
        <v/>
      </c>
      <c r="D15" s="2">
        <f>COUNTIF(Summary!$B$3:$AB$3,"Failed on test")</f>
        <v/>
      </c>
      <c r="E15" s="2">
        <f>COUNTIF(Summary!$B$3:$AB$3,"Runtime error")</f>
        <v/>
      </c>
      <c r="F15" s="9">
        <f>IF($B15=0,0,C15/$B15)</f>
        <v/>
      </c>
      <c r="G15" s="9">
        <f>IF($B15=0,0,D15/$B15)</f>
        <v/>
      </c>
      <c r="H15" s="9">
        <f>IF($B15=0,0,E15/$B15)</f>
        <v/>
      </c>
      <c r="I15" s="2">
        <f>IF(C15=B15,"Passed on test",IF(E15&gt;0,"Runtime error","Failed on test"))</f>
        <v/>
      </c>
      <c r="J15" s="2" t="n">
        <v>1</v>
      </c>
    </row>
    <row r="16">
      <c r="A16" s="2">
        <f>Summary!A4</f>
        <v/>
      </c>
      <c r="B16" s="2">
        <f>COUNTIF(Summary!$B$4:$AB$4,"Passed on test")+COUNTIF(Summary!$B$4:$AB$4,"Failed on test")+COUNTIF(Summary!$B$4:$AB$4,"Runtime error")</f>
        <v/>
      </c>
      <c r="C16" s="2">
        <f>COUNTIF(Summary!$B$4:$AB$4,"Passed on test")</f>
        <v/>
      </c>
      <c r="D16" s="2">
        <f>COUNTIF(Summary!$B$4:$AB$4,"Failed on test")</f>
        <v/>
      </c>
      <c r="E16" s="2">
        <f>COUNTIF(Summary!$B$4:$AB$4,"Runtime error")</f>
        <v/>
      </c>
      <c r="F16" s="9">
        <f>IF($B16=0,0,C16/$B16)</f>
        <v/>
      </c>
      <c r="G16" s="9">
        <f>IF($B16=0,0,D16/$B16)</f>
        <v/>
      </c>
      <c r="H16" s="9">
        <f>IF($B16=0,0,E16/$B16)</f>
        <v/>
      </c>
      <c r="I16" s="2">
        <f>IF(C16=B16,"Passed on test",IF(E16&gt;0,"Runtime error","Failed on test"))</f>
        <v/>
      </c>
      <c r="J16" s="2" t="n">
        <v>1</v>
      </c>
    </row>
    <row r="17">
      <c r="A17" s="2">
        <f>Summary!A5</f>
        <v/>
      </c>
      <c r="B17" s="2">
        <f>COUNTIF(Summary!$B$5:$AB$5,"Passed on test")+COUNTIF(Summary!$B$5:$AB$5,"Failed on test")+COUNTIF(Summary!$B$5:$AB$5,"Runtime error")</f>
        <v/>
      </c>
      <c r="C17" s="2">
        <f>COUNTIF(Summary!$B$5:$AB$5,"Passed on test")</f>
        <v/>
      </c>
      <c r="D17" s="2">
        <f>COUNTIF(Summary!$B$5:$AB$5,"Failed on test")</f>
        <v/>
      </c>
      <c r="E17" s="2">
        <f>COUNTIF(Summary!$B$5:$AB$5,"Runtime error")</f>
        <v/>
      </c>
      <c r="F17" s="9">
        <f>IF($B17=0,0,C17/$B17)</f>
        <v/>
      </c>
      <c r="G17" s="9">
        <f>IF($B17=0,0,D17/$B17)</f>
        <v/>
      </c>
      <c r="H17" s="9">
        <f>IF($B17=0,0,E17/$B17)</f>
        <v/>
      </c>
      <c r="I17" s="2">
        <f>IF(C17=B17,"Passed on test",IF(E17&gt;0,"Runtime error","Failed on test"))</f>
        <v/>
      </c>
      <c r="J17" s="2" t="n">
        <v>1</v>
      </c>
    </row>
    <row r="18">
      <c r="A18" s="2">
        <f>Summary!A6</f>
        <v/>
      </c>
      <c r="B18" s="2">
        <f>COUNTIF(Summary!$B$6:$AB$6,"Passed on test")+COUNTIF(Summary!$B$6:$AB$6,"Failed on test")+COUNTIF(Summary!$B$6:$AB$6,"Runtime error")</f>
        <v/>
      </c>
      <c r="C18" s="2">
        <f>COUNTIF(Summary!$B$6:$AB$6,"Passed on test")</f>
        <v/>
      </c>
      <c r="D18" s="2">
        <f>COUNTIF(Summary!$B$6:$AB$6,"Failed on test")</f>
        <v/>
      </c>
      <c r="E18" s="2">
        <f>COUNTIF(Summary!$B$6:$AB$6,"Runtime error")</f>
        <v/>
      </c>
      <c r="F18" s="9">
        <f>IF($B18=0,0,C18/$B18)</f>
        <v/>
      </c>
      <c r="G18" s="9">
        <f>IF($B18=0,0,D18/$B18)</f>
        <v/>
      </c>
      <c r="H18" s="9">
        <f>IF($B18=0,0,E18/$B18)</f>
        <v/>
      </c>
      <c r="I18" s="2">
        <f>IF(C18=B18,"Passed on test",IF(E18&gt;0,"Runtime error","Failed on test"))</f>
        <v/>
      </c>
      <c r="J18" s="2" t="n">
        <v>1</v>
      </c>
    </row>
    <row r="19">
      <c r="A19" s="2">
        <f>Summary!A7</f>
        <v/>
      </c>
      <c r="B19" s="2">
        <f>COUNTIF(Summary!$B$7:$AB$7,"Passed on test")+COUNTIF(Summary!$B$7:$AB$7,"Failed on test")+COUNTIF(Summary!$B$7:$AB$7,"Runtime error")</f>
        <v/>
      </c>
      <c r="C19" s="2">
        <f>COUNTIF(Summary!$B$7:$AB$7,"Passed on test")</f>
        <v/>
      </c>
      <c r="D19" s="2">
        <f>COUNTIF(Summary!$B$7:$AB$7,"Failed on test")</f>
        <v/>
      </c>
      <c r="E19" s="2">
        <f>COUNTIF(Summary!$B$7:$AB$7,"Runtime error")</f>
        <v/>
      </c>
      <c r="F19" s="9">
        <f>IF($B19=0,0,C19/$B19)</f>
        <v/>
      </c>
      <c r="G19" s="9">
        <f>IF($B19=0,0,D19/$B19)</f>
        <v/>
      </c>
      <c r="H19" s="9">
        <f>IF($B19=0,0,E19/$B19)</f>
        <v/>
      </c>
      <c r="I19" s="2">
        <f>IF(C19=B19,"Passed on test",IF(E19&gt;0,"Runtime error","Failed on test"))</f>
        <v/>
      </c>
      <c r="J19" s="2" t="n">
        <v>1</v>
      </c>
    </row>
    <row r="20">
      <c r="A20" s="2">
        <f>Summary!A8</f>
        <v/>
      </c>
      <c r="B20" s="2">
        <f>COUNTIF(Summary!$B$8:$AB$8,"Passed on test")+COUNTIF(Summary!$B$8:$AB$8,"Failed on test")+COUNTIF(Summary!$B$8:$AB$8,"Runtime error")</f>
        <v/>
      </c>
      <c r="C20" s="2">
        <f>COUNTIF(Summary!$B$8:$AB$8,"Passed on test")</f>
        <v/>
      </c>
      <c r="D20" s="2">
        <f>COUNTIF(Summary!$B$8:$AB$8,"Failed on test")</f>
        <v/>
      </c>
      <c r="E20" s="2">
        <f>COUNTIF(Summary!$B$8:$AB$8,"Runtime error")</f>
        <v/>
      </c>
      <c r="F20" s="9">
        <f>IF($B20=0,0,C20/$B20)</f>
        <v/>
      </c>
      <c r="G20" s="9">
        <f>IF($B20=0,0,D20/$B20)</f>
        <v/>
      </c>
      <c r="H20" s="9">
        <f>IF($B20=0,0,E20/$B20)</f>
        <v/>
      </c>
      <c r="I20" s="2">
        <f>IF(C20=B20,"Passed on test",IF(E20&gt;0,"Runtime error","Failed on test"))</f>
        <v/>
      </c>
      <c r="J20" s="2" t="n">
        <v>1</v>
      </c>
    </row>
    <row r="21">
      <c r="A21" s="2">
        <f>Summary!A9</f>
        <v/>
      </c>
      <c r="B21" s="2">
        <f>COUNTIF(Summary!$B$9:$AB$9,"Passed on test")+COUNTIF(Summary!$B$9:$AB$9,"Failed on test")+COUNTIF(Summary!$B$9:$AB$9,"Runtime error")</f>
        <v/>
      </c>
      <c r="C21" s="2">
        <f>COUNTIF(Summary!$B$9:$AB$9,"Passed on test")</f>
        <v/>
      </c>
      <c r="D21" s="2">
        <f>COUNTIF(Summary!$B$9:$AB$9,"Failed on test")</f>
        <v/>
      </c>
      <c r="E21" s="2">
        <f>COUNTIF(Summary!$B$9:$AB$9,"Runtime error")</f>
        <v/>
      </c>
      <c r="F21" s="9">
        <f>IF($B21=0,0,C21/$B21)</f>
        <v/>
      </c>
      <c r="G21" s="9">
        <f>IF($B21=0,0,D21/$B21)</f>
        <v/>
      </c>
      <c r="H21" s="9">
        <f>IF($B21=0,0,E21/$B21)</f>
        <v/>
      </c>
      <c r="I21" s="2">
        <f>IF(C21=B21,"Passed on test",IF(E21&gt;0,"Runtime error","Failed on test"))</f>
        <v/>
      </c>
      <c r="J21" s="2" t="n">
        <v>1</v>
      </c>
    </row>
    <row r="22">
      <c r="A22" s="2">
        <f>Summary!A10</f>
        <v/>
      </c>
      <c r="B22" s="2">
        <f>COUNTIF(Summary!$B$10:$AB$10,"Passed on test")+COUNTIF(Summary!$B$10:$AB$10,"Failed on test")+COUNTIF(Summary!$B$10:$AB$10,"Runtime error")</f>
        <v/>
      </c>
      <c r="C22" s="2">
        <f>COUNTIF(Summary!$B$10:$AB$10,"Passed on test")</f>
        <v/>
      </c>
      <c r="D22" s="2">
        <f>COUNTIF(Summary!$B$10:$AB$10,"Failed on test")</f>
        <v/>
      </c>
      <c r="E22" s="2">
        <f>COUNTIF(Summary!$B$10:$AB$10,"Runtime error")</f>
        <v/>
      </c>
      <c r="F22" s="9">
        <f>IF($B22=0,0,C22/$B22)</f>
        <v/>
      </c>
      <c r="G22" s="9">
        <f>IF($B22=0,0,D22/$B22)</f>
        <v/>
      </c>
      <c r="H22" s="9">
        <f>IF($B22=0,0,E22/$B22)</f>
        <v/>
      </c>
      <c r="I22" s="2">
        <f>IF(C22=B22,"Passed on test",IF(E22&gt;0,"Runtime error","Failed on test"))</f>
        <v/>
      </c>
      <c r="J22" s="2" t="n">
        <v>1</v>
      </c>
    </row>
    <row r="23">
      <c r="A23" s="2">
        <f>Summary!A11</f>
        <v/>
      </c>
      <c r="B23" s="2">
        <f>COUNTIF(Summary!$B$11:$AB$11,"Passed on test")+COUNTIF(Summary!$B$11:$AB$11,"Failed on test")+COUNTIF(Summary!$B$11:$AB$11,"Runtime error")</f>
        <v/>
      </c>
      <c r="C23" s="2">
        <f>COUNTIF(Summary!$B$11:$AB$11,"Passed on test")</f>
        <v/>
      </c>
      <c r="D23" s="2">
        <f>COUNTIF(Summary!$B$11:$AB$11,"Failed on test")</f>
        <v/>
      </c>
      <c r="E23" s="2">
        <f>COUNTIF(Summary!$B$11:$AB$11,"Runtime error")</f>
        <v/>
      </c>
      <c r="F23" s="9">
        <f>IF($B23=0,0,C23/$B23)</f>
        <v/>
      </c>
      <c r="G23" s="9">
        <f>IF($B23=0,0,D23/$B23)</f>
        <v/>
      </c>
      <c r="H23" s="9">
        <f>IF($B23=0,0,E23/$B23)</f>
        <v/>
      </c>
      <c r="I23" s="2">
        <f>IF(C23=B23,"Passed on test",IF(E23&gt;0,"Runtime error","Failed on test"))</f>
        <v/>
      </c>
      <c r="J23" s="2" t="n">
        <v>1</v>
      </c>
    </row>
    <row r="24">
      <c r="A24" s="2">
        <f>Summary!A12</f>
        <v/>
      </c>
      <c r="B24" s="2">
        <f>COUNTIF(Summary!$B$12:$AB$12,"Passed on test")+COUNTIF(Summary!$B$12:$AB$12,"Failed on test")+COUNTIF(Summary!$B$12:$AB$12,"Runtime error")</f>
        <v/>
      </c>
      <c r="C24" s="2">
        <f>COUNTIF(Summary!$B$12:$AB$12,"Passed on test")</f>
        <v/>
      </c>
      <c r="D24" s="2">
        <f>COUNTIF(Summary!$B$12:$AB$12,"Failed on test")</f>
        <v/>
      </c>
      <c r="E24" s="2">
        <f>COUNTIF(Summary!$B$12:$AB$12,"Runtime error")</f>
        <v/>
      </c>
      <c r="F24" s="9">
        <f>IF($B24=0,0,C24/$B24)</f>
        <v/>
      </c>
      <c r="G24" s="9">
        <f>IF($B24=0,0,D24/$B24)</f>
        <v/>
      </c>
      <c r="H24" s="9">
        <f>IF($B24=0,0,E24/$B24)</f>
        <v/>
      </c>
      <c r="I24" s="2">
        <f>IF(C24=B24,"Passed on test",IF(E24&gt;0,"Runtime error","Failed on test"))</f>
        <v/>
      </c>
      <c r="J24" s="2" t="n">
        <v>2</v>
      </c>
    </row>
    <row r="25">
      <c r="A25" s="2">
        <f>Summary!A13</f>
        <v/>
      </c>
      <c r="B25" s="2">
        <f>COUNTIF(Summary!$B$13:$AB$13,"Passed on test")+COUNTIF(Summary!$B$13:$AB$13,"Failed on test")+COUNTIF(Summary!$B$13:$AB$13,"Runtime error")</f>
        <v/>
      </c>
      <c r="C25" s="2">
        <f>COUNTIF(Summary!$B$13:$AB$13,"Passed on test")</f>
        <v/>
      </c>
      <c r="D25" s="2">
        <f>COUNTIF(Summary!$B$13:$AB$13,"Failed on test")</f>
        <v/>
      </c>
      <c r="E25" s="2">
        <f>COUNTIF(Summary!$B$13:$AB$13,"Runtime error")</f>
        <v/>
      </c>
      <c r="F25" s="9">
        <f>IF($B25=0,0,C25/$B25)</f>
        <v/>
      </c>
      <c r="G25" s="9">
        <f>IF($B25=0,0,D25/$B25)</f>
        <v/>
      </c>
      <c r="H25" s="9">
        <f>IF($B25=0,0,E25/$B25)</f>
        <v/>
      </c>
      <c r="I25" s="2">
        <f>IF(C25=B25,"Passed on test",IF(E25&gt;0,"Runtime error","Failed on test"))</f>
        <v/>
      </c>
      <c r="J25" s="2" t="n">
        <v>2</v>
      </c>
    </row>
    <row r="26">
      <c r="A26" s="2">
        <f>Summary!A14</f>
        <v/>
      </c>
      <c r="B26" s="2">
        <f>COUNTIF(Summary!$B$14:$AB$14,"Passed on test")+COUNTIF(Summary!$B$14:$AB$14,"Failed on test")+COUNTIF(Summary!$B$14:$AB$14,"Runtime error")</f>
        <v/>
      </c>
      <c r="C26" s="2">
        <f>COUNTIF(Summary!$B$14:$AB$14,"Passed on test")</f>
        <v/>
      </c>
      <c r="D26" s="2">
        <f>COUNTIF(Summary!$B$14:$AB$14,"Failed on test")</f>
        <v/>
      </c>
      <c r="E26" s="2">
        <f>COUNTIF(Summary!$B$14:$AB$14,"Runtime error")</f>
        <v/>
      </c>
      <c r="F26" s="9">
        <f>IF($B26=0,0,C26/$B26)</f>
        <v/>
      </c>
      <c r="G26" s="9">
        <f>IF($B26=0,0,D26/$B26)</f>
        <v/>
      </c>
      <c r="H26" s="9">
        <f>IF($B26=0,0,E26/$B26)</f>
        <v/>
      </c>
      <c r="I26" s="2">
        <f>IF(C26=B26,"Passed on test",IF(E26&gt;0,"Runtime error","Failed on test"))</f>
        <v/>
      </c>
      <c r="J26" s="2" t="n">
        <v>2</v>
      </c>
    </row>
    <row r="27">
      <c r="A27" s="2">
        <f>Summary!A15</f>
        <v/>
      </c>
      <c r="B27" s="2">
        <f>COUNTIF(Summary!$B$15:$AB$15,"Passed on test")+COUNTIF(Summary!$B$15:$AB$15,"Failed on test")+COUNTIF(Summary!$B$15:$AB$15,"Runtime error")</f>
        <v/>
      </c>
      <c r="C27" s="2">
        <f>COUNTIF(Summary!$B$15:$AB$15,"Passed on test")</f>
        <v/>
      </c>
      <c r="D27" s="2">
        <f>COUNTIF(Summary!$B$15:$AB$15,"Failed on test")</f>
        <v/>
      </c>
      <c r="E27" s="2">
        <f>COUNTIF(Summary!$B$15:$AB$15,"Runtime error")</f>
        <v/>
      </c>
      <c r="F27" s="9">
        <f>IF($B27=0,0,C27/$B27)</f>
        <v/>
      </c>
      <c r="G27" s="9">
        <f>IF($B27=0,0,D27/$B27)</f>
        <v/>
      </c>
      <c r="H27" s="9">
        <f>IF($B27=0,0,E27/$B27)</f>
        <v/>
      </c>
      <c r="I27" s="2">
        <f>IF(C27=B27,"Passed on test",IF(E27&gt;0,"Runtime error","Failed on test"))</f>
        <v/>
      </c>
      <c r="J27" s="2" t="n">
        <v>2</v>
      </c>
    </row>
    <row r="28">
      <c r="A28" s="2">
        <f>Summary!A16</f>
        <v/>
      </c>
      <c r="B28" s="2">
        <f>COUNTIF(Summary!$B$16:$AB$16,"Passed on test")+COUNTIF(Summary!$B$16:$AB$16,"Failed on test")+COUNTIF(Summary!$B$16:$AB$16,"Runtime error")</f>
        <v/>
      </c>
      <c r="C28" s="2">
        <f>COUNTIF(Summary!$B$16:$AB$16,"Passed on test")</f>
        <v/>
      </c>
      <c r="D28" s="2">
        <f>COUNTIF(Summary!$B$16:$AB$16,"Failed on test")</f>
        <v/>
      </c>
      <c r="E28" s="2">
        <f>COUNTIF(Summary!$B$16:$AB$16,"Runtime error")</f>
        <v/>
      </c>
      <c r="F28" s="9">
        <f>IF($B28=0,0,C28/$B28)</f>
        <v/>
      </c>
      <c r="G28" s="9">
        <f>IF($B28=0,0,D28/$B28)</f>
        <v/>
      </c>
      <c r="H28" s="9">
        <f>IF($B28=0,0,E28/$B28)</f>
        <v/>
      </c>
      <c r="I28" s="2">
        <f>IF(C28=B28,"Passed on test",IF(E28&gt;0,"Runtime error","Failed on test"))</f>
        <v/>
      </c>
      <c r="J28" s="2" t="n">
        <v>2</v>
      </c>
    </row>
    <row r="29">
      <c r="A29" s="2">
        <f>Summary!A17</f>
        <v/>
      </c>
      <c r="B29" s="2">
        <f>COUNTIF(Summary!$B$17:$AB$17,"Passed on test")+COUNTIF(Summary!$B$17:$AB$17,"Failed on test")+COUNTIF(Summary!$B$17:$AB$17,"Runtime error")</f>
        <v/>
      </c>
      <c r="C29" s="2">
        <f>COUNTIF(Summary!$B$17:$AB$17,"Passed on test")</f>
        <v/>
      </c>
      <c r="D29" s="2">
        <f>COUNTIF(Summary!$B$17:$AB$17,"Failed on test")</f>
        <v/>
      </c>
      <c r="E29" s="2">
        <f>COUNTIF(Summary!$B$17:$AB$17,"Runtime error")</f>
        <v/>
      </c>
      <c r="F29" s="9">
        <f>IF($B29=0,0,C29/$B29)</f>
        <v/>
      </c>
      <c r="G29" s="9">
        <f>IF($B29=0,0,D29/$B29)</f>
        <v/>
      </c>
      <c r="H29" s="9">
        <f>IF($B29=0,0,E29/$B29)</f>
        <v/>
      </c>
      <c r="I29" s="2">
        <f>IF(C29=B29,"Passed on test",IF(E29&gt;0,"Runtime error","Failed on test"))</f>
        <v/>
      </c>
      <c r="J29" s="2" t="n">
        <v>2</v>
      </c>
    </row>
    <row r="30">
      <c r="A30" s="2">
        <f>Summary!A18</f>
        <v/>
      </c>
      <c r="B30" s="2">
        <f>COUNTIF(Summary!$B$18:$AB$18,"Passed on test")+COUNTIF(Summary!$B$18:$AB$18,"Failed on test")+COUNTIF(Summary!$B$18:$AB$18,"Runtime error")</f>
        <v/>
      </c>
      <c r="C30" s="2">
        <f>COUNTIF(Summary!$B$18:$AB$18,"Passed on test")</f>
        <v/>
      </c>
      <c r="D30" s="2">
        <f>COUNTIF(Summary!$B$18:$AB$18,"Failed on test")</f>
        <v/>
      </c>
      <c r="E30" s="2">
        <f>COUNTIF(Summary!$B$18:$AB$18,"Runtime error")</f>
        <v/>
      </c>
      <c r="F30" s="9">
        <f>IF($B30=0,0,C30/$B30)</f>
        <v/>
      </c>
      <c r="G30" s="9">
        <f>IF($B30=0,0,D30/$B30)</f>
        <v/>
      </c>
      <c r="H30" s="9">
        <f>IF($B30=0,0,E30/$B30)</f>
        <v/>
      </c>
      <c r="I30" s="2">
        <f>IF(C30=B30,"Passed on test",IF(E30&gt;0,"Runtime error","Failed on test"))</f>
        <v/>
      </c>
      <c r="J30" s="2" t="n">
        <v>2</v>
      </c>
    </row>
    <row r="31">
      <c r="A31" s="2">
        <f>Summary!A19</f>
        <v/>
      </c>
      <c r="B31" s="2">
        <f>COUNTIF(Summary!$B$19:$AB$19,"Passed on test")+COUNTIF(Summary!$B$19:$AB$19,"Failed on test")+COUNTIF(Summary!$B$19:$AB$19,"Runtime error")</f>
        <v/>
      </c>
      <c r="C31" s="2">
        <f>COUNTIF(Summary!$B$19:$AB$19,"Passed on test")</f>
        <v/>
      </c>
      <c r="D31" s="2">
        <f>COUNTIF(Summary!$B$19:$AB$19,"Failed on test")</f>
        <v/>
      </c>
      <c r="E31" s="2">
        <f>COUNTIF(Summary!$B$19:$AB$19,"Runtime error")</f>
        <v/>
      </c>
      <c r="F31" s="9">
        <f>IF($B31=0,0,C31/$B31)</f>
        <v/>
      </c>
      <c r="G31" s="9">
        <f>IF($B31=0,0,D31/$B31)</f>
        <v/>
      </c>
      <c r="H31" s="9">
        <f>IF($B31=0,0,E31/$B31)</f>
        <v/>
      </c>
      <c r="I31" s="2">
        <f>IF(C31=B31,"Passed on test",IF(E31&gt;0,"Runtime error","Failed on test"))</f>
        <v/>
      </c>
      <c r="J31" s="2" t="n">
        <v>2</v>
      </c>
    </row>
    <row r="32">
      <c r="A32" s="2">
        <f>Summary!A20</f>
        <v/>
      </c>
      <c r="B32" s="2">
        <f>COUNTIF(Summary!$B$20:$AB$20,"Passed on test")+COUNTIF(Summary!$B$20:$AB$20,"Failed on test")+COUNTIF(Summary!$B$20:$AB$20,"Runtime error")</f>
        <v/>
      </c>
      <c r="C32" s="2">
        <f>COUNTIF(Summary!$B$20:$AB$20,"Passed on test")</f>
        <v/>
      </c>
      <c r="D32" s="2">
        <f>COUNTIF(Summary!$B$20:$AB$20,"Failed on test")</f>
        <v/>
      </c>
      <c r="E32" s="2">
        <f>COUNTIF(Summary!$B$20:$AB$20,"Runtime error")</f>
        <v/>
      </c>
      <c r="F32" s="9">
        <f>IF($B32=0,0,C32/$B32)</f>
        <v/>
      </c>
      <c r="G32" s="9">
        <f>IF($B32=0,0,D32/$B32)</f>
        <v/>
      </c>
      <c r="H32" s="9">
        <f>IF($B32=0,0,E32/$B32)</f>
        <v/>
      </c>
      <c r="I32" s="2">
        <f>IF(C32=B32,"Passed on test",IF(E32&gt;0,"Runtime error","Failed on test"))</f>
        <v/>
      </c>
      <c r="J32" s="2" t="n">
        <v>2</v>
      </c>
    </row>
    <row r="33">
      <c r="A33" s="2">
        <f>Summary!A21</f>
        <v/>
      </c>
      <c r="B33" s="2">
        <f>COUNTIF(Summary!$B$21:$AB$21,"Passed on test")+COUNTIF(Summary!$B$21:$AB$21,"Failed on test")+COUNTIF(Summary!$B$21:$AB$21,"Runtime error")</f>
        <v/>
      </c>
      <c r="C33" s="2">
        <f>COUNTIF(Summary!$B$21:$AB$21,"Passed on test")</f>
        <v/>
      </c>
      <c r="D33" s="2">
        <f>COUNTIF(Summary!$B$21:$AB$21,"Failed on test")</f>
        <v/>
      </c>
      <c r="E33" s="2">
        <f>COUNTIF(Summary!$B$21:$AB$21,"Runtime error")</f>
        <v/>
      </c>
      <c r="F33" s="9">
        <f>IF($B33=0,0,C33/$B33)</f>
        <v/>
      </c>
      <c r="G33" s="9">
        <f>IF($B33=0,0,D33/$B33)</f>
        <v/>
      </c>
      <c r="H33" s="9">
        <f>IF($B33=0,0,E33/$B33)</f>
        <v/>
      </c>
      <c r="I33" s="2">
        <f>IF(C33=B33,"Passed on test",IF(E33&gt;0,"Runtime error","Failed on test"))</f>
        <v/>
      </c>
      <c r="J33" s="2" t="n">
        <v>2</v>
      </c>
    </row>
    <row r="34">
      <c r="A34" s="2">
        <f>Summary!A22</f>
        <v/>
      </c>
      <c r="B34" s="2">
        <f>COUNTIF(Summary!$B$22:$AB$22,"Passed on test")+COUNTIF(Summary!$B$22:$AB$22,"Failed on test")+COUNTIF(Summary!$B$22:$AB$22,"Runtime error")</f>
        <v/>
      </c>
      <c r="C34" s="2">
        <f>COUNTIF(Summary!$B$22:$AB$22,"Passed on test")</f>
        <v/>
      </c>
      <c r="D34" s="2">
        <f>COUNTIF(Summary!$B$22:$AB$22,"Failed on test")</f>
        <v/>
      </c>
      <c r="E34" s="2">
        <f>COUNTIF(Summary!$B$22:$AB$22,"Runtime error")</f>
        <v/>
      </c>
      <c r="F34" s="9">
        <f>IF($B34=0,0,C34/$B34)</f>
        <v/>
      </c>
      <c r="G34" s="9">
        <f>IF($B34=0,0,D34/$B34)</f>
        <v/>
      </c>
      <c r="H34" s="9">
        <f>IF($B34=0,0,E34/$B34)</f>
        <v/>
      </c>
      <c r="I34" s="2">
        <f>IF(C34=B34,"Passed on test",IF(E34&gt;0,"Runtime error","Failed on test"))</f>
        <v/>
      </c>
      <c r="J34" s="2" t="n">
        <v>3</v>
      </c>
    </row>
    <row r="35">
      <c r="A35" s="2">
        <f>Summary!A23</f>
        <v/>
      </c>
      <c r="B35" s="2">
        <f>COUNTIF(Summary!$B$23:$AB$23,"Passed on test")+COUNTIF(Summary!$B$23:$AB$23,"Failed on test")+COUNTIF(Summary!$B$23:$AB$23,"Runtime error")</f>
        <v/>
      </c>
      <c r="C35" s="2">
        <f>COUNTIF(Summary!$B$23:$AB$23,"Passed on test")</f>
        <v/>
      </c>
      <c r="D35" s="2">
        <f>COUNTIF(Summary!$B$23:$AB$23,"Failed on test")</f>
        <v/>
      </c>
      <c r="E35" s="2">
        <f>COUNTIF(Summary!$B$23:$AB$23,"Runtime error")</f>
        <v/>
      </c>
      <c r="F35" s="9">
        <f>IF($B35=0,0,C35/$B35)</f>
        <v/>
      </c>
      <c r="G35" s="9">
        <f>IF($B35=0,0,D35/$B35)</f>
        <v/>
      </c>
      <c r="H35" s="9">
        <f>IF($B35=0,0,E35/$B35)</f>
        <v/>
      </c>
      <c r="I35" s="2">
        <f>IF(C35=B35,"Passed on test",IF(E35&gt;0,"Runtime error","Failed on test"))</f>
        <v/>
      </c>
      <c r="J35" s="2" t="n">
        <v>3</v>
      </c>
    </row>
    <row r="36">
      <c r="A36" s="2">
        <f>Summary!A24</f>
        <v/>
      </c>
      <c r="B36" s="2">
        <f>COUNTIF(Summary!$B$24:$AB$24,"Passed on test")+COUNTIF(Summary!$B$24:$AB$24,"Failed on test")+COUNTIF(Summary!$B$24:$AB$24,"Runtime error")</f>
        <v/>
      </c>
      <c r="C36" s="2">
        <f>COUNTIF(Summary!$B$24:$AB$24,"Passed on test")</f>
        <v/>
      </c>
      <c r="D36" s="2">
        <f>COUNTIF(Summary!$B$24:$AB$24,"Failed on test")</f>
        <v/>
      </c>
      <c r="E36" s="2">
        <f>COUNTIF(Summary!$B$24:$AB$24,"Runtime error")</f>
        <v/>
      </c>
      <c r="F36" s="9">
        <f>IF($B36=0,0,C36/$B36)</f>
        <v/>
      </c>
      <c r="G36" s="9">
        <f>IF($B36=0,0,D36/$B36)</f>
        <v/>
      </c>
      <c r="H36" s="9">
        <f>IF($B36=0,0,E36/$B36)</f>
        <v/>
      </c>
      <c r="I36" s="2">
        <f>IF(C36=B36,"Passed on test",IF(E36&gt;0,"Runtime error","Failed on test"))</f>
        <v/>
      </c>
      <c r="J36" s="2" t="n">
        <v>3</v>
      </c>
    </row>
    <row r="37">
      <c r="A37" s="2">
        <f>Summary!A25</f>
        <v/>
      </c>
      <c r="B37" s="2">
        <f>COUNTIF(Summary!$B$25:$AB$25,"Passed on test")+COUNTIF(Summary!$B$25:$AB$25,"Failed on test")+COUNTIF(Summary!$B$25:$AB$25,"Runtime error")</f>
        <v/>
      </c>
      <c r="C37" s="2">
        <f>COUNTIF(Summary!$B$25:$AB$25,"Passed on test")</f>
        <v/>
      </c>
      <c r="D37" s="2">
        <f>COUNTIF(Summary!$B$25:$AB$25,"Failed on test")</f>
        <v/>
      </c>
      <c r="E37" s="2">
        <f>COUNTIF(Summary!$B$25:$AB$25,"Runtime error")</f>
        <v/>
      </c>
      <c r="F37" s="9">
        <f>IF($B37=0,0,C37/$B37)</f>
        <v/>
      </c>
      <c r="G37" s="9">
        <f>IF($B37=0,0,D37/$B37)</f>
        <v/>
      </c>
      <c r="H37" s="9">
        <f>IF($B37=0,0,E37/$B37)</f>
        <v/>
      </c>
      <c r="I37" s="2">
        <f>IF(C37=B37,"Passed on test",IF(E37&gt;0,"Runtime error","Failed on test"))</f>
        <v/>
      </c>
      <c r="J37" s="2" t="n">
        <v>3</v>
      </c>
    </row>
    <row r="38">
      <c r="A38" s="2">
        <f>Summary!A26</f>
        <v/>
      </c>
      <c r="B38" s="2">
        <f>COUNTIF(Summary!$B$26:$AB$26,"Passed on test")+COUNTIF(Summary!$B$26:$AB$26,"Failed on test")+COUNTIF(Summary!$B$26:$AB$26,"Runtime error")</f>
        <v/>
      </c>
      <c r="C38" s="2">
        <f>COUNTIF(Summary!$B$26:$AB$26,"Passed on test")</f>
        <v/>
      </c>
      <c r="D38" s="2">
        <f>COUNTIF(Summary!$B$26:$AB$26,"Failed on test")</f>
        <v/>
      </c>
      <c r="E38" s="2">
        <f>COUNTIF(Summary!$B$26:$AB$26,"Runtime error")</f>
        <v/>
      </c>
      <c r="F38" s="9">
        <f>IF($B38=0,0,C38/$B38)</f>
        <v/>
      </c>
      <c r="G38" s="9">
        <f>IF($B38=0,0,D38/$B38)</f>
        <v/>
      </c>
      <c r="H38" s="9">
        <f>IF($B38=0,0,E38/$B38)</f>
        <v/>
      </c>
      <c r="I38" s="2">
        <f>IF(C38=B38,"Passed on test",IF(E38&gt;0,"Runtime error","Failed on test"))</f>
        <v/>
      </c>
      <c r="J38" s="2" t="n">
        <v>3</v>
      </c>
    </row>
    <row r="39">
      <c r="A39" s="2">
        <f>Summary!A27</f>
        <v/>
      </c>
      <c r="B39" s="2">
        <f>COUNTIF(Summary!$B$27:$AB$27,"Passed on test")+COUNTIF(Summary!$B$27:$AB$27,"Failed on test")+COUNTIF(Summary!$B$27:$AB$27,"Runtime error")</f>
        <v/>
      </c>
      <c r="C39" s="2">
        <f>COUNTIF(Summary!$B$27:$AB$27,"Passed on test")</f>
        <v/>
      </c>
      <c r="D39" s="2">
        <f>COUNTIF(Summary!$B$27:$AB$27,"Failed on test")</f>
        <v/>
      </c>
      <c r="E39" s="2">
        <f>COUNTIF(Summary!$B$27:$AB$27,"Runtime error")</f>
        <v/>
      </c>
      <c r="F39" s="9">
        <f>IF($B39=0,0,C39/$B39)</f>
        <v/>
      </c>
      <c r="G39" s="9">
        <f>IF($B39=0,0,D39/$B39)</f>
        <v/>
      </c>
      <c r="H39" s="9">
        <f>IF($B39=0,0,E39/$B39)</f>
        <v/>
      </c>
      <c r="I39" s="2">
        <f>IF(C39=B39,"Passed on test",IF(E39&gt;0,"Runtime error","Failed on test"))</f>
        <v/>
      </c>
      <c r="J39" s="2" t="n">
        <v>3</v>
      </c>
    </row>
    <row r="40">
      <c r="A40" s="2">
        <f>Summary!A28</f>
        <v/>
      </c>
      <c r="B40" s="2">
        <f>COUNTIF(Summary!$B$28:$AB$28,"Passed on test")+COUNTIF(Summary!$B$28:$AB$28,"Failed on test")+COUNTIF(Summary!$B$28:$AB$28,"Runtime error")</f>
        <v/>
      </c>
      <c r="C40" s="2">
        <f>COUNTIF(Summary!$B$28:$AB$28,"Passed on test")</f>
        <v/>
      </c>
      <c r="D40" s="2">
        <f>COUNTIF(Summary!$B$28:$AB$28,"Failed on test")</f>
        <v/>
      </c>
      <c r="E40" s="2">
        <f>COUNTIF(Summary!$B$28:$AB$28,"Runtime error")</f>
        <v/>
      </c>
      <c r="F40" s="9">
        <f>IF($B40=0,0,C40/$B40)</f>
        <v/>
      </c>
      <c r="G40" s="9">
        <f>IF($B40=0,0,D40/$B40)</f>
        <v/>
      </c>
      <c r="H40" s="9">
        <f>IF($B40=0,0,E40/$B40)</f>
        <v/>
      </c>
      <c r="I40" s="2">
        <f>IF(C40=B40,"Passed on test",IF(E40&gt;0,"Runtime error","Failed on test"))</f>
        <v/>
      </c>
      <c r="J40" s="2" t="n">
        <v>3</v>
      </c>
    </row>
    <row r="41">
      <c r="A41" s="2">
        <f>Summary!A29</f>
        <v/>
      </c>
      <c r="B41" s="2">
        <f>COUNTIF(Summary!$B$29:$AB$29,"Passed on test")+COUNTIF(Summary!$B$29:$AB$29,"Failed on test")+COUNTIF(Summary!$B$29:$AB$29,"Runtime error")</f>
        <v/>
      </c>
      <c r="C41" s="2">
        <f>COUNTIF(Summary!$B$29:$AB$29,"Passed on test")</f>
        <v/>
      </c>
      <c r="D41" s="2">
        <f>COUNTIF(Summary!$B$29:$AB$29,"Failed on test")</f>
        <v/>
      </c>
      <c r="E41" s="2">
        <f>COUNTIF(Summary!$B$29:$AB$29,"Runtime error")</f>
        <v/>
      </c>
      <c r="F41" s="9">
        <f>IF($B41=0,0,C41/$B41)</f>
        <v/>
      </c>
      <c r="G41" s="9">
        <f>IF($B41=0,0,D41/$B41)</f>
        <v/>
      </c>
      <c r="H41" s="9">
        <f>IF($B41=0,0,E41/$B41)</f>
        <v/>
      </c>
      <c r="I41" s="2">
        <f>IF(C41=B41,"Passed on test",IF(E41&gt;0,"Runtime error","Failed on test"))</f>
        <v/>
      </c>
      <c r="J41" s="2" t="n">
        <v>3</v>
      </c>
    </row>
    <row r="42">
      <c r="A42" s="2">
        <f>Summary!A30</f>
        <v/>
      </c>
      <c r="B42" s="2">
        <f>COUNTIF(Summary!$B$30:$AB$30,"Passed on test")+COUNTIF(Summary!$B$30:$AB$30,"Failed on test")+COUNTIF(Summary!$B$30:$AB$30,"Runtime error")</f>
        <v/>
      </c>
      <c r="C42" s="2">
        <f>COUNTIF(Summary!$B$30:$AB$30,"Passed on test")</f>
        <v/>
      </c>
      <c r="D42" s="2">
        <f>COUNTIF(Summary!$B$30:$AB$30,"Failed on test")</f>
        <v/>
      </c>
      <c r="E42" s="2">
        <f>COUNTIF(Summary!$B$30:$AB$30,"Runtime error")</f>
        <v/>
      </c>
      <c r="F42" s="9">
        <f>IF($B42=0,0,C42/$B42)</f>
        <v/>
      </c>
      <c r="G42" s="9">
        <f>IF($B42=0,0,D42/$B42)</f>
        <v/>
      </c>
      <c r="H42" s="9">
        <f>IF($B42=0,0,E42/$B42)</f>
        <v/>
      </c>
      <c r="I42" s="2">
        <f>IF(C42=B42,"Passed on test",IF(E42&gt;0,"Runtime error","Failed on test"))</f>
        <v/>
      </c>
      <c r="J42" s="2" t="n">
        <v>3</v>
      </c>
    </row>
    <row r="43">
      <c r="A43" s="2">
        <f>Summary!A31</f>
        <v/>
      </c>
      <c r="B43" s="2">
        <f>COUNTIF(Summary!$B$31:$AB$31,"Passed on test")+COUNTIF(Summary!$B$31:$AB$31,"Failed on test")+COUNTIF(Summary!$B$31:$AB$31,"Runtime error")</f>
        <v/>
      </c>
      <c r="C43" s="2">
        <f>COUNTIF(Summary!$B$31:$AB$31,"Passed on test")</f>
        <v/>
      </c>
      <c r="D43" s="2">
        <f>COUNTIF(Summary!$B$31:$AB$31,"Failed on test")</f>
        <v/>
      </c>
      <c r="E43" s="2">
        <f>COUNTIF(Summary!$B$31:$AB$31,"Runtime error")</f>
        <v/>
      </c>
      <c r="F43" s="9">
        <f>IF($B43=0,0,C43/$B43)</f>
        <v/>
      </c>
      <c r="G43" s="9">
        <f>IF($B43=0,0,D43/$B43)</f>
        <v/>
      </c>
      <c r="H43" s="9">
        <f>IF($B43=0,0,E43/$B43)</f>
        <v/>
      </c>
      <c r="I43" s="2">
        <f>IF(C43=B43,"Passed on test",IF(E43&gt;0,"Runtime error","Failed on test"))</f>
        <v/>
      </c>
      <c r="J43" s="2" t="n">
        <v>3</v>
      </c>
    </row>
    <row r="44">
      <c r="A44" s="2">
        <f>Summary!A32</f>
        <v/>
      </c>
      <c r="B44" s="2">
        <f>COUNTIF(Summary!$B$32:$AB$32,"Passed on test")+COUNTIF(Summary!$B$32:$AB$32,"Failed on test")+COUNTIF(Summary!$B$32:$AB$32,"Runtime error")</f>
        <v/>
      </c>
      <c r="C44" s="2">
        <f>COUNTIF(Summary!$B$32:$AB$32,"Passed on test")</f>
        <v/>
      </c>
      <c r="D44" s="2">
        <f>COUNTIF(Summary!$B$32:$AB$32,"Failed on test")</f>
        <v/>
      </c>
      <c r="E44" s="2">
        <f>COUNTIF(Summary!$B$32:$AB$32,"Runtime error")</f>
        <v/>
      </c>
      <c r="F44" s="9">
        <f>IF($B44=0,0,C44/$B44)</f>
        <v/>
      </c>
      <c r="G44" s="9">
        <f>IF($B44=0,0,D44/$B44)</f>
        <v/>
      </c>
      <c r="H44" s="9">
        <f>IF($B44=0,0,E44/$B44)</f>
        <v/>
      </c>
      <c r="I44" s="2">
        <f>IF(C44=B44,"Passed on test",IF(E44&gt;0,"Runtime error","Failed on test"))</f>
        <v/>
      </c>
      <c r="J44" s="2" t="n">
        <v>4</v>
      </c>
    </row>
    <row r="45">
      <c r="A45" s="2">
        <f>Summary!A33</f>
        <v/>
      </c>
      <c r="B45" s="2">
        <f>COUNTIF(Summary!$B$33:$AB$33,"Passed on test")+COUNTIF(Summary!$B$33:$AB$33,"Failed on test")+COUNTIF(Summary!$B$33:$AB$33,"Runtime error")</f>
        <v/>
      </c>
      <c r="C45" s="2">
        <f>COUNTIF(Summary!$B$33:$AB$33,"Passed on test")</f>
        <v/>
      </c>
      <c r="D45" s="2">
        <f>COUNTIF(Summary!$B$33:$AB$33,"Failed on test")</f>
        <v/>
      </c>
      <c r="E45" s="2">
        <f>COUNTIF(Summary!$B$33:$AB$33,"Runtime error")</f>
        <v/>
      </c>
      <c r="F45" s="9">
        <f>IF($B45=0,0,C45/$B45)</f>
        <v/>
      </c>
      <c r="G45" s="9">
        <f>IF($B45=0,0,D45/$B45)</f>
        <v/>
      </c>
      <c r="H45" s="9">
        <f>IF($B45=0,0,E45/$B45)</f>
        <v/>
      </c>
      <c r="I45" s="2">
        <f>IF(C45=B45,"Passed on test",IF(E45&gt;0,"Runtime error","Failed on test"))</f>
        <v/>
      </c>
      <c r="J45" s="2" t="n">
        <v>4</v>
      </c>
    </row>
    <row r="46">
      <c r="A46" s="2">
        <f>Summary!A34</f>
        <v/>
      </c>
      <c r="B46" s="2">
        <f>COUNTIF(Summary!$B$34:$AB$34,"Passed on test")+COUNTIF(Summary!$B$34:$AB$34,"Failed on test")+COUNTIF(Summary!$B$34:$AB$34,"Runtime error")</f>
        <v/>
      </c>
      <c r="C46" s="2">
        <f>COUNTIF(Summary!$B$34:$AB$34,"Passed on test")</f>
        <v/>
      </c>
      <c r="D46" s="2">
        <f>COUNTIF(Summary!$B$34:$AB$34,"Failed on test")</f>
        <v/>
      </c>
      <c r="E46" s="2">
        <f>COUNTIF(Summary!$B$34:$AB$34,"Runtime error")</f>
        <v/>
      </c>
      <c r="F46" s="9">
        <f>IF($B46=0,0,C46/$B46)</f>
        <v/>
      </c>
      <c r="G46" s="9">
        <f>IF($B46=0,0,D46/$B46)</f>
        <v/>
      </c>
      <c r="H46" s="9">
        <f>IF($B46=0,0,E46/$B46)</f>
        <v/>
      </c>
      <c r="I46" s="2">
        <f>IF(C46=B46,"Passed on test",IF(E46&gt;0,"Runtime error","Failed on test"))</f>
        <v/>
      </c>
      <c r="J46" s="2" t="n">
        <v>4</v>
      </c>
    </row>
    <row r="47">
      <c r="A47" s="2">
        <f>Summary!A35</f>
        <v/>
      </c>
      <c r="B47" s="2">
        <f>COUNTIF(Summary!$B$35:$AB$35,"Passed on test")+COUNTIF(Summary!$B$35:$AB$35,"Failed on test")+COUNTIF(Summary!$B$35:$AB$35,"Runtime error")</f>
        <v/>
      </c>
      <c r="C47" s="2">
        <f>COUNTIF(Summary!$B$35:$AB$35,"Passed on test")</f>
        <v/>
      </c>
      <c r="D47" s="2">
        <f>COUNTIF(Summary!$B$35:$AB$35,"Failed on test")</f>
        <v/>
      </c>
      <c r="E47" s="2">
        <f>COUNTIF(Summary!$B$35:$AB$35,"Runtime error")</f>
        <v/>
      </c>
      <c r="F47" s="9">
        <f>IF($B47=0,0,C47/$B47)</f>
        <v/>
      </c>
      <c r="G47" s="9">
        <f>IF($B47=0,0,D47/$B47)</f>
        <v/>
      </c>
      <c r="H47" s="9">
        <f>IF($B47=0,0,E47/$B47)</f>
        <v/>
      </c>
      <c r="I47" s="2">
        <f>IF(C47=B47,"Passed on test",IF(E47&gt;0,"Runtime error","Failed on test"))</f>
        <v/>
      </c>
      <c r="J47" s="2" t="n">
        <v>4</v>
      </c>
    </row>
    <row r="48">
      <c r="A48" s="2">
        <f>Summary!A36</f>
        <v/>
      </c>
      <c r="B48" s="2">
        <f>COUNTIF(Summary!$B$36:$AB$36,"Passed on test")+COUNTIF(Summary!$B$36:$AB$36,"Failed on test")+COUNTIF(Summary!$B$36:$AB$36,"Runtime error")</f>
        <v/>
      </c>
      <c r="C48" s="2">
        <f>COUNTIF(Summary!$B$36:$AB$36,"Passed on test")</f>
        <v/>
      </c>
      <c r="D48" s="2">
        <f>COUNTIF(Summary!$B$36:$AB$36,"Failed on test")</f>
        <v/>
      </c>
      <c r="E48" s="2">
        <f>COUNTIF(Summary!$B$36:$AB$36,"Runtime error")</f>
        <v/>
      </c>
      <c r="F48" s="9">
        <f>IF($B48=0,0,C48/$B48)</f>
        <v/>
      </c>
      <c r="G48" s="9">
        <f>IF($B48=0,0,D48/$B48)</f>
        <v/>
      </c>
      <c r="H48" s="9">
        <f>IF($B48=0,0,E48/$B48)</f>
        <v/>
      </c>
      <c r="I48" s="2">
        <f>IF(C48=B48,"Passed on test",IF(E48&gt;0,"Runtime error","Failed on test"))</f>
        <v/>
      </c>
      <c r="J48" s="2" t="n">
        <v>4</v>
      </c>
    </row>
    <row r="49">
      <c r="A49" s="2">
        <f>Summary!A37</f>
        <v/>
      </c>
      <c r="B49" s="2">
        <f>COUNTIF(Summary!$B$37:$AB$37,"Passed on test")+COUNTIF(Summary!$B$37:$AB$37,"Failed on test")+COUNTIF(Summary!$B$37:$AB$37,"Runtime error")</f>
        <v/>
      </c>
      <c r="C49" s="2">
        <f>COUNTIF(Summary!$B$37:$AB$37,"Passed on test")</f>
        <v/>
      </c>
      <c r="D49" s="2">
        <f>COUNTIF(Summary!$B$37:$AB$37,"Failed on test")</f>
        <v/>
      </c>
      <c r="E49" s="2">
        <f>COUNTIF(Summary!$B$37:$AB$37,"Runtime error")</f>
        <v/>
      </c>
      <c r="F49" s="9">
        <f>IF($B49=0,0,C49/$B49)</f>
        <v/>
      </c>
      <c r="G49" s="9">
        <f>IF($B49=0,0,D49/$B49)</f>
        <v/>
      </c>
      <c r="H49" s="9">
        <f>IF($B49=0,0,E49/$B49)</f>
        <v/>
      </c>
      <c r="I49" s="2">
        <f>IF(C49=B49,"Passed on test",IF(E49&gt;0,"Runtime error","Failed on test"))</f>
        <v/>
      </c>
      <c r="J49" s="2" t="n">
        <v>4</v>
      </c>
    </row>
    <row r="50">
      <c r="A50" s="2">
        <f>Summary!A38</f>
        <v/>
      </c>
      <c r="B50" s="2">
        <f>COUNTIF(Summary!$B$38:$AB$38,"Passed on test")+COUNTIF(Summary!$B$38:$AB$38,"Failed on test")+COUNTIF(Summary!$B$38:$AB$38,"Runtime error")</f>
        <v/>
      </c>
      <c r="C50" s="2">
        <f>COUNTIF(Summary!$B$38:$AB$38,"Passed on test")</f>
        <v/>
      </c>
      <c r="D50" s="2">
        <f>COUNTIF(Summary!$B$38:$AB$38,"Failed on test")</f>
        <v/>
      </c>
      <c r="E50" s="2">
        <f>COUNTIF(Summary!$B$38:$AB$38,"Runtime error")</f>
        <v/>
      </c>
      <c r="F50" s="9">
        <f>IF($B50=0,0,C50/$B50)</f>
        <v/>
      </c>
      <c r="G50" s="9">
        <f>IF($B50=0,0,D50/$B50)</f>
        <v/>
      </c>
      <c r="H50" s="9">
        <f>IF($B50=0,0,E50/$B50)</f>
        <v/>
      </c>
      <c r="I50" s="2">
        <f>IF(C50=B50,"Passed on test",IF(E50&gt;0,"Runtime error","Failed on test"))</f>
        <v/>
      </c>
      <c r="J50" s="2" t="n">
        <v>4</v>
      </c>
    </row>
    <row r="51">
      <c r="A51" s="2">
        <f>Summary!A39</f>
        <v/>
      </c>
      <c r="B51" s="2">
        <f>COUNTIF(Summary!$B$39:$AB$39,"Passed on test")+COUNTIF(Summary!$B$39:$AB$39,"Failed on test")+COUNTIF(Summary!$B$39:$AB$39,"Runtime error")</f>
        <v/>
      </c>
      <c r="C51" s="2">
        <f>COUNTIF(Summary!$B$39:$AB$39,"Passed on test")</f>
        <v/>
      </c>
      <c r="D51" s="2">
        <f>COUNTIF(Summary!$B$39:$AB$39,"Failed on test")</f>
        <v/>
      </c>
      <c r="E51" s="2">
        <f>COUNTIF(Summary!$B$39:$AB$39,"Runtime error")</f>
        <v/>
      </c>
      <c r="F51" s="9">
        <f>IF($B51=0,0,C51/$B51)</f>
        <v/>
      </c>
      <c r="G51" s="9">
        <f>IF($B51=0,0,D51/$B51)</f>
        <v/>
      </c>
      <c r="H51" s="9">
        <f>IF($B51=0,0,E51/$B51)</f>
        <v/>
      </c>
      <c r="I51" s="2">
        <f>IF(C51=B51,"Passed on test",IF(E51&gt;0,"Runtime error","Failed on test"))</f>
        <v/>
      </c>
      <c r="J51" s="2" t="n">
        <v>4</v>
      </c>
    </row>
    <row r="52">
      <c r="A52" s="2">
        <f>Summary!A40</f>
        <v/>
      </c>
      <c r="B52" s="2">
        <f>COUNTIF(Summary!$B$40:$AB$40,"Passed on test")+COUNTIF(Summary!$B$40:$AB$40,"Failed on test")+COUNTIF(Summary!$B$40:$AB$40,"Runtime error")</f>
        <v/>
      </c>
      <c r="C52" s="2">
        <f>COUNTIF(Summary!$B$40:$AB$40,"Passed on test")</f>
        <v/>
      </c>
      <c r="D52" s="2">
        <f>COUNTIF(Summary!$B$40:$AB$40,"Failed on test")</f>
        <v/>
      </c>
      <c r="E52" s="2">
        <f>COUNTIF(Summary!$B$40:$AB$40,"Runtime error")</f>
        <v/>
      </c>
      <c r="F52" s="9">
        <f>IF($B52=0,0,C52/$B52)</f>
        <v/>
      </c>
      <c r="G52" s="9">
        <f>IF($B52=0,0,D52/$B52)</f>
        <v/>
      </c>
      <c r="H52" s="9">
        <f>IF($B52=0,0,E52/$B52)</f>
        <v/>
      </c>
      <c r="I52" s="2">
        <f>IF(C52=B52,"Passed on test",IF(E52&gt;0,"Runtime error","Failed on test"))</f>
        <v/>
      </c>
      <c r="J52" s="2" t="n">
        <v>4</v>
      </c>
    </row>
    <row r="53">
      <c r="A53" s="2">
        <f>Summary!A41</f>
        <v/>
      </c>
      <c r="B53" s="2">
        <f>COUNTIF(Summary!$B$41:$AB$41,"Passed on test")+COUNTIF(Summary!$B$41:$AB$41,"Failed on test")+COUNTIF(Summary!$B$41:$AB$41,"Runtime error")</f>
        <v/>
      </c>
      <c r="C53" s="2">
        <f>COUNTIF(Summary!$B$41:$AB$41,"Passed on test")</f>
        <v/>
      </c>
      <c r="D53" s="2">
        <f>COUNTIF(Summary!$B$41:$AB$41,"Failed on test")</f>
        <v/>
      </c>
      <c r="E53" s="2">
        <f>COUNTIF(Summary!$B$41:$AB$41,"Runtime error")</f>
        <v/>
      </c>
      <c r="F53" s="9">
        <f>IF($B53=0,0,C53/$B53)</f>
        <v/>
      </c>
      <c r="G53" s="9">
        <f>IF($B53=0,0,D53/$B53)</f>
        <v/>
      </c>
      <c r="H53" s="9">
        <f>IF($B53=0,0,E53/$B53)</f>
        <v/>
      </c>
      <c r="I53" s="2">
        <f>IF(C53=B53,"Passed on test",IF(E53&gt;0,"Runtime error","Failed on test"))</f>
        <v/>
      </c>
      <c r="J53" s="2" t="n">
        <v>4</v>
      </c>
    </row>
    <row r="54">
      <c r="A54" s="2">
        <f>Summary!A42</f>
        <v/>
      </c>
      <c r="B54" s="2">
        <f>COUNTIF(Summary!$B$42:$AB$42,"Passed on test")+COUNTIF(Summary!$B$42:$AB$42,"Failed on test")+COUNTIF(Summary!$B$42:$AB$42,"Runtime error")</f>
        <v/>
      </c>
      <c r="C54" s="2">
        <f>COUNTIF(Summary!$B$42:$AB$42,"Passed on test")</f>
        <v/>
      </c>
      <c r="D54" s="2">
        <f>COUNTIF(Summary!$B$42:$AB$42,"Failed on test")</f>
        <v/>
      </c>
      <c r="E54" s="2">
        <f>COUNTIF(Summary!$B$42:$AB$42,"Runtime error")</f>
        <v/>
      </c>
      <c r="F54" s="9">
        <f>IF($B54=0,0,C54/$B54)</f>
        <v/>
      </c>
      <c r="G54" s="9">
        <f>IF($B54=0,0,D54/$B54)</f>
        <v/>
      </c>
      <c r="H54" s="9">
        <f>IF($B54=0,0,E54/$B54)</f>
        <v/>
      </c>
      <c r="I54" s="2">
        <f>IF(C54=B54,"Passed on test",IF(E54&gt;0,"Runtime error","Failed on test"))</f>
        <v/>
      </c>
      <c r="J54" s="2" t="n">
        <v>5</v>
      </c>
    </row>
    <row r="55">
      <c r="A55" s="2">
        <f>Summary!A43</f>
        <v/>
      </c>
      <c r="B55" s="2">
        <f>COUNTIF(Summary!$B$43:$AB$43,"Passed on test")+COUNTIF(Summary!$B$43:$AB$43,"Failed on test")+COUNTIF(Summary!$B$43:$AB$43,"Runtime error")</f>
        <v/>
      </c>
      <c r="C55" s="2">
        <f>COUNTIF(Summary!$B$43:$AB$43,"Passed on test")</f>
        <v/>
      </c>
      <c r="D55" s="2">
        <f>COUNTIF(Summary!$B$43:$AB$43,"Failed on test")</f>
        <v/>
      </c>
      <c r="E55" s="2">
        <f>COUNTIF(Summary!$B$43:$AB$43,"Runtime error")</f>
        <v/>
      </c>
      <c r="F55" s="9">
        <f>IF($B55=0,0,C55/$B55)</f>
        <v/>
      </c>
      <c r="G55" s="9">
        <f>IF($B55=0,0,D55/$B55)</f>
        <v/>
      </c>
      <c r="H55" s="9">
        <f>IF($B55=0,0,E55/$B55)</f>
        <v/>
      </c>
      <c r="I55" s="2">
        <f>IF(C55=B55,"Passed on test",IF(E55&gt;0,"Runtime error","Failed on test"))</f>
        <v/>
      </c>
      <c r="J55" s="2" t="n">
        <v>5</v>
      </c>
    </row>
    <row r="56">
      <c r="A56" s="2">
        <f>Summary!A44</f>
        <v/>
      </c>
      <c r="B56" s="2">
        <f>COUNTIF(Summary!$B$44:$AB$44,"Passed on test")+COUNTIF(Summary!$B$44:$AB$44,"Failed on test")+COUNTIF(Summary!$B$44:$AB$44,"Runtime error")</f>
        <v/>
      </c>
      <c r="C56" s="2">
        <f>COUNTIF(Summary!$B$44:$AB$44,"Passed on test")</f>
        <v/>
      </c>
      <c r="D56" s="2">
        <f>COUNTIF(Summary!$B$44:$AB$44,"Failed on test")</f>
        <v/>
      </c>
      <c r="E56" s="2">
        <f>COUNTIF(Summary!$B$44:$AB$44,"Runtime error")</f>
        <v/>
      </c>
      <c r="F56" s="9">
        <f>IF($B56=0,0,C56/$B56)</f>
        <v/>
      </c>
      <c r="G56" s="9">
        <f>IF($B56=0,0,D56/$B56)</f>
        <v/>
      </c>
      <c r="H56" s="9">
        <f>IF($B56=0,0,E56/$B56)</f>
        <v/>
      </c>
      <c r="I56" s="2">
        <f>IF(C56=B56,"Passed on test",IF(E56&gt;0,"Runtime error","Failed on test"))</f>
        <v/>
      </c>
      <c r="J56" s="2" t="n">
        <v>5</v>
      </c>
    </row>
    <row r="57">
      <c r="A57" s="2">
        <f>Summary!A45</f>
        <v/>
      </c>
      <c r="B57" s="2">
        <f>COUNTIF(Summary!$B$45:$AB$45,"Passed on test")+COUNTIF(Summary!$B$45:$AB$45,"Failed on test")+COUNTIF(Summary!$B$45:$AB$45,"Runtime error")</f>
        <v/>
      </c>
      <c r="C57" s="2">
        <f>COUNTIF(Summary!$B$45:$AB$45,"Passed on test")</f>
        <v/>
      </c>
      <c r="D57" s="2">
        <f>COUNTIF(Summary!$B$45:$AB$45,"Failed on test")</f>
        <v/>
      </c>
      <c r="E57" s="2">
        <f>COUNTIF(Summary!$B$45:$AB$45,"Runtime error")</f>
        <v/>
      </c>
      <c r="F57" s="9">
        <f>IF($B57=0,0,C57/$B57)</f>
        <v/>
      </c>
      <c r="G57" s="9">
        <f>IF($B57=0,0,D57/$B57)</f>
        <v/>
      </c>
      <c r="H57" s="9">
        <f>IF($B57=0,0,E57/$B57)</f>
        <v/>
      </c>
      <c r="I57" s="2">
        <f>IF(C57=B57,"Passed on test",IF(E57&gt;0,"Runtime error","Failed on test"))</f>
        <v/>
      </c>
      <c r="J57" s="2" t="n">
        <v>5</v>
      </c>
    </row>
    <row r="58">
      <c r="A58" s="2">
        <f>Summary!A46</f>
        <v/>
      </c>
      <c r="B58" s="2">
        <f>COUNTIF(Summary!$B$46:$AB$46,"Passed on test")+COUNTIF(Summary!$B$46:$AB$46,"Failed on test")+COUNTIF(Summary!$B$46:$AB$46,"Runtime error")</f>
        <v/>
      </c>
      <c r="C58" s="2">
        <f>COUNTIF(Summary!$B$46:$AB$46,"Passed on test")</f>
        <v/>
      </c>
      <c r="D58" s="2">
        <f>COUNTIF(Summary!$B$46:$AB$46,"Failed on test")</f>
        <v/>
      </c>
      <c r="E58" s="2">
        <f>COUNTIF(Summary!$B$46:$AB$46,"Runtime error")</f>
        <v/>
      </c>
      <c r="F58" s="9">
        <f>IF($B58=0,0,C58/$B58)</f>
        <v/>
      </c>
      <c r="G58" s="9">
        <f>IF($B58=0,0,D58/$B58)</f>
        <v/>
      </c>
      <c r="H58" s="9">
        <f>IF($B58=0,0,E58/$B58)</f>
        <v/>
      </c>
      <c r="I58" s="2">
        <f>IF(C58=B58,"Passed on test",IF(E58&gt;0,"Runtime error","Failed on test"))</f>
        <v/>
      </c>
      <c r="J58" s="2" t="n">
        <v>5</v>
      </c>
    </row>
    <row r="59">
      <c r="A59" s="2">
        <f>Summary!A47</f>
        <v/>
      </c>
      <c r="B59" s="2">
        <f>COUNTIF(Summary!$B$47:$AB$47,"Passed on test")+COUNTIF(Summary!$B$47:$AB$47,"Failed on test")+COUNTIF(Summary!$B$47:$AB$47,"Runtime error")</f>
        <v/>
      </c>
      <c r="C59" s="2">
        <f>COUNTIF(Summary!$B$47:$AB$47,"Passed on test")</f>
        <v/>
      </c>
      <c r="D59" s="2">
        <f>COUNTIF(Summary!$B$47:$AB$47,"Failed on test")</f>
        <v/>
      </c>
      <c r="E59" s="2">
        <f>COUNTIF(Summary!$B$47:$AB$47,"Runtime error")</f>
        <v/>
      </c>
      <c r="F59" s="9">
        <f>IF($B59=0,0,C59/$B59)</f>
        <v/>
      </c>
      <c r="G59" s="9">
        <f>IF($B59=0,0,D59/$B59)</f>
        <v/>
      </c>
      <c r="H59" s="9">
        <f>IF($B59=0,0,E59/$B59)</f>
        <v/>
      </c>
      <c r="I59" s="2">
        <f>IF(C59=B59,"Passed on test",IF(E59&gt;0,"Runtime error","Failed on test"))</f>
        <v/>
      </c>
      <c r="J59" s="2" t="n">
        <v>5</v>
      </c>
    </row>
    <row r="60">
      <c r="A60" s="2">
        <f>Summary!A48</f>
        <v/>
      </c>
      <c r="B60" s="2">
        <f>COUNTIF(Summary!$B$48:$AB$48,"Passed on test")+COUNTIF(Summary!$B$48:$AB$48,"Failed on test")+COUNTIF(Summary!$B$48:$AB$48,"Runtime error")</f>
        <v/>
      </c>
      <c r="C60" s="2">
        <f>COUNTIF(Summary!$B$48:$AB$48,"Passed on test")</f>
        <v/>
      </c>
      <c r="D60" s="2">
        <f>COUNTIF(Summary!$B$48:$AB$48,"Failed on test")</f>
        <v/>
      </c>
      <c r="E60" s="2">
        <f>COUNTIF(Summary!$B$48:$AB$48,"Runtime error")</f>
        <v/>
      </c>
      <c r="F60" s="9">
        <f>IF($B60=0,0,C60/$B60)</f>
        <v/>
      </c>
      <c r="G60" s="9">
        <f>IF($B60=0,0,D60/$B60)</f>
        <v/>
      </c>
      <c r="H60" s="9">
        <f>IF($B60=0,0,E60/$B60)</f>
        <v/>
      </c>
      <c r="I60" s="2">
        <f>IF(C60=B60,"Passed on test",IF(E60&gt;0,"Runtime error","Failed on test"))</f>
        <v/>
      </c>
      <c r="J60" s="2" t="n">
        <v>5</v>
      </c>
    </row>
    <row r="61">
      <c r="A61" s="2">
        <f>Summary!A49</f>
        <v/>
      </c>
      <c r="B61" s="2">
        <f>COUNTIF(Summary!$B$49:$AB$49,"Passed on test")+COUNTIF(Summary!$B$49:$AB$49,"Failed on test")+COUNTIF(Summary!$B$49:$AB$49,"Runtime error")</f>
        <v/>
      </c>
      <c r="C61" s="2">
        <f>COUNTIF(Summary!$B$49:$AB$49,"Passed on test")</f>
        <v/>
      </c>
      <c r="D61" s="2">
        <f>COUNTIF(Summary!$B$49:$AB$49,"Failed on test")</f>
        <v/>
      </c>
      <c r="E61" s="2">
        <f>COUNTIF(Summary!$B$49:$AB$49,"Runtime error")</f>
        <v/>
      </c>
      <c r="F61" s="9">
        <f>IF($B61=0,0,C61/$B61)</f>
        <v/>
      </c>
      <c r="G61" s="9">
        <f>IF($B61=0,0,D61/$B61)</f>
        <v/>
      </c>
      <c r="H61" s="9">
        <f>IF($B61=0,0,E61/$B61)</f>
        <v/>
      </c>
      <c r="I61" s="2">
        <f>IF(C61=B61,"Passed on test",IF(E61&gt;0,"Runtime error","Failed on test"))</f>
        <v/>
      </c>
      <c r="J61" s="2" t="n">
        <v>5</v>
      </c>
    </row>
    <row r="62">
      <c r="A62" s="2">
        <f>Summary!A50</f>
        <v/>
      </c>
      <c r="B62" s="2">
        <f>COUNTIF(Summary!$B$50:$AB$50,"Passed on test")+COUNTIF(Summary!$B$50:$AB$50,"Failed on test")+COUNTIF(Summary!$B$50:$AB$50,"Runtime error")</f>
        <v/>
      </c>
      <c r="C62" s="2">
        <f>COUNTIF(Summary!$B$50:$AB$50,"Passed on test")</f>
        <v/>
      </c>
      <c r="D62" s="2">
        <f>COUNTIF(Summary!$B$50:$AB$50,"Failed on test")</f>
        <v/>
      </c>
      <c r="E62" s="2">
        <f>COUNTIF(Summary!$B$50:$AB$50,"Runtime error")</f>
        <v/>
      </c>
      <c r="F62" s="9">
        <f>IF($B62=0,0,C62/$B62)</f>
        <v/>
      </c>
      <c r="G62" s="9">
        <f>IF($B62=0,0,D62/$B62)</f>
        <v/>
      </c>
      <c r="H62" s="9">
        <f>IF($B62=0,0,E62/$B62)</f>
        <v/>
      </c>
      <c r="I62" s="2">
        <f>IF(C62=B62,"Passed on test",IF(E62&gt;0,"Runtime error","Failed on test"))</f>
        <v/>
      </c>
      <c r="J62" s="2" t="n">
        <v>5</v>
      </c>
    </row>
    <row r="63">
      <c r="A63" s="2">
        <f>Summary!A51</f>
        <v/>
      </c>
      <c r="B63" s="2">
        <f>COUNTIF(Summary!$B$51:$AB$51,"Passed on test")+COUNTIF(Summary!$B$51:$AB$51,"Failed on test")+COUNTIF(Summary!$B$51:$AB$51,"Runtime error")</f>
        <v/>
      </c>
      <c r="C63" s="2">
        <f>COUNTIF(Summary!$B$51:$AB$51,"Passed on test")</f>
        <v/>
      </c>
      <c r="D63" s="2">
        <f>COUNTIF(Summary!$B$51:$AB$51,"Failed on test")</f>
        <v/>
      </c>
      <c r="E63" s="2">
        <f>COUNTIF(Summary!$B$51:$AB$51,"Runtime error")</f>
        <v/>
      </c>
      <c r="F63" s="9">
        <f>IF($B63=0,0,C63/$B63)</f>
        <v/>
      </c>
      <c r="G63" s="9">
        <f>IF($B63=0,0,D63/$B63)</f>
        <v/>
      </c>
      <c r="H63" s="9">
        <f>IF($B63=0,0,E63/$B63)</f>
        <v/>
      </c>
      <c r="I63" s="2">
        <f>IF(C63=B63,"Passed on test",IF(E63&gt;0,"Runtime error","Failed on test"))</f>
        <v/>
      </c>
      <c r="J63" s="2" t="n">
        <v>5</v>
      </c>
    </row>
    <row r="64">
      <c r="A64" s="2">
        <f>Summary!A52</f>
        <v/>
      </c>
      <c r="B64" s="2">
        <f>COUNTIF(Summary!$B$52:$AB$52,"Passed on test")+COUNTIF(Summary!$B$52:$AB$52,"Failed on test")+COUNTIF(Summary!$B$52:$AB$52,"Runtime error")</f>
        <v/>
      </c>
      <c r="C64" s="2">
        <f>COUNTIF(Summary!$B$52:$AB$52,"Passed on test")</f>
        <v/>
      </c>
      <c r="D64" s="2">
        <f>COUNTIF(Summary!$B$52:$AB$52,"Failed on test")</f>
        <v/>
      </c>
      <c r="E64" s="2">
        <f>COUNTIF(Summary!$B$52:$AB$52,"Runtime error")</f>
        <v/>
      </c>
      <c r="F64" s="9">
        <f>IF($B64=0,0,C64/$B64)</f>
        <v/>
      </c>
      <c r="G64" s="9">
        <f>IF($B64=0,0,D64/$B64)</f>
        <v/>
      </c>
      <c r="H64" s="9">
        <f>IF($B64=0,0,E64/$B64)</f>
        <v/>
      </c>
      <c r="I64" s="2">
        <f>IF(C64=B64,"Passed on test",IF(E64&gt;0,"Runtime error","Failed on test"))</f>
        <v/>
      </c>
      <c r="J64" s="2" t="n">
        <v>6</v>
      </c>
    </row>
    <row r="65">
      <c r="A65" s="2">
        <f>Summary!A53</f>
        <v/>
      </c>
      <c r="B65" s="2">
        <f>COUNTIF(Summary!$B$53:$AB$53,"Passed on test")+COUNTIF(Summary!$B$53:$AB$53,"Failed on test")+COUNTIF(Summary!$B$53:$AB$53,"Runtime error")</f>
        <v/>
      </c>
      <c r="C65" s="2">
        <f>COUNTIF(Summary!$B$53:$AB$53,"Passed on test")</f>
        <v/>
      </c>
      <c r="D65" s="2">
        <f>COUNTIF(Summary!$B$53:$AB$53,"Failed on test")</f>
        <v/>
      </c>
      <c r="E65" s="2">
        <f>COUNTIF(Summary!$B$53:$AB$53,"Runtime error")</f>
        <v/>
      </c>
      <c r="F65" s="9">
        <f>IF($B65=0,0,C65/$B65)</f>
        <v/>
      </c>
      <c r="G65" s="9">
        <f>IF($B65=0,0,D65/$B65)</f>
        <v/>
      </c>
      <c r="H65" s="9">
        <f>IF($B65=0,0,E65/$B65)</f>
        <v/>
      </c>
      <c r="I65" s="2">
        <f>IF(C65=B65,"Passed on test",IF(E65&gt;0,"Runtime error","Failed on test"))</f>
        <v/>
      </c>
      <c r="J65" s="2" t="n">
        <v>6</v>
      </c>
    </row>
    <row r="66">
      <c r="A66" s="2">
        <f>Summary!A54</f>
        <v/>
      </c>
      <c r="B66" s="2">
        <f>COUNTIF(Summary!$B$54:$AB$54,"Passed on test")+COUNTIF(Summary!$B$54:$AB$54,"Failed on test")+COUNTIF(Summary!$B$54:$AB$54,"Runtime error")</f>
        <v/>
      </c>
      <c r="C66" s="2">
        <f>COUNTIF(Summary!$B$54:$AB$54,"Passed on test")</f>
        <v/>
      </c>
      <c r="D66" s="2">
        <f>COUNTIF(Summary!$B$54:$AB$54,"Failed on test")</f>
        <v/>
      </c>
      <c r="E66" s="2">
        <f>COUNTIF(Summary!$B$54:$AB$54,"Runtime error")</f>
        <v/>
      </c>
      <c r="F66" s="9">
        <f>IF($B66=0,0,C66/$B66)</f>
        <v/>
      </c>
      <c r="G66" s="9">
        <f>IF($B66=0,0,D66/$B66)</f>
        <v/>
      </c>
      <c r="H66" s="9">
        <f>IF($B66=0,0,E66/$B66)</f>
        <v/>
      </c>
      <c r="I66" s="2">
        <f>IF(C66=B66,"Passed on test",IF(E66&gt;0,"Runtime error","Failed on test"))</f>
        <v/>
      </c>
      <c r="J66" s="2" t="n">
        <v>6</v>
      </c>
    </row>
    <row r="67">
      <c r="A67" s="2">
        <f>Summary!A55</f>
        <v/>
      </c>
      <c r="B67" s="2">
        <f>COUNTIF(Summary!$B$55:$AB$55,"Passed on test")+COUNTIF(Summary!$B$55:$AB$55,"Failed on test")+COUNTIF(Summary!$B$55:$AB$55,"Runtime error")</f>
        <v/>
      </c>
      <c r="C67" s="2">
        <f>COUNTIF(Summary!$B$55:$AB$55,"Passed on test")</f>
        <v/>
      </c>
      <c r="D67" s="2">
        <f>COUNTIF(Summary!$B$55:$AB$55,"Failed on test")</f>
        <v/>
      </c>
      <c r="E67" s="2">
        <f>COUNTIF(Summary!$B$55:$AB$55,"Runtime error")</f>
        <v/>
      </c>
      <c r="F67" s="9">
        <f>IF($B67=0,0,C67/$B67)</f>
        <v/>
      </c>
      <c r="G67" s="9">
        <f>IF($B67=0,0,D67/$B67)</f>
        <v/>
      </c>
      <c r="H67" s="9">
        <f>IF($B67=0,0,E67/$B67)</f>
        <v/>
      </c>
      <c r="I67" s="2">
        <f>IF(C67=B67,"Passed on test",IF(E67&gt;0,"Runtime error","Failed on test"))</f>
        <v/>
      </c>
      <c r="J67" s="2" t="n">
        <v>6</v>
      </c>
    </row>
    <row r="68">
      <c r="A68" s="2">
        <f>Summary!A56</f>
        <v/>
      </c>
      <c r="B68" s="2">
        <f>COUNTIF(Summary!$B$56:$AB$56,"Passed on test")+COUNTIF(Summary!$B$56:$AB$56,"Failed on test")+COUNTIF(Summary!$B$56:$AB$56,"Runtime error")</f>
        <v/>
      </c>
      <c r="C68" s="2">
        <f>COUNTIF(Summary!$B$56:$AB$56,"Passed on test")</f>
        <v/>
      </c>
      <c r="D68" s="2">
        <f>COUNTIF(Summary!$B$56:$AB$56,"Failed on test")</f>
        <v/>
      </c>
      <c r="E68" s="2">
        <f>COUNTIF(Summary!$B$56:$AB$56,"Runtime error")</f>
        <v/>
      </c>
      <c r="F68" s="9">
        <f>IF($B68=0,0,C68/$B68)</f>
        <v/>
      </c>
      <c r="G68" s="9">
        <f>IF($B68=0,0,D68/$B68)</f>
        <v/>
      </c>
      <c r="H68" s="9">
        <f>IF($B68=0,0,E68/$B68)</f>
        <v/>
      </c>
      <c r="I68" s="2">
        <f>IF(C68=B68,"Passed on test",IF(E68&gt;0,"Runtime error","Failed on test"))</f>
        <v/>
      </c>
      <c r="J68" s="2" t="n">
        <v>6</v>
      </c>
    </row>
    <row r="69">
      <c r="A69" s="2">
        <f>Summary!A57</f>
        <v/>
      </c>
      <c r="B69" s="2">
        <f>COUNTIF(Summary!$B$57:$AB$57,"Passed on test")+COUNTIF(Summary!$B$57:$AB$57,"Failed on test")+COUNTIF(Summary!$B$57:$AB$57,"Runtime error")</f>
        <v/>
      </c>
      <c r="C69" s="2">
        <f>COUNTIF(Summary!$B$57:$AB$57,"Passed on test")</f>
        <v/>
      </c>
      <c r="D69" s="2">
        <f>COUNTIF(Summary!$B$57:$AB$57,"Failed on test")</f>
        <v/>
      </c>
      <c r="E69" s="2">
        <f>COUNTIF(Summary!$B$57:$AB$57,"Runtime error")</f>
        <v/>
      </c>
      <c r="F69" s="9">
        <f>IF($B69=0,0,C69/$B69)</f>
        <v/>
      </c>
      <c r="G69" s="9">
        <f>IF($B69=0,0,D69/$B69)</f>
        <v/>
      </c>
      <c r="H69" s="9">
        <f>IF($B69=0,0,E69/$B69)</f>
        <v/>
      </c>
      <c r="I69" s="2">
        <f>IF(C69=B69,"Passed on test",IF(E69&gt;0,"Runtime error","Failed on test"))</f>
        <v/>
      </c>
      <c r="J69" s="2" t="n">
        <v>6</v>
      </c>
    </row>
    <row r="70">
      <c r="A70" s="2">
        <f>Summary!A58</f>
        <v/>
      </c>
      <c r="B70" s="2">
        <f>COUNTIF(Summary!$B$58:$AB$58,"Passed on test")+COUNTIF(Summary!$B$58:$AB$58,"Failed on test")+COUNTIF(Summary!$B$58:$AB$58,"Runtime error")</f>
        <v/>
      </c>
      <c r="C70" s="2">
        <f>COUNTIF(Summary!$B$58:$AB$58,"Passed on test")</f>
        <v/>
      </c>
      <c r="D70" s="2">
        <f>COUNTIF(Summary!$B$58:$AB$58,"Failed on test")</f>
        <v/>
      </c>
      <c r="E70" s="2">
        <f>COUNTIF(Summary!$B$58:$AB$58,"Runtime error")</f>
        <v/>
      </c>
      <c r="F70" s="9">
        <f>IF($B70=0,0,C70/$B70)</f>
        <v/>
      </c>
      <c r="G70" s="9">
        <f>IF($B70=0,0,D70/$B70)</f>
        <v/>
      </c>
      <c r="H70" s="9">
        <f>IF($B70=0,0,E70/$B70)</f>
        <v/>
      </c>
      <c r="I70" s="2">
        <f>IF(C70=B70,"Passed on test",IF(E70&gt;0,"Runtime error","Failed on test"))</f>
        <v/>
      </c>
      <c r="J70" s="2" t="n">
        <v>6</v>
      </c>
    </row>
    <row r="71">
      <c r="A71" s="2">
        <f>Summary!A59</f>
        <v/>
      </c>
      <c r="B71" s="2">
        <f>COUNTIF(Summary!$B$59:$AB$59,"Passed on test")+COUNTIF(Summary!$B$59:$AB$59,"Failed on test")+COUNTIF(Summary!$B$59:$AB$59,"Runtime error")</f>
        <v/>
      </c>
      <c r="C71" s="2">
        <f>COUNTIF(Summary!$B$59:$AB$59,"Passed on test")</f>
        <v/>
      </c>
      <c r="D71" s="2">
        <f>COUNTIF(Summary!$B$59:$AB$59,"Failed on test")</f>
        <v/>
      </c>
      <c r="E71" s="2">
        <f>COUNTIF(Summary!$B$59:$AB$59,"Runtime error")</f>
        <v/>
      </c>
      <c r="F71" s="9">
        <f>IF($B71=0,0,C71/$B71)</f>
        <v/>
      </c>
      <c r="G71" s="9">
        <f>IF($B71=0,0,D71/$B71)</f>
        <v/>
      </c>
      <c r="H71" s="9">
        <f>IF($B71=0,0,E71/$B71)</f>
        <v/>
      </c>
      <c r="I71" s="2">
        <f>IF(C71=B71,"Passed on test",IF(E71&gt;0,"Runtime error","Failed on test"))</f>
        <v/>
      </c>
      <c r="J71" s="2" t="n">
        <v>6</v>
      </c>
    </row>
    <row r="72">
      <c r="A72" s="2">
        <f>Summary!A60</f>
        <v/>
      </c>
      <c r="B72" s="2">
        <f>COUNTIF(Summary!$B$60:$AB$60,"Passed on test")+COUNTIF(Summary!$B$60:$AB$60,"Failed on test")+COUNTIF(Summary!$B$60:$AB$60,"Runtime error")</f>
        <v/>
      </c>
      <c r="C72" s="2">
        <f>COUNTIF(Summary!$B$60:$AB$60,"Passed on test")</f>
        <v/>
      </c>
      <c r="D72" s="2">
        <f>COUNTIF(Summary!$B$60:$AB$60,"Failed on test")</f>
        <v/>
      </c>
      <c r="E72" s="2">
        <f>COUNTIF(Summary!$B$60:$AB$60,"Runtime error")</f>
        <v/>
      </c>
      <c r="F72" s="9">
        <f>IF($B72=0,0,C72/$B72)</f>
        <v/>
      </c>
      <c r="G72" s="9">
        <f>IF($B72=0,0,D72/$B72)</f>
        <v/>
      </c>
      <c r="H72" s="9">
        <f>IF($B72=0,0,E72/$B72)</f>
        <v/>
      </c>
      <c r="I72" s="2">
        <f>IF(C72=B72,"Passed on test",IF(E72&gt;0,"Runtime error","Failed on test"))</f>
        <v/>
      </c>
      <c r="J72" s="2" t="n">
        <v>6</v>
      </c>
    </row>
    <row r="73">
      <c r="A73" s="2">
        <f>Summary!A61</f>
        <v/>
      </c>
      <c r="B73" s="2">
        <f>COUNTIF(Summary!$B$61:$AB$61,"Passed on test")+COUNTIF(Summary!$B$61:$AB$61,"Failed on test")+COUNTIF(Summary!$B$61:$AB$61,"Runtime error")</f>
        <v/>
      </c>
      <c r="C73" s="2">
        <f>COUNTIF(Summary!$B$61:$AB$61,"Passed on test")</f>
        <v/>
      </c>
      <c r="D73" s="2">
        <f>COUNTIF(Summary!$B$61:$AB$61,"Failed on test")</f>
        <v/>
      </c>
      <c r="E73" s="2">
        <f>COUNTIF(Summary!$B$61:$AB$61,"Runtime error")</f>
        <v/>
      </c>
      <c r="F73" s="9">
        <f>IF($B73=0,0,C73/$B73)</f>
        <v/>
      </c>
      <c r="G73" s="9">
        <f>IF($B73=0,0,D73/$B73)</f>
        <v/>
      </c>
      <c r="H73" s="9">
        <f>IF($B73=0,0,E73/$B73)</f>
        <v/>
      </c>
      <c r="I73" s="2">
        <f>IF(C73=B73,"Passed on test",IF(E73&gt;0,"Runtime error","Failed on test"))</f>
        <v/>
      </c>
      <c r="J73" s="2" t="n">
        <v>6</v>
      </c>
    </row>
    <row r="74">
      <c r="A74" s="2">
        <f>Summary!A62</f>
        <v/>
      </c>
      <c r="B74" s="2">
        <f>COUNTIF(Summary!$B$62:$AB$62,"Passed on test")+COUNTIF(Summary!$B$62:$AB$62,"Failed on test")+COUNTIF(Summary!$B$62:$AB$62,"Runtime error")</f>
        <v/>
      </c>
      <c r="C74" s="2">
        <f>COUNTIF(Summary!$B$62:$AB$62,"Passed on test")</f>
        <v/>
      </c>
      <c r="D74" s="2">
        <f>COUNTIF(Summary!$B$62:$AB$62,"Failed on test")</f>
        <v/>
      </c>
      <c r="E74" s="2">
        <f>COUNTIF(Summary!$B$62:$AB$62,"Runtime error")</f>
        <v/>
      </c>
      <c r="F74" s="9">
        <f>IF($B74=0,0,C74/$B74)</f>
        <v/>
      </c>
      <c r="G74" s="9">
        <f>IF($B74=0,0,D74/$B74)</f>
        <v/>
      </c>
      <c r="H74" s="9">
        <f>IF($B74=0,0,E74/$B74)</f>
        <v/>
      </c>
      <c r="I74" s="2">
        <f>IF(C74=B74,"Passed on test",IF(E74&gt;0,"Runtime error","Failed on test"))</f>
        <v/>
      </c>
      <c r="J74" s="2" t="n">
        <v>7</v>
      </c>
    </row>
    <row r="75">
      <c r="A75" s="2">
        <f>Summary!A63</f>
        <v/>
      </c>
      <c r="B75" s="2">
        <f>COUNTIF(Summary!$B$63:$AB$63,"Passed on test")+COUNTIF(Summary!$B$63:$AB$63,"Failed on test")+COUNTIF(Summary!$B$63:$AB$63,"Runtime error")</f>
        <v/>
      </c>
      <c r="C75" s="2">
        <f>COUNTIF(Summary!$B$63:$AB$63,"Passed on test")</f>
        <v/>
      </c>
      <c r="D75" s="2">
        <f>COUNTIF(Summary!$B$63:$AB$63,"Failed on test")</f>
        <v/>
      </c>
      <c r="E75" s="2">
        <f>COUNTIF(Summary!$B$63:$AB$63,"Runtime error")</f>
        <v/>
      </c>
      <c r="F75" s="9">
        <f>IF($B75=0,0,C75/$B75)</f>
        <v/>
      </c>
      <c r="G75" s="9">
        <f>IF($B75=0,0,D75/$B75)</f>
        <v/>
      </c>
      <c r="H75" s="9">
        <f>IF($B75=0,0,E75/$B75)</f>
        <v/>
      </c>
      <c r="I75" s="2">
        <f>IF(C75=B75,"Passed on test",IF(E75&gt;0,"Runtime error","Failed on test"))</f>
        <v/>
      </c>
      <c r="J75" s="2" t="n">
        <v>7</v>
      </c>
    </row>
    <row r="76">
      <c r="A76" s="2">
        <f>Summary!A64</f>
        <v/>
      </c>
      <c r="B76" s="2">
        <f>COUNTIF(Summary!$B$64:$AB$64,"Passed on test")+COUNTIF(Summary!$B$64:$AB$64,"Failed on test")+COUNTIF(Summary!$B$64:$AB$64,"Runtime error")</f>
        <v/>
      </c>
      <c r="C76" s="2">
        <f>COUNTIF(Summary!$B$64:$AB$64,"Passed on test")</f>
        <v/>
      </c>
      <c r="D76" s="2">
        <f>COUNTIF(Summary!$B$64:$AB$64,"Failed on test")</f>
        <v/>
      </c>
      <c r="E76" s="2">
        <f>COUNTIF(Summary!$B$64:$AB$64,"Runtime error")</f>
        <v/>
      </c>
      <c r="F76" s="9">
        <f>IF($B76=0,0,C76/$B76)</f>
        <v/>
      </c>
      <c r="G76" s="9">
        <f>IF($B76=0,0,D76/$B76)</f>
        <v/>
      </c>
      <c r="H76" s="9">
        <f>IF($B76=0,0,E76/$B76)</f>
        <v/>
      </c>
      <c r="I76" s="2">
        <f>IF(C76=B76,"Passed on test",IF(E76&gt;0,"Runtime error","Failed on test"))</f>
        <v/>
      </c>
      <c r="J76" s="2" t="n">
        <v>7</v>
      </c>
    </row>
    <row r="77">
      <c r="A77" s="2">
        <f>Summary!A65</f>
        <v/>
      </c>
      <c r="B77" s="2">
        <f>COUNTIF(Summary!$B$65:$AB$65,"Passed on test")+COUNTIF(Summary!$B$65:$AB$65,"Failed on test")+COUNTIF(Summary!$B$65:$AB$65,"Runtime error")</f>
        <v/>
      </c>
      <c r="C77" s="2">
        <f>COUNTIF(Summary!$B$65:$AB$65,"Passed on test")</f>
        <v/>
      </c>
      <c r="D77" s="2">
        <f>COUNTIF(Summary!$B$65:$AB$65,"Failed on test")</f>
        <v/>
      </c>
      <c r="E77" s="2">
        <f>COUNTIF(Summary!$B$65:$AB$65,"Runtime error")</f>
        <v/>
      </c>
      <c r="F77" s="9">
        <f>IF($B77=0,0,C77/$B77)</f>
        <v/>
      </c>
      <c r="G77" s="9">
        <f>IF($B77=0,0,D77/$B77)</f>
        <v/>
      </c>
      <c r="H77" s="9">
        <f>IF($B77=0,0,E77/$B77)</f>
        <v/>
      </c>
      <c r="I77" s="2">
        <f>IF(C77=B77,"Passed on test",IF(E77&gt;0,"Runtime error","Failed on test"))</f>
        <v/>
      </c>
      <c r="J77" s="2" t="n">
        <v>7</v>
      </c>
    </row>
    <row r="78">
      <c r="A78" s="2">
        <f>Summary!A66</f>
        <v/>
      </c>
      <c r="B78" s="2">
        <f>COUNTIF(Summary!$B$66:$AB$66,"Passed on test")+COUNTIF(Summary!$B$66:$AB$66,"Failed on test")+COUNTIF(Summary!$B$66:$AB$66,"Runtime error")</f>
        <v/>
      </c>
      <c r="C78" s="2">
        <f>COUNTIF(Summary!$B$66:$AB$66,"Passed on test")</f>
        <v/>
      </c>
      <c r="D78" s="2">
        <f>COUNTIF(Summary!$B$66:$AB$66,"Failed on test")</f>
        <v/>
      </c>
      <c r="E78" s="2">
        <f>COUNTIF(Summary!$B$66:$AB$66,"Runtime error")</f>
        <v/>
      </c>
      <c r="F78" s="9">
        <f>IF($B78=0,0,C78/$B78)</f>
        <v/>
      </c>
      <c r="G78" s="9">
        <f>IF($B78=0,0,D78/$B78)</f>
        <v/>
      </c>
      <c r="H78" s="9">
        <f>IF($B78=0,0,E78/$B78)</f>
        <v/>
      </c>
      <c r="I78" s="2">
        <f>IF(C78=B78,"Passed on test",IF(E78&gt;0,"Runtime error","Failed on test"))</f>
        <v/>
      </c>
      <c r="J78" s="2" t="n">
        <v>7</v>
      </c>
    </row>
    <row r="79">
      <c r="A79" s="2">
        <f>Summary!A67</f>
        <v/>
      </c>
      <c r="B79" s="2">
        <f>COUNTIF(Summary!$B$67:$AB$67,"Passed on test")+COUNTIF(Summary!$B$67:$AB$67,"Failed on test")+COUNTIF(Summary!$B$67:$AB$67,"Runtime error")</f>
        <v/>
      </c>
      <c r="C79" s="2">
        <f>COUNTIF(Summary!$B$67:$AB$67,"Passed on test")</f>
        <v/>
      </c>
      <c r="D79" s="2">
        <f>COUNTIF(Summary!$B$67:$AB$67,"Failed on test")</f>
        <v/>
      </c>
      <c r="E79" s="2">
        <f>COUNTIF(Summary!$B$67:$AB$67,"Runtime error")</f>
        <v/>
      </c>
      <c r="F79" s="9">
        <f>IF($B79=0,0,C79/$B79)</f>
        <v/>
      </c>
      <c r="G79" s="9">
        <f>IF($B79=0,0,D79/$B79)</f>
        <v/>
      </c>
      <c r="H79" s="9">
        <f>IF($B79=0,0,E79/$B79)</f>
        <v/>
      </c>
      <c r="I79" s="2">
        <f>IF(C79=B79,"Passed on test",IF(E79&gt;0,"Runtime error","Failed on test"))</f>
        <v/>
      </c>
      <c r="J79" s="2" t="n">
        <v>7</v>
      </c>
    </row>
    <row r="80">
      <c r="A80" s="2">
        <f>Summary!A68</f>
        <v/>
      </c>
      <c r="B80" s="2">
        <f>COUNTIF(Summary!$B$68:$AB$68,"Passed on test")+COUNTIF(Summary!$B$68:$AB$68,"Failed on test")+COUNTIF(Summary!$B$68:$AB$68,"Runtime error")</f>
        <v/>
      </c>
      <c r="C80" s="2">
        <f>COUNTIF(Summary!$B$68:$AB$68,"Passed on test")</f>
        <v/>
      </c>
      <c r="D80" s="2">
        <f>COUNTIF(Summary!$B$68:$AB$68,"Failed on test")</f>
        <v/>
      </c>
      <c r="E80" s="2">
        <f>COUNTIF(Summary!$B$68:$AB$68,"Runtime error")</f>
        <v/>
      </c>
      <c r="F80" s="9">
        <f>IF($B80=0,0,C80/$B80)</f>
        <v/>
      </c>
      <c r="G80" s="9">
        <f>IF($B80=0,0,D80/$B80)</f>
        <v/>
      </c>
      <c r="H80" s="9">
        <f>IF($B80=0,0,E80/$B80)</f>
        <v/>
      </c>
      <c r="I80" s="2">
        <f>IF(C80=B80,"Passed on test",IF(E80&gt;0,"Runtime error","Failed on test"))</f>
        <v/>
      </c>
      <c r="J80" s="2" t="n">
        <v>7</v>
      </c>
    </row>
    <row r="81">
      <c r="A81" s="2">
        <f>Summary!A69</f>
        <v/>
      </c>
      <c r="B81" s="2">
        <f>COUNTIF(Summary!$B$69:$AB$69,"Passed on test")+COUNTIF(Summary!$B$69:$AB$69,"Failed on test")+COUNTIF(Summary!$B$69:$AB$69,"Runtime error")</f>
        <v/>
      </c>
      <c r="C81" s="2">
        <f>COUNTIF(Summary!$B$69:$AB$69,"Passed on test")</f>
        <v/>
      </c>
      <c r="D81" s="2">
        <f>COUNTIF(Summary!$B$69:$AB$69,"Failed on test")</f>
        <v/>
      </c>
      <c r="E81" s="2">
        <f>COUNTIF(Summary!$B$69:$AB$69,"Runtime error")</f>
        <v/>
      </c>
      <c r="F81" s="9">
        <f>IF($B81=0,0,C81/$B81)</f>
        <v/>
      </c>
      <c r="G81" s="9">
        <f>IF($B81=0,0,D81/$B81)</f>
        <v/>
      </c>
      <c r="H81" s="9">
        <f>IF($B81=0,0,E81/$B81)</f>
        <v/>
      </c>
      <c r="I81" s="2">
        <f>IF(C81=B81,"Passed on test",IF(E81&gt;0,"Runtime error","Failed on test"))</f>
        <v/>
      </c>
      <c r="J81" s="2" t="n">
        <v>8</v>
      </c>
    </row>
    <row r="82">
      <c r="A82" s="2">
        <f>Summary!A70</f>
        <v/>
      </c>
      <c r="B82" s="2">
        <f>COUNTIF(Summary!$B$70:$AB$70,"Passed on test")+COUNTIF(Summary!$B$70:$AB$70,"Failed on test")+COUNTIF(Summary!$B$70:$AB$70,"Runtime error")</f>
        <v/>
      </c>
      <c r="C82" s="2">
        <f>COUNTIF(Summary!$B$70:$AB$70,"Passed on test")</f>
        <v/>
      </c>
      <c r="D82" s="2">
        <f>COUNTIF(Summary!$B$70:$AB$70,"Failed on test")</f>
        <v/>
      </c>
      <c r="E82" s="2">
        <f>COUNTIF(Summary!$B$70:$AB$70,"Runtime error")</f>
        <v/>
      </c>
      <c r="F82" s="9">
        <f>IF($B82=0,0,C82/$B82)</f>
        <v/>
      </c>
      <c r="G82" s="9">
        <f>IF($B82=0,0,D82/$B82)</f>
        <v/>
      </c>
      <c r="H82" s="9">
        <f>IF($B82=0,0,E82/$B82)</f>
        <v/>
      </c>
      <c r="I82" s="2">
        <f>IF(C82=B82,"Passed on test",IF(E82&gt;0,"Runtime error","Failed on test"))</f>
        <v/>
      </c>
      <c r="J82" s="2" t="n">
        <v>8</v>
      </c>
    </row>
    <row r="83">
      <c r="A83" s="2">
        <f>Summary!A71</f>
        <v/>
      </c>
      <c r="B83" s="2">
        <f>COUNTIF(Summary!$B$71:$AB$71,"Passed on test")+COUNTIF(Summary!$B$71:$AB$71,"Failed on test")+COUNTIF(Summary!$B$71:$AB$71,"Runtime error")</f>
        <v/>
      </c>
      <c r="C83" s="2">
        <f>COUNTIF(Summary!$B$71:$AB$71,"Passed on test")</f>
        <v/>
      </c>
      <c r="D83" s="2">
        <f>COUNTIF(Summary!$B$71:$AB$71,"Failed on test")</f>
        <v/>
      </c>
      <c r="E83" s="2">
        <f>COUNTIF(Summary!$B$71:$AB$71,"Runtime error")</f>
        <v/>
      </c>
      <c r="F83" s="9">
        <f>IF($B83=0,0,C83/$B83)</f>
        <v/>
      </c>
      <c r="G83" s="9">
        <f>IF($B83=0,0,D83/$B83)</f>
        <v/>
      </c>
      <c r="H83" s="9">
        <f>IF($B83=0,0,E83/$B83)</f>
        <v/>
      </c>
      <c r="I83" s="2">
        <f>IF(C83=B83,"Passed on test",IF(E83&gt;0,"Runtime error","Failed on test"))</f>
        <v/>
      </c>
      <c r="J83" s="2" t="n">
        <v>8</v>
      </c>
    </row>
    <row r="84">
      <c r="A84" s="2">
        <f>Summary!A72</f>
        <v/>
      </c>
      <c r="B84" s="2">
        <f>COUNTIF(Summary!$B$72:$AB$72,"Passed on test")+COUNTIF(Summary!$B$72:$AB$72,"Failed on test")+COUNTIF(Summary!$B$72:$AB$72,"Runtime error")</f>
        <v/>
      </c>
      <c r="C84" s="2">
        <f>COUNTIF(Summary!$B$72:$AB$72,"Passed on test")</f>
        <v/>
      </c>
      <c r="D84" s="2">
        <f>COUNTIF(Summary!$B$72:$AB$72,"Failed on test")</f>
        <v/>
      </c>
      <c r="E84" s="2">
        <f>COUNTIF(Summary!$B$72:$AB$72,"Runtime error")</f>
        <v/>
      </c>
      <c r="F84" s="9">
        <f>IF($B84=0,0,C84/$B84)</f>
        <v/>
      </c>
      <c r="G84" s="9">
        <f>IF($B84=0,0,D84/$B84)</f>
        <v/>
      </c>
      <c r="H84" s="9">
        <f>IF($B84=0,0,E84/$B84)</f>
        <v/>
      </c>
      <c r="I84" s="2">
        <f>IF(C84=B84,"Passed on test",IF(E84&gt;0,"Runtime error","Failed on test"))</f>
        <v/>
      </c>
      <c r="J84" s="2" t="n">
        <v>8</v>
      </c>
    </row>
    <row r="85">
      <c r="A85" s="2">
        <f>Summary!A73</f>
        <v/>
      </c>
      <c r="B85" s="2">
        <f>COUNTIF(Summary!$B$73:$AB$73,"Passed on test")+COUNTIF(Summary!$B$73:$AB$73,"Failed on test")+COUNTIF(Summary!$B$73:$AB$73,"Runtime error")</f>
        <v/>
      </c>
      <c r="C85" s="2">
        <f>COUNTIF(Summary!$B$73:$AB$73,"Passed on test")</f>
        <v/>
      </c>
      <c r="D85" s="2">
        <f>COUNTIF(Summary!$B$73:$AB$73,"Failed on test")</f>
        <v/>
      </c>
      <c r="E85" s="2">
        <f>COUNTIF(Summary!$B$73:$AB$73,"Runtime error")</f>
        <v/>
      </c>
      <c r="F85" s="9">
        <f>IF($B85=0,0,C85/$B85)</f>
        <v/>
      </c>
      <c r="G85" s="9">
        <f>IF($B85=0,0,D85/$B85)</f>
        <v/>
      </c>
      <c r="H85" s="9">
        <f>IF($B85=0,0,E85/$B85)</f>
        <v/>
      </c>
      <c r="I85" s="2">
        <f>IF(C85=B85,"Passed on test",IF(E85&gt;0,"Runtime error","Failed on test"))</f>
        <v/>
      </c>
      <c r="J85" s="2" t="n">
        <v>8</v>
      </c>
    </row>
    <row r="86">
      <c r="A86" s="2">
        <f>Summary!A74</f>
        <v/>
      </c>
      <c r="B86" s="2">
        <f>COUNTIF(Summary!$B$74:$AB$74,"Passed on test")+COUNTIF(Summary!$B$74:$AB$74,"Failed on test")+COUNTIF(Summary!$B$74:$AB$74,"Runtime error")</f>
        <v/>
      </c>
      <c r="C86" s="2">
        <f>COUNTIF(Summary!$B$74:$AB$74,"Passed on test")</f>
        <v/>
      </c>
      <c r="D86" s="2">
        <f>COUNTIF(Summary!$B$74:$AB$74,"Failed on test")</f>
        <v/>
      </c>
      <c r="E86" s="2">
        <f>COUNTIF(Summary!$B$74:$AB$74,"Runtime error")</f>
        <v/>
      </c>
      <c r="F86" s="9">
        <f>IF($B86=0,0,C86/$B86)</f>
        <v/>
      </c>
      <c r="G86" s="9">
        <f>IF($B86=0,0,D86/$B86)</f>
        <v/>
      </c>
      <c r="H86" s="9">
        <f>IF($B86=0,0,E86/$B86)</f>
        <v/>
      </c>
      <c r="I86" s="2">
        <f>IF(C86=B86,"Passed on test",IF(E86&gt;0,"Runtime error","Failed on test"))</f>
        <v/>
      </c>
      <c r="J86" s="2" t="n">
        <v>8</v>
      </c>
    </row>
    <row r="87"/>
    <row r="88">
      <c r="A88" s="7" t="inlineStr">
        <is>
          <t>3. Cases by outcome</t>
        </is>
      </c>
    </row>
    <row r="89">
      <c r="A89" s="1" t="inlineStr">
        <is>
          <t>Outcome</t>
        </is>
      </c>
      <c r="B89" s="1" t="inlineStr">
        <is>
          <t>Cases</t>
        </is>
      </c>
      <c r="C89" s="1" t="inlineStr">
        <is>
          <t>% of cases</t>
        </is>
      </c>
      <c r="D89" s="1" t="inlineStr">
        <is>
          <t>Batch 1</t>
        </is>
      </c>
      <c r="E89" s="1" t="inlineStr">
        <is>
          <t>Batch 1 %</t>
        </is>
      </c>
      <c r="F89" s="1" t="inlineStr">
        <is>
          <t>Batch 2</t>
        </is>
      </c>
      <c r="G89" s="1" t="inlineStr">
        <is>
          <t>Batch 2 %</t>
        </is>
      </c>
      <c r="H89" s="1" t="inlineStr">
        <is>
          <t>Batch 3</t>
        </is>
      </c>
      <c r="I89" s="1" t="inlineStr">
        <is>
          <t>Batch 3 %</t>
        </is>
      </c>
      <c r="J89" s="1" t="inlineStr">
        <is>
          <t>Batch 4</t>
        </is>
      </c>
      <c r="K89" s="1" t="inlineStr">
        <is>
          <t>Batch 4 %</t>
        </is>
      </c>
      <c r="L89" s="1" t="inlineStr">
        <is>
          <t>Batch 5</t>
        </is>
      </c>
      <c r="M89" s="1" t="inlineStr">
        <is>
          <t>Batch 5 %</t>
        </is>
      </c>
      <c r="N89" s="1" t="inlineStr">
        <is>
          <t>Batch 6</t>
        </is>
      </c>
      <c r="O89" s="1" t="inlineStr">
        <is>
          <t>Batch 6 %</t>
        </is>
      </c>
      <c r="P89" s="1" t="inlineStr">
        <is>
          <t>Batch 7</t>
        </is>
      </c>
      <c r="Q89" s="1" t="inlineStr">
        <is>
          <t>Batch 7 %</t>
        </is>
      </c>
      <c r="R89" s="1" t="inlineStr">
        <is>
          <t>Batch 8</t>
        </is>
      </c>
      <c r="S89" s="1" t="inlineStr">
        <is>
          <t>Batch 8 %</t>
        </is>
      </c>
    </row>
    <row r="90">
      <c r="A90" s="8" t="inlineStr">
        <is>
          <t>Passed on test</t>
        </is>
      </c>
      <c r="B90" s="2">
        <f>COUNTIF($I$14:$I$86,"Passed on test")</f>
        <v/>
      </c>
      <c r="C90" s="9">
        <f>IF($B$93=0,0,B90/$B$93)</f>
        <v/>
      </c>
      <c r="D90" s="2">
        <f>COUNTIFS($I$14:$I$86,"Passed on test",$J$14:$J$86,1)</f>
        <v/>
      </c>
      <c r="E90" s="9">
        <f>IF(D$93=0,0,D90/D$93)</f>
        <v/>
      </c>
      <c r="F90" s="2">
        <f>COUNTIFS($I$14:$I$86,"Passed on test",$J$14:$J$86,2)</f>
        <v/>
      </c>
      <c r="G90" s="9">
        <f>IF(F$93=0,0,F90/F$93)</f>
        <v/>
      </c>
      <c r="H90" s="2">
        <f>COUNTIFS($I$14:$I$86,"Passed on test",$J$14:$J$86,3)</f>
        <v/>
      </c>
      <c r="I90" s="9">
        <f>IF(H$93=0,0,H90/H$93)</f>
        <v/>
      </c>
      <c r="J90" s="2">
        <f>COUNTIFS($I$14:$I$86,"Passed on test",$J$14:$J$86,4)</f>
        <v/>
      </c>
      <c r="K90" s="9">
        <f>IF(J$93=0,0,J90/J$93)</f>
        <v/>
      </c>
      <c r="L90" s="2">
        <f>COUNTIFS($I$14:$I$86,"Passed on test",$J$14:$J$86,5)</f>
        <v/>
      </c>
      <c r="M90" s="9">
        <f>IF(L$93=0,0,L90/L$93)</f>
        <v/>
      </c>
      <c r="N90" s="2">
        <f>COUNTIFS($I$14:$I$86,"Passed on test",$J$14:$J$86,6)</f>
        <v/>
      </c>
      <c r="O90" s="9">
        <f>IF(N$93=0,0,N90/N$93)</f>
        <v/>
      </c>
      <c r="P90" s="2">
        <f>COUNTIFS($I$14:$I$86,"Passed on test",$J$14:$J$86,7)</f>
        <v/>
      </c>
      <c r="Q90" s="9">
        <f>IF(P$93=0,0,P90/P$93)</f>
        <v/>
      </c>
      <c r="R90" s="2">
        <f>COUNTIFS($I$14:$I$86,"Passed on test",$J$14:$J$86,8)</f>
        <v/>
      </c>
      <c r="S90" s="9">
        <f>IF(R$93=0,0,R90/R$93)</f>
        <v/>
      </c>
    </row>
    <row r="91">
      <c r="A91" s="10" t="inlineStr">
        <is>
          <t>Failed on test</t>
        </is>
      </c>
      <c r="B91" s="2">
        <f>COUNTIF($I$14:$I$86,"Failed on test")</f>
        <v/>
      </c>
      <c r="C91" s="9">
        <f>IF($B$93=0,0,B91/$B$93)</f>
        <v/>
      </c>
      <c r="D91" s="2">
        <f>COUNTIFS($I$14:$I$86,"Failed on test",$J$14:$J$86,1)</f>
        <v/>
      </c>
      <c r="E91" s="9">
        <f>IF(D$93=0,0,D91/D$93)</f>
        <v/>
      </c>
      <c r="F91" s="2">
        <f>COUNTIFS($I$14:$I$86,"Failed on test",$J$14:$J$86,2)</f>
        <v/>
      </c>
      <c r="G91" s="9">
        <f>IF(F$93=0,0,F91/F$93)</f>
        <v/>
      </c>
      <c r="H91" s="2">
        <f>COUNTIFS($I$14:$I$86,"Failed on test",$J$14:$J$86,3)</f>
        <v/>
      </c>
      <c r="I91" s="9">
        <f>IF(H$93=0,0,H91/H$93)</f>
        <v/>
      </c>
      <c r="J91" s="2">
        <f>COUNTIFS($I$14:$I$86,"Failed on test",$J$14:$J$86,4)</f>
        <v/>
      </c>
      <c r="K91" s="9">
        <f>IF(J$93=0,0,J91/J$93)</f>
        <v/>
      </c>
      <c r="L91" s="2">
        <f>COUNTIFS($I$14:$I$86,"Failed on test",$J$14:$J$86,5)</f>
        <v/>
      </c>
      <c r="M91" s="9">
        <f>IF(L$93=0,0,L91/L$93)</f>
        <v/>
      </c>
      <c r="N91" s="2">
        <f>COUNTIFS($I$14:$I$86,"Failed on test",$J$14:$J$86,6)</f>
        <v/>
      </c>
      <c r="O91" s="9">
        <f>IF(N$93=0,0,N91/N$93)</f>
        <v/>
      </c>
      <c r="P91" s="2">
        <f>COUNTIFS($I$14:$I$86,"Failed on test",$J$14:$J$86,7)</f>
        <v/>
      </c>
      <c r="Q91" s="9">
        <f>IF(P$93=0,0,P91/P$93)</f>
        <v/>
      </c>
      <c r="R91" s="2">
        <f>COUNTIFS($I$14:$I$86,"Failed on test",$J$14:$J$86,8)</f>
        <v/>
      </c>
      <c r="S91" s="9">
        <f>IF(R$93=0,0,R91/R$93)</f>
        <v/>
      </c>
    </row>
    <row r="92">
      <c r="A92" s="11" t="inlineStr">
        <is>
          <t>Runtime error</t>
        </is>
      </c>
      <c r="B92" s="2">
        <f>COUNTIF($I$14:$I$86,"Runtime error")</f>
        <v/>
      </c>
      <c r="C92" s="9">
        <f>IF($B$93=0,0,B92/$B$93)</f>
        <v/>
      </c>
      <c r="D92" s="2">
        <f>COUNTIFS($I$14:$I$86,"Runtime error",$J$14:$J$86,1)</f>
        <v/>
      </c>
      <c r="E92" s="9">
        <f>IF(D$93=0,0,D92/D$93)</f>
        <v/>
      </c>
      <c r="F92" s="2">
        <f>COUNTIFS($I$14:$I$86,"Runtime error",$J$14:$J$86,2)</f>
        <v/>
      </c>
      <c r="G92" s="9">
        <f>IF(F$93=0,0,F92/F$93)</f>
        <v/>
      </c>
      <c r="H92" s="2">
        <f>COUNTIFS($I$14:$I$86,"Runtime error",$J$14:$J$86,3)</f>
        <v/>
      </c>
      <c r="I92" s="9">
        <f>IF(H$93=0,0,H92/H$93)</f>
        <v/>
      </c>
      <c r="J92" s="2">
        <f>COUNTIFS($I$14:$I$86,"Runtime error",$J$14:$J$86,4)</f>
        <v/>
      </c>
      <c r="K92" s="9">
        <f>IF(J$93=0,0,J92/J$93)</f>
        <v/>
      </c>
      <c r="L92" s="2">
        <f>COUNTIFS($I$14:$I$86,"Runtime error",$J$14:$J$86,5)</f>
        <v/>
      </c>
      <c r="M92" s="9">
        <f>IF(L$93=0,0,L92/L$93)</f>
        <v/>
      </c>
      <c r="N92" s="2">
        <f>COUNTIFS($I$14:$I$86,"Runtime error",$J$14:$J$86,6)</f>
        <v/>
      </c>
      <c r="O92" s="9">
        <f>IF(N$93=0,0,N92/N$93)</f>
        <v/>
      </c>
      <c r="P92" s="2">
        <f>COUNTIFS($I$14:$I$86,"Runtime error",$J$14:$J$86,7)</f>
        <v/>
      </c>
      <c r="Q92" s="9">
        <f>IF(P$93=0,0,P92/P$93)</f>
        <v/>
      </c>
      <c r="R92" s="2">
        <f>COUNTIFS($I$14:$I$86,"Runtime error",$J$14:$J$86,8)</f>
        <v/>
      </c>
      <c r="S92" s="9">
        <f>IF(R$93=0,0,R92/R$93)</f>
        <v/>
      </c>
    </row>
    <row r="93">
      <c r="A93" s="12" t="inlineStr">
        <is>
          <t>Total cases</t>
        </is>
      </c>
      <c r="B93" s="12">
        <f>SUM(B90:B92)</f>
        <v/>
      </c>
      <c r="C93" s="13">
        <f>SUM(C90:C92)</f>
        <v/>
      </c>
      <c r="D93" s="12">
        <f>SUM(D90:D92)</f>
        <v/>
      </c>
      <c r="E93" s="13">
        <f>SUM(E90:E92)</f>
        <v/>
      </c>
      <c r="F93" s="12">
        <f>SUM(F90:F92)</f>
        <v/>
      </c>
      <c r="G93" s="13">
        <f>SUM(G90:G92)</f>
        <v/>
      </c>
      <c r="H93" s="12">
        <f>SUM(H90:H92)</f>
        <v/>
      </c>
      <c r="I93" s="13">
        <f>SUM(I90:I92)</f>
        <v/>
      </c>
      <c r="J93" s="12">
        <f>SUM(J90:J92)</f>
        <v/>
      </c>
      <c r="K93" s="13">
        <f>SUM(K90:K92)</f>
        <v/>
      </c>
      <c r="L93" s="12">
        <f>SUM(L90:L92)</f>
        <v/>
      </c>
      <c r="M93" s="13">
        <f>SUM(M90:M92)</f>
        <v/>
      </c>
      <c r="N93" s="12">
        <f>SUM(N90:N92)</f>
        <v/>
      </c>
      <c r="O93" s="13">
        <f>SUM(O90:O92)</f>
        <v/>
      </c>
      <c r="P93" s="12">
        <f>SUM(P90:P92)</f>
        <v/>
      </c>
      <c r="Q93" s="13">
        <f>SUM(Q90:Q92)</f>
        <v/>
      </c>
      <c r="R93" s="12">
        <f>SUM(R90:R92)</f>
        <v/>
      </c>
      <c r="S93" s="13">
        <f>SUM(S90:S92)</f>
        <v/>
      </c>
    </row>
    <row r="94">
      <c r="A94" t="inlineStr">
        <is>
          <t>A case counts as "Passed on test" only if it passed on every version it was tested on, "Runtime error" if any version crashed, otherwise "Failed on test".</t>
        </is>
      </c>
    </row>
    <row r="95"/>
    <row r="96">
      <c r="A96" s="7" t="inlineStr">
        <is>
          <t>4. Cases that passed on at least one version</t>
        </is>
      </c>
    </row>
    <row r="97">
      <c r="A97" s="1" t="inlineStr">
        <is>
          <t>Measure</t>
        </is>
      </c>
      <c r="B97" s="1" t="inlineStr">
        <is>
          <t>Cases</t>
        </is>
      </c>
      <c r="C97" s="1" t="inlineStr">
        <is>
          <t>% of cases</t>
        </is>
      </c>
      <c r="D97" s="1" t="inlineStr">
        <is>
          <t>Batch 1</t>
        </is>
      </c>
      <c r="E97" s="1" t="inlineStr">
        <is>
          <t>Batch 1 %</t>
        </is>
      </c>
      <c r="F97" s="1" t="inlineStr">
        <is>
          <t>Batch 2</t>
        </is>
      </c>
      <c r="G97" s="1" t="inlineStr">
        <is>
          <t>Batch 2 %</t>
        </is>
      </c>
      <c r="H97" s="1" t="inlineStr">
        <is>
          <t>Batch 3</t>
        </is>
      </c>
      <c r="I97" s="1" t="inlineStr">
        <is>
          <t>Batch 3 %</t>
        </is>
      </c>
      <c r="J97" s="1" t="inlineStr">
        <is>
          <t>Batch 4</t>
        </is>
      </c>
      <c r="K97" s="1" t="inlineStr">
        <is>
          <t>Batch 4 %</t>
        </is>
      </c>
      <c r="L97" s="1" t="inlineStr">
        <is>
          <t>Batch 5</t>
        </is>
      </c>
      <c r="M97" s="1" t="inlineStr">
        <is>
          <t>Batch 5 %</t>
        </is>
      </c>
      <c r="N97" s="1" t="inlineStr">
        <is>
          <t>Batch 6</t>
        </is>
      </c>
      <c r="O97" s="1" t="inlineStr">
        <is>
          <t>Batch 6 %</t>
        </is>
      </c>
      <c r="P97" s="1" t="inlineStr">
        <is>
          <t>Batch 7</t>
        </is>
      </c>
      <c r="Q97" s="1" t="inlineStr">
        <is>
          <t>Batch 7 %</t>
        </is>
      </c>
      <c r="R97" s="1" t="inlineStr">
        <is>
          <t>Batch 8</t>
        </is>
      </c>
      <c r="S97" s="1" t="inlineStr">
        <is>
          <t>Batch 8 %</t>
        </is>
      </c>
    </row>
    <row r="98">
      <c r="A98" s="2" t="inlineStr">
        <is>
          <t>Passed on at least one version</t>
        </is>
      </c>
      <c r="B98" s="2">
        <f>COUNTIF($B$103:$B$175,"YES")</f>
        <v/>
      </c>
      <c r="C98" s="9">
        <f>IF(COUNTA($A$103:$A$175)=0,0,B98/COUNTA($A$103:$A$175))</f>
        <v/>
      </c>
      <c r="D98" s="2">
        <f>COUNTIFS($B$103:$B$175,"YES",$F$103:$F$175,1)</f>
        <v/>
      </c>
      <c r="E98" s="9">
        <f>IF(COUNTIF($F$103:$F$175,1)=0,0,D98/COUNTIF($F$103:$F$175,1))</f>
        <v/>
      </c>
      <c r="F98" s="2">
        <f>COUNTIFS($B$103:$B$175,"YES",$F$103:$F$175,2)</f>
        <v/>
      </c>
      <c r="G98" s="9">
        <f>IF(COUNTIF($F$103:$F$175,2)=0,0,F98/COUNTIF($F$103:$F$175,2))</f>
        <v/>
      </c>
      <c r="H98" s="2">
        <f>COUNTIFS($B$103:$B$175,"YES",$F$103:$F$175,3)</f>
        <v/>
      </c>
      <c r="I98" s="9">
        <f>IF(COUNTIF($F$103:$F$175,3)=0,0,H98/COUNTIF($F$103:$F$175,3))</f>
        <v/>
      </c>
      <c r="J98" s="2">
        <f>COUNTIFS($B$103:$B$175,"YES",$F$103:$F$175,4)</f>
        <v/>
      </c>
      <c r="K98" s="9">
        <f>IF(COUNTIF($F$103:$F$175,4)=0,0,J98/COUNTIF($F$103:$F$175,4))</f>
        <v/>
      </c>
      <c r="L98" s="2">
        <f>COUNTIFS($B$103:$B$175,"YES",$F$103:$F$175,5)</f>
        <v/>
      </c>
      <c r="M98" s="9">
        <f>IF(COUNTIF($F$103:$F$175,5)=0,0,L98/COUNTIF($F$103:$F$175,5))</f>
        <v/>
      </c>
      <c r="N98" s="2">
        <f>COUNTIFS($B$103:$B$175,"YES",$F$103:$F$175,6)</f>
        <v/>
      </c>
      <c r="O98" s="9">
        <f>IF(COUNTIF($F$103:$F$175,6)=0,0,N98/COUNTIF($F$103:$F$175,6))</f>
        <v/>
      </c>
      <c r="P98" s="2">
        <f>COUNTIFS($B$103:$B$175,"YES",$F$103:$F$175,7)</f>
        <v/>
      </c>
      <c r="Q98" s="9">
        <f>IF(COUNTIF($F$103:$F$175,7)=0,0,P98/COUNTIF($F$103:$F$175,7))</f>
        <v/>
      </c>
      <c r="R98" s="2">
        <f>COUNTIFS($B$103:$B$175,"YES",$F$103:$F$175,8)</f>
        <v/>
      </c>
      <c r="S98" s="9">
        <f>IF(COUNTIF($F$103:$F$175,8)=0,0,R98/COUNTIF($F$103:$F$175,8))</f>
        <v/>
      </c>
    </row>
    <row r="99">
      <c r="A99" s="2" t="inlineStr">
        <is>
          <t>Passed on every version (strict, as in section 3)</t>
        </is>
      </c>
      <c r="B99" s="2">
        <f>B90</f>
        <v/>
      </c>
      <c r="C99" s="9">
        <f>IF(COUNTA($A$103:$A$175)=0,0,B99/COUNTA($A$103:$A$175))</f>
        <v/>
      </c>
      <c r="D99" s="2">
        <f>D90</f>
        <v/>
      </c>
      <c r="E99" s="9">
        <f>IF(COUNTIF($F$103:$F$175,1)=0,0,D99/COUNTIF($F$103:$F$175,1))</f>
        <v/>
      </c>
      <c r="F99" s="2">
        <f>F90</f>
        <v/>
      </c>
      <c r="G99" s="9">
        <f>IF(COUNTIF($F$103:$F$175,2)=0,0,F99/COUNTIF($F$103:$F$175,2))</f>
        <v/>
      </c>
      <c r="H99" s="2">
        <f>H90</f>
        <v/>
      </c>
      <c r="I99" s="9">
        <f>IF(COUNTIF($F$103:$F$175,3)=0,0,H99/COUNTIF($F$103:$F$175,3))</f>
        <v/>
      </c>
      <c r="J99" s="2">
        <f>J90</f>
        <v/>
      </c>
      <c r="K99" s="9">
        <f>IF(COUNTIF($F$103:$F$175,4)=0,0,J99/COUNTIF($F$103:$F$175,4))</f>
        <v/>
      </c>
      <c r="L99" s="2">
        <f>L90</f>
        <v/>
      </c>
      <c r="M99" s="9">
        <f>IF(COUNTIF($F$103:$F$175,5)=0,0,L99/COUNTIF($F$103:$F$175,5))</f>
        <v/>
      </c>
      <c r="N99" s="2">
        <f>N90</f>
        <v/>
      </c>
      <c r="O99" s="9">
        <f>IF(COUNTIF($F$103:$F$175,6)=0,0,N99/COUNTIF($F$103:$F$175,6))</f>
        <v/>
      </c>
      <c r="P99" s="2">
        <f>P90</f>
        <v/>
      </c>
      <c r="Q99" s="9">
        <f>IF(COUNTIF($F$103:$F$175,7)=0,0,P99/COUNTIF($F$103:$F$175,7))</f>
        <v/>
      </c>
      <c r="R99" s="2">
        <f>R90</f>
        <v/>
      </c>
      <c r="S99" s="9">
        <f>IF(COUNTIF($F$103:$F$175,8)=0,0,R99/COUNTIF($F$103:$F$175,8))</f>
        <v/>
      </c>
    </row>
    <row r="100">
      <c r="A100" s="2" t="inlineStr">
        <is>
          <t>Passed on some but not all versions</t>
        </is>
      </c>
      <c r="B100" s="2">
        <f>B98-B99</f>
        <v/>
      </c>
      <c r="C100" s="9">
        <f>IF(COUNTA($A$103:$A$175)=0,0,B100/COUNTA($A$103:$A$175))</f>
        <v/>
      </c>
      <c r="D100" s="2">
        <f>D98-D99</f>
        <v/>
      </c>
      <c r="E100" s="9">
        <f>IF(COUNTIF($F$103:$F$175,1)=0,0,D100/COUNTIF($F$103:$F$175,1))</f>
        <v/>
      </c>
      <c r="F100" s="2">
        <f>F98-F99</f>
        <v/>
      </c>
      <c r="G100" s="9">
        <f>IF(COUNTIF($F$103:$F$175,2)=0,0,F100/COUNTIF($F$103:$F$175,2))</f>
        <v/>
      </c>
      <c r="H100" s="2">
        <f>H98-H99</f>
        <v/>
      </c>
      <c r="I100" s="9">
        <f>IF(COUNTIF($F$103:$F$175,3)=0,0,H100/COUNTIF($F$103:$F$175,3))</f>
        <v/>
      </c>
      <c r="J100" s="2">
        <f>J98-J99</f>
        <v/>
      </c>
      <c r="K100" s="9">
        <f>IF(COUNTIF($F$103:$F$175,4)=0,0,J100/COUNTIF($F$103:$F$175,4))</f>
        <v/>
      </c>
      <c r="L100" s="2">
        <f>L98-L99</f>
        <v/>
      </c>
      <c r="M100" s="9">
        <f>IF(COUNTIF($F$103:$F$175,5)=0,0,L100/COUNTIF($F$103:$F$175,5))</f>
        <v/>
      </c>
      <c r="N100" s="2">
        <f>N98-N99</f>
        <v/>
      </c>
      <c r="O100" s="9">
        <f>IF(COUNTIF($F$103:$F$175,6)=0,0,N100/COUNTIF($F$103:$F$175,6))</f>
        <v/>
      </c>
      <c r="P100" s="2">
        <f>P98-P99</f>
        <v/>
      </c>
      <c r="Q100" s="9">
        <f>IF(COUNTIF($F$103:$F$175,7)=0,0,P100/COUNTIF($F$103:$F$175,7))</f>
        <v/>
      </c>
      <c r="R100" s="2">
        <f>R98-R99</f>
        <v/>
      </c>
      <c r="S100" s="9">
        <f>IF(COUNTIF($F$103:$F$175,8)=0,0,R100/COUNTIF($F$103:$F$175,8))</f>
        <v/>
      </c>
    </row>
    <row r="101">
      <c r="A101" s="2" t="inlineStr">
        <is>
          <t>Passed on no version</t>
        </is>
      </c>
      <c r="B101" s="2">
        <f>COUNTIF($B$103:$B$175,"NO")</f>
        <v/>
      </c>
      <c r="C101" s="9">
        <f>IF(COUNTA($A$103:$A$175)=0,0,B101/COUNTA($A$103:$A$175))</f>
        <v/>
      </c>
      <c r="D101" s="2">
        <f>COUNTIFS($B$103:$B$175,"NO",$F$103:$F$175,1)</f>
        <v/>
      </c>
      <c r="E101" s="9">
        <f>IF(COUNTIF($F$103:$F$175,1)=0,0,D101/COUNTIF($F$103:$F$175,1))</f>
        <v/>
      </c>
      <c r="F101" s="2">
        <f>COUNTIFS($B$103:$B$175,"NO",$F$103:$F$175,2)</f>
        <v/>
      </c>
      <c r="G101" s="9">
        <f>IF(COUNTIF($F$103:$F$175,2)=0,0,F101/COUNTIF($F$103:$F$175,2))</f>
        <v/>
      </c>
      <c r="H101" s="2">
        <f>COUNTIFS($B$103:$B$175,"NO",$F$103:$F$175,3)</f>
        <v/>
      </c>
      <c r="I101" s="9">
        <f>IF(COUNTIF($F$103:$F$175,3)=0,0,H101/COUNTIF($F$103:$F$175,3))</f>
        <v/>
      </c>
      <c r="J101" s="2">
        <f>COUNTIFS($B$103:$B$175,"NO",$F$103:$F$175,4)</f>
        <v/>
      </c>
      <c r="K101" s="9">
        <f>IF(COUNTIF($F$103:$F$175,4)=0,0,J101/COUNTIF($F$103:$F$175,4))</f>
        <v/>
      </c>
      <c r="L101" s="2">
        <f>COUNTIFS($B$103:$B$175,"NO",$F$103:$F$175,5)</f>
        <v/>
      </c>
      <c r="M101" s="9">
        <f>IF(COUNTIF($F$103:$F$175,5)=0,0,L101/COUNTIF($F$103:$F$175,5))</f>
        <v/>
      </c>
      <c r="N101" s="2">
        <f>COUNTIFS($B$103:$B$175,"NO",$F$103:$F$175,6)</f>
        <v/>
      </c>
      <c r="O101" s="9">
        <f>IF(COUNTIF($F$103:$F$175,6)=0,0,N101/COUNTIF($F$103:$F$175,6))</f>
        <v/>
      </c>
      <c r="P101" s="2">
        <f>COUNTIFS($B$103:$B$175,"NO",$F$103:$F$175,7)</f>
        <v/>
      </c>
      <c r="Q101" s="9">
        <f>IF(COUNTIF($F$103:$F$175,7)=0,0,P101/COUNTIF($F$103:$F$175,7))</f>
        <v/>
      </c>
      <c r="R101" s="2">
        <f>COUNTIFS($B$103:$B$175,"NO",$F$103:$F$175,8)</f>
        <v/>
      </c>
      <c r="S101" s="9">
        <f>IF(COUNTIF($F$103:$F$175,8)=0,0,R101/COUNTIF($F$103:$F$175,8))</f>
        <v/>
      </c>
    </row>
    <row r="102">
      <c r="A102" s="1" t="inlineStr">
        <is>
          <t>Case</t>
        </is>
      </c>
      <c r="B102" s="1" t="inlineStr">
        <is>
          <t>Passed on ≥1 version?</t>
        </is>
      </c>
      <c r="C102" s="1" t="inlineStr">
        <is>
          <t>Versions it passed on</t>
        </is>
      </c>
      <c r="D102" s="1" t="inlineStr">
        <is>
          <t># passed</t>
        </is>
      </c>
      <c r="E102" s="1" t="inlineStr">
        <is>
          <t># tested</t>
        </is>
      </c>
      <c r="F102" s="1" t="inlineStr">
        <is>
          <t>Batch</t>
        </is>
      </c>
    </row>
    <row r="103">
      <c r="A103" s="2">
        <f>Summary!A2</f>
        <v/>
      </c>
      <c r="B103" s="2">
        <f>IF(C14&gt;0,"YES","NO")</f>
        <v/>
      </c>
      <c r="C103" s="14">
        <f t="array" ref="C103">IF(C14=0,"-",_xlfn.TEXTJOIN(", ",TRUE,IF(Summary!$B$2:$AB$2="Passed on test",Summary!$B$1:$AB$1,"")))</f>
        <v/>
      </c>
      <c r="D103" s="2">
        <f>C14</f>
        <v/>
      </c>
      <c r="E103" s="2">
        <f>B14</f>
        <v/>
      </c>
      <c r="F103" s="2" t="n">
        <v>1</v>
      </c>
    </row>
    <row r="104">
      <c r="A104" s="2">
        <f>Summary!A3</f>
        <v/>
      </c>
      <c r="B104" s="2">
        <f>IF(C15&gt;0,"YES","NO")</f>
        <v/>
      </c>
      <c r="C104" s="14">
        <f t="array" ref="C104">IF(C15=0,"-",_xlfn.TEXTJOIN(", ",TRUE,IF(Summary!$B$3:$AB$3="Passed on test",Summary!$B$1:$AB$1,"")))</f>
        <v/>
      </c>
      <c r="D104" s="2">
        <f>C15</f>
        <v/>
      </c>
      <c r="E104" s="2">
        <f>B15</f>
        <v/>
      </c>
      <c r="F104" s="2" t="n">
        <v>1</v>
      </c>
    </row>
    <row r="105">
      <c r="A105" s="2">
        <f>Summary!A4</f>
        <v/>
      </c>
      <c r="B105" s="2">
        <f>IF(C16&gt;0,"YES","NO")</f>
        <v/>
      </c>
      <c r="C105" s="14">
        <f t="array" ref="C105">IF(C16=0,"-",_xlfn.TEXTJOIN(", ",TRUE,IF(Summary!$B$4:$AB$4="Passed on test",Summary!$B$1:$AB$1,"")))</f>
        <v/>
      </c>
      <c r="D105" s="2">
        <f>C16</f>
        <v/>
      </c>
      <c r="E105" s="2">
        <f>B16</f>
        <v/>
      </c>
      <c r="F105" s="2" t="n">
        <v>1</v>
      </c>
    </row>
    <row r="106">
      <c r="A106" s="2">
        <f>Summary!A5</f>
        <v/>
      </c>
      <c r="B106" s="2">
        <f>IF(C17&gt;0,"YES","NO")</f>
        <v/>
      </c>
      <c r="C106" s="14">
        <f t="array" ref="C106">IF(C17=0,"-",_xlfn.TEXTJOIN(", ",TRUE,IF(Summary!$B$5:$AB$5="Passed on test",Summary!$B$1:$AB$1,"")))</f>
        <v/>
      </c>
      <c r="D106" s="2">
        <f>C17</f>
        <v/>
      </c>
      <c r="E106" s="2">
        <f>B17</f>
        <v/>
      </c>
      <c r="F106" s="2" t="n">
        <v>1</v>
      </c>
    </row>
    <row r="107">
      <c r="A107" s="2">
        <f>Summary!A6</f>
        <v/>
      </c>
      <c r="B107" s="2">
        <f>IF(C18&gt;0,"YES","NO")</f>
        <v/>
      </c>
      <c r="C107" s="14">
        <f t="array" ref="C107">IF(C18=0,"-",_xlfn.TEXTJOIN(", ",TRUE,IF(Summary!$B$6:$AB$6="Passed on test",Summary!$B$1:$AB$1,"")))</f>
        <v/>
      </c>
      <c r="D107" s="2">
        <f>C18</f>
        <v/>
      </c>
      <c r="E107" s="2">
        <f>B18</f>
        <v/>
      </c>
      <c r="F107" s="2" t="n">
        <v>1</v>
      </c>
    </row>
    <row r="108">
      <c r="A108" s="2">
        <f>Summary!A7</f>
        <v/>
      </c>
      <c r="B108" s="2">
        <f>IF(C19&gt;0,"YES","NO")</f>
        <v/>
      </c>
      <c r="C108" s="14">
        <f t="array" ref="C108">IF(C19=0,"-",_xlfn.TEXTJOIN(", ",TRUE,IF(Summary!$B$7:$AB$7="Passed on test",Summary!$B$1:$AB$1,"")))</f>
        <v/>
      </c>
      <c r="D108" s="2">
        <f>C19</f>
        <v/>
      </c>
      <c r="E108" s="2">
        <f>B19</f>
        <v/>
      </c>
      <c r="F108" s="2" t="n">
        <v>1</v>
      </c>
    </row>
    <row r="109">
      <c r="A109" s="2">
        <f>Summary!A8</f>
        <v/>
      </c>
      <c r="B109" s="2">
        <f>IF(C20&gt;0,"YES","NO")</f>
        <v/>
      </c>
      <c r="C109" s="14">
        <f t="array" ref="C109">IF(C20=0,"-",_xlfn.TEXTJOIN(", ",TRUE,IF(Summary!$B$8:$AB$8="Passed on test",Summary!$B$1:$AB$1,"")))</f>
        <v/>
      </c>
      <c r="D109" s="2">
        <f>C20</f>
        <v/>
      </c>
      <c r="E109" s="2">
        <f>B20</f>
        <v/>
      </c>
      <c r="F109" s="2" t="n">
        <v>1</v>
      </c>
    </row>
    <row r="110">
      <c r="A110" s="2">
        <f>Summary!A9</f>
        <v/>
      </c>
      <c r="B110" s="2">
        <f>IF(C21&gt;0,"YES","NO")</f>
        <v/>
      </c>
      <c r="C110" s="14">
        <f t="array" ref="C110">IF(C21=0,"-",_xlfn.TEXTJOIN(", ",TRUE,IF(Summary!$B$9:$AB$9="Passed on test",Summary!$B$1:$AB$1,"")))</f>
        <v/>
      </c>
      <c r="D110" s="2">
        <f>C21</f>
        <v/>
      </c>
      <c r="E110" s="2">
        <f>B21</f>
        <v/>
      </c>
      <c r="F110" s="2" t="n">
        <v>1</v>
      </c>
    </row>
    <row r="111">
      <c r="A111" s="2">
        <f>Summary!A10</f>
        <v/>
      </c>
      <c r="B111" s="2">
        <f>IF(C22&gt;0,"YES","NO")</f>
        <v/>
      </c>
      <c r="C111" s="14">
        <f t="array" ref="C111">IF(C22=0,"-",_xlfn.TEXTJOIN(", ",TRUE,IF(Summary!$B$10:$AB$10="Passed on test",Summary!$B$1:$AB$1,"")))</f>
        <v/>
      </c>
      <c r="D111" s="2">
        <f>C22</f>
        <v/>
      </c>
      <c r="E111" s="2">
        <f>B22</f>
        <v/>
      </c>
      <c r="F111" s="2" t="n">
        <v>1</v>
      </c>
    </row>
    <row r="112">
      <c r="A112" s="2">
        <f>Summary!A11</f>
        <v/>
      </c>
      <c r="B112" s="2">
        <f>IF(C23&gt;0,"YES","NO")</f>
        <v/>
      </c>
      <c r="C112" s="14">
        <f t="array" ref="C112">IF(C23=0,"-",_xlfn.TEXTJOIN(", ",TRUE,IF(Summary!$B$11:$AB$11="Passed on test",Summary!$B$1:$AB$1,"")))</f>
        <v/>
      </c>
      <c r="D112" s="2">
        <f>C23</f>
        <v/>
      </c>
      <c r="E112" s="2">
        <f>B23</f>
        <v/>
      </c>
      <c r="F112" s="2" t="n">
        <v>1</v>
      </c>
    </row>
    <row r="113">
      <c r="A113" s="2">
        <f>Summary!A12</f>
        <v/>
      </c>
      <c r="B113" s="2">
        <f>IF(C24&gt;0,"YES","NO")</f>
        <v/>
      </c>
      <c r="C113" s="14">
        <f t="array" ref="C113">IF(C24=0,"-",_xlfn.TEXTJOIN(", ",TRUE,IF(Summary!$B$12:$AB$12="Passed on test",Summary!$B$1:$AB$1,"")))</f>
        <v/>
      </c>
      <c r="D113" s="2">
        <f>C24</f>
        <v/>
      </c>
      <c r="E113" s="2">
        <f>B24</f>
        <v/>
      </c>
      <c r="F113" s="2" t="n">
        <v>2</v>
      </c>
    </row>
    <row r="114">
      <c r="A114" s="2">
        <f>Summary!A13</f>
        <v/>
      </c>
      <c r="B114" s="2">
        <f>IF(C25&gt;0,"YES","NO")</f>
        <v/>
      </c>
      <c r="C114" s="14">
        <f t="array" ref="C114">IF(C25=0,"-",_xlfn.TEXTJOIN(", ",TRUE,IF(Summary!$B$13:$AB$13="Passed on test",Summary!$B$1:$AB$1,"")))</f>
        <v/>
      </c>
      <c r="D114" s="2">
        <f>C25</f>
        <v/>
      </c>
      <c r="E114" s="2">
        <f>B25</f>
        <v/>
      </c>
      <c r="F114" s="2" t="n">
        <v>2</v>
      </c>
    </row>
    <row r="115">
      <c r="A115" s="2">
        <f>Summary!A14</f>
        <v/>
      </c>
      <c r="B115" s="2">
        <f>IF(C26&gt;0,"YES","NO")</f>
        <v/>
      </c>
      <c r="C115" s="14">
        <f t="array" ref="C115">IF(C26=0,"-",_xlfn.TEXTJOIN(", ",TRUE,IF(Summary!$B$14:$AB$14="Passed on test",Summary!$B$1:$AB$1,"")))</f>
        <v/>
      </c>
      <c r="D115" s="2">
        <f>C26</f>
        <v/>
      </c>
      <c r="E115" s="2">
        <f>B26</f>
        <v/>
      </c>
      <c r="F115" s="2" t="n">
        <v>2</v>
      </c>
    </row>
    <row r="116">
      <c r="A116" s="2">
        <f>Summary!A15</f>
        <v/>
      </c>
      <c r="B116" s="2">
        <f>IF(C27&gt;0,"YES","NO")</f>
        <v/>
      </c>
      <c r="C116" s="14">
        <f t="array" ref="C116">IF(C27=0,"-",_xlfn.TEXTJOIN(", ",TRUE,IF(Summary!$B$15:$AB$15="Passed on test",Summary!$B$1:$AB$1,"")))</f>
        <v/>
      </c>
      <c r="D116" s="2">
        <f>C27</f>
        <v/>
      </c>
      <c r="E116" s="2">
        <f>B27</f>
        <v/>
      </c>
      <c r="F116" s="2" t="n">
        <v>2</v>
      </c>
    </row>
    <row r="117">
      <c r="A117" s="2">
        <f>Summary!A16</f>
        <v/>
      </c>
      <c r="B117" s="2">
        <f>IF(C28&gt;0,"YES","NO")</f>
        <v/>
      </c>
      <c r="C117" s="14">
        <f t="array" ref="C117">IF(C28=0,"-",_xlfn.TEXTJOIN(", ",TRUE,IF(Summary!$B$16:$AB$16="Passed on test",Summary!$B$1:$AB$1,"")))</f>
        <v/>
      </c>
      <c r="D117" s="2">
        <f>C28</f>
        <v/>
      </c>
      <c r="E117" s="2">
        <f>B28</f>
        <v/>
      </c>
      <c r="F117" s="2" t="n">
        <v>2</v>
      </c>
    </row>
    <row r="118">
      <c r="A118" s="2">
        <f>Summary!A17</f>
        <v/>
      </c>
      <c r="B118" s="2">
        <f>IF(C29&gt;0,"YES","NO")</f>
        <v/>
      </c>
      <c r="C118" s="14">
        <f t="array" ref="C118">IF(C29=0,"-",_xlfn.TEXTJOIN(", ",TRUE,IF(Summary!$B$17:$AB$17="Passed on test",Summary!$B$1:$AB$1,"")))</f>
        <v/>
      </c>
      <c r="D118" s="2">
        <f>C29</f>
        <v/>
      </c>
      <c r="E118" s="2">
        <f>B29</f>
        <v/>
      </c>
      <c r="F118" s="2" t="n">
        <v>2</v>
      </c>
    </row>
    <row r="119">
      <c r="A119" s="2">
        <f>Summary!A18</f>
        <v/>
      </c>
      <c r="B119" s="2">
        <f>IF(C30&gt;0,"YES","NO")</f>
        <v/>
      </c>
      <c r="C119" s="14">
        <f t="array" ref="C119">IF(C30=0,"-",_xlfn.TEXTJOIN(", ",TRUE,IF(Summary!$B$18:$AB$18="Passed on test",Summary!$B$1:$AB$1,"")))</f>
        <v/>
      </c>
      <c r="D119" s="2">
        <f>C30</f>
        <v/>
      </c>
      <c r="E119" s="2">
        <f>B30</f>
        <v/>
      </c>
      <c r="F119" s="2" t="n">
        <v>2</v>
      </c>
    </row>
    <row r="120">
      <c r="A120" s="2">
        <f>Summary!A19</f>
        <v/>
      </c>
      <c r="B120" s="2">
        <f>IF(C31&gt;0,"YES","NO")</f>
        <v/>
      </c>
      <c r="C120" s="14">
        <f t="array" ref="C120">IF(C31=0,"-",_xlfn.TEXTJOIN(", ",TRUE,IF(Summary!$B$19:$AB$19="Passed on test",Summary!$B$1:$AB$1,"")))</f>
        <v/>
      </c>
      <c r="D120" s="2">
        <f>C31</f>
        <v/>
      </c>
      <c r="E120" s="2">
        <f>B31</f>
        <v/>
      </c>
      <c r="F120" s="2" t="n">
        <v>2</v>
      </c>
    </row>
    <row r="121">
      <c r="A121" s="2">
        <f>Summary!A20</f>
        <v/>
      </c>
      <c r="B121" s="2">
        <f>IF(C32&gt;0,"YES","NO")</f>
        <v/>
      </c>
      <c r="C121" s="14">
        <f t="array" ref="C121">IF(C32=0,"-",_xlfn.TEXTJOIN(", ",TRUE,IF(Summary!$B$20:$AB$20="Passed on test",Summary!$B$1:$AB$1,"")))</f>
        <v/>
      </c>
      <c r="D121" s="2">
        <f>C32</f>
        <v/>
      </c>
      <c r="E121" s="2">
        <f>B32</f>
        <v/>
      </c>
      <c r="F121" s="2" t="n">
        <v>2</v>
      </c>
    </row>
    <row r="122">
      <c r="A122" s="2">
        <f>Summary!A21</f>
        <v/>
      </c>
      <c r="B122" s="2">
        <f>IF(C33&gt;0,"YES","NO")</f>
        <v/>
      </c>
      <c r="C122" s="14">
        <f t="array" ref="C122">IF(C33=0,"-",_xlfn.TEXTJOIN(", ",TRUE,IF(Summary!$B$21:$AB$21="Passed on test",Summary!$B$1:$AB$1,"")))</f>
        <v/>
      </c>
      <c r="D122" s="2">
        <f>C33</f>
        <v/>
      </c>
      <c r="E122" s="2">
        <f>B33</f>
        <v/>
      </c>
      <c r="F122" s="2" t="n">
        <v>2</v>
      </c>
    </row>
    <row r="123">
      <c r="A123" s="2">
        <f>Summary!A22</f>
        <v/>
      </c>
      <c r="B123" s="2">
        <f>IF(C34&gt;0,"YES","NO")</f>
        <v/>
      </c>
      <c r="C123" s="14">
        <f t="array" ref="C123">IF(C34=0,"-",_xlfn.TEXTJOIN(", ",TRUE,IF(Summary!$B$22:$AB$22="Passed on test",Summary!$B$1:$AB$1,"")))</f>
        <v/>
      </c>
      <c r="D123" s="2">
        <f>C34</f>
        <v/>
      </c>
      <c r="E123" s="2">
        <f>B34</f>
        <v/>
      </c>
      <c r="F123" s="2" t="n">
        <v>3</v>
      </c>
    </row>
    <row r="124">
      <c r="A124" s="2">
        <f>Summary!A23</f>
        <v/>
      </c>
      <c r="B124" s="2">
        <f>IF(C35&gt;0,"YES","NO")</f>
        <v/>
      </c>
      <c r="C124" s="14">
        <f t="array" ref="C124">IF(C35=0,"-",_xlfn.TEXTJOIN(", ",TRUE,IF(Summary!$B$23:$AB$23="Passed on test",Summary!$B$1:$AB$1,"")))</f>
        <v/>
      </c>
      <c r="D124" s="2">
        <f>C35</f>
        <v/>
      </c>
      <c r="E124" s="2">
        <f>B35</f>
        <v/>
      </c>
      <c r="F124" s="2" t="n">
        <v>3</v>
      </c>
    </row>
    <row r="125">
      <c r="A125" s="2">
        <f>Summary!A24</f>
        <v/>
      </c>
      <c r="B125" s="2">
        <f>IF(C36&gt;0,"YES","NO")</f>
        <v/>
      </c>
      <c r="C125" s="14">
        <f t="array" ref="C125">IF(C36=0,"-",_xlfn.TEXTJOIN(", ",TRUE,IF(Summary!$B$24:$AB$24="Passed on test",Summary!$B$1:$AB$1,"")))</f>
        <v/>
      </c>
      <c r="D125" s="2">
        <f>C36</f>
        <v/>
      </c>
      <c r="E125" s="2">
        <f>B36</f>
        <v/>
      </c>
      <c r="F125" s="2" t="n">
        <v>3</v>
      </c>
    </row>
    <row r="126">
      <c r="A126" s="2">
        <f>Summary!A25</f>
        <v/>
      </c>
      <c r="B126" s="2">
        <f>IF(C37&gt;0,"YES","NO")</f>
        <v/>
      </c>
      <c r="C126" s="14">
        <f t="array" ref="C126">IF(C37=0,"-",_xlfn.TEXTJOIN(", ",TRUE,IF(Summary!$B$25:$AB$25="Passed on test",Summary!$B$1:$AB$1,"")))</f>
        <v/>
      </c>
      <c r="D126" s="2">
        <f>C37</f>
        <v/>
      </c>
      <c r="E126" s="2">
        <f>B37</f>
        <v/>
      </c>
      <c r="F126" s="2" t="n">
        <v>3</v>
      </c>
    </row>
    <row r="127">
      <c r="A127" s="2">
        <f>Summary!A26</f>
        <v/>
      </c>
      <c r="B127" s="2">
        <f>IF(C38&gt;0,"YES","NO")</f>
        <v/>
      </c>
      <c r="C127" s="14">
        <f t="array" ref="C127">IF(C38=0,"-",_xlfn.TEXTJOIN(", ",TRUE,IF(Summary!$B$26:$AB$26="Passed on test",Summary!$B$1:$AB$1,"")))</f>
        <v/>
      </c>
      <c r="D127" s="2">
        <f>C38</f>
        <v/>
      </c>
      <c r="E127" s="2">
        <f>B38</f>
        <v/>
      </c>
      <c r="F127" s="2" t="n">
        <v>3</v>
      </c>
    </row>
    <row r="128">
      <c r="A128" s="2">
        <f>Summary!A27</f>
        <v/>
      </c>
      <c r="B128" s="2">
        <f>IF(C39&gt;0,"YES","NO")</f>
        <v/>
      </c>
      <c r="C128" s="14">
        <f t="array" ref="C128">IF(C39=0,"-",_xlfn.TEXTJOIN(", ",TRUE,IF(Summary!$B$27:$AB$27="Passed on test",Summary!$B$1:$AB$1,"")))</f>
        <v/>
      </c>
      <c r="D128" s="2">
        <f>C39</f>
        <v/>
      </c>
      <c r="E128" s="2">
        <f>B39</f>
        <v/>
      </c>
      <c r="F128" s="2" t="n">
        <v>3</v>
      </c>
    </row>
    <row r="129">
      <c r="A129" s="2">
        <f>Summary!A28</f>
        <v/>
      </c>
      <c r="B129" s="2">
        <f>IF(C40&gt;0,"YES","NO")</f>
        <v/>
      </c>
      <c r="C129" s="14">
        <f t="array" ref="C129">IF(C40=0,"-",_xlfn.TEXTJOIN(", ",TRUE,IF(Summary!$B$28:$AB$28="Passed on test",Summary!$B$1:$AB$1,"")))</f>
        <v/>
      </c>
      <c r="D129" s="2">
        <f>C40</f>
        <v/>
      </c>
      <c r="E129" s="2">
        <f>B40</f>
        <v/>
      </c>
      <c r="F129" s="2" t="n">
        <v>3</v>
      </c>
    </row>
    <row r="130">
      <c r="A130" s="2">
        <f>Summary!A29</f>
        <v/>
      </c>
      <c r="B130" s="2">
        <f>IF(C41&gt;0,"YES","NO")</f>
        <v/>
      </c>
      <c r="C130" s="14">
        <f t="array" ref="C130">IF(C41=0,"-",_xlfn.TEXTJOIN(", ",TRUE,IF(Summary!$B$29:$AB$29="Passed on test",Summary!$B$1:$AB$1,"")))</f>
        <v/>
      </c>
      <c r="D130" s="2">
        <f>C41</f>
        <v/>
      </c>
      <c r="E130" s="2">
        <f>B41</f>
        <v/>
      </c>
      <c r="F130" s="2" t="n">
        <v>3</v>
      </c>
    </row>
    <row r="131">
      <c r="A131" s="2">
        <f>Summary!A30</f>
        <v/>
      </c>
      <c r="B131" s="2">
        <f>IF(C42&gt;0,"YES","NO")</f>
        <v/>
      </c>
      <c r="C131" s="14">
        <f t="array" ref="C131">IF(C42=0,"-",_xlfn.TEXTJOIN(", ",TRUE,IF(Summary!$B$30:$AB$30="Passed on test",Summary!$B$1:$AB$1,"")))</f>
        <v/>
      </c>
      <c r="D131" s="2">
        <f>C42</f>
        <v/>
      </c>
      <c r="E131" s="2">
        <f>B42</f>
        <v/>
      </c>
      <c r="F131" s="2" t="n">
        <v>3</v>
      </c>
    </row>
    <row r="132">
      <c r="A132" s="2">
        <f>Summary!A31</f>
        <v/>
      </c>
      <c r="B132" s="2">
        <f>IF(C43&gt;0,"YES","NO")</f>
        <v/>
      </c>
      <c r="C132" s="14">
        <f t="array" ref="C132">IF(C43=0,"-",_xlfn.TEXTJOIN(", ",TRUE,IF(Summary!$B$31:$AB$31="Passed on test",Summary!$B$1:$AB$1,"")))</f>
        <v/>
      </c>
      <c r="D132" s="2">
        <f>C43</f>
        <v/>
      </c>
      <c r="E132" s="2">
        <f>B43</f>
        <v/>
      </c>
      <c r="F132" s="2" t="n">
        <v>3</v>
      </c>
    </row>
    <row r="133">
      <c r="A133" s="2">
        <f>Summary!A32</f>
        <v/>
      </c>
      <c r="B133" s="2">
        <f>IF(C44&gt;0,"YES","NO")</f>
        <v/>
      </c>
      <c r="C133" s="14">
        <f t="array" ref="C133">IF(C44=0,"-",_xlfn.TEXTJOIN(", ",TRUE,IF(Summary!$B$32:$AB$32="Passed on test",Summary!$B$1:$AB$1,"")))</f>
        <v/>
      </c>
      <c r="D133" s="2">
        <f>C44</f>
        <v/>
      </c>
      <c r="E133" s="2">
        <f>B44</f>
        <v/>
      </c>
      <c r="F133" s="2" t="n">
        <v>4</v>
      </c>
    </row>
    <row r="134">
      <c r="A134" s="2">
        <f>Summary!A33</f>
        <v/>
      </c>
      <c r="B134" s="2">
        <f>IF(C45&gt;0,"YES","NO")</f>
        <v/>
      </c>
      <c r="C134" s="14">
        <f t="array" ref="C134">IF(C45=0,"-",_xlfn.TEXTJOIN(", ",TRUE,IF(Summary!$B$33:$AB$33="Passed on test",Summary!$B$1:$AB$1,"")))</f>
        <v/>
      </c>
      <c r="D134" s="2">
        <f>C45</f>
        <v/>
      </c>
      <c r="E134" s="2">
        <f>B45</f>
        <v/>
      </c>
      <c r="F134" s="2" t="n">
        <v>4</v>
      </c>
    </row>
    <row r="135">
      <c r="A135" s="2">
        <f>Summary!A34</f>
        <v/>
      </c>
      <c r="B135" s="2">
        <f>IF(C46&gt;0,"YES","NO")</f>
        <v/>
      </c>
      <c r="C135" s="14">
        <f t="array" ref="C135">IF(C46=0,"-",_xlfn.TEXTJOIN(", ",TRUE,IF(Summary!$B$34:$AB$34="Passed on test",Summary!$B$1:$AB$1,"")))</f>
        <v/>
      </c>
      <c r="D135" s="2">
        <f>C46</f>
        <v/>
      </c>
      <c r="E135" s="2">
        <f>B46</f>
        <v/>
      </c>
      <c r="F135" s="2" t="n">
        <v>4</v>
      </c>
    </row>
    <row r="136">
      <c r="A136" s="2">
        <f>Summary!A35</f>
        <v/>
      </c>
      <c r="B136" s="2">
        <f>IF(C47&gt;0,"YES","NO")</f>
        <v/>
      </c>
      <c r="C136" s="14">
        <f t="array" ref="C136">IF(C47=0,"-",_xlfn.TEXTJOIN(", ",TRUE,IF(Summary!$B$35:$AB$35="Passed on test",Summary!$B$1:$AB$1,"")))</f>
        <v/>
      </c>
      <c r="D136" s="2">
        <f>C47</f>
        <v/>
      </c>
      <c r="E136" s="2">
        <f>B47</f>
        <v/>
      </c>
      <c r="F136" s="2" t="n">
        <v>4</v>
      </c>
    </row>
    <row r="137">
      <c r="A137" s="2">
        <f>Summary!A36</f>
        <v/>
      </c>
      <c r="B137" s="2">
        <f>IF(C48&gt;0,"YES","NO")</f>
        <v/>
      </c>
      <c r="C137" s="14">
        <f t="array" ref="C137">IF(C48=0,"-",_xlfn.TEXTJOIN(", ",TRUE,IF(Summary!$B$36:$AB$36="Passed on test",Summary!$B$1:$AB$1,"")))</f>
        <v/>
      </c>
      <c r="D137" s="2">
        <f>C48</f>
        <v/>
      </c>
      <c r="E137" s="2">
        <f>B48</f>
        <v/>
      </c>
      <c r="F137" s="2" t="n">
        <v>4</v>
      </c>
    </row>
    <row r="138">
      <c r="A138" s="2">
        <f>Summary!A37</f>
        <v/>
      </c>
      <c r="B138" s="2">
        <f>IF(C49&gt;0,"YES","NO")</f>
        <v/>
      </c>
      <c r="C138" s="14">
        <f t="array" ref="C138">IF(C49=0,"-",_xlfn.TEXTJOIN(", ",TRUE,IF(Summary!$B$37:$AB$37="Passed on test",Summary!$B$1:$AB$1,"")))</f>
        <v/>
      </c>
      <c r="D138" s="2">
        <f>C49</f>
        <v/>
      </c>
      <c r="E138" s="2">
        <f>B49</f>
        <v/>
      </c>
      <c r="F138" s="2" t="n">
        <v>4</v>
      </c>
    </row>
    <row r="139">
      <c r="A139" s="2">
        <f>Summary!A38</f>
        <v/>
      </c>
      <c r="B139" s="2">
        <f>IF(C50&gt;0,"YES","NO")</f>
        <v/>
      </c>
      <c r="C139" s="14">
        <f t="array" ref="C139">IF(C50=0,"-",_xlfn.TEXTJOIN(", ",TRUE,IF(Summary!$B$38:$AB$38="Passed on test",Summary!$B$1:$AB$1,"")))</f>
        <v/>
      </c>
      <c r="D139" s="2">
        <f>C50</f>
        <v/>
      </c>
      <c r="E139" s="2">
        <f>B50</f>
        <v/>
      </c>
      <c r="F139" s="2" t="n">
        <v>4</v>
      </c>
    </row>
    <row r="140">
      <c r="A140" s="2">
        <f>Summary!A39</f>
        <v/>
      </c>
      <c r="B140" s="2">
        <f>IF(C51&gt;0,"YES","NO")</f>
        <v/>
      </c>
      <c r="C140" s="14">
        <f t="array" ref="C140">IF(C51=0,"-",_xlfn.TEXTJOIN(", ",TRUE,IF(Summary!$B$39:$AB$39="Passed on test",Summary!$B$1:$AB$1,"")))</f>
        <v/>
      </c>
      <c r="D140" s="2">
        <f>C51</f>
        <v/>
      </c>
      <c r="E140" s="2">
        <f>B51</f>
        <v/>
      </c>
      <c r="F140" s="2" t="n">
        <v>4</v>
      </c>
    </row>
    <row r="141">
      <c r="A141" s="2">
        <f>Summary!A40</f>
        <v/>
      </c>
      <c r="B141" s="2">
        <f>IF(C52&gt;0,"YES","NO")</f>
        <v/>
      </c>
      <c r="C141" s="14">
        <f t="array" ref="C141">IF(C52=0,"-",_xlfn.TEXTJOIN(", ",TRUE,IF(Summary!$B$40:$AB$40="Passed on test",Summary!$B$1:$AB$1,"")))</f>
        <v/>
      </c>
      <c r="D141" s="2">
        <f>C52</f>
        <v/>
      </c>
      <c r="E141" s="2">
        <f>B52</f>
        <v/>
      </c>
      <c r="F141" s="2" t="n">
        <v>4</v>
      </c>
    </row>
    <row r="142">
      <c r="A142" s="2">
        <f>Summary!A41</f>
        <v/>
      </c>
      <c r="B142" s="2">
        <f>IF(C53&gt;0,"YES","NO")</f>
        <v/>
      </c>
      <c r="C142" s="14">
        <f t="array" ref="C142">IF(C53=0,"-",_xlfn.TEXTJOIN(", ",TRUE,IF(Summary!$B$41:$AB$41="Passed on test",Summary!$B$1:$AB$1,"")))</f>
        <v/>
      </c>
      <c r="D142" s="2">
        <f>C53</f>
        <v/>
      </c>
      <c r="E142" s="2">
        <f>B53</f>
        <v/>
      </c>
      <c r="F142" s="2" t="n">
        <v>4</v>
      </c>
    </row>
    <row r="143">
      <c r="A143" s="2">
        <f>Summary!A42</f>
        <v/>
      </c>
      <c r="B143" s="2">
        <f>IF(C54&gt;0,"YES","NO")</f>
        <v/>
      </c>
      <c r="C143" s="14">
        <f t="array" ref="C143">IF(C54=0,"-",_xlfn.TEXTJOIN(", ",TRUE,IF(Summary!$B$42:$AB$42="Passed on test",Summary!$B$1:$AB$1,"")))</f>
        <v/>
      </c>
      <c r="D143" s="2">
        <f>C54</f>
        <v/>
      </c>
      <c r="E143" s="2">
        <f>B54</f>
        <v/>
      </c>
      <c r="F143" s="2" t="n">
        <v>5</v>
      </c>
    </row>
    <row r="144">
      <c r="A144" s="2">
        <f>Summary!A43</f>
        <v/>
      </c>
      <c r="B144" s="2">
        <f>IF(C55&gt;0,"YES","NO")</f>
        <v/>
      </c>
      <c r="C144" s="14">
        <f t="array" ref="C144">IF(C55=0,"-",_xlfn.TEXTJOIN(", ",TRUE,IF(Summary!$B$43:$AB$43="Passed on test",Summary!$B$1:$AB$1,"")))</f>
        <v/>
      </c>
      <c r="D144" s="2">
        <f>C55</f>
        <v/>
      </c>
      <c r="E144" s="2">
        <f>B55</f>
        <v/>
      </c>
      <c r="F144" s="2" t="n">
        <v>5</v>
      </c>
    </row>
    <row r="145">
      <c r="A145" s="2">
        <f>Summary!A44</f>
        <v/>
      </c>
      <c r="B145" s="2">
        <f>IF(C56&gt;0,"YES","NO")</f>
        <v/>
      </c>
      <c r="C145" s="14">
        <f t="array" ref="C145">IF(C56=0,"-",_xlfn.TEXTJOIN(", ",TRUE,IF(Summary!$B$44:$AB$44="Passed on test",Summary!$B$1:$AB$1,"")))</f>
        <v/>
      </c>
      <c r="D145" s="2">
        <f>C56</f>
        <v/>
      </c>
      <c r="E145" s="2">
        <f>B56</f>
        <v/>
      </c>
      <c r="F145" s="2" t="n">
        <v>5</v>
      </c>
    </row>
    <row r="146">
      <c r="A146" s="2">
        <f>Summary!A45</f>
        <v/>
      </c>
      <c r="B146" s="2">
        <f>IF(C57&gt;0,"YES","NO")</f>
        <v/>
      </c>
      <c r="C146" s="14">
        <f t="array" ref="C146">IF(C57=0,"-",_xlfn.TEXTJOIN(", ",TRUE,IF(Summary!$B$45:$AB$45="Passed on test",Summary!$B$1:$AB$1,"")))</f>
        <v/>
      </c>
      <c r="D146" s="2">
        <f>C57</f>
        <v/>
      </c>
      <c r="E146" s="2">
        <f>B57</f>
        <v/>
      </c>
      <c r="F146" s="2" t="n">
        <v>5</v>
      </c>
    </row>
    <row r="147">
      <c r="A147" s="2">
        <f>Summary!A46</f>
        <v/>
      </c>
      <c r="B147" s="2">
        <f>IF(C58&gt;0,"YES","NO")</f>
        <v/>
      </c>
      <c r="C147" s="14">
        <f t="array" ref="C147">IF(C58=0,"-",_xlfn.TEXTJOIN(", ",TRUE,IF(Summary!$B$46:$AB$46="Passed on test",Summary!$B$1:$AB$1,"")))</f>
        <v/>
      </c>
      <c r="D147" s="2">
        <f>C58</f>
        <v/>
      </c>
      <c r="E147" s="2">
        <f>B58</f>
        <v/>
      </c>
      <c r="F147" s="2" t="n">
        <v>5</v>
      </c>
    </row>
    <row r="148">
      <c r="A148" s="2">
        <f>Summary!A47</f>
        <v/>
      </c>
      <c r="B148" s="2">
        <f>IF(C59&gt;0,"YES","NO")</f>
        <v/>
      </c>
      <c r="C148" s="14">
        <f t="array" ref="C148">IF(C59=0,"-",_xlfn.TEXTJOIN(", ",TRUE,IF(Summary!$B$47:$AB$47="Passed on test",Summary!$B$1:$AB$1,"")))</f>
        <v/>
      </c>
      <c r="D148" s="2">
        <f>C59</f>
        <v/>
      </c>
      <c r="E148" s="2">
        <f>B59</f>
        <v/>
      </c>
      <c r="F148" s="2" t="n">
        <v>5</v>
      </c>
    </row>
    <row r="149">
      <c r="A149" s="2">
        <f>Summary!A48</f>
        <v/>
      </c>
      <c r="B149" s="2">
        <f>IF(C60&gt;0,"YES","NO")</f>
        <v/>
      </c>
      <c r="C149" s="14">
        <f t="array" ref="C149">IF(C60=0,"-",_xlfn.TEXTJOIN(", ",TRUE,IF(Summary!$B$48:$AB$48="Passed on test",Summary!$B$1:$AB$1,"")))</f>
        <v/>
      </c>
      <c r="D149" s="2">
        <f>C60</f>
        <v/>
      </c>
      <c r="E149" s="2">
        <f>B60</f>
        <v/>
      </c>
      <c r="F149" s="2" t="n">
        <v>5</v>
      </c>
    </row>
    <row r="150">
      <c r="A150" s="2">
        <f>Summary!A49</f>
        <v/>
      </c>
      <c r="B150" s="2">
        <f>IF(C61&gt;0,"YES","NO")</f>
        <v/>
      </c>
      <c r="C150" s="14">
        <f t="array" ref="C150">IF(C61=0,"-",_xlfn.TEXTJOIN(", ",TRUE,IF(Summary!$B$49:$AB$49="Passed on test",Summary!$B$1:$AB$1,"")))</f>
        <v/>
      </c>
      <c r="D150" s="2">
        <f>C61</f>
        <v/>
      </c>
      <c r="E150" s="2">
        <f>B61</f>
        <v/>
      </c>
      <c r="F150" s="2" t="n">
        <v>5</v>
      </c>
    </row>
    <row r="151">
      <c r="A151" s="2">
        <f>Summary!A50</f>
        <v/>
      </c>
      <c r="B151" s="2">
        <f>IF(C62&gt;0,"YES","NO")</f>
        <v/>
      </c>
      <c r="C151" s="14">
        <f t="array" ref="C151">IF(C62=0,"-",_xlfn.TEXTJOIN(", ",TRUE,IF(Summary!$B$50:$AB$50="Passed on test",Summary!$B$1:$AB$1,"")))</f>
        <v/>
      </c>
      <c r="D151" s="2">
        <f>C62</f>
        <v/>
      </c>
      <c r="E151" s="2">
        <f>B62</f>
        <v/>
      </c>
      <c r="F151" s="2" t="n">
        <v>5</v>
      </c>
    </row>
    <row r="152">
      <c r="A152" s="2">
        <f>Summary!A51</f>
        <v/>
      </c>
      <c r="B152" s="2">
        <f>IF(C63&gt;0,"YES","NO")</f>
        <v/>
      </c>
      <c r="C152" s="14">
        <f t="array" ref="C152">IF(C63=0,"-",_xlfn.TEXTJOIN(", ",TRUE,IF(Summary!$B$51:$AB$51="Passed on test",Summary!$B$1:$AB$1,"")))</f>
        <v/>
      </c>
      <c r="D152" s="2">
        <f>C63</f>
        <v/>
      </c>
      <c r="E152" s="2">
        <f>B63</f>
        <v/>
      </c>
      <c r="F152" s="2" t="n">
        <v>5</v>
      </c>
    </row>
    <row r="153">
      <c r="A153" s="2">
        <f>Summary!A52</f>
        <v/>
      </c>
      <c r="B153" s="2">
        <f>IF(C64&gt;0,"YES","NO")</f>
        <v/>
      </c>
      <c r="C153" s="14">
        <f t="array" ref="C153">IF(C64=0,"-",_xlfn.TEXTJOIN(", ",TRUE,IF(Summary!$B$52:$AB$52="Passed on test",Summary!$B$1:$AB$1,"")))</f>
        <v/>
      </c>
      <c r="D153" s="2">
        <f>C64</f>
        <v/>
      </c>
      <c r="E153" s="2">
        <f>B64</f>
        <v/>
      </c>
      <c r="F153" s="2" t="n">
        <v>6</v>
      </c>
    </row>
    <row r="154">
      <c r="A154" s="2">
        <f>Summary!A53</f>
        <v/>
      </c>
      <c r="B154" s="2">
        <f>IF(C65&gt;0,"YES","NO")</f>
        <v/>
      </c>
      <c r="C154" s="14">
        <f t="array" ref="C154">IF(C65=0,"-",_xlfn.TEXTJOIN(", ",TRUE,IF(Summary!$B$53:$AB$53="Passed on test",Summary!$B$1:$AB$1,"")))</f>
        <v/>
      </c>
      <c r="D154" s="2">
        <f>C65</f>
        <v/>
      </c>
      <c r="E154" s="2">
        <f>B65</f>
        <v/>
      </c>
      <c r="F154" s="2" t="n">
        <v>6</v>
      </c>
    </row>
    <row r="155">
      <c r="A155" s="2">
        <f>Summary!A54</f>
        <v/>
      </c>
      <c r="B155" s="2">
        <f>IF(C66&gt;0,"YES","NO")</f>
        <v/>
      </c>
      <c r="C155" s="14">
        <f t="array" ref="C155">IF(C66=0,"-",_xlfn.TEXTJOIN(", ",TRUE,IF(Summary!$B$54:$AB$54="Passed on test",Summary!$B$1:$AB$1,"")))</f>
        <v/>
      </c>
      <c r="D155" s="2">
        <f>C66</f>
        <v/>
      </c>
      <c r="E155" s="2">
        <f>B66</f>
        <v/>
      </c>
      <c r="F155" s="2" t="n">
        <v>6</v>
      </c>
    </row>
    <row r="156">
      <c r="A156" s="2">
        <f>Summary!A55</f>
        <v/>
      </c>
      <c r="B156" s="2">
        <f>IF(C67&gt;0,"YES","NO")</f>
        <v/>
      </c>
      <c r="C156" s="14">
        <f t="array" ref="C156">IF(C67=0,"-",_xlfn.TEXTJOIN(", ",TRUE,IF(Summary!$B$55:$AB$55="Passed on test",Summary!$B$1:$AB$1,"")))</f>
        <v/>
      </c>
      <c r="D156" s="2">
        <f>C67</f>
        <v/>
      </c>
      <c r="E156" s="2">
        <f>B67</f>
        <v/>
      </c>
      <c r="F156" s="2" t="n">
        <v>6</v>
      </c>
    </row>
    <row r="157">
      <c r="A157" s="2">
        <f>Summary!A56</f>
        <v/>
      </c>
      <c r="B157" s="2">
        <f>IF(C68&gt;0,"YES","NO")</f>
        <v/>
      </c>
      <c r="C157" s="14">
        <f t="array" ref="C157">IF(C68=0,"-",_xlfn.TEXTJOIN(", ",TRUE,IF(Summary!$B$56:$AB$56="Passed on test",Summary!$B$1:$AB$1,"")))</f>
        <v/>
      </c>
      <c r="D157" s="2">
        <f>C68</f>
        <v/>
      </c>
      <c r="E157" s="2">
        <f>B68</f>
        <v/>
      </c>
      <c r="F157" s="2" t="n">
        <v>6</v>
      </c>
    </row>
    <row r="158">
      <c r="A158" s="2">
        <f>Summary!A57</f>
        <v/>
      </c>
      <c r="B158" s="2">
        <f>IF(C69&gt;0,"YES","NO")</f>
        <v/>
      </c>
      <c r="C158" s="14">
        <f t="array" ref="C158">IF(C69=0,"-",_xlfn.TEXTJOIN(", ",TRUE,IF(Summary!$B$57:$AB$57="Passed on test",Summary!$B$1:$AB$1,"")))</f>
        <v/>
      </c>
      <c r="D158" s="2">
        <f>C69</f>
        <v/>
      </c>
      <c r="E158" s="2">
        <f>B69</f>
        <v/>
      </c>
      <c r="F158" s="2" t="n">
        <v>6</v>
      </c>
    </row>
    <row r="159">
      <c r="A159" s="2">
        <f>Summary!A58</f>
        <v/>
      </c>
      <c r="B159" s="2">
        <f>IF(C70&gt;0,"YES","NO")</f>
        <v/>
      </c>
      <c r="C159" s="14">
        <f t="array" ref="C159">IF(C70=0,"-",_xlfn.TEXTJOIN(", ",TRUE,IF(Summary!$B$58:$AB$58="Passed on test",Summary!$B$1:$AB$1,"")))</f>
        <v/>
      </c>
      <c r="D159" s="2">
        <f>C70</f>
        <v/>
      </c>
      <c r="E159" s="2">
        <f>B70</f>
        <v/>
      </c>
      <c r="F159" s="2" t="n">
        <v>6</v>
      </c>
    </row>
    <row r="160">
      <c r="A160" s="2">
        <f>Summary!A59</f>
        <v/>
      </c>
      <c r="B160" s="2">
        <f>IF(C71&gt;0,"YES","NO")</f>
        <v/>
      </c>
      <c r="C160" s="14">
        <f t="array" ref="C160">IF(C71=0,"-",_xlfn.TEXTJOIN(", ",TRUE,IF(Summary!$B$59:$AB$59="Passed on test",Summary!$B$1:$AB$1,"")))</f>
        <v/>
      </c>
      <c r="D160" s="2">
        <f>C71</f>
        <v/>
      </c>
      <c r="E160" s="2">
        <f>B71</f>
        <v/>
      </c>
      <c r="F160" s="2" t="n">
        <v>6</v>
      </c>
    </row>
    <row r="161">
      <c r="A161" s="2">
        <f>Summary!A60</f>
        <v/>
      </c>
      <c r="B161" s="2">
        <f>IF(C72&gt;0,"YES","NO")</f>
        <v/>
      </c>
      <c r="C161" s="14">
        <f t="array" ref="C161">IF(C72=0,"-",_xlfn.TEXTJOIN(", ",TRUE,IF(Summary!$B$60:$AB$60="Passed on test",Summary!$B$1:$AB$1,"")))</f>
        <v/>
      </c>
      <c r="D161" s="2">
        <f>C72</f>
        <v/>
      </c>
      <c r="E161" s="2">
        <f>B72</f>
        <v/>
      </c>
      <c r="F161" s="2" t="n">
        <v>6</v>
      </c>
    </row>
    <row r="162">
      <c r="A162" s="2">
        <f>Summary!A61</f>
        <v/>
      </c>
      <c r="B162" s="2">
        <f>IF(C73&gt;0,"YES","NO")</f>
        <v/>
      </c>
      <c r="C162" s="14">
        <f t="array" ref="C162">IF(C73=0,"-",_xlfn.TEXTJOIN(", ",TRUE,IF(Summary!$B$61:$AB$61="Passed on test",Summary!$B$1:$AB$1,"")))</f>
        <v/>
      </c>
      <c r="D162" s="2">
        <f>C73</f>
        <v/>
      </c>
      <c r="E162" s="2">
        <f>B73</f>
        <v/>
      </c>
      <c r="F162" s="2" t="n">
        <v>6</v>
      </c>
    </row>
    <row r="163">
      <c r="A163" s="2">
        <f>Summary!A62</f>
        <v/>
      </c>
      <c r="B163" s="2">
        <f>IF(C74&gt;0,"YES","NO")</f>
        <v/>
      </c>
      <c r="C163" s="14">
        <f t="array" ref="C163">IF(C74=0,"-",_xlfn.TEXTJOIN(", ",TRUE,IF(Summary!$B$62:$AB$62="Passed on test",Summary!$B$1:$AB$1,"")))</f>
        <v/>
      </c>
      <c r="D163" s="2">
        <f>C74</f>
        <v/>
      </c>
      <c r="E163" s="2">
        <f>B74</f>
        <v/>
      </c>
      <c r="F163" s="2" t="n">
        <v>7</v>
      </c>
    </row>
    <row r="164">
      <c r="A164" s="2">
        <f>Summary!A63</f>
        <v/>
      </c>
      <c r="B164" s="2">
        <f>IF(C75&gt;0,"YES","NO")</f>
        <v/>
      </c>
      <c r="C164" s="14">
        <f t="array" ref="C164">IF(C75=0,"-",_xlfn.TEXTJOIN(", ",TRUE,IF(Summary!$B$63:$AB$63="Passed on test",Summary!$B$1:$AB$1,"")))</f>
        <v/>
      </c>
      <c r="D164" s="2">
        <f>C75</f>
        <v/>
      </c>
      <c r="E164" s="2">
        <f>B75</f>
        <v/>
      </c>
      <c r="F164" s="2" t="n">
        <v>7</v>
      </c>
    </row>
    <row r="165">
      <c r="A165" s="2">
        <f>Summary!A64</f>
        <v/>
      </c>
      <c r="B165" s="2">
        <f>IF(C76&gt;0,"YES","NO")</f>
        <v/>
      </c>
      <c r="C165" s="14">
        <f t="array" ref="C165">IF(C76=0,"-",_xlfn.TEXTJOIN(", ",TRUE,IF(Summary!$B$64:$AB$64="Passed on test",Summary!$B$1:$AB$1,"")))</f>
        <v/>
      </c>
      <c r="D165" s="2">
        <f>C76</f>
        <v/>
      </c>
      <c r="E165" s="2">
        <f>B76</f>
        <v/>
      </c>
      <c r="F165" s="2" t="n">
        <v>7</v>
      </c>
    </row>
    <row r="166">
      <c r="A166" s="2">
        <f>Summary!A65</f>
        <v/>
      </c>
      <c r="B166" s="2">
        <f>IF(C77&gt;0,"YES","NO")</f>
        <v/>
      </c>
      <c r="C166" s="14">
        <f t="array" ref="C166">IF(C77=0,"-",_xlfn.TEXTJOIN(", ",TRUE,IF(Summary!$B$65:$AB$65="Passed on test",Summary!$B$1:$AB$1,"")))</f>
        <v/>
      </c>
      <c r="D166" s="2">
        <f>C77</f>
        <v/>
      </c>
      <c r="E166" s="2">
        <f>B77</f>
        <v/>
      </c>
      <c r="F166" s="2" t="n">
        <v>7</v>
      </c>
    </row>
    <row r="167">
      <c r="A167" s="2">
        <f>Summary!A66</f>
        <v/>
      </c>
      <c r="B167" s="2">
        <f>IF(C78&gt;0,"YES","NO")</f>
        <v/>
      </c>
      <c r="C167" s="14">
        <f t="array" ref="C167">IF(C78=0,"-",_xlfn.TEXTJOIN(", ",TRUE,IF(Summary!$B$66:$AB$66="Passed on test",Summary!$B$1:$AB$1,"")))</f>
        <v/>
      </c>
      <c r="D167" s="2">
        <f>C78</f>
        <v/>
      </c>
      <c r="E167" s="2">
        <f>B78</f>
        <v/>
      </c>
      <c r="F167" s="2" t="n">
        <v>7</v>
      </c>
    </row>
    <row r="168">
      <c r="A168" s="2">
        <f>Summary!A67</f>
        <v/>
      </c>
      <c r="B168" s="2">
        <f>IF(C79&gt;0,"YES","NO")</f>
        <v/>
      </c>
      <c r="C168" s="14">
        <f t="array" ref="C168">IF(C79=0,"-",_xlfn.TEXTJOIN(", ",TRUE,IF(Summary!$B$67:$AB$67="Passed on test",Summary!$B$1:$AB$1,"")))</f>
        <v/>
      </c>
      <c r="D168" s="2">
        <f>C79</f>
        <v/>
      </c>
      <c r="E168" s="2">
        <f>B79</f>
        <v/>
      </c>
      <c r="F168" s="2" t="n">
        <v>7</v>
      </c>
    </row>
    <row r="169">
      <c r="A169" s="2">
        <f>Summary!A68</f>
        <v/>
      </c>
      <c r="B169" s="2">
        <f>IF(C80&gt;0,"YES","NO")</f>
        <v/>
      </c>
      <c r="C169" s="14">
        <f t="array" ref="C169">IF(C80=0,"-",_xlfn.TEXTJOIN(", ",TRUE,IF(Summary!$B$68:$AB$68="Passed on test",Summary!$B$1:$AB$1,"")))</f>
        <v/>
      </c>
      <c r="D169" s="2">
        <f>C80</f>
        <v/>
      </c>
      <c r="E169" s="2">
        <f>B80</f>
        <v/>
      </c>
      <c r="F169" s="2" t="n">
        <v>7</v>
      </c>
    </row>
    <row r="170">
      <c r="A170" s="2">
        <f>Summary!A69</f>
        <v/>
      </c>
      <c r="B170" s="2">
        <f>IF(C81&gt;0,"YES","NO")</f>
        <v/>
      </c>
      <c r="C170" s="14">
        <f t="array" ref="C170">IF(C81=0,"-",_xlfn.TEXTJOIN(", ",TRUE,IF(Summary!$B$69:$AB$69="Passed on test",Summary!$B$1:$AB$1,"")))</f>
        <v/>
      </c>
      <c r="D170" s="2">
        <f>C81</f>
        <v/>
      </c>
      <c r="E170" s="2">
        <f>B81</f>
        <v/>
      </c>
      <c r="F170" s="2" t="n">
        <v>8</v>
      </c>
    </row>
    <row r="171">
      <c r="A171" s="2">
        <f>Summary!A70</f>
        <v/>
      </c>
      <c r="B171" s="2">
        <f>IF(C82&gt;0,"YES","NO")</f>
        <v/>
      </c>
      <c r="C171" s="14">
        <f t="array" ref="C171">IF(C82=0,"-",_xlfn.TEXTJOIN(", ",TRUE,IF(Summary!$B$70:$AB$70="Passed on test",Summary!$B$1:$AB$1,"")))</f>
        <v/>
      </c>
      <c r="D171" s="2">
        <f>C82</f>
        <v/>
      </c>
      <c r="E171" s="2">
        <f>B82</f>
        <v/>
      </c>
      <c r="F171" s="2" t="n">
        <v>8</v>
      </c>
    </row>
    <row r="172">
      <c r="A172" s="2">
        <f>Summary!A71</f>
        <v/>
      </c>
      <c r="B172" s="2">
        <f>IF(C83&gt;0,"YES","NO")</f>
        <v/>
      </c>
      <c r="C172" s="14">
        <f t="array" ref="C172">IF(C83=0,"-",_xlfn.TEXTJOIN(", ",TRUE,IF(Summary!$B$71:$AB$71="Passed on test",Summary!$B$1:$AB$1,"")))</f>
        <v/>
      </c>
      <c r="D172" s="2">
        <f>C83</f>
        <v/>
      </c>
      <c r="E172" s="2">
        <f>B83</f>
        <v/>
      </c>
      <c r="F172" s="2" t="n">
        <v>8</v>
      </c>
    </row>
    <row r="173">
      <c r="A173" s="2">
        <f>Summary!A72</f>
        <v/>
      </c>
      <c r="B173" s="2">
        <f>IF(C84&gt;0,"YES","NO")</f>
        <v/>
      </c>
      <c r="C173" s="14">
        <f t="array" ref="C173">IF(C84=0,"-",_xlfn.TEXTJOIN(", ",TRUE,IF(Summary!$B$72:$AB$72="Passed on test",Summary!$B$1:$AB$1,"")))</f>
        <v/>
      </c>
      <c r="D173" s="2">
        <f>C84</f>
        <v/>
      </c>
      <c r="E173" s="2">
        <f>B84</f>
        <v/>
      </c>
      <c r="F173" s="2" t="n">
        <v>8</v>
      </c>
    </row>
    <row r="174">
      <c r="A174" s="2">
        <f>Summary!A73</f>
        <v/>
      </c>
      <c r="B174" s="2">
        <f>IF(C85&gt;0,"YES","NO")</f>
        <v/>
      </c>
      <c r="C174" s="14">
        <f t="array" ref="C174">IF(C85=0,"-",_xlfn.TEXTJOIN(", ",TRUE,IF(Summary!$B$73:$AB$73="Passed on test",Summary!$B$1:$AB$1,"")))</f>
        <v/>
      </c>
      <c r="D174" s="2">
        <f>C85</f>
        <v/>
      </c>
      <c r="E174" s="2">
        <f>B85</f>
        <v/>
      </c>
      <c r="F174" s="2" t="n">
        <v>8</v>
      </c>
    </row>
    <row r="175">
      <c r="A175" s="2">
        <f>Summary!A74</f>
        <v/>
      </c>
      <c r="B175" s="2">
        <f>IF(C86&gt;0,"YES","NO")</f>
        <v/>
      </c>
      <c r="C175" s="14">
        <f t="array" ref="C175">IF(C86=0,"-",_xlfn.TEXTJOIN(", ",TRUE,IF(Summary!$B$74:$AB$74="Passed on test",Summary!$B$1:$AB$1,"")))</f>
        <v/>
      </c>
      <c r="D175" s="2">
        <f>C86</f>
        <v/>
      </c>
      <c r="E175" s="2">
        <f>B86</f>
        <v/>
      </c>
      <c r="F175" s="2" t="n">
        <v>8</v>
      </c>
    </row>
    <row r="176">
      <c r="A176">
        <f>IF(B100=0,"Every case passed on either all or none of its versions, so the at-least-one count equals the strict count.","Some cases passed on only part of their versions; see the table above.")</f>
        <v/>
      </c>
    </row>
    <row r="177"/>
    <row r="178">
      <c r="A178" s="7" t="inlineStr">
        <is>
          <t>5. Notes: every case, its versions and what happened</t>
        </is>
      </c>
    </row>
    <row r="179">
      <c r="A179" s="1" t="inlineStr">
        <is>
          <t>Result</t>
        </is>
      </c>
      <c r="B179" s="1" t="inlineStr">
        <is>
          <t>Case</t>
        </is>
      </c>
      <c r="C179" s="1" t="inlineStr">
        <is>
          <t>Versions</t>
        </is>
      </c>
      <c r="D179" s="1" t="inlineStr">
        <is>
          <t># versions</t>
        </is>
      </c>
      <c r="E179" s="1" t="inlineStr">
        <is>
          <t>Error type</t>
        </is>
      </c>
      <c r="F179" s="1" t="inlineStr">
        <is>
          <t>Error message (last traceback line)</t>
        </is>
      </c>
      <c r="G179" s="1" t="inlineStr">
        <is>
          <t>What happened (plain English)</t>
        </is>
      </c>
      <c r="H179" s="1" t="inlineStr">
        <is>
          <t>Batch</t>
        </is>
      </c>
    </row>
    <row r="180">
      <c r="A180" s="15" t="inlineStr">
        <is>
          <t>Passed on test</t>
        </is>
      </c>
      <c r="B180" s="14" t="inlineStr">
        <is>
          <t>issue_009</t>
        </is>
      </c>
      <c r="C180" s="14" t="inlineStr">
        <is>
          <t>0.45.0, 0.45.1, 0.45.2, 0.45.3, 0.46.0, 0.46.1, 0.46.2, 0.46.3</t>
        </is>
      </c>
      <c r="D180" s="14" t="n">
        <v>8</v>
      </c>
      <c r="E180" s="14" t="n"/>
      <c r="F180" s="14" t="n"/>
      <c r="G180" s="14" t="inlineStr">
        <is>
          <t>The LLM removed the invalid layout_method='csp_layout' argument and kept optimization_level=3, which already tries a perfect layout first (CSPLayout / VF2Layout). The GPT models instead ran CSPLayout by hand; gpt-5.6-luna applied it with ApplyLayout and crashed.</t>
        </is>
      </c>
      <c r="H180" s="14" t="n">
        <v>1</v>
      </c>
    </row>
    <row r="181">
      <c r="A181" s="16" t="inlineStr">
        <is>
          <t>Failed on test</t>
        </is>
      </c>
      <c r="B181" s="14" t="inlineStr">
        <is>
          <t>issue_018_se</t>
        </is>
      </c>
      <c r="C181" s="14" t="inlineStr">
        <is>
          <t>1.0.0, 1.0.1, 1.0.2, 1.1.0, 1.1.1, 1.1.2, 1.2.0, 1.2.1, 1.2.2, 1.2.4, 2.0.0, 2.2.0, 2.3.0, 2.4.0, 2.5.0</t>
        </is>
      </c>
      <c r="D181" s="14" t="n">
        <v>15</v>
      </c>
      <c r="E181" s="14" t="inlineStr">
        <is>
          <t>AssertionError</t>
        </is>
      </c>
      <c r="F181" s="14" t="inlineStr">
        <is>
          <t>RuntimeError: SIMULATOR_PROCESS_ERROR: exit=3221226356 (0xC0000374); AssertionError:</t>
        </is>
      </c>
      <c r="G181" s="14" t="inlineStr">
        <is>
          <t>The LLM swapped which classical bit positions it reads as Alice's and Bob's outputs (same code as gpt-6.1-sol and gpt-6-astra).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H181" s="14" t="n">
        <v>1</v>
      </c>
    </row>
    <row r="182">
      <c r="A182" s="15" t="inlineStr">
        <is>
          <t>Passed on test</t>
        </is>
      </c>
      <c r="B182" s="14" t="inlineStr">
        <is>
          <t>issue_021_se</t>
        </is>
      </c>
      <c r="C182" s="14" t="inlineStr">
        <is>
          <t>0.25.0, 0.25.1, 0.25.2, 0.25.3, 0.45.0, 0.45.1, 0.45.2, 0.45.3, 0.46.0, 0.46.1, 0.46.2, 0.46.3</t>
        </is>
      </c>
      <c r="D182" s="14" t="n">
        <v>12</v>
      </c>
      <c r="E182" s="14" t="n"/>
      <c r="F182" s="14" t="n"/>
      <c r="G182" s="14" t="inlineStr">
        <is>
          <t>The LLM imported transpile and called assemble(transpile(circuit, svsim)), which fully unrolls the custom CNOTNOT gate and initialize into instructions Aer supports (same code as gpt-6.1-sol and gpt-6-astra). Both luna models used a one-level decompose() and crashed.</t>
        </is>
      </c>
      <c r="H182" s="14" t="n">
        <v>1</v>
      </c>
    </row>
    <row r="183">
      <c r="A183" s="15" t="inlineStr">
        <is>
          <t>Passed on test</t>
        </is>
      </c>
      <c r="B183" s="14" t="inlineStr">
        <is>
          <t>issue_032_se</t>
        </is>
      </c>
      <c r="C183" s="14" t="inlineStr">
        <is>
          <t>0.25.0, 0.25.1, 0.25.2, 0.25.3</t>
        </is>
      </c>
      <c r="D183" s="14" t="n">
        <v>4</v>
      </c>
      <c r="E183" s="14" t="n"/>
      <c r="F183" s="14" t="n"/>
      <c r="G183" s="14" t="inlineStr">
        <is>
          <t>The LLM imported iSwapGate and passed iSwapGate() as entanglement_blocks instead of the unrecognised string 'iswap' (same code as all four GPT models).</t>
        </is>
      </c>
      <c r="H183" s="14" t="n">
        <v>1</v>
      </c>
    </row>
    <row r="184">
      <c r="A184" s="15" t="inlineStr">
        <is>
          <t>Passed on test</t>
        </is>
      </c>
      <c r="B184" s="14" t="inlineStr">
        <is>
          <t>issue_034</t>
        </is>
      </c>
      <c r="C184" s="14" t="inlineStr">
        <is>
          <t>1.0.0, 1.0.1, 1.0.2, 1.1.0, 1.1.1, 1.1.2, 1.2.0, 1.2.1, 1.2.2, 1.2.4, 2.0.0, 2.2.0, 2.3.0, 2.4.0, 2.5.0</t>
        </is>
      </c>
      <c r="D184" s="14" t="n">
        <v>15</v>
      </c>
      <c r="E184" s="14" t="n"/>
      <c r="F184" s="14" t="n"/>
      <c r="G184" s="14" t="inlineStr">
        <is>
          <t>The LLM imported Aer from qiskit_aer instead of qiskit, where it no longer exists (the same fix as all four GPT models, with the import split over two lines).</t>
        </is>
      </c>
      <c r="H184" s="14" t="n">
        <v>1</v>
      </c>
    </row>
    <row r="185">
      <c r="A185" s="15" t="inlineStr">
        <is>
          <t>Passed on test</t>
        </is>
      </c>
      <c r="B185" s="14" t="inlineStr">
        <is>
          <t>issue_036</t>
        </is>
      </c>
      <c r="C185" s="14" t="inlineStr">
        <is>
          <t>1.0.0, 1.0.1, 1.0.2, 1.1.0, 1.1.1, 1.1.2, 1.2.0, 1.2.1, 1.2.2, 1.2.4, 2.0.0, 2.2.0, 2.3.0, 2.4.0, 2.5.0</t>
        </is>
      </c>
      <c r="D185" s="14" t="n">
        <v>15</v>
      </c>
      <c r="E185" s="14" t="n"/>
      <c r="F185" s="14" t="n"/>
      <c r="G185" s="14" t="inlineStr">
        <is>
          <t>The LLM replaced the removed QuantumCircuit.qasm() with qasm2.dumps(c) (same code as both luna models).</t>
        </is>
      </c>
      <c r="H185" s="14" t="n">
        <v>1</v>
      </c>
    </row>
    <row r="186">
      <c r="A186" s="15" t="inlineStr">
        <is>
          <t>Passed on test</t>
        </is>
      </c>
      <c r="B186" s="14" t="inlineStr">
        <is>
          <t>issue_058_se</t>
        </is>
      </c>
      <c r="C186" s="14" t="inlineStr">
        <is>
          <t>0.25.0, 0.25.1, 0.25.2, 0.25.3, 0.45.0, 0.45.1, 0.45.2, 0.45.3, 0.46.0, 0.46.1, 0.46.2, 0.46.3</t>
        </is>
      </c>
      <c r="D186" s="14" t="n">
        <v>12</v>
      </c>
      <c r="E186" s="14" t="n"/>
      <c r="F186" s="14" t="n"/>
      <c r="G186" s="14" t="inlineStr">
        <is>
          <t>The LLM imported transpile and transpiled the circuit for the backend before backend.run(), so the custom diffuser gate is decomposed into gates Aer supports (the same fix as the GPT models).</t>
        </is>
      </c>
      <c r="H186" s="14" t="n">
        <v>1</v>
      </c>
    </row>
    <row r="187">
      <c r="A187" s="16" t="inlineStr">
        <is>
          <t>Failed on test</t>
        </is>
      </c>
      <c r="B187" s="14" t="inlineStr">
        <is>
          <t>issue_061</t>
        </is>
      </c>
      <c r="C187" s="14" t="inlineStr">
        <is>
          <t>1.0.0, 1.0.1, 1.0.2, 1.1.0, 1.1.1, 1.1.2, 1.2.0, 1.2.1, 1.2.2, 1.2.4, 2.0.0, 2.2.0, 2.3.0, 2.4.0, 2.5.0</t>
        </is>
      </c>
      <c r="D187" s="14" t="n">
        <v>15</v>
      </c>
      <c r="E187" s="14" t="inlineStr">
        <is>
          <t>AssertionError</t>
        </is>
      </c>
      <c r="F187" s="14" t="inlineStr">
        <is>
          <t>AssertionError: Printed register/index records do not match the actual instruction bits.</t>
        </is>
      </c>
      <c r="G187" s="14" t="inlineStr">
        <is>
          <t>The LLM replaced the removed Bit.register / Bit.index with qc.find_bit(qbit), but it printed qc.find_bit(qbit).index, the qubit's position in the whole circuit, instead of its index inside its register (registers[0][1]). For qubits in the second register the printed index is wrong, so the test's register/index check fails. All four GPT models printed the register-local index and passed.</t>
        </is>
      </c>
      <c r="H187" s="14" t="n">
        <v>1</v>
      </c>
    </row>
    <row r="188">
      <c r="A188" s="15" t="inlineStr">
        <is>
          <t>Passed on test</t>
        </is>
      </c>
      <c r="B188" s="14" t="inlineStr">
        <is>
          <t>issue_072</t>
        </is>
      </c>
      <c r="C188" s="14" t="inlineStr">
        <is>
          <t>0.25.0, 0.25.1, 0.25.2, 0.25.3</t>
        </is>
      </c>
      <c r="D188" s="14" t="n">
        <v>4</v>
      </c>
      <c r="E188" s="14" t="n"/>
      <c r="F188" s="14" t="n"/>
      <c r="G188" s="14" t="inlineStr">
        <is>
          <t>Qreg[0] and qreg[5] were both mapped to physical qubit 12; the LLM mapped qreg[5] to the unused qubit 15, so the initial layout is valid (same code as all four GPT models).</t>
        </is>
      </c>
      <c r="H188" s="14" t="n">
        <v>1</v>
      </c>
    </row>
    <row r="189">
      <c r="A189" s="16" t="inlineStr">
        <is>
          <t>Failed on test</t>
        </is>
      </c>
      <c r="B189" s="14" t="inlineStr">
        <is>
          <t>issue_096</t>
        </is>
      </c>
      <c r="C189" s="14" t="inlineStr">
        <is>
          <t>0.25.0, 0.25.1, 0.25.2, 0.25.3, 0.45.0, 0.45.1, 0.45.2, 0.45.3, 0.46.0, 0.46.1, 0.46.2, 0.46.3, 1.0.0, 1.0.1, 1.0.2, 1.1.0, 1.1.1, 1.1.2, 1.2.0, 1.2.1, 1.2.2, 1.2.4, 2.0.0, 2.2.0, 2.3.0, 2.4.0, 2.5.0</t>
        </is>
      </c>
      <c r="D189" s="14" t="n">
        <v>27</v>
      </c>
      <c r="E189" s="14" t="inlineStr">
        <is>
          <t>AssertionError</t>
        </is>
      </c>
      <c r="F189" s="14" t="inlineStr">
        <is>
          <t>AssertionError: '' != '[default]\n'; AssertionError: False is not true : Missing ipython_kernel_config.py (even when the profile directory already exists)</t>
        </is>
      </c>
      <c r="G189" s="14" t="inlineStr">
        <is>
          <t>The LLM creates ~/.qiskit and opens settings.conf in a+ mode, which stops the crash, but the test expects the file to contain a [default] section and the IPython profile's ipython_kernel_config.py to be created, which the fix does not do (same code as gpt-6-astra and gpt-5.6-luna; every model fails this case).</t>
        </is>
      </c>
      <c r="H189" s="14" t="n">
        <v>1</v>
      </c>
    </row>
    <row r="190">
      <c r="A190" s="15" t="inlineStr">
        <is>
          <t>Passed on test</t>
        </is>
      </c>
      <c r="B190" s="14" t="inlineStr">
        <is>
          <t>issue_155</t>
        </is>
      </c>
      <c r="C190" s="14" t="inlineStr">
        <is>
          <t>0.25.0, 0.25.1, 0.25.2, 0.25.3, 0.45.0, 0.45.1, 0.45.2, 0.45.3, 0.46.0, 0.46.1, 0.46.2, 0.46.3</t>
        </is>
      </c>
      <c r="D190" s="14" t="n">
        <v>12</v>
      </c>
      <c r="E190" s="14" t="n"/>
      <c r="F190" s="14" t="n"/>
      <c r="G190" s="14" t="inlineStr">
        <is>
          <t>The LLM turned the traced-out registers into integer qubit positions with qc.qubits.index(q), which exists in every tested version, so it passes on all 12 versions including 0.25.x. Only gpt-5.6-luna did the same; the other GPT models used find_bit(), which doesn't exist in 0.25, and crashed there.</t>
        </is>
      </c>
      <c r="H190" s="14" t="n">
        <v>2</v>
      </c>
    </row>
    <row r="191">
      <c r="A191" s="15" t="inlineStr">
        <is>
          <t>Passed on test</t>
        </is>
      </c>
      <c r="B191" s="14" t="inlineStr">
        <is>
          <t>issue_157</t>
        </is>
      </c>
      <c r="C191" s="14" t="inlineStr">
        <is>
          <t>0.45.0, 0.45.1, 0.45.2, 0.45.3, 0.46.0, 0.46.1, 0.46.2, 0.46.3</t>
        </is>
      </c>
      <c r="D191" s="14" t="n">
        <v>8</v>
      </c>
      <c r="E191" s="14" t="n"/>
      <c r="F191" s="14" t="n"/>
      <c r="G191" s="14" t="inlineStr">
        <is>
          <t>Error on 0.25.x, passed on 0.45.x / 0.46.x: the LLM replaced initialize() (which contains a non-unitary reset and can't be controlled) with prepare_state(), which is correct but doesn't exist yet in Qiskit 0.25 (AttributeError). Same code as all four GPT models.</t>
        </is>
      </c>
      <c r="H191" s="14" t="n">
        <v>2</v>
      </c>
    </row>
    <row r="192">
      <c r="A192" s="17" t="inlineStr">
        <is>
          <t>Runtime error</t>
        </is>
      </c>
      <c r="B192" s="14" t="inlineStr">
        <is>
          <t>issue_157</t>
        </is>
      </c>
      <c r="C192" s="14" t="inlineStr">
        <is>
          <t>0.25.0, 0.25.1, 0.25.2, 0.25.3</t>
        </is>
      </c>
      <c r="D192" s="14" t="n">
        <v>4</v>
      </c>
      <c r="E192" s="14" t="inlineStr">
        <is>
          <t>AttributeError</t>
        </is>
      </c>
      <c r="F192" s="14" t="inlineStr">
        <is>
          <t>AttributeError: 'QuantumCircuit' object has no attribute 'prepare_state'</t>
        </is>
      </c>
      <c r="G192" s="14" t="inlineStr">
        <is>
          <t>Error on 0.25.x, passed on 0.45.x / 0.46.x: the LLM replaced initialize() (which contains a non-unitary reset and can't be controlled) with prepare_state(), which is correct but doesn't exist yet in Qiskit 0.25 (AttributeError). Same code as all four GPT models.</t>
        </is>
      </c>
      <c r="H192" s="14" t="n">
        <v>2</v>
      </c>
    </row>
    <row r="193">
      <c r="A193" s="15" t="inlineStr">
        <is>
          <t>Passed on test</t>
        </is>
      </c>
      <c r="B193" s="14" t="inlineStr">
        <is>
          <t>issue_174</t>
        </is>
      </c>
      <c r="C193" s="14" t="inlineStr">
        <is>
          <t>0.25.0, 0.25.1, 0.25.2, 0.25.3, 0.45.0, 0.45.1, 0.45.2, 0.45.3, 0.46.0, 0.46.1, 0.46.2, 0.46.3</t>
        </is>
      </c>
      <c r="D193" s="14" t="n">
        <v>12</v>
      </c>
      <c r="E193" s="14" t="n"/>
      <c r="F193" s="14" t="n"/>
      <c r="G193" s="14" t="inlineStr">
        <is>
          <t>The LLM changed all six conditions to if (c==1), like the reference, and kept its '# FIX:' comment above the QASM string. Its reply first put the comment inside the string, then corrected that itself; the final code block, which is the one tested, is the same code as gpt-6.1-sol and gpt-6-astra.</t>
        </is>
      </c>
      <c r="H193" s="14" t="n">
        <v>2</v>
      </c>
    </row>
    <row r="194">
      <c r="A194" s="15" t="inlineStr">
        <is>
          <t>Passed on test</t>
        </is>
      </c>
      <c r="B194" s="14" t="inlineStr">
        <is>
          <t>issue_189</t>
        </is>
      </c>
      <c r="C194" s="14" t="inlineStr">
        <is>
          <t>0.45.0, 0.45.1, 0.45.2, 0.45.3, 0.46.0, 0.46.1, 0.46.2, 0.46.3, 1.0.0, 1.0.1, 1.0.2, 1.1.0, 1.1.1, 1.1.2, 1.2.0, 1.2.1, 1.2.2, 1.2.4, 2.0.0, 2.2.0, 2.3.0, 2.4.0, 2.5.0</t>
        </is>
      </c>
      <c r="D194" s="14" t="n">
        <v>23</v>
      </c>
      <c r="E194" s="14" t="n"/>
      <c r="F194" s="14" t="n"/>
      <c r="G194" s="14" t="inlineStr">
        <is>
          <t>The LLM rebuilt the qubit list as one control qubit plus the system qubits, with the control order reversed relative to the reference. The updated test accepts either control order (same code as all four GPT models).</t>
        </is>
      </c>
      <c r="H194" s="14" t="n">
        <v>2</v>
      </c>
    </row>
    <row r="195">
      <c r="A195" s="15" t="inlineStr">
        <is>
          <t>Passed on test</t>
        </is>
      </c>
      <c r="B195" s="14" t="inlineStr">
        <is>
          <t>issue_225</t>
        </is>
      </c>
      <c r="C195" s="14" t="inlineStr">
        <is>
          <t>0.45.0, 0.45.1, 0.45.2, 0.45.3, 0.46.0, 0.46.1, 0.46.2, 0.46.3</t>
        </is>
      </c>
      <c r="D195" s="14" t="n">
        <v>8</v>
      </c>
      <c r="E195" s="14" t="n"/>
      <c r="F195" s="14" t="n"/>
      <c r="G195" s="14" t="inlineStr">
        <is>
          <t>The LLM wrapped the Statevector in np.asarray() before reshape(), so it reshapes the amplitude array instead of calling reshape() on the Statevector object (the same idea as the GPT models, which used .data).</t>
        </is>
      </c>
      <c r="H195" s="14" t="n">
        <v>2</v>
      </c>
    </row>
    <row r="196">
      <c r="A196" s="15" t="inlineStr">
        <is>
          <t>Passed on test</t>
        </is>
      </c>
      <c r="B196" s="14" t="inlineStr">
        <is>
          <t>issue_233</t>
        </is>
      </c>
      <c r="C196" s="14" t="inlineStr">
        <is>
          <t>0.25.0, 0.25.1, 0.25.2, 0.25.3, 0.45.0, 0.45.1, 0.45.2, 0.45.3, 0.46.0, 0.46.1, 0.46.2, 0.46.3, 1.0.0, 1.0.1, 1.0.2, 1.1.0, 1.1.1, 1.1.2, 1.2.0, 1.2.1, 1.2.2, 1.2.4, 2.0.0, 2.2.0, 2.3.0, 2.4.0, 2.5.0</t>
        </is>
      </c>
      <c r="D196" s="14" t="n">
        <v>27</v>
      </c>
      <c r="E196" s="14" t="n"/>
      <c r="F196" s="14" t="n"/>
      <c r="G196" s="14" t="inlineStr">
        <is>
          <t>The LLM replaced both rot.num_parameters_settable() calls with rot.num_parameters (same code as gpt-6.1-sol and gpt-6-astra). Both luna models replaced only the second call and crashed on the first.</t>
        </is>
      </c>
      <c r="H196" s="14" t="n">
        <v>2</v>
      </c>
    </row>
    <row r="197">
      <c r="A197" s="15" t="inlineStr">
        <is>
          <t>Passed on test</t>
        </is>
      </c>
      <c r="B197" s="14" t="inlineStr">
        <is>
          <t>issue_261</t>
        </is>
      </c>
      <c r="C197" s="14" t="inlineStr">
        <is>
          <t>0.25.0, 0.25.1, 0.25.2, 0.25.3, 0.45.0, 0.45.1, 0.45.2, 0.45.3, 0.46.0, 0.46.1, 0.46.2, 0.46.3</t>
        </is>
      </c>
      <c r="D197" s="14" t="n">
        <v>12</v>
      </c>
      <c r="E197" s="14" t="n"/>
      <c r="F197" s="14" t="n"/>
      <c r="G197" s="14" t="inlineStr">
        <is>
          <t>The LLM replaced PauliOp(hamiltonian_string) with eval(hamiltonian_string), the same fix as the reference (same code as all four GPT models).</t>
        </is>
      </c>
      <c r="H197" s="14" t="n">
        <v>2</v>
      </c>
    </row>
    <row r="198">
      <c r="A198" s="15" t="inlineStr">
        <is>
          <t>Passed on test</t>
        </is>
      </c>
      <c r="B198" s="14" t="inlineStr">
        <is>
          <t>issue_280</t>
        </is>
      </c>
      <c r="C198" s="14" t="inlineStr">
        <is>
          <t>0.45.0, 0.45.1, 0.45.2, 0.45.3, 0.46.0, 0.46.1, 0.46.2, 0.46.3</t>
        </is>
      </c>
      <c r="D198" s="14" t="n">
        <v>8</v>
      </c>
      <c r="E198" s="14" t="n"/>
      <c r="F198" s="14" t="n"/>
      <c r="G198" s="14" t="inlineStr">
        <is>
          <t>Error on 0.25.x, passed on 0.45.x / 0.46.x: the LLM used a two-qubit depolarizing_error(0.05, 2) for the cx gate, which is the fix, but also moved the import from qiskit.providers.aer to qiskit_aer; the Aer 0.8 that comes with Qiskit 0.25 can only be imported as qiskit.providers.aer (ModuleNotFoundError). The GPT models kept the original import and passed on all 12 versions.</t>
        </is>
      </c>
      <c r="H198" s="14" t="n">
        <v>2</v>
      </c>
    </row>
    <row r="199">
      <c r="A199" s="17" t="inlineStr">
        <is>
          <t>Runtime error</t>
        </is>
      </c>
      <c r="B199" s="14" t="inlineStr">
        <is>
          <t>issue_280</t>
        </is>
      </c>
      <c r="C199" s="14" t="inlineStr">
        <is>
          <t>0.25.0, 0.25.1, 0.25.2, 0.25.3</t>
        </is>
      </c>
      <c r="D199" s="14" t="n">
        <v>4</v>
      </c>
      <c r="E199" s="14" t="inlineStr">
        <is>
          <t>ModuleNotFoundError</t>
        </is>
      </c>
      <c r="F199" s="14" t="inlineStr">
        <is>
          <t>ModuleNotFoundError: No module named 'qiskit_aer'</t>
        </is>
      </c>
      <c r="G199" s="14" t="inlineStr">
        <is>
          <t>Error on 0.25.x, passed on 0.45.x / 0.46.x: the LLM used a two-qubit depolarizing_error(0.05, 2) for the cx gate, which is the fix, but also moved the import from qiskit.providers.aer to qiskit_aer; the Aer 0.8 that comes with Qiskit 0.25 can only be imported as qiskit.providers.aer (ModuleNotFoundError). The GPT models kept the original import and passed on all 12 versions.</t>
        </is>
      </c>
      <c r="H199" s="14" t="n">
        <v>2</v>
      </c>
    </row>
    <row r="200">
      <c r="A200" s="15" t="inlineStr">
        <is>
          <t>Passed on test</t>
        </is>
      </c>
      <c r="B200" s="14" t="inlineStr">
        <is>
          <t>issue_295</t>
        </is>
      </c>
      <c r="C200" s="14" t="inlineStr">
        <is>
          <t>0.45.0, 0.45.1, 0.45.2, 0.45.3, 0.46.0, 0.46.1, 0.46.2, 0.46.3</t>
        </is>
      </c>
      <c r="D200" s="14" t="n">
        <v>8</v>
      </c>
      <c r="E200" s="14" t="n"/>
      <c r="F200" s="14" t="n"/>
      <c r="G200" s="14" t="inlineStr">
        <is>
          <t>The LLM replaced circuit += oracle with circuit.compose(oracle, inplace=True) (same code as all four GPT models).</t>
        </is>
      </c>
      <c r="H200" s="14" t="n">
        <v>2</v>
      </c>
    </row>
    <row r="201">
      <c r="A201" s="17" t="inlineStr">
        <is>
          <t>Runtime error</t>
        </is>
      </c>
      <c r="B201" s="14" t="inlineStr">
        <is>
          <t>issue_315</t>
        </is>
      </c>
      <c r="C201" s="14" t="inlineStr">
        <is>
          <t>0.45.0, 0.45.1, 0.45.2, 0.45.3, 0.46.0, 0.46.1, 0.46.2, 0.46.3, 1.0.0, 1.0.1, 1.0.2, 1.1.0, 1.1.1, 1.1.2, 1.2.0, 1.2.1, 1.2.2, 1.2.4, 2.0.0, 2.2.0, 2.3.0, 2.4.0, 2.5.0</t>
        </is>
      </c>
      <c r="D201" s="14" t="n">
        <v>23</v>
      </c>
      <c r="E201" s="14" t="inlineStr">
        <is>
          <t>ModuleNotFoundError, KeyError</t>
        </is>
      </c>
      <c r="F201" s="14" t="inlineStr">
        <is>
          <t>KeyError: 'max_parallel_threads'; AttributeError: Option max_parallel_threads is not defined</t>
        </is>
      </c>
      <c r="G201" s="14"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gpt-6.1-sol, gpt-6-astra and gpt-5.6-luna.</t>
        </is>
      </c>
      <c r="H201" s="14" t="n">
        <v>2</v>
      </c>
    </row>
    <row r="202">
      <c r="A202" s="15" t="inlineStr">
        <is>
          <t>Passed on test</t>
        </is>
      </c>
      <c r="B202" s="14" t="inlineStr">
        <is>
          <t>issue_344</t>
        </is>
      </c>
      <c r="C202" s="14" t="inlineStr">
        <is>
          <t>0.25.0, 0.25.1, 0.25.2, 0.25.3, 0.45.0, 0.45.1, 0.45.2, 0.45.3, 0.46.0, 0.46.1, 0.46.2, 0.46.3</t>
        </is>
      </c>
      <c r="D202" s="14" t="n">
        <v>12</v>
      </c>
      <c r="E202" s="14" t="n"/>
      <c r="F202" s="14" t="n"/>
      <c r="G202" s="14" t="inlineStr">
        <is>
          <t>The LLM dropped decimals=3 from get_statevector(), so the rounded amplitudes no longer break the normalization check in entropy() (same code as gpt-6.1-sol, gpt-6-astra and gpt-6-luna).</t>
        </is>
      </c>
      <c r="H202" s="14" t="n">
        <v>3</v>
      </c>
    </row>
    <row r="203">
      <c r="A203" s="15" t="inlineStr">
        <is>
          <t>Passed on test</t>
        </is>
      </c>
      <c r="B203" s="14" t="inlineStr">
        <is>
          <t>issue_362</t>
        </is>
      </c>
      <c r="C203" s="14" t="inlineStr">
        <is>
          <t>0.45.0, 0.45.1, 0.45.2, 0.45.3, 0.46.0, 0.46.1, 0.46.2, 0.46.3, 1.0.0, 1.0.1, 1.0.2, 1.1.0, 1.1.1, 1.1.2, 1.2.0, 1.2.1, 1.2.2, 1.2.4, 2.0.0, 2.2.0, 2.3.0, 2.4.0, 2.5.0</t>
        </is>
      </c>
      <c r="D203" s="14" t="n">
        <v>23</v>
      </c>
      <c r="E203" s="14" t="n"/>
      <c r="F203" s="14" t="n"/>
      <c r="G203" s="14" t="inlineStr">
        <is>
          <t>The LLM added circuit.save_unitary(), so AerSimulator returns the unitary (same code as gpt-6.1-sol, gpt-6-astra and gpt-5.6-luna).</t>
        </is>
      </c>
      <c r="H203" s="14" t="n">
        <v>3</v>
      </c>
    </row>
    <row r="204">
      <c r="A204" s="15" t="inlineStr">
        <is>
          <t>Passed on test</t>
        </is>
      </c>
      <c r="B204" s="14" t="inlineStr">
        <is>
          <t>issue_369</t>
        </is>
      </c>
      <c r="C204" s="14" t="inlineStr">
        <is>
          <t>0.25.0, 0.25.1, 0.25.2, 0.25.3, 0.45.0, 0.45.1, 0.45.2, 0.45.3, 0.46.0, 0.46.1, 0.46.2, 0.46.3, 1.0.0, 1.0.1, 1.0.2, 1.1.0, 1.1.1, 1.1.2, 1.2.0, 1.2.1, 1.2.2, 1.2.4, 2.0.0, 2.2.0, 2.3.0, 2.4.0, 2.5.0</t>
        </is>
      </c>
      <c r="D204" s="14" t="n">
        <v>27</v>
      </c>
      <c r="E204" s="14" t="n"/>
      <c r="F204" s="14" t="n"/>
      <c r="G204" s="14" t="inlineStr">
        <is>
          <t>The LLM mapped the control and all 16 subcircuit qubits in compose(csub, [i] + [q for q in range(17) if q != i]) instead of only the control wire (the same fix as the reference, written differently from the GPT models).</t>
        </is>
      </c>
      <c r="H204" s="14" t="n">
        <v>3</v>
      </c>
    </row>
    <row r="205">
      <c r="A205" s="17" t="inlineStr">
        <is>
          <t>Runtime error</t>
        </is>
      </c>
      <c r="B205" s="14" t="inlineStr">
        <is>
          <t>issue_396</t>
        </is>
      </c>
      <c r="C205" s="14" t="inlineStr">
        <is>
          <t>0.25.0, 0.25.1, 0.25.2, 0.25.3, 0.45.0, 0.45.1, 0.45.2, 0.45.3, 0.46.0, 0.46.1, 0.46.2, 0.46.3, 1.0.0, 1.0.1, 1.0.2, 1.1.0, 1.1.1, 1.1.2, 1.2.0, 1.2.1, 1.2.2, 1.2.4, 2.0.0, 2.2.0, 2.3.0, 2.4.0, 2.5.0</t>
        </is>
      </c>
      <c r="D205" s="14" t="n">
        <v>27</v>
      </c>
      <c r="E205" s="14" t="inlineStr">
        <is>
          <t>TypeError</t>
        </is>
      </c>
      <c r="F205" s="14" t="inlineStr">
        <is>
          <t>TypeError: unsupported operand type(s) for +: 'int' and 'Statevector'</t>
        </is>
      </c>
      <c r="G205" s="14" t="inlineStr">
        <is>
          <t>The LLM tried to build the oracle as a sum of Statevector.from_label() for each target, but sum() starts from the integer 0, and 0 + Statevector raises TypeError, so the script crashes on every version. gpt-6-astra's Diagonal oracle passes on 23 versions and both luna models' QuantumCircuit.diagonal() on 12.</t>
        </is>
      </c>
      <c r="H205" s="14" t="n">
        <v>3</v>
      </c>
    </row>
    <row r="206">
      <c r="A206" s="15" t="inlineStr">
        <is>
          <t>Passed on test</t>
        </is>
      </c>
      <c r="B206" s="14" t="inlineStr">
        <is>
          <t>issue_415</t>
        </is>
      </c>
      <c r="C206" s="14" t="inlineStr">
        <is>
          <t>0.25.0, 0.25.1, 0.25.2, 0.25.3</t>
        </is>
      </c>
      <c r="D206" s="14" t="n">
        <v>4</v>
      </c>
      <c r="E206" s="14" t="n"/>
      <c r="F206" s="14" t="n"/>
      <c r="G206" s="14" t="inlineStr">
        <is>
          <t>The LLM computed real U3 angles, theta from the magnitude of the |0&gt; amplitude and phi as the relative phase after dividing out the |0&gt; amplitude's phase, so the circuit prepares the right state with real angles. Only gpt-6-luna passed this case among the GPT models.</t>
        </is>
      </c>
      <c r="H206" s="14" t="n">
        <v>3</v>
      </c>
    </row>
    <row r="207">
      <c r="A207" s="15" t="inlineStr">
        <is>
          <t>Passed on test</t>
        </is>
      </c>
      <c r="B207" s="14" t="inlineStr">
        <is>
          <t>issue_436</t>
        </is>
      </c>
      <c r="C207" s="14" t="inlineStr">
        <is>
          <t>0.25.0, 0.25.1, 0.25.2, 0.25.3</t>
        </is>
      </c>
      <c r="D207" s="14" t="n">
        <v>4</v>
      </c>
      <c r="E207" s="14" t="n"/>
      <c r="F207" s="14" t="n"/>
      <c r="G207" s="14" t="inlineStr">
        <is>
          <t>The LLM removed set_frequency(), which PulseSimulator doesn't support, and played a Waveform modulated by exp(2*pi*i*(f - LO)*t) instead (the same idea as gpt-6.1-sol and gpt-6-astra).</t>
        </is>
      </c>
      <c r="H207" s="14" t="n">
        <v>3</v>
      </c>
    </row>
    <row r="208">
      <c r="A208" s="16" t="inlineStr">
        <is>
          <t>Failed on test</t>
        </is>
      </c>
      <c r="B208" s="14" t="inlineStr">
        <is>
          <t>issue_443</t>
        </is>
      </c>
      <c r="C208" s="14" t="inlineStr">
        <is>
          <t>0.25.0, 0.25.1, 0.25.2, 0.25.3, 0.45.0, 0.45.1, 0.45.2, 0.45.3, 0.46.0, 0.46.1, 0.46.2, 0.46.3, 1.0.0, 1.0.1, 1.0.2, 1.1.0, 1.1.1, 1.1.2, 1.2.0, 1.2.1, 1.2.2, 1.2.4, 2.0.0, 2.2.0, 2.3.0, 2.4.0, 2.5.0</t>
        </is>
      </c>
      <c r="D208" s="14" t="n">
        <v>27</v>
      </c>
      <c r="E208" s="14" t="inlineStr">
        <is>
          <t>AssertionError</t>
        </is>
      </c>
      <c r="F208" s="14" t="inlineStr">
        <is>
          <t>AssertionError:</t>
        </is>
      </c>
      <c r="G208" s="14"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gpt-6.1-sol made the same extra swap and failed; the other three GPT models only flattened the registers and passed.</t>
        </is>
      </c>
      <c r="H208" s="14" t="n">
        <v>3</v>
      </c>
    </row>
    <row r="209">
      <c r="A209" s="17" t="inlineStr">
        <is>
          <t>Runtime error</t>
        </is>
      </c>
      <c r="B209" s="14" t="inlineStr">
        <is>
          <t>issue_453</t>
        </is>
      </c>
      <c r="C209" s="14" t="inlineStr">
        <is>
          <t>0.45.0, 0.45.1, 0.45.2, 0.45.3, 0.46.0, 0.46.1, 0.46.2, 0.46.3, 1.0.0, 1.0.1, 1.0.2, 1.1.0, 1.1.1, 1.1.2, 1.2.0, 1.2.1, 1.2.2, 1.2.4, 2.0.0, 2.2.0, 2.3.0, 2.4.0, 2.5.0</t>
        </is>
      </c>
      <c r="D209" s="14" t="n">
        <v>23</v>
      </c>
      <c r="E209" s="14" t="inlineStr">
        <is>
          <t>AttributeError</t>
        </is>
      </c>
      <c r="F209" s="14" t="inlineStr">
        <is>
          <t>AttributeError: 'QuantumCircuit' object has no attribute 'compose_with_auto_ancillas'</t>
        </is>
      </c>
      <c r="G209" s="14" t="inlineStr">
        <is>
          <t>The LLM added an ancilla register to the target circuit by hand and mapped qc1's ancillas onto it, instead of adding ancillas automatically as the user asked; the test also calls the reference answer's helper compose_with_auto_ancillas() by name (AttributeError). Over-specific test, and no updated test exists for this case; every model so far fails it.</t>
        </is>
      </c>
      <c r="H209" s="14" t="n">
        <v>3</v>
      </c>
    </row>
    <row r="210">
      <c r="A210" s="16" t="inlineStr">
        <is>
          <t>Failed on test</t>
        </is>
      </c>
      <c r="B210" s="14" t="inlineStr">
        <is>
          <t>issue_468</t>
        </is>
      </c>
      <c r="C210" s="14" t="inlineStr">
        <is>
          <t>0.25.0, 0.25.1, 0.25.2, 0.25.3</t>
        </is>
      </c>
      <c r="D210" s="14" t="n">
        <v>4</v>
      </c>
      <c r="E210" s="14" t="inlineStr">
        <is>
          <t>AssertionError</t>
        </is>
      </c>
      <c r="F210" s="14" t="inlineStr">
        <is>
          <t>AssertionError: Expected one actual commutator call</t>
        </is>
      </c>
      <c r="G210" s="14" t="inlineStr">
        <is>
          <t>The LLM dropped Aqua's legacy commutator() and defined its own commutator(A, B) = AB - BA with quantum_info Operators, so the script computes the commutator, but the test checks that Qiskit's commutator() is actually called ('Expected one actual commutator call'). The GPT models kept Aqua's commutator() and crashed with the wrong operator types.</t>
        </is>
      </c>
      <c r="H210" s="14" t="n">
        <v>3</v>
      </c>
    </row>
    <row r="211">
      <c r="A211" s="16" t="inlineStr">
        <is>
          <t>Failed on test</t>
        </is>
      </c>
      <c r="B211" s="14" t="inlineStr">
        <is>
          <t>issue_497</t>
        </is>
      </c>
      <c r="C211" s="14" t="inlineStr">
        <is>
          <t>0.25.0, 0.25.1, 0.25.2, 0.25.3</t>
        </is>
      </c>
      <c r="D211" s="14" t="n">
        <v>4</v>
      </c>
      <c r="E211" s="14" t="inlineStr">
        <is>
          <t>AssertionError</t>
        </is>
      </c>
      <c r="F211" s="14" t="inlineStr">
        <is>
          <t>AssertionError: 2 != 1 : The local expectation batch should use one backend submission</t>
        </is>
      </c>
      <c r="G211" s="14" t="inlineStr">
        <is>
          <t>The LLM only added the missing IBMQJobManager import and kept the two expectation values as separate evaluations, so the test sees two backend submissions instead of one batched job (2 != 1). gpt-5.6-luna batched them into one CircuitSampler call and passed.</t>
        </is>
      </c>
      <c r="H211" s="14" t="n">
        <v>3</v>
      </c>
    </row>
    <row r="212">
      <c r="A212" s="15" t="inlineStr">
        <is>
          <t>Passed on test</t>
        </is>
      </c>
      <c r="B212" s="14" t="inlineStr">
        <is>
          <t>issue_504</t>
        </is>
      </c>
      <c r="C212" s="14" t="inlineStr">
        <is>
          <t>0.45.0, 0.45.1, 0.45.2, 0.45.3, 0.46.0, 0.46.1, 0.46.2, 0.46.3, 1.0.0, 1.0.1, 1.0.2, 1.1.0, 1.1.1, 1.1.2, 1.2.0, 1.2.1, 1.2.2, 1.2.4, 2.0.0, 2.2.0, 2.3.0, 2.4.0, 2.5.0</t>
        </is>
      </c>
      <c r="D212" s="14" t="n">
        <v>23</v>
      </c>
      <c r="E212" s="14" t="n"/>
      <c r="F212" s="14" t="n"/>
      <c r="G212" s="14" t="inlineStr">
        <is>
          <t>The LLM created the register once as qr and used it everywhere instead of a new QuantumRegister(n) on each call, and ran the transpiled circuit with backend.run() instead of treating transpile()'s output as a job (the same fix as the GPT models).</t>
        </is>
      </c>
      <c r="H212" s="14" t="n">
        <v>4</v>
      </c>
    </row>
    <row r="213">
      <c r="A213" s="15" t="inlineStr">
        <is>
          <t>Passed on test</t>
        </is>
      </c>
      <c r="B213" s="14" t="inlineStr">
        <is>
          <t>issue_505</t>
        </is>
      </c>
      <c r="C213" s="14" t="inlineStr">
        <is>
          <t>0.45.0, 0.45.1, 0.45.2, 0.45.3, 0.46.0, 0.46.1, 0.46.2, 0.46.3</t>
        </is>
      </c>
      <c r="D213" s="14" t="n">
        <v>8</v>
      </c>
      <c r="E213" s="14" t="n"/>
      <c r="F213" s="14" t="n"/>
      <c r="G213" s="14" t="inlineStr">
        <is>
          <t>The LLM cast x to a Python float, so the operator handles the scalar multiplication instead of NumPy, the same cast as the reference (same code as gpt-5.6-luna).</t>
        </is>
      </c>
      <c r="H213" s="14" t="n">
        <v>4</v>
      </c>
    </row>
    <row r="214">
      <c r="A214" s="17" t="inlineStr">
        <is>
          <t>Runtime error</t>
        </is>
      </c>
      <c r="B214" s="14" t="inlineStr">
        <is>
          <t>issue_565</t>
        </is>
      </c>
      <c r="C214" s="14" t="inlineStr">
        <is>
          <t>0.25.0, 0.25.1, 0.25.2, 0.25.3</t>
        </is>
      </c>
      <c r="D214" s="14" t="n">
        <v>4</v>
      </c>
      <c r="E214" s="14" t="inlineStr">
        <is>
          <t>Timeout</t>
        </is>
      </c>
      <c r="F214" s="14" t="inlineStr">
        <is>
          <t>120 second timeout</t>
        </is>
      </c>
      <c r="G214" s="14" t="inlineStr">
        <is>
          <t>Error (timeout): the LLM wrapped each mixer Operator in Aqua's PrimitiveOp before building the SummedOp, which removes the crash both luna models hit, but building the QAOA circuits doesn't finish within 120 seconds on any version (2 runs, the second with a single worker). gpt-6-astra and gpt-6.1-sol, which wrapped them in MatrixOp, timed out the same way.</t>
        </is>
      </c>
      <c r="H214" s="14" t="n">
        <v>4</v>
      </c>
    </row>
    <row r="215">
      <c r="A215" s="15" t="inlineStr">
        <is>
          <t>Passed on test</t>
        </is>
      </c>
      <c r="B215" s="14" t="inlineStr">
        <is>
          <t>issue_595</t>
        </is>
      </c>
      <c r="C215" s="14" t="inlineStr">
        <is>
          <t>0.45.0, 0.45.1, 0.45.2, 0.45.3, 0.46.0, 0.46.1, 0.46.2, 0.46.3, 1.0.0, 1.0.1, 1.0.2, 1.1.0, 1.1.1, 1.1.2, 1.2.0, 1.2.1, 1.2.2, 1.2.4, 2.0.0, 2.2.0, 2.3.0, 2.4.0, 2.5.0</t>
        </is>
      </c>
      <c r="D215" s="14" t="n">
        <v>23</v>
      </c>
      <c r="E215" s="14" t="n"/>
      <c r="F215" s="14" t="n"/>
      <c r="G215" s="14" t="inlineStr">
        <is>
          <t>The LLM selected AerSimulator(method='unitary') and added circ.save_unitary() (the same fix as gpt-6.1-sol and gpt-6-astra).</t>
        </is>
      </c>
      <c r="H215" s="14" t="n">
        <v>4</v>
      </c>
    </row>
    <row r="216">
      <c r="A216" s="15" t="inlineStr">
        <is>
          <t>Passed on test</t>
        </is>
      </c>
      <c r="B216" s="14" t="inlineStr">
        <is>
          <t>issue_596</t>
        </is>
      </c>
      <c r="C216" s="14" t="inlineStr">
        <is>
          <t>0.25.0, 0.25.1, 0.25.2, 0.25.3, 0.45.0, 0.45.1, 0.45.2, 0.45.3, 0.46.0, 0.46.1, 0.46.2, 0.46.3</t>
        </is>
      </c>
      <c r="D216" s="14" t="n">
        <v>12</v>
      </c>
      <c r="E216" s="14" t="n"/>
      <c r="F216" s="14" t="n"/>
      <c r="G216" s="14" t="inlineStr">
        <is>
          <t>The LLM gave the input parameters and the theta parameters separate counters (if / else instead of the endless while loop and the k = 0 reset) and kept the bound circuit with qc = qc.assign_parameters(bind_dict), so no parameters are left unbound.</t>
        </is>
      </c>
      <c r="H216" s="14" t="n">
        <v>4</v>
      </c>
    </row>
    <row r="217">
      <c r="A217" s="15" t="inlineStr">
        <is>
          <t>Passed on test</t>
        </is>
      </c>
      <c r="B217" s="14" t="inlineStr">
        <is>
          <t>issue_600</t>
        </is>
      </c>
      <c r="C217" s="14" t="inlineStr">
        <is>
          <t>0.45.0, 0.45.1, 0.45.2, 0.45.3, 0.46.0, 0.46.1, 0.46.2, 0.46.3</t>
        </is>
      </c>
      <c r="D217" s="14" t="n">
        <v>8</v>
      </c>
      <c r="E217" s="14" t="n"/>
      <c r="F217" s="14" t="n"/>
      <c r="G217" s="14" t="inlineStr">
        <is>
          <t>Error on 0.25.x, passed on 0.45.x / 0.46.x: the LLM replaced PauliGate(...).power(param) with RXXGate / RYYGate / RZZGate(pi * param), which is correct up to a global phase, but kept the PauliGate import, which doesn't exist in Qiskit 0.25 (ImportError). Same code as gpt-6-luna; gpt-6.1-sol and gpt-6-astra removed the import and passed on all 12 versions.</t>
        </is>
      </c>
      <c r="H217" s="14" t="n">
        <v>4</v>
      </c>
    </row>
    <row r="218">
      <c r="A218" s="17" t="inlineStr">
        <is>
          <t>Runtime error</t>
        </is>
      </c>
      <c r="B218" s="14" t="inlineStr">
        <is>
          <t>issue_600</t>
        </is>
      </c>
      <c r="C218" s="14" t="inlineStr">
        <is>
          <t>0.25.0, 0.25.1, 0.25.2, 0.25.3</t>
        </is>
      </c>
      <c r="D218" s="14" t="n">
        <v>4</v>
      </c>
      <c r="E218" s="14" t="inlineStr">
        <is>
          <t>ImportError</t>
        </is>
      </c>
      <c r="F218" s="14" t="inlineStr">
        <is>
          <t>ImportError: cannot import name 'PauliGate' from 'qiskit.circuit.library' (C:\qiskit_envs\q0250\lib\site-packages\qiskit\circuit\library\__init__.py)</t>
        </is>
      </c>
      <c r="G218" s="14" t="inlineStr">
        <is>
          <t>Error on 0.25.x, passed on 0.45.x / 0.46.x: the LLM replaced PauliGate(...).power(param) with RXXGate / RYYGate / RZZGate(pi * param), which is correct up to a global phase, but kept the PauliGate import, which doesn't exist in Qiskit 0.25 (ImportError). Same code as gpt-6-luna; gpt-6.1-sol and gpt-6-astra removed the import and passed on all 12 versions.</t>
        </is>
      </c>
      <c r="H218" s="14" t="n">
        <v>4</v>
      </c>
    </row>
    <row r="219">
      <c r="A219" s="15" t="inlineStr">
        <is>
          <t>Passed on test</t>
        </is>
      </c>
      <c r="B219" s="14" t="inlineStr">
        <is>
          <t>issue_622</t>
        </is>
      </c>
      <c r="C219" s="14" t="inlineStr">
        <is>
          <t>0.25.0, 0.25.1, 0.25.2, 0.25.3, 0.45.0, 0.45.1, 0.45.2, 0.45.3, 0.46.0, 0.46.1, 0.46.2, 0.46.3</t>
        </is>
      </c>
      <c r="D219" s="14" t="n">
        <v>12</v>
      </c>
      <c r="E219" s="14" t="n"/>
      <c r="F219" s="14" t="n"/>
      <c r="G219" s="14" t="inlineStr">
        <is>
          <t>The LLM swapped the 1-qubit FakeArmonk for the 5-qubit FakeVigo and kept import qiskit, so the Bell circuit runs. The updated test allows the fake device's noise (same code as gpt-6.1-sol and gpt-6-astra).</t>
        </is>
      </c>
      <c r="H219" s="14" t="n">
        <v>4</v>
      </c>
    </row>
    <row r="220">
      <c r="A220" s="15" t="inlineStr">
        <is>
          <t>Passed on test</t>
        </is>
      </c>
      <c r="B220" s="14" t="inlineStr">
        <is>
          <t>issue_624</t>
        </is>
      </c>
      <c r="C220" s="14" t="inlineStr">
        <is>
          <t>0.25.0, 0.25.1, 0.25.2, 0.25.3, 0.45.0, 0.45.1, 0.45.2, 0.45.3, 0.46.0, 0.46.1, 0.46.2, 0.46.3</t>
        </is>
      </c>
      <c r="D220" s="14" t="n">
        <v>12</v>
      </c>
      <c r="E220" s="14" t="n"/>
      <c r="F220" s="14" t="n"/>
      <c r="G220" s="14" t="inlineStr">
        <is>
          <t>The LLM converted the circuit into a Pauli operator with PauliSumOp(SparsePauliOp.from_operator(Operator(H))) before compute_minimum_eigenvalue() (the same idea as gpt-6.1-sol and gpt-6-astra, written differently). Both luna models crashed.</t>
        </is>
      </c>
      <c r="H220" s="14" t="n">
        <v>4</v>
      </c>
    </row>
    <row r="221">
      <c r="A221" s="17" t="inlineStr">
        <is>
          <t>Runtime error</t>
        </is>
      </c>
      <c r="B221" s="14" t="inlineStr">
        <is>
          <t>issue_635</t>
        </is>
      </c>
      <c r="C221" s="14" t="inlineStr">
        <is>
          <t>0.25.0, 0.25.1, 0.25.2, 0.25.3</t>
        </is>
      </c>
      <c r="D221" s="14" t="n">
        <v>4</v>
      </c>
      <c r="E221" s="14" t="inlineStr">
        <is>
          <t>AttributeError</t>
        </is>
      </c>
      <c r="F221" s="14" t="inlineStr">
        <is>
          <t>AttributeError: 'QuantumCircuit' object has no attribute 'if_test'</t>
        </is>
      </c>
      <c r="G221" s="14" t="inlineStr">
        <is>
          <t>The LLM nested two qc.if_test() blocks so both X gates need c[0] = 1 and c[1] = 1, which is the logic the question asks for, but if_test() doesn't exist in Qiskit 0.25, the only versions this case runs on (AttributeError). Same code as gpt-6-astra; gpt-6.1-sol's c_if(c, 3) / c_if(c, 7) is the only passing fix so far.</t>
        </is>
      </c>
      <c r="H221" s="14" t="n">
        <v>4</v>
      </c>
    </row>
    <row r="222">
      <c r="A222" s="15" t="inlineStr">
        <is>
          <t>Passed on test</t>
        </is>
      </c>
      <c r="B222" s="14" t="inlineStr">
        <is>
          <t>issue_662</t>
        </is>
      </c>
      <c r="C222" s="14" t="inlineStr">
        <is>
          <t>0.45.0, 0.45.1, 0.45.2, 0.45.3, 0.46.0, 0.46.1, 0.46.2, 0.46.3, 1.0.0, 1.0.1, 1.0.2, 1.1.0, 1.1.1, 1.1.2, 1.2.0, 1.2.1, 1.2.2, 1.2.4, 2.0.0, 2.2.0, 2.3.0, 2.4.0, 2.5.0</t>
        </is>
      </c>
      <c r="D222" s="14" t="n">
        <v>23</v>
      </c>
      <c r="E222" s="14" t="n"/>
      <c r="F222" s="14" t="n"/>
      <c r="G222" s="14" t="inlineStr">
        <is>
          <t>The LLM counted gates over dag.op_nodes() and replaced the node.type check with isinstance(node, DAGOpNode) (the same idea as gpt-6.1-sol and gpt-6-astra, which dropped the check). Both luna models kept node.type and crashed.</t>
        </is>
      </c>
      <c r="H222" s="14" t="n">
        <v>4</v>
      </c>
    </row>
    <row r="223">
      <c r="A223" s="15" t="inlineStr">
        <is>
          <t>Passed on test</t>
        </is>
      </c>
      <c r="B223" s="14" t="inlineStr">
        <is>
          <t>issue_663</t>
        </is>
      </c>
      <c r="C223" s="14" t="inlineStr">
        <is>
          <t>0.45.0, 0.45.1, 0.45.2, 0.45.3, 0.46.0, 0.46.1, 0.46.2, 0.46.3</t>
        </is>
      </c>
      <c r="D223" s="14" t="n">
        <v>8</v>
      </c>
      <c r="E223" s="14" t="n"/>
      <c r="F223" s="14" t="n"/>
      <c r="G223" s="14" t="inlineStr">
        <is>
          <t>The LLM measured every qubit into its classical bit, so the counts are no longer always 000; it also moved Aer to qiskit_aer and replaced execute() with backend.run(transpile(...)), which works on the 0.45 / 0.46 versions this case runs on.</t>
        </is>
      </c>
      <c r="H223" s="14" t="n">
        <v>5</v>
      </c>
    </row>
    <row r="224">
      <c r="A224" s="15" t="inlineStr">
        <is>
          <t>Passed on test</t>
        </is>
      </c>
      <c r="B224" s="14" t="inlineStr">
        <is>
          <t>issue_671</t>
        </is>
      </c>
      <c r="C224" s="14" t="inlineStr">
        <is>
          <t>0.25.0, 0.25.1, 0.25.2, 0.25.3, 0.45.0, 0.45.1, 0.45.2, 0.45.3, 0.46.0, 0.46.1, 0.46.2, 0.46.3, 1.0.0, 1.0.1, 1.0.2, 1.1.0, 1.1.1, 1.1.2, 1.2.0, 1.2.1, 1.2.2, 1.2.4, 2.0.0, 2.2.0, 2.3.0, 2.4.0, 2.5.0</t>
        </is>
      </c>
      <c r="D224" s="14" t="n">
        <v>27</v>
      </c>
      <c r="E224" s="14" t="n"/>
      <c r="F224" s="14" t="n"/>
      <c r="G224" s="14" t="inlineStr">
        <is>
          <t>QuantumCircuit(a, *v, b) unpacks the list of registers, which builds exactly the registers the question asks for. The updated test checks the registers, not the answer's example gates (same code as all four GPT models).</t>
        </is>
      </c>
      <c r="H224" s="14" t="n">
        <v>5</v>
      </c>
    </row>
    <row r="225">
      <c r="A225" s="15" t="inlineStr">
        <is>
          <t>Passed on test</t>
        </is>
      </c>
      <c r="B225" s="14" t="inlineStr">
        <is>
          <t>issue_727</t>
        </is>
      </c>
      <c r="C225" s="14" t="inlineStr">
        <is>
          <t>0.25.0, 0.25.1, 0.25.2, 0.25.3, 0.45.0, 0.45.1, 0.45.2, 0.45.3, 0.46.0, 0.46.1, 0.46.2, 0.46.3</t>
        </is>
      </c>
      <c r="D225" s="14" t="n">
        <v>12</v>
      </c>
      <c r="E225" s="14" t="n"/>
      <c r="F225" s="14" t="n"/>
      <c r="G225" s="14" t="inlineStr">
        <is>
          <t>The LLM wrote 2 ** k as numpy.exp(k * numpy.log(2)), which works with a symbolic Parameter (the same idea as gpt-6.1-sol and gpt-6-astra).</t>
        </is>
      </c>
      <c r="H225" s="14" t="n">
        <v>5</v>
      </c>
    </row>
    <row r="226">
      <c r="A226" s="15" t="inlineStr">
        <is>
          <t>Passed on test</t>
        </is>
      </c>
      <c r="B226" s="14" t="inlineStr">
        <is>
          <t>issue_742</t>
        </is>
      </c>
      <c r="C226" s="14" t="inlineStr">
        <is>
          <t>1.1.0, 1.1.1, 1.1.2, 1.2.0, 1.2.1, 1.2.2, 1.2.4, 2.0.0, 2.2.0, 2.3.0, 2.4.0, 2.5.0</t>
        </is>
      </c>
      <c r="D226" s="14" t="n">
        <v>12</v>
      </c>
      <c r="E226" s="14" t="n"/>
      <c r="F226" s="14" t="n"/>
      <c r="G226" s="14" t="inlineStr">
        <is>
          <t>The LLM converted the Operator observable with SparsePauliOp.from_operator(O) (same code as all four GPT models).</t>
        </is>
      </c>
      <c r="H226" s="14" t="n">
        <v>5</v>
      </c>
    </row>
    <row r="227">
      <c r="A227" s="15" t="inlineStr">
        <is>
          <t>Passed on test</t>
        </is>
      </c>
      <c r="B227" s="14" t="inlineStr">
        <is>
          <t>issue_747</t>
        </is>
      </c>
      <c r="C227" s="14" t="inlineStr">
        <is>
          <t>0.45.0, 0.45.1, 0.45.2, 0.45.3, 0.46.0, 0.46.1, 0.46.2, 0.46.3</t>
        </is>
      </c>
      <c r="D227" s="14" t="n">
        <v>8</v>
      </c>
      <c r="E227" s="14" t="n"/>
      <c r="F227" s="14" t="n"/>
      <c r="G227" s="14" t="inlineStr">
        <is>
          <t>The LLM measured the three qubits into the existing classical register, so the count keys are 000 / 111 (same code as gpt-6-astra).</t>
        </is>
      </c>
      <c r="H227" s="14" t="n">
        <v>5</v>
      </c>
    </row>
    <row r="228">
      <c r="A228" s="15" t="inlineStr">
        <is>
          <t>Passed on test</t>
        </is>
      </c>
      <c r="B228" s="14" t="inlineStr">
        <is>
          <t>issue_750</t>
        </is>
      </c>
      <c r="C228" s="14" t="inlineStr">
        <is>
          <t>0.45.0, 0.45.1, 0.45.2, 0.45.3, 0.46.0, 0.46.1, 0.46.2, 0.46.3, 1.0.0, 1.0.1, 1.0.2, 1.1.0, 1.1.1, 1.1.2, 1.2.0, 1.2.1, 1.2.2, 1.2.4, 2.0.0, 2.2.0, 2.3.0, 2.4.0, 2.5.0</t>
        </is>
      </c>
      <c r="D228" s="14" t="n">
        <v>23</v>
      </c>
      <c r="E228" s="14" t="n"/>
      <c r="F228" s="14" t="n"/>
      <c r="G228" s="14" t="inlineStr">
        <is>
          <t>The LLM passed the label positionally, Pauli('XZ'), because the label= keyword no longer exists (same code as gpt-6.1-sol and gpt-6-astra). Both luna models answered that there is no bug and crashed.</t>
        </is>
      </c>
      <c r="H228" s="14" t="n">
        <v>5</v>
      </c>
    </row>
    <row r="229">
      <c r="A229" s="17" t="inlineStr">
        <is>
          <t>Runtime error</t>
        </is>
      </c>
      <c r="B229" s="14" t="inlineStr">
        <is>
          <t>issue_769</t>
        </is>
      </c>
      <c r="C229" s="14" t="inlineStr">
        <is>
          <t>1.0.0, 1.0.1, 1.0.2, 1.1.0, 1.1.1, 1.1.2, 1.2.0, 1.2.1, 1.2.2, 1.2.4, 2.0.0, 2.2.0, 2.3.0, 2.4.0, 2.5.0</t>
        </is>
      </c>
      <c r="D229" s="14" t="n">
        <v>15</v>
      </c>
      <c r="E229" s="14" t="inlineStr">
        <is>
          <t>KeyError</t>
        </is>
      </c>
      <c r="F229" s="14" t="inlineStr">
        <is>
          <t>KeyError: 'get_qiskit_gate'</t>
        </is>
      </c>
      <c r="G229" s="14" t="inlineStr">
        <is>
          <t>The LLM only moved the UnitaryGate import from the removed qiskit.extensions to qiskit.circuit.library and did not write the general matrix-to-gate matcher the user asked for; the test also calls the reference answer's function get_qiskit_gate() by name (KeyError). Over-specific test, and no updated test exists for this case; every model so far fails it.</t>
        </is>
      </c>
      <c r="H229" s="14" t="n">
        <v>5</v>
      </c>
    </row>
    <row r="230">
      <c r="A230" s="15" t="inlineStr">
        <is>
          <t>Passed on test</t>
        </is>
      </c>
      <c r="B230" s="14" t="inlineStr">
        <is>
          <t>issue_773</t>
        </is>
      </c>
      <c r="C230" s="14" t="inlineStr">
        <is>
          <t>0.45.0, 0.45.1, 0.45.2, 0.45.3, 0.46.0, 0.46.1, 0.46.2, 0.46.3</t>
        </is>
      </c>
      <c r="D230" s="14" t="n">
        <v>8</v>
      </c>
      <c r="E230" s="14" t="n"/>
      <c r="F230" s="14" t="n"/>
      <c r="G230" s="14" t="inlineStr">
        <is>
          <t>The LLM removed the IBMQ job_monitor import that shadowed the general one (same code as all four GPT models).</t>
        </is>
      </c>
      <c r="H230" s="14" t="n">
        <v>5</v>
      </c>
    </row>
    <row r="231">
      <c r="A231" s="15" t="inlineStr">
        <is>
          <t>Passed on test</t>
        </is>
      </c>
      <c r="B231" s="14" t="inlineStr">
        <is>
          <t>issue_775</t>
        </is>
      </c>
      <c r="C231" s="14" t="inlineStr">
        <is>
          <t>0.45.0, 0.45.1, 0.45.2, 0.45.3, 0.46.0, 0.46.1, 0.46.2, 0.46.3</t>
        </is>
      </c>
      <c r="D231" s="14" t="n">
        <v>8</v>
      </c>
      <c r="E231" s="14" t="n"/>
      <c r="F231" s="14" t="n"/>
      <c r="G231" s="14" t="inlineStr">
        <is>
          <t>Error on 0.25.x, passed on 0.45.x / 0.46.x: the LLM parsed the OpenQASM string with QuantumCircuit.from_qasm_str() and ran it with backend.run(transpile(...)), which is the fix, but it also moved Aer to qiskit_aer; the Aer 0.8 that comes with Qiskit 0.25 can only be imported as qiskit.providers.aer (ModuleNotFoundError). The GPT models kept execute() and Aer from qiskit and passed on all 12 versions.</t>
        </is>
      </c>
      <c r="H231" s="14" t="n">
        <v>5</v>
      </c>
    </row>
    <row r="232">
      <c r="A232" s="17" t="inlineStr">
        <is>
          <t>Runtime error</t>
        </is>
      </c>
      <c r="B232" s="14" t="inlineStr">
        <is>
          <t>issue_775</t>
        </is>
      </c>
      <c r="C232" s="14" t="inlineStr">
        <is>
          <t>0.25.0, 0.25.1, 0.25.2, 0.25.3</t>
        </is>
      </c>
      <c r="D232" s="14" t="n">
        <v>4</v>
      </c>
      <c r="E232" s="14" t="inlineStr">
        <is>
          <t>ModuleNotFoundError</t>
        </is>
      </c>
      <c r="F232" s="14" t="inlineStr">
        <is>
          <t>ModuleNotFoundError: No module named 'qiskit_aer'</t>
        </is>
      </c>
      <c r="G232" s="14" t="inlineStr">
        <is>
          <t>Error on 0.25.x, passed on 0.45.x / 0.46.x: the LLM parsed the OpenQASM string with QuantumCircuit.from_qasm_str() and ran it with backend.run(transpile(...)), which is the fix, but it also moved Aer to qiskit_aer; the Aer 0.8 that comes with Qiskit 0.25 can only be imported as qiskit.providers.aer (ModuleNotFoundError). The GPT models kept execute() and Aer from qiskit and passed on all 12 versions.</t>
        </is>
      </c>
      <c r="H232" s="14" t="n">
        <v>5</v>
      </c>
    </row>
    <row r="233">
      <c r="A233" s="15" t="inlineStr">
        <is>
          <t>Passed on test</t>
        </is>
      </c>
      <c r="B233" s="14" t="inlineStr">
        <is>
          <t>issue_795</t>
        </is>
      </c>
      <c r="C233" s="14" t="inlineStr">
        <is>
          <t>0.25.0, 0.25.1, 0.25.2, 0.25.3, 0.45.0, 0.45.1, 0.45.2, 0.45.3, 0.46.0, 0.46.1, 0.46.2, 0.46.3</t>
        </is>
      </c>
      <c r="D233" s="14" t="n">
        <v>12</v>
      </c>
      <c r="E233" s="14" t="n"/>
      <c r="F233" s="14" t="n"/>
      <c r="G233" s="14" t="inlineStr">
        <is>
          <t>The LLM rebuilt I, X, Y, Z as SparsePauliOps and appended the operator's matrix with circuit.unitary(..., [0]), so to_gate() succeeds (the same idea as the GPT models, which kept opflow and used to_matrix()).</t>
        </is>
      </c>
      <c r="H233" s="14" t="n">
        <v>5</v>
      </c>
    </row>
    <row r="234">
      <c r="A234" s="16" t="inlineStr">
        <is>
          <t>Failed on test</t>
        </is>
      </c>
      <c r="B234" s="14" t="inlineStr">
        <is>
          <t>issue_803</t>
        </is>
      </c>
      <c r="C234" s="14" t="inlineStr">
        <is>
          <t>0.25.0, 0.25.1, 0.25.2, 0.25.3</t>
        </is>
      </c>
      <c r="D234" s="14" t="n">
        <v>4</v>
      </c>
      <c r="E234" s="14" t="inlineStr">
        <is>
          <t>AssertionError</t>
        </is>
      </c>
      <c r="F234" s="14" t="inlineStr">
        <is>
          <t>ValueError: The truth value of an array with more than one element is ambiguous. Use a.any() or a.all(); AssertionError: array([list([45, 55]), list([100]), list([100])], dtype=object) is not an instance of &lt;class 'list'&gt;</t>
        </is>
      </c>
      <c r="G234" s="14"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H234" s="14" t="n">
        <v>6</v>
      </c>
    </row>
    <row r="235">
      <c r="A235" s="17" t="inlineStr">
        <is>
          <t>Runtime error</t>
        </is>
      </c>
      <c r="B235" s="14" t="inlineStr">
        <is>
          <t>issue_803</t>
        </is>
      </c>
      <c r="C235" s="14" t="inlineStr">
        <is>
          <t>0.45.0, 0.45.1, 0.45.2, 0.45.3, 0.46.0, 0.46.1, 0.46.2, 0.46.3</t>
        </is>
      </c>
      <c r="D235" s="14" t="n">
        <v>8</v>
      </c>
      <c r="E235" s="14" t="inlineStr">
        <is>
          <t>ValueError</t>
        </is>
      </c>
      <c r="F235" s="14"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G235" s="14" t="inlineStr">
        <is>
          <t>Error on 0.45.x / 0.46.x, failed on 0.25.x: the LLM turned each count dictionary into a key-sorted list of values inside a NumPy array, which loses the outcome keys; the test wants one counts dictionary per circuit, and newer NumPy refuses the ragged array (ValueError). Every model so far fails this case.</t>
        </is>
      </c>
      <c r="H235" s="14" t="n">
        <v>6</v>
      </c>
    </row>
    <row r="236">
      <c r="A236" s="16" t="inlineStr">
        <is>
          <t>Failed on test</t>
        </is>
      </c>
      <c r="B236" s="14" t="inlineStr">
        <is>
          <t>issue_810</t>
        </is>
      </c>
      <c r="C236" s="14" t="inlineStr">
        <is>
          <t>0.45.1, 0.46.2</t>
        </is>
      </c>
      <c r="D236" s="14" t="n">
        <v>2</v>
      </c>
      <c r="E236" s="14" t="inlineStr">
        <is>
          <t>AssertionError</t>
        </is>
      </c>
      <c r="F236" s="14" t="inlineStr">
        <is>
          <t>AssertionError: [] is not true : no raw counts dictionary</t>
        </is>
      </c>
      <c r="G236" s="14" t="inlineStr">
        <is>
          <t>The LLM enabled memory=True and returned the per-shot list job.result().get_memory() instead of a counts dictionary; the updated test, which accepts any variable name and shot count, finds no raw counts dictionary. gpt-6.1-sol and gpt-6-astra did the same; both luna models used get_counts() and passed.</t>
        </is>
      </c>
      <c r="H236" s="14" t="n">
        <v>6</v>
      </c>
    </row>
    <row r="237">
      <c r="A237" s="15" t="inlineStr">
        <is>
          <t>Passed on test</t>
        </is>
      </c>
      <c r="B237" s="14" t="inlineStr">
        <is>
          <t>issue_816</t>
        </is>
      </c>
      <c r="C237" s="14" t="inlineStr">
        <is>
          <t>0.45.0, 0.45.1, 0.45.2, 0.45.3, 0.46.0, 0.46.1, 0.46.2, 0.46.3, 1.0.0, 1.0.1, 1.0.2, 1.1.0, 1.1.1, 1.1.2, 1.2.0, 1.2.1, 1.2.2, 1.2.4, 2.0.0, 2.2.0, 2.3.0, 2.4.0, 2.5.0</t>
        </is>
      </c>
      <c r="D237" s="14" t="n">
        <v>23</v>
      </c>
      <c r="E237" s="14" t="n"/>
      <c r="F237" s="14" t="n"/>
      <c r="G237" s="14" t="inlineStr">
        <is>
          <t>The LLM passed memory=True to simulator.run() (same code as all four GPT models).</t>
        </is>
      </c>
      <c r="H237" s="14" t="n">
        <v>6</v>
      </c>
    </row>
    <row r="238">
      <c r="A238" s="17" t="inlineStr">
        <is>
          <t>Runtime error</t>
        </is>
      </c>
      <c r="B238" s="14" t="inlineStr">
        <is>
          <t>issue_876</t>
        </is>
      </c>
      <c r="C238" s="14" t="inlineStr">
        <is>
          <t>1.0.0, 1.0.1, 1.0.2, 1.1.0, 1.1.1, 1.1.2, 1.2.0, 1.2.1, 1.2.2, 1.2.4, 2.0.0, 2.2.0, 2.3.0, 2.4.0, 2.5.0</t>
        </is>
      </c>
      <c r="D238" s="14" t="n">
        <v>15</v>
      </c>
      <c r="E238" s="14" t="inlineStr">
        <is>
          <t>KeyError</t>
        </is>
      </c>
      <c r="F238" s="14" t="inlineStr">
        <is>
          <t>KeyError: 'rho_real'</t>
        </is>
      </c>
      <c r="G238" s="14" t="inlineStr">
        <is>
          <t>The LLM saved the density matrix of the 6 logical qubits (using the transpiled circuit's final layout) and read it from the result, but it runs the noisy-device circuit on a noiseless AerSimulator, stores the result in statevector_real, and the test reads the reference's variable rho_real (KeyError). No updated test exists for this case; every model so far fails it.</t>
        </is>
      </c>
      <c r="H238" s="14" t="n">
        <v>6</v>
      </c>
    </row>
    <row r="239">
      <c r="A239" s="17" t="inlineStr">
        <is>
          <t>Runtime error</t>
        </is>
      </c>
      <c r="B239" s="14" t="inlineStr">
        <is>
          <t>issue_877</t>
        </is>
      </c>
      <c r="C239" s="14" t="inlineStr">
        <is>
          <t>0.45.0, 0.45.1, 0.45.2, 0.45.3, 0.46.0, 0.46.1, 0.46.2, 0.46.3</t>
        </is>
      </c>
      <c r="D239" s="14" t="n">
        <v>8</v>
      </c>
      <c r="E239" s="14" t="inlineStr">
        <is>
          <t>ModuleNotFoundError</t>
        </is>
      </c>
      <c r="F239" s="14" t="inlineStr">
        <is>
          <t>ModuleNotFoundError: No module named 'qiskit_ibm_runtime'</t>
        </is>
      </c>
      <c r="G239" s="14" t="inlineStr">
        <is>
          <t>The LLM defined the missing backend as FakeSherbrooke from qiskit_ibm_runtime.fake_provider, a 127-qubit snapshot, but qiskit_ibm_runtime isn't installed for Qiskit 0.45 / 0.46 (ModuleNotFoundError). gpt-6-astra's FakeWashingtonV2 from the same package crashed the same way; gpt-6-luna's bundled FakeMontreal passed.</t>
        </is>
      </c>
      <c r="H239" s="14" t="n">
        <v>6</v>
      </c>
    </row>
    <row r="240">
      <c r="A240" s="15" t="inlineStr">
        <is>
          <t>Passed on test</t>
        </is>
      </c>
      <c r="B240" s="14" t="inlineStr">
        <is>
          <t>issue_886</t>
        </is>
      </c>
      <c r="C240" s="14" t="inlineStr">
        <is>
          <t>0.45.0, 0.45.1</t>
        </is>
      </c>
      <c r="D240" s="14" t="n">
        <v>2</v>
      </c>
      <c r="E240" s="14" t="n"/>
      <c r="F240" s="14" t="n"/>
      <c r="G240" s="14" t="inlineStr">
        <is>
          <t>The LLM transpiled the circuit for the qasm_simulator before running it, which decomposes the crx gate Aer can't run (same code as gpt-6.1-sol and both luna models).</t>
        </is>
      </c>
      <c r="H240" s="14" t="n">
        <v>6</v>
      </c>
    </row>
    <row r="241">
      <c r="A241" s="16" t="inlineStr">
        <is>
          <t>Failed on test</t>
        </is>
      </c>
      <c r="B241" s="14" t="inlineStr">
        <is>
          <t>issue_889</t>
        </is>
      </c>
      <c r="C241" s="14" t="inlineStr">
        <is>
          <t>0.45.0, 0.45.1, 0.45.2, 0.45.3, 0.46.0, 0.46.1, 0.46.2, 0.46.3</t>
        </is>
      </c>
      <c r="D241" s="14" t="n">
        <v>8</v>
      </c>
      <c r="E241" s="14" t="inlineStr">
        <is>
          <t>AssertionError</t>
        </is>
      </c>
      <c r="F241" s="14" t="inlineStr">
        <is>
          <t>AssertionError:</t>
        </is>
      </c>
      <c r="G241" s="14"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H241" s="14" t="n">
        <v>6</v>
      </c>
    </row>
    <row r="242">
      <c r="A242" s="17" t="inlineStr">
        <is>
          <t>Runtime error</t>
        </is>
      </c>
      <c r="B242" s="14" t="inlineStr">
        <is>
          <t>issue_889</t>
        </is>
      </c>
      <c r="C242" s="14" t="inlineStr">
        <is>
          <t>0.25.0, 0.25.1, 0.25.2, 0.25.3</t>
        </is>
      </c>
      <c r="D242" s="14" t="n">
        <v>4</v>
      </c>
      <c r="E242" s="14" t="inlineStr">
        <is>
          <t>ImportError</t>
        </is>
      </c>
      <c r="F242" s="14" t="inlineStr">
        <is>
          <t>ImportError: cannot import name 'PauliEvolutionGate' from 'qiskit.circuit.library' (C:\qiskit_envs\q0250\lib\site-packages\qiskit\circuit\library\__init__.py)</t>
        </is>
      </c>
      <c r="G242" s="14" t="inlineStr">
        <is>
          <t>Error on 0.25.x, failed on 0.45.x / 0.46.x: the LLM kept the Hamiltonian, switched PauliSumOp to SparsePauliOp and appended PauliEvolutionGate(H, time=time_). PauliEvolutionGate doesn't exist in Qiskit 0.25 (ImportError), and on 0.45 / 0.46 its default single Lie-Trotter step only approximates exp(-iHt) for the non-commuting terms, so the circuit's unitary differs from the exact evolution the test checks. Every model so far fails this case.</t>
        </is>
      </c>
      <c r="H242" s="14" t="n">
        <v>6</v>
      </c>
    </row>
    <row r="243">
      <c r="A243" s="16" t="inlineStr">
        <is>
          <t>Failed on test</t>
        </is>
      </c>
      <c r="B243" s="14" t="inlineStr">
        <is>
          <t>issue_911</t>
        </is>
      </c>
      <c r="C243" s="14" t="inlineStr">
        <is>
          <t>0.45.0, 0.45.1, 0.45.2, 0.45.3, 0.46.0, 0.46.1, 0.46.2, 0.46.3, 1.0.0, 1.0.1, 1.0.2, 1.1.0, 1.1.1, 1.1.2, 1.2.0, 1.2.1, 1.2.2, 1.2.4, 2.0.0, 2.2.0, 2.3.0, 2.4.0, 2.5.0</t>
        </is>
      </c>
      <c r="D243" s="14" t="n">
        <v>23</v>
      </c>
      <c r="E243" s="14" t="inlineStr">
        <is>
          <t>AssertionError</t>
        </is>
      </c>
      <c r="F243" s="14" t="inlineStr">
        <is>
          <t>AssertionError: Lists differ: [] != [1, 2, 0]</t>
        </is>
      </c>
      <c r="G243" s="14" t="inlineStr">
        <is>
          <t>The LLM printed the register and index with qc.find_bit() only for each gate's second qubit (guarded by len(qargs) &gt; 1), so the first qubit of every gate and all single-qubit gates are missing; the updated test, which reads the printed indices in any format, finds none it can match. gpt-6.1-sol and gpt-6-astra failed the same way; gpt-5.6-luna passed.</t>
        </is>
      </c>
      <c r="H243" s="14" t="n">
        <v>6</v>
      </c>
    </row>
    <row r="244">
      <c r="A244" s="15" t="inlineStr">
        <is>
          <t>Passed on test</t>
        </is>
      </c>
      <c r="B244" s="14" t="inlineStr">
        <is>
          <t>issue_925</t>
        </is>
      </c>
      <c r="C244" s="14" t="inlineStr">
        <is>
          <t>0.25.0, 0.25.1, 0.25.2, 0.25.3</t>
        </is>
      </c>
      <c r="D244" s="14" t="n">
        <v>4</v>
      </c>
      <c r="E244" s="14" t="n"/>
      <c r="F244" s="14" t="n"/>
      <c r="G244" s="14" t="inlineStr">
        <is>
          <t>The LLM replaced the 15-qubit FakeMelbourne with BasicAer's qasm_simulator, so the 18-qubit Shor circuit runs, the same fix as the reference. The first run timed out on all 4 versions while the machine was busy; a single-worker rerun passed on all 4. gpt-6.1-sol and gpt-6-astra answered NO BUG, gpt-5.6-luna only added a comment, and gpt-6-luna's noisy FakeTokyo simulation timed out, so it is the only model to pass this case.</t>
        </is>
      </c>
      <c r="H244" s="14" t="n">
        <v>6</v>
      </c>
    </row>
    <row r="245">
      <c r="A245" s="15" t="inlineStr">
        <is>
          <t>Passed on test</t>
        </is>
      </c>
      <c r="B245" s="14" t="inlineStr">
        <is>
          <t>issue_944</t>
        </is>
      </c>
      <c r="C245" s="14" t="inlineStr">
        <is>
          <t>0.25.0, 0.25.1, 0.25.2, 0.25.3, 0.45.0, 0.45.1, 0.45.2, 0.45.3, 0.46.0, 0.46.1, 0.46.2, 0.46.3</t>
        </is>
      </c>
      <c r="D245" s="14" t="n">
        <v>12</v>
      </c>
      <c r="E245" s="14" t="n"/>
      <c r="F245" s="14" t="n"/>
      <c r="G245" s="14" t="inlineStr">
        <is>
          <t>The LLM built the projector |+&gt;&lt;+| as MatrixOp(Plus.to_density_matrix()) and wrapped the eigensolver's operator in MatrixOp. The updated test accepts any operator type (the same idea as gpt-6.1-sol and gpt-6-astra).</t>
        </is>
      </c>
      <c r="H245" s="14" t="n">
        <v>6</v>
      </c>
    </row>
    <row r="246">
      <c r="A246" s="15" t="inlineStr">
        <is>
          <t>Passed on test</t>
        </is>
      </c>
      <c r="B246" s="14" t="inlineStr">
        <is>
          <t>issue_950</t>
        </is>
      </c>
      <c r="C246" s="14" t="inlineStr">
        <is>
          <t>0.25.0, 0.25.1, 0.25.2, 0.25.3, 0.45.0, 0.45.1, 0.45.2, 0.45.3, 0.46.0, 0.46.1, 0.46.2, 0.46.3, 1.0.0, 1.0.1, 1.0.2, 1.1.0, 1.1.1, 1.1.2, 1.2.0, 1.2.1, 1.2.2, 1.2.4, 2.0.0, 2.2.0, 2.3.0, 2.4.0, 2.5.0</t>
        </is>
      </c>
      <c r="D246" s="14" t="n">
        <v>27</v>
      </c>
      <c r="E246" s="14" t="n"/>
      <c r="F246" s="14" t="n"/>
      <c r="G246" s="14" t="inlineStr">
        <is>
          <t>The LLM made the identity N qubits wide and used compose() instead of _add(), so Z is placed on the requested qubits and the identity elsewhere (same code as gpt-6.1-sol and gpt-6-astra). Both luna models kept _add() and failed.</t>
        </is>
      </c>
      <c r="H246" s="14" t="n">
        <v>7</v>
      </c>
    </row>
    <row r="247">
      <c r="A247" s="16" t="inlineStr">
        <is>
          <t>Failed on test</t>
        </is>
      </c>
      <c r="B247" s="14" t="inlineStr">
        <is>
          <t>issue_958</t>
        </is>
      </c>
      <c r="C247" s="14" t="inlineStr">
        <is>
          <t>0.45.0, 0.45.1, 0.45.2, 0.45.3, 0.46.0, 0.46.1, 0.46.2, 0.46.3, 1.0.0, 1.0.1, 1.0.2, 1.1.0, 1.1.1, 1.1.2, 1.2.0, 1.2.1, 1.2.2, 1.2.4, 2.0.0, 2.2.0, 2.3.0, 2.4.0, 2.5.0</t>
        </is>
      </c>
      <c r="D247" s="14" t="n">
        <v>23</v>
      </c>
      <c r="E247" s="14" t="inlineStr">
        <is>
          <t>AssertionError</t>
        </is>
      </c>
      <c r="F247" s="14" t="inlineStr">
        <is>
          <t>KeyError: 'qc2'; AssertionError:</t>
        </is>
      </c>
      <c r="G247" s="14" t="inlineStr">
        <is>
          <t>The LLM applied the negated gate with qc.unitary(-1 * Operator(HGate()), [0]), which puts -H on qubit 0 only, so qc is not -(H x H), the operator the test checks; the test also requires the reference answer's second circuit qc2 (KeyError). gpt-6-astra, gpt-6.1-sol and gpt-6-luna set the global phase to pi, which matches qc but also lacks qc2.</t>
        </is>
      </c>
      <c r="H247" s="14" t="n">
        <v>7</v>
      </c>
    </row>
    <row r="248">
      <c r="A248" s="15" t="inlineStr">
        <is>
          <t>Passed on test</t>
        </is>
      </c>
      <c r="B248" s="14" t="inlineStr">
        <is>
          <t>issue_977</t>
        </is>
      </c>
      <c r="C248" s="14" t="inlineStr">
        <is>
          <t>0.45.0, 0.45.1, 0.45.2, 0.45.3, 0.46.0, 0.46.1, 0.46.2, 0.46.3, 1.0.0, 1.0.1, 1.0.2, 1.1.0, 1.1.1, 1.1.2, 1.2.0, 1.2.1, 1.2.2, 1.2.4, 2.0.0, 2.2.0, 2.3.0, 2.4.0, 2.5.0</t>
        </is>
      </c>
      <c r="D248" s="14" t="n">
        <v>23</v>
      </c>
      <c r="E248" s="14" t="n"/>
      <c r="F248" s="14" t="n"/>
      <c r="G248" s="14" t="inlineStr">
        <is>
          <t>The LLM used SparsePauliOp.from_operator(Hamiltonian), the same call as the reference. The updated test accepts any variable name (same code as gpt-6.1-sol, gpt-6-astra and gpt-5.6-luna).</t>
        </is>
      </c>
      <c r="H248" s="14" t="n">
        <v>7</v>
      </c>
    </row>
    <row r="249">
      <c r="A249" s="16" t="inlineStr">
        <is>
          <t>Failed on test</t>
        </is>
      </c>
      <c r="B249" s="14" t="inlineStr">
        <is>
          <t>issue_985</t>
        </is>
      </c>
      <c r="C249" s="14" t="inlineStr">
        <is>
          <t>0.45.0, 0.45.1, 0.45.2, 0.45.3, 0.46.0, 0.46.1, 0.46.2, 0.46.3, 1.0.0, 1.0.1, 1.0.2, 1.1.0, 1.1.1, 1.1.2, 1.2.0, 1.2.1, 1.2.2, 1.2.4, 2.0.0, 2.2.0, 2.3.0, 2.4.0, 2.5.0</t>
        </is>
      </c>
      <c r="D249" s="14" t="n">
        <v>23</v>
      </c>
      <c r="E249" s="14" t="inlineStr">
        <is>
          <t>AssertionError</t>
        </is>
      </c>
      <c r="F249" s="14" t="inlineStr">
        <is>
          <t>AssertionError:</t>
        </is>
      </c>
      <c r="G249" s="14"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gpt-6.1-sol and gpt-6-astra, and every model fails it).</t>
        </is>
      </c>
      <c r="H249" s="14" t="n">
        <v>7</v>
      </c>
    </row>
    <row r="250">
      <c r="A250" s="15" t="inlineStr">
        <is>
          <t>Passed on test</t>
        </is>
      </c>
      <c r="B250" s="14" t="inlineStr">
        <is>
          <t>issue_989</t>
        </is>
      </c>
      <c r="C250" s="14" t="inlineStr">
        <is>
          <t>1.0.0, 1.0.1, 1.0.2, 1.1.0, 1.1.1, 1.1.2, 1.2.0, 1.2.1, 1.2.2, 1.2.4, 2.0.0, 2.2.0, 2.3.0, 2.4.0, 2.5.0</t>
        </is>
      </c>
      <c r="D250" s="14" t="n">
        <v>15</v>
      </c>
      <c r="E250" s="14" t="n"/>
      <c r="F250" s="14" t="n"/>
      <c r="G250" s="14" t="inlineStr">
        <is>
          <t>The LLM imported Aer from qiskit_aer (same code as all four GPT models).</t>
        </is>
      </c>
      <c r="H250" s="14" t="n">
        <v>7</v>
      </c>
    </row>
    <row r="251">
      <c r="A251" s="15" t="inlineStr">
        <is>
          <t>Passed on test</t>
        </is>
      </c>
      <c r="B251" s="14" t="inlineStr">
        <is>
          <t>issue_994</t>
        </is>
      </c>
      <c r="C251" s="14" t="inlineStr">
        <is>
          <t>0.25.0, 0.25.1, 0.25.2, 0.25.3</t>
        </is>
      </c>
      <c r="D251" s="14" t="n">
        <v>4</v>
      </c>
      <c r="E251" s="14" t="n"/>
      <c r="F251" s="14" t="n"/>
      <c r="G251" s="14" t="inlineStr">
        <is>
          <t>The LLM added qc.save_statevector(), so get_statevector() works on the QasmSimulator, and passed the backend options as keyword arguments to execute(). The updated test takes the statevector from either a variable or get_statevector().</t>
        </is>
      </c>
      <c r="H251" s="14" t="n">
        <v>7</v>
      </c>
    </row>
    <row r="252">
      <c r="A252" s="16" t="inlineStr">
        <is>
          <t>Failed on test</t>
        </is>
      </c>
      <c r="B252" s="14" t="inlineStr">
        <is>
          <t>issue_1035</t>
        </is>
      </c>
      <c r="C252" s="14" t="inlineStr">
        <is>
          <t>0.45.0, 0.45.1, 0.45.2, 0.45.3, 0.46.0, 0.46.1, 0.46.2, 0.46.3</t>
        </is>
      </c>
      <c r="D252" s="14" t="n">
        <v>8</v>
      </c>
      <c r="E252" s="14" t="inlineStr">
        <is>
          <t>AssertionError</t>
        </is>
      </c>
      <c r="F252" s="14" t="inlineStr">
        <is>
          <t>AssertionError: OFFLINE_CONTRACT: Runtime account/session is not a local fake backend</t>
        </is>
      </c>
      <c r="G252" s="14" t="inlineStr">
        <is>
          <t>The LLM rewrote the code for qiskit_ibm_runtime's local testing mode (FakeManilaV2 inside a Runtime Session, EstimatorV2 with mode=session), but the offline test rejects any Runtime account or session ('Runtime account/session is not a local fake backend'). Both luna models switched to a local Aer Estimator with FakeManila's noise model and passed; gpt-6.1-sol and gpt-6-astra answered NO BUG.</t>
        </is>
      </c>
      <c r="H252" s="14" t="n">
        <v>7</v>
      </c>
    </row>
    <row r="253">
      <c r="A253" s="15" t="inlineStr">
        <is>
          <t>Passed on test</t>
        </is>
      </c>
      <c r="B253" s="14" t="inlineStr">
        <is>
          <t>issue_772</t>
        </is>
      </c>
      <c r="C253" s="14" t="inlineStr">
        <is>
          <t>0.45.0, 0.45.1, 0.45.2, 0.45.3, 0.46.0, 0.46.1, 0.46.2, 0.46.3</t>
        </is>
      </c>
      <c r="D253" s="14" t="n">
        <v>8</v>
      </c>
      <c r="E253" s="14" t="n"/>
      <c r="F253" s="14" t="n"/>
      <c r="G253" s="14" t="inlineStr">
        <is>
          <t>Error on 0.25.x, passed on 0.45.x / 0.46.x: the LLM passed both register slices as one qubit list (qr1[1:2] + qr2[0:3]) to append(), which is the fix, but also moved the UnitaryGate import from qiskit.extensions to qiskit.circuit.library, where it doesn't exist yet in Qiskit 0.25 (ImportError). The GPT models kept the original import and passed on all 12 versions.</t>
        </is>
      </c>
      <c r="H253" s="14" t="n">
        <v>8</v>
      </c>
    </row>
    <row r="254">
      <c r="A254" s="17" t="inlineStr">
        <is>
          <t>Runtime error</t>
        </is>
      </c>
      <c r="B254" s="14" t="inlineStr">
        <is>
          <t>issue_772</t>
        </is>
      </c>
      <c r="C254" s="14" t="inlineStr">
        <is>
          <t>0.25.0, 0.25.1, 0.25.2, 0.25.3</t>
        </is>
      </c>
      <c r="D254" s="14" t="n">
        <v>4</v>
      </c>
      <c r="E254" s="14" t="inlineStr">
        <is>
          <t>ImportError</t>
        </is>
      </c>
      <c r="F254" s="14" t="inlineStr">
        <is>
          <t>ImportError: cannot import name 'UnitaryGate' from 'qiskit.circuit.library' (C:\qiskit_envs\q0250\lib\site-packages\qiskit\circuit\library\__init__.py)</t>
        </is>
      </c>
      <c r="G254" s="14" t="inlineStr">
        <is>
          <t>Error on 0.25.x, passed on 0.45.x / 0.46.x: the LLM passed both register slices as one qubit list (qr1[1:2] + qr2[0:3]) to append(), which is the fix, but also moved the UnitaryGate import from qiskit.extensions to qiskit.circuit.library, where it doesn't exist yet in Qiskit 0.25 (ImportError). The GPT models kept the original import and passed on all 12 versions.</t>
        </is>
      </c>
      <c r="H254" s="14" t="n">
        <v>8</v>
      </c>
    </row>
    <row r="255">
      <c r="A255" s="17" t="inlineStr">
        <is>
          <t>Runtime error</t>
        </is>
      </c>
      <c r="B255" s="14" t="inlineStr">
        <is>
          <t>issue_790</t>
        </is>
      </c>
      <c r="C255" s="14" t="inlineStr">
        <is>
          <t>0.45.0, 0.45.1, 0.45.2, 0.45.3, 0.46.0, 0.46.1, 0.46.2, 0.46.3, 1.0.0, 1.0.1, 1.0.2, 1.1.0, 1.1.1, 1.1.2, 1.2.0, 1.2.1, 1.2.2, 1.2.4, 2.0.0, 2.2.0, 2.3.0, 2.4.0, 2.5.0</t>
        </is>
      </c>
      <c r="D255" s="14" t="n">
        <v>23</v>
      </c>
      <c r="E255" s="14" t="inlineStr">
        <is>
          <t>TypeError</t>
        </is>
      </c>
      <c r="F255" s="14" t="inlineStr">
        <is>
          <t>TypeError: unsupported operand type(s) for -: 'Pauli' and 'Pauli'</t>
        </is>
      </c>
      <c r="G255" s="14" t="inlineStr">
        <is>
          <t>The LLM synthesized each PauliEvolutionGate separately with SuzukiTrotter, which fixes the error the buggy code's comment points to, but kept the Hamiltonian line that subtracts Pauli objects, which crashes first (TypeError: unsupported operand type(s) for -: 'Pauli' and 'Pauli'), like both luna models. Every model so far fails this case.</t>
        </is>
      </c>
      <c r="H255" s="14" t="n">
        <v>8</v>
      </c>
    </row>
    <row r="256">
      <c r="A256" s="15" t="inlineStr">
        <is>
          <t>Passed on test</t>
        </is>
      </c>
      <c r="B256" s="14" t="inlineStr">
        <is>
          <t>issue_827</t>
        </is>
      </c>
      <c r="C256" s="14" t="inlineStr">
        <is>
          <t>0.45.0, 0.45.1, 0.45.2, 0.45.3, 0.46.0, 0.46.1, 0.46.2, 0.46.3</t>
        </is>
      </c>
      <c r="D256" s="14" t="n">
        <v>8</v>
      </c>
      <c r="E256" s="14" t="n"/>
      <c r="F256" s="14" t="n"/>
      <c r="G256" s="14" t="inlineStr">
        <is>
          <t>Error on 0.25.x, passed on 0.45.x / 0.46.x: the LLM replaced compile() with transpile() and the removed qiskit.backends import with qiskit.providers.jobstatus, which fixes the script, but it also moved Aer to qiskit_aer; the Aer 0.8 that comes with Qiskit 0.25 can only be imported as qiskit.providers.aer (ModuleNotFoundError). It is the first model to pass this case on any version; all four GPT models kept the qiskit.backends import.</t>
        </is>
      </c>
      <c r="H256" s="14" t="n">
        <v>8</v>
      </c>
    </row>
    <row r="257">
      <c r="A257" s="17" t="inlineStr">
        <is>
          <t>Runtime error</t>
        </is>
      </c>
      <c r="B257" s="14" t="inlineStr">
        <is>
          <t>issue_827</t>
        </is>
      </c>
      <c r="C257" s="14" t="inlineStr">
        <is>
          <t>0.25.0, 0.25.1, 0.25.2, 0.25.3</t>
        </is>
      </c>
      <c r="D257" s="14" t="n">
        <v>4</v>
      </c>
      <c r="E257" s="14" t="inlineStr">
        <is>
          <t>ModuleNotFoundError</t>
        </is>
      </c>
      <c r="F257" s="14" t="inlineStr">
        <is>
          <t>ModuleNotFoundError: No module named 'qiskit_aer'</t>
        </is>
      </c>
      <c r="G257" s="14" t="inlineStr">
        <is>
          <t>Error on 0.25.x, passed on 0.45.x / 0.46.x: the LLM replaced compile() with transpile() and the removed qiskit.backends import with qiskit.providers.jobstatus, which fixes the script, but it also moved Aer to qiskit_aer; the Aer 0.8 that comes with Qiskit 0.25 can only be imported as qiskit.providers.aer (ModuleNotFoundError). It is the first model to pass this case on any version; all four GPT models kept the qiskit.backends import.</t>
        </is>
      </c>
      <c r="H257" s="14" t="n">
        <v>8</v>
      </c>
    </row>
    <row r="258">
      <c r="A258" s="17" t="inlineStr">
        <is>
          <t>Runtime error</t>
        </is>
      </c>
      <c r="B258" s="14" t="inlineStr">
        <is>
          <t>issue_858</t>
        </is>
      </c>
      <c r="C258" s="14" t="inlineStr">
        <is>
          <t>0.45.0, 0.45.1, 0.45.2, 0.45.3, 0.46.0, 0.46.1, 0.46.2, 0.46.3</t>
        </is>
      </c>
      <c r="D258" s="14" t="n">
        <v>8</v>
      </c>
      <c r="E258" s="14" t="inlineStr">
        <is>
          <t>ModuleNotFoundError</t>
        </is>
      </c>
      <c r="F258" s="14" t="inlineStr">
        <is>
          <t>ModuleNotFoundError: No module named 'qiskit_ibm_runtime'</t>
        </is>
      </c>
      <c r="G258" s="14" t="inlineStr">
        <is>
          <t>The LLM replaced the IBMQ account and the retired ibm_oslo with the FakeOslo snapshot, but imported it from qiskit_ibm_runtime.fake_provider, which isn't installed for Qiskit 0.45 / 0.46 (ModuleNotFoundError). Every model so far fails this case.</t>
        </is>
      </c>
      <c r="H258" s="14" t="n">
        <v>8</v>
      </c>
    </row>
    <row r="259">
      <c r="A259" s="15" t="inlineStr">
        <is>
          <t>Passed on test</t>
        </is>
      </c>
      <c r="B259" s="14" t="inlineStr">
        <is>
          <t>issue_901</t>
        </is>
      </c>
      <c r="C259" s="14" t="inlineStr">
        <is>
          <t>0.45.0, 0.45.1, 0.45.2, 0.45.3, 0.46.0, 0.46.1, 0.46.2, 0.46.3, 1.0.0, 1.0.1, 1.0.2, 1.1.0, 1.1.1, 1.1.2, 1.2.0, 1.2.1, 1.2.2, 1.2.4, 2.0.0</t>
        </is>
      </c>
      <c r="D259" s="14" t="n">
        <v>19</v>
      </c>
      <c r="E259" s="14" t="n"/>
      <c r="F259" s="14" t="n"/>
      <c r="G259" s="14" t="inlineStr">
        <is>
          <t>The LLM kept the S gate and registered the exact decomposition S = T T in the SessionEquivalenceLibrary, so the transpiler can translate the circuit into the {H, T, CNOT} basis (the same idea as gpt-6.1-sol). The reference's fixed.py timed out on 3 versions in the first run while the machine was busy; a single-worker rerun made all 19 pairs valid.</t>
        </is>
      </c>
      <c r="H259" s="14" t="n">
        <v>8</v>
      </c>
    </row>
    <row r="260">
      <c r="A260" s="15" t="inlineStr">
        <is>
          <t>Passed on test</t>
        </is>
      </c>
      <c r="B260" s="14" t="inlineStr">
        <is>
          <t>issue_921</t>
        </is>
      </c>
      <c r="C260" s="14" t="inlineStr">
        <is>
          <t>0.25.0, 0.25.1, 0.25.2, 0.25.3</t>
        </is>
      </c>
      <c r="D260" s="14" t="n">
        <v>4</v>
      </c>
      <c r="E260" s="14" t="n"/>
      <c r="F260" s="14" t="n"/>
      <c r="G260" s="14" t="inlineStr">
        <is>
          <t>The LLM replaced the removed Aqua run_algorithm / EnergyInput / WeightedPauliOperator with a SparsePauliOp built from the same Pauli dictionary and computed the exact ground-state energy with numpy.linalg.eigvalsh. It is the first model to pass this case; all four GPT models kept run_algorithm or answered NO BUG.</t>
        </is>
      </c>
      <c r="H260" s="14" t="n">
        <v>8</v>
      </c>
    </row>
  </sheetData>
  <conditionalFormatting sqref="B103:B175">
    <cfRule type="cellIs" priority="1" operator="equal" dxfId="0">
      <formula>"YES"</formula>
    </cfRule>
    <cfRule type="cellIs" priority="2" operator="equal" dxfId="1">
      <formula>"NO"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2026-10-13T20:14:16Z</dcterms:created>
  <dcterms:modified xsi:type="dcterms:W3CDTF">2026-10-13T20:14:19Z</dcterms:modified>
</cp:coreProperties>
</file>