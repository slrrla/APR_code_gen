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APR2\llm_repair\results\"/>
    </mc:Choice>
  </mc:AlternateContent>
  <xr:revisionPtr revIDLastSave="0" documentId="13_ncr:1_{5A9F2D25-77A7-446E-A24B-91AFC34C7707}" xr6:coauthVersionLast="47" xr6:coauthVersionMax="47" xr10:uidLastSave="{00000000-0000-0000-0000-000000000000}"/>
  <bookViews>
    <workbookView xWindow="3516" yWindow="3360" windowWidth="17280" windowHeight="8880" xr2:uid="{00000000-000D-0000-FFFF-FFFF00000000}"/>
  </bookViews>
  <sheets>
    <sheet name="Summary" sheetId="1" r:id="rId1"/>
    <sheet name="Stats &amp; Notes" sheetId="2" r:id="rId2"/>
    <sheet name="Test Review"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3" l="1"/>
  <c r="H9" i="3"/>
  <c r="I8" i="3"/>
  <c r="H8" i="3"/>
  <c r="I7" i="3"/>
  <c r="H7" i="3"/>
  <c r="I6" i="3"/>
  <c r="H6" i="3"/>
  <c r="I5" i="3"/>
  <c r="H5" i="3"/>
  <c r="A49" i="2"/>
  <c r="B48" i="2"/>
  <c r="A48" i="2"/>
  <c r="A47" i="2"/>
  <c r="B46" i="2"/>
  <c r="A46" i="2"/>
  <c r="A45" i="2"/>
  <c r="C44" i="2" a="1"/>
  <c r="C44" i="2" s="1"/>
  <c r="B44" i="2"/>
  <c r="A44" i="2"/>
  <c r="A43" i="2"/>
  <c r="E42" i="2"/>
  <c r="A42" i="2"/>
  <c r="A41" i="2"/>
  <c r="C40" i="2" a="1"/>
  <c r="C40" i="2" s="1"/>
  <c r="A40" i="2"/>
  <c r="E23" i="2"/>
  <c r="D23" i="2"/>
  <c r="C23" i="2"/>
  <c r="D49" i="2" s="1"/>
  <c r="B23" i="2"/>
  <c r="G23" i="2" s="1"/>
  <c r="A23" i="2"/>
  <c r="E22" i="2"/>
  <c r="D22" i="2"/>
  <c r="C22" i="2"/>
  <c r="I22" i="2" s="1"/>
  <c r="B22" i="2"/>
  <c r="A22" i="2"/>
  <c r="E21" i="2"/>
  <c r="D21" i="2"/>
  <c r="C21" i="2"/>
  <c r="D47" i="2" s="1"/>
  <c r="B21" i="2"/>
  <c r="F21" i="2" s="1"/>
  <c r="A21" i="2"/>
  <c r="E20" i="2"/>
  <c r="D20" i="2"/>
  <c r="C20" i="2"/>
  <c r="D46" i="2" s="1"/>
  <c r="B20" i="2"/>
  <c r="I20" i="2" s="1"/>
  <c r="A20" i="2"/>
  <c r="E19" i="2"/>
  <c r="D19" i="2"/>
  <c r="C19" i="2"/>
  <c r="D45" i="2" s="1"/>
  <c r="B19" i="2"/>
  <c r="H19" i="2" s="1"/>
  <c r="A19" i="2"/>
  <c r="E18" i="2"/>
  <c r="D18" i="2"/>
  <c r="C18" i="2"/>
  <c r="B18" i="2"/>
  <c r="A18" i="2"/>
  <c r="E17" i="2"/>
  <c r="D17" i="2"/>
  <c r="C17" i="2"/>
  <c r="D43" i="2" s="1"/>
  <c r="B17" i="2"/>
  <c r="F17" i="2" s="1"/>
  <c r="A17" i="2"/>
  <c r="E16" i="2"/>
  <c r="D16" i="2"/>
  <c r="C16" i="2"/>
  <c r="D42" i="2" s="1"/>
  <c r="B16" i="2"/>
  <c r="I16" i="2" s="1"/>
  <c r="A16" i="2"/>
  <c r="E15" i="2"/>
  <c r="D15" i="2"/>
  <c r="C15" i="2"/>
  <c r="D41" i="2" s="1"/>
  <c r="B15" i="2"/>
  <c r="G15" i="2" s="1"/>
  <c r="A15" i="2"/>
  <c r="E14" i="2"/>
  <c r="D14" i="2"/>
  <c r="C14" i="2"/>
  <c r="B40" i="2" s="1"/>
  <c r="B14" i="2"/>
  <c r="A14" i="2"/>
  <c r="B10" i="2"/>
  <c r="B8" i="2"/>
  <c r="B7" i="2"/>
  <c r="B6" i="2"/>
  <c r="B9" i="2" s="1"/>
  <c r="C8" i="2" s="1"/>
  <c r="G17" i="2" l="1"/>
  <c r="H21" i="2"/>
  <c r="H17" i="2"/>
  <c r="I21" i="2"/>
  <c r="H22" i="2"/>
  <c r="C46" i="2" a="1"/>
  <c r="C46" i="2" s="1"/>
  <c r="H18" i="2"/>
  <c r="G20" i="2"/>
  <c r="E46" i="2"/>
  <c r="I17" i="2"/>
  <c r="G16" i="2"/>
  <c r="H16" i="2"/>
  <c r="I18" i="2"/>
  <c r="H20" i="2"/>
  <c r="B42" i="2"/>
  <c r="H14" i="2"/>
  <c r="I14" i="2"/>
  <c r="F16" i="2"/>
  <c r="F20" i="2"/>
  <c r="C42" i="2" a="1"/>
  <c r="C42" i="2" s="1"/>
  <c r="G21" i="2"/>
  <c r="E41" i="2"/>
  <c r="E43" i="2"/>
  <c r="E45" i="2"/>
  <c r="E47" i="2"/>
  <c r="E49" i="2"/>
  <c r="C48" i="2" a="1"/>
  <c r="C48" i="2" s="1"/>
  <c r="F15" i="2"/>
  <c r="F19" i="2"/>
  <c r="F23" i="2"/>
  <c r="D40" i="2"/>
  <c r="D44" i="2"/>
  <c r="D48" i="2"/>
  <c r="G19" i="2"/>
  <c r="E40" i="2"/>
  <c r="E44" i="2"/>
  <c r="E48" i="2"/>
  <c r="C6" i="2"/>
  <c r="H15" i="2"/>
  <c r="H23" i="2"/>
  <c r="F14" i="2"/>
  <c r="I15" i="2"/>
  <c r="B27" i="2" s="1"/>
  <c r="F18" i="2"/>
  <c r="I19" i="2"/>
  <c r="F22" i="2"/>
  <c r="I23" i="2"/>
  <c r="B29" i="2" s="1"/>
  <c r="B41" i="2"/>
  <c r="B43" i="2"/>
  <c r="B45" i="2"/>
  <c r="B47" i="2"/>
  <c r="B49" i="2"/>
  <c r="C7" i="2"/>
  <c r="G14" i="2"/>
  <c r="G18" i="2"/>
  <c r="G22" i="2"/>
  <c r="C41" i="2" a="1"/>
  <c r="C41" i="2" s="1"/>
  <c r="C43" i="2" a="1"/>
  <c r="C43" i="2" s="1"/>
  <c r="C45" i="2" a="1"/>
  <c r="C45" i="2" s="1"/>
  <c r="C47" i="2" a="1"/>
  <c r="C47" i="2" s="1"/>
  <c r="C49" i="2" a="1"/>
  <c r="C49" i="2" s="1"/>
  <c r="B38" i="2" l="1"/>
  <c r="C38" i="2" s="1"/>
  <c r="C9" i="2"/>
  <c r="B36" i="2"/>
  <c r="C36" i="2" s="1"/>
  <c r="B28" i="2"/>
  <c r="B30" i="2" s="1"/>
  <c r="B35" i="2"/>
  <c r="C27" i="2" l="1"/>
  <c r="C29" i="2"/>
  <c r="C28" i="2"/>
  <c r="B37" i="2"/>
  <c r="C35" i="2"/>
  <c r="C37" i="2" l="1"/>
  <c r="A50" i="2"/>
  <c r="C30" i="2"/>
</calcChain>
</file>

<file path=xl/sharedStrings.xml><?xml version="1.0" encoding="utf-8"?>
<sst xmlns="http://schemas.openxmlformats.org/spreadsheetml/2006/main" count="734" uniqueCount="227">
  <si>
    <t>case_id</t>
  </si>
  <si>
    <t>0.25.0</t>
  </si>
  <si>
    <t>0.25.1</t>
  </si>
  <si>
    <t>0.25.2</t>
  </si>
  <si>
    <t>0.25.3</t>
  </si>
  <si>
    <t>0.45.0</t>
  </si>
  <si>
    <t>0.45.1</t>
  </si>
  <si>
    <t>0.45.2</t>
  </si>
  <si>
    <t>0.45.3</t>
  </si>
  <si>
    <t>0.46.0</t>
  </si>
  <si>
    <t>0.46.1</t>
  </si>
  <si>
    <t>0.46.2</t>
  </si>
  <si>
    <t>0.46.3</t>
  </si>
  <si>
    <t>1.0.0</t>
  </si>
  <si>
    <t>1.0.1</t>
  </si>
  <si>
    <t>1.0.2</t>
  </si>
  <si>
    <t>1.1.0</t>
  </si>
  <si>
    <t>1.1.1</t>
  </si>
  <si>
    <t>1.1.2</t>
  </si>
  <si>
    <t>1.2.0</t>
  </si>
  <si>
    <t>1.2.1</t>
  </si>
  <si>
    <t>1.2.2</t>
  </si>
  <si>
    <t>1.2.4</t>
  </si>
  <si>
    <t>2.0.0</t>
  </si>
  <si>
    <t>2.2.0</t>
  </si>
  <si>
    <t>2.3.0</t>
  </si>
  <si>
    <t>2.4.0</t>
  </si>
  <si>
    <t>2.5.0</t>
  </si>
  <si>
    <t>error_type_0.25.0</t>
  </si>
  <si>
    <t>error_message_0.25.0</t>
  </si>
  <si>
    <t>error_description_0.25.0</t>
  </si>
  <si>
    <t>error_type_0.25.1</t>
  </si>
  <si>
    <t>error_message_0.25.1</t>
  </si>
  <si>
    <t>error_description_0.25.1</t>
  </si>
  <si>
    <t>error_type_0.25.2</t>
  </si>
  <si>
    <t>error_message_0.25.2</t>
  </si>
  <si>
    <t>error_description_0.25.2</t>
  </si>
  <si>
    <t>error_type_0.25.3</t>
  </si>
  <si>
    <t>error_message_0.25.3</t>
  </si>
  <si>
    <t>error_description_0.25.3</t>
  </si>
  <si>
    <t>error_type_0.45.0</t>
  </si>
  <si>
    <t>error_message_0.45.0</t>
  </si>
  <si>
    <t>error_description_0.45.0</t>
  </si>
  <si>
    <t>error_type_0.45.1</t>
  </si>
  <si>
    <t>error_message_0.45.1</t>
  </si>
  <si>
    <t>error_description_0.45.1</t>
  </si>
  <si>
    <t>error_type_0.45.2</t>
  </si>
  <si>
    <t>error_message_0.45.2</t>
  </si>
  <si>
    <t>error_description_0.45.2</t>
  </si>
  <si>
    <t>error_type_0.45.3</t>
  </si>
  <si>
    <t>error_message_0.45.3</t>
  </si>
  <si>
    <t>error_description_0.45.3</t>
  </si>
  <si>
    <t>error_type_0.46.0</t>
  </si>
  <si>
    <t>error_message_0.46.0</t>
  </si>
  <si>
    <t>error_description_0.46.0</t>
  </si>
  <si>
    <t>error_type_0.46.1</t>
  </si>
  <si>
    <t>error_message_0.46.1</t>
  </si>
  <si>
    <t>error_description_0.46.1</t>
  </si>
  <si>
    <t>error_type_0.46.2</t>
  </si>
  <si>
    <t>error_message_0.46.2</t>
  </si>
  <si>
    <t>error_description_0.46.2</t>
  </si>
  <si>
    <t>error_type_0.46.3</t>
  </si>
  <si>
    <t>error_message_0.46.3</t>
  </si>
  <si>
    <t>error_description_0.46.3</t>
  </si>
  <si>
    <t>error_type_1.0.0</t>
  </si>
  <si>
    <t>error_message_1.0.0</t>
  </si>
  <si>
    <t>error_description_1.0.0</t>
  </si>
  <si>
    <t>error_type_1.0.1</t>
  </si>
  <si>
    <t>error_message_1.0.1</t>
  </si>
  <si>
    <t>error_description_1.0.1</t>
  </si>
  <si>
    <t>error_type_1.0.2</t>
  </si>
  <si>
    <t>error_message_1.0.2</t>
  </si>
  <si>
    <t>error_description_1.0.2</t>
  </si>
  <si>
    <t>error_type_1.1.0</t>
  </si>
  <si>
    <t>error_message_1.1.0</t>
  </si>
  <si>
    <t>error_description_1.1.0</t>
  </si>
  <si>
    <t>error_type_1.1.1</t>
  </si>
  <si>
    <t>error_message_1.1.1</t>
  </si>
  <si>
    <t>error_description_1.1.1</t>
  </si>
  <si>
    <t>error_type_1.1.2</t>
  </si>
  <si>
    <t>error_message_1.1.2</t>
  </si>
  <si>
    <t>error_description_1.1.2</t>
  </si>
  <si>
    <t>error_type_1.2.0</t>
  </si>
  <si>
    <t>error_message_1.2.0</t>
  </si>
  <si>
    <t>error_description_1.2.0</t>
  </si>
  <si>
    <t>error_type_1.2.1</t>
  </si>
  <si>
    <t>error_message_1.2.1</t>
  </si>
  <si>
    <t>error_description_1.2.1</t>
  </si>
  <si>
    <t>error_type_1.2.2</t>
  </si>
  <si>
    <t>error_message_1.2.2</t>
  </si>
  <si>
    <t>error_description_1.2.2</t>
  </si>
  <si>
    <t>error_type_1.2.4</t>
  </si>
  <si>
    <t>error_message_1.2.4</t>
  </si>
  <si>
    <t>error_description_1.2.4</t>
  </si>
  <si>
    <t>error_type_2.0.0</t>
  </si>
  <si>
    <t>error_message_2.0.0</t>
  </si>
  <si>
    <t>error_description_2.0.0</t>
  </si>
  <si>
    <t>error_type_2.2.0</t>
  </si>
  <si>
    <t>error_message_2.2.0</t>
  </si>
  <si>
    <t>error_description_2.2.0</t>
  </si>
  <si>
    <t>error_type_2.3.0</t>
  </si>
  <si>
    <t>error_message_2.3.0</t>
  </si>
  <si>
    <t>error_description_2.3.0</t>
  </si>
  <si>
    <t>error_type_2.4.0</t>
  </si>
  <si>
    <t>error_message_2.4.0</t>
  </si>
  <si>
    <t>error_description_2.4.0</t>
  </si>
  <si>
    <t>error_type_2.5.0</t>
  </si>
  <si>
    <t>error_message_2.5.0</t>
  </si>
  <si>
    <t>error_description_2.5.0</t>
  </si>
  <si>
    <t>issue_009</t>
  </si>
  <si>
    <t>NOT_TESTED</t>
  </si>
  <si>
    <t>ERROR</t>
  </si>
  <si>
    <t>FAIL</t>
  </si>
  <si>
    <t>TranspilerError</t>
  </si>
  <si>
    <t>qiskit.transpiler.exceptions.TranspilerError: "The 'layout' must be full (with ancilla)."</t>
  </si>
  <si>
    <t>The LLM ran CSPLayout and ApplyLayout by hand in a PassManager but never added the passes that extend the 3-qubit layout to the backend's 5 qubits (FullAncillaAllocation / EnlargeWithAncilla), so ApplyLayout rejects the partial layout.</t>
  </si>
  <si>
    <t>AssertionError</t>
  </si>
  <si>
    <t>AssertionError: 3 != 5</t>
  </si>
  <si>
    <t>The LLM ran CSPLayout and ApplyLayout by hand but never extended the layout to the backend's 5 qubits; here CSPLayout happened to pick physical qubits 0-2, so ApplyLayout accepted it and returned a 3-qubit circuit instead of one compiled for the 5-qubit backend.</t>
  </si>
  <si>
    <t>issue_018_se</t>
  </si>
  <si>
    <t xml:space="preserve">AssertionError: Not equal to tolerance rtol=0, atol=1e-12 The ideal magic-square strategy must win every input pair. Mismatched elements: 6 / 9 (66.7%) Max absolute difference: 0.5 Max relative difference: inf x: array([0. , 0.5, 0.5, 0.5, 0. , 0.5, </t>
  </si>
  <si>
    <t>The LLM swapped which inputs choose Alice's and Bob's answers, so the strategy still loses 6 of the 9 input pairs half the time instead of always winning (the Aer simulator also crashes natively here, as it does for fixed.py).</t>
  </si>
  <si>
    <t>AssertionError: Not equal to tolerance rtol=0, atol=1e-12 The ideal magic-square strategy must win every input pair. Mismatched elements: 6 / 9 (66.7%) First 5 mismatches are at indices: [1]: 0.4999999999999999 (ACTUAL), 0.0 (DESIRED) [2]: 0.49999999</t>
  </si>
  <si>
    <t>issue_021_se</t>
  </si>
  <si>
    <t>QiskitError</t>
  </si>
  <si>
    <t>qiskit.exceptions.QiskitError: 'ERROR: [Experiment 0] Circuit contains invalid instructions {"gates": {disentangler_dg}} for "statevector" method , ERROR: Circuit contains invalid instructions {"gates": {disentangler_dg}} for "statevector" method'</t>
  </si>
  <si>
    <t>Calling circuit.decompose() only unrolls one level, leaving a 'disentangler_dg' instruction that the Aer statevector simulator cannot run, so the simulation fails.</t>
  </si>
  <si>
    <t>qiskit.exceptions.QiskitError: 'You have to select a circuit or schedule when there is more than one available'</t>
  </si>
  <si>
    <t>Calling circuit.decompose() only unrolls one level, leaving a 'state_preparation' instruction that Aer cannot load, so the simulation fails and no statevector is returned.</t>
  </si>
  <si>
    <t>issue_032_se</t>
  </si>
  <si>
    <t>PASS</t>
  </si>
  <si>
    <t>issue_034</t>
  </si>
  <si>
    <t>issue_036</t>
  </si>
  <si>
    <t>issue_058_se</t>
  </si>
  <si>
    <t>issue_061</t>
  </si>
  <si>
    <t>issue_072</t>
  </si>
  <si>
    <t>issue_096</t>
  </si>
  <si>
    <t>AssertionError: '' != '[default]\n' + [default] | AssertionError: False is not true : Missing ipython_kernel_config.py (even when the profile directory already exists)</t>
  </si>
  <si>
    <t>The LLM creates an empty Qiskit settings file instead of one containing '[default]', and never creates the ipython_kernel_config.py file the user needed.</t>
  </si>
  <si>
    <t>LLM bug-repair results (gpt-5.6-luna), judged by each case's test (test_new.py / test-new.py for issue_021_se, issue_058_se and issue_061; test.py for the rest)</t>
  </si>
  <si>
    <t>All numbers below are formulas over the Summary sheet, so they update if Summary changes.</t>
  </si>
  <si>
    <t>1. Case × version pairs</t>
  </si>
  <si>
    <t>Result</t>
  </si>
  <si>
    <t>Count</t>
  </si>
  <si>
    <t>% of tested pairs</t>
  </si>
  <si>
    <t>Total tested</t>
  </si>
  <si>
    <t>Not tested (version not listed for that case)</t>
  </si>
  <si>
    <t>2. Per case</t>
  </si>
  <si>
    <t>Case</t>
  </si>
  <si>
    <t>Versions tested</t>
  </si>
  <si>
    <t>Pass %</t>
  </si>
  <si>
    <t>Fail %</t>
  </si>
  <si>
    <t>Error %</t>
  </si>
  <si>
    <t>Case outcome</t>
  </si>
  <si>
    <t>3. Cases by outcome</t>
  </si>
  <si>
    <t>Outcome</t>
  </si>
  <si>
    <t>Cases</t>
  </si>
  <si>
    <t>% of cases</t>
  </si>
  <si>
    <t>Total cases</t>
  </si>
  <si>
    <t>A case is PASS only if it passed on every version it was tested on; ERROR if any version crashed; otherwise FAIL.</t>
  </si>
  <si>
    <t>4. Cases that passed on at least one version</t>
  </si>
  <si>
    <t>Measure</t>
  </si>
  <si>
    <t>Passed on at least one version</t>
  </si>
  <si>
    <t>Passed on every version (strict, as in section 3)</t>
  </si>
  <si>
    <t>Passed on some but not all versions</t>
  </si>
  <si>
    <t>Passed on no version</t>
  </si>
  <si>
    <t>Passed on ≥1 version?</t>
  </si>
  <si>
    <t>Versions it passed on</t>
  </si>
  <si>
    <t># passed</t>
  </si>
  <si>
    <t># tested</t>
  </si>
  <si>
    <t>5. Notes: every case, its versions and what happened</t>
  </si>
  <si>
    <t>Versions</t>
  </si>
  <si>
    <t># versions</t>
  </si>
  <si>
    <t>Error type</t>
  </si>
  <si>
    <t>Error message (last traceback line)</t>
  </si>
  <si>
    <t>What happened (plain English)</t>
  </si>
  <si>
    <t>0.25.0, 0.25.1, 0.25.2, 0.25.3</t>
  </si>
  <si>
    <t>The LLM passed an iSwapGate() object instead of the unrecognised 'iswap' string, the same fix as the reference.</t>
  </si>
  <si>
    <t>1.0.0, 1.0.1, 1.0.2, 1.1.0, 1.1.1, 1.1.2, 1.2.0, 1.2.1, 1.2.2, 1.2.4, 2.0.0, 2.2.0, 2.3.0, 2.4.0, 2.5.0</t>
  </si>
  <si>
    <t>The LLM imported Aer from qiskit_aer instead of qiskit, the same fix as the reference.</t>
  </si>
  <si>
    <t>The LLM replaced the removed c.qasm() with qasm2.dumps(c), the same fix as the reference.</t>
  </si>
  <si>
    <t>0.25.0, 0.25.1, 0.25.2, 0.25.3, 0.45.0, 0.45.1, 0.45.2, 0.45.3, 0.46.0, 0.46.1, 0.46.2, 0.46.3</t>
  </si>
  <si>
    <t>The LLM decomposed the custom diffuser gate before running it (the reference transpiles instead), and the simulator produced the correct state.</t>
  </si>
  <si>
    <t>The LLM read the register and register-local index via qc.find_bit(qbit).registers[0], removing the deprecated back-references. The team's updated test_new.py accepts this output (the old test.py only accepted the reference's exact print format).</t>
  </si>
  <si>
    <t>The LLM remapped the duplicated qreg[5] to the unused physical qubit 15 (the reference used 16), so every virtual qubit gets its own physical qubit.</t>
  </si>
  <si>
    <t>0.25.0, 0.25.1, 0.25.2, 0.25.3, 0.45.0, 0.45.1, 0.45.2, 0.45.3, 0.46.0, 0.46.1, 0.46.2, 0.46.3, 1.0.0, 1.0.1, 1.0.2, 1.1.0, 1.1.1, 1.1.2, 1.2.0, 1.2.1, 1.2.2, 1.2.4, 2.0.0, 2.2.0, 2.3.0, 2.4.0, 2.5.0</t>
  </si>
  <si>
    <t>0.45.2, 0.45.3</t>
  </si>
  <si>
    <t>0.45.0, 0.45.1, 0.46.0, 0.46.1, 0.46.2, 0.46.3</t>
  </si>
  <si>
    <t>0.45.0, 0.45.1, 0.45.2, 0.45.3, 0.46.0, 0.46.1, 0.46.2, 0.46.3</t>
  </si>
  <si>
    <t>Test Review: does the test ask for more than the question / buggy code?</t>
  </si>
  <si>
    <t>Reviewed against original_question.txt, buggy.py and fixed.py for each case. All 10 tests target the right bug; only the 5 below check more than the question asks. On 1 Oct 2026 the team pushed updated tests for issue_021_se (test-new.py), issue_058_se and issue_061 (test_new.py); results now use those. The other 5 (issue_009, issue_018_se, issue_032_se, issue_036, issue_072) check what the question asks.</t>
  </si>
  <si>
    <t>Verdict</t>
  </si>
  <si>
    <t>Asks too much?</t>
  </si>
  <si>
    <t>What the question / buggy code asks</t>
  </si>
  <si>
    <t>What the test checks</t>
  </si>
  <si>
    <t>Where the test goes beyond the question</t>
  </si>
  <si>
    <t>Effect on the LLM result</t>
  </si>
  <si>
    <t>LLM passed (versions)</t>
  </si>
  <si>
    <t>LLM outcome</t>
  </si>
  <si>
    <t>Over-specific in old test.py; fixed in test_new.py</t>
  </si>
  <si>
    <t>Old: Yes / New: No</t>
  </si>
  <si>
    <t>Replace the deprecated qbit.register / qbit.index with a non-deprecated API so the DeprecationWarning goes away. The buggy code prints the register first, then the index.</t>
  </si>
  <si>
    <t>OLD test.py: patched print() and required exactly [(0,), ((qr, 0),), (0,), ((qr, 0),)]. NEW test_new.py (bit_location_oracle): accepts register + register-local index, optionally with the circuit index, in any order or print format; reruns the script with nonzero bits and an extra leading register so hard-coded zeros, wrong registers and circuit/local index mix-ups still fail; still requires no 'Back-references' warning and the original h + cx circuit.</t>
  </si>
  <si>
    <t>The old test hard-coded the reference fix's exact print order and values, rejecting any other valid non-deprecated fix. The new test removes that restriction while making the semantic checks stronger, so it no longer asks for more than the question.</t>
  </si>
  <si>
    <t>Old test.py: FAIL 0/15, only because of the print format. New test_new.py: PASS 15/15, confirming the LLM's find_bit(...).registers[0] fix was correct.</t>
  </si>
  <si>
    <t>Over-specific</t>
  </si>
  <si>
    <t>Yes</t>
  </si>
  <si>
    <t>The question: settings.conf and ipython_kernel_config.py are missing; how do I fix this? The answer: create settings.conf yourself and try 'ipython profile create'. buggy.py only opens ~/.qiskit/settings.conf and never mentions IPython.</t>
  </si>
  <si>
    <t>Three scenarios (clean home, existing settings, existing profile folder). Requires settings.conf content to be exactly '[default]\n', ns['contents'] to equal that, os.system to be called with exactly 'ipython profile create', and ipython_kernel_config.py to exist afterwards.</t>
  </si>
  <si>
    <t>The exact file content '[default]\n' is never specified (an empty file is also valid). The exact shell command via os.system is never specified (subprocess.run or the IPython API would do the same job and are rejected). IPython profile creation is not in buggy.py at all, so the fix has to add behaviour the code never had.</t>
  </si>
  <si>
    <t>The LLM created an empty settings.conf and did not handle IPython, so it fails on all 27 versions. The empty file would pass a fair test for the Qiskit half; the missing IPython step would still fail a fair test, since the question does ask for it.</t>
  </si>
  <si>
    <t>Extra but reasonable</t>
  </si>
  <si>
    <t>No</t>
  </si>
  <si>
    <t>The custom CNOTNOT gate fails to execute on the simulator ('invalid instructions'); make the circuit run.</t>
  </si>
  <si>
    <t>The full 8-amplitude state must equal the GHZ state (|000&gt;+|111&gt;)/sqrt(2), and the cnotnot() gate matrix is checked column by column. NEW test-new.py (simulation_oracle) also watches the real Aer run: every backend execution must succeed and every simulated or exported state (statevector / v / result / job) must match.</t>
  </si>
  <si>
    <t>It checks the full state vector and the gate matrix instead of the printed final_state = [result[0], result[1]] slice. That is consistent with what the code actually computes (the slice is not a real one-qubit state), so it is fair.</t>
  </si>
  <si>
    <t>Same on old and new tests: ERROR 0/12. The LLM's single decompose() leaves disentangler_dg (0.25.x) or state_preparation (0.45/0.46) in the circuit, so the simulator rejects it before any check runs.</t>
  </si>
  <si>
    <t>'from qiskit import Aer' fails (Aer moved to the qiskit_aer package); fix the import.</t>
  </si>
  <si>
    <t>Checks the H + measure circuit, the 50/50 probabilities, and actually runs backend.run(qc, shots=2048) expecting roughly 50/50 counts.</t>
  </si>
  <si>
    <t>The question is only about the import error, but running the backend proves the imported Aer works. A reasonable extension.</t>
  </si>
  <si>
    <t>None. The LLM passed on all 15 versions.</t>
  </si>
  <si>
    <t>The Grover diffuser gate fails with 'Circuit contains invalid instructions' on the statevector simulator (missing transpile).</t>
  </si>
  <si>
    <t>The simulated state must equal [-0.75, 0.25 x 7] (up to global phase), and diffuser(n) must equal 2|s&gt;&lt;s| - I for n = 2, 3 and 4. NEW test_new.py (simulation_oracle) also requires a successful real Aer run whose result matches.</t>
  </si>
  <si>
    <t>The original code only uses diffuser(3); the test also checks n = 2 and 4. Still fair, because diffuser(n) is written for any n.</t>
  </si>
  <si>
    <t>None. The LLM passed 12/12 on both the old and the new test.</t>
  </si>
  <si>
    <t>Takeaway</t>
  </si>
  <si>
    <t>issue_061's old test was over-specific; the team's updated test_new.py fixes that and the LLM fix now passes 15/15. issue_096 still asks for more than the question (exact '[default]' content and exact os.system command), but the LLM fix would fail a fair test too because it skips the IPython step. The extra checks in 021_se, 034 and 058_se are fair and did not change any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</si>
</sst>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0"/>
      <color rgb="FFFFFFFF"/>
      <name val="Arial"/>
    </font>
    <font>
      <sz val="10"/>
      <name val="Arial"/>
    </font>
    <font>
      <b/>
      <sz val="14"/>
      <name val="Arial"/>
    </font>
    <font>
      <i/>
      <sz val="9"/>
      <name val="Arial"/>
    </font>
    <font>
      <b/>
      <sz val="12"/>
      <name val="Arial"/>
    </font>
    <font>
      <b/>
      <sz val="10"/>
      <name val="Arial"/>
    </font>
    <font>
      <i/>
      <sz val="10"/>
      <name val="Arial"/>
    </font>
    <font>
      <b/>
      <sz val="11"/>
      <name val="Arial"/>
    </font>
    <font>
      <sz val="11"/>
      <name val="Arial"/>
    </font>
  </fonts>
  <fills count="10">
    <fill>
      <patternFill patternType="none"/>
    </fill>
    <fill>
      <patternFill patternType="gray125"/>
    </fill>
    <fill>
      <patternFill patternType="solid">
        <fgColor rgb="FF1F4E78"/>
      </patternFill>
    </fill>
    <fill>
      <patternFill patternType="solid">
        <fgColor rgb="FFEDEDED"/>
      </patternFill>
    </fill>
    <fill>
      <patternFill patternType="solid">
        <fgColor rgb="FFFFEB9C"/>
      </patternFill>
    </fill>
    <fill>
      <patternFill patternType="solid">
        <fgColor rgb="FFFFC7CE"/>
      </patternFill>
    </fill>
    <fill>
      <patternFill patternType="solid">
        <fgColor rgb="FFC6EFCE"/>
      </patternFill>
    </fill>
    <fill>
      <patternFill patternType="solid">
        <fgColor rgb="FFD9E1F2"/>
      </patternFill>
    </fill>
    <fill>
      <patternFill patternType="solid">
        <fgColor rgb="FFFFC7CE"/>
      </patternFill>
    </fill>
    <fill>
      <patternFill patternType="solid">
        <fgColor rgb="FFFFEB9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7">
    <xf numFmtId="0" fontId="0" fillId="0" borderId="0" xfId="0"/>
    <xf numFmtId="0" fontId="1" fillId="2" borderId="0" xfId="0" applyFont="1" applyFill="1" applyAlignment="1">
      <alignment vertical="center" wrapText="1"/>
    </xf>
    <xf numFmtId="0" fontId="2" fillId="0" borderId="1" xfId="0" applyFont="1" applyBorder="1"/>
    <xf numFmtId="0" fontId="2" fillId="3"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3" fillId="0" borderId="0" xfId="0" applyFont="1"/>
    <xf numFmtId="0" fontId="4" fillId="0" borderId="0" xfId="0" applyFont="1"/>
    <xf numFmtId="0" fontId="5" fillId="0" borderId="0" xfId="0" applyFont="1"/>
    <xf numFmtId="0" fontId="1" fillId="2" borderId="1" xfId="0" applyFont="1" applyFill="1" applyBorder="1" applyAlignment="1">
      <alignment vertical="center" wrapText="1"/>
    </xf>
    <xf numFmtId="0" fontId="2" fillId="6" borderId="1" xfId="0" applyFont="1" applyFill="1" applyBorder="1"/>
    <xf numFmtId="164" fontId="2" fillId="0" borderId="1" xfId="0" applyNumberFormat="1" applyFont="1" applyBorder="1"/>
    <xf numFmtId="0" fontId="2" fillId="5" borderId="1" xfId="0" applyFont="1" applyFill="1" applyBorder="1"/>
    <xf numFmtId="0" fontId="2" fillId="4" borderId="1" xfId="0" applyFont="1" applyFill="1" applyBorder="1"/>
    <xf numFmtId="0" fontId="6" fillId="0" borderId="1" xfId="0" applyFont="1" applyBorder="1"/>
    <xf numFmtId="164" fontId="6" fillId="0" borderId="1" xfId="0" applyNumberFormat="1" applyFont="1" applyBorder="1"/>
    <xf numFmtId="0" fontId="2" fillId="6" borderId="1" xfId="0" applyFont="1" applyFill="1" applyBorder="1" applyAlignment="1">
      <alignment vertical="top" wrapText="1"/>
    </xf>
    <xf numFmtId="0" fontId="2" fillId="0" borderId="1" xfId="0" applyFont="1" applyBorder="1" applyAlignment="1">
      <alignment vertical="top" wrapText="1"/>
    </xf>
    <xf numFmtId="0" fontId="2" fillId="5" borderId="1" xfId="0" applyFont="1" applyFill="1" applyBorder="1" applyAlignment="1">
      <alignment vertical="top" wrapText="1"/>
    </xf>
    <xf numFmtId="0" fontId="2" fillId="4" borderId="1" xfId="0" applyFont="1" applyFill="1" applyBorder="1" applyAlignment="1">
      <alignment vertical="top" wrapText="1"/>
    </xf>
    <xf numFmtId="0" fontId="8" fillId="7" borderId="2" xfId="0" applyFont="1" applyFill="1" applyBorder="1" applyAlignment="1">
      <alignment vertical="center" wrapText="1"/>
    </xf>
    <xf numFmtId="0" fontId="8" fillId="0" borderId="2" xfId="0" applyFont="1" applyBorder="1" applyAlignment="1">
      <alignment vertical="top" wrapText="1"/>
    </xf>
    <xf numFmtId="0" fontId="8" fillId="8" borderId="2" xfId="0" applyFont="1" applyFill="1" applyBorder="1" applyAlignment="1">
      <alignment vertical="top" wrapText="1"/>
    </xf>
    <xf numFmtId="0" fontId="9" fillId="8" borderId="2" xfId="0" applyFont="1" applyFill="1" applyBorder="1" applyAlignment="1">
      <alignment vertical="top" wrapText="1"/>
    </xf>
    <xf numFmtId="0" fontId="9" fillId="0" borderId="2" xfId="0" applyFont="1" applyBorder="1" applyAlignment="1">
      <alignment vertical="top" wrapText="1"/>
    </xf>
    <xf numFmtId="0" fontId="9" fillId="0" borderId="2" xfId="0" applyFont="1" applyBorder="1" applyAlignment="1">
      <alignment horizontal="center" vertical="top"/>
    </xf>
    <xf numFmtId="0" fontId="8" fillId="9" borderId="2" xfId="0" applyFont="1" applyFill="1" applyBorder="1" applyAlignment="1">
      <alignment vertical="top" wrapText="1"/>
    </xf>
    <xf numFmtId="0" fontId="9" fillId="9" borderId="2" xfId="0" applyFont="1" applyFill="1" applyBorder="1" applyAlignment="1">
      <alignment vertical="top" wrapText="1"/>
    </xf>
    <xf numFmtId="0" fontId="8" fillId="0" borderId="0" xfId="0" applyFont="1"/>
    <xf numFmtId="0" fontId="2" fillId="9" borderId="1" xfId="0" applyFont="1" applyFill="1" applyBorder="1" applyAlignment="1">
      <alignment horizontal="center"/>
    </xf>
    <xf numFmtId="0" fontId="2" fillId="8" borderId="1" xfId="0" applyFont="1" applyFill="1" applyBorder="1" applyAlignment="1">
      <alignment horizontal="center"/>
    </xf>
    <xf numFmtId="0" fontId="2" fillId="8" borderId="1" xfId="0" applyFont="1" applyFill="1" applyBorder="1"/>
    <xf numFmtId="0" fontId="2" fillId="0" borderId="1" xfId="0" applyFont="1" applyBorder="1" applyAlignment="1">
      <alignment vertical="top"/>
    </xf>
    <xf numFmtId="0" fontId="2" fillId="0" borderId="1" xfId="0" applyFont="1" applyBorder="1" applyAlignment="1">
      <alignment horizontal="center" vertical="top"/>
    </xf>
    <xf numFmtId="0" fontId="9" fillId="0" borderId="0" xfId="0" applyFont="1" applyAlignment="1">
      <alignment vertical="top" wrapText="1"/>
    </xf>
    <xf numFmtId="0" fontId="0" fillId="0" borderId="0" xfId="0"/>
    <xf numFmtId="0" fontId="7" fillId="0" borderId="0" xfId="0" applyFont="1" applyAlignment="1">
      <alignment vertical="top" wrapText="1"/>
    </xf>
  </cellXfs>
  <cellStyles count="1">
    <cellStyle name="Normal" xfId="0" builtinId="0"/>
  </cellStyles>
  <dxfs count="2">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E11"/>
  <sheetViews>
    <sheetView tabSelected="1" workbookViewId="0">
      <pane xSplit="1" ySplit="1" topLeftCell="B2" activePane="bottomRight" state="frozen"/>
      <selection pane="topRight"/>
      <selection pane="bottomLeft"/>
      <selection pane="bottomRight"/>
    </sheetView>
  </sheetViews>
  <sheetFormatPr defaultRowHeight="14.4" x14ac:dyDescent="0.3"/>
  <cols>
    <col min="1" max="1" width="15" customWidth="1"/>
    <col min="2" max="28" width="11" customWidth="1"/>
    <col min="29" max="109" width="28" customWidth="1"/>
  </cols>
  <sheetData>
    <row r="1" spans="1:10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row>
    <row r="2" spans="1:109" x14ac:dyDescent="0.3">
      <c r="A2" s="2" t="s">
        <v>109</v>
      </c>
      <c r="B2" s="3" t="s">
        <v>110</v>
      </c>
      <c r="C2" s="3" t="s">
        <v>110</v>
      </c>
      <c r="D2" s="3" t="s">
        <v>110</v>
      </c>
      <c r="E2" s="3" t="s">
        <v>110</v>
      </c>
      <c r="F2" s="29" t="s">
        <v>111</v>
      </c>
      <c r="G2" s="29" t="s">
        <v>111</v>
      </c>
      <c r="H2" s="30" t="s">
        <v>112</v>
      </c>
      <c r="I2" s="30" t="s">
        <v>112</v>
      </c>
      <c r="J2" s="29" t="s">
        <v>111</v>
      </c>
      <c r="K2" s="29" t="s">
        <v>111</v>
      </c>
      <c r="L2" s="29" t="s">
        <v>111</v>
      </c>
      <c r="M2" s="29" t="s">
        <v>111</v>
      </c>
      <c r="N2" s="3" t="s">
        <v>110</v>
      </c>
      <c r="O2" s="3" t="s">
        <v>110</v>
      </c>
      <c r="P2" s="3" t="s">
        <v>110</v>
      </c>
      <c r="Q2" s="3" t="s">
        <v>110</v>
      </c>
      <c r="R2" s="3" t="s">
        <v>110</v>
      </c>
      <c r="S2" s="3" t="s">
        <v>110</v>
      </c>
      <c r="T2" s="3" t="s">
        <v>110</v>
      </c>
      <c r="U2" s="3" t="s">
        <v>110</v>
      </c>
      <c r="V2" s="3" t="s">
        <v>110</v>
      </c>
      <c r="W2" s="3" t="s">
        <v>110</v>
      </c>
      <c r="X2" s="3" t="s">
        <v>110</v>
      </c>
      <c r="Y2" s="3" t="s">
        <v>110</v>
      </c>
      <c r="Z2" s="3" t="s">
        <v>110</v>
      </c>
      <c r="AA2" s="3" t="s">
        <v>110</v>
      </c>
      <c r="AB2" s="3" t="s">
        <v>110</v>
      </c>
      <c r="AC2" s="2"/>
      <c r="AD2" s="2"/>
      <c r="AE2" s="2"/>
      <c r="AF2" s="2"/>
      <c r="AG2" s="2"/>
      <c r="AH2" s="2"/>
      <c r="AI2" s="2"/>
      <c r="AJ2" s="2"/>
      <c r="AK2" s="2"/>
      <c r="AL2" s="2"/>
      <c r="AM2" s="2"/>
      <c r="AN2" s="2"/>
      <c r="AO2" s="2" t="s">
        <v>113</v>
      </c>
      <c r="AP2" s="2" t="s">
        <v>114</v>
      </c>
      <c r="AQ2" s="2" t="s">
        <v>115</v>
      </c>
      <c r="AR2" s="2" t="s">
        <v>113</v>
      </c>
      <c r="AS2" s="2" t="s">
        <v>114</v>
      </c>
      <c r="AT2" s="2" t="s">
        <v>115</v>
      </c>
      <c r="AU2" s="2" t="s">
        <v>116</v>
      </c>
      <c r="AV2" s="2" t="s">
        <v>117</v>
      </c>
      <c r="AW2" s="2" t="s">
        <v>118</v>
      </c>
      <c r="AX2" s="2" t="s">
        <v>116</v>
      </c>
      <c r="AY2" s="2" t="s">
        <v>117</v>
      </c>
      <c r="AZ2" s="2" t="s">
        <v>118</v>
      </c>
      <c r="BA2" s="2" t="s">
        <v>113</v>
      </c>
      <c r="BB2" s="2" t="s">
        <v>114</v>
      </c>
      <c r="BC2" s="2" t="s">
        <v>115</v>
      </c>
      <c r="BD2" s="2" t="s">
        <v>113</v>
      </c>
      <c r="BE2" s="2" t="s">
        <v>114</v>
      </c>
      <c r="BF2" s="2" t="s">
        <v>115</v>
      </c>
      <c r="BG2" s="2" t="s">
        <v>113</v>
      </c>
      <c r="BH2" s="2" t="s">
        <v>114</v>
      </c>
      <c r="BI2" s="2" t="s">
        <v>115</v>
      </c>
      <c r="BJ2" s="2" t="s">
        <v>113</v>
      </c>
      <c r="BK2" s="2" t="s">
        <v>114</v>
      </c>
      <c r="BL2" s="2" t="s">
        <v>115</v>
      </c>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row>
    <row r="3" spans="1:109" x14ac:dyDescent="0.3">
      <c r="A3" s="2" t="s">
        <v>119</v>
      </c>
      <c r="B3" s="3" t="s">
        <v>110</v>
      </c>
      <c r="C3" s="3" t="s">
        <v>110</v>
      </c>
      <c r="D3" s="3" t="s">
        <v>110</v>
      </c>
      <c r="E3" s="3" t="s">
        <v>110</v>
      </c>
      <c r="F3" s="3" t="s">
        <v>110</v>
      </c>
      <c r="G3" s="3" t="s">
        <v>110</v>
      </c>
      <c r="H3" s="3" t="s">
        <v>110</v>
      </c>
      <c r="I3" s="3" t="s">
        <v>110</v>
      </c>
      <c r="J3" s="3" t="s">
        <v>110</v>
      </c>
      <c r="K3" s="3" t="s">
        <v>110</v>
      </c>
      <c r="L3" s="3" t="s">
        <v>110</v>
      </c>
      <c r="M3" s="3" t="s">
        <v>110</v>
      </c>
      <c r="N3" s="4" t="s">
        <v>112</v>
      </c>
      <c r="O3" s="4" t="s">
        <v>112</v>
      </c>
      <c r="P3" s="4" t="s">
        <v>112</v>
      </c>
      <c r="Q3" s="4" t="s">
        <v>112</v>
      </c>
      <c r="R3" s="4" t="s">
        <v>112</v>
      </c>
      <c r="S3" s="4" t="s">
        <v>112</v>
      </c>
      <c r="T3" s="4" t="s">
        <v>112</v>
      </c>
      <c r="U3" s="4" t="s">
        <v>112</v>
      </c>
      <c r="V3" s="4" t="s">
        <v>112</v>
      </c>
      <c r="W3" s="4" t="s">
        <v>112</v>
      </c>
      <c r="X3" s="4" t="s">
        <v>112</v>
      </c>
      <c r="Y3" s="4" t="s">
        <v>112</v>
      </c>
      <c r="Z3" s="4" t="s">
        <v>112</v>
      </c>
      <c r="AA3" s="4" t="s">
        <v>112</v>
      </c>
      <c r="AB3" s="4" t="s">
        <v>112</v>
      </c>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t="s">
        <v>116</v>
      </c>
      <c r="BN3" s="2" t="s">
        <v>120</v>
      </c>
      <c r="BO3" s="2" t="s">
        <v>121</v>
      </c>
      <c r="BP3" s="2" t="s">
        <v>116</v>
      </c>
      <c r="BQ3" s="2" t="s">
        <v>120</v>
      </c>
      <c r="BR3" s="2" t="s">
        <v>121</v>
      </c>
      <c r="BS3" s="2" t="s">
        <v>116</v>
      </c>
      <c r="BT3" s="2" t="s">
        <v>120</v>
      </c>
      <c r="BU3" s="2" t="s">
        <v>121</v>
      </c>
      <c r="BV3" s="2" t="s">
        <v>116</v>
      </c>
      <c r="BW3" s="2" t="s">
        <v>122</v>
      </c>
      <c r="BX3" s="2" t="s">
        <v>121</v>
      </c>
      <c r="BY3" s="2" t="s">
        <v>116</v>
      </c>
      <c r="BZ3" s="2" t="s">
        <v>122</v>
      </c>
      <c r="CA3" s="2" t="s">
        <v>121</v>
      </c>
      <c r="CB3" s="2" t="s">
        <v>116</v>
      </c>
      <c r="CC3" s="2" t="s">
        <v>122</v>
      </c>
      <c r="CD3" s="2" t="s">
        <v>121</v>
      </c>
      <c r="CE3" s="2" t="s">
        <v>116</v>
      </c>
      <c r="CF3" s="2" t="s">
        <v>122</v>
      </c>
      <c r="CG3" s="2" t="s">
        <v>121</v>
      </c>
      <c r="CH3" s="2" t="s">
        <v>116</v>
      </c>
      <c r="CI3" s="2" t="s">
        <v>122</v>
      </c>
      <c r="CJ3" s="2" t="s">
        <v>121</v>
      </c>
      <c r="CK3" s="2" t="s">
        <v>116</v>
      </c>
      <c r="CL3" s="2" t="s">
        <v>122</v>
      </c>
      <c r="CM3" s="2" t="s">
        <v>121</v>
      </c>
      <c r="CN3" s="2" t="s">
        <v>116</v>
      </c>
      <c r="CO3" s="2" t="s">
        <v>122</v>
      </c>
      <c r="CP3" s="2" t="s">
        <v>121</v>
      </c>
      <c r="CQ3" s="2" t="s">
        <v>116</v>
      </c>
      <c r="CR3" s="2" t="s">
        <v>122</v>
      </c>
      <c r="CS3" s="2" t="s">
        <v>121</v>
      </c>
      <c r="CT3" s="2" t="s">
        <v>116</v>
      </c>
      <c r="CU3" s="2" t="s">
        <v>122</v>
      </c>
      <c r="CV3" s="2" t="s">
        <v>121</v>
      </c>
      <c r="CW3" s="2" t="s">
        <v>116</v>
      </c>
      <c r="CX3" s="2" t="s">
        <v>122</v>
      </c>
      <c r="CY3" s="2" t="s">
        <v>121</v>
      </c>
      <c r="CZ3" s="2" t="s">
        <v>116</v>
      </c>
      <c r="DA3" s="2" t="s">
        <v>122</v>
      </c>
      <c r="DB3" s="2" t="s">
        <v>121</v>
      </c>
      <c r="DC3" s="2" t="s">
        <v>116</v>
      </c>
      <c r="DD3" s="2" t="s">
        <v>122</v>
      </c>
      <c r="DE3" s="2" t="s">
        <v>121</v>
      </c>
    </row>
    <row r="4" spans="1:109" x14ac:dyDescent="0.3">
      <c r="A4" s="2" t="s">
        <v>123</v>
      </c>
      <c r="B4" s="29" t="s">
        <v>111</v>
      </c>
      <c r="C4" s="29" t="s">
        <v>111</v>
      </c>
      <c r="D4" s="29" t="s">
        <v>111</v>
      </c>
      <c r="E4" s="29" t="s">
        <v>111</v>
      </c>
      <c r="F4" s="29" t="s">
        <v>111</v>
      </c>
      <c r="G4" s="29" t="s">
        <v>111</v>
      </c>
      <c r="H4" s="29" t="s">
        <v>111</v>
      </c>
      <c r="I4" s="29" t="s">
        <v>111</v>
      </c>
      <c r="J4" s="29" t="s">
        <v>111</v>
      </c>
      <c r="K4" s="29" t="s">
        <v>111</v>
      </c>
      <c r="L4" s="29" t="s">
        <v>111</v>
      </c>
      <c r="M4" s="29" t="s">
        <v>111</v>
      </c>
      <c r="N4" s="3" t="s">
        <v>110</v>
      </c>
      <c r="O4" s="3" t="s">
        <v>110</v>
      </c>
      <c r="P4" s="3" t="s">
        <v>110</v>
      </c>
      <c r="Q4" s="3" t="s">
        <v>110</v>
      </c>
      <c r="R4" s="3" t="s">
        <v>110</v>
      </c>
      <c r="S4" s="3" t="s">
        <v>110</v>
      </c>
      <c r="T4" s="3" t="s">
        <v>110</v>
      </c>
      <c r="U4" s="3" t="s">
        <v>110</v>
      </c>
      <c r="V4" s="3" t="s">
        <v>110</v>
      </c>
      <c r="W4" s="3" t="s">
        <v>110</v>
      </c>
      <c r="X4" s="3" t="s">
        <v>110</v>
      </c>
      <c r="Y4" s="3" t="s">
        <v>110</v>
      </c>
      <c r="Z4" s="3" t="s">
        <v>110</v>
      </c>
      <c r="AA4" s="3" t="s">
        <v>110</v>
      </c>
      <c r="AB4" s="3" t="s">
        <v>110</v>
      </c>
      <c r="AC4" s="2" t="s">
        <v>124</v>
      </c>
      <c r="AD4" s="2" t="s">
        <v>125</v>
      </c>
      <c r="AE4" s="2" t="s">
        <v>126</v>
      </c>
      <c r="AF4" s="2" t="s">
        <v>124</v>
      </c>
      <c r="AG4" s="2" t="s">
        <v>125</v>
      </c>
      <c r="AH4" s="2" t="s">
        <v>126</v>
      </c>
      <c r="AI4" s="2" t="s">
        <v>124</v>
      </c>
      <c r="AJ4" s="2" t="s">
        <v>125</v>
      </c>
      <c r="AK4" s="2" t="s">
        <v>126</v>
      </c>
      <c r="AL4" s="2" t="s">
        <v>124</v>
      </c>
      <c r="AM4" s="2" t="s">
        <v>125</v>
      </c>
      <c r="AN4" s="2" t="s">
        <v>126</v>
      </c>
      <c r="AO4" s="2" t="s">
        <v>124</v>
      </c>
      <c r="AP4" s="2" t="s">
        <v>127</v>
      </c>
      <c r="AQ4" s="2" t="s">
        <v>128</v>
      </c>
      <c r="AR4" s="2" t="s">
        <v>124</v>
      </c>
      <c r="AS4" s="2" t="s">
        <v>127</v>
      </c>
      <c r="AT4" s="2" t="s">
        <v>128</v>
      </c>
      <c r="AU4" s="2" t="s">
        <v>124</v>
      </c>
      <c r="AV4" s="2" t="s">
        <v>127</v>
      </c>
      <c r="AW4" s="2" t="s">
        <v>128</v>
      </c>
      <c r="AX4" s="2" t="s">
        <v>124</v>
      </c>
      <c r="AY4" s="2" t="s">
        <v>127</v>
      </c>
      <c r="AZ4" s="2" t="s">
        <v>128</v>
      </c>
      <c r="BA4" s="2" t="s">
        <v>124</v>
      </c>
      <c r="BB4" s="2" t="s">
        <v>127</v>
      </c>
      <c r="BC4" s="2" t="s">
        <v>128</v>
      </c>
      <c r="BD4" s="2" t="s">
        <v>124</v>
      </c>
      <c r="BE4" s="2" t="s">
        <v>127</v>
      </c>
      <c r="BF4" s="2" t="s">
        <v>128</v>
      </c>
      <c r="BG4" s="2" t="s">
        <v>124</v>
      </c>
      <c r="BH4" s="2" t="s">
        <v>127</v>
      </c>
      <c r="BI4" s="2" t="s">
        <v>128</v>
      </c>
      <c r="BJ4" s="2" t="s">
        <v>124</v>
      </c>
      <c r="BK4" s="2" t="s">
        <v>127</v>
      </c>
      <c r="BL4" s="2" t="s">
        <v>128</v>
      </c>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row>
    <row r="5" spans="1:109" x14ac:dyDescent="0.3">
      <c r="A5" s="2" t="s">
        <v>129</v>
      </c>
      <c r="B5" s="5" t="s">
        <v>130</v>
      </c>
      <c r="C5" s="5" t="s">
        <v>130</v>
      </c>
      <c r="D5" s="5" t="s">
        <v>130</v>
      </c>
      <c r="E5" s="5" t="s">
        <v>130</v>
      </c>
      <c r="F5" s="3" t="s">
        <v>110</v>
      </c>
      <c r="G5" s="3" t="s">
        <v>110</v>
      </c>
      <c r="H5" s="3" t="s">
        <v>110</v>
      </c>
      <c r="I5" s="3" t="s">
        <v>110</v>
      </c>
      <c r="J5" s="3" t="s">
        <v>110</v>
      </c>
      <c r="K5" s="3" t="s">
        <v>110</v>
      </c>
      <c r="L5" s="3" t="s">
        <v>110</v>
      </c>
      <c r="M5" s="3" t="s">
        <v>110</v>
      </c>
      <c r="N5" s="3" t="s">
        <v>110</v>
      </c>
      <c r="O5" s="3" t="s">
        <v>110</v>
      </c>
      <c r="P5" s="3" t="s">
        <v>110</v>
      </c>
      <c r="Q5" s="3" t="s">
        <v>110</v>
      </c>
      <c r="R5" s="3" t="s">
        <v>110</v>
      </c>
      <c r="S5" s="3" t="s">
        <v>110</v>
      </c>
      <c r="T5" s="3" t="s">
        <v>110</v>
      </c>
      <c r="U5" s="3" t="s">
        <v>110</v>
      </c>
      <c r="V5" s="3" t="s">
        <v>110</v>
      </c>
      <c r="W5" s="3" t="s">
        <v>110</v>
      </c>
      <c r="X5" s="3" t="s">
        <v>110</v>
      </c>
      <c r="Y5" s="3" t="s">
        <v>110</v>
      </c>
      <c r="Z5" s="3" t="s">
        <v>110</v>
      </c>
      <c r="AA5" s="3" t="s">
        <v>110</v>
      </c>
      <c r="AB5" s="3" t="s">
        <v>110</v>
      </c>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row>
    <row r="6" spans="1:109" x14ac:dyDescent="0.3">
      <c r="A6" s="2" t="s">
        <v>131</v>
      </c>
      <c r="B6" s="3" t="s">
        <v>110</v>
      </c>
      <c r="C6" s="3" t="s">
        <v>110</v>
      </c>
      <c r="D6" s="3" t="s">
        <v>110</v>
      </c>
      <c r="E6" s="3" t="s">
        <v>110</v>
      </c>
      <c r="F6" s="3" t="s">
        <v>110</v>
      </c>
      <c r="G6" s="3" t="s">
        <v>110</v>
      </c>
      <c r="H6" s="3" t="s">
        <v>110</v>
      </c>
      <c r="I6" s="3" t="s">
        <v>110</v>
      </c>
      <c r="J6" s="3" t="s">
        <v>110</v>
      </c>
      <c r="K6" s="3" t="s">
        <v>110</v>
      </c>
      <c r="L6" s="3" t="s">
        <v>110</v>
      </c>
      <c r="M6" s="3" t="s">
        <v>110</v>
      </c>
      <c r="N6" s="5" t="s">
        <v>130</v>
      </c>
      <c r="O6" s="5" t="s">
        <v>130</v>
      </c>
      <c r="P6" s="5" t="s">
        <v>130</v>
      </c>
      <c r="Q6" s="5" t="s">
        <v>130</v>
      </c>
      <c r="R6" s="5" t="s">
        <v>130</v>
      </c>
      <c r="S6" s="5" t="s">
        <v>130</v>
      </c>
      <c r="T6" s="5" t="s">
        <v>130</v>
      </c>
      <c r="U6" s="5" t="s">
        <v>130</v>
      </c>
      <c r="V6" s="5" t="s">
        <v>130</v>
      </c>
      <c r="W6" s="5" t="s">
        <v>130</v>
      </c>
      <c r="X6" s="5" t="s">
        <v>130</v>
      </c>
      <c r="Y6" s="5" t="s">
        <v>130</v>
      </c>
      <c r="Z6" s="5" t="s">
        <v>130</v>
      </c>
      <c r="AA6" s="5" t="s">
        <v>130</v>
      </c>
      <c r="AB6" s="5" t="s">
        <v>130</v>
      </c>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row>
    <row r="7" spans="1:109" x14ac:dyDescent="0.3">
      <c r="A7" s="2" t="s">
        <v>132</v>
      </c>
      <c r="B7" s="3" t="s">
        <v>110</v>
      </c>
      <c r="C7" s="3" t="s">
        <v>110</v>
      </c>
      <c r="D7" s="3" t="s">
        <v>110</v>
      </c>
      <c r="E7" s="3" t="s">
        <v>110</v>
      </c>
      <c r="F7" s="3" t="s">
        <v>110</v>
      </c>
      <c r="G7" s="3" t="s">
        <v>110</v>
      </c>
      <c r="H7" s="3" t="s">
        <v>110</v>
      </c>
      <c r="I7" s="3" t="s">
        <v>110</v>
      </c>
      <c r="J7" s="3" t="s">
        <v>110</v>
      </c>
      <c r="K7" s="3" t="s">
        <v>110</v>
      </c>
      <c r="L7" s="3" t="s">
        <v>110</v>
      </c>
      <c r="M7" s="3" t="s">
        <v>110</v>
      </c>
      <c r="N7" s="5" t="s">
        <v>130</v>
      </c>
      <c r="O7" s="5" t="s">
        <v>130</v>
      </c>
      <c r="P7" s="5" t="s">
        <v>130</v>
      </c>
      <c r="Q7" s="5" t="s">
        <v>130</v>
      </c>
      <c r="R7" s="5" t="s">
        <v>130</v>
      </c>
      <c r="S7" s="5" t="s">
        <v>130</v>
      </c>
      <c r="T7" s="5" t="s">
        <v>130</v>
      </c>
      <c r="U7" s="5" t="s">
        <v>130</v>
      </c>
      <c r="V7" s="5" t="s">
        <v>130</v>
      </c>
      <c r="W7" s="5" t="s">
        <v>130</v>
      </c>
      <c r="X7" s="5" t="s">
        <v>130</v>
      </c>
      <c r="Y7" s="5" t="s">
        <v>130</v>
      </c>
      <c r="Z7" s="5" t="s">
        <v>130</v>
      </c>
      <c r="AA7" s="5" t="s">
        <v>130</v>
      </c>
      <c r="AB7" s="5" t="s">
        <v>130</v>
      </c>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row>
    <row r="8" spans="1:109" x14ac:dyDescent="0.3">
      <c r="A8" s="2" t="s">
        <v>133</v>
      </c>
      <c r="B8" s="5" t="s">
        <v>130</v>
      </c>
      <c r="C8" s="5" t="s">
        <v>130</v>
      </c>
      <c r="D8" s="5" t="s">
        <v>130</v>
      </c>
      <c r="E8" s="5" t="s">
        <v>130</v>
      </c>
      <c r="F8" s="5" t="s">
        <v>130</v>
      </c>
      <c r="G8" s="5" t="s">
        <v>130</v>
      </c>
      <c r="H8" s="5" t="s">
        <v>130</v>
      </c>
      <c r="I8" s="5" t="s">
        <v>130</v>
      </c>
      <c r="J8" s="5" t="s">
        <v>130</v>
      </c>
      <c r="K8" s="5" t="s">
        <v>130</v>
      </c>
      <c r="L8" s="5" t="s">
        <v>130</v>
      </c>
      <c r="M8" s="5" t="s">
        <v>130</v>
      </c>
      <c r="N8" s="3" t="s">
        <v>110</v>
      </c>
      <c r="O8" s="3" t="s">
        <v>110</v>
      </c>
      <c r="P8" s="3" t="s">
        <v>110</v>
      </c>
      <c r="Q8" s="3" t="s">
        <v>110</v>
      </c>
      <c r="R8" s="3" t="s">
        <v>110</v>
      </c>
      <c r="S8" s="3" t="s">
        <v>110</v>
      </c>
      <c r="T8" s="3" t="s">
        <v>110</v>
      </c>
      <c r="U8" s="3" t="s">
        <v>110</v>
      </c>
      <c r="V8" s="3" t="s">
        <v>110</v>
      </c>
      <c r="W8" s="3" t="s">
        <v>110</v>
      </c>
      <c r="X8" s="3" t="s">
        <v>110</v>
      </c>
      <c r="Y8" s="3" t="s">
        <v>110</v>
      </c>
      <c r="Z8" s="3" t="s">
        <v>110</v>
      </c>
      <c r="AA8" s="3" t="s">
        <v>110</v>
      </c>
      <c r="AB8" s="3" t="s">
        <v>110</v>
      </c>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row>
    <row r="9" spans="1:109" x14ac:dyDescent="0.3">
      <c r="A9" s="2" t="s">
        <v>134</v>
      </c>
      <c r="B9" s="3" t="s">
        <v>110</v>
      </c>
      <c r="C9" s="3" t="s">
        <v>110</v>
      </c>
      <c r="D9" s="3" t="s">
        <v>110</v>
      </c>
      <c r="E9" s="3" t="s">
        <v>110</v>
      </c>
      <c r="F9" s="3" t="s">
        <v>110</v>
      </c>
      <c r="G9" s="3" t="s">
        <v>110</v>
      </c>
      <c r="H9" s="3" t="s">
        <v>110</v>
      </c>
      <c r="I9" s="3" t="s">
        <v>110</v>
      </c>
      <c r="J9" s="3" t="s">
        <v>110</v>
      </c>
      <c r="K9" s="3" t="s">
        <v>110</v>
      </c>
      <c r="L9" s="3" t="s">
        <v>110</v>
      </c>
      <c r="M9" s="3" t="s">
        <v>110</v>
      </c>
      <c r="N9" s="5" t="s">
        <v>130</v>
      </c>
      <c r="O9" s="5" t="s">
        <v>130</v>
      </c>
      <c r="P9" s="5" t="s">
        <v>130</v>
      </c>
      <c r="Q9" s="5" t="s">
        <v>130</v>
      </c>
      <c r="R9" s="5" t="s">
        <v>130</v>
      </c>
      <c r="S9" s="5" t="s">
        <v>130</v>
      </c>
      <c r="T9" s="5" t="s">
        <v>130</v>
      </c>
      <c r="U9" s="5" t="s">
        <v>130</v>
      </c>
      <c r="V9" s="5" t="s">
        <v>130</v>
      </c>
      <c r="W9" s="5" t="s">
        <v>130</v>
      </c>
      <c r="X9" s="5" t="s">
        <v>130</v>
      </c>
      <c r="Y9" s="5" t="s">
        <v>130</v>
      </c>
      <c r="Z9" s="5" t="s">
        <v>130</v>
      </c>
      <c r="AA9" s="5" t="s">
        <v>130</v>
      </c>
      <c r="AB9" s="5" t="s">
        <v>130</v>
      </c>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row>
    <row r="10" spans="1:109" x14ac:dyDescent="0.3">
      <c r="A10" s="2" t="s">
        <v>135</v>
      </c>
      <c r="B10" s="5" t="s">
        <v>130</v>
      </c>
      <c r="C10" s="5" t="s">
        <v>130</v>
      </c>
      <c r="D10" s="5" t="s">
        <v>130</v>
      </c>
      <c r="E10" s="5" t="s">
        <v>130</v>
      </c>
      <c r="F10" s="3" t="s">
        <v>110</v>
      </c>
      <c r="G10" s="3" t="s">
        <v>110</v>
      </c>
      <c r="H10" s="3" t="s">
        <v>110</v>
      </c>
      <c r="I10" s="3" t="s">
        <v>110</v>
      </c>
      <c r="J10" s="3" t="s">
        <v>110</v>
      </c>
      <c r="K10" s="3" t="s">
        <v>110</v>
      </c>
      <c r="L10" s="3" t="s">
        <v>110</v>
      </c>
      <c r="M10" s="3" t="s">
        <v>110</v>
      </c>
      <c r="N10" s="3" t="s">
        <v>110</v>
      </c>
      <c r="O10" s="3" t="s">
        <v>110</v>
      </c>
      <c r="P10" s="3" t="s">
        <v>110</v>
      </c>
      <c r="Q10" s="3" t="s">
        <v>110</v>
      </c>
      <c r="R10" s="3" t="s">
        <v>110</v>
      </c>
      <c r="S10" s="3" t="s">
        <v>110</v>
      </c>
      <c r="T10" s="3" t="s">
        <v>110</v>
      </c>
      <c r="U10" s="3" t="s">
        <v>110</v>
      </c>
      <c r="V10" s="3" t="s">
        <v>110</v>
      </c>
      <c r="W10" s="3" t="s">
        <v>110</v>
      </c>
      <c r="X10" s="3" t="s">
        <v>110</v>
      </c>
      <c r="Y10" s="3" t="s">
        <v>110</v>
      </c>
      <c r="Z10" s="3" t="s">
        <v>110</v>
      </c>
      <c r="AA10" s="3" t="s">
        <v>110</v>
      </c>
      <c r="AB10" s="3" t="s">
        <v>110</v>
      </c>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row>
    <row r="11" spans="1:109" x14ac:dyDescent="0.3">
      <c r="A11" s="2" t="s">
        <v>136</v>
      </c>
      <c r="B11" s="4" t="s">
        <v>112</v>
      </c>
      <c r="C11" s="4" t="s">
        <v>112</v>
      </c>
      <c r="D11" s="4" t="s">
        <v>112</v>
      </c>
      <c r="E11" s="4" t="s">
        <v>112</v>
      </c>
      <c r="F11" s="4" t="s">
        <v>112</v>
      </c>
      <c r="G11" s="4" t="s">
        <v>112</v>
      </c>
      <c r="H11" s="4" t="s">
        <v>112</v>
      </c>
      <c r="I11" s="4" t="s">
        <v>112</v>
      </c>
      <c r="J11" s="4" t="s">
        <v>112</v>
      </c>
      <c r="K11" s="4" t="s">
        <v>112</v>
      </c>
      <c r="L11" s="4" t="s">
        <v>112</v>
      </c>
      <c r="M11" s="4" t="s">
        <v>112</v>
      </c>
      <c r="N11" s="4" t="s">
        <v>112</v>
      </c>
      <c r="O11" s="4" t="s">
        <v>112</v>
      </c>
      <c r="P11" s="4" t="s">
        <v>112</v>
      </c>
      <c r="Q11" s="4" t="s">
        <v>112</v>
      </c>
      <c r="R11" s="4" t="s">
        <v>112</v>
      </c>
      <c r="S11" s="4" t="s">
        <v>112</v>
      </c>
      <c r="T11" s="4" t="s">
        <v>112</v>
      </c>
      <c r="U11" s="4" t="s">
        <v>112</v>
      </c>
      <c r="V11" s="4" t="s">
        <v>112</v>
      </c>
      <c r="W11" s="4" t="s">
        <v>112</v>
      </c>
      <c r="X11" s="4" t="s">
        <v>112</v>
      </c>
      <c r="Y11" s="4" t="s">
        <v>112</v>
      </c>
      <c r="Z11" s="4" t="s">
        <v>112</v>
      </c>
      <c r="AA11" s="4" t="s">
        <v>112</v>
      </c>
      <c r="AB11" s="4" t="s">
        <v>112</v>
      </c>
      <c r="AC11" s="2" t="s">
        <v>116</v>
      </c>
      <c r="AD11" s="2" t="s">
        <v>137</v>
      </c>
      <c r="AE11" s="2" t="s">
        <v>138</v>
      </c>
      <c r="AF11" s="2" t="s">
        <v>116</v>
      </c>
      <c r="AG11" s="2" t="s">
        <v>137</v>
      </c>
      <c r="AH11" s="2" t="s">
        <v>138</v>
      </c>
      <c r="AI11" s="2" t="s">
        <v>116</v>
      </c>
      <c r="AJ11" s="2" t="s">
        <v>137</v>
      </c>
      <c r="AK11" s="2" t="s">
        <v>138</v>
      </c>
      <c r="AL11" s="2" t="s">
        <v>116</v>
      </c>
      <c r="AM11" s="2" t="s">
        <v>137</v>
      </c>
      <c r="AN11" s="2" t="s">
        <v>138</v>
      </c>
      <c r="AO11" s="2" t="s">
        <v>116</v>
      </c>
      <c r="AP11" s="2" t="s">
        <v>137</v>
      </c>
      <c r="AQ11" s="2" t="s">
        <v>138</v>
      </c>
      <c r="AR11" s="2" t="s">
        <v>116</v>
      </c>
      <c r="AS11" s="2" t="s">
        <v>137</v>
      </c>
      <c r="AT11" s="2" t="s">
        <v>138</v>
      </c>
      <c r="AU11" s="2" t="s">
        <v>116</v>
      </c>
      <c r="AV11" s="2" t="s">
        <v>137</v>
      </c>
      <c r="AW11" s="2" t="s">
        <v>138</v>
      </c>
      <c r="AX11" s="2" t="s">
        <v>116</v>
      </c>
      <c r="AY11" s="2" t="s">
        <v>137</v>
      </c>
      <c r="AZ11" s="2" t="s">
        <v>138</v>
      </c>
      <c r="BA11" s="2" t="s">
        <v>116</v>
      </c>
      <c r="BB11" s="2" t="s">
        <v>137</v>
      </c>
      <c r="BC11" s="2" t="s">
        <v>138</v>
      </c>
      <c r="BD11" s="2" t="s">
        <v>116</v>
      </c>
      <c r="BE11" s="2" t="s">
        <v>137</v>
      </c>
      <c r="BF11" s="2" t="s">
        <v>138</v>
      </c>
      <c r="BG11" s="2" t="s">
        <v>116</v>
      </c>
      <c r="BH11" s="2" t="s">
        <v>137</v>
      </c>
      <c r="BI11" s="2" t="s">
        <v>138</v>
      </c>
      <c r="BJ11" s="2" t="s">
        <v>116</v>
      </c>
      <c r="BK11" s="2" t="s">
        <v>137</v>
      </c>
      <c r="BL11" s="2" t="s">
        <v>138</v>
      </c>
      <c r="BM11" s="2" t="s">
        <v>116</v>
      </c>
      <c r="BN11" s="2" t="s">
        <v>137</v>
      </c>
      <c r="BO11" s="2" t="s">
        <v>138</v>
      </c>
      <c r="BP11" s="2" t="s">
        <v>116</v>
      </c>
      <c r="BQ11" s="2" t="s">
        <v>137</v>
      </c>
      <c r="BR11" s="2" t="s">
        <v>138</v>
      </c>
      <c r="BS11" s="2" t="s">
        <v>116</v>
      </c>
      <c r="BT11" s="2" t="s">
        <v>137</v>
      </c>
      <c r="BU11" s="2" t="s">
        <v>138</v>
      </c>
      <c r="BV11" s="2" t="s">
        <v>116</v>
      </c>
      <c r="BW11" s="2" t="s">
        <v>137</v>
      </c>
      <c r="BX11" s="2" t="s">
        <v>138</v>
      </c>
      <c r="BY11" s="2" t="s">
        <v>116</v>
      </c>
      <c r="BZ11" s="2" t="s">
        <v>137</v>
      </c>
      <c r="CA11" s="2" t="s">
        <v>138</v>
      </c>
      <c r="CB11" s="2" t="s">
        <v>116</v>
      </c>
      <c r="CC11" s="2" t="s">
        <v>137</v>
      </c>
      <c r="CD11" s="2" t="s">
        <v>138</v>
      </c>
      <c r="CE11" s="2" t="s">
        <v>116</v>
      </c>
      <c r="CF11" s="2" t="s">
        <v>137</v>
      </c>
      <c r="CG11" s="2" t="s">
        <v>138</v>
      </c>
      <c r="CH11" s="2" t="s">
        <v>116</v>
      </c>
      <c r="CI11" s="2" t="s">
        <v>137</v>
      </c>
      <c r="CJ11" s="2" t="s">
        <v>138</v>
      </c>
      <c r="CK11" s="2" t="s">
        <v>116</v>
      </c>
      <c r="CL11" s="2" t="s">
        <v>137</v>
      </c>
      <c r="CM11" s="2" t="s">
        <v>138</v>
      </c>
      <c r="CN11" s="2" t="s">
        <v>116</v>
      </c>
      <c r="CO11" s="2" t="s">
        <v>137</v>
      </c>
      <c r="CP11" s="2" t="s">
        <v>138</v>
      </c>
      <c r="CQ11" s="2" t="s">
        <v>116</v>
      </c>
      <c r="CR11" s="2" t="s">
        <v>137</v>
      </c>
      <c r="CS11" s="2" t="s">
        <v>138</v>
      </c>
      <c r="CT11" s="2" t="s">
        <v>116</v>
      </c>
      <c r="CU11" s="2" t="s">
        <v>137</v>
      </c>
      <c r="CV11" s="2" t="s">
        <v>138</v>
      </c>
      <c r="CW11" s="2" t="s">
        <v>116</v>
      </c>
      <c r="CX11" s="2" t="s">
        <v>137</v>
      </c>
      <c r="CY11" s="2" t="s">
        <v>138</v>
      </c>
      <c r="CZ11" s="2" t="s">
        <v>116</v>
      </c>
      <c r="DA11" s="2" t="s">
        <v>137</v>
      </c>
      <c r="DB11" s="2" t="s">
        <v>138</v>
      </c>
      <c r="DC11" s="2" t="s">
        <v>116</v>
      </c>
      <c r="DD11" s="2" t="s">
        <v>137</v>
      </c>
      <c r="DE11" s="2" t="s">
        <v>138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5"/>
  <sheetViews>
    <sheetView workbookViewId="0"/>
  </sheetViews>
  <sheetFormatPr defaultRowHeight="14.4" x14ac:dyDescent="0.3"/>
  <cols>
    <col min="1" max="1" width="16" customWidth="1"/>
    <col min="2" max="2" width="15" customWidth="1"/>
    <col min="3" max="3" width="34" customWidth="1"/>
    <col min="4" max="4" width="11" customWidth="1"/>
    <col min="5" max="5" width="26" customWidth="1"/>
    <col min="6" max="6" width="48" customWidth="1"/>
    <col min="7" max="7" width="60" customWidth="1"/>
    <col min="8" max="8" width="10" customWidth="1"/>
    <col min="9" max="9" width="14" customWidth="1"/>
  </cols>
  <sheetData>
    <row r="1" spans="1:9" ht="17.399999999999999" customHeight="1" x14ac:dyDescent="0.3">
      <c r="A1" s="6" t="s">
        <v>139</v>
      </c>
    </row>
    <row r="2" spans="1:9" x14ac:dyDescent="0.3">
      <c r="A2" s="7" t="s">
        <v>140</v>
      </c>
    </row>
    <row r="4" spans="1:9" ht="15.6" customHeight="1" x14ac:dyDescent="0.3">
      <c r="A4" s="8" t="s">
        <v>141</v>
      </c>
    </row>
    <row r="5" spans="1:9" x14ac:dyDescent="0.3">
      <c r="A5" s="9" t="s">
        <v>142</v>
      </c>
      <c r="B5" s="9" t="s">
        <v>143</v>
      </c>
      <c r="C5" s="9" t="s">
        <v>144</v>
      </c>
    </row>
    <row r="6" spans="1:9" x14ac:dyDescent="0.3">
      <c r="A6" s="10" t="s">
        <v>130</v>
      </c>
      <c r="B6" s="2">
        <f>COUNTIF(Summary!$B$2:$AB$11,"PASS")</f>
        <v>65</v>
      </c>
      <c r="C6" s="11">
        <f>IF($B$9=0,0,B6/$B$9)</f>
        <v>0.51181102362204722</v>
      </c>
    </row>
    <row r="7" spans="1:9" x14ac:dyDescent="0.3">
      <c r="A7" s="12" t="s">
        <v>112</v>
      </c>
      <c r="B7" s="2">
        <f>COUNTIF(Summary!$B$2:$AB$11,"FAIL")</f>
        <v>44</v>
      </c>
      <c r="C7" s="11">
        <f>IF($B$9=0,0,B7/$B$9)</f>
        <v>0.34645669291338582</v>
      </c>
    </row>
    <row r="8" spans="1:9" x14ac:dyDescent="0.3">
      <c r="A8" s="13" t="s">
        <v>111</v>
      </c>
      <c r="B8" s="2">
        <f>COUNTIF(Summary!$B$2:$AB$11,"ERROR")</f>
        <v>18</v>
      </c>
      <c r="C8" s="11">
        <f>IF($B$9=0,0,B8/$B$9)</f>
        <v>0.14173228346456693</v>
      </c>
    </row>
    <row r="9" spans="1:9" x14ac:dyDescent="0.3">
      <c r="A9" s="14" t="s">
        <v>145</v>
      </c>
      <c r="B9" s="14">
        <f>SUM(B6:B8)</f>
        <v>127</v>
      </c>
      <c r="C9" s="15">
        <f>SUM(C6:C8)</f>
        <v>1</v>
      </c>
    </row>
    <row r="10" spans="1:9" x14ac:dyDescent="0.3">
      <c r="A10" s="2" t="s">
        <v>146</v>
      </c>
      <c r="B10" s="2">
        <f>COUNTIF(Summary!$B$2:$AB$11,"NOT_TESTED")</f>
        <v>143</v>
      </c>
      <c r="C10" s="2"/>
    </row>
    <row r="12" spans="1:9" ht="15.6" customHeight="1" x14ac:dyDescent="0.3">
      <c r="A12" s="8" t="s">
        <v>147</v>
      </c>
    </row>
    <row r="13" spans="1:9" x14ac:dyDescent="0.3">
      <c r="A13" s="9" t="s">
        <v>148</v>
      </c>
      <c r="B13" s="9" t="s">
        <v>149</v>
      </c>
      <c r="C13" s="9" t="s">
        <v>130</v>
      </c>
      <c r="D13" s="9" t="s">
        <v>112</v>
      </c>
      <c r="E13" s="9" t="s">
        <v>111</v>
      </c>
      <c r="F13" s="9" t="s">
        <v>150</v>
      </c>
      <c r="G13" s="9" t="s">
        <v>151</v>
      </c>
      <c r="H13" s="9" t="s">
        <v>152</v>
      </c>
      <c r="I13" s="9" t="s">
        <v>153</v>
      </c>
    </row>
    <row r="14" spans="1:9" x14ac:dyDescent="0.3">
      <c r="A14" s="2" t="str">
        <f>Summary!A2</f>
        <v>issue_009</v>
      </c>
      <c r="B14" s="2">
        <f>COUNTIF(Summary!$B$2:$AB$2,"PASS")+COUNTIF(Summary!$B$2:$AB$2,"FAIL")+COUNTIF(Summary!$B$2:$AB$2,"ERROR")</f>
        <v>8</v>
      </c>
      <c r="C14" s="2">
        <f>COUNTIF(Summary!$B$2:$AB$2,"PASS")</f>
        <v>0</v>
      </c>
      <c r="D14" s="2">
        <f>COUNTIF(Summary!$B$2:$AB$2,"FAIL")</f>
        <v>2</v>
      </c>
      <c r="E14" s="2">
        <f>COUNTIF(Summary!$B$2:$AB$2,"ERROR")</f>
        <v>6</v>
      </c>
      <c r="F14" s="11">
        <f t="shared" ref="F14:F23" si="0">IF($B14=0,0,C14/$B14)</f>
        <v>0</v>
      </c>
      <c r="G14" s="11">
        <f t="shared" ref="G14:G23" si="1">IF($B14=0,0,D14/$B14)</f>
        <v>0.25</v>
      </c>
      <c r="H14" s="11">
        <f t="shared" ref="H14:H23" si="2">IF($B14=0,0,E14/$B14)</f>
        <v>0.75</v>
      </c>
      <c r="I14" s="2" t="str">
        <f t="shared" ref="I14:I23" si="3">IF(C14=B14,"PASS",IF(E14&gt;0,"ERROR","FAIL"))</f>
        <v>ERROR</v>
      </c>
    </row>
    <row r="15" spans="1:9" x14ac:dyDescent="0.3">
      <c r="A15" s="2" t="str">
        <f>Summary!A3</f>
        <v>issue_018_se</v>
      </c>
      <c r="B15" s="2">
        <f>COUNTIF(Summary!$B$3:$AB$3,"PASS")+COUNTIF(Summary!$B$3:$AB$3,"FAIL")+COUNTIF(Summary!$B$3:$AB$3,"ERROR")</f>
        <v>15</v>
      </c>
      <c r="C15" s="2">
        <f>COUNTIF(Summary!$B$3:$AB$3,"PASS")</f>
        <v>0</v>
      </c>
      <c r="D15" s="2">
        <f>COUNTIF(Summary!$B$3:$AB$3,"FAIL")</f>
        <v>15</v>
      </c>
      <c r="E15" s="2">
        <f>COUNTIF(Summary!$B$3:$AB$3,"ERROR")</f>
        <v>0</v>
      </c>
      <c r="F15" s="11">
        <f t="shared" si="0"/>
        <v>0</v>
      </c>
      <c r="G15" s="11">
        <f t="shared" si="1"/>
        <v>1</v>
      </c>
      <c r="H15" s="11">
        <f t="shared" si="2"/>
        <v>0</v>
      </c>
      <c r="I15" s="2" t="str">
        <f t="shared" si="3"/>
        <v>FAIL</v>
      </c>
    </row>
    <row r="16" spans="1:9" x14ac:dyDescent="0.3">
      <c r="A16" s="2" t="str">
        <f>Summary!A4</f>
        <v>issue_021_se</v>
      </c>
      <c r="B16" s="2">
        <f>COUNTIF(Summary!$B$4:$AB$4,"PASS")+COUNTIF(Summary!$B$4:$AB$4,"FAIL")+COUNTIF(Summary!$B$4:$AB$4,"ERROR")</f>
        <v>12</v>
      </c>
      <c r="C16" s="2">
        <f>COUNTIF(Summary!$B$4:$AB$4,"PASS")</f>
        <v>0</v>
      </c>
      <c r="D16" s="2">
        <f>COUNTIF(Summary!$B$4:$AB$4,"FAIL")</f>
        <v>0</v>
      </c>
      <c r="E16" s="2">
        <f>COUNTIF(Summary!$B$4:$AB$4,"ERROR")</f>
        <v>12</v>
      </c>
      <c r="F16" s="11">
        <f t="shared" si="0"/>
        <v>0</v>
      </c>
      <c r="G16" s="11">
        <f t="shared" si="1"/>
        <v>0</v>
      </c>
      <c r="H16" s="11">
        <f t="shared" si="2"/>
        <v>1</v>
      </c>
      <c r="I16" s="2" t="str">
        <f t="shared" si="3"/>
        <v>ERROR</v>
      </c>
    </row>
    <row r="17" spans="1:9" x14ac:dyDescent="0.3">
      <c r="A17" s="2" t="str">
        <f>Summary!A5</f>
        <v>issue_032_se</v>
      </c>
      <c r="B17" s="2">
        <f>COUNTIF(Summary!$B$5:$AB$5,"PASS")+COUNTIF(Summary!$B$5:$AB$5,"FAIL")+COUNTIF(Summary!$B$5:$AB$5,"ERROR")</f>
        <v>4</v>
      </c>
      <c r="C17" s="2">
        <f>COUNTIF(Summary!$B$5:$AB$5,"PASS")</f>
        <v>4</v>
      </c>
      <c r="D17" s="2">
        <f>COUNTIF(Summary!$B$5:$AB$5,"FAIL")</f>
        <v>0</v>
      </c>
      <c r="E17" s="2">
        <f>COUNTIF(Summary!$B$5:$AB$5,"ERROR")</f>
        <v>0</v>
      </c>
      <c r="F17" s="11">
        <f t="shared" si="0"/>
        <v>1</v>
      </c>
      <c r="G17" s="11">
        <f t="shared" si="1"/>
        <v>0</v>
      </c>
      <c r="H17" s="11">
        <f t="shared" si="2"/>
        <v>0</v>
      </c>
      <c r="I17" s="2" t="str">
        <f t="shared" si="3"/>
        <v>PASS</v>
      </c>
    </row>
    <row r="18" spans="1:9" x14ac:dyDescent="0.3">
      <c r="A18" s="2" t="str">
        <f>Summary!A6</f>
        <v>issue_034</v>
      </c>
      <c r="B18" s="2">
        <f>COUNTIF(Summary!$B$6:$AB$6,"PASS")+COUNTIF(Summary!$B$6:$AB$6,"FAIL")+COUNTIF(Summary!$B$6:$AB$6,"ERROR")</f>
        <v>15</v>
      </c>
      <c r="C18" s="2">
        <f>COUNTIF(Summary!$B$6:$AB$6,"PASS")</f>
        <v>15</v>
      </c>
      <c r="D18" s="2">
        <f>COUNTIF(Summary!$B$6:$AB$6,"FAIL")</f>
        <v>0</v>
      </c>
      <c r="E18" s="2">
        <f>COUNTIF(Summary!$B$6:$AB$6,"ERROR")</f>
        <v>0</v>
      </c>
      <c r="F18" s="11">
        <f t="shared" si="0"/>
        <v>1</v>
      </c>
      <c r="G18" s="11">
        <f t="shared" si="1"/>
        <v>0</v>
      </c>
      <c r="H18" s="11">
        <f t="shared" si="2"/>
        <v>0</v>
      </c>
      <c r="I18" s="2" t="str">
        <f t="shared" si="3"/>
        <v>PASS</v>
      </c>
    </row>
    <row r="19" spans="1:9" x14ac:dyDescent="0.3">
      <c r="A19" s="2" t="str">
        <f>Summary!A7</f>
        <v>issue_036</v>
      </c>
      <c r="B19" s="2">
        <f>COUNTIF(Summary!$B$7:$AB$7,"PASS")+COUNTIF(Summary!$B$7:$AB$7,"FAIL")+COUNTIF(Summary!$B$7:$AB$7,"ERROR")</f>
        <v>15</v>
      </c>
      <c r="C19" s="2">
        <f>COUNTIF(Summary!$B$7:$AB$7,"PASS")</f>
        <v>15</v>
      </c>
      <c r="D19" s="2">
        <f>COUNTIF(Summary!$B$7:$AB$7,"FAIL")</f>
        <v>0</v>
      </c>
      <c r="E19" s="2">
        <f>COUNTIF(Summary!$B$7:$AB$7,"ERROR")</f>
        <v>0</v>
      </c>
      <c r="F19" s="11">
        <f t="shared" si="0"/>
        <v>1</v>
      </c>
      <c r="G19" s="11">
        <f t="shared" si="1"/>
        <v>0</v>
      </c>
      <c r="H19" s="11">
        <f t="shared" si="2"/>
        <v>0</v>
      </c>
      <c r="I19" s="2" t="str">
        <f t="shared" si="3"/>
        <v>PASS</v>
      </c>
    </row>
    <row r="20" spans="1:9" x14ac:dyDescent="0.3">
      <c r="A20" s="2" t="str">
        <f>Summary!A8</f>
        <v>issue_058_se</v>
      </c>
      <c r="B20" s="2">
        <f>COUNTIF(Summary!$B$8:$AB$8,"PASS")+COUNTIF(Summary!$B$8:$AB$8,"FAIL")+COUNTIF(Summary!$B$8:$AB$8,"ERROR")</f>
        <v>12</v>
      </c>
      <c r="C20" s="2">
        <f>COUNTIF(Summary!$B$8:$AB$8,"PASS")</f>
        <v>12</v>
      </c>
      <c r="D20" s="2">
        <f>COUNTIF(Summary!$B$8:$AB$8,"FAIL")</f>
        <v>0</v>
      </c>
      <c r="E20" s="2">
        <f>COUNTIF(Summary!$B$8:$AB$8,"ERROR")</f>
        <v>0</v>
      </c>
      <c r="F20" s="11">
        <f t="shared" si="0"/>
        <v>1</v>
      </c>
      <c r="G20" s="11">
        <f t="shared" si="1"/>
        <v>0</v>
      </c>
      <c r="H20" s="11">
        <f t="shared" si="2"/>
        <v>0</v>
      </c>
      <c r="I20" s="2" t="str">
        <f t="shared" si="3"/>
        <v>PASS</v>
      </c>
    </row>
    <row r="21" spans="1:9" x14ac:dyDescent="0.3">
      <c r="A21" s="2" t="str">
        <f>Summary!A9</f>
        <v>issue_061</v>
      </c>
      <c r="B21" s="2">
        <f>COUNTIF(Summary!$B$9:$AB$9,"PASS")+COUNTIF(Summary!$B$9:$AB$9,"FAIL")+COUNTIF(Summary!$B$9:$AB$9,"ERROR")</f>
        <v>15</v>
      </c>
      <c r="C21" s="2">
        <f>COUNTIF(Summary!$B$9:$AB$9,"PASS")</f>
        <v>15</v>
      </c>
      <c r="D21" s="2">
        <f>COUNTIF(Summary!$B$9:$AB$9,"FAIL")</f>
        <v>0</v>
      </c>
      <c r="E21" s="2">
        <f>COUNTIF(Summary!$B$9:$AB$9,"ERROR")</f>
        <v>0</v>
      </c>
      <c r="F21" s="11">
        <f t="shared" si="0"/>
        <v>1</v>
      </c>
      <c r="G21" s="11">
        <f t="shared" si="1"/>
        <v>0</v>
      </c>
      <c r="H21" s="11">
        <f t="shared" si="2"/>
        <v>0</v>
      </c>
      <c r="I21" s="2" t="str">
        <f t="shared" si="3"/>
        <v>PASS</v>
      </c>
    </row>
    <row r="22" spans="1:9" x14ac:dyDescent="0.3">
      <c r="A22" s="2" t="str">
        <f>Summary!A10</f>
        <v>issue_072</v>
      </c>
      <c r="B22" s="2">
        <f>COUNTIF(Summary!$B$10:$AB$10,"PASS")+COUNTIF(Summary!$B$10:$AB$10,"FAIL")+COUNTIF(Summary!$B$10:$AB$10,"ERROR")</f>
        <v>4</v>
      </c>
      <c r="C22" s="2">
        <f>COUNTIF(Summary!$B$10:$AB$10,"PASS")</f>
        <v>4</v>
      </c>
      <c r="D22" s="2">
        <f>COUNTIF(Summary!$B$10:$AB$10,"FAIL")</f>
        <v>0</v>
      </c>
      <c r="E22" s="2">
        <f>COUNTIF(Summary!$B$10:$AB$10,"ERROR")</f>
        <v>0</v>
      </c>
      <c r="F22" s="11">
        <f t="shared" si="0"/>
        <v>1</v>
      </c>
      <c r="G22" s="11">
        <f t="shared" si="1"/>
        <v>0</v>
      </c>
      <c r="H22" s="11">
        <f t="shared" si="2"/>
        <v>0</v>
      </c>
      <c r="I22" s="2" t="str">
        <f t="shared" si="3"/>
        <v>PASS</v>
      </c>
    </row>
    <row r="23" spans="1:9" x14ac:dyDescent="0.3">
      <c r="A23" s="2" t="str">
        <f>Summary!A11</f>
        <v>issue_096</v>
      </c>
      <c r="B23" s="2">
        <f>COUNTIF(Summary!$B$11:$AB$11,"PASS")+COUNTIF(Summary!$B$11:$AB$11,"FAIL")+COUNTIF(Summary!$B$11:$AB$11,"ERROR")</f>
        <v>27</v>
      </c>
      <c r="C23" s="2">
        <f>COUNTIF(Summary!$B$11:$AB$11,"PASS")</f>
        <v>0</v>
      </c>
      <c r="D23" s="2">
        <f>COUNTIF(Summary!$B$11:$AB$11,"FAIL")</f>
        <v>27</v>
      </c>
      <c r="E23" s="2">
        <f>COUNTIF(Summary!$B$11:$AB$11,"ERROR")</f>
        <v>0</v>
      </c>
      <c r="F23" s="11">
        <f t="shared" si="0"/>
        <v>0</v>
      </c>
      <c r="G23" s="11">
        <f t="shared" si="1"/>
        <v>1</v>
      </c>
      <c r="H23" s="11">
        <f t="shared" si="2"/>
        <v>0</v>
      </c>
      <c r="I23" s="2" t="str">
        <f t="shared" si="3"/>
        <v>FAIL</v>
      </c>
    </row>
    <row r="25" spans="1:9" ht="15.6" customHeight="1" x14ac:dyDescent="0.3">
      <c r="A25" s="8" t="s">
        <v>154</v>
      </c>
    </row>
    <row r="26" spans="1:9" x14ac:dyDescent="0.3">
      <c r="A26" s="9" t="s">
        <v>155</v>
      </c>
      <c r="B26" s="9" t="s">
        <v>156</v>
      </c>
      <c r="C26" s="9" t="s">
        <v>157</v>
      </c>
    </row>
    <row r="27" spans="1:9" x14ac:dyDescent="0.3">
      <c r="A27" s="10" t="s">
        <v>130</v>
      </c>
      <c r="B27" s="2">
        <f>COUNTIF($I$14:$I$23,"PASS")</f>
        <v>6</v>
      </c>
      <c r="C27" s="11">
        <f>IF($B$30=0,0,B27/$B$30)</f>
        <v>0.6</v>
      </c>
    </row>
    <row r="28" spans="1:9" x14ac:dyDescent="0.3">
      <c r="A28" s="12" t="s">
        <v>112</v>
      </c>
      <c r="B28" s="2">
        <f>COUNTIF($I$14:$I$23,"FAIL")</f>
        <v>2</v>
      </c>
      <c r="C28" s="11">
        <f>IF($B$30=0,0,B28/$B$30)</f>
        <v>0.2</v>
      </c>
    </row>
    <row r="29" spans="1:9" x14ac:dyDescent="0.3">
      <c r="A29" s="13" t="s">
        <v>111</v>
      </c>
      <c r="B29" s="2">
        <f>COUNTIF($I$14:$I$23,"ERROR")</f>
        <v>2</v>
      </c>
      <c r="C29" s="11">
        <f>IF($B$30=0,0,B29/$B$30)</f>
        <v>0.2</v>
      </c>
    </row>
    <row r="30" spans="1:9" x14ac:dyDescent="0.3">
      <c r="A30" s="14" t="s">
        <v>158</v>
      </c>
      <c r="B30" s="14">
        <f>SUM(B27:B29)</f>
        <v>10</v>
      </c>
      <c r="C30" s="15">
        <f>SUM(C27:C29)</f>
        <v>1</v>
      </c>
    </row>
    <row r="31" spans="1:9" x14ac:dyDescent="0.3">
      <c r="A31" s="7" t="s">
        <v>159</v>
      </c>
    </row>
    <row r="33" spans="1:5" ht="15.6" customHeight="1" x14ac:dyDescent="0.3">
      <c r="A33" s="8" t="s">
        <v>160</v>
      </c>
    </row>
    <row r="34" spans="1:5" x14ac:dyDescent="0.3">
      <c r="A34" s="9" t="s">
        <v>161</v>
      </c>
      <c r="B34" s="9" t="s">
        <v>156</v>
      </c>
      <c r="C34" s="9" t="s">
        <v>157</v>
      </c>
    </row>
    <row r="35" spans="1:5" x14ac:dyDescent="0.3">
      <c r="A35" s="10" t="s">
        <v>162</v>
      </c>
      <c r="B35" s="2">
        <f>COUNTIF($B$40:$B$49,"YES")</f>
        <v>6</v>
      </c>
      <c r="C35" s="11">
        <f>IF(COUNTA($A$40:$A$49)=0,0,B35/COUNTA($A$40:$A$49))</f>
        <v>0.6</v>
      </c>
    </row>
    <row r="36" spans="1:5" x14ac:dyDescent="0.3">
      <c r="A36" s="2" t="s">
        <v>163</v>
      </c>
      <c r="B36" s="2">
        <f>B27</f>
        <v>6</v>
      </c>
      <c r="C36" s="11">
        <f>IF(COUNTA($A$40:$A$49)=0,0,B36/COUNTA($A$40:$A$49))</f>
        <v>0.6</v>
      </c>
    </row>
    <row r="37" spans="1:5" x14ac:dyDescent="0.3">
      <c r="A37" s="2" t="s">
        <v>164</v>
      </c>
      <c r="B37" s="2">
        <f>B35-B36</f>
        <v>0</v>
      </c>
      <c r="C37" s="11">
        <f>IF(COUNTA($A$40:$A$49)=0,0,B37/COUNTA($A$40:$A$49))</f>
        <v>0</v>
      </c>
    </row>
    <row r="38" spans="1:5" x14ac:dyDescent="0.3">
      <c r="A38" s="31" t="s">
        <v>165</v>
      </c>
      <c r="B38" s="2">
        <f>COUNTIF($B$40:$B$49,"NO")</f>
        <v>4</v>
      </c>
      <c r="C38" s="11">
        <f>IF(COUNTA($A$40:$A$49)=0,0,B38/COUNTA($A$40:$A$49))</f>
        <v>0.4</v>
      </c>
    </row>
    <row r="39" spans="1:5" ht="26.4" customHeight="1" x14ac:dyDescent="0.3">
      <c r="A39" s="9" t="s">
        <v>148</v>
      </c>
      <c r="B39" s="9" t="s">
        <v>166</v>
      </c>
      <c r="C39" s="9" t="s">
        <v>167</v>
      </c>
      <c r="D39" s="9" t="s">
        <v>168</v>
      </c>
      <c r="E39" s="9" t="s">
        <v>169</v>
      </c>
    </row>
    <row r="40" spans="1:5" x14ac:dyDescent="0.3">
      <c r="A40" s="32" t="str">
        <f>Summary!A2</f>
        <v>issue_009</v>
      </c>
      <c r="B40" s="33" t="str">
        <f t="shared" ref="B40:B49" si="4">IF(C14&gt;0,"YES","NO")</f>
        <v>NO</v>
      </c>
      <c r="C40" s="17" t="str">
        <f t="array" ref="C40">IF(C14=0,"-",_xlfn.TEXTJOIN(", ",TRUE,IF(Summary!$B$2:$AB$2="PASS",Summary!$B$1:$AB$1,"")))</f>
        <v>-</v>
      </c>
      <c r="D40" s="33">
        <f t="shared" ref="D40:D49" si="5">C14</f>
        <v>0</v>
      </c>
      <c r="E40" s="33">
        <f t="shared" ref="E40:E49" si="6">B14</f>
        <v>8</v>
      </c>
    </row>
    <row r="41" spans="1:5" x14ac:dyDescent="0.3">
      <c r="A41" s="32" t="str">
        <f>Summary!A3</f>
        <v>issue_018_se</v>
      </c>
      <c r="B41" s="33" t="str">
        <f t="shared" si="4"/>
        <v>NO</v>
      </c>
      <c r="C41" s="17" t="str">
        <f t="array" ref="C41">IF(C15=0,"-",_xlfn.TEXTJOIN(", ",TRUE,IF(Summary!$B$3:$AB$3="PASS",Summary!$B$1:$AB$1,"")))</f>
        <v>-</v>
      </c>
      <c r="D41" s="33">
        <f t="shared" si="5"/>
        <v>0</v>
      </c>
      <c r="E41" s="33">
        <f t="shared" si="6"/>
        <v>15</v>
      </c>
    </row>
    <row r="42" spans="1:5" x14ac:dyDescent="0.3">
      <c r="A42" s="32" t="str">
        <f>Summary!A4</f>
        <v>issue_021_se</v>
      </c>
      <c r="B42" s="33" t="str">
        <f t="shared" si="4"/>
        <v>NO</v>
      </c>
      <c r="C42" s="17" t="str">
        <f t="array" ref="C42">IF(C16=0,"-",_xlfn.TEXTJOIN(", ",TRUE,IF(Summary!$B$4:$AB$4="PASS",Summary!$B$1:$AB$1,"")))</f>
        <v>-</v>
      </c>
      <c r="D42" s="33">
        <f t="shared" si="5"/>
        <v>0</v>
      </c>
      <c r="E42" s="33">
        <f t="shared" si="6"/>
        <v>12</v>
      </c>
    </row>
    <row r="43" spans="1:5" x14ac:dyDescent="0.3">
      <c r="A43" s="32" t="str">
        <f>Summary!A5</f>
        <v>issue_032_se</v>
      </c>
      <c r="B43" s="33" t="str">
        <f t="shared" si="4"/>
        <v>YES</v>
      </c>
      <c r="C43" s="17" t="str">
        <f t="array" ref="C43">IF(C17=0,"-",_xlfn.TEXTJOIN(", ",TRUE,IF(Summary!$B$5:$AB$5="PASS",Summary!$B$1:$AB$1,"")))</f>
        <v>0.25.0, 0.25.1, 0.25.2, 0.25.3</v>
      </c>
      <c r="D43" s="33">
        <f t="shared" si="5"/>
        <v>4</v>
      </c>
      <c r="E43" s="33">
        <f t="shared" si="6"/>
        <v>4</v>
      </c>
    </row>
    <row r="44" spans="1:5" ht="39.6" customHeight="1" x14ac:dyDescent="0.3">
      <c r="A44" s="32" t="str">
        <f>Summary!A6</f>
        <v>issue_034</v>
      </c>
      <c r="B44" s="33" t="str">
        <f t="shared" si="4"/>
        <v>YES</v>
      </c>
      <c r="C44" s="17" t="str">
        <f t="array" ref="C44">IF(C18=0,"-",_xlfn.TEXTJOIN(", ",TRUE,IF(Summary!$B$6:$AB$6="PASS",Summary!$B$1:$AB$1,"")))</f>
        <v>1.0.0, 1.0.1, 1.0.2, 1.1.0, 1.1.1, 1.1.2, 1.2.0, 1.2.1, 1.2.2, 1.2.4, 2.0.0, 2.2.0, 2.3.0, 2.4.0, 2.5.0</v>
      </c>
      <c r="D44" s="33">
        <f t="shared" si="5"/>
        <v>15</v>
      </c>
      <c r="E44" s="33">
        <f t="shared" si="6"/>
        <v>15</v>
      </c>
    </row>
    <row r="45" spans="1:5" ht="39.6" customHeight="1" x14ac:dyDescent="0.3">
      <c r="A45" s="32" t="str">
        <f>Summary!A7</f>
        <v>issue_036</v>
      </c>
      <c r="B45" s="33" t="str">
        <f t="shared" si="4"/>
        <v>YES</v>
      </c>
      <c r="C45" s="17" t="str">
        <f t="array" ref="C45">IF(C19=0,"-",_xlfn.TEXTJOIN(", ",TRUE,IF(Summary!$B$7:$AB$7="PASS",Summary!$B$1:$AB$1,"")))</f>
        <v>1.0.0, 1.0.1, 1.0.2, 1.1.0, 1.1.1, 1.1.2, 1.2.0, 1.2.1, 1.2.2, 1.2.4, 2.0.0, 2.2.0, 2.3.0, 2.4.0, 2.5.0</v>
      </c>
      <c r="D45" s="33">
        <f t="shared" si="5"/>
        <v>15</v>
      </c>
      <c r="E45" s="33">
        <f t="shared" si="6"/>
        <v>15</v>
      </c>
    </row>
    <row r="46" spans="1:5" ht="39.6" customHeight="1" x14ac:dyDescent="0.3">
      <c r="A46" s="32" t="str">
        <f>Summary!A8</f>
        <v>issue_058_se</v>
      </c>
      <c r="B46" s="33" t="str">
        <f t="shared" si="4"/>
        <v>YES</v>
      </c>
      <c r="C46" s="17" t="str">
        <f t="array" ref="C46">IF(C20=0,"-",_xlfn.TEXTJOIN(", ",TRUE,IF(Summary!$B$8:$AB$8="PASS",Summary!$B$1:$AB$1,"")))</f>
        <v>0.25.0, 0.25.1, 0.25.2, 0.25.3, 0.45.0, 0.45.1, 0.45.2, 0.45.3, 0.46.0, 0.46.1, 0.46.2, 0.46.3</v>
      </c>
      <c r="D46" s="33">
        <f t="shared" si="5"/>
        <v>12</v>
      </c>
      <c r="E46" s="33">
        <f t="shared" si="6"/>
        <v>12</v>
      </c>
    </row>
    <row r="47" spans="1:5" ht="39.6" x14ac:dyDescent="0.3">
      <c r="A47" s="32" t="str">
        <f>Summary!A9</f>
        <v>issue_061</v>
      </c>
      <c r="B47" s="33" t="str">
        <f t="shared" si="4"/>
        <v>YES</v>
      </c>
      <c r="C47" s="17" t="str">
        <f t="array" ref="C47">IF(C21=0,"-",_xlfn.TEXTJOIN(", ",TRUE,IF(Summary!$B$9:$AB$9="PASS",Summary!$B$1:$AB$1,"")))</f>
        <v>1.0.0, 1.0.1, 1.0.2, 1.1.0, 1.1.1, 1.1.2, 1.2.0, 1.2.1, 1.2.2, 1.2.4, 2.0.0, 2.2.0, 2.3.0, 2.4.0, 2.5.0</v>
      </c>
      <c r="D47" s="33">
        <f t="shared" si="5"/>
        <v>15</v>
      </c>
      <c r="E47" s="33">
        <f t="shared" si="6"/>
        <v>15</v>
      </c>
    </row>
    <row r="48" spans="1:5" x14ac:dyDescent="0.3">
      <c r="A48" s="32" t="str">
        <f>Summary!A10</f>
        <v>issue_072</v>
      </c>
      <c r="B48" s="33" t="str">
        <f t="shared" si="4"/>
        <v>YES</v>
      </c>
      <c r="C48" s="17" t="str">
        <f t="array" ref="C48">IF(C22=0,"-",_xlfn.TEXTJOIN(", ",TRUE,IF(Summary!$B$10:$AB$10="PASS",Summary!$B$1:$AB$1,"")))</f>
        <v>0.25.0, 0.25.1, 0.25.2, 0.25.3</v>
      </c>
      <c r="D48" s="33">
        <f t="shared" si="5"/>
        <v>4</v>
      </c>
      <c r="E48" s="33">
        <f t="shared" si="6"/>
        <v>4</v>
      </c>
    </row>
    <row r="49" spans="1:7" x14ac:dyDescent="0.3">
      <c r="A49" s="32" t="str">
        <f>Summary!A11</f>
        <v>issue_096</v>
      </c>
      <c r="B49" s="33" t="str">
        <f t="shared" si="4"/>
        <v>NO</v>
      </c>
      <c r="C49" s="17" t="str">
        <f t="array" ref="C49">IF(C23=0,"-",_xlfn.TEXTJOIN(", ",TRUE,IF(Summary!$B$11:$AB$11="PASS",Summary!$B$1:$AB$1,"")))</f>
        <v>-</v>
      </c>
      <c r="D49" s="33">
        <f t="shared" si="5"/>
        <v>0</v>
      </c>
      <c r="E49" s="33">
        <f t="shared" si="6"/>
        <v>27</v>
      </c>
    </row>
    <row r="50" spans="1:7" x14ac:dyDescent="0.3">
      <c r="A50" s="7" t="str">
        <f>IF(B37=0,"Every case passed on either all or none of its versions, so the at-least-one count equals the strict count.","Some cases passed on only part of their versions; see the table above.")</f>
        <v>Every case passed on either all or none of its versions, so the at-least-one count equals the strict count.</v>
      </c>
    </row>
    <row r="52" spans="1:7" ht="15.6" customHeight="1" x14ac:dyDescent="0.3">
      <c r="A52" s="8" t="s">
        <v>170</v>
      </c>
    </row>
    <row r="53" spans="1:7" x14ac:dyDescent="0.3">
      <c r="A53" s="9" t="s">
        <v>142</v>
      </c>
      <c r="B53" s="9" t="s">
        <v>148</v>
      </c>
      <c r="C53" s="9" t="s">
        <v>171</v>
      </c>
      <c r="D53" s="9" t="s">
        <v>172</v>
      </c>
      <c r="E53" s="9" t="s">
        <v>173</v>
      </c>
      <c r="F53" s="9" t="s">
        <v>174</v>
      </c>
      <c r="G53" s="9" t="s">
        <v>175</v>
      </c>
    </row>
    <row r="54" spans="1:7" ht="26.4" customHeight="1" x14ac:dyDescent="0.3">
      <c r="A54" s="16" t="s">
        <v>130</v>
      </c>
      <c r="B54" s="17" t="s">
        <v>129</v>
      </c>
      <c r="C54" s="17" t="s">
        <v>176</v>
      </c>
      <c r="D54" s="17">
        <v>4</v>
      </c>
      <c r="E54" s="17"/>
      <c r="F54" s="17"/>
      <c r="G54" s="17" t="s">
        <v>177</v>
      </c>
    </row>
    <row r="55" spans="1:7" ht="26.4" customHeight="1" x14ac:dyDescent="0.3">
      <c r="A55" s="16" t="s">
        <v>130</v>
      </c>
      <c r="B55" s="17" t="s">
        <v>131</v>
      </c>
      <c r="C55" s="17" t="s">
        <v>178</v>
      </c>
      <c r="D55" s="17">
        <v>15</v>
      </c>
      <c r="E55" s="17"/>
      <c r="F55" s="17"/>
      <c r="G55" s="17" t="s">
        <v>179</v>
      </c>
    </row>
    <row r="56" spans="1:7" ht="26.4" customHeight="1" x14ac:dyDescent="0.3">
      <c r="A56" s="16" t="s">
        <v>130</v>
      </c>
      <c r="B56" s="17" t="s">
        <v>132</v>
      </c>
      <c r="C56" s="17" t="s">
        <v>178</v>
      </c>
      <c r="D56" s="17">
        <v>15</v>
      </c>
      <c r="E56" s="17"/>
      <c r="F56" s="17"/>
      <c r="G56" s="17" t="s">
        <v>180</v>
      </c>
    </row>
    <row r="57" spans="1:7" ht="26.4" customHeight="1" x14ac:dyDescent="0.3">
      <c r="A57" s="16" t="s">
        <v>130</v>
      </c>
      <c r="B57" s="17" t="s">
        <v>133</v>
      </c>
      <c r="C57" s="17" t="s">
        <v>181</v>
      </c>
      <c r="D57" s="17">
        <v>12</v>
      </c>
      <c r="E57" s="17"/>
      <c r="F57" s="17"/>
      <c r="G57" s="17" t="s">
        <v>182</v>
      </c>
    </row>
    <row r="58" spans="1:7" ht="26.4" customHeight="1" x14ac:dyDescent="0.3">
      <c r="A58" s="16" t="s">
        <v>130</v>
      </c>
      <c r="B58" s="17" t="s">
        <v>134</v>
      </c>
      <c r="C58" s="17" t="s">
        <v>178</v>
      </c>
      <c r="D58" s="17">
        <v>15</v>
      </c>
      <c r="E58" s="17"/>
      <c r="F58" s="17"/>
      <c r="G58" s="17" t="s">
        <v>183</v>
      </c>
    </row>
    <row r="59" spans="1:7" ht="26.4" customHeight="1" x14ac:dyDescent="0.3">
      <c r="A59" s="16" t="s">
        <v>130</v>
      </c>
      <c r="B59" s="17" t="s">
        <v>135</v>
      </c>
      <c r="C59" s="17" t="s">
        <v>176</v>
      </c>
      <c r="D59" s="17">
        <v>4</v>
      </c>
      <c r="E59" s="17"/>
      <c r="F59" s="17"/>
      <c r="G59" s="17" t="s">
        <v>184</v>
      </c>
    </row>
    <row r="60" spans="1:7" ht="66" customHeight="1" x14ac:dyDescent="0.3">
      <c r="A60" s="18" t="s">
        <v>112</v>
      </c>
      <c r="B60" s="17" t="s">
        <v>119</v>
      </c>
      <c r="C60" s="17" t="s">
        <v>178</v>
      </c>
      <c r="D60" s="17">
        <v>15</v>
      </c>
      <c r="E60" s="17" t="s">
        <v>116</v>
      </c>
      <c r="F60" s="17" t="s">
        <v>120</v>
      </c>
      <c r="G60" s="17" t="s">
        <v>121</v>
      </c>
    </row>
    <row r="61" spans="1:7" ht="66" customHeight="1" x14ac:dyDescent="0.3">
      <c r="A61" s="18" t="s">
        <v>112</v>
      </c>
      <c r="B61" s="17" t="s">
        <v>136</v>
      </c>
      <c r="C61" s="17" t="s">
        <v>185</v>
      </c>
      <c r="D61" s="17">
        <v>27</v>
      </c>
      <c r="E61" s="17" t="s">
        <v>116</v>
      </c>
      <c r="F61" s="17" t="s">
        <v>137</v>
      </c>
      <c r="G61" s="17" t="s">
        <v>138</v>
      </c>
    </row>
    <row r="62" spans="1:7" ht="66" customHeight="1" x14ac:dyDescent="0.3">
      <c r="A62" s="18" t="s">
        <v>112</v>
      </c>
      <c r="B62" s="17" t="s">
        <v>109</v>
      </c>
      <c r="C62" s="17" t="s">
        <v>186</v>
      </c>
      <c r="D62" s="17">
        <v>2</v>
      </c>
      <c r="E62" s="17" t="s">
        <v>116</v>
      </c>
      <c r="F62" s="17" t="s">
        <v>117</v>
      </c>
      <c r="G62" s="17" t="s">
        <v>118</v>
      </c>
    </row>
    <row r="63" spans="1:7" ht="66" customHeight="1" x14ac:dyDescent="0.3">
      <c r="A63" s="19" t="s">
        <v>111</v>
      </c>
      <c r="B63" s="17" t="s">
        <v>109</v>
      </c>
      <c r="C63" s="17" t="s">
        <v>187</v>
      </c>
      <c r="D63" s="17">
        <v>6</v>
      </c>
      <c r="E63" s="17" t="s">
        <v>113</v>
      </c>
      <c r="F63" s="17" t="s">
        <v>114</v>
      </c>
      <c r="G63" s="17" t="s">
        <v>115</v>
      </c>
    </row>
    <row r="64" spans="1:7" ht="66" customHeight="1" x14ac:dyDescent="0.3">
      <c r="A64" s="19" t="s">
        <v>111</v>
      </c>
      <c r="B64" s="17" t="s">
        <v>123</v>
      </c>
      <c r="C64" s="17" t="s">
        <v>176</v>
      </c>
      <c r="D64" s="17">
        <v>4</v>
      </c>
      <c r="E64" s="17" t="s">
        <v>124</v>
      </c>
      <c r="F64" s="17" t="s">
        <v>125</v>
      </c>
      <c r="G64" s="17" t="s">
        <v>126</v>
      </c>
    </row>
    <row r="65" spans="1:7" ht="66" customHeight="1" x14ac:dyDescent="0.3">
      <c r="A65" s="19" t="s">
        <v>111</v>
      </c>
      <c r="B65" s="17" t="s">
        <v>123</v>
      </c>
      <c r="C65" s="17" t="s">
        <v>188</v>
      </c>
      <c r="D65" s="17">
        <v>8</v>
      </c>
      <c r="E65" s="17" t="s">
        <v>124</v>
      </c>
      <c r="F65" s="17" t="s">
        <v>127</v>
      </c>
      <c r="G65" s="17" t="s">
        <v>128</v>
      </c>
    </row>
  </sheetData>
  <conditionalFormatting sqref="B40:B49">
    <cfRule type="cellIs" dxfId="1" priority="1" operator="equal">
      <formula>"YES"</formula>
    </cfRule>
    <cfRule type="cellIs" dxfId="0" priority="2" operator="equal">
      <formula>"NO"</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pane xSplit="1" ySplit="4" topLeftCell="B5" activePane="bottomRight" state="frozen"/>
      <selection pane="topRight"/>
      <selection pane="bottomLeft"/>
      <selection pane="bottomRight"/>
    </sheetView>
  </sheetViews>
  <sheetFormatPr defaultRowHeight="14.4" x14ac:dyDescent="0.3"/>
  <cols>
    <col min="1" max="1" width="14" customWidth="1"/>
    <col min="2" max="2" width="18" customWidth="1"/>
    <col min="3" max="3" width="11" customWidth="1"/>
    <col min="4" max="4" width="45" customWidth="1"/>
    <col min="5" max="5" width="50" customWidth="1"/>
    <col min="6" max="6" width="55" customWidth="1"/>
    <col min="7" max="7" width="50" customWidth="1"/>
    <col min="8" max="8" width="14" customWidth="1"/>
    <col min="9" max="9" width="12" customWidth="1"/>
  </cols>
  <sheetData>
    <row r="1" spans="1:9" ht="17.399999999999999" customHeight="1" x14ac:dyDescent="0.3">
      <c r="A1" s="6" t="s">
        <v>189</v>
      </c>
    </row>
    <row r="2" spans="1:9" ht="30" customHeight="1" x14ac:dyDescent="0.3">
      <c r="A2" s="36" t="s">
        <v>190</v>
      </c>
      <c r="B2" s="35"/>
      <c r="C2" s="35"/>
      <c r="D2" s="35"/>
      <c r="E2" s="35"/>
      <c r="F2" s="35"/>
      <c r="G2" s="35"/>
      <c r="H2" s="35"/>
      <c r="I2" s="35"/>
    </row>
    <row r="4" spans="1:9" ht="27.6" customHeight="1" x14ac:dyDescent="0.3">
      <c r="A4" s="20" t="s">
        <v>148</v>
      </c>
      <c r="B4" s="20" t="s">
        <v>191</v>
      </c>
      <c r="C4" s="20" t="s">
        <v>192</v>
      </c>
      <c r="D4" s="20" t="s">
        <v>193</v>
      </c>
      <c r="E4" s="20" t="s">
        <v>194</v>
      </c>
      <c r="F4" s="20" t="s">
        <v>195</v>
      </c>
      <c r="G4" s="20" t="s">
        <v>196</v>
      </c>
      <c r="H4" s="20" t="s">
        <v>197</v>
      </c>
      <c r="I4" s="20" t="s">
        <v>198</v>
      </c>
    </row>
    <row r="5" spans="1:9" ht="69" customHeight="1" x14ac:dyDescent="0.3">
      <c r="A5" s="21" t="s">
        <v>134</v>
      </c>
      <c r="B5" s="26" t="s">
        <v>199</v>
      </c>
      <c r="C5" s="27" t="s">
        <v>200</v>
      </c>
      <c r="D5" s="24" t="s">
        <v>201</v>
      </c>
      <c r="E5" s="24" t="s">
        <v>202</v>
      </c>
      <c r="F5" s="24" t="s">
        <v>203</v>
      </c>
      <c r="G5" s="24" t="s">
        <v>204</v>
      </c>
      <c r="H5" s="25" t="str">
        <f>COUNTIF(Summary!$B$9:$AB$9,"PASS")&amp;" / "&amp;(COUNTIF(Summary!$B$9:$AB$9,"PASS")+COUNTIF(Summary!$B$9:$AB$9,"FAIL")+COUNTIF(Summary!$B$9:$AB$9,"ERROR"))</f>
        <v>15 / 15</v>
      </c>
      <c r="I5" s="25" t="str">
        <f>IF(COUNTIF(Summary!$B$9:$AB$9,"PASS")=(COUNTIF(Summary!$B$9:$AB$9,"PASS")+COUNTIF(Summary!$B$9:$AB$9,"FAIL")+COUNTIF(Summary!$B$9:$AB$9,"ERROR")),"PASS",IF(COUNTIF(Summary!$B$9:$AB$9,"ERROR")&gt;0,"ERROR","FAIL"))</f>
        <v>PASS</v>
      </c>
    </row>
    <row r="6" spans="1:9" ht="82.8" customHeight="1" x14ac:dyDescent="0.3">
      <c r="A6" s="21" t="s">
        <v>136</v>
      </c>
      <c r="B6" s="22" t="s">
        <v>205</v>
      </c>
      <c r="C6" s="23" t="s">
        <v>206</v>
      </c>
      <c r="D6" s="24" t="s">
        <v>207</v>
      </c>
      <c r="E6" s="24" t="s">
        <v>208</v>
      </c>
      <c r="F6" s="24" t="s">
        <v>209</v>
      </c>
      <c r="G6" s="24" t="s">
        <v>210</v>
      </c>
      <c r="H6" s="25" t="str">
        <f>COUNTIF(Summary!$B$11:$AB$11,"PASS")&amp;" / "&amp;(COUNTIF(Summary!$B$11:$AB$11,"PASS")+COUNTIF(Summary!$B$11:$AB$11,"FAIL")+COUNTIF(Summary!$B$11:$AB$11,"ERROR"))</f>
        <v>0 / 27</v>
      </c>
      <c r="I6" s="25" t="str">
        <f>IF(COUNTIF(Summary!$B$11:$AB$11,"PASS")=(COUNTIF(Summary!$B$11:$AB$11,"PASS")+COUNTIF(Summary!$B$11:$AB$11,"FAIL")+COUNTIF(Summary!$B$11:$AB$11,"ERROR")),"PASS",IF(COUNTIF(Summary!$B$11:$AB$11,"ERROR")&gt;0,"ERROR","FAIL"))</f>
        <v>FAIL</v>
      </c>
    </row>
    <row r="7" spans="1:9" ht="55.2" customHeight="1" x14ac:dyDescent="0.3">
      <c r="A7" s="21" t="s">
        <v>123</v>
      </c>
      <c r="B7" s="26" t="s">
        <v>211</v>
      </c>
      <c r="C7" s="27" t="s">
        <v>212</v>
      </c>
      <c r="D7" s="24" t="s">
        <v>213</v>
      </c>
      <c r="E7" s="24" t="s">
        <v>214</v>
      </c>
      <c r="F7" s="24" t="s">
        <v>215</v>
      </c>
      <c r="G7" s="24" t="s">
        <v>216</v>
      </c>
      <c r="H7" s="25" t="str">
        <f>COUNTIF(Summary!$B$4:$AB$4,"PASS")&amp;" / "&amp;(COUNTIF(Summary!$B$4:$AB$4,"PASS")+COUNTIF(Summary!$B$4:$AB$4,"FAIL")+COUNTIF(Summary!$B$4:$AB$4,"ERROR"))</f>
        <v>0 / 12</v>
      </c>
      <c r="I7" s="25" t="str">
        <f>IF(COUNTIF(Summary!$B$4:$AB$4,"PASS")=(COUNTIF(Summary!$B$4:$AB$4,"PASS")+COUNTIF(Summary!$B$4:$AB$4,"FAIL")+COUNTIF(Summary!$B$4:$AB$4,"ERROR")),"PASS",IF(COUNTIF(Summary!$B$4:$AB$4,"ERROR")&gt;0,"ERROR","FAIL"))</f>
        <v>ERROR</v>
      </c>
    </row>
    <row r="8" spans="1:9" ht="41.4" customHeight="1" x14ac:dyDescent="0.3">
      <c r="A8" s="21" t="s">
        <v>131</v>
      </c>
      <c r="B8" s="26" t="s">
        <v>211</v>
      </c>
      <c r="C8" s="27" t="s">
        <v>212</v>
      </c>
      <c r="D8" s="24" t="s">
        <v>217</v>
      </c>
      <c r="E8" s="24" t="s">
        <v>218</v>
      </c>
      <c r="F8" s="24" t="s">
        <v>219</v>
      </c>
      <c r="G8" s="24" t="s">
        <v>220</v>
      </c>
      <c r="H8" s="25" t="str">
        <f>COUNTIF(Summary!$B$6:$AB$6,"PASS")&amp;" / "&amp;(COUNTIF(Summary!$B$6:$AB$6,"PASS")+COUNTIF(Summary!$B$6:$AB$6,"FAIL")+COUNTIF(Summary!$B$6:$AB$6,"ERROR"))</f>
        <v>15 / 15</v>
      </c>
      <c r="I8" s="25" t="str">
        <f>IF(COUNTIF(Summary!$B$6:$AB$6,"PASS")=(COUNTIF(Summary!$B$6:$AB$6,"PASS")+COUNTIF(Summary!$B$6:$AB$6,"FAIL")+COUNTIF(Summary!$B$6:$AB$6,"ERROR")),"PASS",IF(COUNTIF(Summary!$B$6:$AB$6,"ERROR")&gt;0,"ERROR","FAIL"))</f>
        <v>PASS</v>
      </c>
    </row>
    <row r="9" spans="1:9" ht="41.4" customHeight="1" x14ac:dyDescent="0.3">
      <c r="A9" s="21" t="s">
        <v>133</v>
      </c>
      <c r="B9" s="26" t="s">
        <v>211</v>
      </c>
      <c r="C9" s="27" t="s">
        <v>212</v>
      </c>
      <c r="D9" s="24" t="s">
        <v>221</v>
      </c>
      <c r="E9" s="24" t="s">
        <v>222</v>
      </c>
      <c r="F9" s="24" t="s">
        <v>223</v>
      </c>
      <c r="G9" s="24" t="s">
        <v>224</v>
      </c>
      <c r="H9" s="25" t="str">
        <f>COUNTIF(Summary!$B$8:$AB$8,"PASS")&amp;" / "&amp;(COUNTIF(Summary!$B$8:$AB$8,"PASS")+COUNTIF(Summary!$B$8:$AB$8,"FAIL")+COUNTIF(Summary!$B$8:$AB$8,"ERROR"))</f>
        <v>12 / 12</v>
      </c>
      <c r="I9" s="25" t="str">
        <f>IF(COUNTIF(Summary!$B$8:$AB$8,"PASS")=(COUNTIF(Summary!$B$8:$AB$8,"PASS")+COUNTIF(Summary!$B$8:$AB$8,"FAIL")+COUNTIF(Summary!$B$8:$AB$8,"ERROR")),"PASS",IF(COUNTIF(Summary!$B$8:$AB$8,"ERROR")&gt;0,"ERROR","FAIL"))</f>
        <v>PASS</v>
      </c>
    </row>
    <row r="11" spans="1:9" x14ac:dyDescent="0.3">
      <c r="A11" s="28" t="s">
        <v>225</v>
      </c>
    </row>
    <row r="12" spans="1:9" ht="45" customHeight="1" x14ac:dyDescent="0.3">
      <c r="A12" s="34" t="s">
        <v>226</v>
      </c>
      <c r="B12" s="35"/>
      <c r="C12" s="35"/>
      <c r="D12" s="35"/>
      <c r="E12" s="35"/>
      <c r="F12" s="35"/>
      <c r="G12" s="35"/>
      <c r="H12" s="35"/>
      <c r="I12" s="35"/>
    </row>
  </sheetData>
  <mergeCells count="2">
    <mergeCell ref="A12:I12"/>
    <mergeCell ref="A2:I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Stats &amp; Notes</vt:lpstr>
      <vt:lpstr>Test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Saumya Brahmbhatt</cp:lastModifiedBy>
  <dcterms:created xsi:type="dcterms:W3CDTF">2026-09-28T22:18:15Z</dcterms:created>
  <dcterms:modified xsi:type="dcterms:W3CDTF">2026-10-01T19:04:20Z</dcterms:modified>
</cp:coreProperties>
</file>