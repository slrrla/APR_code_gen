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516" yWindow="3360" windowWidth="17280" windowHeight="8880" tabRatio="600" firstSheet="0" activeTab="0" autoFilterDateGrouping="1"/>
  </bookViews>
  <sheets>
    <sheet name="Summary" sheetId="1" state="visible" r:id="rId1"/>
    <sheet name="Stats &amp; Notes" sheetId="2" state="visible" r:id="rId2"/>
    <sheet name="Test Review"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Arial"/>
      <b val="1"/>
      <color rgb="FFFFFFFF"/>
      <sz val="10"/>
    </font>
    <font>
      <name val="Arial"/>
      <sz val="10"/>
    </font>
    <font>
      <name val="Arial"/>
      <b val="1"/>
      <sz val="14"/>
    </font>
    <font>
      <name val="Arial"/>
      <i val="1"/>
      <sz val="9"/>
    </font>
    <font>
      <name val="Arial"/>
      <b val="1"/>
      <sz val="12"/>
    </font>
    <font>
      <name val="Arial"/>
      <b val="1"/>
      <sz val="10"/>
    </font>
    <font>
      <name val="Arial"/>
      <i val="1"/>
      <sz val="10"/>
    </font>
    <font>
      <name val="Arial"/>
      <b val="1"/>
      <sz val="11"/>
    </font>
    <font>
      <name val="Arial"/>
      <sz val="11"/>
    </font>
    <font>
      <name val="Arial"/>
      <b val="1"/>
      <color rgb="00FFFFFF"/>
      <sz val="10"/>
    </font>
  </fonts>
  <fills count="15">
    <fill>
      <patternFill/>
    </fill>
    <fill>
      <patternFill patternType="gray125"/>
    </fill>
    <fill>
      <patternFill patternType="solid">
        <fgColor rgb="FF1F4E78"/>
      </patternFill>
    </fill>
    <fill>
      <patternFill patternType="solid">
        <fgColor rgb="FFEDEDED"/>
      </patternFill>
    </fill>
    <fill>
      <patternFill patternType="solid">
        <fgColor rgb="FFFFEB9C"/>
      </patternFill>
    </fill>
    <fill>
      <patternFill patternType="solid">
        <fgColor rgb="FFFFC7CE"/>
      </patternFill>
    </fill>
    <fill>
      <patternFill patternType="solid">
        <fgColor rgb="FFC6EFCE"/>
      </patternFill>
    </fill>
    <fill>
      <patternFill patternType="solid">
        <fgColor rgb="FFD9E1F2"/>
      </patternFill>
    </fill>
    <fill>
      <patternFill patternType="solid">
        <fgColor rgb="FFFFC7CE"/>
      </patternFill>
    </fill>
    <fill>
      <patternFill patternType="solid">
        <fgColor rgb="FFFFEB9C"/>
      </patternFill>
    </fill>
    <fill>
      <patternFill patternType="solid">
        <fgColor rgb="001F4E78"/>
      </patternFill>
    </fill>
    <fill>
      <patternFill patternType="solid">
        <fgColor rgb="00EDEDED"/>
      </patternFill>
    </fill>
    <fill>
      <patternFill patternType="solid">
        <fgColor rgb="00FFEB9C"/>
      </patternFill>
    </fill>
    <fill>
      <patternFill patternType="solid">
        <fgColor rgb="00FFC7CE"/>
      </patternFill>
    </fill>
    <fill>
      <patternFill patternType="solid">
        <fgColor rgb="00C6EFCE"/>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4">
    <xf numFmtId="0" fontId="0" fillId="0" borderId="0" pivotButton="0" quotePrefix="0" xfId="0"/>
    <xf numFmtId="0" fontId="1" fillId="2" borderId="0" applyAlignment="1" pivotButton="0" quotePrefix="0" xfId="0">
      <alignment vertical="center" wrapText="1"/>
    </xf>
    <xf numFmtId="0" fontId="2" fillId="0" borderId="1" pivotButton="0" quotePrefix="0" xfId="0"/>
    <xf numFmtId="0" fontId="2" fillId="3" borderId="1" applyAlignment="1" pivotButton="0" quotePrefix="0" xfId="0">
      <alignment horizontal="center"/>
    </xf>
    <xf numFmtId="0" fontId="2" fillId="5" borderId="1" applyAlignment="1" pivotButton="0" quotePrefix="0" xfId="0">
      <alignment horizontal="center"/>
    </xf>
    <xf numFmtId="0" fontId="2" fillId="6" borderId="1" applyAlignment="1" pivotButton="0" quotePrefix="0" xfId="0">
      <alignment horizontal="center"/>
    </xf>
    <xf numFmtId="0" fontId="3"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vertical="center" wrapText="1"/>
    </xf>
    <xf numFmtId="0" fontId="2" fillId="6" borderId="1" pivotButton="0" quotePrefix="0" xfId="0"/>
    <xf numFmtId="164" fontId="2" fillId="0" borderId="1" pivotButton="0" quotePrefix="0" xfId="0"/>
    <xf numFmtId="0" fontId="2" fillId="5" borderId="1" pivotButton="0" quotePrefix="0" xfId="0"/>
    <xf numFmtId="0" fontId="2" fillId="4" borderId="1" pivotButton="0" quotePrefix="0" xfId="0"/>
    <xf numFmtId="0" fontId="6" fillId="0" borderId="1" pivotButton="0" quotePrefix="0" xfId="0"/>
    <xf numFmtId="164" fontId="6" fillId="0" borderId="1" pivotButton="0" quotePrefix="0" xfId="0"/>
    <xf numFmtId="0" fontId="2" fillId="6"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0" fontId="2" fillId="4" borderId="1" applyAlignment="1" pivotButton="0" quotePrefix="0" xfId="0">
      <alignment vertical="top" wrapText="1"/>
    </xf>
    <xf numFmtId="0" fontId="8" fillId="7" borderId="2" applyAlignment="1" pivotButton="0" quotePrefix="0" xfId="0">
      <alignment vertical="center" wrapText="1"/>
    </xf>
    <xf numFmtId="0" fontId="8" fillId="0" borderId="2" applyAlignment="1" pivotButton="0" quotePrefix="0" xfId="0">
      <alignment vertical="top" wrapText="1"/>
    </xf>
    <xf numFmtId="0" fontId="8" fillId="8" borderId="2" applyAlignment="1" pivotButton="0" quotePrefix="0" xfId="0">
      <alignment vertical="top" wrapText="1"/>
    </xf>
    <xf numFmtId="0" fontId="9" fillId="8" borderId="2" applyAlignment="1" pivotButton="0" quotePrefix="0" xfId="0">
      <alignment vertical="top" wrapText="1"/>
    </xf>
    <xf numFmtId="0" fontId="9" fillId="0" borderId="2" applyAlignment="1" pivotButton="0" quotePrefix="0" xfId="0">
      <alignment vertical="top" wrapText="1"/>
    </xf>
    <xf numFmtId="0" fontId="9" fillId="0" borderId="2" applyAlignment="1" pivotButton="0" quotePrefix="0" xfId="0">
      <alignment horizontal="center" vertical="top"/>
    </xf>
    <xf numFmtId="0" fontId="8" fillId="9" borderId="2" applyAlignment="1" pivotButton="0" quotePrefix="0" xfId="0">
      <alignment vertical="top" wrapText="1"/>
    </xf>
    <xf numFmtId="0" fontId="9" fillId="9" borderId="2" applyAlignment="1" pivotButton="0" quotePrefix="0" xfId="0">
      <alignment vertical="top" wrapText="1"/>
    </xf>
    <xf numFmtId="0" fontId="8" fillId="0" borderId="0" pivotButton="0" quotePrefix="0" xfId="0"/>
    <xf numFmtId="0" fontId="2" fillId="9" borderId="1" applyAlignment="1" pivotButton="0" quotePrefix="0" xfId="0">
      <alignment horizontal="center"/>
    </xf>
    <xf numFmtId="0" fontId="2" fillId="8" borderId="1" applyAlignment="1" pivotButton="0" quotePrefix="0" xfId="0">
      <alignment horizontal="center"/>
    </xf>
    <xf numFmtId="0" fontId="2" fillId="8" borderId="1" pivotButton="0" quotePrefix="0" xfId="0"/>
    <xf numFmtId="0" fontId="2" fillId="0" borderId="1" applyAlignment="1" pivotButton="0" quotePrefix="0" xfId="0">
      <alignment vertical="top"/>
    </xf>
    <xf numFmtId="0" fontId="2" fillId="0" borderId="1" applyAlignment="1" pivotButton="0" quotePrefix="0" xfId="0">
      <alignment horizontal="center" vertical="top"/>
    </xf>
    <xf numFmtId="0" fontId="9" fillId="0" borderId="0" applyAlignment="1" pivotButton="0" quotePrefix="0" xfId="0">
      <alignment vertical="top" wrapText="1"/>
    </xf>
    <xf numFmtId="0" fontId="0" fillId="0" borderId="0" pivotButton="0" quotePrefix="0" xfId="0"/>
    <xf numFmtId="0" fontId="7" fillId="0" borderId="0" applyAlignment="1" pivotButton="0" quotePrefix="0" xfId="0">
      <alignment vertical="top" wrapText="1"/>
    </xf>
    <xf numFmtId="0" fontId="10" fillId="10" borderId="0" applyAlignment="1" pivotButton="0" quotePrefix="0" xfId="0">
      <alignment vertical="center" wrapText="1"/>
    </xf>
    <xf numFmtId="0" fontId="2" fillId="0" borderId="3" pivotButton="0" quotePrefix="0" xfId="0"/>
    <xf numFmtId="0" fontId="2" fillId="11" borderId="3" applyAlignment="1" pivotButton="0" quotePrefix="0" xfId="0">
      <alignment horizontal="center"/>
    </xf>
    <xf numFmtId="0" fontId="2" fillId="12" borderId="3" applyAlignment="1" pivotButton="0" quotePrefix="0" xfId="0">
      <alignment horizontal="center"/>
    </xf>
    <xf numFmtId="0" fontId="2" fillId="13" borderId="3" applyAlignment="1" pivotButton="0" quotePrefix="0" xfId="0">
      <alignment horizontal="center"/>
    </xf>
    <xf numFmtId="0" fontId="2" fillId="14" borderId="3" applyAlignment="1" pivotButton="0" quotePrefix="0" xfId="0">
      <alignment horizontal="center"/>
    </xf>
    <xf numFmtId="0" fontId="10" fillId="10" borderId="3" applyAlignment="1" pivotButton="0" quotePrefix="0" xfId="0">
      <alignment vertical="center" wrapText="1"/>
    </xf>
    <xf numFmtId="0" fontId="2" fillId="14" borderId="3" pivotButton="0" quotePrefix="0" xfId="0"/>
    <xf numFmtId="164" fontId="2" fillId="0" borderId="3" pivotButton="0" quotePrefix="0" xfId="0"/>
    <xf numFmtId="0" fontId="2" fillId="13" borderId="3" pivotButton="0" quotePrefix="0" xfId="0"/>
    <xf numFmtId="0" fontId="2" fillId="12" borderId="3" pivotButton="0" quotePrefix="0" xfId="0"/>
    <xf numFmtId="0" fontId="6" fillId="0" borderId="3" pivotButton="0" quotePrefix="0" xfId="0"/>
    <xf numFmtId="164" fontId="6" fillId="0" borderId="3" pivotButton="0" quotePrefix="0" xfId="0"/>
    <xf numFmtId="0" fontId="2" fillId="0" borderId="3" applyAlignment="1" pivotButton="0" quotePrefix="0" xfId="0">
      <alignment vertical="top" wrapText="1"/>
    </xf>
    <xf numFmtId="0" fontId="2" fillId="14" borderId="3" applyAlignment="1" pivotButton="0" quotePrefix="0" xfId="0">
      <alignment vertical="top" wrapText="1"/>
    </xf>
    <xf numFmtId="0" fontId="2" fillId="13" borderId="3" applyAlignment="1" pivotButton="0" quotePrefix="0" xfId="0">
      <alignment vertical="top" wrapText="1"/>
    </xf>
    <xf numFmtId="0" fontId="2" fillId="12" borderId="3" applyAlignment="1" pivotButton="0" quotePrefix="0" xfId="0">
      <alignment vertical="top" wrapText="1"/>
    </xf>
  </cellXfs>
  <cellStyles count="1">
    <cellStyle name="Normal" xfId="0" builtinId="0"/>
  </cellStyles>
  <dxfs count="4">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35" min="1" max="1"/>
    <col width="11" customWidth="1" style="35" min="2" max="2"/>
    <col width="11" customWidth="1" style="35" min="3" max="3"/>
    <col width="11" customWidth="1" style="35" min="4" max="4"/>
    <col width="11" customWidth="1" style="35" min="5" max="5"/>
    <col width="11" customWidth="1" style="35" min="6" max="6"/>
    <col width="11" customWidth="1" style="35" min="7" max="7"/>
    <col width="11" customWidth="1" style="35" min="8" max="8"/>
    <col width="11" customWidth="1" style="35" min="9" max="9"/>
    <col width="11" customWidth="1" style="35" min="10" max="10"/>
    <col width="11" customWidth="1" style="35" min="11" max="11"/>
    <col width="11" customWidth="1" style="35" min="12" max="12"/>
    <col width="11" customWidth="1" style="35" min="13" max="13"/>
    <col width="11" customWidth="1" style="35" min="14" max="14"/>
    <col width="11" customWidth="1" style="35" min="15" max="15"/>
    <col width="11" customWidth="1" style="35" min="16" max="16"/>
    <col width="11" customWidth="1" style="35" min="17" max="17"/>
    <col width="11" customWidth="1" style="35" min="18" max="18"/>
    <col width="11" customWidth="1" style="35" min="19" max="19"/>
    <col width="11" customWidth="1" style="35" min="20" max="20"/>
    <col width="11" customWidth="1" style="35" min="21" max="21"/>
    <col width="11" customWidth="1" style="35" min="22" max="22"/>
    <col width="11" customWidth="1" style="35" min="23" max="23"/>
    <col width="11" customWidth="1" style="35" min="24" max="24"/>
    <col width="11" customWidth="1" style="35" min="25" max="25"/>
    <col width="11" customWidth="1" style="35" min="26" max="26"/>
    <col width="11" customWidth="1" style="35" min="27" max="27"/>
    <col width="11" customWidth="1" style="35" min="28" max="28"/>
    <col width="28" customWidth="1" style="35" min="29" max="29"/>
    <col width="28" customWidth="1" style="35" min="30" max="30"/>
    <col width="28" customWidth="1" style="35" min="31" max="31"/>
    <col width="28" customWidth="1" style="35" min="32" max="32"/>
    <col width="28" customWidth="1" style="35" min="33" max="33"/>
    <col width="28" customWidth="1" style="35" min="34" max="34"/>
    <col width="28" customWidth="1" style="35" min="35" max="35"/>
    <col width="28" customWidth="1" style="35" min="36" max="36"/>
    <col width="28" customWidth="1" style="35" min="37" max="37"/>
    <col width="28" customWidth="1" style="35" min="38" max="38"/>
    <col width="28" customWidth="1" style="35" min="39" max="39"/>
    <col width="28" customWidth="1" style="35" min="40" max="40"/>
    <col width="28" customWidth="1" style="35" min="41" max="41"/>
    <col width="28" customWidth="1" style="35" min="42" max="42"/>
    <col width="28" customWidth="1" style="35" min="43" max="43"/>
    <col width="28" customWidth="1" style="35" min="44" max="44"/>
    <col width="28" customWidth="1" style="35" min="45" max="45"/>
    <col width="28" customWidth="1" style="35" min="46" max="46"/>
    <col width="28" customWidth="1" style="35" min="47" max="47"/>
    <col width="28" customWidth="1" style="35" min="48" max="48"/>
    <col width="28" customWidth="1" style="35" min="49" max="49"/>
    <col width="28" customWidth="1" style="35" min="50" max="50"/>
    <col width="28" customWidth="1" style="35" min="51" max="51"/>
    <col width="28" customWidth="1" style="35" min="52" max="52"/>
    <col width="28" customWidth="1" style="35" min="53" max="53"/>
    <col width="28" customWidth="1" style="35" min="54" max="54"/>
    <col width="28" customWidth="1" style="35" min="55" max="55"/>
    <col width="28" customWidth="1" style="35" min="56" max="56"/>
    <col width="28" customWidth="1" style="35" min="57" max="57"/>
    <col width="28" customWidth="1" style="35" min="58" max="58"/>
    <col width="28" customWidth="1" style="35" min="59" max="59"/>
    <col width="28" customWidth="1" style="35" min="60" max="60"/>
    <col width="28" customWidth="1" style="35" min="61" max="61"/>
    <col width="28" customWidth="1" style="35" min="62" max="62"/>
    <col width="28" customWidth="1" style="35" min="63" max="63"/>
    <col width="28" customWidth="1" style="35" min="64" max="64"/>
    <col width="28" customWidth="1" style="35" min="65" max="65"/>
    <col width="28" customWidth="1" style="35" min="66" max="66"/>
    <col width="28" customWidth="1" style="35" min="67" max="67"/>
    <col width="28" customWidth="1" style="35" min="68" max="68"/>
    <col width="28" customWidth="1" style="35" min="69" max="69"/>
    <col width="28" customWidth="1" style="35" min="70" max="70"/>
    <col width="28" customWidth="1" style="35" min="71" max="71"/>
    <col width="28" customWidth="1" style="35" min="72" max="72"/>
    <col width="28" customWidth="1" style="35" min="73" max="73"/>
    <col width="28" customWidth="1" style="35" min="74" max="74"/>
    <col width="28" customWidth="1" style="35" min="75" max="75"/>
    <col width="28" customWidth="1" style="35" min="76" max="76"/>
    <col width="28" customWidth="1" style="35" min="77" max="77"/>
    <col width="28" customWidth="1" style="35" min="78" max="78"/>
    <col width="28" customWidth="1" style="35" min="79" max="79"/>
    <col width="28" customWidth="1" style="35" min="80" max="80"/>
    <col width="28" customWidth="1" style="35" min="81" max="81"/>
    <col width="28" customWidth="1" style="35" min="82" max="82"/>
    <col width="28" customWidth="1" style="35" min="83" max="83"/>
    <col width="28" customWidth="1" style="35" min="84" max="84"/>
    <col width="28" customWidth="1" style="35" min="85" max="85"/>
    <col width="28" customWidth="1" style="35" min="86" max="86"/>
    <col width="28" customWidth="1" style="35" min="87" max="87"/>
    <col width="28" customWidth="1" style="35" min="88" max="88"/>
    <col width="28" customWidth="1" style="35" min="89" max="89"/>
    <col width="28" customWidth="1" style="35" min="90" max="90"/>
    <col width="28" customWidth="1" style="35" min="91" max="91"/>
    <col width="28" customWidth="1" style="35" min="92" max="92"/>
    <col width="28" customWidth="1" style="35" min="93" max="93"/>
    <col width="28" customWidth="1" style="35" min="94" max="94"/>
    <col width="28" customWidth="1" style="35" min="95" max="95"/>
    <col width="28" customWidth="1" style="35" min="96" max="96"/>
    <col width="28" customWidth="1" style="35" min="97" max="97"/>
    <col width="28" customWidth="1" style="35" min="98" max="98"/>
    <col width="28" customWidth="1" style="35" min="99" max="99"/>
    <col width="28" customWidth="1" style="35" min="100" max="100"/>
    <col width="28" customWidth="1" style="35" min="101" max="101"/>
    <col width="28" customWidth="1" style="35" min="102" max="102"/>
    <col width="28" customWidth="1" style="35" min="103" max="103"/>
    <col width="28" customWidth="1" style="35" min="104" max="104"/>
    <col width="28" customWidth="1" style="35" min="105" max="105"/>
    <col width="28" customWidth="1" style="35" min="106" max="106"/>
    <col width="28" customWidth="1" style="35" min="107" max="107"/>
    <col width="28" customWidth="1" style="35" min="108" max="108"/>
    <col width="28" customWidth="1" style="35" min="109" max="109"/>
  </cols>
  <sheetData>
    <row r="1">
      <c r="A1" s="37" t="inlineStr">
        <is>
          <t>case_id</t>
        </is>
      </c>
      <c r="B1" s="37" t="inlineStr">
        <is>
          <t>0.25.0</t>
        </is>
      </c>
      <c r="C1" s="37" t="inlineStr">
        <is>
          <t>0.25.1</t>
        </is>
      </c>
      <c r="D1" s="37" t="inlineStr">
        <is>
          <t>0.25.2</t>
        </is>
      </c>
      <c r="E1" s="37" t="inlineStr">
        <is>
          <t>0.25.3</t>
        </is>
      </c>
      <c r="F1" s="37" t="inlineStr">
        <is>
          <t>0.45.0</t>
        </is>
      </c>
      <c r="G1" s="37" t="inlineStr">
        <is>
          <t>0.45.1</t>
        </is>
      </c>
      <c r="H1" s="37" t="inlineStr">
        <is>
          <t>0.45.2</t>
        </is>
      </c>
      <c r="I1" s="37" t="inlineStr">
        <is>
          <t>0.45.3</t>
        </is>
      </c>
      <c r="J1" s="37" t="inlineStr">
        <is>
          <t>0.46.0</t>
        </is>
      </c>
      <c r="K1" s="37" t="inlineStr">
        <is>
          <t>0.46.1</t>
        </is>
      </c>
      <c r="L1" s="37" t="inlineStr">
        <is>
          <t>0.46.2</t>
        </is>
      </c>
      <c r="M1" s="37" t="inlineStr">
        <is>
          <t>0.46.3</t>
        </is>
      </c>
      <c r="N1" s="37" t="inlineStr">
        <is>
          <t>1.0.0</t>
        </is>
      </c>
      <c r="O1" s="37" t="inlineStr">
        <is>
          <t>1.0.1</t>
        </is>
      </c>
      <c r="P1" s="37" t="inlineStr">
        <is>
          <t>1.0.2</t>
        </is>
      </c>
      <c r="Q1" s="37" t="inlineStr">
        <is>
          <t>1.1.0</t>
        </is>
      </c>
      <c r="R1" s="37" t="inlineStr">
        <is>
          <t>1.1.1</t>
        </is>
      </c>
      <c r="S1" s="37" t="inlineStr">
        <is>
          <t>1.1.2</t>
        </is>
      </c>
      <c r="T1" s="37" t="inlineStr">
        <is>
          <t>1.2.0</t>
        </is>
      </c>
      <c r="U1" s="37" t="inlineStr">
        <is>
          <t>1.2.1</t>
        </is>
      </c>
      <c r="V1" s="37" t="inlineStr">
        <is>
          <t>1.2.2</t>
        </is>
      </c>
      <c r="W1" s="37" t="inlineStr">
        <is>
          <t>1.2.4</t>
        </is>
      </c>
      <c r="X1" s="37" t="inlineStr">
        <is>
          <t>2.0.0</t>
        </is>
      </c>
      <c r="Y1" s="37" t="inlineStr">
        <is>
          <t>2.2.0</t>
        </is>
      </c>
      <c r="Z1" s="37" t="inlineStr">
        <is>
          <t>2.3.0</t>
        </is>
      </c>
      <c r="AA1" s="37" t="inlineStr">
        <is>
          <t>2.4.0</t>
        </is>
      </c>
      <c r="AB1" s="37" t="inlineStr">
        <is>
          <t>2.5.0</t>
        </is>
      </c>
      <c r="AC1" s="37" t="inlineStr">
        <is>
          <t>error_type_0.25.0</t>
        </is>
      </c>
      <c r="AD1" s="37" t="inlineStr">
        <is>
          <t>error_message_0.25.0</t>
        </is>
      </c>
      <c r="AE1" s="37" t="inlineStr">
        <is>
          <t>error_description_0.25.0</t>
        </is>
      </c>
      <c r="AF1" s="37" t="inlineStr">
        <is>
          <t>error_type_0.25.1</t>
        </is>
      </c>
      <c r="AG1" s="37" t="inlineStr">
        <is>
          <t>error_message_0.25.1</t>
        </is>
      </c>
      <c r="AH1" s="37" t="inlineStr">
        <is>
          <t>error_description_0.25.1</t>
        </is>
      </c>
      <c r="AI1" s="37" t="inlineStr">
        <is>
          <t>error_type_0.25.2</t>
        </is>
      </c>
      <c r="AJ1" s="37" t="inlineStr">
        <is>
          <t>error_message_0.25.2</t>
        </is>
      </c>
      <c r="AK1" s="37" t="inlineStr">
        <is>
          <t>error_description_0.25.2</t>
        </is>
      </c>
      <c r="AL1" s="37" t="inlineStr">
        <is>
          <t>error_type_0.25.3</t>
        </is>
      </c>
      <c r="AM1" s="37" t="inlineStr">
        <is>
          <t>error_message_0.25.3</t>
        </is>
      </c>
      <c r="AN1" s="37" t="inlineStr">
        <is>
          <t>error_description_0.25.3</t>
        </is>
      </c>
      <c r="AO1" s="37" t="inlineStr">
        <is>
          <t>error_type_0.45.0</t>
        </is>
      </c>
      <c r="AP1" s="37" t="inlineStr">
        <is>
          <t>error_message_0.45.0</t>
        </is>
      </c>
      <c r="AQ1" s="37" t="inlineStr">
        <is>
          <t>error_description_0.45.0</t>
        </is>
      </c>
      <c r="AR1" s="37" t="inlineStr">
        <is>
          <t>error_type_0.45.1</t>
        </is>
      </c>
      <c r="AS1" s="37" t="inlineStr">
        <is>
          <t>error_message_0.45.1</t>
        </is>
      </c>
      <c r="AT1" s="37" t="inlineStr">
        <is>
          <t>error_description_0.45.1</t>
        </is>
      </c>
      <c r="AU1" s="37" t="inlineStr">
        <is>
          <t>error_type_0.45.2</t>
        </is>
      </c>
      <c r="AV1" s="37" t="inlineStr">
        <is>
          <t>error_message_0.45.2</t>
        </is>
      </c>
      <c r="AW1" s="37" t="inlineStr">
        <is>
          <t>error_description_0.45.2</t>
        </is>
      </c>
      <c r="AX1" s="37" t="inlineStr">
        <is>
          <t>error_type_0.45.3</t>
        </is>
      </c>
      <c r="AY1" s="37" t="inlineStr">
        <is>
          <t>error_message_0.45.3</t>
        </is>
      </c>
      <c r="AZ1" s="37" t="inlineStr">
        <is>
          <t>error_description_0.45.3</t>
        </is>
      </c>
      <c r="BA1" s="37" t="inlineStr">
        <is>
          <t>error_type_0.46.0</t>
        </is>
      </c>
      <c r="BB1" s="37" t="inlineStr">
        <is>
          <t>error_message_0.46.0</t>
        </is>
      </c>
      <c r="BC1" s="37" t="inlineStr">
        <is>
          <t>error_description_0.46.0</t>
        </is>
      </c>
      <c r="BD1" s="37" t="inlineStr">
        <is>
          <t>error_type_0.46.1</t>
        </is>
      </c>
      <c r="BE1" s="37" t="inlineStr">
        <is>
          <t>error_message_0.46.1</t>
        </is>
      </c>
      <c r="BF1" s="37" t="inlineStr">
        <is>
          <t>error_description_0.46.1</t>
        </is>
      </c>
      <c r="BG1" s="37" t="inlineStr">
        <is>
          <t>error_type_0.46.2</t>
        </is>
      </c>
      <c r="BH1" s="37" t="inlineStr">
        <is>
          <t>error_message_0.46.2</t>
        </is>
      </c>
      <c r="BI1" s="37" t="inlineStr">
        <is>
          <t>error_description_0.46.2</t>
        </is>
      </c>
      <c r="BJ1" s="37" t="inlineStr">
        <is>
          <t>error_type_0.46.3</t>
        </is>
      </c>
      <c r="BK1" s="37" t="inlineStr">
        <is>
          <t>error_message_0.46.3</t>
        </is>
      </c>
      <c r="BL1" s="37" t="inlineStr">
        <is>
          <t>error_description_0.46.3</t>
        </is>
      </c>
      <c r="BM1" s="37" t="inlineStr">
        <is>
          <t>error_type_1.0.0</t>
        </is>
      </c>
      <c r="BN1" s="37" t="inlineStr">
        <is>
          <t>error_message_1.0.0</t>
        </is>
      </c>
      <c r="BO1" s="37" t="inlineStr">
        <is>
          <t>error_description_1.0.0</t>
        </is>
      </c>
      <c r="BP1" s="37" t="inlineStr">
        <is>
          <t>error_type_1.0.1</t>
        </is>
      </c>
      <c r="BQ1" s="37" t="inlineStr">
        <is>
          <t>error_message_1.0.1</t>
        </is>
      </c>
      <c r="BR1" s="37" t="inlineStr">
        <is>
          <t>error_description_1.0.1</t>
        </is>
      </c>
      <c r="BS1" s="37" t="inlineStr">
        <is>
          <t>error_type_1.0.2</t>
        </is>
      </c>
      <c r="BT1" s="37" t="inlineStr">
        <is>
          <t>error_message_1.0.2</t>
        </is>
      </c>
      <c r="BU1" s="37" t="inlineStr">
        <is>
          <t>error_description_1.0.2</t>
        </is>
      </c>
      <c r="BV1" s="37" t="inlineStr">
        <is>
          <t>error_type_1.1.0</t>
        </is>
      </c>
      <c r="BW1" s="37" t="inlineStr">
        <is>
          <t>error_message_1.1.0</t>
        </is>
      </c>
      <c r="BX1" s="37" t="inlineStr">
        <is>
          <t>error_description_1.1.0</t>
        </is>
      </c>
      <c r="BY1" s="37" t="inlineStr">
        <is>
          <t>error_type_1.1.1</t>
        </is>
      </c>
      <c r="BZ1" s="37" t="inlineStr">
        <is>
          <t>error_message_1.1.1</t>
        </is>
      </c>
      <c r="CA1" s="37" t="inlineStr">
        <is>
          <t>error_description_1.1.1</t>
        </is>
      </c>
      <c r="CB1" s="37" t="inlineStr">
        <is>
          <t>error_type_1.1.2</t>
        </is>
      </c>
      <c r="CC1" s="37" t="inlineStr">
        <is>
          <t>error_message_1.1.2</t>
        </is>
      </c>
      <c r="CD1" s="37" t="inlineStr">
        <is>
          <t>error_description_1.1.2</t>
        </is>
      </c>
      <c r="CE1" s="37" t="inlineStr">
        <is>
          <t>error_type_1.2.0</t>
        </is>
      </c>
      <c r="CF1" s="37" t="inlineStr">
        <is>
          <t>error_message_1.2.0</t>
        </is>
      </c>
      <c r="CG1" s="37" t="inlineStr">
        <is>
          <t>error_description_1.2.0</t>
        </is>
      </c>
      <c r="CH1" s="37" t="inlineStr">
        <is>
          <t>error_type_1.2.1</t>
        </is>
      </c>
      <c r="CI1" s="37" t="inlineStr">
        <is>
          <t>error_message_1.2.1</t>
        </is>
      </c>
      <c r="CJ1" s="37" t="inlineStr">
        <is>
          <t>error_description_1.2.1</t>
        </is>
      </c>
      <c r="CK1" s="37" t="inlineStr">
        <is>
          <t>error_type_1.2.2</t>
        </is>
      </c>
      <c r="CL1" s="37" t="inlineStr">
        <is>
          <t>error_message_1.2.2</t>
        </is>
      </c>
      <c r="CM1" s="37" t="inlineStr">
        <is>
          <t>error_description_1.2.2</t>
        </is>
      </c>
      <c r="CN1" s="37" t="inlineStr">
        <is>
          <t>error_type_1.2.4</t>
        </is>
      </c>
      <c r="CO1" s="37" t="inlineStr">
        <is>
          <t>error_message_1.2.4</t>
        </is>
      </c>
      <c r="CP1" s="37" t="inlineStr">
        <is>
          <t>error_description_1.2.4</t>
        </is>
      </c>
      <c r="CQ1" s="37" t="inlineStr">
        <is>
          <t>error_type_2.0.0</t>
        </is>
      </c>
      <c r="CR1" s="37" t="inlineStr">
        <is>
          <t>error_message_2.0.0</t>
        </is>
      </c>
      <c r="CS1" s="37" t="inlineStr">
        <is>
          <t>error_description_2.0.0</t>
        </is>
      </c>
      <c r="CT1" s="37" t="inlineStr">
        <is>
          <t>error_type_2.2.0</t>
        </is>
      </c>
      <c r="CU1" s="37" t="inlineStr">
        <is>
          <t>error_message_2.2.0</t>
        </is>
      </c>
      <c r="CV1" s="37" t="inlineStr">
        <is>
          <t>error_description_2.2.0</t>
        </is>
      </c>
      <c r="CW1" s="37" t="inlineStr">
        <is>
          <t>error_type_2.3.0</t>
        </is>
      </c>
      <c r="CX1" s="37" t="inlineStr">
        <is>
          <t>error_message_2.3.0</t>
        </is>
      </c>
      <c r="CY1" s="37" t="inlineStr">
        <is>
          <t>error_description_2.3.0</t>
        </is>
      </c>
      <c r="CZ1" s="37" t="inlineStr">
        <is>
          <t>error_type_2.4.0</t>
        </is>
      </c>
      <c r="DA1" s="37" t="inlineStr">
        <is>
          <t>error_message_2.4.0</t>
        </is>
      </c>
      <c r="DB1" s="37" t="inlineStr">
        <is>
          <t>error_description_2.4.0</t>
        </is>
      </c>
      <c r="DC1" s="37" t="inlineStr">
        <is>
          <t>error_type_2.5.0</t>
        </is>
      </c>
      <c r="DD1" s="37" t="inlineStr">
        <is>
          <t>error_message_2.5.0</t>
        </is>
      </c>
      <c r="DE1" s="37" t="inlineStr">
        <is>
          <t>error_description_2.5.0</t>
        </is>
      </c>
    </row>
    <row r="2">
      <c r="A2" s="38" t="inlineStr">
        <is>
          <t>issue_009</t>
        </is>
      </c>
      <c r="B2" s="39" t="inlineStr">
        <is>
          <t>NOT_TESTED</t>
        </is>
      </c>
      <c r="C2" s="39" t="inlineStr">
        <is>
          <t>NOT_TESTED</t>
        </is>
      </c>
      <c r="D2" s="39" t="inlineStr">
        <is>
          <t>NOT_TESTED</t>
        </is>
      </c>
      <c r="E2" s="39" t="inlineStr">
        <is>
          <t>NOT_TESTED</t>
        </is>
      </c>
      <c r="F2" s="40" t="inlineStr">
        <is>
          <t>ERROR</t>
        </is>
      </c>
      <c r="G2" s="40" t="inlineStr">
        <is>
          <t>ERROR</t>
        </is>
      </c>
      <c r="H2" s="41" t="inlineStr">
        <is>
          <t>FAIL</t>
        </is>
      </c>
      <c r="I2" s="41" t="inlineStr">
        <is>
          <t>FAIL</t>
        </is>
      </c>
      <c r="J2" s="40" t="inlineStr">
        <is>
          <t>ERROR</t>
        </is>
      </c>
      <c r="K2" s="40" t="inlineStr">
        <is>
          <t>ERROR</t>
        </is>
      </c>
      <c r="L2" s="40" t="inlineStr">
        <is>
          <t>ERROR</t>
        </is>
      </c>
      <c r="M2" s="40" t="inlineStr">
        <is>
          <t>ERROR</t>
        </is>
      </c>
      <c r="N2" s="39" t="inlineStr">
        <is>
          <t>NOT_TESTED</t>
        </is>
      </c>
      <c r="O2" s="39" t="inlineStr">
        <is>
          <t>NOT_TESTED</t>
        </is>
      </c>
      <c r="P2" s="39" t="inlineStr">
        <is>
          <t>NOT_TESTED</t>
        </is>
      </c>
      <c r="Q2" s="39" t="inlineStr">
        <is>
          <t>NOT_TESTED</t>
        </is>
      </c>
      <c r="R2" s="39" t="inlineStr">
        <is>
          <t>NOT_TESTED</t>
        </is>
      </c>
      <c r="S2" s="39" t="inlineStr">
        <is>
          <t>NOT_TESTED</t>
        </is>
      </c>
      <c r="T2" s="39" t="inlineStr">
        <is>
          <t>NOT_TESTED</t>
        </is>
      </c>
      <c r="U2" s="39" t="inlineStr">
        <is>
          <t>NOT_TESTED</t>
        </is>
      </c>
      <c r="V2" s="39" t="inlineStr">
        <is>
          <t>NOT_TESTED</t>
        </is>
      </c>
      <c r="W2" s="39" t="inlineStr">
        <is>
          <t>NOT_TESTED</t>
        </is>
      </c>
      <c r="X2" s="39" t="inlineStr">
        <is>
          <t>NOT_TESTED</t>
        </is>
      </c>
      <c r="Y2" s="39" t="inlineStr">
        <is>
          <t>NOT_TESTED</t>
        </is>
      </c>
      <c r="Z2" s="39" t="inlineStr">
        <is>
          <t>NOT_TESTED</t>
        </is>
      </c>
      <c r="AA2" s="39" t="inlineStr">
        <is>
          <t>NOT_TESTED</t>
        </is>
      </c>
      <c r="AB2" s="39" t="inlineStr">
        <is>
          <t>NOT_TESTED</t>
        </is>
      </c>
      <c r="AC2" s="38" t="inlineStr"/>
      <c r="AD2" s="38" t="inlineStr"/>
      <c r="AE2" s="38" t="inlineStr"/>
      <c r="AF2" s="38" t="inlineStr"/>
      <c r="AG2" s="38" t="inlineStr"/>
      <c r="AH2" s="38" t="inlineStr"/>
      <c r="AI2" s="38" t="inlineStr"/>
      <c r="AJ2" s="38" t="inlineStr"/>
      <c r="AK2" s="38" t="inlineStr"/>
      <c r="AL2" s="38" t="inlineStr"/>
      <c r="AM2" s="38" t="inlineStr"/>
      <c r="AN2" s="38" t="inlineStr"/>
      <c r="AO2" s="38" t="inlineStr">
        <is>
          <t>TranspilerError</t>
        </is>
      </c>
      <c r="AP2" s="38" t="inlineStr">
        <is>
          <t>qiskit.transpiler.exceptions.TranspilerError: "The 'layout' must be full (with ancilla)."</t>
        </is>
      </c>
      <c r="AQ2" s="38" t="inlineStr">
        <is>
          <t>The LLM ran CSPLayout and ApplyLayout by hand in a PassManager but never added the passes that extend the 3-qubit layout to the backend's 5 qubits (FullAncillaAllocation / EnlargeWithAncilla), so ApplyLayout rejects the partial layout.</t>
        </is>
      </c>
      <c r="AR2" s="38" t="inlineStr">
        <is>
          <t>TranspilerError</t>
        </is>
      </c>
      <c r="AS2" s="38" t="inlineStr">
        <is>
          <t>qiskit.transpiler.exceptions.TranspilerError: "The 'layout' must be full (with ancilla)."</t>
        </is>
      </c>
      <c r="AT2" s="38" t="inlineStr">
        <is>
          <t>The LLM ran CSPLayout and ApplyLayout by hand in a PassManager but never added the passes that extend the 3-qubit layout to the backend's 5 qubits (FullAncillaAllocation / EnlargeWithAncilla), so ApplyLayout rejects the partial layout.</t>
        </is>
      </c>
      <c r="AU2" s="38" t="inlineStr">
        <is>
          <t>AssertionError</t>
        </is>
      </c>
      <c r="AV2" s="38" t="inlineStr">
        <is>
          <t>AssertionError: 3 != 5</t>
        </is>
      </c>
      <c r="AW2" s="38"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AX2" s="38" t="inlineStr">
        <is>
          <t>AssertionError</t>
        </is>
      </c>
      <c r="AY2" s="38" t="inlineStr">
        <is>
          <t>AssertionError: 3 != 5</t>
        </is>
      </c>
      <c r="AZ2" s="38"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BA2" s="38" t="inlineStr">
        <is>
          <t>TranspilerError</t>
        </is>
      </c>
      <c r="BB2" s="38" t="inlineStr">
        <is>
          <t>qiskit.transpiler.exceptions.TranspilerError: "The 'layout' must be full (with ancilla)."</t>
        </is>
      </c>
      <c r="BC2" s="38" t="inlineStr">
        <is>
          <t>The LLM ran CSPLayout and ApplyLayout by hand in a PassManager but never added the passes that extend the 3-qubit layout to the backend's 5 qubits (FullAncillaAllocation / EnlargeWithAncilla), so ApplyLayout rejects the partial layout.</t>
        </is>
      </c>
      <c r="BD2" s="38" t="inlineStr">
        <is>
          <t>TranspilerError</t>
        </is>
      </c>
      <c r="BE2" s="38" t="inlineStr">
        <is>
          <t>qiskit.transpiler.exceptions.TranspilerError: "The 'layout' must be full (with ancilla)."</t>
        </is>
      </c>
      <c r="BF2" s="38" t="inlineStr">
        <is>
          <t>The LLM ran CSPLayout and ApplyLayout by hand in a PassManager but never added the passes that extend the 3-qubit layout to the backend's 5 qubits (FullAncillaAllocation / EnlargeWithAncilla), so ApplyLayout rejects the partial layout.</t>
        </is>
      </c>
      <c r="BG2" s="38" t="inlineStr">
        <is>
          <t>TranspilerError</t>
        </is>
      </c>
      <c r="BH2" s="38" t="inlineStr">
        <is>
          <t>qiskit.transpiler.exceptions.TranspilerError: "The 'layout' must be full (with ancilla)."</t>
        </is>
      </c>
      <c r="BI2" s="38" t="inlineStr">
        <is>
          <t>The LLM ran CSPLayout and ApplyLayout by hand in a PassManager but never added the passes that extend the 3-qubit layout to the backend's 5 qubits (FullAncillaAllocation / EnlargeWithAncilla), so ApplyLayout rejects the partial layout.</t>
        </is>
      </c>
      <c r="BJ2" s="38" t="inlineStr">
        <is>
          <t>TranspilerError</t>
        </is>
      </c>
      <c r="BK2" s="38" t="inlineStr">
        <is>
          <t>qiskit.transpiler.exceptions.TranspilerError: "The 'layout' must be full (with ancilla)."</t>
        </is>
      </c>
      <c r="BL2" s="38" t="inlineStr">
        <is>
          <t>The LLM ran CSPLayout and ApplyLayout by hand in a PassManager but never added the passes that extend the 3-qubit layout to the backend's 5 qubits (FullAncillaAllocation / EnlargeWithAncilla), so ApplyLayout rejects the partial layout.</t>
        </is>
      </c>
      <c r="BM2" s="38" t="inlineStr"/>
      <c r="BN2" s="38" t="inlineStr"/>
      <c r="BO2" s="38" t="inlineStr"/>
      <c r="BP2" s="38" t="inlineStr"/>
      <c r="BQ2" s="38" t="inlineStr"/>
      <c r="BR2" s="38" t="inlineStr"/>
      <c r="BS2" s="38" t="inlineStr"/>
      <c r="BT2" s="38" t="inlineStr"/>
      <c r="BU2" s="38" t="inlineStr"/>
      <c r="BV2" s="38" t="inlineStr"/>
      <c r="BW2" s="38" t="inlineStr"/>
      <c r="BX2" s="38" t="inlineStr"/>
      <c r="BY2" s="38" t="inlineStr"/>
      <c r="BZ2" s="38" t="inlineStr"/>
      <c r="CA2" s="38" t="inlineStr"/>
      <c r="CB2" s="38" t="inlineStr"/>
      <c r="CC2" s="38" t="inlineStr"/>
      <c r="CD2" s="38" t="inlineStr"/>
      <c r="CE2" s="38" t="inlineStr"/>
      <c r="CF2" s="38" t="inlineStr"/>
      <c r="CG2" s="38" t="inlineStr"/>
      <c r="CH2" s="38" t="inlineStr"/>
      <c r="CI2" s="38" t="inlineStr"/>
      <c r="CJ2" s="38" t="inlineStr"/>
      <c r="CK2" s="38" t="inlineStr"/>
      <c r="CL2" s="38" t="inlineStr"/>
      <c r="CM2" s="38" t="inlineStr"/>
      <c r="CN2" s="38" t="inlineStr"/>
      <c r="CO2" s="38" t="inlineStr"/>
      <c r="CP2" s="38" t="inlineStr"/>
      <c r="CQ2" s="38" t="inlineStr"/>
      <c r="CR2" s="38" t="inlineStr"/>
      <c r="CS2" s="38" t="inlineStr"/>
      <c r="CT2" s="38" t="inlineStr"/>
      <c r="CU2" s="38" t="inlineStr"/>
      <c r="CV2" s="38" t="inlineStr"/>
      <c r="CW2" s="38" t="inlineStr"/>
      <c r="CX2" s="38" t="inlineStr"/>
      <c r="CY2" s="38" t="inlineStr"/>
      <c r="CZ2" s="38" t="inlineStr"/>
      <c r="DA2" s="38" t="inlineStr"/>
      <c r="DB2" s="38" t="inlineStr"/>
      <c r="DC2" s="38" t="inlineStr"/>
      <c r="DD2" s="38" t="inlineStr"/>
      <c r="DE2" s="38" t="inlineStr"/>
    </row>
    <row r="3">
      <c r="A3" s="38" t="inlineStr">
        <is>
          <t>issue_018_se</t>
        </is>
      </c>
      <c r="B3" s="39" t="inlineStr">
        <is>
          <t>NOT_TESTED</t>
        </is>
      </c>
      <c r="C3" s="39" t="inlineStr">
        <is>
          <t>NOT_TESTED</t>
        </is>
      </c>
      <c r="D3" s="39" t="inlineStr">
        <is>
          <t>NOT_TESTED</t>
        </is>
      </c>
      <c r="E3" s="39" t="inlineStr">
        <is>
          <t>NOT_TESTED</t>
        </is>
      </c>
      <c r="F3" s="39" t="inlineStr">
        <is>
          <t>NOT_TESTED</t>
        </is>
      </c>
      <c r="G3" s="39" t="inlineStr">
        <is>
          <t>NOT_TESTED</t>
        </is>
      </c>
      <c r="H3" s="39" t="inlineStr">
        <is>
          <t>NOT_TESTED</t>
        </is>
      </c>
      <c r="I3" s="39" t="inlineStr">
        <is>
          <t>NOT_TESTED</t>
        </is>
      </c>
      <c r="J3" s="39" t="inlineStr">
        <is>
          <t>NOT_TESTED</t>
        </is>
      </c>
      <c r="K3" s="39" t="inlineStr">
        <is>
          <t>NOT_TESTED</t>
        </is>
      </c>
      <c r="L3" s="39" t="inlineStr">
        <is>
          <t>NOT_TESTED</t>
        </is>
      </c>
      <c r="M3" s="39" t="inlineStr">
        <is>
          <t>NOT_TESTED</t>
        </is>
      </c>
      <c r="N3" s="41" t="inlineStr">
        <is>
          <t>FAIL</t>
        </is>
      </c>
      <c r="O3" s="41" t="inlineStr">
        <is>
          <t>FAIL</t>
        </is>
      </c>
      <c r="P3" s="41" t="inlineStr">
        <is>
          <t>FAIL</t>
        </is>
      </c>
      <c r="Q3" s="41" t="inlineStr">
        <is>
          <t>FAIL</t>
        </is>
      </c>
      <c r="R3" s="41" t="inlineStr">
        <is>
          <t>FAIL</t>
        </is>
      </c>
      <c r="S3" s="41" t="inlineStr">
        <is>
          <t>FAIL</t>
        </is>
      </c>
      <c r="T3" s="41" t="inlineStr">
        <is>
          <t>FAIL</t>
        </is>
      </c>
      <c r="U3" s="41" t="inlineStr">
        <is>
          <t>FAIL</t>
        </is>
      </c>
      <c r="V3" s="41" t="inlineStr">
        <is>
          <t>FAIL</t>
        </is>
      </c>
      <c r="W3" s="41" t="inlineStr">
        <is>
          <t>FAIL</t>
        </is>
      </c>
      <c r="X3" s="41" t="inlineStr">
        <is>
          <t>FAIL</t>
        </is>
      </c>
      <c r="Y3" s="41" t="inlineStr">
        <is>
          <t>FAIL</t>
        </is>
      </c>
      <c r="Z3" s="41" t="inlineStr">
        <is>
          <t>FAIL</t>
        </is>
      </c>
      <c r="AA3" s="41" t="inlineStr">
        <is>
          <t>FAIL</t>
        </is>
      </c>
      <c r="AB3" s="41" t="inlineStr">
        <is>
          <t>FAIL</t>
        </is>
      </c>
      <c r="AC3" s="38" t="inlineStr"/>
      <c r="AD3" s="38" t="inlineStr"/>
      <c r="AE3" s="38" t="inlineStr"/>
      <c r="AF3" s="38" t="inlineStr"/>
      <c r="AG3" s="38" t="inlineStr"/>
      <c r="AH3" s="38" t="inlineStr"/>
      <c r="AI3" s="38" t="inlineStr"/>
      <c r="AJ3" s="38" t="inlineStr"/>
      <c r="AK3" s="38" t="inlineStr"/>
      <c r="AL3" s="38" t="inlineStr"/>
      <c r="AM3" s="38" t="inlineStr"/>
      <c r="AN3" s="38" t="inlineStr"/>
      <c r="AO3" s="38" t="inlineStr"/>
      <c r="AP3" s="38" t="inlineStr"/>
      <c r="AQ3" s="38" t="inlineStr"/>
      <c r="AR3" s="38" t="inlineStr"/>
      <c r="AS3" s="38" t="inlineStr"/>
      <c r="AT3" s="38" t="inlineStr"/>
      <c r="AU3" s="38" t="inlineStr"/>
      <c r="AV3" s="38" t="inlineStr"/>
      <c r="AW3" s="38" t="inlineStr"/>
      <c r="AX3" s="38" t="inlineStr"/>
      <c r="AY3" s="38" t="inlineStr"/>
      <c r="AZ3" s="38" t="inlineStr"/>
      <c r="BA3" s="38" t="inlineStr"/>
      <c r="BB3" s="38" t="inlineStr"/>
      <c r="BC3" s="38" t="inlineStr"/>
      <c r="BD3" s="38" t="inlineStr"/>
      <c r="BE3" s="38" t="inlineStr"/>
      <c r="BF3" s="38" t="inlineStr"/>
      <c r="BG3" s="38" t="inlineStr"/>
      <c r="BH3" s="38" t="inlineStr"/>
      <c r="BI3" s="38" t="inlineStr"/>
      <c r="BJ3" s="38" t="inlineStr"/>
      <c r="BK3" s="38" t="inlineStr"/>
      <c r="BL3" s="38" t="inlineStr"/>
      <c r="BM3" s="38" t="inlineStr">
        <is>
          <t>AssertionError</t>
        </is>
      </c>
      <c r="BN3" s="38" t="inlineStr">
        <is>
          <t xml:space="preserve">AssertionError: Not equal to tolerance rtol=0, atol=1e-12 The ideal magic-square strategy must win every input pair. Mismatched elements: 6 / 9 (66.7%) Max absolute difference: 0.5 Max relative difference: inf x: array([0. , 0.5, 0.5, 0.5, 0. , 0.5, </t>
        </is>
      </c>
      <c r="BO3" s="38" t="inlineStr">
        <is>
          <t>The LLM swapped which inputs choose Alice's and Bob's answers, so the strategy still loses 6 of the 9 input pairs half the time instead of always winning (the Aer simulator also crashes natively here, as it does for fixed.py).</t>
        </is>
      </c>
      <c r="BP3" s="38" t="inlineStr">
        <is>
          <t>AssertionError</t>
        </is>
      </c>
      <c r="BQ3" s="38" t="inlineStr">
        <is>
          <t xml:space="preserve">AssertionError: Not equal to tolerance rtol=0, atol=1e-12 The ideal magic-square strategy must win every input pair. Mismatched elements: 6 / 9 (66.7%) Max absolute difference: 0.5 Max relative difference: inf x: array([0. , 0.5, 0.5, 0.5, 0. , 0.5, </t>
        </is>
      </c>
      <c r="BR3" s="38" t="inlineStr">
        <is>
          <t>The LLM swapped which inputs choose Alice's and Bob's answers, so the strategy still loses 6 of the 9 input pairs half the time instead of always winning (the Aer simulator also crashes natively here, as it does for fixed.py).</t>
        </is>
      </c>
      <c r="BS3" s="38" t="inlineStr">
        <is>
          <t>AssertionError</t>
        </is>
      </c>
      <c r="BT3" s="38" t="inlineStr">
        <is>
          <t xml:space="preserve">AssertionError: Not equal to tolerance rtol=0, atol=1e-12 The ideal magic-square strategy must win every input pair. Mismatched elements: 6 / 9 (66.7%) Max absolute difference: 0.5 Max relative difference: inf x: array([0. , 0.5, 0.5, 0.5, 0. , 0.5, </t>
        </is>
      </c>
      <c r="BU3" s="38" t="inlineStr">
        <is>
          <t>The LLM swapped which inputs choose Alice's and Bob's answers, so the strategy still loses 6 of the 9 input pairs half the time instead of always winning (the Aer simulator also crashes natively here, as it does for fixed.py).</t>
        </is>
      </c>
      <c r="BV3" s="38" t="inlineStr">
        <is>
          <t>AssertionError</t>
        </is>
      </c>
      <c r="BW3" s="38" t="inlineStr">
        <is>
          <t>AssertionError: Not equal to tolerance rtol=0, atol=1e-12 The ideal magic-square strategy must win every input pair. Mismatched elements: 6 / 9 (66.7%) First 5 mismatches are at indices: [1]: 0.4999999999999999 (ACTUAL), 0.0 (DESIRED) [2]: 0.49999999</t>
        </is>
      </c>
      <c r="BX3" s="38" t="inlineStr">
        <is>
          <t>The LLM swapped which inputs choose Alice's and Bob's answers, so the strategy still loses 6 of the 9 input pairs half the time instead of always winning (the Aer simulator also crashes natively here, as it does for fixed.py).</t>
        </is>
      </c>
      <c r="BY3" s="38" t="inlineStr">
        <is>
          <t>AssertionError</t>
        </is>
      </c>
      <c r="BZ3" s="38" t="inlineStr">
        <is>
          <t>AssertionError: Not equal to tolerance rtol=0, atol=1e-12 The ideal magic-square strategy must win every input pair. Mismatched elements: 6 / 9 (66.7%) First 5 mismatches are at indices: [1]: 0.4999999999999999 (ACTUAL), 0.0 (DESIRED) [2]: 0.49999999</t>
        </is>
      </c>
      <c r="CA3" s="38" t="inlineStr">
        <is>
          <t>The LLM swapped which inputs choose Alice's and Bob's answers, so the strategy still loses 6 of the 9 input pairs half the time instead of always winning (the Aer simulator also crashes natively here, as it does for fixed.py).</t>
        </is>
      </c>
      <c r="CB3" s="38" t="inlineStr">
        <is>
          <t>AssertionError</t>
        </is>
      </c>
      <c r="CC3" s="38" t="inlineStr">
        <is>
          <t>AssertionError: Not equal to tolerance rtol=0, atol=1e-12 The ideal magic-square strategy must win every input pair. Mismatched elements: 6 / 9 (66.7%) First 5 mismatches are at indices: [1]: 0.4999999999999999 (ACTUAL), 0.0 (DESIRED) [2]: 0.49999999</t>
        </is>
      </c>
      <c r="CD3" s="38" t="inlineStr">
        <is>
          <t>The LLM swapped which inputs choose Alice's and Bob's answers, so the strategy still loses 6 of the 9 input pairs half the time instead of always winning (the Aer simulator also crashes natively here, as it does for fixed.py).</t>
        </is>
      </c>
      <c r="CE3" s="38" t="inlineStr">
        <is>
          <t>AssertionError</t>
        </is>
      </c>
      <c r="CF3" s="38" t="inlineStr">
        <is>
          <t>AssertionError: Not equal to tolerance rtol=0, atol=1e-12 The ideal magic-square strategy must win every input pair. Mismatched elements: 6 / 9 (66.7%) First 5 mismatches are at indices: [1]: 0.4999999999999999 (ACTUAL), 0.0 (DESIRED) [2]: 0.49999999</t>
        </is>
      </c>
      <c r="CG3" s="38" t="inlineStr">
        <is>
          <t>The LLM swapped which inputs choose Alice's and Bob's answers, so the strategy still loses 6 of the 9 input pairs half the time instead of always winning (the Aer simulator also crashes natively here, as it does for fixed.py).</t>
        </is>
      </c>
      <c r="CH3" s="38" t="inlineStr">
        <is>
          <t>AssertionError</t>
        </is>
      </c>
      <c r="CI3" s="38" t="inlineStr">
        <is>
          <t>AssertionError: Not equal to tolerance rtol=0, atol=1e-12 The ideal magic-square strategy must win every input pair. Mismatched elements: 6 / 9 (66.7%) First 5 mismatches are at indices: [1]: 0.4999999999999999 (ACTUAL), 0.0 (DESIRED) [2]: 0.49999999</t>
        </is>
      </c>
      <c r="CJ3" s="38" t="inlineStr">
        <is>
          <t>The LLM swapped which inputs choose Alice's and Bob's answers, so the strategy still loses 6 of the 9 input pairs half the time instead of always winning (the Aer simulator also crashes natively here, as it does for fixed.py).</t>
        </is>
      </c>
      <c r="CK3" s="38" t="inlineStr">
        <is>
          <t>AssertionError</t>
        </is>
      </c>
      <c r="CL3" s="38" t="inlineStr">
        <is>
          <t>AssertionError: Not equal to tolerance rtol=0, atol=1e-12 The ideal magic-square strategy must win every input pair. Mismatched elements: 6 / 9 (66.7%) First 5 mismatches are at indices: [1]: 0.4999999999999999 (ACTUAL), 0.0 (DESIRED) [2]: 0.49999999</t>
        </is>
      </c>
      <c r="CM3" s="38" t="inlineStr">
        <is>
          <t>The LLM swapped which inputs choose Alice's and Bob's answers, so the strategy still loses 6 of the 9 input pairs half the time instead of always winning (the Aer simulator also crashes natively here, as it does for fixed.py).</t>
        </is>
      </c>
      <c r="CN3" s="38" t="inlineStr">
        <is>
          <t>AssertionError</t>
        </is>
      </c>
      <c r="CO3" s="38" t="inlineStr">
        <is>
          <t>AssertionError: Not equal to tolerance rtol=0, atol=1e-12 The ideal magic-square strategy must win every input pair. Mismatched elements: 6 / 9 (66.7%) First 5 mismatches are at indices: [1]: 0.4999999999999999 (ACTUAL), 0.0 (DESIRED) [2]: 0.49999999</t>
        </is>
      </c>
      <c r="CP3" s="38" t="inlineStr">
        <is>
          <t>The LLM swapped which inputs choose Alice's and Bob's answers, so the strategy still loses 6 of the 9 input pairs half the time instead of always winning (the Aer simulator also crashes natively here, as it does for fixed.py).</t>
        </is>
      </c>
      <c r="CQ3" s="38" t="inlineStr">
        <is>
          <t>AssertionError</t>
        </is>
      </c>
      <c r="CR3" s="38" t="inlineStr">
        <is>
          <t>AssertionError: Not equal to tolerance rtol=0, atol=1e-12 The ideal magic-square strategy must win every input pair. Mismatched elements: 6 / 9 (66.7%) First 5 mismatches are at indices: [1]: 0.4999999999999999 (ACTUAL), 0.0 (DESIRED) [2]: 0.49999999</t>
        </is>
      </c>
      <c r="CS3" s="38" t="inlineStr">
        <is>
          <t>The LLM swapped which inputs choose Alice's and Bob's answers, so the strategy still loses 6 of the 9 input pairs half the time instead of always winning (the Aer simulator also crashes natively here, as it does for fixed.py).</t>
        </is>
      </c>
      <c r="CT3" s="38" t="inlineStr">
        <is>
          <t>AssertionError</t>
        </is>
      </c>
      <c r="CU3" s="38" t="inlineStr">
        <is>
          <t>AssertionError: Not equal to tolerance rtol=0, atol=1e-12 The ideal magic-square strategy must win every input pair. Mismatched elements: 6 / 9 (66.7%) First 5 mismatches are at indices: [1]: 0.4999999999999999 (ACTUAL), 0.0 (DESIRED) [2]: 0.49999999</t>
        </is>
      </c>
      <c r="CV3" s="38" t="inlineStr">
        <is>
          <t>The LLM swapped which inputs choose Alice's and Bob's answers, so the strategy still loses 6 of the 9 input pairs half the time instead of always winning (the Aer simulator also crashes natively here, as it does for fixed.py).</t>
        </is>
      </c>
      <c r="CW3" s="38" t="inlineStr">
        <is>
          <t>AssertionError</t>
        </is>
      </c>
      <c r="CX3" s="38" t="inlineStr">
        <is>
          <t>AssertionError: Not equal to tolerance rtol=0, atol=1e-12 The ideal magic-square strategy must win every input pair. Mismatched elements: 6 / 9 (66.7%) First 5 mismatches are at indices: [1]: 0.4999999999999999 (ACTUAL), 0.0 (DESIRED) [2]: 0.49999999</t>
        </is>
      </c>
      <c r="CY3" s="38" t="inlineStr">
        <is>
          <t>The LLM swapped which inputs choose Alice's and Bob's answers, so the strategy still loses 6 of the 9 input pairs half the time instead of always winning (the Aer simulator also crashes natively here, as it does for fixed.py).</t>
        </is>
      </c>
      <c r="CZ3" s="38" t="inlineStr">
        <is>
          <t>AssertionError</t>
        </is>
      </c>
      <c r="DA3" s="38" t="inlineStr">
        <is>
          <t>AssertionError: Not equal to tolerance rtol=0, atol=1e-12 The ideal magic-square strategy must win every input pair. Mismatched elements: 6 / 9 (66.7%) First 5 mismatches are at indices: [1]: 0.4999999999999999 (ACTUAL), 0.0 (DESIRED) [2]: 0.49999999</t>
        </is>
      </c>
      <c r="DB3" s="38" t="inlineStr">
        <is>
          <t>The LLM swapped which inputs choose Alice's and Bob's answers, so the strategy still loses 6 of the 9 input pairs half the time instead of always winning (the Aer simulator also crashes natively here, as it does for fixed.py).</t>
        </is>
      </c>
      <c r="DC3" s="38" t="inlineStr">
        <is>
          <t>AssertionError</t>
        </is>
      </c>
      <c r="DD3" s="38" t="inlineStr">
        <is>
          <t>AssertionError: Not equal to tolerance rtol=0, atol=1e-12 The ideal magic-square strategy must win every input pair. Mismatched elements: 6 / 9 (66.7%) First 5 mismatches are at indices: [1]: 0.4999999999999999 (ACTUAL), 0.0 (DESIRED) [2]: 0.49999999</t>
        </is>
      </c>
      <c r="DE3" s="38" t="inlineStr">
        <is>
          <t>The LLM swapped which inputs choose Alice's and Bob's answers, so the strategy still loses 6 of the 9 input pairs half the time instead of always winning (the Aer simulator also crashes natively here, as it does for fixed.py).</t>
        </is>
      </c>
    </row>
    <row r="4">
      <c r="A4" s="38" t="inlineStr">
        <is>
          <t>issue_021_se</t>
        </is>
      </c>
      <c r="B4" s="40" t="inlineStr">
        <is>
          <t>ERROR</t>
        </is>
      </c>
      <c r="C4" s="40" t="inlineStr">
        <is>
          <t>ERROR</t>
        </is>
      </c>
      <c r="D4" s="40" t="inlineStr">
        <is>
          <t>ERROR</t>
        </is>
      </c>
      <c r="E4" s="40" t="inlineStr">
        <is>
          <t>ERROR</t>
        </is>
      </c>
      <c r="F4" s="40" t="inlineStr">
        <is>
          <t>ERROR</t>
        </is>
      </c>
      <c r="G4" s="40" t="inlineStr">
        <is>
          <t>ERROR</t>
        </is>
      </c>
      <c r="H4" s="40" t="inlineStr">
        <is>
          <t>ERROR</t>
        </is>
      </c>
      <c r="I4" s="40" t="inlineStr">
        <is>
          <t>ERROR</t>
        </is>
      </c>
      <c r="J4" s="40" t="inlineStr">
        <is>
          <t>ERROR</t>
        </is>
      </c>
      <c r="K4" s="40" t="inlineStr">
        <is>
          <t>ERROR</t>
        </is>
      </c>
      <c r="L4" s="40" t="inlineStr">
        <is>
          <t>ERROR</t>
        </is>
      </c>
      <c r="M4" s="40" t="inlineStr">
        <is>
          <t>ERROR</t>
        </is>
      </c>
      <c r="N4" s="39" t="inlineStr">
        <is>
          <t>NOT_TESTED</t>
        </is>
      </c>
      <c r="O4" s="39" t="inlineStr">
        <is>
          <t>NOT_TESTED</t>
        </is>
      </c>
      <c r="P4" s="39" t="inlineStr">
        <is>
          <t>NOT_TESTED</t>
        </is>
      </c>
      <c r="Q4" s="39" t="inlineStr">
        <is>
          <t>NOT_TESTED</t>
        </is>
      </c>
      <c r="R4" s="39" t="inlineStr">
        <is>
          <t>NOT_TESTED</t>
        </is>
      </c>
      <c r="S4" s="39" t="inlineStr">
        <is>
          <t>NOT_TESTED</t>
        </is>
      </c>
      <c r="T4" s="39" t="inlineStr">
        <is>
          <t>NOT_TESTED</t>
        </is>
      </c>
      <c r="U4" s="39" t="inlineStr">
        <is>
          <t>NOT_TESTED</t>
        </is>
      </c>
      <c r="V4" s="39" t="inlineStr">
        <is>
          <t>NOT_TESTED</t>
        </is>
      </c>
      <c r="W4" s="39" t="inlineStr">
        <is>
          <t>NOT_TESTED</t>
        </is>
      </c>
      <c r="X4" s="39" t="inlineStr">
        <is>
          <t>NOT_TESTED</t>
        </is>
      </c>
      <c r="Y4" s="39" t="inlineStr">
        <is>
          <t>NOT_TESTED</t>
        </is>
      </c>
      <c r="Z4" s="39" t="inlineStr">
        <is>
          <t>NOT_TESTED</t>
        </is>
      </c>
      <c r="AA4" s="39" t="inlineStr">
        <is>
          <t>NOT_TESTED</t>
        </is>
      </c>
      <c r="AB4" s="39" t="inlineStr">
        <is>
          <t>NOT_TESTED</t>
        </is>
      </c>
      <c r="AC4" s="38" t="inlineStr">
        <is>
          <t>QiskitError</t>
        </is>
      </c>
      <c r="AD4" s="38" t="inlineStr">
        <is>
          <t>qiskit.exceptions.QiskitError: 'ERROR: [Experiment 0] Circuit contains invalid instructions {"gates": {disentangler_dg}} for "statevector" method , ERROR: Circuit contains invalid instructions {"gates": {disentangler_dg}} for "statevector" method'</t>
        </is>
      </c>
      <c r="AE4" s="38" t="inlineStr">
        <is>
          <t>Calling circuit.decompose() only unrolls one level, leaving a 'disentangler_dg' instruction that the Aer statevector simulator cannot run, so the simulation fails.</t>
        </is>
      </c>
      <c r="AF4" s="38" t="inlineStr">
        <is>
          <t>QiskitError</t>
        </is>
      </c>
      <c r="AG4" s="38" t="inlineStr">
        <is>
          <t>qiskit.exceptions.QiskitError: 'ERROR: [Experiment 0] Circuit contains invalid instructions {"gates": {disentangler_dg}} for "statevector" method , ERROR: Circuit contains invalid instructions {"gates": {disentangler_dg}} for "statevector" method'</t>
        </is>
      </c>
      <c r="AH4" s="38" t="inlineStr">
        <is>
          <t>Calling circuit.decompose() only unrolls one level, leaving a 'disentangler_dg' instruction that the Aer statevector simulator cannot run, so the simulation fails.</t>
        </is>
      </c>
      <c r="AI4" s="38" t="inlineStr">
        <is>
          <t>QiskitError</t>
        </is>
      </c>
      <c r="AJ4" s="38" t="inlineStr">
        <is>
          <t>qiskit.exceptions.QiskitError: 'ERROR: [Experiment 0] Circuit contains invalid instructions {"gates": {disentangler_dg}} for "statevector" method , ERROR: Circuit contains invalid instructions {"gates": {disentangler_dg}} for "statevector" method'</t>
        </is>
      </c>
      <c r="AK4" s="38" t="inlineStr">
        <is>
          <t>Calling circuit.decompose() only unrolls one level, leaving a 'disentangler_dg' instruction that the Aer statevector simulator cannot run, so the simulation fails.</t>
        </is>
      </c>
      <c r="AL4" s="38" t="inlineStr">
        <is>
          <t>QiskitError</t>
        </is>
      </c>
      <c r="AM4" s="38" t="inlineStr">
        <is>
          <t>qiskit.exceptions.QiskitError: 'ERROR: [Experiment 0] Circuit contains invalid instructions {"gates": {disentangler_dg}} for "statevector" method , ERROR: Circuit contains invalid instructions {"gates": {disentangler_dg}} for "statevector" method'</t>
        </is>
      </c>
      <c r="AN4" s="38" t="inlineStr">
        <is>
          <t>Calling circuit.decompose() only unrolls one level, leaving a 'disentangler_dg' instruction that the Aer statevector simulator cannot run, so the simulation fails.</t>
        </is>
      </c>
      <c r="AO4" s="38" t="inlineStr">
        <is>
          <t>QiskitError</t>
        </is>
      </c>
      <c r="AP4" s="38" t="inlineStr">
        <is>
          <t>qiskit.exceptions.QiskitError: 'You have to select a circuit or schedule when there is more than one available'</t>
        </is>
      </c>
      <c r="AQ4" s="38" t="inlineStr">
        <is>
          <t>Calling circuit.decompose() only unrolls one level, leaving a 'state_preparation' instruction that Aer cannot load, so the simulation fails and no statevector is returned.</t>
        </is>
      </c>
      <c r="AR4" s="38" t="inlineStr">
        <is>
          <t>QiskitError</t>
        </is>
      </c>
      <c r="AS4" s="38" t="inlineStr">
        <is>
          <t>qiskit.exceptions.QiskitError: 'You have to select a circuit or schedule when there is more than one available'</t>
        </is>
      </c>
      <c r="AT4" s="38" t="inlineStr">
        <is>
          <t>Calling circuit.decompose() only unrolls one level, leaving a 'state_preparation' instruction that Aer cannot load, so the simulation fails and no statevector is returned.</t>
        </is>
      </c>
      <c r="AU4" s="38" t="inlineStr">
        <is>
          <t>QiskitError</t>
        </is>
      </c>
      <c r="AV4" s="38" t="inlineStr">
        <is>
          <t>qiskit.exceptions.QiskitError: 'You have to select a circuit or schedule when there is more than one available'</t>
        </is>
      </c>
      <c r="AW4" s="38" t="inlineStr">
        <is>
          <t>Calling circuit.decompose() only unrolls one level, leaving a 'state_preparation' instruction that Aer cannot load, so the simulation fails and no statevector is returned.</t>
        </is>
      </c>
      <c r="AX4" s="38" t="inlineStr">
        <is>
          <t>QiskitError</t>
        </is>
      </c>
      <c r="AY4" s="38" t="inlineStr">
        <is>
          <t>qiskit.exceptions.QiskitError: 'You have to select a circuit or schedule when there is more than one available'</t>
        </is>
      </c>
      <c r="AZ4" s="38" t="inlineStr">
        <is>
          <t>Calling circuit.decompose() only unrolls one level, leaving a 'state_preparation' instruction that Aer cannot load, so the simulation fails and no statevector is returned.</t>
        </is>
      </c>
      <c r="BA4" s="38" t="inlineStr">
        <is>
          <t>QiskitError</t>
        </is>
      </c>
      <c r="BB4" s="38" t="inlineStr">
        <is>
          <t>qiskit.exceptions.QiskitError: 'You have to select a circuit or schedule when there is more than one available'</t>
        </is>
      </c>
      <c r="BC4" s="38" t="inlineStr">
        <is>
          <t>Calling circuit.decompose() only unrolls one level, leaving a 'state_preparation' instruction that Aer cannot load, so the simulation fails and no statevector is returned.</t>
        </is>
      </c>
      <c r="BD4" s="38" t="inlineStr">
        <is>
          <t>QiskitError</t>
        </is>
      </c>
      <c r="BE4" s="38" t="inlineStr">
        <is>
          <t>qiskit.exceptions.QiskitError: 'You have to select a circuit or schedule when there is more than one available'</t>
        </is>
      </c>
      <c r="BF4" s="38" t="inlineStr">
        <is>
          <t>Calling circuit.decompose() only unrolls one level, leaving a 'state_preparation' instruction that Aer cannot load, so the simulation fails and no statevector is returned.</t>
        </is>
      </c>
      <c r="BG4" s="38" t="inlineStr">
        <is>
          <t>QiskitError</t>
        </is>
      </c>
      <c r="BH4" s="38" t="inlineStr">
        <is>
          <t>qiskit.exceptions.QiskitError: 'You have to select a circuit or schedule when there is more than one available'</t>
        </is>
      </c>
      <c r="BI4" s="38" t="inlineStr">
        <is>
          <t>Calling circuit.decompose() only unrolls one level, leaving a 'state_preparation' instruction that Aer cannot load, so the simulation fails and no statevector is returned.</t>
        </is>
      </c>
      <c r="BJ4" s="38" t="inlineStr">
        <is>
          <t>QiskitError</t>
        </is>
      </c>
      <c r="BK4" s="38" t="inlineStr">
        <is>
          <t>qiskit.exceptions.QiskitError: 'You have to select a circuit or schedule when there is more than one available'</t>
        </is>
      </c>
      <c r="BL4" s="38" t="inlineStr">
        <is>
          <t>Calling circuit.decompose() only unrolls one level, leaving a 'state_preparation' instruction that Aer cannot load, so the simulation fails and no statevector is returned.</t>
        </is>
      </c>
      <c r="BM4" s="38" t="inlineStr"/>
      <c r="BN4" s="38" t="inlineStr"/>
      <c r="BO4" s="38" t="inlineStr"/>
      <c r="BP4" s="38" t="inlineStr"/>
      <c r="BQ4" s="38" t="inlineStr"/>
      <c r="BR4" s="38" t="inlineStr"/>
      <c r="BS4" s="38" t="inlineStr"/>
      <c r="BT4" s="38" t="inlineStr"/>
      <c r="BU4" s="38" t="inlineStr"/>
      <c r="BV4" s="38" t="inlineStr"/>
      <c r="BW4" s="38" t="inlineStr"/>
      <c r="BX4" s="38" t="inlineStr"/>
      <c r="BY4" s="38" t="inlineStr"/>
      <c r="BZ4" s="38" t="inlineStr"/>
      <c r="CA4" s="38" t="inlineStr"/>
      <c r="CB4" s="38" t="inlineStr"/>
      <c r="CC4" s="38" t="inlineStr"/>
      <c r="CD4" s="38" t="inlineStr"/>
      <c r="CE4" s="38" t="inlineStr"/>
      <c r="CF4" s="38" t="inlineStr"/>
      <c r="CG4" s="38" t="inlineStr"/>
      <c r="CH4" s="38" t="inlineStr"/>
      <c r="CI4" s="38" t="inlineStr"/>
      <c r="CJ4" s="38" t="inlineStr"/>
      <c r="CK4" s="38" t="inlineStr"/>
      <c r="CL4" s="38" t="inlineStr"/>
      <c r="CM4" s="38" t="inlineStr"/>
      <c r="CN4" s="38" t="inlineStr"/>
      <c r="CO4" s="38" t="inlineStr"/>
      <c r="CP4" s="38" t="inlineStr"/>
      <c r="CQ4" s="38" t="inlineStr"/>
      <c r="CR4" s="38" t="inlineStr"/>
      <c r="CS4" s="38" t="inlineStr"/>
      <c r="CT4" s="38" t="inlineStr"/>
      <c r="CU4" s="38" t="inlineStr"/>
      <c r="CV4" s="38" t="inlineStr"/>
      <c r="CW4" s="38" t="inlineStr"/>
      <c r="CX4" s="38" t="inlineStr"/>
      <c r="CY4" s="38" t="inlineStr"/>
      <c r="CZ4" s="38" t="inlineStr"/>
      <c r="DA4" s="38" t="inlineStr"/>
      <c r="DB4" s="38" t="inlineStr"/>
      <c r="DC4" s="38" t="inlineStr"/>
      <c r="DD4" s="38" t="inlineStr"/>
      <c r="DE4" s="38" t="inlineStr"/>
    </row>
    <row r="5">
      <c r="A5" s="38" t="inlineStr">
        <is>
          <t>issue_032_se</t>
        </is>
      </c>
      <c r="B5" s="42" t="inlineStr">
        <is>
          <t>PASS</t>
        </is>
      </c>
      <c r="C5" s="42" t="inlineStr">
        <is>
          <t>PASS</t>
        </is>
      </c>
      <c r="D5" s="42" t="inlineStr">
        <is>
          <t>PASS</t>
        </is>
      </c>
      <c r="E5" s="42" t="inlineStr">
        <is>
          <t>PASS</t>
        </is>
      </c>
      <c r="F5" s="39" t="inlineStr">
        <is>
          <t>NOT_TESTED</t>
        </is>
      </c>
      <c r="G5" s="39" t="inlineStr">
        <is>
          <t>NOT_TESTED</t>
        </is>
      </c>
      <c r="H5" s="39" t="inlineStr">
        <is>
          <t>NOT_TESTED</t>
        </is>
      </c>
      <c r="I5" s="39" t="inlineStr">
        <is>
          <t>NOT_TESTED</t>
        </is>
      </c>
      <c r="J5" s="39" t="inlineStr">
        <is>
          <t>NOT_TESTED</t>
        </is>
      </c>
      <c r="K5" s="39" t="inlineStr">
        <is>
          <t>NOT_TESTED</t>
        </is>
      </c>
      <c r="L5" s="39" t="inlineStr">
        <is>
          <t>NOT_TESTED</t>
        </is>
      </c>
      <c r="M5" s="39" t="inlineStr">
        <is>
          <t>NOT_TESTED</t>
        </is>
      </c>
      <c r="N5" s="39" t="inlineStr">
        <is>
          <t>NOT_TESTED</t>
        </is>
      </c>
      <c r="O5" s="39" t="inlineStr">
        <is>
          <t>NOT_TESTED</t>
        </is>
      </c>
      <c r="P5" s="39" t="inlineStr">
        <is>
          <t>NOT_TESTED</t>
        </is>
      </c>
      <c r="Q5" s="39" t="inlineStr">
        <is>
          <t>NOT_TESTED</t>
        </is>
      </c>
      <c r="R5" s="39" t="inlineStr">
        <is>
          <t>NOT_TESTED</t>
        </is>
      </c>
      <c r="S5" s="39" t="inlineStr">
        <is>
          <t>NOT_TESTED</t>
        </is>
      </c>
      <c r="T5" s="39" t="inlineStr">
        <is>
          <t>NOT_TESTED</t>
        </is>
      </c>
      <c r="U5" s="39" t="inlineStr">
        <is>
          <t>NOT_TESTED</t>
        </is>
      </c>
      <c r="V5" s="39" t="inlineStr">
        <is>
          <t>NOT_TESTED</t>
        </is>
      </c>
      <c r="W5" s="39" t="inlineStr">
        <is>
          <t>NOT_TESTED</t>
        </is>
      </c>
      <c r="X5" s="39" t="inlineStr">
        <is>
          <t>NOT_TESTED</t>
        </is>
      </c>
      <c r="Y5" s="39" t="inlineStr">
        <is>
          <t>NOT_TESTED</t>
        </is>
      </c>
      <c r="Z5" s="39" t="inlineStr">
        <is>
          <t>NOT_TESTED</t>
        </is>
      </c>
      <c r="AA5" s="39" t="inlineStr">
        <is>
          <t>NOT_TESTED</t>
        </is>
      </c>
      <c r="AB5" s="39" t="inlineStr">
        <is>
          <t>NOT_TESTED</t>
        </is>
      </c>
      <c r="AC5" s="38" t="inlineStr"/>
      <c r="AD5" s="38" t="inlineStr"/>
      <c r="AE5" s="38" t="inlineStr"/>
      <c r="AF5" s="38" t="inlineStr"/>
      <c r="AG5" s="38" t="inlineStr"/>
      <c r="AH5" s="38" t="inlineStr"/>
      <c r="AI5" s="38" t="inlineStr"/>
      <c r="AJ5" s="38" t="inlineStr"/>
      <c r="AK5" s="38" t="inlineStr"/>
      <c r="AL5" s="38" t="inlineStr"/>
      <c r="AM5" s="38" t="inlineStr"/>
      <c r="AN5" s="38" t="inlineStr"/>
      <c r="AO5" s="38" t="inlineStr"/>
      <c r="AP5" s="38" t="inlineStr"/>
      <c r="AQ5" s="38" t="inlineStr"/>
      <c r="AR5" s="38" t="inlineStr"/>
      <c r="AS5" s="38" t="inlineStr"/>
      <c r="AT5" s="38" t="inlineStr"/>
      <c r="AU5" s="38" t="inlineStr"/>
      <c r="AV5" s="38" t="inlineStr"/>
      <c r="AW5" s="38" t="inlineStr"/>
      <c r="AX5" s="38" t="inlineStr"/>
      <c r="AY5" s="38" t="inlineStr"/>
      <c r="AZ5" s="38" t="inlineStr"/>
      <c r="BA5" s="38" t="inlineStr"/>
      <c r="BB5" s="38" t="inlineStr"/>
      <c r="BC5" s="38" t="inlineStr"/>
      <c r="BD5" s="38" t="inlineStr"/>
      <c r="BE5" s="38" t="inlineStr"/>
      <c r="BF5" s="38" t="inlineStr"/>
      <c r="BG5" s="38" t="inlineStr"/>
      <c r="BH5" s="38" t="inlineStr"/>
      <c r="BI5" s="38" t="inlineStr"/>
      <c r="BJ5" s="38" t="inlineStr"/>
      <c r="BK5" s="38" t="inlineStr"/>
      <c r="BL5" s="38" t="inlineStr"/>
      <c r="BM5" s="38" t="inlineStr"/>
      <c r="BN5" s="38" t="inlineStr"/>
      <c r="BO5" s="38" t="inlineStr"/>
      <c r="BP5" s="38" t="inlineStr"/>
      <c r="BQ5" s="38" t="inlineStr"/>
      <c r="BR5" s="38" t="inlineStr"/>
      <c r="BS5" s="38" t="inlineStr"/>
      <c r="BT5" s="38" t="inlineStr"/>
      <c r="BU5" s="38" t="inlineStr"/>
      <c r="BV5" s="38" t="inlineStr"/>
      <c r="BW5" s="38" t="inlineStr"/>
      <c r="BX5" s="38" t="inlineStr"/>
      <c r="BY5" s="38" t="inlineStr"/>
      <c r="BZ5" s="38" t="inlineStr"/>
      <c r="CA5" s="38" t="inlineStr"/>
      <c r="CB5" s="38" t="inlineStr"/>
      <c r="CC5" s="38" t="inlineStr"/>
      <c r="CD5" s="38" t="inlineStr"/>
      <c r="CE5" s="38" t="inlineStr"/>
      <c r="CF5" s="38" t="inlineStr"/>
      <c r="CG5" s="38" t="inlineStr"/>
      <c r="CH5" s="38" t="inlineStr"/>
      <c r="CI5" s="38" t="inlineStr"/>
      <c r="CJ5" s="38" t="inlineStr"/>
      <c r="CK5" s="38" t="inlineStr"/>
      <c r="CL5" s="38" t="inlineStr"/>
      <c r="CM5" s="38" t="inlineStr"/>
      <c r="CN5" s="38" t="inlineStr"/>
      <c r="CO5" s="38" t="inlineStr"/>
      <c r="CP5" s="38" t="inlineStr"/>
      <c r="CQ5" s="38" t="inlineStr"/>
      <c r="CR5" s="38" t="inlineStr"/>
      <c r="CS5" s="38" t="inlineStr"/>
      <c r="CT5" s="38" t="inlineStr"/>
      <c r="CU5" s="38" t="inlineStr"/>
      <c r="CV5" s="38" t="inlineStr"/>
      <c r="CW5" s="38" t="inlineStr"/>
      <c r="CX5" s="38" t="inlineStr"/>
      <c r="CY5" s="38" t="inlineStr"/>
      <c r="CZ5" s="38" t="inlineStr"/>
      <c r="DA5" s="38" t="inlineStr"/>
      <c r="DB5" s="38" t="inlineStr"/>
      <c r="DC5" s="38" t="inlineStr"/>
      <c r="DD5" s="38" t="inlineStr"/>
      <c r="DE5" s="38" t="inlineStr"/>
    </row>
    <row r="6">
      <c r="A6" s="38" t="inlineStr">
        <is>
          <t>issue_034</t>
        </is>
      </c>
      <c r="B6" s="39" t="inlineStr">
        <is>
          <t>NOT_TESTED</t>
        </is>
      </c>
      <c r="C6" s="39" t="inlineStr">
        <is>
          <t>NOT_TESTED</t>
        </is>
      </c>
      <c r="D6" s="39" t="inlineStr">
        <is>
          <t>NOT_TESTED</t>
        </is>
      </c>
      <c r="E6" s="39" t="inlineStr">
        <is>
          <t>NOT_TESTED</t>
        </is>
      </c>
      <c r="F6" s="39" t="inlineStr">
        <is>
          <t>NOT_TESTED</t>
        </is>
      </c>
      <c r="G6" s="39" t="inlineStr">
        <is>
          <t>NOT_TESTED</t>
        </is>
      </c>
      <c r="H6" s="39" t="inlineStr">
        <is>
          <t>NOT_TESTED</t>
        </is>
      </c>
      <c r="I6" s="39" t="inlineStr">
        <is>
          <t>NOT_TESTED</t>
        </is>
      </c>
      <c r="J6" s="39" t="inlineStr">
        <is>
          <t>NOT_TESTED</t>
        </is>
      </c>
      <c r="K6" s="39" t="inlineStr">
        <is>
          <t>NOT_TESTED</t>
        </is>
      </c>
      <c r="L6" s="39" t="inlineStr">
        <is>
          <t>NOT_TESTED</t>
        </is>
      </c>
      <c r="M6" s="39" t="inlineStr">
        <is>
          <t>NOT_TESTED</t>
        </is>
      </c>
      <c r="N6" s="42" t="inlineStr">
        <is>
          <t>PASS</t>
        </is>
      </c>
      <c r="O6" s="42" t="inlineStr">
        <is>
          <t>PASS</t>
        </is>
      </c>
      <c r="P6" s="42" t="inlineStr">
        <is>
          <t>PASS</t>
        </is>
      </c>
      <c r="Q6" s="42" t="inlineStr">
        <is>
          <t>PASS</t>
        </is>
      </c>
      <c r="R6" s="42" t="inlineStr">
        <is>
          <t>PASS</t>
        </is>
      </c>
      <c r="S6" s="42" t="inlineStr">
        <is>
          <t>PASS</t>
        </is>
      </c>
      <c r="T6" s="42" t="inlineStr">
        <is>
          <t>PASS</t>
        </is>
      </c>
      <c r="U6" s="42" t="inlineStr">
        <is>
          <t>PASS</t>
        </is>
      </c>
      <c r="V6" s="42" t="inlineStr">
        <is>
          <t>PASS</t>
        </is>
      </c>
      <c r="W6" s="42" t="inlineStr">
        <is>
          <t>PASS</t>
        </is>
      </c>
      <c r="X6" s="42" t="inlineStr">
        <is>
          <t>PASS</t>
        </is>
      </c>
      <c r="Y6" s="42" t="inlineStr">
        <is>
          <t>PASS</t>
        </is>
      </c>
      <c r="Z6" s="42" t="inlineStr">
        <is>
          <t>PASS</t>
        </is>
      </c>
      <c r="AA6" s="42" t="inlineStr">
        <is>
          <t>PASS</t>
        </is>
      </c>
      <c r="AB6" s="42" t="inlineStr">
        <is>
          <t>PASS</t>
        </is>
      </c>
      <c r="AC6" s="38" t="inlineStr"/>
      <c r="AD6" s="38" t="inlineStr"/>
      <c r="AE6" s="38" t="inlineStr"/>
      <c r="AF6" s="38" t="inlineStr"/>
      <c r="AG6" s="38" t="inlineStr"/>
      <c r="AH6" s="38" t="inlineStr"/>
      <c r="AI6" s="38" t="inlineStr"/>
      <c r="AJ6" s="38" t="inlineStr"/>
      <c r="AK6" s="38" t="inlineStr"/>
      <c r="AL6" s="38" t="inlineStr"/>
      <c r="AM6" s="38" t="inlineStr"/>
      <c r="AN6" s="38" t="inlineStr"/>
      <c r="AO6" s="38" t="inlineStr"/>
      <c r="AP6" s="38" t="inlineStr"/>
      <c r="AQ6" s="38" t="inlineStr"/>
      <c r="AR6" s="38" t="inlineStr"/>
      <c r="AS6" s="38" t="inlineStr"/>
      <c r="AT6" s="38" t="inlineStr"/>
      <c r="AU6" s="38" t="inlineStr"/>
      <c r="AV6" s="38" t="inlineStr"/>
      <c r="AW6" s="38" t="inlineStr"/>
      <c r="AX6" s="38" t="inlineStr"/>
      <c r="AY6" s="38" t="inlineStr"/>
      <c r="AZ6" s="38" t="inlineStr"/>
      <c r="BA6" s="38" t="inlineStr"/>
      <c r="BB6" s="38" t="inlineStr"/>
      <c r="BC6" s="38" t="inlineStr"/>
      <c r="BD6" s="38" t="inlineStr"/>
      <c r="BE6" s="38" t="inlineStr"/>
      <c r="BF6" s="38" t="inlineStr"/>
      <c r="BG6" s="38" t="inlineStr"/>
      <c r="BH6" s="38" t="inlineStr"/>
      <c r="BI6" s="38" t="inlineStr"/>
      <c r="BJ6" s="38" t="inlineStr"/>
      <c r="BK6" s="38" t="inlineStr"/>
      <c r="BL6" s="38" t="inlineStr"/>
      <c r="BM6" s="38" t="inlineStr"/>
      <c r="BN6" s="38" t="inlineStr"/>
      <c r="BO6" s="38" t="inlineStr"/>
      <c r="BP6" s="38" t="inlineStr"/>
      <c r="BQ6" s="38" t="inlineStr"/>
      <c r="BR6" s="38" t="inlineStr"/>
      <c r="BS6" s="38" t="inlineStr"/>
      <c r="BT6" s="38" t="inlineStr"/>
      <c r="BU6" s="38" t="inlineStr"/>
      <c r="BV6" s="38" t="inlineStr"/>
      <c r="BW6" s="38" t="inlineStr"/>
      <c r="BX6" s="38" t="inlineStr"/>
      <c r="BY6" s="38" t="inlineStr"/>
      <c r="BZ6" s="38" t="inlineStr"/>
      <c r="CA6" s="38" t="inlineStr"/>
      <c r="CB6" s="38" t="inlineStr"/>
      <c r="CC6" s="38" t="inlineStr"/>
      <c r="CD6" s="38" t="inlineStr"/>
      <c r="CE6" s="38" t="inlineStr"/>
      <c r="CF6" s="38" t="inlineStr"/>
      <c r="CG6" s="38" t="inlineStr"/>
      <c r="CH6" s="38" t="inlineStr"/>
      <c r="CI6" s="38" t="inlineStr"/>
      <c r="CJ6" s="38" t="inlineStr"/>
      <c r="CK6" s="38" t="inlineStr"/>
      <c r="CL6" s="38" t="inlineStr"/>
      <c r="CM6" s="38" t="inlineStr"/>
      <c r="CN6" s="38" t="inlineStr"/>
      <c r="CO6" s="38" t="inlineStr"/>
      <c r="CP6" s="38" t="inlineStr"/>
      <c r="CQ6" s="38" t="inlineStr"/>
      <c r="CR6" s="38" t="inlineStr"/>
      <c r="CS6" s="38" t="inlineStr"/>
      <c r="CT6" s="38" t="inlineStr"/>
      <c r="CU6" s="38" t="inlineStr"/>
      <c r="CV6" s="38" t="inlineStr"/>
      <c r="CW6" s="38" t="inlineStr"/>
      <c r="CX6" s="38" t="inlineStr"/>
      <c r="CY6" s="38" t="inlineStr"/>
      <c r="CZ6" s="38" t="inlineStr"/>
      <c r="DA6" s="38" t="inlineStr"/>
      <c r="DB6" s="38" t="inlineStr"/>
      <c r="DC6" s="38" t="inlineStr"/>
      <c r="DD6" s="38" t="inlineStr"/>
      <c r="DE6" s="38" t="inlineStr"/>
    </row>
    <row r="7">
      <c r="A7" s="38" t="inlineStr">
        <is>
          <t>issue_036</t>
        </is>
      </c>
      <c r="B7" s="39" t="inlineStr">
        <is>
          <t>NOT_TESTED</t>
        </is>
      </c>
      <c r="C7" s="39" t="inlineStr">
        <is>
          <t>NOT_TESTED</t>
        </is>
      </c>
      <c r="D7" s="39" t="inlineStr">
        <is>
          <t>NOT_TESTED</t>
        </is>
      </c>
      <c r="E7" s="39" t="inlineStr">
        <is>
          <t>NOT_TESTED</t>
        </is>
      </c>
      <c r="F7" s="39" t="inlineStr">
        <is>
          <t>NOT_TESTED</t>
        </is>
      </c>
      <c r="G7" s="39" t="inlineStr">
        <is>
          <t>NOT_TESTED</t>
        </is>
      </c>
      <c r="H7" s="39" t="inlineStr">
        <is>
          <t>NOT_TESTED</t>
        </is>
      </c>
      <c r="I7" s="39" t="inlineStr">
        <is>
          <t>NOT_TESTED</t>
        </is>
      </c>
      <c r="J7" s="39" t="inlineStr">
        <is>
          <t>NOT_TESTED</t>
        </is>
      </c>
      <c r="K7" s="39" t="inlineStr">
        <is>
          <t>NOT_TESTED</t>
        </is>
      </c>
      <c r="L7" s="39" t="inlineStr">
        <is>
          <t>NOT_TESTED</t>
        </is>
      </c>
      <c r="M7" s="39" t="inlineStr">
        <is>
          <t>NOT_TESTED</t>
        </is>
      </c>
      <c r="N7" s="42" t="inlineStr">
        <is>
          <t>PASS</t>
        </is>
      </c>
      <c r="O7" s="42" t="inlineStr">
        <is>
          <t>PASS</t>
        </is>
      </c>
      <c r="P7" s="42" t="inlineStr">
        <is>
          <t>PASS</t>
        </is>
      </c>
      <c r="Q7" s="42" t="inlineStr">
        <is>
          <t>PASS</t>
        </is>
      </c>
      <c r="R7" s="42" t="inlineStr">
        <is>
          <t>PASS</t>
        </is>
      </c>
      <c r="S7" s="42" t="inlineStr">
        <is>
          <t>PASS</t>
        </is>
      </c>
      <c r="T7" s="42" t="inlineStr">
        <is>
          <t>PASS</t>
        </is>
      </c>
      <c r="U7" s="42" t="inlineStr">
        <is>
          <t>PASS</t>
        </is>
      </c>
      <c r="V7" s="42" t="inlineStr">
        <is>
          <t>PASS</t>
        </is>
      </c>
      <c r="W7" s="42" t="inlineStr">
        <is>
          <t>PASS</t>
        </is>
      </c>
      <c r="X7" s="42" t="inlineStr">
        <is>
          <t>PASS</t>
        </is>
      </c>
      <c r="Y7" s="42" t="inlineStr">
        <is>
          <t>PASS</t>
        </is>
      </c>
      <c r="Z7" s="42" t="inlineStr">
        <is>
          <t>PASS</t>
        </is>
      </c>
      <c r="AA7" s="42" t="inlineStr">
        <is>
          <t>PASS</t>
        </is>
      </c>
      <c r="AB7" s="42" t="inlineStr">
        <is>
          <t>PASS</t>
        </is>
      </c>
      <c r="AC7" s="38" t="inlineStr"/>
      <c r="AD7" s="38" t="inlineStr"/>
      <c r="AE7" s="38" t="inlineStr"/>
      <c r="AF7" s="38" t="inlineStr"/>
      <c r="AG7" s="38" t="inlineStr"/>
      <c r="AH7" s="38" t="inlineStr"/>
      <c r="AI7" s="38" t="inlineStr"/>
      <c r="AJ7" s="38" t="inlineStr"/>
      <c r="AK7" s="38" t="inlineStr"/>
      <c r="AL7" s="38" t="inlineStr"/>
      <c r="AM7" s="38" t="inlineStr"/>
      <c r="AN7" s="38" t="inlineStr"/>
      <c r="AO7" s="38" t="inlineStr"/>
      <c r="AP7" s="38" t="inlineStr"/>
      <c r="AQ7" s="38" t="inlineStr"/>
      <c r="AR7" s="38" t="inlineStr"/>
      <c r="AS7" s="38" t="inlineStr"/>
      <c r="AT7" s="38" t="inlineStr"/>
      <c r="AU7" s="38" t="inlineStr"/>
      <c r="AV7" s="38" t="inlineStr"/>
      <c r="AW7" s="38" t="inlineStr"/>
      <c r="AX7" s="38" t="inlineStr"/>
      <c r="AY7" s="38" t="inlineStr"/>
      <c r="AZ7" s="38" t="inlineStr"/>
      <c r="BA7" s="38" t="inlineStr"/>
      <c r="BB7" s="38" t="inlineStr"/>
      <c r="BC7" s="38" t="inlineStr"/>
      <c r="BD7" s="38" t="inlineStr"/>
      <c r="BE7" s="38" t="inlineStr"/>
      <c r="BF7" s="38" t="inlineStr"/>
      <c r="BG7" s="38" t="inlineStr"/>
      <c r="BH7" s="38" t="inlineStr"/>
      <c r="BI7" s="38" t="inlineStr"/>
      <c r="BJ7" s="38" t="inlineStr"/>
      <c r="BK7" s="38" t="inlineStr"/>
      <c r="BL7" s="38" t="inlineStr"/>
      <c r="BM7" s="38" t="inlineStr"/>
      <c r="BN7" s="38" t="inlineStr"/>
      <c r="BO7" s="38" t="inlineStr"/>
      <c r="BP7" s="38" t="inlineStr"/>
      <c r="BQ7" s="38" t="inlineStr"/>
      <c r="BR7" s="38" t="inlineStr"/>
      <c r="BS7" s="38" t="inlineStr"/>
      <c r="BT7" s="38" t="inlineStr"/>
      <c r="BU7" s="38" t="inlineStr"/>
      <c r="BV7" s="38" t="inlineStr"/>
      <c r="BW7" s="38" t="inlineStr"/>
      <c r="BX7" s="38" t="inlineStr"/>
      <c r="BY7" s="38" t="inlineStr"/>
      <c r="BZ7" s="38" t="inlineStr"/>
      <c r="CA7" s="38" t="inlineStr"/>
      <c r="CB7" s="38" t="inlineStr"/>
      <c r="CC7" s="38" t="inlineStr"/>
      <c r="CD7" s="38" t="inlineStr"/>
      <c r="CE7" s="38" t="inlineStr"/>
      <c r="CF7" s="38" t="inlineStr"/>
      <c r="CG7" s="38" t="inlineStr"/>
      <c r="CH7" s="38" t="inlineStr"/>
      <c r="CI7" s="38" t="inlineStr"/>
      <c r="CJ7" s="38" t="inlineStr"/>
      <c r="CK7" s="38" t="inlineStr"/>
      <c r="CL7" s="38" t="inlineStr"/>
      <c r="CM7" s="38" t="inlineStr"/>
      <c r="CN7" s="38" t="inlineStr"/>
      <c r="CO7" s="38" t="inlineStr"/>
      <c r="CP7" s="38" t="inlineStr"/>
      <c r="CQ7" s="38" t="inlineStr"/>
      <c r="CR7" s="38" t="inlineStr"/>
      <c r="CS7" s="38" t="inlineStr"/>
      <c r="CT7" s="38" t="inlineStr"/>
      <c r="CU7" s="38" t="inlineStr"/>
      <c r="CV7" s="38" t="inlineStr"/>
      <c r="CW7" s="38" t="inlineStr"/>
      <c r="CX7" s="38" t="inlineStr"/>
      <c r="CY7" s="38" t="inlineStr"/>
      <c r="CZ7" s="38" t="inlineStr"/>
      <c r="DA7" s="38" t="inlineStr"/>
      <c r="DB7" s="38" t="inlineStr"/>
      <c r="DC7" s="38" t="inlineStr"/>
      <c r="DD7" s="38" t="inlineStr"/>
      <c r="DE7" s="38" t="inlineStr"/>
    </row>
    <row r="8">
      <c r="A8" s="38" t="inlineStr">
        <is>
          <t>issue_058_se</t>
        </is>
      </c>
      <c r="B8" s="42" t="inlineStr">
        <is>
          <t>PASS</t>
        </is>
      </c>
      <c r="C8" s="42" t="inlineStr">
        <is>
          <t>PASS</t>
        </is>
      </c>
      <c r="D8" s="42" t="inlineStr">
        <is>
          <t>PASS</t>
        </is>
      </c>
      <c r="E8" s="42" t="inlineStr">
        <is>
          <t>PASS</t>
        </is>
      </c>
      <c r="F8" s="42" t="inlineStr">
        <is>
          <t>PASS</t>
        </is>
      </c>
      <c r="G8" s="42" t="inlineStr">
        <is>
          <t>PASS</t>
        </is>
      </c>
      <c r="H8" s="42" t="inlineStr">
        <is>
          <t>PASS</t>
        </is>
      </c>
      <c r="I8" s="42" t="inlineStr">
        <is>
          <t>PASS</t>
        </is>
      </c>
      <c r="J8" s="42" t="inlineStr">
        <is>
          <t>PASS</t>
        </is>
      </c>
      <c r="K8" s="42" t="inlineStr">
        <is>
          <t>PASS</t>
        </is>
      </c>
      <c r="L8" s="42" t="inlineStr">
        <is>
          <t>PASS</t>
        </is>
      </c>
      <c r="M8" s="42" t="inlineStr">
        <is>
          <t>PASS</t>
        </is>
      </c>
      <c r="N8" s="39" t="inlineStr">
        <is>
          <t>NOT_TESTED</t>
        </is>
      </c>
      <c r="O8" s="39" t="inlineStr">
        <is>
          <t>NOT_TESTED</t>
        </is>
      </c>
      <c r="P8" s="39" t="inlineStr">
        <is>
          <t>NOT_TESTED</t>
        </is>
      </c>
      <c r="Q8" s="39" t="inlineStr">
        <is>
          <t>NOT_TESTED</t>
        </is>
      </c>
      <c r="R8" s="39" t="inlineStr">
        <is>
          <t>NOT_TESTED</t>
        </is>
      </c>
      <c r="S8" s="39" t="inlineStr">
        <is>
          <t>NOT_TESTED</t>
        </is>
      </c>
      <c r="T8" s="39" t="inlineStr">
        <is>
          <t>NOT_TESTED</t>
        </is>
      </c>
      <c r="U8" s="39" t="inlineStr">
        <is>
          <t>NOT_TESTED</t>
        </is>
      </c>
      <c r="V8" s="39" t="inlineStr">
        <is>
          <t>NOT_TESTED</t>
        </is>
      </c>
      <c r="W8" s="39" t="inlineStr">
        <is>
          <t>NOT_TESTED</t>
        </is>
      </c>
      <c r="X8" s="39" t="inlineStr">
        <is>
          <t>NOT_TESTED</t>
        </is>
      </c>
      <c r="Y8" s="39" t="inlineStr">
        <is>
          <t>NOT_TESTED</t>
        </is>
      </c>
      <c r="Z8" s="39" t="inlineStr">
        <is>
          <t>NOT_TESTED</t>
        </is>
      </c>
      <c r="AA8" s="39" t="inlineStr">
        <is>
          <t>NOT_TESTED</t>
        </is>
      </c>
      <c r="AB8" s="39" t="inlineStr">
        <is>
          <t>NOT_TESTED</t>
        </is>
      </c>
      <c r="AC8" s="38" t="inlineStr"/>
      <c r="AD8" s="38" t="inlineStr"/>
      <c r="AE8" s="38" t="inlineStr"/>
      <c r="AF8" s="38" t="inlineStr"/>
      <c r="AG8" s="38" t="inlineStr"/>
      <c r="AH8" s="38" t="inlineStr"/>
      <c r="AI8" s="38" t="inlineStr"/>
      <c r="AJ8" s="38" t="inlineStr"/>
      <c r="AK8" s="38" t="inlineStr"/>
      <c r="AL8" s="38" t="inlineStr"/>
      <c r="AM8" s="38" t="inlineStr"/>
      <c r="AN8" s="38" t="inlineStr"/>
      <c r="AO8" s="38" t="inlineStr"/>
      <c r="AP8" s="38" t="inlineStr"/>
      <c r="AQ8" s="38" t="inlineStr"/>
      <c r="AR8" s="38" t="inlineStr"/>
      <c r="AS8" s="38" t="inlineStr"/>
      <c r="AT8" s="38" t="inlineStr"/>
      <c r="AU8" s="38" t="inlineStr"/>
      <c r="AV8" s="38" t="inlineStr"/>
      <c r="AW8" s="38" t="inlineStr"/>
      <c r="AX8" s="38" t="inlineStr"/>
      <c r="AY8" s="38" t="inlineStr"/>
      <c r="AZ8" s="38" t="inlineStr"/>
      <c r="BA8" s="38" t="inlineStr"/>
      <c r="BB8" s="38" t="inlineStr"/>
      <c r="BC8" s="38" t="inlineStr"/>
      <c r="BD8" s="38" t="inlineStr"/>
      <c r="BE8" s="38" t="inlineStr"/>
      <c r="BF8" s="38" t="inlineStr"/>
      <c r="BG8" s="38" t="inlineStr"/>
      <c r="BH8" s="38" t="inlineStr"/>
      <c r="BI8" s="38" t="inlineStr"/>
      <c r="BJ8" s="38" t="inlineStr"/>
      <c r="BK8" s="38" t="inlineStr"/>
      <c r="BL8" s="38" t="inlineStr"/>
      <c r="BM8" s="38" t="inlineStr"/>
      <c r="BN8" s="38" t="inlineStr"/>
      <c r="BO8" s="38" t="inlineStr"/>
      <c r="BP8" s="38" t="inlineStr"/>
      <c r="BQ8" s="38" t="inlineStr"/>
      <c r="BR8" s="38" t="inlineStr"/>
      <c r="BS8" s="38" t="inlineStr"/>
      <c r="BT8" s="38" t="inlineStr"/>
      <c r="BU8" s="38" t="inlineStr"/>
      <c r="BV8" s="38" t="inlineStr"/>
      <c r="BW8" s="38" t="inlineStr"/>
      <c r="BX8" s="38" t="inlineStr"/>
      <c r="BY8" s="38" t="inlineStr"/>
      <c r="BZ8" s="38" t="inlineStr"/>
      <c r="CA8" s="38" t="inlineStr"/>
      <c r="CB8" s="38" t="inlineStr"/>
      <c r="CC8" s="38" t="inlineStr"/>
      <c r="CD8" s="38" t="inlineStr"/>
      <c r="CE8" s="38" t="inlineStr"/>
      <c r="CF8" s="38" t="inlineStr"/>
      <c r="CG8" s="38" t="inlineStr"/>
      <c r="CH8" s="38" t="inlineStr"/>
      <c r="CI8" s="38" t="inlineStr"/>
      <c r="CJ8" s="38" t="inlineStr"/>
      <c r="CK8" s="38" t="inlineStr"/>
      <c r="CL8" s="38" t="inlineStr"/>
      <c r="CM8" s="38" t="inlineStr"/>
      <c r="CN8" s="38" t="inlineStr"/>
      <c r="CO8" s="38" t="inlineStr"/>
      <c r="CP8" s="38" t="inlineStr"/>
      <c r="CQ8" s="38" t="inlineStr"/>
      <c r="CR8" s="38" t="inlineStr"/>
      <c r="CS8" s="38" t="inlineStr"/>
      <c r="CT8" s="38" t="inlineStr"/>
      <c r="CU8" s="38" t="inlineStr"/>
      <c r="CV8" s="38" t="inlineStr"/>
      <c r="CW8" s="38" t="inlineStr"/>
      <c r="CX8" s="38" t="inlineStr"/>
      <c r="CY8" s="38" t="inlineStr"/>
      <c r="CZ8" s="38" t="inlineStr"/>
      <c r="DA8" s="38" t="inlineStr"/>
      <c r="DB8" s="38" t="inlineStr"/>
      <c r="DC8" s="38" t="inlineStr"/>
      <c r="DD8" s="38" t="inlineStr"/>
      <c r="DE8" s="38" t="inlineStr"/>
    </row>
    <row r="9">
      <c r="A9" s="38" t="inlineStr">
        <is>
          <t>issue_061</t>
        </is>
      </c>
      <c r="B9" s="39" t="inlineStr">
        <is>
          <t>NOT_TESTED</t>
        </is>
      </c>
      <c r="C9" s="39" t="inlineStr">
        <is>
          <t>NOT_TESTED</t>
        </is>
      </c>
      <c r="D9" s="39" t="inlineStr">
        <is>
          <t>NOT_TESTED</t>
        </is>
      </c>
      <c r="E9" s="39" t="inlineStr">
        <is>
          <t>NOT_TESTED</t>
        </is>
      </c>
      <c r="F9" s="39" t="inlineStr">
        <is>
          <t>NOT_TESTED</t>
        </is>
      </c>
      <c r="G9" s="39" t="inlineStr">
        <is>
          <t>NOT_TESTED</t>
        </is>
      </c>
      <c r="H9" s="39" t="inlineStr">
        <is>
          <t>NOT_TESTED</t>
        </is>
      </c>
      <c r="I9" s="39" t="inlineStr">
        <is>
          <t>NOT_TESTED</t>
        </is>
      </c>
      <c r="J9" s="39" t="inlineStr">
        <is>
          <t>NOT_TESTED</t>
        </is>
      </c>
      <c r="K9" s="39" t="inlineStr">
        <is>
          <t>NOT_TESTED</t>
        </is>
      </c>
      <c r="L9" s="39" t="inlineStr">
        <is>
          <t>NOT_TESTED</t>
        </is>
      </c>
      <c r="M9" s="39" t="inlineStr">
        <is>
          <t>NOT_TESTED</t>
        </is>
      </c>
      <c r="N9" s="42" t="inlineStr">
        <is>
          <t>PASS</t>
        </is>
      </c>
      <c r="O9" s="42" t="inlineStr">
        <is>
          <t>PASS</t>
        </is>
      </c>
      <c r="P9" s="42" t="inlineStr">
        <is>
          <t>PASS</t>
        </is>
      </c>
      <c r="Q9" s="42" t="inlineStr">
        <is>
          <t>PASS</t>
        </is>
      </c>
      <c r="R9" s="42" t="inlineStr">
        <is>
          <t>PASS</t>
        </is>
      </c>
      <c r="S9" s="42" t="inlineStr">
        <is>
          <t>PASS</t>
        </is>
      </c>
      <c r="T9" s="42" t="inlineStr">
        <is>
          <t>PASS</t>
        </is>
      </c>
      <c r="U9" s="42" t="inlineStr">
        <is>
          <t>PASS</t>
        </is>
      </c>
      <c r="V9" s="42" t="inlineStr">
        <is>
          <t>PASS</t>
        </is>
      </c>
      <c r="W9" s="42" t="inlineStr">
        <is>
          <t>PASS</t>
        </is>
      </c>
      <c r="X9" s="42" t="inlineStr">
        <is>
          <t>PASS</t>
        </is>
      </c>
      <c r="Y9" s="42" t="inlineStr">
        <is>
          <t>PASS</t>
        </is>
      </c>
      <c r="Z9" s="42" t="inlineStr">
        <is>
          <t>PASS</t>
        </is>
      </c>
      <c r="AA9" s="42" t="inlineStr">
        <is>
          <t>PASS</t>
        </is>
      </c>
      <c r="AB9" s="42" t="inlineStr">
        <is>
          <t>PASS</t>
        </is>
      </c>
      <c r="AC9" s="38" t="inlineStr"/>
      <c r="AD9" s="38" t="inlineStr"/>
      <c r="AE9" s="38" t="inlineStr"/>
      <c r="AF9" s="38" t="inlineStr"/>
      <c r="AG9" s="38" t="inlineStr"/>
      <c r="AH9" s="38" t="inlineStr"/>
      <c r="AI9" s="38" t="inlineStr"/>
      <c r="AJ9" s="38" t="inlineStr"/>
      <c r="AK9" s="38" t="inlineStr"/>
      <c r="AL9" s="38" t="inlineStr"/>
      <c r="AM9" s="38" t="inlineStr"/>
      <c r="AN9" s="38" t="inlineStr"/>
      <c r="AO9" s="38" t="inlineStr"/>
      <c r="AP9" s="38" t="inlineStr"/>
      <c r="AQ9" s="38" t="inlineStr"/>
      <c r="AR9" s="38" t="inlineStr"/>
      <c r="AS9" s="38" t="inlineStr"/>
      <c r="AT9" s="38" t="inlineStr"/>
      <c r="AU9" s="38" t="inlineStr"/>
      <c r="AV9" s="38" t="inlineStr"/>
      <c r="AW9" s="38" t="inlineStr"/>
      <c r="AX9" s="38" t="inlineStr"/>
      <c r="AY9" s="38" t="inlineStr"/>
      <c r="AZ9" s="38" t="inlineStr"/>
      <c r="BA9" s="38" t="inlineStr"/>
      <c r="BB9" s="38" t="inlineStr"/>
      <c r="BC9" s="38" t="inlineStr"/>
      <c r="BD9" s="38" t="inlineStr"/>
      <c r="BE9" s="38" t="inlineStr"/>
      <c r="BF9" s="38" t="inlineStr"/>
      <c r="BG9" s="38" t="inlineStr"/>
      <c r="BH9" s="38" t="inlineStr"/>
      <c r="BI9" s="38" t="inlineStr"/>
      <c r="BJ9" s="38" t="inlineStr"/>
      <c r="BK9" s="38" t="inlineStr"/>
      <c r="BL9" s="38" t="inlineStr"/>
      <c r="BM9" s="38" t="inlineStr"/>
      <c r="BN9" s="38" t="inlineStr"/>
      <c r="BO9" s="38" t="inlineStr"/>
      <c r="BP9" s="38" t="inlineStr"/>
      <c r="BQ9" s="38" t="inlineStr"/>
      <c r="BR9" s="38" t="inlineStr"/>
      <c r="BS9" s="38" t="inlineStr"/>
      <c r="BT9" s="38" t="inlineStr"/>
      <c r="BU9" s="38" t="inlineStr"/>
      <c r="BV9" s="38" t="inlineStr"/>
      <c r="BW9" s="38" t="inlineStr"/>
      <c r="BX9" s="38" t="inlineStr"/>
      <c r="BY9" s="38" t="inlineStr"/>
      <c r="BZ9" s="38" t="inlineStr"/>
      <c r="CA9" s="38" t="inlineStr"/>
      <c r="CB9" s="38" t="inlineStr"/>
      <c r="CC9" s="38" t="inlineStr"/>
      <c r="CD9" s="38" t="inlineStr"/>
      <c r="CE9" s="38" t="inlineStr"/>
      <c r="CF9" s="38" t="inlineStr"/>
      <c r="CG9" s="38" t="inlineStr"/>
      <c r="CH9" s="38" t="inlineStr"/>
      <c r="CI9" s="38" t="inlineStr"/>
      <c r="CJ9" s="38" t="inlineStr"/>
      <c r="CK9" s="38" t="inlineStr"/>
      <c r="CL9" s="38" t="inlineStr"/>
      <c r="CM9" s="38" t="inlineStr"/>
      <c r="CN9" s="38" t="inlineStr"/>
      <c r="CO9" s="38" t="inlineStr"/>
      <c r="CP9" s="38" t="inlineStr"/>
      <c r="CQ9" s="38" t="inlineStr"/>
      <c r="CR9" s="38" t="inlineStr"/>
      <c r="CS9" s="38" t="inlineStr"/>
      <c r="CT9" s="38" t="inlineStr"/>
      <c r="CU9" s="38" t="inlineStr"/>
      <c r="CV9" s="38" t="inlineStr"/>
      <c r="CW9" s="38" t="inlineStr"/>
      <c r="CX9" s="38" t="inlineStr"/>
      <c r="CY9" s="38" t="inlineStr"/>
      <c r="CZ9" s="38" t="inlineStr"/>
      <c r="DA9" s="38" t="inlineStr"/>
      <c r="DB9" s="38" t="inlineStr"/>
      <c r="DC9" s="38" t="inlineStr"/>
      <c r="DD9" s="38" t="inlineStr"/>
      <c r="DE9" s="38" t="inlineStr"/>
    </row>
    <row r="10">
      <c r="A10" s="38" t="inlineStr">
        <is>
          <t>issue_072</t>
        </is>
      </c>
      <c r="B10" s="42" t="inlineStr">
        <is>
          <t>PASS</t>
        </is>
      </c>
      <c r="C10" s="42" t="inlineStr">
        <is>
          <t>PASS</t>
        </is>
      </c>
      <c r="D10" s="42" t="inlineStr">
        <is>
          <t>PASS</t>
        </is>
      </c>
      <c r="E10" s="42" t="inlineStr">
        <is>
          <t>PASS</t>
        </is>
      </c>
      <c r="F10" s="39" t="inlineStr">
        <is>
          <t>NOT_TESTED</t>
        </is>
      </c>
      <c r="G10" s="39" t="inlineStr">
        <is>
          <t>NOT_TESTED</t>
        </is>
      </c>
      <c r="H10" s="39" t="inlineStr">
        <is>
          <t>NOT_TESTED</t>
        </is>
      </c>
      <c r="I10" s="39" t="inlineStr">
        <is>
          <t>NOT_TESTED</t>
        </is>
      </c>
      <c r="J10" s="39" t="inlineStr">
        <is>
          <t>NOT_TESTED</t>
        </is>
      </c>
      <c r="K10" s="39" t="inlineStr">
        <is>
          <t>NOT_TESTED</t>
        </is>
      </c>
      <c r="L10" s="39" t="inlineStr">
        <is>
          <t>NOT_TESTED</t>
        </is>
      </c>
      <c r="M10" s="39" t="inlineStr">
        <is>
          <t>NOT_TESTED</t>
        </is>
      </c>
      <c r="N10" s="39" t="inlineStr">
        <is>
          <t>NOT_TESTED</t>
        </is>
      </c>
      <c r="O10" s="39" t="inlineStr">
        <is>
          <t>NOT_TESTED</t>
        </is>
      </c>
      <c r="P10" s="39" t="inlineStr">
        <is>
          <t>NOT_TESTED</t>
        </is>
      </c>
      <c r="Q10" s="39" t="inlineStr">
        <is>
          <t>NOT_TESTED</t>
        </is>
      </c>
      <c r="R10" s="39" t="inlineStr">
        <is>
          <t>NOT_TESTED</t>
        </is>
      </c>
      <c r="S10" s="39" t="inlineStr">
        <is>
          <t>NOT_TESTED</t>
        </is>
      </c>
      <c r="T10" s="39" t="inlineStr">
        <is>
          <t>NOT_TESTED</t>
        </is>
      </c>
      <c r="U10" s="39" t="inlineStr">
        <is>
          <t>NOT_TESTED</t>
        </is>
      </c>
      <c r="V10" s="39" t="inlineStr">
        <is>
          <t>NOT_TESTED</t>
        </is>
      </c>
      <c r="W10" s="39" t="inlineStr">
        <is>
          <t>NOT_TESTED</t>
        </is>
      </c>
      <c r="X10" s="39" t="inlineStr">
        <is>
          <t>NOT_TESTED</t>
        </is>
      </c>
      <c r="Y10" s="39" t="inlineStr">
        <is>
          <t>NOT_TESTED</t>
        </is>
      </c>
      <c r="Z10" s="39" t="inlineStr">
        <is>
          <t>NOT_TESTED</t>
        </is>
      </c>
      <c r="AA10" s="39" t="inlineStr">
        <is>
          <t>NOT_TESTED</t>
        </is>
      </c>
      <c r="AB10" s="39" t="inlineStr">
        <is>
          <t>NOT_TESTED</t>
        </is>
      </c>
      <c r="AC10" s="38" t="inlineStr"/>
      <c r="AD10" s="38" t="inlineStr"/>
      <c r="AE10" s="38" t="inlineStr"/>
      <c r="AF10" s="38" t="inlineStr"/>
      <c r="AG10" s="38" t="inlineStr"/>
      <c r="AH10" s="38" t="inlineStr"/>
      <c r="AI10" s="38" t="inlineStr"/>
      <c r="AJ10" s="38" t="inlineStr"/>
      <c r="AK10" s="38" t="inlineStr"/>
      <c r="AL10" s="38" t="inlineStr"/>
      <c r="AM10" s="38" t="inlineStr"/>
      <c r="AN10" s="38" t="inlineStr"/>
      <c r="AO10" s="38" t="inlineStr"/>
      <c r="AP10" s="38" t="inlineStr"/>
      <c r="AQ10" s="38" t="inlineStr"/>
      <c r="AR10" s="38" t="inlineStr"/>
      <c r="AS10" s="38" t="inlineStr"/>
      <c r="AT10" s="38" t="inlineStr"/>
      <c r="AU10" s="38" t="inlineStr"/>
      <c r="AV10" s="38" t="inlineStr"/>
      <c r="AW10" s="38" t="inlineStr"/>
      <c r="AX10" s="38" t="inlineStr"/>
      <c r="AY10" s="38" t="inlineStr"/>
      <c r="AZ10" s="38" t="inlineStr"/>
      <c r="BA10" s="38" t="inlineStr"/>
      <c r="BB10" s="38" t="inlineStr"/>
      <c r="BC10" s="38" t="inlineStr"/>
      <c r="BD10" s="38" t="inlineStr"/>
      <c r="BE10" s="38" t="inlineStr"/>
      <c r="BF10" s="38" t="inlineStr"/>
      <c r="BG10" s="38" t="inlineStr"/>
      <c r="BH10" s="38" t="inlineStr"/>
      <c r="BI10" s="38" t="inlineStr"/>
      <c r="BJ10" s="38" t="inlineStr"/>
      <c r="BK10" s="38" t="inlineStr"/>
      <c r="BL10" s="38" t="inlineStr"/>
      <c r="BM10" s="38" t="inlineStr"/>
      <c r="BN10" s="38" t="inlineStr"/>
      <c r="BO10" s="38" t="inlineStr"/>
      <c r="BP10" s="38" t="inlineStr"/>
      <c r="BQ10" s="38" t="inlineStr"/>
      <c r="BR10" s="38" t="inlineStr"/>
      <c r="BS10" s="38" t="inlineStr"/>
      <c r="BT10" s="38" t="inlineStr"/>
      <c r="BU10" s="38" t="inlineStr"/>
      <c r="BV10" s="38" t="inlineStr"/>
      <c r="BW10" s="38" t="inlineStr"/>
      <c r="BX10" s="38" t="inlineStr"/>
      <c r="BY10" s="38" t="inlineStr"/>
      <c r="BZ10" s="38" t="inlineStr"/>
      <c r="CA10" s="38" t="inlineStr"/>
      <c r="CB10" s="38" t="inlineStr"/>
      <c r="CC10" s="38" t="inlineStr"/>
      <c r="CD10" s="38" t="inlineStr"/>
      <c r="CE10" s="38" t="inlineStr"/>
      <c r="CF10" s="38" t="inlineStr"/>
      <c r="CG10" s="38" t="inlineStr"/>
      <c r="CH10" s="38" t="inlineStr"/>
      <c r="CI10" s="38" t="inlineStr"/>
      <c r="CJ10" s="38" t="inlineStr"/>
      <c r="CK10" s="38" t="inlineStr"/>
      <c r="CL10" s="38" t="inlineStr"/>
      <c r="CM10" s="38" t="inlineStr"/>
      <c r="CN10" s="38" t="inlineStr"/>
      <c r="CO10" s="38" t="inlineStr"/>
      <c r="CP10" s="38" t="inlineStr"/>
      <c r="CQ10" s="38" t="inlineStr"/>
      <c r="CR10" s="38" t="inlineStr"/>
      <c r="CS10" s="38" t="inlineStr"/>
      <c r="CT10" s="38" t="inlineStr"/>
      <c r="CU10" s="38" t="inlineStr"/>
      <c r="CV10" s="38" t="inlineStr"/>
      <c r="CW10" s="38" t="inlineStr"/>
      <c r="CX10" s="38" t="inlineStr"/>
      <c r="CY10" s="38" t="inlineStr"/>
      <c r="CZ10" s="38" t="inlineStr"/>
      <c r="DA10" s="38" t="inlineStr"/>
      <c r="DB10" s="38" t="inlineStr"/>
      <c r="DC10" s="38" t="inlineStr"/>
      <c r="DD10" s="38" t="inlineStr"/>
      <c r="DE10" s="38" t="inlineStr"/>
    </row>
    <row r="11">
      <c r="A11" s="38" t="inlineStr">
        <is>
          <t>issue_096</t>
        </is>
      </c>
      <c r="B11" s="41" t="inlineStr">
        <is>
          <t>FAIL</t>
        </is>
      </c>
      <c r="C11" s="41" t="inlineStr">
        <is>
          <t>FAIL</t>
        </is>
      </c>
      <c r="D11" s="41" t="inlineStr">
        <is>
          <t>FAIL</t>
        </is>
      </c>
      <c r="E11" s="41" t="inlineStr">
        <is>
          <t>FAIL</t>
        </is>
      </c>
      <c r="F11" s="41" t="inlineStr">
        <is>
          <t>FAIL</t>
        </is>
      </c>
      <c r="G11" s="41" t="inlineStr">
        <is>
          <t>FAIL</t>
        </is>
      </c>
      <c r="H11" s="41" t="inlineStr">
        <is>
          <t>FAIL</t>
        </is>
      </c>
      <c r="I11" s="41" t="inlineStr">
        <is>
          <t>FAIL</t>
        </is>
      </c>
      <c r="J11" s="41" t="inlineStr">
        <is>
          <t>FAIL</t>
        </is>
      </c>
      <c r="K11" s="41" t="inlineStr">
        <is>
          <t>FAIL</t>
        </is>
      </c>
      <c r="L11" s="41" t="inlineStr">
        <is>
          <t>FAIL</t>
        </is>
      </c>
      <c r="M11" s="41" t="inlineStr">
        <is>
          <t>FAIL</t>
        </is>
      </c>
      <c r="N11" s="41" t="inlineStr">
        <is>
          <t>FAIL</t>
        </is>
      </c>
      <c r="O11" s="41" t="inlineStr">
        <is>
          <t>FAIL</t>
        </is>
      </c>
      <c r="P11" s="41" t="inlineStr">
        <is>
          <t>FAIL</t>
        </is>
      </c>
      <c r="Q11" s="41" t="inlineStr">
        <is>
          <t>FAIL</t>
        </is>
      </c>
      <c r="R11" s="41" t="inlineStr">
        <is>
          <t>FAIL</t>
        </is>
      </c>
      <c r="S11" s="41" t="inlineStr">
        <is>
          <t>FAIL</t>
        </is>
      </c>
      <c r="T11" s="41" t="inlineStr">
        <is>
          <t>FAIL</t>
        </is>
      </c>
      <c r="U11" s="41" t="inlineStr">
        <is>
          <t>FAIL</t>
        </is>
      </c>
      <c r="V11" s="41" t="inlineStr">
        <is>
          <t>FAIL</t>
        </is>
      </c>
      <c r="W11" s="41" t="inlineStr">
        <is>
          <t>FAIL</t>
        </is>
      </c>
      <c r="X11" s="41" t="inlineStr">
        <is>
          <t>FAIL</t>
        </is>
      </c>
      <c r="Y11" s="41" t="inlineStr">
        <is>
          <t>FAIL</t>
        </is>
      </c>
      <c r="Z11" s="41" t="inlineStr">
        <is>
          <t>FAIL</t>
        </is>
      </c>
      <c r="AA11" s="41" t="inlineStr">
        <is>
          <t>FAIL</t>
        </is>
      </c>
      <c r="AB11" s="41" t="inlineStr">
        <is>
          <t>FAIL</t>
        </is>
      </c>
      <c r="AC11" s="38" t="inlineStr">
        <is>
          <t>AssertionError</t>
        </is>
      </c>
      <c r="AD11" s="38" t="inlineStr">
        <is>
          <t>AssertionError: '' != '[default]\n' + [default] | AssertionError: False is not true : Missing ipython_kernel_config.py (even when the profile directory already exists)</t>
        </is>
      </c>
      <c r="AE11" s="38" t="inlineStr">
        <is>
          <t>The LLM creates an empty Qiskit settings file instead of one containing '[default]', and never creates the ipython_kernel_config.py file the user needed.</t>
        </is>
      </c>
      <c r="AF11" s="38" t="inlineStr">
        <is>
          <t>AssertionError</t>
        </is>
      </c>
      <c r="AG11" s="38" t="inlineStr">
        <is>
          <t>AssertionError: '' != '[default]\n' + [default] | AssertionError: False is not true : Missing ipython_kernel_config.py (even when the profile directory already exists)</t>
        </is>
      </c>
      <c r="AH11" s="38" t="inlineStr">
        <is>
          <t>The LLM creates an empty Qiskit settings file instead of one containing '[default]', and never creates the ipython_kernel_config.py file the user needed.</t>
        </is>
      </c>
      <c r="AI11" s="38" t="inlineStr">
        <is>
          <t>AssertionError</t>
        </is>
      </c>
      <c r="AJ11" s="38" t="inlineStr">
        <is>
          <t>AssertionError: '' != '[default]\n' + [default] | AssertionError: False is not true : Missing ipython_kernel_config.py (even when the profile directory already exists)</t>
        </is>
      </c>
      <c r="AK11" s="38" t="inlineStr">
        <is>
          <t>The LLM creates an empty Qiskit settings file instead of one containing '[default]', and never creates the ipython_kernel_config.py file the user needed.</t>
        </is>
      </c>
      <c r="AL11" s="38" t="inlineStr">
        <is>
          <t>AssertionError</t>
        </is>
      </c>
      <c r="AM11" s="38" t="inlineStr">
        <is>
          <t>AssertionError: '' != '[default]\n' + [default] | AssertionError: False is not true : Missing ipython_kernel_config.py (even when the profile directory already exists)</t>
        </is>
      </c>
      <c r="AN11" s="38" t="inlineStr">
        <is>
          <t>The LLM creates an empty Qiskit settings file instead of one containing '[default]', and never creates the ipython_kernel_config.py file the user needed.</t>
        </is>
      </c>
      <c r="AO11" s="38" t="inlineStr">
        <is>
          <t>AssertionError</t>
        </is>
      </c>
      <c r="AP11" s="38" t="inlineStr">
        <is>
          <t>AssertionError: '' != '[default]\n' + [default] | AssertionError: False is not true : Missing ipython_kernel_config.py (even when the profile directory already exists)</t>
        </is>
      </c>
      <c r="AQ11" s="38" t="inlineStr">
        <is>
          <t>The LLM creates an empty Qiskit settings file instead of one containing '[default]', and never creates the ipython_kernel_config.py file the user needed.</t>
        </is>
      </c>
      <c r="AR11" s="38" t="inlineStr">
        <is>
          <t>AssertionError</t>
        </is>
      </c>
      <c r="AS11" s="38" t="inlineStr">
        <is>
          <t>AssertionError: '' != '[default]\n' + [default] | AssertionError: False is not true : Missing ipython_kernel_config.py (even when the profile directory already exists)</t>
        </is>
      </c>
      <c r="AT11" s="38" t="inlineStr">
        <is>
          <t>The LLM creates an empty Qiskit settings file instead of one containing '[default]', and never creates the ipython_kernel_config.py file the user needed.</t>
        </is>
      </c>
      <c r="AU11" s="38" t="inlineStr">
        <is>
          <t>AssertionError</t>
        </is>
      </c>
      <c r="AV11" s="38" t="inlineStr">
        <is>
          <t>AssertionError: '' != '[default]\n' + [default] | AssertionError: False is not true : Missing ipython_kernel_config.py (even when the profile directory already exists)</t>
        </is>
      </c>
      <c r="AW11" s="38" t="inlineStr">
        <is>
          <t>The LLM creates an empty Qiskit settings file instead of one containing '[default]', and never creates the ipython_kernel_config.py file the user needed.</t>
        </is>
      </c>
      <c r="AX11" s="38" t="inlineStr">
        <is>
          <t>AssertionError</t>
        </is>
      </c>
      <c r="AY11" s="38" t="inlineStr">
        <is>
          <t>AssertionError: '' != '[default]\n' + [default] | AssertionError: False is not true : Missing ipython_kernel_config.py (even when the profile directory already exists)</t>
        </is>
      </c>
      <c r="AZ11" s="38" t="inlineStr">
        <is>
          <t>The LLM creates an empty Qiskit settings file instead of one containing '[default]', and never creates the ipython_kernel_config.py file the user needed.</t>
        </is>
      </c>
      <c r="BA11" s="38" t="inlineStr">
        <is>
          <t>AssertionError</t>
        </is>
      </c>
      <c r="BB11" s="38" t="inlineStr">
        <is>
          <t>AssertionError: '' != '[default]\n' + [default] | AssertionError: False is not true : Missing ipython_kernel_config.py (even when the profile directory already exists)</t>
        </is>
      </c>
      <c r="BC11" s="38" t="inlineStr">
        <is>
          <t>The LLM creates an empty Qiskit settings file instead of one containing '[default]', and never creates the ipython_kernel_config.py file the user needed.</t>
        </is>
      </c>
      <c r="BD11" s="38" t="inlineStr">
        <is>
          <t>AssertionError</t>
        </is>
      </c>
      <c r="BE11" s="38" t="inlineStr">
        <is>
          <t>AssertionError: '' != '[default]\n' + [default] | AssertionError: False is not true : Missing ipython_kernel_config.py (even when the profile directory already exists)</t>
        </is>
      </c>
      <c r="BF11" s="38" t="inlineStr">
        <is>
          <t>The LLM creates an empty Qiskit settings file instead of one containing '[default]', and never creates the ipython_kernel_config.py file the user needed.</t>
        </is>
      </c>
      <c r="BG11" s="38" t="inlineStr">
        <is>
          <t>AssertionError</t>
        </is>
      </c>
      <c r="BH11" s="38" t="inlineStr">
        <is>
          <t>AssertionError: '' != '[default]\n' + [default] | AssertionError: False is not true : Missing ipython_kernel_config.py (even when the profile directory already exists)</t>
        </is>
      </c>
      <c r="BI11" s="38" t="inlineStr">
        <is>
          <t>The LLM creates an empty Qiskit settings file instead of one containing '[default]', and never creates the ipython_kernel_config.py file the user needed.</t>
        </is>
      </c>
      <c r="BJ11" s="38" t="inlineStr">
        <is>
          <t>AssertionError</t>
        </is>
      </c>
      <c r="BK11" s="38" t="inlineStr">
        <is>
          <t>AssertionError: '' != '[default]\n' + [default] | AssertionError: False is not true : Missing ipython_kernel_config.py (even when the profile directory already exists)</t>
        </is>
      </c>
      <c r="BL11" s="38" t="inlineStr">
        <is>
          <t>The LLM creates an empty Qiskit settings file instead of one containing '[default]', and never creates the ipython_kernel_config.py file the user needed.</t>
        </is>
      </c>
      <c r="BM11" s="38" t="inlineStr">
        <is>
          <t>AssertionError</t>
        </is>
      </c>
      <c r="BN11" s="38" t="inlineStr">
        <is>
          <t>AssertionError: '' != '[default]\n' + [default] | AssertionError: False is not true : Missing ipython_kernel_config.py (even when the profile directory already exists)</t>
        </is>
      </c>
      <c r="BO11" s="38" t="inlineStr">
        <is>
          <t>The LLM creates an empty Qiskit settings file instead of one containing '[default]', and never creates the ipython_kernel_config.py file the user needed.</t>
        </is>
      </c>
      <c r="BP11" s="38" t="inlineStr">
        <is>
          <t>AssertionError</t>
        </is>
      </c>
      <c r="BQ11" s="38" t="inlineStr">
        <is>
          <t>AssertionError: '' != '[default]\n' + [default] | AssertionError: False is not true : Missing ipython_kernel_config.py (even when the profile directory already exists)</t>
        </is>
      </c>
      <c r="BR11" s="38" t="inlineStr">
        <is>
          <t>The LLM creates an empty Qiskit settings file instead of one containing '[default]', and never creates the ipython_kernel_config.py file the user needed.</t>
        </is>
      </c>
      <c r="BS11" s="38" t="inlineStr">
        <is>
          <t>AssertionError</t>
        </is>
      </c>
      <c r="BT11" s="38" t="inlineStr">
        <is>
          <t>AssertionError: '' != '[default]\n' + [default] | AssertionError: False is not true : Missing ipython_kernel_config.py (even when the profile directory already exists)</t>
        </is>
      </c>
      <c r="BU11" s="38" t="inlineStr">
        <is>
          <t>The LLM creates an empty Qiskit settings file instead of one containing '[default]', and never creates the ipython_kernel_config.py file the user needed.</t>
        </is>
      </c>
      <c r="BV11" s="38" t="inlineStr">
        <is>
          <t>AssertionError</t>
        </is>
      </c>
      <c r="BW11" s="38" t="inlineStr">
        <is>
          <t>AssertionError: '' != '[default]\n' + [default] | AssertionError: False is not true : Missing ipython_kernel_config.py (even when the profile directory already exists)</t>
        </is>
      </c>
      <c r="BX11" s="38" t="inlineStr">
        <is>
          <t>The LLM creates an empty Qiskit settings file instead of one containing '[default]', and never creates the ipython_kernel_config.py file the user needed.</t>
        </is>
      </c>
      <c r="BY11" s="38" t="inlineStr">
        <is>
          <t>AssertionError</t>
        </is>
      </c>
      <c r="BZ11" s="38" t="inlineStr">
        <is>
          <t>AssertionError: '' != '[default]\n' + [default] | AssertionError: False is not true : Missing ipython_kernel_config.py (even when the profile directory already exists)</t>
        </is>
      </c>
      <c r="CA11" s="38" t="inlineStr">
        <is>
          <t>The LLM creates an empty Qiskit settings file instead of one containing '[default]', and never creates the ipython_kernel_config.py file the user needed.</t>
        </is>
      </c>
      <c r="CB11" s="38" t="inlineStr">
        <is>
          <t>AssertionError</t>
        </is>
      </c>
      <c r="CC11" s="38" t="inlineStr">
        <is>
          <t>AssertionError: '' != '[default]\n' + [default] | AssertionError: False is not true : Missing ipython_kernel_config.py (even when the profile directory already exists)</t>
        </is>
      </c>
      <c r="CD11" s="38" t="inlineStr">
        <is>
          <t>The LLM creates an empty Qiskit settings file instead of one containing '[default]', and never creates the ipython_kernel_config.py file the user needed.</t>
        </is>
      </c>
      <c r="CE11" s="38" t="inlineStr">
        <is>
          <t>AssertionError</t>
        </is>
      </c>
      <c r="CF11" s="38" t="inlineStr">
        <is>
          <t>AssertionError: '' != '[default]\n' + [default] | AssertionError: False is not true : Missing ipython_kernel_config.py (even when the profile directory already exists)</t>
        </is>
      </c>
      <c r="CG11" s="38" t="inlineStr">
        <is>
          <t>The LLM creates an empty Qiskit settings file instead of one containing '[default]', and never creates the ipython_kernel_config.py file the user needed.</t>
        </is>
      </c>
      <c r="CH11" s="38" t="inlineStr">
        <is>
          <t>AssertionError</t>
        </is>
      </c>
      <c r="CI11" s="38" t="inlineStr">
        <is>
          <t>AssertionError: '' != '[default]\n' + [default] | AssertionError: False is not true : Missing ipython_kernel_config.py (even when the profile directory already exists)</t>
        </is>
      </c>
      <c r="CJ11" s="38" t="inlineStr">
        <is>
          <t>The LLM creates an empty Qiskit settings file instead of one containing '[default]', and never creates the ipython_kernel_config.py file the user needed.</t>
        </is>
      </c>
      <c r="CK11" s="38" t="inlineStr">
        <is>
          <t>AssertionError</t>
        </is>
      </c>
      <c r="CL11" s="38" t="inlineStr">
        <is>
          <t>AssertionError: '' != '[default]\n' + [default] | AssertionError: False is not true : Missing ipython_kernel_config.py (even when the profile directory already exists)</t>
        </is>
      </c>
      <c r="CM11" s="38" t="inlineStr">
        <is>
          <t>The LLM creates an empty Qiskit settings file instead of one containing '[default]', and never creates the ipython_kernel_config.py file the user needed.</t>
        </is>
      </c>
      <c r="CN11" s="38" t="inlineStr">
        <is>
          <t>AssertionError</t>
        </is>
      </c>
      <c r="CO11" s="38" t="inlineStr">
        <is>
          <t>AssertionError: '' != '[default]\n' + [default] | AssertionError: False is not true : Missing ipython_kernel_config.py (even when the profile directory already exists)</t>
        </is>
      </c>
      <c r="CP11" s="38" t="inlineStr">
        <is>
          <t>The LLM creates an empty Qiskit settings file instead of one containing '[default]', and never creates the ipython_kernel_config.py file the user needed.</t>
        </is>
      </c>
      <c r="CQ11" s="38" t="inlineStr">
        <is>
          <t>AssertionError</t>
        </is>
      </c>
      <c r="CR11" s="38" t="inlineStr">
        <is>
          <t>AssertionError: '' != '[default]\n' + [default] | AssertionError: False is not true : Missing ipython_kernel_config.py (even when the profile directory already exists)</t>
        </is>
      </c>
      <c r="CS11" s="38" t="inlineStr">
        <is>
          <t>The LLM creates an empty Qiskit settings file instead of one containing '[default]', and never creates the ipython_kernel_config.py file the user needed.</t>
        </is>
      </c>
      <c r="CT11" s="38" t="inlineStr">
        <is>
          <t>AssertionError</t>
        </is>
      </c>
      <c r="CU11" s="38" t="inlineStr">
        <is>
          <t>AssertionError: '' != '[default]\n' + [default] | AssertionError: False is not true : Missing ipython_kernel_config.py (even when the profile directory already exists)</t>
        </is>
      </c>
      <c r="CV11" s="38" t="inlineStr">
        <is>
          <t>The LLM creates an empty Qiskit settings file instead of one containing '[default]', and never creates the ipython_kernel_config.py file the user needed.</t>
        </is>
      </c>
      <c r="CW11" s="38" t="inlineStr">
        <is>
          <t>AssertionError</t>
        </is>
      </c>
      <c r="CX11" s="38" t="inlineStr">
        <is>
          <t>AssertionError: '' != '[default]\n' + [default] | AssertionError: False is not true : Missing ipython_kernel_config.py (even when the profile directory already exists)</t>
        </is>
      </c>
      <c r="CY11" s="38" t="inlineStr">
        <is>
          <t>The LLM creates an empty Qiskit settings file instead of one containing '[default]', and never creates the ipython_kernel_config.py file the user needed.</t>
        </is>
      </c>
      <c r="CZ11" s="38" t="inlineStr">
        <is>
          <t>AssertionError</t>
        </is>
      </c>
      <c r="DA11" s="38" t="inlineStr">
        <is>
          <t>AssertionError: '' != '[default]\n' + [default] | AssertionError: False is not true : Missing ipython_kernel_config.py (even when the profile directory already exists)</t>
        </is>
      </c>
      <c r="DB11" s="38" t="inlineStr">
        <is>
          <t>The LLM creates an empty Qiskit settings file instead of one containing '[default]', and never creates the ipython_kernel_config.py file the user needed.</t>
        </is>
      </c>
      <c r="DC11" s="38" t="inlineStr">
        <is>
          <t>AssertionError</t>
        </is>
      </c>
      <c r="DD11" s="38" t="inlineStr">
        <is>
          <t>AssertionError: '' != '[default]\n' + [default] | AssertionError: False is not true : Missing ipython_kernel_config.py (even when the profile directory already exists)</t>
        </is>
      </c>
      <c r="DE11" s="38" t="inlineStr">
        <is>
          <t>The LLM creates an empty Qiskit settings file instead of one containing '[default]', and never creates the ipython_kernel_config.py file the user needed.</t>
        </is>
      </c>
    </row>
    <row r="12">
      <c r="A12" s="38" t="inlineStr">
        <is>
          <t>issue_155</t>
        </is>
      </c>
      <c r="B12" s="42" t="inlineStr">
        <is>
          <t>PASS</t>
        </is>
      </c>
      <c r="C12" s="42" t="inlineStr">
        <is>
          <t>PASS</t>
        </is>
      </c>
      <c r="D12" s="42" t="inlineStr">
        <is>
          <t>PASS</t>
        </is>
      </c>
      <c r="E12" s="42" t="inlineStr">
        <is>
          <t>PASS</t>
        </is>
      </c>
      <c r="F12" s="42" t="inlineStr">
        <is>
          <t>PASS</t>
        </is>
      </c>
      <c r="G12" s="42" t="inlineStr">
        <is>
          <t>PASS</t>
        </is>
      </c>
      <c r="H12" s="42" t="inlineStr">
        <is>
          <t>PASS</t>
        </is>
      </c>
      <c r="I12" s="42" t="inlineStr">
        <is>
          <t>PASS</t>
        </is>
      </c>
      <c r="J12" s="42" t="inlineStr">
        <is>
          <t>PASS</t>
        </is>
      </c>
      <c r="K12" s="42" t="inlineStr">
        <is>
          <t>PASS</t>
        </is>
      </c>
      <c r="L12" s="42" t="inlineStr">
        <is>
          <t>PASS</t>
        </is>
      </c>
      <c r="M12" s="42" t="inlineStr">
        <is>
          <t>PASS</t>
        </is>
      </c>
      <c r="N12" s="39" t="inlineStr">
        <is>
          <t>NOT_TESTED</t>
        </is>
      </c>
      <c r="O12" s="39" t="inlineStr">
        <is>
          <t>NOT_TESTED</t>
        </is>
      </c>
      <c r="P12" s="39" t="inlineStr">
        <is>
          <t>NOT_TESTED</t>
        </is>
      </c>
      <c r="Q12" s="39" t="inlineStr">
        <is>
          <t>NOT_TESTED</t>
        </is>
      </c>
      <c r="R12" s="39" t="inlineStr">
        <is>
          <t>NOT_TESTED</t>
        </is>
      </c>
      <c r="S12" s="39" t="inlineStr">
        <is>
          <t>NOT_TESTED</t>
        </is>
      </c>
      <c r="T12" s="39" t="inlineStr">
        <is>
          <t>NOT_TESTED</t>
        </is>
      </c>
      <c r="U12" s="39" t="inlineStr">
        <is>
          <t>NOT_TESTED</t>
        </is>
      </c>
      <c r="V12" s="39" t="inlineStr">
        <is>
          <t>NOT_TESTED</t>
        </is>
      </c>
      <c r="W12" s="39" t="inlineStr">
        <is>
          <t>NOT_TESTED</t>
        </is>
      </c>
      <c r="X12" s="39" t="inlineStr">
        <is>
          <t>NOT_TESTED</t>
        </is>
      </c>
      <c r="Y12" s="39" t="inlineStr">
        <is>
          <t>NOT_TESTED</t>
        </is>
      </c>
      <c r="Z12" s="39" t="inlineStr">
        <is>
          <t>NOT_TESTED</t>
        </is>
      </c>
      <c r="AA12" s="39" t="inlineStr">
        <is>
          <t>NOT_TESTED</t>
        </is>
      </c>
      <c r="AB12" s="39" t="inlineStr">
        <is>
          <t>NOT_TESTED</t>
        </is>
      </c>
      <c r="AC12" s="38" t="inlineStr"/>
      <c r="AD12" s="38" t="inlineStr"/>
      <c r="AE12" s="38" t="inlineStr"/>
      <c r="AF12" s="38" t="inlineStr"/>
      <c r="AG12" s="38" t="inlineStr"/>
      <c r="AH12" s="38" t="inlineStr"/>
      <c r="AI12" s="38" t="inlineStr"/>
      <c r="AJ12" s="38" t="inlineStr"/>
      <c r="AK12" s="38" t="inlineStr"/>
      <c r="AL12" s="38" t="inlineStr"/>
      <c r="AM12" s="38" t="inlineStr"/>
      <c r="AN12" s="38" t="inlineStr"/>
      <c r="AO12" s="38" t="inlineStr"/>
      <c r="AP12" s="38" t="inlineStr"/>
      <c r="AQ12" s="38" t="inlineStr"/>
      <c r="AR12" s="38" t="inlineStr"/>
      <c r="AS12" s="38" t="inlineStr"/>
      <c r="AT12" s="38" t="inlineStr"/>
      <c r="AU12" s="38" t="inlineStr"/>
      <c r="AV12" s="38" t="inlineStr"/>
      <c r="AW12" s="38" t="inlineStr"/>
      <c r="AX12" s="38" t="inlineStr"/>
      <c r="AY12" s="38" t="inlineStr"/>
      <c r="AZ12" s="38" t="inlineStr"/>
      <c r="BA12" s="38" t="inlineStr"/>
      <c r="BB12" s="38" t="inlineStr"/>
      <c r="BC12" s="38" t="inlineStr"/>
      <c r="BD12" s="38" t="inlineStr"/>
      <c r="BE12" s="38" t="inlineStr"/>
      <c r="BF12" s="38" t="inlineStr"/>
      <c r="BG12" s="38" t="inlineStr"/>
      <c r="BH12" s="38" t="inlineStr"/>
      <c r="BI12" s="38" t="inlineStr"/>
      <c r="BJ12" s="38" t="inlineStr"/>
      <c r="BK12" s="38" t="inlineStr"/>
      <c r="BL12" s="38" t="inlineStr"/>
      <c r="BM12" s="38" t="inlineStr"/>
      <c r="BN12" s="38" t="inlineStr"/>
      <c r="BO12" s="38" t="inlineStr"/>
      <c r="BP12" s="38" t="inlineStr"/>
      <c r="BQ12" s="38" t="inlineStr"/>
      <c r="BR12" s="38" t="inlineStr"/>
      <c r="BS12" s="38" t="inlineStr"/>
      <c r="BT12" s="38" t="inlineStr"/>
      <c r="BU12" s="38" t="inlineStr"/>
      <c r="BV12" s="38" t="inlineStr"/>
      <c r="BW12" s="38" t="inlineStr"/>
      <c r="BX12" s="38" t="inlineStr"/>
      <c r="BY12" s="38" t="inlineStr"/>
      <c r="BZ12" s="38" t="inlineStr"/>
      <c r="CA12" s="38" t="inlineStr"/>
      <c r="CB12" s="38" t="inlineStr"/>
      <c r="CC12" s="38" t="inlineStr"/>
      <c r="CD12" s="38" t="inlineStr"/>
      <c r="CE12" s="38" t="inlineStr"/>
      <c r="CF12" s="38" t="inlineStr"/>
      <c r="CG12" s="38" t="inlineStr"/>
      <c r="CH12" s="38" t="inlineStr"/>
      <c r="CI12" s="38" t="inlineStr"/>
      <c r="CJ12" s="38" t="inlineStr"/>
      <c r="CK12" s="38" t="inlineStr"/>
      <c r="CL12" s="38" t="inlineStr"/>
      <c r="CM12" s="38" t="inlineStr"/>
      <c r="CN12" s="38" t="inlineStr"/>
      <c r="CO12" s="38" t="inlineStr"/>
      <c r="CP12" s="38" t="inlineStr"/>
      <c r="CQ12" s="38" t="inlineStr"/>
      <c r="CR12" s="38" t="inlineStr"/>
      <c r="CS12" s="38" t="inlineStr"/>
      <c r="CT12" s="38" t="inlineStr"/>
      <c r="CU12" s="38" t="inlineStr"/>
      <c r="CV12" s="38" t="inlineStr"/>
      <c r="CW12" s="38" t="inlineStr"/>
      <c r="CX12" s="38" t="inlineStr"/>
      <c r="CY12" s="38" t="inlineStr"/>
      <c r="CZ12" s="38" t="inlineStr"/>
      <c r="DA12" s="38" t="inlineStr"/>
      <c r="DB12" s="38" t="inlineStr"/>
      <c r="DC12" s="38" t="inlineStr"/>
      <c r="DD12" s="38" t="inlineStr"/>
      <c r="DE12" s="38" t="inlineStr"/>
    </row>
    <row r="13">
      <c r="A13" s="38" t="inlineStr">
        <is>
          <t>issue_157</t>
        </is>
      </c>
      <c r="B13" s="40" t="inlineStr">
        <is>
          <t>ERROR</t>
        </is>
      </c>
      <c r="C13" s="40" t="inlineStr">
        <is>
          <t>ERROR</t>
        </is>
      </c>
      <c r="D13" s="40" t="inlineStr">
        <is>
          <t>ERROR</t>
        </is>
      </c>
      <c r="E13" s="40" t="inlineStr">
        <is>
          <t>ERROR</t>
        </is>
      </c>
      <c r="F13" s="42" t="inlineStr">
        <is>
          <t>PASS</t>
        </is>
      </c>
      <c r="G13" s="42" t="inlineStr">
        <is>
          <t>PASS</t>
        </is>
      </c>
      <c r="H13" s="42" t="inlineStr">
        <is>
          <t>PASS</t>
        </is>
      </c>
      <c r="I13" s="42" t="inlineStr">
        <is>
          <t>PASS</t>
        </is>
      </c>
      <c r="J13" s="42" t="inlineStr">
        <is>
          <t>PASS</t>
        </is>
      </c>
      <c r="K13" s="42" t="inlineStr">
        <is>
          <t>PASS</t>
        </is>
      </c>
      <c r="L13" s="42" t="inlineStr">
        <is>
          <t>PASS</t>
        </is>
      </c>
      <c r="M13" s="42" t="inlineStr">
        <is>
          <t>PASS</t>
        </is>
      </c>
      <c r="N13" s="39" t="inlineStr">
        <is>
          <t>NOT_TESTED</t>
        </is>
      </c>
      <c r="O13" s="39" t="inlineStr">
        <is>
          <t>NOT_TESTED</t>
        </is>
      </c>
      <c r="P13" s="39" t="inlineStr">
        <is>
          <t>NOT_TESTED</t>
        </is>
      </c>
      <c r="Q13" s="39" t="inlineStr">
        <is>
          <t>NOT_TESTED</t>
        </is>
      </c>
      <c r="R13" s="39" t="inlineStr">
        <is>
          <t>NOT_TESTED</t>
        </is>
      </c>
      <c r="S13" s="39" t="inlineStr">
        <is>
          <t>NOT_TESTED</t>
        </is>
      </c>
      <c r="T13" s="39" t="inlineStr">
        <is>
          <t>NOT_TESTED</t>
        </is>
      </c>
      <c r="U13" s="39" t="inlineStr">
        <is>
          <t>NOT_TESTED</t>
        </is>
      </c>
      <c r="V13" s="39" t="inlineStr">
        <is>
          <t>NOT_TESTED</t>
        </is>
      </c>
      <c r="W13" s="39" t="inlineStr">
        <is>
          <t>NOT_TESTED</t>
        </is>
      </c>
      <c r="X13" s="39" t="inlineStr">
        <is>
          <t>NOT_TESTED</t>
        </is>
      </c>
      <c r="Y13" s="39" t="inlineStr">
        <is>
          <t>NOT_TESTED</t>
        </is>
      </c>
      <c r="Z13" s="39" t="inlineStr">
        <is>
          <t>NOT_TESTED</t>
        </is>
      </c>
      <c r="AA13" s="39" t="inlineStr">
        <is>
          <t>NOT_TESTED</t>
        </is>
      </c>
      <c r="AB13" s="39" t="inlineStr">
        <is>
          <t>NOT_TESTED</t>
        </is>
      </c>
      <c r="AC13" s="38" t="inlineStr">
        <is>
          <t>AttributeError</t>
        </is>
      </c>
      <c r="AD13" s="38" t="inlineStr">
        <is>
          <t>AttributeError: 'QuantumCircuit' object has no attribute 'prepare_state'</t>
        </is>
      </c>
      <c r="AE13" s="38" t="inlineStr">
        <is>
          <t>The LLM replaced initialize() with QuantumCircuit.prepare_state(), which does not exist yet in Qiskit 0.25 (Terra 0.17), so the script crashes with AttributeError before the gate is built.</t>
        </is>
      </c>
      <c r="AF13" s="38" t="inlineStr">
        <is>
          <t>AttributeError</t>
        </is>
      </c>
      <c r="AG13" s="38" t="inlineStr">
        <is>
          <t>AttributeError: 'QuantumCircuit' object has no attribute 'prepare_state'</t>
        </is>
      </c>
      <c r="AH13" s="38" t="inlineStr">
        <is>
          <t>The LLM replaced initialize() with QuantumCircuit.prepare_state(), which does not exist yet in Qiskit 0.25 (Terra 0.17), so the script crashes with AttributeError before the gate is built.</t>
        </is>
      </c>
      <c r="AI13" s="38" t="inlineStr">
        <is>
          <t>AttributeError</t>
        </is>
      </c>
      <c r="AJ13" s="38" t="inlineStr">
        <is>
          <t>AttributeError: 'QuantumCircuit' object has no attribute 'prepare_state'</t>
        </is>
      </c>
      <c r="AK13" s="38" t="inlineStr">
        <is>
          <t>The LLM replaced initialize() with QuantumCircuit.prepare_state(), which does not exist yet in Qiskit 0.25 (Terra 0.17), so the script crashes with AttributeError before the gate is built.</t>
        </is>
      </c>
      <c r="AL13" s="38" t="inlineStr">
        <is>
          <t>AttributeError</t>
        </is>
      </c>
      <c r="AM13" s="38" t="inlineStr">
        <is>
          <t>AttributeError: 'QuantumCircuit' object has no attribute 'prepare_state'</t>
        </is>
      </c>
      <c r="AN13" s="38" t="inlineStr">
        <is>
          <t>The LLM replaced initialize() with QuantumCircuit.prepare_state(), which does not exist yet in Qiskit 0.25 (Terra 0.17), so the script crashes with AttributeError before the gate is built.</t>
        </is>
      </c>
      <c r="AO13" s="38" t="inlineStr"/>
      <c r="AP13" s="38" t="inlineStr"/>
      <c r="AQ13" s="38" t="inlineStr"/>
      <c r="AR13" s="38" t="inlineStr"/>
      <c r="AS13" s="38" t="inlineStr"/>
      <c r="AT13" s="38" t="inlineStr"/>
      <c r="AU13" s="38" t="inlineStr"/>
      <c r="AV13" s="38" t="inlineStr"/>
      <c r="AW13" s="38" t="inlineStr"/>
      <c r="AX13" s="38" t="inlineStr"/>
      <c r="AY13" s="38" t="inlineStr"/>
      <c r="AZ13" s="38" t="inlineStr"/>
      <c r="BA13" s="38" t="inlineStr"/>
      <c r="BB13" s="38" t="inlineStr"/>
      <c r="BC13" s="38" t="inlineStr"/>
      <c r="BD13" s="38" t="inlineStr"/>
      <c r="BE13" s="38" t="inlineStr"/>
      <c r="BF13" s="38" t="inlineStr"/>
      <c r="BG13" s="38" t="inlineStr"/>
      <c r="BH13" s="38" t="inlineStr"/>
      <c r="BI13" s="38" t="inlineStr"/>
      <c r="BJ13" s="38" t="inlineStr"/>
      <c r="BK13" s="38" t="inlineStr"/>
      <c r="BL13" s="38" t="inlineStr"/>
      <c r="BM13" s="38" t="inlineStr"/>
      <c r="BN13" s="38" t="inlineStr"/>
      <c r="BO13" s="38" t="inlineStr"/>
      <c r="BP13" s="38" t="inlineStr"/>
      <c r="BQ13" s="38" t="inlineStr"/>
      <c r="BR13" s="38" t="inlineStr"/>
      <c r="BS13" s="38" t="inlineStr"/>
      <c r="BT13" s="38" t="inlineStr"/>
      <c r="BU13" s="38" t="inlineStr"/>
      <c r="BV13" s="38" t="inlineStr"/>
      <c r="BW13" s="38" t="inlineStr"/>
      <c r="BX13" s="38" t="inlineStr"/>
      <c r="BY13" s="38" t="inlineStr"/>
      <c r="BZ13" s="38" t="inlineStr"/>
      <c r="CA13" s="38" t="inlineStr"/>
      <c r="CB13" s="38" t="inlineStr"/>
      <c r="CC13" s="38" t="inlineStr"/>
      <c r="CD13" s="38" t="inlineStr"/>
      <c r="CE13" s="38" t="inlineStr"/>
      <c r="CF13" s="38" t="inlineStr"/>
      <c r="CG13" s="38" t="inlineStr"/>
      <c r="CH13" s="38" t="inlineStr"/>
      <c r="CI13" s="38" t="inlineStr"/>
      <c r="CJ13" s="38" t="inlineStr"/>
      <c r="CK13" s="38" t="inlineStr"/>
      <c r="CL13" s="38" t="inlineStr"/>
      <c r="CM13" s="38" t="inlineStr"/>
      <c r="CN13" s="38" t="inlineStr"/>
      <c r="CO13" s="38" t="inlineStr"/>
      <c r="CP13" s="38" t="inlineStr"/>
      <c r="CQ13" s="38" t="inlineStr"/>
      <c r="CR13" s="38" t="inlineStr"/>
      <c r="CS13" s="38" t="inlineStr"/>
      <c r="CT13" s="38" t="inlineStr"/>
      <c r="CU13" s="38" t="inlineStr"/>
      <c r="CV13" s="38" t="inlineStr"/>
      <c r="CW13" s="38" t="inlineStr"/>
      <c r="CX13" s="38" t="inlineStr"/>
      <c r="CY13" s="38" t="inlineStr"/>
      <c r="CZ13" s="38" t="inlineStr"/>
      <c r="DA13" s="38" t="inlineStr"/>
      <c r="DB13" s="38" t="inlineStr"/>
      <c r="DC13" s="38" t="inlineStr"/>
      <c r="DD13" s="38" t="inlineStr"/>
      <c r="DE13" s="38" t="inlineStr"/>
    </row>
    <row r="14">
      <c r="A14" s="38" t="inlineStr">
        <is>
          <t>issue_174</t>
        </is>
      </c>
      <c r="B14" s="40" t="inlineStr">
        <is>
          <t>ERROR</t>
        </is>
      </c>
      <c r="C14" s="40" t="inlineStr">
        <is>
          <t>ERROR</t>
        </is>
      </c>
      <c r="D14" s="40" t="inlineStr">
        <is>
          <t>ERROR</t>
        </is>
      </c>
      <c r="E14" s="40" t="inlineStr">
        <is>
          <t>ERROR</t>
        </is>
      </c>
      <c r="F14" s="40" t="inlineStr">
        <is>
          <t>ERROR</t>
        </is>
      </c>
      <c r="G14" s="40" t="inlineStr">
        <is>
          <t>ERROR</t>
        </is>
      </c>
      <c r="H14" s="40" t="inlineStr">
        <is>
          <t>ERROR</t>
        </is>
      </c>
      <c r="I14" s="40" t="inlineStr">
        <is>
          <t>ERROR</t>
        </is>
      </c>
      <c r="J14" s="40" t="inlineStr">
        <is>
          <t>ERROR</t>
        </is>
      </c>
      <c r="K14" s="40" t="inlineStr">
        <is>
          <t>ERROR</t>
        </is>
      </c>
      <c r="L14" s="40" t="inlineStr">
        <is>
          <t>ERROR</t>
        </is>
      </c>
      <c r="M14" s="40" t="inlineStr">
        <is>
          <t>ERROR</t>
        </is>
      </c>
      <c r="N14" s="39" t="inlineStr">
        <is>
          <t>NOT_TESTED</t>
        </is>
      </c>
      <c r="O14" s="39" t="inlineStr">
        <is>
          <t>NOT_TESTED</t>
        </is>
      </c>
      <c r="P14" s="39" t="inlineStr">
        <is>
          <t>NOT_TESTED</t>
        </is>
      </c>
      <c r="Q14" s="39" t="inlineStr">
        <is>
          <t>NOT_TESTED</t>
        </is>
      </c>
      <c r="R14" s="39" t="inlineStr">
        <is>
          <t>NOT_TESTED</t>
        </is>
      </c>
      <c r="S14" s="39" t="inlineStr">
        <is>
          <t>NOT_TESTED</t>
        </is>
      </c>
      <c r="T14" s="39" t="inlineStr">
        <is>
          <t>NOT_TESTED</t>
        </is>
      </c>
      <c r="U14" s="39" t="inlineStr">
        <is>
          <t>NOT_TESTED</t>
        </is>
      </c>
      <c r="V14" s="39" t="inlineStr">
        <is>
          <t>NOT_TESTED</t>
        </is>
      </c>
      <c r="W14" s="39" t="inlineStr">
        <is>
          <t>NOT_TESTED</t>
        </is>
      </c>
      <c r="X14" s="39" t="inlineStr">
        <is>
          <t>NOT_TESTED</t>
        </is>
      </c>
      <c r="Y14" s="39" t="inlineStr">
        <is>
          <t>NOT_TESTED</t>
        </is>
      </c>
      <c r="Z14" s="39" t="inlineStr">
        <is>
          <t>NOT_TESTED</t>
        </is>
      </c>
      <c r="AA14" s="39" t="inlineStr">
        <is>
          <t>NOT_TESTED</t>
        </is>
      </c>
      <c r="AB14" s="39" t="inlineStr">
        <is>
          <t>NOT_TESTED</t>
        </is>
      </c>
      <c r="AC14" s="38" t="inlineStr">
        <is>
          <t>QasmError</t>
        </is>
      </c>
      <c r="AD14" s="38" t="inlineStr">
        <is>
          <t>qiskit.qasm.exceptions.QasmError: 'Unable to match any token rule, got --&gt;#&lt;-- Check your OPENQASM source and any include statements.'</t>
        </is>
      </c>
      <c r="AE14" s="38" t="inlineStr">
        <is>
          <t>The LLM's QASM change (if (c==1) instead of if (c[0]==1)) is the same as the reference, but it put its '# FIX:' comment inside the OpenQASM string, where '#' is not valid syntax, so the QASM parser rejects the program. With that one line removed the fix passes.</t>
        </is>
      </c>
      <c r="AF14" s="38" t="inlineStr">
        <is>
          <t>QasmError</t>
        </is>
      </c>
      <c r="AG14" s="38" t="inlineStr">
        <is>
          <t>qiskit.qasm.exceptions.QasmError: 'Unable to match any token rule, got --&gt;#&lt;-- Check your OPENQASM source and any include statements.'</t>
        </is>
      </c>
      <c r="AH14" s="38" t="inlineStr">
        <is>
          <t>The LLM's QASM change (if (c==1) instead of if (c[0]==1)) is the same as the reference, but it put its '# FIX:' comment inside the OpenQASM string, where '#' is not valid syntax, so the QASM parser rejects the program. With that one line removed the fix passes.</t>
        </is>
      </c>
      <c r="AI14" s="38" t="inlineStr">
        <is>
          <t>QasmError</t>
        </is>
      </c>
      <c r="AJ14" s="38" t="inlineStr">
        <is>
          <t>qiskit.qasm.exceptions.QasmError: 'Unable to match any token rule, got --&gt;#&lt;-- Check your OPENQASM source and any include statements.'</t>
        </is>
      </c>
      <c r="AK14" s="38" t="inlineStr">
        <is>
          <t>The LLM's QASM change (if (c==1) instead of if (c[0]==1)) is the same as the reference, but it put its '# FIX:' comment inside the OpenQASM string, where '#' is not valid syntax, so the QASM parser rejects the program. With that one line removed the fix passes.</t>
        </is>
      </c>
      <c r="AL14" s="38" t="inlineStr">
        <is>
          <t>QasmError</t>
        </is>
      </c>
      <c r="AM14" s="38" t="inlineStr">
        <is>
          <t>qiskit.qasm.exceptions.QasmError: 'Unable to match any token rule, got --&gt;#&lt;-- Check your OPENQASM source and any include statements.'</t>
        </is>
      </c>
      <c r="AN14" s="38" t="inlineStr">
        <is>
          <t>The LLM's QASM change (if (c==1) instead of if (c[0]==1)) is the same as the reference, but it put its '# FIX:' comment inside the OpenQASM string, where '#' is not valid syntax, so the QASM parser rejects the program. With that one line removed the fix passes.</t>
        </is>
      </c>
      <c r="AO14" s="38" t="inlineStr">
        <is>
          <t>QASM2ParseError</t>
        </is>
      </c>
      <c r="AP14" s="38" t="inlineStr">
        <is>
          <t>qiskit.qasm2.exceptions.QASM2ParseError: "&lt;input&gt;:10,0: encountered '#', which doesn't match any valid tokens"</t>
        </is>
      </c>
      <c r="AQ14" s="38" t="inlineStr">
        <is>
          <t>The LLM's QASM change (if (c==1) instead of if (c[0]==1)) is the same as the reference, but it put its '# FIX:' comment inside the OpenQASM string, where '#' is not valid syntax, so the QASM parser rejects the program. With that one line removed the fix passes.</t>
        </is>
      </c>
      <c r="AR14" s="38" t="inlineStr">
        <is>
          <t>QASM2ParseError</t>
        </is>
      </c>
      <c r="AS14" s="38" t="inlineStr">
        <is>
          <t>qiskit.qasm2.exceptions.QASM2ParseError: "&lt;input&gt;:10,0: encountered '#', which doesn't match any valid tokens"</t>
        </is>
      </c>
      <c r="AT14" s="38" t="inlineStr">
        <is>
          <t>The LLM's QASM change (if (c==1) instead of if (c[0]==1)) is the same as the reference, but it put its '# FIX:' comment inside the OpenQASM string, where '#' is not valid syntax, so the QASM parser rejects the program. With that one line removed the fix passes.</t>
        </is>
      </c>
      <c r="AU14" s="38" t="inlineStr">
        <is>
          <t>QASM2ParseError</t>
        </is>
      </c>
      <c r="AV14" s="38" t="inlineStr">
        <is>
          <t>qiskit.qasm2.exceptions.QASM2ParseError: "&lt;input&gt;:10,0: encountered '#', which doesn't match any valid tokens"</t>
        </is>
      </c>
      <c r="AW14" s="38" t="inlineStr">
        <is>
          <t>The LLM's QASM change (if (c==1) instead of if (c[0]==1)) is the same as the reference, but it put its '# FIX:' comment inside the OpenQASM string, where '#' is not valid syntax, so the QASM parser rejects the program. With that one line removed the fix passes.</t>
        </is>
      </c>
      <c r="AX14" s="38" t="inlineStr">
        <is>
          <t>QASM2ParseError</t>
        </is>
      </c>
      <c r="AY14" s="38" t="inlineStr">
        <is>
          <t>qiskit.qasm2.exceptions.QASM2ParseError: "&lt;input&gt;:10,0: encountered '#', which doesn't match any valid tokens"</t>
        </is>
      </c>
      <c r="AZ14" s="38" t="inlineStr">
        <is>
          <t>The LLM's QASM change (if (c==1) instead of if (c[0]==1)) is the same as the reference, but it put its '# FIX:' comment inside the OpenQASM string, where '#' is not valid syntax, so the QASM parser rejects the program. With that one line removed the fix passes.</t>
        </is>
      </c>
      <c r="BA14" s="38" t="inlineStr">
        <is>
          <t>QASM2ParseError</t>
        </is>
      </c>
      <c r="BB14" s="38" t="inlineStr">
        <is>
          <t>qiskit.qasm2.exceptions.QASM2ParseError: "&lt;input&gt;:10,0: encountered '#', which doesn't match any valid tokens"</t>
        </is>
      </c>
      <c r="BC14" s="38" t="inlineStr">
        <is>
          <t>The LLM's QASM change (if (c==1) instead of if (c[0]==1)) is the same as the reference, but it put its '# FIX:' comment inside the OpenQASM string, where '#' is not valid syntax, so the QASM parser rejects the program. With that one line removed the fix passes.</t>
        </is>
      </c>
      <c r="BD14" s="38" t="inlineStr">
        <is>
          <t>QASM2ParseError</t>
        </is>
      </c>
      <c r="BE14" s="38" t="inlineStr">
        <is>
          <t>qiskit.qasm2.exceptions.QASM2ParseError: "&lt;input&gt;:10,0: encountered '#', which doesn't match any valid tokens"</t>
        </is>
      </c>
      <c r="BF14" s="38" t="inlineStr">
        <is>
          <t>The LLM's QASM change (if (c==1) instead of if (c[0]==1)) is the same as the reference, but it put its '# FIX:' comment inside the OpenQASM string, where '#' is not valid syntax, so the QASM parser rejects the program. With that one line removed the fix passes.</t>
        </is>
      </c>
      <c r="BG14" s="38" t="inlineStr">
        <is>
          <t>QASM2ParseError</t>
        </is>
      </c>
      <c r="BH14" s="38" t="inlineStr">
        <is>
          <t>qiskit.qasm2.exceptions.QASM2ParseError: "&lt;input&gt;:10,0: encountered '#', which doesn't match any valid tokens"</t>
        </is>
      </c>
      <c r="BI14" s="38" t="inlineStr">
        <is>
          <t>The LLM's QASM change (if (c==1) instead of if (c[0]==1)) is the same as the reference, but it put its '# FIX:' comment inside the OpenQASM string, where '#' is not valid syntax, so the QASM parser rejects the program. With that one line removed the fix passes.</t>
        </is>
      </c>
      <c r="BJ14" s="38" t="inlineStr">
        <is>
          <t>QASM2ParseError</t>
        </is>
      </c>
      <c r="BK14" s="38" t="inlineStr">
        <is>
          <t>qiskit.qasm2.exceptions.QASM2ParseError: "&lt;input&gt;:10,0: encountered '#', which doesn't match any valid tokens"</t>
        </is>
      </c>
      <c r="BL14" s="38" t="inlineStr">
        <is>
          <t>The LLM's QASM change (if (c==1) instead of if (c[0]==1)) is the same as the reference, but it put its '# FIX:' comment inside the OpenQASM string, where '#' is not valid syntax, so the QASM parser rejects the program. With that one line removed the fix passes.</t>
        </is>
      </c>
      <c r="BM14" s="38" t="inlineStr"/>
      <c r="BN14" s="38" t="inlineStr"/>
      <c r="BO14" s="38" t="inlineStr"/>
      <c r="BP14" s="38" t="inlineStr"/>
      <c r="BQ14" s="38" t="inlineStr"/>
      <c r="BR14" s="38" t="inlineStr"/>
      <c r="BS14" s="38" t="inlineStr"/>
      <c r="BT14" s="38" t="inlineStr"/>
      <c r="BU14" s="38" t="inlineStr"/>
      <c r="BV14" s="38" t="inlineStr"/>
      <c r="BW14" s="38" t="inlineStr"/>
      <c r="BX14" s="38" t="inlineStr"/>
      <c r="BY14" s="38" t="inlineStr"/>
      <c r="BZ14" s="38" t="inlineStr"/>
      <c r="CA14" s="38" t="inlineStr"/>
      <c r="CB14" s="38" t="inlineStr"/>
      <c r="CC14" s="38" t="inlineStr"/>
      <c r="CD14" s="38" t="inlineStr"/>
      <c r="CE14" s="38" t="inlineStr"/>
      <c r="CF14" s="38" t="inlineStr"/>
      <c r="CG14" s="38" t="inlineStr"/>
      <c r="CH14" s="38" t="inlineStr"/>
      <c r="CI14" s="38" t="inlineStr"/>
      <c r="CJ14" s="38" t="inlineStr"/>
      <c r="CK14" s="38" t="inlineStr"/>
      <c r="CL14" s="38" t="inlineStr"/>
      <c r="CM14" s="38" t="inlineStr"/>
      <c r="CN14" s="38" t="inlineStr"/>
      <c r="CO14" s="38" t="inlineStr"/>
      <c r="CP14" s="38" t="inlineStr"/>
      <c r="CQ14" s="38" t="inlineStr"/>
      <c r="CR14" s="38" t="inlineStr"/>
      <c r="CS14" s="38" t="inlineStr"/>
      <c r="CT14" s="38" t="inlineStr"/>
      <c r="CU14" s="38" t="inlineStr"/>
      <c r="CV14" s="38" t="inlineStr"/>
      <c r="CW14" s="38" t="inlineStr"/>
      <c r="CX14" s="38" t="inlineStr"/>
      <c r="CY14" s="38" t="inlineStr"/>
      <c r="CZ14" s="38" t="inlineStr"/>
      <c r="DA14" s="38" t="inlineStr"/>
      <c r="DB14" s="38" t="inlineStr"/>
      <c r="DC14" s="38" t="inlineStr"/>
      <c r="DD14" s="38" t="inlineStr"/>
      <c r="DE14" s="38" t="inlineStr"/>
    </row>
    <row r="15">
      <c r="A15" s="38" t="inlineStr">
        <is>
          <t>issue_189</t>
        </is>
      </c>
      <c r="B15" s="39" t="inlineStr">
        <is>
          <t>NOT_TESTED</t>
        </is>
      </c>
      <c r="C15" s="39" t="inlineStr">
        <is>
          <t>NOT_TESTED</t>
        </is>
      </c>
      <c r="D15" s="39" t="inlineStr">
        <is>
          <t>NOT_TESTED</t>
        </is>
      </c>
      <c r="E15" s="39" t="inlineStr">
        <is>
          <t>NOT_TESTED</t>
        </is>
      </c>
      <c r="F15" s="41" t="inlineStr">
        <is>
          <t>FAIL</t>
        </is>
      </c>
      <c r="G15" s="41" t="inlineStr">
        <is>
          <t>FAIL</t>
        </is>
      </c>
      <c r="H15" s="41" t="inlineStr">
        <is>
          <t>FAIL</t>
        </is>
      </c>
      <c r="I15" s="41" t="inlineStr">
        <is>
          <t>FAIL</t>
        </is>
      </c>
      <c r="J15" s="41" t="inlineStr">
        <is>
          <t>FAIL</t>
        </is>
      </c>
      <c r="K15" s="41" t="inlineStr">
        <is>
          <t>FAIL</t>
        </is>
      </c>
      <c r="L15" s="41" t="inlineStr">
        <is>
          <t>FAIL</t>
        </is>
      </c>
      <c r="M15" s="41" t="inlineStr">
        <is>
          <t>FAIL</t>
        </is>
      </c>
      <c r="N15" s="41" t="inlineStr">
        <is>
          <t>FAIL</t>
        </is>
      </c>
      <c r="O15" s="41" t="inlineStr">
        <is>
          <t>FAIL</t>
        </is>
      </c>
      <c r="P15" s="41" t="inlineStr">
        <is>
          <t>FAIL</t>
        </is>
      </c>
      <c r="Q15" s="41" t="inlineStr">
        <is>
          <t>FAIL</t>
        </is>
      </c>
      <c r="R15" s="41" t="inlineStr">
        <is>
          <t>FAIL</t>
        </is>
      </c>
      <c r="S15" s="41" t="inlineStr">
        <is>
          <t>FAIL</t>
        </is>
      </c>
      <c r="T15" s="41" t="inlineStr">
        <is>
          <t>FAIL</t>
        </is>
      </c>
      <c r="U15" s="41" t="inlineStr">
        <is>
          <t>FAIL</t>
        </is>
      </c>
      <c r="V15" s="41" t="inlineStr">
        <is>
          <t>FAIL</t>
        </is>
      </c>
      <c r="W15" s="41" t="inlineStr">
        <is>
          <t>FAIL</t>
        </is>
      </c>
      <c r="X15" s="41" t="inlineStr">
        <is>
          <t>FAIL</t>
        </is>
      </c>
      <c r="Y15" s="41" t="inlineStr">
        <is>
          <t>FAIL</t>
        </is>
      </c>
      <c r="Z15" s="41" t="inlineStr">
        <is>
          <t>FAIL</t>
        </is>
      </c>
      <c r="AA15" s="41" t="inlineStr">
        <is>
          <t>FAIL</t>
        </is>
      </c>
      <c r="AB15" s="41" t="inlineStr">
        <is>
          <t>FAIL</t>
        </is>
      </c>
      <c r="AC15" s="38" t="inlineStr"/>
      <c r="AD15" s="38" t="inlineStr"/>
      <c r="AE15" s="38" t="inlineStr"/>
      <c r="AF15" s="38" t="inlineStr"/>
      <c r="AG15" s="38" t="inlineStr"/>
      <c r="AH15" s="38" t="inlineStr"/>
      <c r="AI15" s="38" t="inlineStr"/>
      <c r="AJ15" s="38" t="inlineStr"/>
      <c r="AK15" s="38" t="inlineStr"/>
      <c r="AL15" s="38" t="inlineStr"/>
      <c r="AM15" s="38" t="inlineStr"/>
      <c r="AN15" s="38" t="inlineStr"/>
      <c r="AO15" s="38" t="inlineStr">
        <is>
          <t>AssertionError</t>
        </is>
      </c>
      <c r="AP15" s="38" t="inlineStr">
        <is>
          <t>AssertionError: Lists differ: [2, 3, 4, 5, 6, 7, 8] != [0, 3, 4, 5, 6, 7, 8]</t>
        </is>
      </c>
      <c r="AQ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R15" s="38" t="inlineStr">
        <is>
          <t>AssertionError</t>
        </is>
      </c>
      <c r="AS15" s="38" t="inlineStr">
        <is>
          <t>AssertionError: Lists differ: [2, 3, 4, 5, 6, 7, 8] != [0, 3, 4, 5, 6, 7, 8]</t>
        </is>
      </c>
      <c r="AT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U15" s="38" t="inlineStr">
        <is>
          <t>AssertionError</t>
        </is>
      </c>
      <c r="AV15" s="38" t="inlineStr">
        <is>
          <t>AssertionError: Lists differ: [2, 3, 4, 5, 6, 7, 8] != [0, 3, 4, 5, 6, 7, 8]</t>
        </is>
      </c>
      <c r="AW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X15" s="38" t="inlineStr">
        <is>
          <t>AssertionError</t>
        </is>
      </c>
      <c r="AY15" s="38" t="inlineStr">
        <is>
          <t>AssertionError: Lists differ: [2, 3, 4, 5, 6, 7, 8] != [0, 3, 4, 5, 6, 7, 8]</t>
        </is>
      </c>
      <c r="AZ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A15" s="38" t="inlineStr">
        <is>
          <t>AssertionError</t>
        </is>
      </c>
      <c r="BB15" s="38" t="inlineStr">
        <is>
          <t>AssertionError: Lists differ: [2, 3, 4, 5, 6, 7, 8] != [0, 3, 4, 5, 6, 7, 8]</t>
        </is>
      </c>
      <c r="BC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D15" s="38" t="inlineStr">
        <is>
          <t>AssertionError</t>
        </is>
      </c>
      <c r="BE15" s="38" t="inlineStr">
        <is>
          <t>AssertionError: Lists differ: [2, 3, 4, 5, 6, 7, 8] != [0, 3, 4, 5, 6, 7, 8]</t>
        </is>
      </c>
      <c r="BF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G15" s="38" t="inlineStr">
        <is>
          <t>AssertionError</t>
        </is>
      </c>
      <c r="BH15" s="38" t="inlineStr">
        <is>
          <t>AssertionError: Lists differ: [2, 3, 4, 5, 6, 7, 8] != [0, 3, 4, 5, 6, 7, 8]</t>
        </is>
      </c>
      <c r="BI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J15" s="38" t="inlineStr">
        <is>
          <t>AssertionError</t>
        </is>
      </c>
      <c r="BK15" s="38" t="inlineStr">
        <is>
          <t>AssertionError: Lists differ: [2, 3, 4, 5, 6, 7, 8] != [0, 3, 4, 5, 6, 7, 8]</t>
        </is>
      </c>
      <c r="BL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M15" s="38" t="inlineStr">
        <is>
          <t>AssertionError</t>
        </is>
      </c>
      <c r="BN15" s="38" t="inlineStr">
        <is>
          <t>AssertionError: Lists differ: [2, 3, 4, 5, 6, 7, 8] != [0, 3, 4, 5, 6, 7, 8]</t>
        </is>
      </c>
      <c r="BO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P15" s="38" t="inlineStr">
        <is>
          <t>AssertionError</t>
        </is>
      </c>
      <c r="BQ15" s="38" t="inlineStr">
        <is>
          <t>AssertionError: Lists differ: [2, 3, 4, 5, 6, 7, 8] != [0, 3, 4, 5, 6, 7, 8]</t>
        </is>
      </c>
      <c r="BR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S15" s="38" t="inlineStr">
        <is>
          <t>AssertionError</t>
        </is>
      </c>
      <c r="BT15" s="38" t="inlineStr">
        <is>
          <t>AssertionError: Lists differ: [2, 3, 4, 5, 6, 7, 8] != [0, 3, 4, 5, 6, 7, 8]</t>
        </is>
      </c>
      <c r="BU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V15" s="38" t="inlineStr">
        <is>
          <t>AssertionError</t>
        </is>
      </c>
      <c r="BW15" s="38" t="inlineStr">
        <is>
          <t>AssertionError: Lists differ: [2, 3, 4, 5, 6, 7, 8] != [0, 3, 4, 5, 6, 7, 8]</t>
        </is>
      </c>
      <c r="BX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Y15" s="38" t="inlineStr">
        <is>
          <t>AssertionError</t>
        </is>
      </c>
      <c r="BZ15" s="38" t="inlineStr">
        <is>
          <t>AssertionError: Lists differ: [2, 3, 4, 5, 6, 7, 8] != [0, 3, 4, 5, 6, 7, 8]</t>
        </is>
      </c>
      <c r="CA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B15" s="38" t="inlineStr">
        <is>
          <t>AssertionError</t>
        </is>
      </c>
      <c r="CC15" s="38" t="inlineStr">
        <is>
          <t>AssertionError: Lists differ: [2, 3, 4, 5, 6, 7, 8] != [0, 3, 4, 5, 6, 7, 8]</t>
        </is>
      </c>
      <c r="CD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E15" s="38" t="inlineStr">
        <is>
          <t>AssertionError</t>
        </is>
      </c>
      <c r="CF15" s="38" t="inlineStr">
        <is>
          <t>AssertionError: Lists differ: [2, 3, 4, 5, 6, 7, 8] != [0, 3, 4, 5, 6, 7, 8]</t>
        </is>
      </c>
      <c r="CG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H15" s="38" t="inlineStr">
        <is>
          <t>AssertionError</t>
        </is>
      </c>
      <c r="CI15" s="38" t="inlineStr">
        <is>
          <t>AssertionError: Lists differ: [2, 3, 4, 5, 6, 7, 8] != [0, 3, 4, 5, 6, 7, 8]</t>
        </is>
      </c>
      <c r="CJ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K15" s="38" t="inlineStr">
        <is>
          <t>AssertionError</t>
        </is>
      </c>
      <c r="CL15" s="38" t="inlineStr">
        <is>
          <t>AssertionError: Lists differ: [2, 3, 4, 5, 6, 7, 8] != [0, 3, 4, 5, 6, 7, 8]</t>
        </is>
      </c>
      <c r="CM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N15" s="38" t="inlineStr">
        <is>
          <t>AssertionError</t>
        </is>
      </c>
      <c r="CO15" s="38" t="inlineStr">
        <is>
          <t>AssertionError: Lists differ: [2, 3, 4, 5, 6, 7, 8] != [0, 3, 4, 5, 6, 7, 8]</t>
        </is>
      </c>
      <c r="CP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Q15" s="38" t="inlineStr">
        <is>
          <t>AssertionError</t>
        </is>
      </c>
      <c r="CR15" s="38" t="inlineStr">
        <is>
          <t>AssertionError: Lists differ: [2, 3, 4, 5, 6, 7, 8] != [0, 3, 4, 5, 6, 7, 8]</t>
        </is>
      </c>
      <c r="CS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T15" s="38" t="inlineStr">
        <is>
          <t>AssertionError</t>
        </is>
      </c>
      <c r="CU15" s="38" t="inlineStr">
        <is>
          <t>AssertionError: Lists differ: [2, 3, 4, 5, 6, 7, 8] != [0, 3, 4, 5, 6, 7, 8]</t>
        </is>
      </c>
      <c r="CV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W15" s="38" t="inlineStr">
        <is>
          <t>AssertionError</t>
        </is>
      </c>
      <c r="CX15" s="38" t="inlineStr">
        <is>
          <t>AssertionError: Lists differ: [2, 3, 4, 5, 6, 7, 8] != [0, 3, 4, 5, 6, 7, 8]</t>
        </is>
      </c>
      <c r="CY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Z15" s="38" t="inlineStr">
        <is>
          <t>AssertionError</t>
        </is>
      </c>
      <c r="DA15" s="38" t="inlineStr">
        <is>
          <t>AssertionError: Lists differ: [2, 3, 4, 5, 6, 7, 8] != [0, 3, 4, 5, 6, 7, 8]</t>
        </is>
      </c>
      <c r="DB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DC15" s="38" t="inlineStr">
        <is>
          <t>AssertionError</t>
        </is>
      </c>
      <c r="DD15" s="38" t="inlineStr">
        <is>
          <t>AssertionError: Lists differ: [2, 3, 4, 5, 6, 7, 8] != [0, 3, 4, 5, 6, 7, 8]</t>
        </is>
      </c>
      <c r="DE15" s="38"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row>
    <row r="16">
      <c r="A16" s="38" t="inlineStr">
        <is>
          <t>issue_225</t>
        </is>
      </c>
      <c r="B16" s="39" t="inlineStr">
        <is>
          <t>NOT_TESTED</t>
        </is>
      </c>
      <c r="C16" s="39" t="inlineStr">
        <is>
          <t>NOT_TESTED</t>
        </is>
      </c>
      <c r="D16" s="39" t="inlineStr">
        <is>
          <t>NOT_TESTED</t>
        </is>
      </c>
      <c r="E16" s="39" t="inlineStr">
        <is>
          <t>NOT_TESTED</t>
        </is>
      </c>
      <c r="F16" s="42" t="inlineStr">
        <is>
          <t>PASS</t>
        </is>
      </c>
      <c r="G16" s="42" t="inlineStr">
        <is>
          <t>PASS</t>
        </is>
      </c>
      <c r="H16" s="42" t="inlineStr">
        <is>
          <t>PASS</t>
        </is>
      </c>
      <c r="I16" s="42" t="inlineStr">
        <is>
          <t>PASS</t>
        </is>
      </c>
      <c r="J16" s="42" t="inlineStr">
        <is>
          <t>PASS</t>
        </is>
      </c>
      <c r="K16" s="42" t="inlineStr">
        <is>
          <t>PASS</t>
        </is>
      </c>
      <c r="L16" s="42" t="inlineStr">
        <is>
          <t>PASS</t>
        </is>
      </c>
      <c r="M16" s="42" t="inlineStr">
        <is>
          <t>PASS</t>
        </is>
      </c>
      <c r="N16" s="39" t="inlineStr">
        <is>
          <t>NOT_TESTED</t>
        </is>
      </c>
      <c r="O16" s="39" t="inlineStr">
        <is>
          <t>NOT_TESTED</t>
        </is>
      </c>
      <c r="P16" s="39" t="inlineStr">
        <is>
          <t>NOT_TESTED</t>
        </is>
      </c>
      <c r="Q16" s="39" t="inlineStr">
        <is>
          <t>NOT_TESTED</t>
        </is>
      </c>
      <c r="R16" s="39" t="inlineStr">
        <is>
          <t>NOT_TESTED</t>
        </is>
      </c>
      <c r="S16" s="39" t="inlineStr">
        <is>
          <t>NOT_TESTED</t>
        </is>
      </c>
      <c r="T16" s="39" t="inlineStr">
        <is>
          <t>NOT_TESTED</t>
        </is>
      </c>
      <c r="U16" s="39" t="inlineStr">
        <is>
          <t>NOT_TESTED</t>
        </is>
      </c>
      <c r="V16" s="39" t="inlineStr">
        <is>
          <t>NOT_TESTED</t>
        </is>
      </c>
      <c r="W16" s="39" t="inlineStr">
        <is>
          <t>NOT_TESTED</t>
        </is>
      </c>
      <c r="X16" s="39" t="inlineStr">
        <is>
          <t>NOT_TESTED</t>
        </is>
      </c>
      <c r="Y16" s="39" t="inlineStr">
        <is>
          <t>NOT_TESTED</t>
        </is>
      </c>
      <c r="Z16" s="39" t="inlineStr">
        <is>
          <t>NOT_TESTED</t>
        </is>
      </c>
      <c r="AA16" s="39" t="inlineStr">
        <is>
          <t>NOT_TESTED</t>
        </is>
      </c>
      <c r="AB16" s="39" t="inlineStr">
        <is>
          <t>NOT_TESTED</t>
        </is>
      </c>
      <c r="AC16" s="38" t="inlineStr"/>
      <c r="AD16" s="38" t="inlineStr"/>
      <c r="AE16" s="38" t="inlineStr"/>
      <c r="AF16" s="38" t="inlineStr"/>
      <c r="AG16" s="38" t="inlineStr"/>
      <c r="AH16" s="38" t="inlineStr"/>
      <c r="AI16" s="38" t="inlineStr"/>
      <c r="AJ16" s="38" t="inlineStr"/>
      <c r="AK16" s="38" t="inlineStr"/>
      <c r="AL16" s="38" t="inlineStr"/>
      <c r="AM16" s="38" t="inlineStr"/>
      <c r="AN16" s="38" t="inlineStr"/>
      <c r="AO16" s="38" t="inlineStr"/>
      <c r="AP16" s="38" t="inlineStr"/>
      <c r="AQ16" s="38" t="inlineStr"/>
      <c r="AR16" s="38" t="inlineStr"/>
      <c r="AS16" s="38" t="inlineStr"/>
      <c r="AT16" s="38" t="inlineStr"/>
      <c r="AU16" s="38" t="inlineStr"/>
      <c r="AV16" s="38" t="inlineStr"/>
      <c r="AW16" s="38" t="inlineStr"/>
      <c r="AX16" s="38" t="inlineStr"/>
      <c r="AY16" s="38" t="inlineStr"/>
      <c r="AZ16" s="38" t="inlineStr"/>
      <c r="BA16" s="38" t="inlineStr"/>
      <c r="BB16" s="38" t="inlineStr"/>
      <c r="BC16" s="38" t="inlineStr"/>
      <c r="BD16" s="38" t="inlineStr"/>
      <c r="BE16" s="38" t="inlineStr"/>
      <c r="BF16" s="38" t="inlineStr"/>
      <c r="BG16" s="38" t="inlineStr"/>
      <c r="BH16" s="38" t="inlineStr"/>
      <c r="BI16" s="38" t="inlineStr"/>
      <c r="BJ16" s="38" t="inlineStr"/>
      <c r="BK16" s="38" t="inlineStr"/>
      <c r="BL16" s="38" t="inlineStr"/>
      <c r="BM16" s="38" t="inlineStr"/>
      <c r="BN16" s="38" t="inlineStr"/>
      <c r="BO16" s="38" t="inlineStr"/>
      <c r="BP16" s="38" t="inlineStr"/>
      <c r="BQ16" s="38" t="inlineStr"/>
      <c r="BR16" s="38" t="inlineStr"/>
      <c r="BS16" s="38" t="inlineStr"/>
      <c r="BT16" s="38" t="inlineStr"/>
      <c r="BU16" s="38" t="inlineStr"/>
      <c r="BV16" s="38" t="inlineStr"/>
      <c r="BW16" s="38" t="inlineStr"/>
      <c r="BX16" s="38" t="inlineStr"/>
      <c r="BY16" s="38" t="inlineStr"/>
      <c r="BZ16" s="38" t="inlineStr"/>
      <c r="CA16" s="38" t="inlineStr"/>
      <c r="CB16" s="38" t="inlineStr"/>
      <c r="CC16" s="38" t="inlineStr"/>
      <c r="CD16" s="38" t="inlineStr"/>
      <c r="CE16" s="38" t="inlineStr"/>
      <c r="CF16" s="38" t="inlineStr"/>
      <c r="CG16" s="38" t="inlineStr"/>
      <c r="CH16" s="38" t="inlineStr"/>
      <c r="CI16" s="38" t="inlineStr"/>
      <c r="CJ16" s="38" t="inlineStr"/>
      <c r="CK16" s="38" t="inlineStr"/>
      <c r="CL16" s="38" t="inlineStr"/>
      <c r="CM16" s="38" t="inlineStr"/>
      <c r="CN16" s="38" t="inlineStr"/>
      <c r="CO16" s="38" t="inlineStr"/>
      <c r="CP16" s="38" t="inlineStr"/>
      <c r="CQ16" s="38" t="inlineStr"/>
      <c r="CR16" s="38" t="inlineStr"/>
      <c r="CS16" s="38" t="inlineStr"/>
      <c r="CT16" s="38" t="inlineStr"/>
      <c r="CU16" s="38" t="inlineStr"/>
      <c r="CV16" s="38" t="inlineStr"/>
      <c r="CW16" s="38" t="inlineStr"/>
      <c r="CX16" s="38" t="inlineStr"/>
      <c r="CY16" s="38" t="inlineStr"/>
      <c r="CZ16" s="38" t="inlineStr"/>
      <c r="DA16" s="38" t="inlineStr"/>
      <c r="DB16" s="38" t="inlineStr"/>
      <c r="DC16" s="38" t="inlineStr"/>
      <c r="DD16" s="38" t="inlineStr"/>
      <c r="DE16" s="38" t="inlineStr"/>
    </row>
    <row r="17">
      <c r="A17" s="38" t="inlineStr">
        <is>
          <t>issue_233</t>
        </is>
      </c>
      <c r="B17" s="40" t="inlineStr">
        <is>
          <t>ERROR</t>
        </is>
      </c>
      <c r="C17" s="40" t="inlineStr">
        <is>
          <t>ERROR</t>
        </is>
      </c>
      <c r="D17" s="40" t="inlineStr">
        <is>
          <t>ERROR</t>
        </is>
      </c>
      <c r="E17" s="40" t="inlineStr">
        <is>
          <t>ERROR</t>
        </is>
      </c>
      <c r="F17" s="40" t="inlineStr">
        <is>
          <t>ERROR</t>
        </is>
      </c>
      <c r="G17" s="40" t="inlineStr">
        <is>
          <t>ERROR</t>
        </is>
      </c>
      <c r="H17" s="40" t="inlineStr">
        <is>
          <t>ERROR</t>
        </is>
      </c>
      <c r="I17" s="40" t="inlineStr">
        <is>
          <t>ERROR</t>
        </is>
      </c>
      <c r="J17" s="40" t="inlineStr">
        <is>
          <t>ERROR</t>
        </is>
      </c>
      <c r="K17" s="40" t="inlineStr">
        <is>
          <t>ERROR</t>
        </is>
      </c>
      <c r="L17" s="40" t="inlineStr">
        <is>
          <t>ERROR</t>
        </is>
      </c>
      <c r="M17" s="40" t="inlineStr">
        <is>
          <t>ERROR</t>
        </is>
      </c>
      <c r="N17" s="40" t="inlineStr">
        <is>
          <t>ERROR</t>
        </is>
      </c>
      <c r="O17" s="40" t="inlineStr">
        <is>
          <t>ERROR</t>
        </is>
      </c>
      <c r="P17" s="40" t="inlineStr">
        <is>
          <t>ERROR</t>
        </is>
      </c>
      <c r="Q17" s="40" t="inlineStr">
        <is>
          <t>ERROR</t>
        </is>
      </c>
      <c r="R17" s="40" t="inlineStr">
        <is>
          <t>ERROR</t>
        </is>
      </c>
      <c r="S17" s="40" t="inlineStr">
        <is>
          <t>ERROR</t>
        </is>
      </c>
      <c r="T17" s="40" t="inlineStr">
        <is>
          <t>ERROR</t>
        </is>
      </c>
      <c r="U17" s="40" t="inlineStr">
        <is>
          <t>ERROR</t>
        </is>
      </c>
      <c r="V17" s="40" t="inlineStr">
        <is>
          <t>ERROR</t>
        </is>
      </c>
      <c r="W17" s="40" t="inlineStr">
        <is>
          <t>ERROR</t>
        </is>
      </c>
      <c r="X17" s="40" t="inlineStr">
        <is>
          <t>ERROR</t>
        </is>
      </c>
      <c r="Y17" s="40" t="inlineStr">
        <is>
          <t>ERROR</t>
        </is>
      </c>
      <c r="Z17" s="40" t="inlineStr">
        <is>
          <t>ERROR</t>
        </is>
      </c>
      <c r="AA17" s="40" t="inlineStr">
        <is>
          <t>ERROR</t>
        </is>
      </c>
      <c r="AB17" s="40" t="inlineStr">
        <is>
          <t>ERROR</t>
        </is>
      </c>
      <c r="AC17" s="38" t="inlineStr">
        <is>
          <t>TypeError</t>
        </is>
      </c>
      <c r="AD17" s="38" t="inlineStr">
        <is>
          <t>TypeError: 'int' object is not callable</t>
        </is>
      </c>
      <c r="AE17" s="38" t="inlineStr">
        <is>
          <t>The LLM replaced only the second rot.num_parameters_settable() call (with len(rot.parameters)) and left the first one; num_parameters_settable is a property that returns an int, so calling it raises TypeError before anything is printed.</t>
        </is>
      </c>
      <c r="AF17" s="38" t="inlineStr">
        <is>
          <t>TypeError</t>
        </is>
      </c>
      <c r="AG17" s="38" t="inlineStr">
        <is>
          <t>TypeError: 'int' object is not callable</t>
        </is>
      </c>
      <c r="AH17" s="38" t="inlineStr">
        <is>
          <t>The LLM replaced only the second rot.num_parameters_settable() call (with len(rot.parameters)) and left the first one; num_parameters_settable is a property that returns an int, so calling it raises TypeError before anything is printed.</t>
        </is>
      </c>
      <c r="AI17" s="38" t="inlineStr">
        <is>
          <t>TypeError</t>
        </is>
      </c>
      <c r="AJ17" s="38" t="inlineStr">
        <is>
          <t>TypeError: 'int' object is not callable</t>
        </is>
      </c>
      <c r="AK17" s="38" t="inlineStr">
        <is>
          <t>The LLM replaced only the second rot.num_parameters_settable() call (with len(rot.parameters)) and left the first one; num_parameters_settable is a property that returns an int, so calling it raises TypeError before anything is printed.</t>
        </is>
      </c>
      <c r="AL17" s="38" t="inlineStr">
        <is>
          <t>TypeError</t>
        </is>
      </c>
      <c r="AM17" s="38" t="inlineStr">
        <is>
          <t>TypeError: 'int' object is not callable</t>
        </is>
      </c>
      <c r="AN17" s="38" t="inlineStr">
        <is>
          <t>The LLM replaced only the second rot.num_parameters_settable() call (with len(rot.parameters)) and left the first one; num_parameters_settable is a property that returns an int, so calling it raises TypeError before anything is printed.</t>
        </is>
      </c>
      <c r="AO17" s="38" t="inlineStr">
        <is>
          <t>TypeError</t>
        </is>
      </c>
      <c r="AP17" s="38" t="inlineStr">
        <is>
          <t>TypeError: 'int' object is not callable</t>
        </is>
      </c>
      <c r="AQ17" s="38" t="inlineStr">
        <is>
          <t>The LLM replaced only the second rot.num_parameters_settable() call (with len(rot.parameters)) and left the first one; num_parameters_settable is a property that returns an int, so calling it raises TypeError before anything is printed.</t>
        </is>
      </c>
      <c r="AR17" s="38" t="inlineStr">
        <is>
          <t>TypeError</t>
        </is>
      </c>
      <c r="AS17" s="38" t="inlineStr">
        <is>
          <t>TypeError: 'int' object is not callable</t>
        </is>
      </c>
      <c r="AT17" s="38" t="inlineStr">
        <is>
          <t>The LLM replaced only the second rot.num_parameters_settable() call (with len(rot.parameters)) and left the first one; num_parameters_settable is a property that returns an int, so calling it raises TypeError before anything is printed.</t>
        </is>
      </c>
      <c r="AU17" s="38" t="inlineStr">
        <is>
          <t>TypeError</t>
        </is>
      </c>
      <c r="AV17" s="38" t="inlineStr">
        <is>
          <t>TypeError: 'int' object is not callable</t>
        </is>
      </c>
      <c r="AW17" s="38" t="inlineStr">
        <is>
          <t>The LLM replaced only the second rot.num_parameters_settable() call (with len(rot.parameters)) and left the first one; num_parameters_settable is a property that returns an int, so calling it raises TypeError before anything is printed.</t>
        </is>
      </c>
      <c r="AX17" s="38" t="inlineStr">
        <is>
          <t>TypeError</t>
        </is>
      </c>
      <c r="AY17" s="38" t="inlineStr">
        <is>
          <t>TypeError: 'int' object is not callable</t>
        </is>
      </c>
      <c r="AZ17" s="38" t="inlineStr">
        <is>
          <t>The LLM replaced only the second rot.num_parameters_settable() call (with len(rot.parameters)) and left the first one; num_parameters_settable is a property that returns an int, so calling it raises TypeError before anything is printed.</t>
        </is>
      </c>
      <c r="BA17" s="38" t="inlineStr">
        <is>
          <t>TypeError</t>
        </is>
      </c>
      <c r="BB17" s="38" t="inlineStr">
        <is>
          <t>TypeError: 'int' object is not callable</t>
        </is>
      </c>
      <c r="BC17" s="38" t="inlineStr">
        <is>
          <t>The LLM replaced only the second rot.num_parameters_settable() call (with len(rot.parameters)) and left the first one; num_parameters_settable is a property that returns an int, so calling it raises TypeError before anything is printed.</t>
        </is>
      </c>
      <c r="BD17" s="38" t="inlineStr">
        <is>
          <t>TypeError</t>
        </is>
      </c>
      <c r="BE17" s="38" t="inlineStr">
        <is>
          <t>TypeError: 'int' object is not callable</t>
        </is>
      </c>
      <c r="BF17" s="38" t="inlineStr">
        <is>
          <t>The LLM replaced only the second rot.num_parameters_settable() call (with len(rot.parameters)) and left the first one; num_parameters_settable is a property that returns an int, so calling it raises TypeError before anything is printed.</t>
        </is>
      </c>
      <c r="BG17" s="38" t="inlineStr">
        <is>
          <t>TypeError</t>
        </is>
      </c>
      <c r="BH17" s="38" t="inlineStr">
        <is>
          <t>TypeError: 'int' object is not callable</t>
        </is>
      </c>
      <c r="BI17" s="38" t="inlineStr">
        <is>
          <t>The LLM replaced only the second rot.num_parameters_settable() call (with len(rot.parameters)) and left the first one; num_parameters_settable is a property that returns an int, so calling it raises TypeError before anything is printed.</t>
        </is>
      </c>
      <c r="BJ17" s="38" t="inlineStr">
        <is>
          <t>TypeError</t>
        </is>
      </c>
      <c r="BK17" s="38" t="inlineStr">
        <is>
          <t>TypeError: 'int' object is not callable</t>
        </is>
      </c>
      <c r="BL17" s="38" t="inlineStr">
        <is>
          <t>The LLM replaced only the second rot.num_parameters_settable() call (with len(rot.parameters)) and left the first one; num_parameters_settable is a property that returns an int, so calling it raises TypeError before anything is printed.</t>
        </is>
      </c>
      <c r="BM17" s="38" t="inlineStr">
        <is>
          <t>TypeError</t>
        </is>
      </c>
      <c r="BN17" s="38" t="inlineStr">
        <is>
          <t>TypeError: 'int' object is not callable</t>
        </is>
      </c>
      <c r="BO17" s="38" t="inlineStr">
        <is>
          <t>The LLM replaced only the second rot.num_parameters_settable() call (with len(rot.parameters)) and left the first one; num_parameters_settable is a property that returns an int, so calling it raises TypeError before anything is printed.</t>
        </is>
      </c>
      <c r="BP17" s="38" t="inlineStr">
        <is>
          <t>TypeError</t>
        </is>
      </c>
      <c r="BQ17" s="38" t="inlineStr">
        <is>
          <t>TypeError: 'int' object is not callable</t>
        </is>
      </c>
      <c r="BR17" s="38" t="inlineStr">
        <is>
          <t>The LLM replaced only the second rot.num_parameters_settable() call (with len(rot.parameters)) and left the first one; num_parameters_settable is a property that returns an int, so calling it raises TypeError before anything is printed.</t>
        </is>
      </c>
      <c r="BS17" s="38" t="inlineStr">
        <is>
          <t>TypeError</t>
        </is>
      </c>
      <c r="BT17" s="38" t="inlineStr">
        <is>
          <t>TypeError: 'int' object is not callable</t>
        </is>
      </c>
      <c r="BU17" s="38" t="inlineStr">
        <is>
          <t>The LLM replaced only the second rot.num_parameters_settable() call (with len(rot.parameters)) and left the first one; num_parameters_settable is a property that returns an int, so calling it raises TypeError before anything is printed.</t>
        </is>
      </c>
      <c r="BV17" s="38" t="inlineStr">
        <is>
          <t>TypeError</t>
        </is>
      </c>
      <c r="BW17" s="38" t="inlineStr">
        <is>
          <t>TypeError: 'int' object is not callable</t>
        </is>
      </c>
      <c r="BX17" s="38" t="inlineStr">
        <is>
          <t>The LLM replaced only the second rot.num_parameters_settable() call (with len(rot.parameters)) and left the first one; num_parameters_settable is a property that returns an int, so calling it raises TypeError before anything is printed.</t>
        </is>
      </c>
      <c r="BY17" s="38" t="inlineStr">
        <is>
          <t>TypeError</t>
        </is>
      </c>
      <c r="BZ17" s="38" t="inlineStr">
        <is>
          <t>TypeError: 'int' object is not callable</t>
        </is>
      </c>
      <c r="CA17" s="38" t="inlineStr">
        <is>
          <t>The LLM replaced only the second rot.num_parameters_settable() call (with len(rot.parameters)) and left the first one; num_parameters_settable is a property that returns an int, so calling it raises TypeError before anything is printed.</t>
        </is>
      </c>
      <c r="CB17" s="38" t="inlineStr">
        <is>
          <t>TypeError</t>
        </is>
      </c>
      <c r="CC17" s="38" t="inlineStr">
        <is>
          <t>TypeError: 'int' object is not callable</t>
        </is>
      </c>
      <c r="CD17" s="38" t="inlineStr">
        <is>
          <t>The LLM replaced only the second rot.num_parameters_settable() call (with len(rot.parameters)) and left the first one; num_parameters_settable is a property that returns an int, so calling it raises TypeError before anything is printed.</t>
        </is>
      </c>
      <c r="CE17" s="38" t="inlineStr">
        <is>
          <t>TypeError</t>
        </is>
      </c>
      <c r="CF17" s="38" t="inlineStr">
        <is>
          <t>TypeError: 'int' object is not callable</t>
        </is>
      </c>
      <c r="CG17" s="38" t="inlineStr">
        <is>
          <t>The LLM replaced only the second rot.num_parameters_settable() call (with len(rot.parameters)) and left the first one; num_parameters_settable is a property that returns an int, so calling it raises TypeError before anything is printed.</t>
        </is>
      </c>
      <c r="CH17" s="38" t="inlineStr">
        <is>
          <t>TypeError</t>
        </is>
      </c>
      <c r="CI17" s="38" t="inlineStr">
        <is>
          <t>TypeError: 'int' object is not callable</t>
        </is>
      </c>
      <c r="CJ17" s="38" t="inlineStr">
        <is>
          <t>The LLM replaced only the second rot.num_parameters_settable() call (with len(rot.parameters)) and left the first one; num_parameters_settable is a property that returns an int, so calling it raises TypeError before anything is printed.</t>
        </is>
      </c>
      <c r="CK17" s="38" t="inlineStr">
        <is>
          <t>TypeError</t>
        </is>
      </c>
      <c r="CL17" s="38" t="inlineStr">
        <is>
          <t>TypeError: 'int' object is not callable</t>
        </is>
      </c>
      <c r="CM17" s="38" t="inlineStr">
        <is>
          <t>The LLM replaced only the second rot.num_parameters_settable() call (with len(rot.parameters)) and left the first one; num_parameters_settable is a property that returns an int, so calling it raises TypeError before anything is printed.</t>
        </is>
      </c>
      <c r="CN17" s="38" t="inlineStr">
        <is>
          <t>TypeError</t>
        </is>
      </c>
      <c r="CO17" s="38" t="inlineStr">
        <is>
          <t>TypeError: 'int' object is not callable</t>
        </is>
      </c>
      <c r="CP17" s="38" t="inlineStr">
        <is>
          <t>The LLM replaced only the second rot.num_parameters_settable() call (with len(rot.parameters)) and left the first one; num_parameters_settable is a property that returns an int, so calling it raises TypeError before anything is printed.</t>
        </is>
      </c>
      <c r="CQ17" s="38" t="inlineStr">
        <is>
          <t>TypeError</t>
        </is>
      </c>
      <c r="CR17" s="38" t="inlineStr">
        <is>
          <t>TypeError: 'int' object is not callable</t>
        </is>
      </c>
      <c r="CS17" s="38" t="inlineStr">
        <is>
          <t>The LLM replaced only the second rot.num_parameters_settable() call (with len(rot.parameters)) and left the first one; num_parameters_settable is a property that returns an int, so calling it raises TypeError before anything is printed.</t>
        </is>
      </c>
      <c r="CT17" s="38" t="inlineStr">
        <is>
          <t>TypeError</t>
        </is>
      </c>
      <c r="CU17" s="38" t="inlineStr">
        <is>
          <t>TypeError: 'int' object is not callable</t>
        </is>
      </c>
      <c r="CV17" s="38" t="inlineStr">
        <is>
          <t>The LLM replaced only the second rot.num_parameters_settable() call (with len(rot.parameters)) and left the first one; num_parameters_settable is a property that returns an int, so calling it raises TypeError before anything is printed.</t>
        </is>
      </c>
      <c r="CW17" s="38" t="inlineStr">
        <is>
          <t>TypeError</t>
        </is>
      </c>
      <c r="CX17" s="38" t="inlineStr">
        <is>
          <t>TypeError: 'int' object is not callable</t>
        </is>
      </c>
      <c r="CY17" s="38" t="inlineStr">
        <is>
          <t>The LLM replaced only the second rot.num_parameters_settable() call (with len(rot.parameters)) and left the first one; num_parameters_settable is a property that returns an int, so calling it raises TypeError before anything is printed.</t>
        </is>
      </c>
      <c r="CZ17" s="38" t="inlineStr">
        <is>
          <t>TypeError</t>
        </is>
      </c>
      <c r="DA17" s="38" t="inlineStr">
        <is>
          <t>TypeError: 'int' object is not callable</t>
        </is>
      </c>
      <c r="DB17" s="38" t="inlineStr">
        <is>
          <t>The LLM replaced only the second rot.num_parameters_settable() call (with len(rot.parameters)) and left the first one; num_parameters_settable is a property that returns an int, so calling it raises TypeError before anything is printed.</t>
        </is>
      </c>
      <c r="DC17" s="38" t="inlineStr">
        <is>
          <t>TypeError</t>
        </is>
      </c>
      <c r="DD17" s="38" t="inlineStr">
        <is>
          <t>TypeError: 'int' object is not callable</t>
        </is>
      </c>
      <c r="DE17" s="38" t="inlineStr">
        <is>
          <t>The LLM replaced only the second rot.num_parameters_settable() call (with len(rot.parameters)) and left the first one; num_parameters_settable is a property that returns an int, so calling it raises TypeError before anything is printed.</t>
        </is>
      </c>
    </row>
    <row r="18">
      <c r="A18" s="38" t="inlineStr">
        <is>
          <t>issue_261</t>
        </is>
      </c>
      <c r="B18" s="42" t="inlineStr">
        <is>
          <t>PASS</t>
        </is>
      </c>
      <c r="C18" s="42" t="inlineStr">
        <is>
          <t>PASS</t>
        </is>
      </c>
      <c r="D18" s="42" t="inlineStr">
        <is>
          <t>PASS</t>
        </is>
      </c>
      <c r="E18" s="42" t="inlineStr">
        <is>
          <t>PASS</t>
        </is>
      </c>
      <c r="F18" s="42" t="inlineStr">
        <is>
          <t>PASS</t>
        </is>
      </c>
      <c r="G18" s="42" t="inlineStr">
        <is>
          <t>PASS</t>
        </is>
      </c>
      <c r="H18" s="42" t="inlineStr">
        <is>
          <t>PASS</t>
        </is>
      </c>
      <c r="I18" s="42" t="inlineStr">
        <is>
          <t>PASS</t>
        </is>
      </c>
      <c r="J18" s="42" t="inlineStr">
        <is>
          <t>PASS</t>
        </is>
      </c>
      <c r="K18" s="42" t="inlineStr">
        <is>
          <t>PASS</t>
        </is>
      </c>
      <c r="L18" s="42" t="inlineStr">
        <is>
          <t>PASS</t>
        </is>
      </c>
      <c r="M18" s="42" t="inlineStr">
        <is>
          <t>PASS</t>
        </is>
      </c>
      <c r="N18" s="39" t="inlineStr">
        <is>
          <t>NOT_TESTED</t>
        </is>
      </c>
      <c r="O18" s="39" t="inlineStr">
        <is>
          <t>NOT_TESTED</t>
        </is>
      </c>
      <c r="P18" s="39" t="inlineStr">
        <is>
          <t>NOT_TESTED</t>
        </is>
      </c>
      <c r="Q18" s="39" t="inlineStr">
        <is>
          <t>NOT_TESTED</t>
        </is>
      </c>
      <c r="R18" s="39" t="inlineStr">
        <is>
          <t>NOT_TESTED</t>
        </is>
      </c>
      <c r="S18" s="39" t="inlineStr">
        <is>
          <t>NOT_TESTED</t>
        </is>
      </c>
      <c r="T18" s="39" t="inlineStr">
        <is>
          <t>NOT_TESTED</t>
        </is>
      </c>
      <c r="U18" s="39" t="inlineStr">
        <is>
          <t>NOT_TESTED</t>
        </is>
      </c>
      <c r="V18" s="39" t="inlineStr">
        <is>
          <t>NOT_TESTED</t>
        </is>
      </c>
      <c r="W18" s="39" t="inlineStr">
        <is>
          <t>NOT_TESTED</t>
        </is>
      </c>
      <c r="X18" s="39" t="inlineStr">
        <is>
          <t>NOT_TESTED</t>
        </is>
      </c>
      <c r="Y18" s="39" t="inlineStr">
        <is>
          <t>NOT_TESTED</t>
        </is>
      </c>
      <c r="Z18" s="39" t="inlineStr">
        <is>
          <t>NOT_TESTED</t>
        </is>
      </c>
      <c r="AA18" s="39" t="inlineStr">
        <is>
          <t>NOT_TESTED</t>
        </is>
      </c>
      <c r="AB18" s="39" t="inlineStr">
        <is>
          <t>NOT_TESTED</t>
        </is>
      </c>
      <c r="AC18" s="38" t="inlineStr"/>
      <c r="AD18" s="38" t="inlineStr"/>
      <c r="AE18" s="38" t="inlineStr"/>
      <c r="AF18" s="38" t="inlineStr"/>
      <c r="AG18" s="38" t="inlineStr"/>
      <c r="AH18" s="38" t="inlineStr"/>
      <c r="AI18" s="38" t="inlineStr"/>
      <c r="AJ18" s="38" t="inlineStr"/>
      <c r="AK18" s="38" t="inlineStr"/>
      <c r="AL18" s="38" t="inlineStr"/>
      <c r="AM18" s="38" t="inlineStr"/>
      <c r="AN18" s="38" t="inlineStr"/>
      <c r="AO18" s="38" t="inlineStr"/>
      <c r="AP18" s="38" t="inlineStr"/>
      <c r="AQ18" s="38" t="inlineStr"/>
      <c r="AR18" s="38" t="inlineStr"/>
      <c r="AS18" s="38" t="inlineStr"/>
      <c r="AT18" s="38" t="inlineStr"/>
      <c r="AU18" s="38" t="inlineStr"/>
      <c r="AV18" s="38" t="inlineStr"/>
      <c r="AW18" s="38" t="inlineStr"/>
      <c r="AX18" s="38" t="inlineStr"/>
      <c r="AY18" s="38" t="inlineStr"/>
      <c r="AZ18" s="38" t="inlineStr"/>
      <c r="BA18" s="38" t="inlineStr"/>
      <c r="BB18" s="38" t="inlineStr"/>
      <c r="BC18" s="38" t="inlineStr"/>
      <c r="BD18" s="38" t="inlineStr"/>
      <c r="BE18" s="38" t="inlineStr"/>
      <c r="BF18" s="38" t="inlineStr"/>
      <c r="BG18" s="38" t="inlineStr"/>
      <c r="BH18" s="38" t="inlineStr"/>
      <c r="BI18" s="38" t="inlineStr"/>
      <c r="BJ18" s="38" t="inlineStr"/>
      <c r="BK18" s="38" t="inlineStr"/>
      <c r="BL18" s="38" t="inlineStr"/>
      <c r="BM18" s="38" t="inlineStr"/>
      <c r="BN18" s="38" t="inlineStr"/>
      <c r="BO18" s="38" t="inlineStr"/>
      <c r="BP18" s="38" t="inlineStr"/>
      <c r="BQ18" s="38" t="inlineStr"/>
      <c r="BR18" s="38" t="inlineStr"/>
      <c r="BS18" s="38" t="inlineStr"/>
      <c r="BT18" s="38" t="inlineStr"/>
      <c r="BU18" s="38" t="inlineStr"/>
      <c r="BV18" s="38" t="inlineStr"/>
      <c r="BW18" s="38" t="inlineStr"/>
      <c r="BX18" s="38" t="inlineStr"/>
      <c r="BY18" s="38" t="inlineStr"/>
      <c r="BZ18" s="38" t="inlineStr"/>
      <c r="CA18" s="38" t="inlineStr"/>
      <c r="CB18" s="38" t="inlineStr"/>
      <c r="CC18" s="38" t="inlineStr"/>
      <c r="CD18" s="38" t="inlineStr"/>
      <c r="CE18" s="38" t="inlineStr"/>
      <c r="CF18" s="38" t="inlineStr"/>
      <c r="CG18" s="38" t="inlineStr"/>
      <c r="CH18" s="38" t="inlineStr"/>
      <c r="CI18" s="38" t="inlineStr"/>
      <c r="CJ18" s="38" t="inlineStr"/>
      <c r="CK18" s="38" t="inlineStr"/>
      <c r="CL18" s="38" t="inlineStr"/>
      <c r="CM18" s="38" t="inlineStr"/>
      <c r="CN18" s="38" t="inlineStr"/>
      <c r="CO18" s="38" t="inlineStr"/>
      <c r="CP18" s="38" t="inlineStr"/>
      <c r="CQ18" s="38" t="inlineStr"/>
      <c r="CR18" s="38" t="inlineStr"/>
      <c r="CS18" s="38" t="inlineStr"/>
      <c r="CT18" s="38" t="inlineStr"/>
      <c r="CU18" s="38" t="inlineStr"/>
      <c r="CV18" s="38" t="inlineStr"/>
      <c r="CW18" s="38" t="inlineStr"/>
      <c r="CX18" s="38" t="inlineStr"/>
      <c r="CY18" s="38" t="inlineStr"/>
      <c r="CZ18" s="38" t="inlineStr"/>
      <c r="DA18" s="38" t="inlineStr"/>
      <c r="DB18" s="38" t="inlineStr"/>
      <c r="DC18" s="38" t="inlineStr"/>
      <c r="DD18" s="38" t="inlineStr"/>
      <c r="DE18" s="38" t="inlineStr"/>
    </row>
    <row r="19">
      <c r="A19" s="38" t="inlineStr">
        <is>
          <t>issue_280</t>
        </is>
      </c>
      <c r="B19" s="42" t="inlineStr">
        <is>
          <t>PASS</t>
        </is>
      </c>
      <c r="C19" s="42" t="inlineStr">
        <is>
          <t>PASS</t>
        </is>
      </c>
      <c r="D19" s="42" t="inlineStr">
        <is>
          <t>PASS</t>
        </is>
      </c>
      <c r="E19" s="42" t="inlineStr">
        <is>
          <t>PASS</t>
        </is>
      </c>
      <c r="F19" s="42" t="inlineStr">
        <is>
          <t>PASS</t>
        </is>
      </c>
      <c r="G19" s="42" t="inlineStr">
        <is>
          <t>PASS</t>
        </is>
      </c>
      <c r="H19" s="42" t="inlineStr">
        <is>
          <t>PASS</t>
        </is>
      </c>
      <c r="I19" s="42" t="inlineStr">
        <is>
          <t>PASS</t>
        </is>
      </c>
      <c r="J19" s="42" t="inlineStr">
        <is>
          <t>PASS</t>
        </is>
      </c>
      <c r="K19" s="42" t="inlineStr">
        <is>
          <t>PASS</t>
        </is>
      </c>
      <c r="L19" s="42" t="inlineStr">
        <is>
          <t>PASS</t>
        </is>
      </c>
      <c r="M19" s="42" t="inlineStr">
        <is>
          <t>PASS</t>
        </is>
      </c>
      <c r="N19" s="39" t="inlineStr">
        <is>
          <t>NOT_TESTED</t>
        </is>
      </c>
      <c r="O19" s="39" t="inlineStr">
        <is>
          <t>NOT_TESTED</t>
        </is>
      </c>
      <c r="P19" s="39" t="inlineStr">
        <is>
          <t>NOT_TESTED</t>
        </is>
      </c>
      <c r="Q19" s="39" t="inlineStr">
        <is>
          <t>NOT_TESTED</t>
        </is>
      </c>
      <c r="R19" s="39" t="inlineStr">
        <is>
          <t>NOT_TESTED</t>
        </is>
      </c>
      <c r="S19" s="39" t="inlineStr">
        <is>
          <t>NOT_TESTED</t>
        </is>
      </c>
      <c r="T19" s="39" t="inlineStr">
        <is>
          <t>NOT_TESTED</t>
        </is>
      </c>
      <c r="U19" s="39" t="inlineStr">
        <is>
          <t>NOT_TESTED</t>
        </is>
      </c>
      <c r="V19" s="39" t="inlineStr">
        <is>
          <t>NOT_TESTED</t>
        </is>
      </c>
      <c r="W19" s="39" t="inlineStr">
        <is>
          <t>NOT_TESTED</t>
        </is>
      </c>
      <c r="X19" s="39" t="inlineStr">
        <is>
          <t>NOT_TESTED</t>
        </is>
      </c>
      <c r="Y19" s="39" t="inlineStr">
        <is>
          <t>NOT_TESTED</t>
        </is>
      </c>
      <c r="Z19" s="39" t="inlineStr">
        <is>
          <t>NOT_TESTED</t>
        </is>
      </c>
      <c r="AA19" s="39" t="inlineStr">
        <is>
          <t>NOT_TESTED</t>
        </is>
      </c>
      <c r="AB19" s="39" t="inlineStr">
        <is>
          <t>NOT_TESTED</t>
        </is>
      </c>
      <c r="AC19" s="38" t="inlineStr"/>
      <c r="AD19" s="38" t="inlineStr"/>
      <c r="AE19" s="38" t="inlineStr"/>
      <c r="AF19" s="38" t="inlineStr"/>
      <c r="AG19" s="38" t="inlineStr"/>
      <c r="AH19" s="38" t="inlineStr"/>
      <c r="AI19" s="38" t="inlineStr"/>
      <c r="AJ19" s="38" t="inlineStr"/>
      <c r="AK19" s="38" t="inlineStr"/>
      <c r="AL19" s="38" t="inlineStr"/>
      <c r="AM19" s="38" t="inlineStr"/>
      <c r="AN19" s="38" t="inlineStr"/>
      <c r="AO19" s="38" t="inlineStr"/>
      <c r="AP19" s="38" t="inlineStr"/>
      <c r="AQ19" s="38" t="inlineStr"/>
      <c r="AR19" s="38" t="inlineStr"/>
      <c r="AS19" s="38" t="inlineStr"/>
      <c r="AT19" s="38" t="inlineStr"/>
      <c r="AU19" s="38" t="inlineStr"/>
      <c r="AV19" s="38" t="inlineStr"/>
      <c r="AW19" s="38" t="inlineStr"/>
      <c r="AX19" s="38" t="inlineStr"/>
      <c r="AY19" s="38" t="inlineStr"/>
      <c r="AZ19" s="38" t="inlineStr"/>
      <c r="BA19" s="38" t="inlineStr"/>
      <c r="BB19" s="38" t="inlineStr"/>
      <c r="BC19" s="38" t="inlineStr"/>
      <c r="BD19" s="38" t="inlineStr"/>
      <c r="BE19" s="38" t="inlineStr"/>
      <c r="BF19" s="38" t="inlineStr"/>
      <c r="BG19" s="38" t="inlineStr"/>
      <c r="BH19" s="38" t="inlineStr"/>
      <c r="BI19" s="38" t="inlineStr"/>
      <c r="BJ19" s="38" t="inlineStr"/>
      <c r="BK19" s="38" t="inlineStr"/>
      <c r="BL19" s="38" t="inlineStr"/>
      <c r="BM19" s="38" t="inlineStr"/>
      <c r="BN19" s="38" t="inlineStr"/>
      <c r="BO19" s="38" t="inlineStr"/>
      <c r="BP19" s="38" t="inlineStr"/>
      <c r="BQ19" s="38" t="inlineStr"/>
      <c r="BR19" s="38" t="inlineStr"/>
      <c r="BS19" s="38" t="inlineStr"/>
      <c r="BT19" s="38" t="inlineStr"/>
      <c r="BU19" s="38" t="inlineStr"/>
      <c r="BV19" s="38" t="inlineStr"/>
      <c r="BW19" s="38" t="inlineStr"/>
      <c r="BX19" s="38" t="inlineStr"/>
      <c r="BY19" s="38" t="inlineStr"/>
      <c r="BZ19" s="38" t="inlineStr"/>
      <c r="CA19" s="38" t="inlineStr"/>
      <c r="CB19" s="38" t="inlineStr"/>
      <c r="CC19" s="38" t="inlineStr"/>
      <c r="CD19" s="38" t="inlineStr"/>
      <c r="CE19" s="38" t="inlineStr"/>
      <c r="CF19" s="38" t="inlineStr"/>
      <c r="CG19" s="38" t="inlineStr"/>
      <c r="CH19" s="38" t="inlineStr"/>
      <c r="CI19" s="38" t="inlineStr"/>
      <c r="CJ19" s="38" t="inlineStr"/>
      <c r="CK19" s="38" t="inlineStr"/>
      <c r="CL19" s="38" t="inlineStr"/>
      <c r="CM19" s="38" t="inlineStr"/>
      <c r="CN19" s="38" t="inlineStr"/>
      <c r="CO19" s="38" t="inlineStr"/>
      <c r="CP19" s="38" t="inlineStr"/>
      <c r="CQ19" s="38" t="inlineStr"/>
      <c r="CR19" s="38" t="inlineStr"/>
      <c r="CS19" s="38" t="inlineStr"/>
      <c r="CT19" s="38" t="inlineStr"/>
      <c r="CU19" s="38" t="inlineStr"/>
      <c r="CV19" s="38" t="inlineStr"/>
      <c r="CW19" s="38" t="inlineStr"/>
      <c r="CX19" s="38" t="inlineStr"/>
      <c r="CY19" s="38" t="inlineStr"/>
      <c r="CZ19" s="38" t="inlineStr"/>
      <c r="DA19" s="38" t="inlineStr"/>
      <c r="DB19" s="38" t="inlineStr"/>
      <c r="DC19" s="38" t="inlineStr"/>
      <c r="DD19" s="38" t="inlineStr"/>
      <c r="DE19" s="38" t="inlineStr"/>
    </row>
    <row r="20">
      <c r="A20" s="38" t="inlineStr">
        <is>
          <t>issue_295</t>
        </is>
      </c>
      <c r="B20" s="39" t="inlineStr">
        <is>
          <t>NOT_TESTED</t>
        </is>
      </c>
      <c r="C20" s="39" t="inlineStr">
        <is>
          <t>NOT_TESTED</t>
        </is>
      </c>
      <c r="D20" s="39" t="inlineStr">
        <is>
          <t>NOT_TESTED</t>
        </is>
      </c>
      <c r="E20" s="39" t="inlineStr">
        <is>
          <t>NOT_TESTED</t>
        </is>
      </c>
      <c r="F20" s="42" t="inlineStr">
        <is>
          <t>PASS</t>
        </is>
      </c>
      <c r="G20" s="42" t="inlineStr">
        <is>
          <t>PASS</t>
        </is>
      </c>
      <c r="H20" s="42" t="inlineStr">
        <is>
          <t>PASS</t>
        </is>
      </c>
      <c r="I20" s="42" t="inlineStr">
        <is>
          <t>PASS</t>
        </is>
      </c>
      <c r="J20" s="42" t="inlineStr">
        <is>
          <t>PASS</t>
        </is>
      </c>
      <c r="K20" s="42" t="inlineStr">
        <is>
          <t>PASS</t>
        </is>
      </c>
      <c r="L20" s="42" t="inlineStr">
        <is>
          <t>PASS</t>
        </is>
      </c>
      <c r="M20" s="42" t="inlineStr">
        <is>
          <t>PASS</t>
        </is>
      </c>
      <c r="N20" s="39" t="inlineStr">
        <is>
          <t>NOT_TESTED</t>
        </is>
      </c>
      <c r="O20" s="39" t="inlineStr">
        <is>
          <t>NOT_TESTED</t>
        </is>
      </c>
      <c r="P20" s="39" t="inlineStr">
        <is>
          <t>NOT_TESTED</t>
        </is>
      </c>
      <c r="Q20" s="39" t="inlineStr">
        <is>
          <t>NOT_TESTED</t>
        </is>
      </c>
      <c r="R20" s="39" t="inlineStr">
        <is>
          <t>NOT_TESTED</t>
        </is>
      </c>
      <c r="S20" s="39" t="inlineStr">
        <is>
          <t>NOT_TESTED</t>
        </is>
      </c>
      <c r="T20" s="39" t="inlineStr">
        <is>
          <t>NOT_TESTED</t>
        </is>
      </c>
      <c r="U20" s="39" t="inlineStr">
        <is>
          <t>NOT_TESTED</t>
        </is>
      </c>
      <c r="V20" s="39" t="inlineStr">
        <is>
          <t>NOT_TESTED</t>
        </is>
      </c>
      <c r="W20" s="39" t="inlineStr">
        <is>
          <t>NOT_TESTED</t>
        </is>
      </c>
      <c r="X20" s="39" t="inlineStr">
        <is>
          <t>NOT_TESTED</t>
        </is>
      </c>
      <c r="Y20" s="39" t="inlineStr">
        <is>
          <t>NOT_TESTED</t>
        </is>
      </c>
      <c r="Z20" s="39" t="inlineStr">
        <is>
          <t>NOT_TESTED</t>
        </is>
      </c>
      <c r="AA20" s="39" t="inlineStr">
        <is>
          <t>NOT_TESTED</t>
        </is>
      </c>
      <c r="AB20" s="39" t="inlineStr">
        <is>
          <t>NOT_TESTED</t>
        </is>
      </c>
      <c r="AC20" s="38" t="inlineStr"/>
      <c r="AD20" s="38" t="inlineStr"/>
      <c r="AE20" s="38" t="inlineStr"/>
      <c r="AF20" s="38" t="inlineStr"/>
      <c r="AG20" s="38" t="inlineStr"/>
      <c r="AH20" s="38" t="inlineStr"/>
      <c r="AI20" s="38" t="inlineStr"/>
      <c r="AJ20" s="38" t="inlineStr"/>
      <c r="AK20" s="38" t="inlineStr"/>
      <c r="AL20" s="38" t="inlineStr"/>
      <c r="AM20" s="38" t="inlineStr"/>
      <c r="AN20" s="38" t="inlineStr"/>
      <c r="AO20" s="38" t="inlineStr"/>
      <c r="AP20" s="38" t="inlineStr"/>
      <c r="AQ20" s="38" t="inlineStr"/>
      <c r="AR20" s="38" t="inlineStr"/>
      <c r="AS20" s="38" t="inlineStr"/>
      <c r="AT20" s="38" t="inlineStr"/>
      <c r="AU20" s="38" t="inlineStr"/>
      <c r="AV20" s="38" t="inlineStr"/>
      <c r="AW20" s="38" t="inlineStr"/>
      <c r="AX20" s="38" t="inlineStr"/>
      <c r="AY20" s="38" t="inlineStr"/>
      <c r="AZ20" s="38" t="inlineStr"/>
      <c r="BA20" s="38" t="inlineStr"/>
      <c r="BB20" s="38" t="inlineStr"/>
      <c r="BC20" s="38" t="inlineStr"/>
      <c r="BD20" s="38" t="inlineStr"/>
      <c r="BE20" s="38" t="inlineStr"/>
      <c r="BF20" s="38" t="inlineStr"/>
      <c r="BG20" s="38" t="inlineStr"/>
      <c r="BH20" s="38" t="inlineStr"/>
      <c r="BI20" s="38" t="inlineStr"/>
      <c r="BJ20" s="38" t="inlineStr"/>
      <c r="BK20" s="38" t="inlineStr"/>
      <c r="BL20" s="38" t="inlineStr"/>
      <c r="BM20" s="38" t="inlineStr"/>
      <c r="BN20" s="38" t="inlineStr"/>
      <c r="BO20" s="38" t="inlineStr"/>
      <c r="BP20" s="38" t="inlineStr"/>
      <c r="BQ20" s="38" t="inlineStr"/>
      <c r="BR20" s="38" t="inlineStr"/>
      <c r="BS20" s="38" t="inlineStr"/>
      <c r="BT20" s="38" t="inlineStr"/>
      <c r="BU20" s="38" t="inlineStr"/>
      <c r="BV20" s="38" t="inlineStr"/>
      <c r="BW20" s="38" t="inlineStr"/>
      <c r="BX20" s="38" t="inlineStr"/>
      <c r="BY20" s="38" t="inlineStr"/>
      <c r="BZ20" s="38" t="inlineStr"/>
      <c r="CA20" s="38" t="inlineStr"/>
      <c r="CB20" s="38" t="inlineStr"/>
      <c r="CC20" s="38" t="inlineStr"/>
      <c r="CD20" s="38" t="inlineStr"/>
      <c r="CE20" s="38" t="inlineStr"/>
      <c r="CF20" s="38" t="inlineStr"/>
      <c r="CG20" s="38" t="inlineStr"/>
      <c r="CH20" s="38" t="inlineStr"/>
      <c r="CI20" s="38" t="inlineStr"/>
      <c r="CJ20" s="38" t="inlineStr"/>
      <c r="CK20" s="38" t="inlineStr"/>
      <c r="CL20" s="38" t="inlineStr"/>
      <c r="CM20" s="38" t="inlineStr"/>
      <c r="CN20" s="38" t="inlineStr"/>
      <c r="CO20" s="38" t="inlineStr"/>
      <c r="CP20" s="38" t="inlineStr"/>
      <c r="CQ20" s="38" t="inlineStr"/>
      <c r="CR20" s="38" t="inlineStr"/>
      <c r="CS20" s="38" t="inlineStr"/>
      <c r="CT20" s="38" t="inlineStr"/>
      <c r="CU20" s="38" t="inlineStr"/>
      <c r="CV20" s="38" t="inlineStr"/>
      <c r="CW20" s="38" t="inlineStr"/>
      <c r="CX20" s="38" t="inlineStr"/>
      <c r="CY20" s="38" t="inlineStr"/>
      <c r="CZ20" s="38" t="inlineStr"/>
      <c r="DA20" s="38" t="inlineStr"/>
      <c r="DB20" s="38" t="inlineStr"/>
      <c r="DC20" s="38" t="inlineStr"/>
      <c r="DD20" s="38" t="inlineStr"/>
      <c r="DE20" s="38" t="inlineStr"/>
    </row>
    <row r="21">
      <c r="A21" s="38" t="inlineStr">
        <is>
          <t>issue_315</t>
        </is>
      </c>
      <c r="B21" s="39" t="inlineStr">
        <is>
          <t>NOT_TESTED</t>
        </is>
      </c>
      <c r="C21" s="39" t="inlineStr">
        <is>
          <t>NOT_TESTED</t>
        </is>
      </c>
      <c r="D21" s="39" t="inlineStr">
        <is>
          <t>NOT_TESTED</t>
        </is>
      </c>
      <c r="E21" s="39" t="inlineStr">
        <is>
          <t>NOT_TESTED</t>
        </is>
      </c>
      <c r="F21" s="40" t="inlineStr">
        <is>
          <t>ERROR</t>
        </is>
      </c>
      <c r="G21" s="40" t="inlineStr">
        <is>
          <t>ERROR</t>
        </is>
      </c>
      <c r="H21" s="40" t="inlineStr">
        <is>
          <t>ERROR</t>
        </is>
      </c>
      <c r="I21" s="40" t="inlineStr">
        <is>
          <t>ERROR</t>
        </is>
      </c>
      <c r="J21" s="40" t="inlineStr">
        <is>
          <t>ERROR</t>
        </is>
      </c>
      <c r="K21" s="40" t="inlineStr">
        <is>
          <t>ERROR</t>
        </is>
      </c>
      <c r="L21" s="40" t="inlineStr">
        <is>
          <t>ERROR</t>
        </is>
      </c>
      <c r="M21" s="40" t="inlineStr">
        <is>
          <t>ERROR</t>
        </is>
      </c>
      <c r="N21" s="40" t="inlineStr">
        <is>
          <t>ERROR</t>
        </is>
      </c>
      <c r="O21" s="40" t="inlineStr">
        <is>
          <t>ERROR</t>
        </is>
      </c>
      <c r="P21" s="40" t="inlineStr">
        <is>
          <t>ERROR</t>
        </is>
      </c>
      <c r="Q21" s="40" t="inlineStr">
        <is>
          <t>ERROR</t>
        </is>
      </c>
      <c r="R21" s="40" t="inlineStr">
        <is>
          <t>ERROR</t>
        </is>
      </c>
      <c r="S21" s="40" t="inlineStr">
        <is>
          <t>ERROR</t>
        </is>
      </c>
      <c r="T21" s="40" t="inlineStr">
        <is>
          <t>ERROR</t>
        </is>
      </c>
      <c r="U21" s="40" t="inlineStr">
        <is>
          <t>ERROR</t>
        </is>
      </c>
      <c r="V21" s="40" t="inlineStr">
        <is>
          <t>ERROR</t>
        </is>
      </c>
      <c r="W21" s="40" t="inlineStr">
        <is>
          <t>ERROR</t>
        </is>
      </c>
      <c r="X21" s="40" t="inlineStr">
        <is>
          <t>ERROR</t>
        </is>
      </c>
      <c r="Y21" s="40" t="inlineStr">
        <is>
          <t>ERROR</t>
        </is>
      </c>
      <c r="Z21" s="40" t="inlineStr">
        <is>
          <t>ERROR</t>
        </is>
      </c>
      <c r="AA21" s="40" t="inlineStr">
        <is>
          <t>ERROR</t>
        </is>
      </c>
      <c r="AB21" s="40" t="inlineStr">
        <is>
          <t>ERROR</t>
        </is>
      </c>
      <c r="AC21" s="38" t="inlineStr"/>
      <c r="AD21" s="38" t="inlineStr"/>
      <c r="AE21" s="38" t="inlineStr"/>
      <c r="AF21" s="38" t="inlineStr"/>
      <c r="AG21" s="38" t="inlineStr"/>
      <c r="AH21" s="38" t="inlineStr"/>
      <c r="AI21" s="38" t="inlineStr"/>
      <c r="AJ21" s="38" t="inlineStr"/>
      <c r="AK21" s="38" t="inlineStr"/>
      <c r="AL21" s="38" t="inlineStr"/>
      <c r="AM21" s="38" t="inlineStr"/>
      <c r="AN21" s="38" t="inlineStr"/>
      <c r="AO21" s="38" t="inlineStr">
        <is>
          <t>ModuleNotFoundError</t>
        </is>
      </c>
      <c r="AP21" s="38" t="inlineStr">
        <is>
          <t>ModuleNotFoundError: No module named 'qiskit.providers.basic_provider'</t>
        </is>
      </c>
      <c r="AQ21" s="38" t="inlineStr">
        <is>
          <t>The LLM kept the BasicProvider import, and qiskit.providers.basic_provider does not exist before Qiskit 0.46, so the script crashes on import (it also deleted the parallel options the user wanted instead of switching to AerSimulator).</t>
        </is>
      </c>
      <c r="AR21" s="38" t="inlineStr">
        <is>
          <t>ModuleNotFoundError</t>
        </is>
      </c>
      <c r="AS21" s="38" t="inlineStr">
        <is>
          <t>ModuleNotFoundError: No module named 'qiskit.providers.basic_provider'</t>
        </is>
      </c>
      <c r="AT21" s="38" t="inlineStr">
        <is>
          <t>The LLM kept the BasicProvider import, and qiskit.providers.basic_provider does not exist before Qiskit 0.46, so the script crashes on import (it also deleted the parallel options the user wanted instead of switching to AerSimulator).</t>
        </is>
      </c>
      <c r="AU21" s="38" t="inlineStr">
        <is>
          <t>ModuleNotFoundError</t>
        </is>
      </c>
      <c r="AV21" s="38" t="inlineStr">
        <is>
          <t>ModuleNotFoundError: No module named 'qiskit.providers.basic_provider'</t>
        </is>
      </c>
      <c r="AW21" s="38" t="inlineStr">
        <is>
          <t>The LLM kept the BasicProvider import, and qiskit.providers.basic_provider does not exist before Qiskit 0.46, so the script crashes on import (it also deleted the parallel options the user wanted instead of switching to AerSimulator).</t>
        </is>
      </c>
      <c r="AX21" s="38" t="inlineStr">
        <is>
          <t>ModuleNotFoundError</t>
        </is>
      </c>
      <c r="AY21" s="38" t="inlineStr">
        <is>
          <t>ModuleNotFoundError: No module named 'qiskit.providers.basic_provider'</t>
        </is>
      </c>
      <c r="AZ21" s="38" t="inlineStr">
        <is>
          <t>The LLM kept the BasicProvider import, and qiskit.providers.basic_provider does not exist before Qiskit 0.46, so the script crashes on import (it also deleted the parallel options the user wanted instead of switching to AerSimulator).</t>
        </is>
      </c>
      <c r="BA21" s="38" t="inlineStr">
        <is>
          <t>AttributeError</t>
        </is>
      </c>
      <c r="BB21" s="38" t="inlineStr">
        <is>
          <t>AttributeError: Option max_parallel_threads is not defined</t>
        </is>
      </c>
      <c r="BC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D21" s="38" t="inlineStr">
        <is>
          <t>AttributeError</t>
        </is>
      </c>
      <c r="BE21" s="38" t="inlineStr">
        <is>
          <t>AttributeError: Option max_parallel_threads is not defined</t>
        </is>
      </c>
      <c r="BF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G21" s="38" t="inlineStr">
        <is>
          <t>AttributeError</t>
        </is>
      </c>
      <c r="BH21" s="38" t="inlineStr">
        <is>
          <t>AttributeError: Option max_parallel_threads is not defined</t>
        </is>
      </c>
      <c r="BI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J21" s="38" t="inlineStr">
        <is>
          <t>AttributeError</t>
        </is>
      </c>
      <c r="BK21" s="38" t="inlineStr">
        <is>
          <t>AttributeError: Option max_parallel_threads is not defined</t>
        </is>
      </c>
      <c r="BL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M21" s="38" t="inlineStr">
        <is>
          <t>AttributeError</t>
        </is>
      </c>
      <c r="BN21" s="38" t="inlineStr">
        <is>
          <t>AttributeError: Option max_parallel_threads is not defined</t>
        </is>
      </c>
      <c r="BO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P21" s="38" t="inlineStr">
        <is>
          <t>AttributeError</t>
        </is>
      </c>
      <c r="BQ21" s="38" t="inlineStr">
        <is>
          <t>AttributeError: Option max_parallel_threads is not defined</t>
        </is>
      </c>
      <c r="BR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S21" s="38" t="inlineStr">
        <is>
          <t>AttributeError</t>
        </is>
      </c>
      <c r="BT21" s="38" t="inlineStr">
        <is>
          <t>AttributeError: Option max_parallel_threads is not defined</t>
        </is>
      </c>
      <c r="BU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V21" s="38" t="inlineStr">
        <is>
          <t>AttributeError</t>
        </is>
      </c>
      <c r="BW21" s="38" t="inlineStr">
        <is>
          <t>AttributeError: Option max_parallel_threads is not defined</t>
        </is>
      </c>
      <c r="BX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Y21" s="38" t="inlineStr">
        <is>
          <t>AttributeError</t>
        </is>
      </c>
      <c r="BZ21" s="38" t="inlineStr">
        <is>
          <t>AttributeError: Option max_parallel_threads is not defined</t>
        </is>
      </c>
      <c r="CA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B21" s="38" t="inlineStr">
        <is>
          <t>AttributeError</t>
        </is>
      </c>
      <c r="CC21" s="38" t="inlineStr">
        <is>
          <t>AttributeError: Option max_parallel_threads is not defined</t>
        </is>
      </c>
      <c r="CD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E21" s="38" t="inlineStr">
        <is>
          <t>AttributeError</t>
        </is>
      </c>
      <c r="CF21" s="38" t="inlineStr">
        <is>
          <t>AttributeError: Option max_parallel_threads is not defined</t>
        </is>
      </c>
      <c r="CG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H21" s="38" t="inlineStr">
        <is>
          <t>AttributeError</t>
        </is>
      </c>
      <c r="CI21" s="38" t="inlineStr">
        <is>
          <t>AttributeError: Option max_parallel_threads is not defined</t>
        </is>
      </c>
      <c r="CJ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K21" s="38" t="inlineStr">
        <is>
          <t>AttributeError</t>
        </is>
      </c>
      <c r="CL21" s="38" t="inlineStr">
        <is>
          <t>AttributeError: Option max_parallel_threads is not defined</t>
        </is>
      </c>
      <c r="CM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N21" s="38" t="inlineStr">
        <is>
          <t>AttributeError</t>
        </is>
      </c>
      <c r="CO21" s="38" t="inlineStr">
        <is>
          <t>AttributeError: Option max_parallel_threads is not defined</t>
        </is>
      </c>
      <c r="CP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Q21" s="38" t="inlineStr">
        <is>
          <t>AttributeError</t>
        </is>
      </c>
      <c r="CR21" s="38" t="inlineStr">
        <is>
          <t>AttributeError: Option max_parallel_threads is not defined</t>
        </is>
      </c>
      <c r="CS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T21" s="38" t="inlineStr">
        <is>
          <t>AttributeError</t>
        </is>
      </c>
      <c r="CU21" s="38" t="inlineStr">
        <is>
          <t>AttributeError: Option max_parallel_threads is not defined</t>
        </is>
      </c>
      <c r="CV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W21" s="38" t="inlineStr">
        <is>
          <t>AttributeError</t>
        </is>
      </c>
      <c r="CX21" s="38" t="inlineStr">
        <is>
          <t>AttributeError: Option max_parallel_threads is not defined</t>
        </is>
      </c>
      <c r="CY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Z21" s="38" t="inlineStr">
        <is>
          <t>AttributeError</t>
        </is>
      </c>
      <c r="DA21" s="38" t="inlineStr">
        <is>
          <t>AttributeError: Option max_parallel_threads is not defined</t>
        </is>
      </c>
      <c r="DB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DC21" s="38" t="inlineStr">
        <is>
          <t>AttributeError</t>
        </is>
      </c>
      <c r="DD21" s="38" t="inlineStr">
        <is>
          <t>AttributeError: Option max_parallel_threads is not defined</t>
        </is>
      </c>
      <c r="DE21" s="38"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8"/>
  <sheetViews>
    <sheetView workbookViewId="0">
      <selection activeCell="A1" sqref="A1"/>
    </sheetView>
  </sheetViews>
  <sheetFormatPr baseColWidth="8" defaultRowHeight="15"/>
  <cols>
    <col width="16" customWidth="1" style="35" min="1" max="1"/>
    <col width="15" customWidth="1" style="35" min="2" max="2"/>
    <col width="34" customWidth="1" style="35" min="3" max="3"/>
    <col width="11" customWidth="1" style="35" min="4" max="4"/>
    <col width="26" customWidth="1" style="35" min="5" max="5"/>
    <col width="48" customWidth="1" style="35" min="6" max="6"/>
    <col width="60" customWidth="1" style="35" min="7" max="7"/>
    <col width="10" customWidth="1" style="35" min="8" max="8"/>
    <col width="14" customWidth="1" style="35" min="9" max="9"/>
    <col width="10" customWidth="1" style="35" min="10" max="10"/>
  </cols>
  <sheetData>
    <row r="1">
      <c r="A1" s="6" t="inlineStr">
        <is>
          <t>LLM bug-repair results (gpt-5.6-luna), judged by each case's test (test_new.py / test-new.py for issue_021_se, issue_058_se and issue_061; test.py for the rest)</t>
        </is>
      </c>
    </row>
    <row r="2">
      <c r="A2" s="7" t="inlineStr">
        <is>
          <t>All numbers below are formulas over the Summary sheet, so they update if Summary changes. Batch 1 = Summary rows 2-11, batch 2 = rows 12-21.</t>
        </is>
      </c>
    </row>
    <row r="4">
      <c r="A4" s="8" t="inlineStr">
        <is>
          <t>1. Case × version pairs</t>
        </is>
      </c>
    </row>
    <row r="5">
      <c r="A5" s="43" t="inlineStr">
        <is>
          <t>Result</t>
        </is>
      </c>
      <c r="B5" s="43" t="inlineStr">
        <is>
          <t>Count</t>
        </is>
      </c>
      <c r="C5" s="43" t="inlineStr">
        <is>
          <t>% of tested pairs</t>
        </is>
      </c>
      <c r="D5" s="43" t="inlineStr">
        <is>
          <t>Batch 1</t>
        </is>
      </c>
      <c r="E5" s="43" t="inlineStr">
        <is>
          <t>Batch 1 %</t>
        </is>
      </c>
      <c r="F5" s="43" t="inlineStr">
        <is>
          <t>Batch 2</t>
        </is>
      </c>
      <c r="G5" s="43" t="inlineStr">
        <is>
          <t>Batch 2 %</t>
        </is>
      </c>
    </row>
    <row r="6">
      <c r="A6" s="44" t="inlineStr">
        <is>
          <t>PASS</t>
        </is>
      </c>
      <c r="B6" s="38">
        <f>COUNTIF(Summary!$B$2:$AB$21,"PASS")</f>
        <v/>
      </c>
      <c r="C6" s="45">
        <f>IF($B$9=0,0,B6/$B$9)</f>
        <v/>
      </c>
      <c r="D6" s="38">
        <f>COUNTIF(Summary!$B$2:$AB$11,"PASS")</f>
        <v/>
      </c>
      <c r="E6" s="45">
        <f>IF(D$9=0,0,D6/D$9)</f>
        <v/>
      </c>
      <c r="F6" s="38">
        <f>COUNTIF(Summary!$B$12:$AB$21,"PASS")</f>
        <v/>
      </c>
      <c r="G6" s="45">
        <f>IF(F$9=0,0,F6/F$9)</f>
        <v/>
      </c>
    </row>
    <row r="7">
      <c r="A7" s="46" t="inlineStr">
        <is>
          <t>FAIL</t>
        </is>
      </c>
      <c r="B7" s="38">
        <f>COUNTIF(Summary!$B$2:$AB$21,"FAIL")</f>
        <v/>
      </c>
      <c r="C7" s="45">
        <f>IF($B$9=0,0,B7/$B$9)</f>
        <v/>
      </c>
      <c r="D7" s="38">
        <f>COUNTIF(Summary!$B$2:$AB$11,"FAIL")</f>
        <v/>
      </c>
      <c r="E7" s="45">
        <f>IF(D$9=0,0,D7/D$9)</f>
        <v/>
      </c>
      <c r="F7" s="38">
        <f>COUNTIF(Summary!$B$12:$AB$21,"FAIL")</f>
        <v/>
      </c>
      <c r="G7" s="45">
        <f>IF(F$9=0,0,F7/F$9)</f>
        <v/>
      </c>
    </row>
    <row r="8">
      <c r="A8" s="47" t="inlineStr">
        <is>
          <t>ERROR</t>
        </is>
      </c>
      <c r="B8" s="38">
        <f>COUNTIF(Summary!$B$2:$AB$21,"ERROR")</f>
        <v/>
      </c>
      <c r="C8" s="45">
        <f>IF($B$9=0,0,B8/$B$9)</f>
        <v/>
      </c>
      <c r="D8" s="38">
        <f>COUNTIF(Summary!$B$2:$AB$11,"ERROR")</f>
        <v/>
      </c>
      <c r="E8" s="45">
        <f>IF(D$9=0,0,D8/D$9)</f>
        <v/>
      </c>
      <c r="F8" s="38">
        <f>COUNTIF(Summary!$B$12:$AB$21,"ERROR")</f>
        <v/>
      </c>
      <c r="G8" s="45">
        <f>IF(F$9=0,0,F8/F$9)</f>
        <v/>
      </c>
    </row>
    <row r="9">
      <c r="A9" s="48" t="inlineStr">
        <is>
          <t>Total tested</t>
        </is>
      </c>
      <c r="B9" s="48">
        <f>SUM(B6:B8)</f>
        <v/>
      </c>
      <c r="C9" s="49">
        <f>SUM(C6:C8)</f>
        <v/>
      </c>
      <c r="D9" s="48">
        <f>SUM(D6:D8)</f>
        <v/>
      </c>
      <c r="E9" s="49">
        <f>SUM(E6:E8)</f>
        <v/>
      </c>
      <c r="F9" s="48">
        <f>SUM(F6:F8)</f>
        <v/>
      </c>
      <c r="G9" s="49">
        <f>SUM(G6:G8)</f>
        <v/>
      </c>
    </row>
    <row r="10">
      <c r="A10" s="38" t="inlineStr">
        <is>
          <t>Not tested (version not listed for that case)</t>
        </is>
      </c>
      <c r="B10" s="38">
        <f>COUNTIF(Summary!$B$2:$AB$21,"NOT_TESTED")</f>
        <v/>
      </c>
      <c r="C10" s="38" t="n"/>
      <c r="D10" s="38">
        <f>COUNTIF(Summary!$B$2:$AB$11,"NOT_TESTED")</f>
        <v/>
      </c>
      <c r="E10" s="38" t="n"/>
      <c r="F10" s="38">
        <f>COUNTIF(Summary!$B$12:$AB$21,"NOT_TESTED")</f>
        <v/>
      </c>
      <c r="G10" s="38" t="n"/>
    </row>
    <row r="12">
      <c r="A12" s="8" t="inlineStr">
        <is>
          <t>2. Per case</t>
        </is>
      </c>
    </row>
    <row r="13">
      <c r="A13" s="43" t="inlineStr">
        <is>
          <t>Case</t>
        </is>
      </c>
      <c r="B13" s="43" t="inlineStr">
        <is>
          <t>Versions tested</t>
        </is>
      </c>
      <c r="C13" s="43" t="inlineStr">
        <is>
          <t>PASS</t>
        </is>
      </c>
      <c r="D13" s="43" t="inlineStr">
        <is>
          <t>FAIL</t>
        </is>
      </c>
      <c r="E13" s="43" t="inlineStr">
        <is>
          <t>ERROR</t>
        </is>
      </c>
      <c r="F13" s="43" t="inlineStr">
        <is>
          <t>Pass %</t>
        </is>
      </c>
      <c r="G13" s="43" t="inlineStr">
        <is>
          <t>Fail %</t>
        </is>
      </c>
      <c r="H13" s="43" t="inlineStr">
        <is>
          <t>Error %</t>
        </is>
      </c>
      <c r="I13" s="43" t="inlineStr">
        <is>
          <t>Case outcome</t>
        </is>
      </c>
      <c r="J13" s="43" t="inlineStr">
        <is>
          <t>Batch</t>
        </is>
      </c>
    </row>
    <row r="14">
      <c r="A14" s="38">
        <f>Summary!A2</f>
        <v/>
      </c>
      <c r="B14" s="38">
        <f>COUNTIF(Summary!$B$2:$AB$2,"PASS")+COUNTIF(Summary!$B$2:$AB$2,"FAIL")+COUNTIF(Summary!$B$2:$AB$2,"ERROR")</f>
        <v/>
      </c>
      <c r="C14" s="38">
        <f>COUNTIF(Summary!$B$2:$AB$2,"PASS")</f>
        <v/>
      </c>
      <c r="D14" s="38">
        <f>COUNTIF(Summary!$B$2:$AB$2,"FAIL")</f>
        <v/>
      </c>
      <c r="E14" s="38">
        <f>COUNTIF(Summary!$B$2:$AB$2,"ERROR")</f>
        <v/>
      </c>
      <c r="F14" s="45">
        <f>IF($B14=0,0,C14/$B14)</f>
        <v/>
      </c>
      <c r="G14" s="45">
        <f>IF($B14=0,0,D14/$B14)</f>
        <v/>
      </c>
      <c r="H14" s="45">
        <f>IF($B14=0,0,E14/$B14)</f>
        <v/>
      </c>
      <c r="I14" s="38">
        <f>IF(C14=B14,"PASS",IF(E14&gt;0,"ERROR","FAIL"))</f>
        <v/>
      </c>
      <c r="J14" s="38" t="n">
        <v>1</v>
      </c>
    </row>
    <row r="15">
      <c r="A15" s="38">
        <f>Summary!A3</f>
        <v/>
      </c>
      <c r="B15" s="38">
        <f>COUNTIF(Summary!$B$3:$AB$3,"PASS")+COUNTIF(Summary!$B$3:$AB$3,"FAIL")+COUNTIF(Summary!$B$3:$AB$3,"ERROR")</f>
        <v/>
      </c>
      <c r="C15" s="38">
        <f>COUNTIF(Summary!$B$3:$AB$3,"PASS")</f>
        <v/>
      </c>
      <c r="D15" s="38">
        <f>COUNTIF(Summary!$B$3:$AB$3,"FAIL")</f>
        <v/>
      </c>
      <c r="E15" s="38">
        <f>COUNTIF(Summary!$B$3:$AB$3,"ERROR")</f>
        <v/>
      </c>
      <c r="F15" s="45">
        <f>IF($B15=0,0,C15/$B15)</f>
        <v/>
      </c>
      <c r="G15" s="45">
        <f>IF($B15=0,0,D15/$B15)</f>
        <v/>
      </c>
      <c r="H15" s="45">
        <f>IF($B15=0,0,E15/$B15)</f>
        <v/>
      </c>
      <c r="I15" s="38">
        <f>IF(C15=B15,"PASS",IF(E15&gt;0,"ERROR","FAIL"))</f>
        <v/>
      </c>
      <c r="J15" s="38" t="n">
        <v>1</v>
      </c>
    </row>
    <row r="16">
      <c r="A16" s="38">
        <f>Summary!A4</f>
        <v/>
      </c>
      <c r="B16" s="38">
        <f>COUNTIF(Summary!$B$4:$AB$4,"PASS")+COUNTIF(Summary!$B$4:$AB$4,"FAIL")+COUNTIF(Summary!$B$4:$AB$4,"ERROR")</f>
        <v/>
      </c>
      <c r="C16" s="38">
        <f>COUNTIF(Summary!$B$4:$AB$4,"PASS")</f>
        <v/>
      </c>
      <c r="D16" s="38">
        <f>COUNTIF(Summary!$B$4:$AB$4,"FAIL")</f>
        <v/>
      </c>
      <c r="E16" s="38">
        <f>COUNTIF(Summary!$B$4:$AB$4,"ERROR")</f>
        <v/>
      </c>
      <c r="F16" s="45">
        <f>IF($B16=0,0,C16/$B16)</f>
        <v/>
      </c>
      <c r="G16" s="45">
        <f>IF($B16=0,0,D16/$B16)</f>
        <v/>
      </c>
      <c r="H16" s="45">
        <f>IF($B16=0,0,E16/$B16)</f>
        <v/>
      </c>
      <c r="I16" s="38">
        <f>IF(C16=B16,"PASS",IF(E16&gt;0,"ERROR","FAIL"))</f>
        <v/>
      </c>
      <c r="J16" s="38" t="n">
        <v>1</v>
      </c>
    </row>
    <row r="17">
      <c r="A17" s="38">
        <f>Summary!A5</f>
        <v/>
      </c>
      <c r="B17" s="38">
        <f>COUNTIF(Summary!$B$5:$AB$5,"PASS")+COUNTIF(Summary!$B$5:$AB$5,"FAIL")+COUNTIF(Summary!$B$5:$AB$5,"ERROR")</f>
        <v/>
      </c>
      <c r="C17" s="38">
        <f>COUNTIF(Summary!$B$5:$AB$5,"PASS")</f>
        <v/>
      </c>
      <c r="D17" s="38">
        <f>COUNTIF(Summary!$B$5:$AB$5,"FAIL")</f>
        <v/>
      </c>
      <c r="E17" s="38">
        <f>COUNTIF(Summary!$B$5:$AB$5,"ERROR")</f>
        <v/>
      </c>
      <c r="F17" s="45">
        <f>IF($B17=0,0,C17/$B17)</f>
        <v/>
      </c>
      <c r="G17" s="45">
        <f>IF($B17=0,0,D17/$B17)</f>
        <v/>
      </c>
      <c r="H17" s="45">
        <f>IF($B17=0,0,E17/$B17)</f>
        <v/>
      </c>
      <c r="I17" s="38">
        <f>IF(C17=B17,"PASS",IF(E17&gt;0,"ERROR","FAIL"))</f>
        <v/>
      </c>
      <c r="J17" s="38" t="n">
        <v>1</v>
      </c>
    </row>
    <row r="18">
      <c r="A18" s="38">
        <f>Summary!A6</f>
        <v/>
      </c>
      <c r="B18" s="38">
        <f>COUNTIF(Summary!$B$6:$AB$6,"PASS")+COUNTIF(Summary!$B$6:$AB$6,"FAIL")+COUNTIF(Summary!$B$6:$AB$6,"ERROR")</f>
        <v/>
      </c>
      <c r="C18" s="38">
        <f>COUNTIF(Summary!$B$6:$AB$6,"PASS")</f>
        <v/>
      </c>
      <c r="D18" s="38">
        <f>COUNTIF(Summary!$B$6:$AB$6,"FAIL")</f>
        <v/>
      </c>
      <c r="E18" s="38">
        <f>COUNTIF(Summary!$B$6:$AB$6,"ERROR")</f>
        <v/>
      </c>
      <c r="F18" s="45">
        <f>IF($B18=0,0,C18/$B18)</f>
        <v/>
      </c>
      <c r="G18" s="45">
        <f>IF($B18=0,0,D18/$B18)</f>
        <v/>
      </c>
      <c r="H18" s="45">
        <f>IF($B18=0,0,E18/$B18)</f>
        <v/>
      </c>
      <c r="I18" s="38">
        <f>IF(C18=B18,"PASS",IF(E18&gt;0,"ERROR","FAIL"))</f>
        <v/>
      </c>
      <c r="J18" s="38" t="n">
        <v>1</v>
      </c>
    </row>
    <row r="19">
      <c r="A19" s="38">
        <f>Summary!A7</f>
        <v/>
      </c>
      <c r="B19" s="38">
        <f>COUNTIF(Summary!$B$7:$AB$7,"PASS")+COUNTIF(Summary!$B$7:$AB$7,"FAIL")+COUNTIF(Summary!$B$7:$AB$7,"ERROR")</f>
        <v/>
      </c>
      <c r="C19" s="38">
        <f>COUNTIF(Summary!$B$7:$AB$7,"PASS")</f>
        <v/>
      </c>
      <c r="D19" s="38">
        <f>COUNTIF(Summary!$B$7:$AB$7,"FAIL")</f>
        <v/>
      </c>
      <c r="E19" s="38">
        <f>COUNTIF(Summary!$B$7:$AB$7,"ERROR")</f>
        <v/>
      </c>
      <c r="F19" s="45">
        <f>IF($B19=0,0,C19/$B19)</f>
        <v/>
      </c>
      <c r="G19" s="45">
        <f>IF($B19=0,0,D19/$B19)</f>
        <v/>
      </c>
      <c r="H19" s="45">
        <f>IF($B19=0,0,E19/$B19)</f>
        <v/>
      </c>
      <c r="I19" s="38">
        <f>IF(C19=B19,"PASS",IF(E19&gt;0,"ERROR","FAIL"))</f>
        <v/>
      </c>
      <c r="J19" s="38" t="n">
        <v>1</v>
      </c>
    </row>
    <row r="20">
      <c r="A20" s="38">
        <f>Summary!A8</f>
        <v/>
      </c>
      <c r="B20" s="38">
        <f>COUNTIF(Summary!$B$8:$AB$8,"PASS")+COUNTIF(Summary!$B$8:$AB$8,"FAIL")+COUNTIF(Summary!$B$8:$AB$8,"ERROR")</f>
        <v/>
      </c>
      <c r="C20" s="38">
        <f>COUNTIF(Summary!$B$8:$AB$8,"PASS")</f>
        <v/>
      </c>
      <c r="D20" s="38">
        <f>COUNTIF(Summary!$B$8:$AB$8,"FAIL")</f>
        <v/>
      </c>
      <c r="E20" s="38">
        <f>COUNTIF(Summary!$B$8:$AB$8,"ERROR")</f>
        <v/>
      </c>
      <c r="F20" s="45">
        <f>IF($B20=0,0,C20/$B20)</f>
        <v/>
      </c>
      <c r="G20" s="45">
        <f>IF($B20=0,0,D20/$B20)</f>
        <v/>
      </c>
      <c r="H20" s="45">
        <f>IF($B20=0,0,E20/$B20)</f>
        <v/>
      </c>
      <c r="I20" s="38">
        <f>IF(C20=B20,"PASS",IF(E20&gt;0,"ERROR","FAIL"))</f>
        <v/>
      </c>
      <c r="J20" s="38" t="n">
        <v>1</v>
      </c>
    </row>
    <row r="21">
      <c r="A21" s="38">
        <f>Summary!A9</f>
        <v/>
      </c>
      <c r="B21" s="38">
        <f>COUNTIF(Summary!$B$9:$AB$9,"PASS")+COUNTIF(Summary!$B$9:$AB$9,"FAIL")+COUNTIF(Summary!$B$9:$AB$9,"ERROR")</f>
        <v/>
      </c>
      <c r="C21" s="38">
        <f>COUNTIF(Summary!$B$9:$AB$9,"PASS")</f>
        <v/>
      </c>
      <c r="D21" s="38">
        <f>COUNTIF(Summary!$B$9:$AB$9,"FAIL")</f>
        <v/>
      </c>
      <c r="E21" s="38">
        <f>COUNTIF(Summary!$B$9:$AB$9,"ERROR")</f>
        <v/>
      </c>
      <c r="F21" s="45">
        <f>IF($B21=0,0,C21/$B21)</f>
        <v/>
      </c>
      <c r="G21" s="45">
        <f>IF($B21=0,0,D21/$B21)</f>
        <v/>
      </c>
      <c r="H21" s="45">
        <f>IF($B21=0,0,E21/$B21)</f>
        <v/>
      </c>
      <c r="I21" s="38">
        <f>IF(C21=B21,"PASS",IF(E21&gt;0,"ERROR","FAIL"))</f>
        <v/>
      </c>
      <c r="J21" s="38" t="n">
        <v>1</v>
      </c>
    </row>
    <row r="22">
      <c r="A22" s="38">
        <f>Summary!A10</f>
        <v/>
      </c>
      <c r="B22" s="38">
        <f>COUNTIF(Summary!$B$10:$AB$10,"PASS")+COUNTIF(Summary!$B$10:$AB$10,"FAIL")+COUNTIF(Summary!$B$10:$AB$10,"ERROR")</f>
        <v/>
      </c>
      <c r="C22" s="38">
        <f>COUNTIF(Summary!$B$10:$AB$10,"PASS")</f>
        <v/>
      </c>
      <c r="D22" s="38">
        <f>COUNTIF(Summary!$B$10:$AB$10,"FAIL")</f>
        <v/>
      </c>
      <c r="E22" s="38">
        <f>COUNTIF(Summary!$B$10:$AB$10,"ERROR")</f>
        <v/>
      </c>
      <c r="F22" s="45">
        <f>IF($B22=0,0,C22/$B22)</f>
        <v/>
      </c>
      <c r="G22" s="45">
        <f>IF($B22=0,0,D22/$B22)</f>
        <v/>
      </c>
      <c r="H22" s="45">
        <f>IF($B22=0,0,E22/$B22)</f>
        <v/>
      </c>
      <c r="I22" s="38">
        <f>IF(C22=B22,"PASS",IF(E22&gt;0,"ERROR","FAIL"))</f>
        <v/>
      </c>
      <c r="J22" s="38" t="n">
        <v>1</v>
      </c>
    </row>
    <row r="23">
      <c r="A23" s="38">
        <f>Summary!A11</f>
        <v/>
      </c>
      <c r="B23" s="38">
        <f>COUNTIF(Summary!$B$11:$AB$11,"PASS")+COUNTIF(Summary!$B$11:$AB$11,"FAIL")+COUNTIF(Summary!$B$11:$AB$11,"ERROR")</f>
        <v/>
      </c>
      <c r="C23" s="38">
        <f>COUNTIF(Summary!$B$11:$AB$11,"PASS")</f>
        <v/>
      </c>
      <c r="D23" s="38">
        <f>COUNTIF(Summary!$B$11:$AB$11,"FAIL")</f>
        <v/>
      </c>
      <c r="E23" s="38">
        <f>COUNTIF(Summary!$B$11:$AB$11,"ERROR")</f>
        <v/>
      </c>
      <c r="F23" s="45">
        <f>IF($B23=0,0,C23/$B23)</f>
        <v/>
      </c>
      <c r="G23" s="45">
        <f>IF($B23=0,0,D23/$B23)</f>
        <v/>
      </c>
      <c r="H23" s="45">
        <f>IF($B23=0,0,E23/$B23)</f>
        <v/>
      </c>
      <c r="I23" s="38">
        <f>IF(C23=B23,"PASS",IF(E23&gt;0,"ERROR","FAIL"))</f>
        <v/>
      </c>
      <c r="J23" s="38" t="n">
        <v>1</v>
      </c>
    </row>
    <row r="24">
      <c r="A24" s="38">
        <f>Summary!A12</f>
        <v/>
      </c>
      <c r="B24" s="38">
        <f>COUNTIF(Summary!$B$12:$AB$12,"PASS")+COUNTIF(Summary!$B$12:$AB$12,"FAIL")+COUNTIF(Summary!$B$12:$AB$12,"ERROR")</f>
        <v/>
      </c>
      <c r="C24" s="38">
        <f>COUNTIF(Summary!$B$12:$AB$12,"PASS")</f>
        <v/>
      </c>
      <c r="D24" s="38">
        <f>COUNTIF(Summary!$B$12:$AB$12,"FAIL")</f>
        <v/>
      </c>
      <c r="E24" s="38">
        <f>COUNTIF(Summary!$B$12:$AB$12,"ERROR")</f>
        <v/>
      </c>
      <c r="F24" s="45">
        <f>IF($B24=0,0,C24/$B24)</f>
        <v/>
      </c>
      <c r="G24" s="45">
        <f>IF($B24=0,0,D24/$B24)</f>
        <v/>
      </c>
      <c r="H24" s="45">
        <f>IF($B24=0,0,E24/$B24)</f>
        <v/>
      </c>
      <c r="I24" s="38">
        <f>IF(C24=B24,"PASS",IF(E24&gt;0,"ERROR","FAIL"))</f>
        <v/>
      </c>
      <c r="J24" s="38" t="n">
        <v>2</v>
      </c>
    </row>
    <row r="25">
      <c r="A25" s="38">
        <f>Summary!A13</f>
        <v/>
      </c>
      <c r="B25" s="38">
        <f>COUNTIF(Summary!$B$13:$AB$13,"PASS")+COUNTIF(Summary!$B$13:$AB$13,"FAIL")+COUNTIF(Summary!$B$13:$AB$13,"ERROR")</f>
        <v/>
      </c>
      <c r="C25" s="38">
        <f>COUNTIF(Summary!$B$13:$AB$13,"PASS")</f>
        <v/>
      </c>
      <c r="D25" s="38">
        <f>COUNTIF(Summary!$B$13:$AB$13,"FAIL")</f>
        <v/>
      </c>
      <c r="E25" s="38">
        <f>COUNTIF(Summary!$B$13:$AB$13,"ERROR")</f>
        <v/>
      </c>
      <c r="F25" s="45">
        <f>IF($B25=0,0,C25/$B25)</f>
        <v/>
      </c>
      <c r="G25" s="45">
        <f>IF($B25=0,0,D25/$B25)</f>
        <v/>
      </c>
      <c r="H25" s="45">
        <f>IF($B25=0,0,E25/$B25)</f>
        <v/>
      </c>
      <c r="I25" s="38">
        <f>IF(C25=B25,"PASS",IF(E25&gt;0,"ERROR","FAIL"))</f>
        <v/>
      </c>
      <c r="J25" s="38" t="n">
        <v>2</v>
      </c>
    </row>
    <row r="26">
      <c r="A26" s="38">
        <f>Summary!A14</f>
        <v/>
      </c>
      <c r="B26" s="38">
        <f>COUNTIF(Summary!$B$14:$AB$14,"PASS")+COUNTIF(Summary!$B$14:$AB$14,"FAIL")+COUNTIF(Summary!$B$14:$AB$14,"ERROR")</f>
        <v/>
      </c>
      <c r="C26" s="38">
        <f>COUNTIF(Summary!$B$14:$AB$14,"PASS")</f>
        <v/>
      </c>
      <c r="D26" s="38">
        <f>COUNTIF(Summary!$B$14:$AB$14,"FAIL")</f>
        <v/>
      </c>
      <c r="E26" s="38">
        <f>COUNTIF(Summary!$B$14:$AB$14,"ERROR")</f>
        <v/>
      </c>
      <c r="F26" s="45">
        <f>IF($B26=0,0,C26/$B26)</f>
        <v/>
      </c>
      <c r="G26" s="45">
        <f>IF($B26=0,0,D26/$B26)</f>
        <v/>
      </c>
      <c r="H26" s="45">
        <f>IF($B26=0,0,E26/$B26)</f>
        <v/>
      </c>
      <c r="I26" s="38">
        <f>IF(C26=B26,"PASS",IF(E26&gt;0,"ERROR","FAIL"))</f>
        <v/>
      </c>
      <c r="J26" s="38" t="n">
        <v>2</v>
      </c>
    </row>
    <row r="27">
      <c r="A27" s="38">
        <f>Summary!A15</f>
        <v/>
      </c>
      <c r="B27" s="38">
        <f>COUNTIF(Summary!$B$15:$AB$15,"PASS")+COUNTIF(Summary!$B$15:$AB$15,"FAIL")+COUNTIF(Summary!$B$15:$AB$15,"ERROR")</f>
        <v/>
      </c>
      <c r="C27" s="38">
        <f>COUNTIF(Summary!$B$15:$AB$15,"PASS")</f>
        <v/>
      </c>
      <c r="D27" s="38">
        <f>COUNTIF(Summary!$B$15:$AB$15,"FAIL")</f>
        <v/>
      </c>
      <c r="E27" s="38">
        <f>COUNTIF(Summary!$B$15:$AB$15,"ERROR")</f>
        <v/>
      </c>
      <c r="F27" s="45">
        <f>IF($B27=0,0,C27/$B27)</f>
        <v/>
      </c>
      <c r="G27" s="45">
        <f>IF($B27=0,0,D27/$B27)</f>
        <v/>
      </c>
      <c r="H27" s="45">
        <f>IF($B27=0,0,E27/$B27)</f>
        <v/>
      </c>
      <c r="I27" s="38">
        <f>IF(C27=B27,"PASS",IF(E27&gt;0,"ERROR","FAIL"))</f>
        <v/>
      </c>
      <c r="J27" s="38" t="n">
        <v>2</v>
      </c>
    </row>
    <row r="28">
      <c r="A28" s="38">
        <f>Summary!A16</f>
        <v/>
      </c>
      <c r="B28" s="38">
        <f>COUNTIF(Summary!$B$16:$AB$16,"PASS")+COUNTIF(Summary!$B$16:$AB$16,"FAIL")+COUNTIF(Summary!$B$16:$AB$16,"ERROR")</f>
        <v/>
      </c>
      <c r="C28" s="38">
        <f>COUNTIF(Summary!$B$16:$AB$16,"PASS")</f>
        <v/>
      </c>
      <c r="D28" s="38">
        <f>COUNTIF(Summary!$B$16:$AB$16,"FAIL")</f>
        <v/>
      </c>
      <c r="E28" s="38">
        <f>COUNTIF(Summary!$B$16:$AB$16,"ERROR")</f>
        <v/>
      </c>
      <c r="F28" s="45">
        <f>IF($B28=0,0,C28/$B28)</f>
        <v/>
      </c>
      <c r="G28" s="45">
        <f>IF($B28=0,0,D28/$B28)</f>
        <v/>
      </c>
      <c r="H28" s="45">
        <f>IF($B28=0,0,E28/$B28)</f>
        <v/>
      </c>
      <c r="I28" s="38">
        <f>IF(C28=B28,"PASS",IF(E28&gt;0,"ERROR","FAIL"))</f>
        <v/>
      </c>
      <c r="J28" s="38" t="n">
        <v>2</v>
      </c>
    </row>
    <row r="29">
      <c r="A29" s="38">
        <f>Summary!A17</f>
        <v/>
      </c>
      <c r="B29" s="38">
        <f>COUNTIF(Summary!$B$17:$AB$17,"PASS")+COUNTIF(Summary!$B$17:$AB$17,"FAIL")+COUNTIF(Summary!$B$17:$AB$17,"ERROR")</f>
        <v/>
      </c>
      <c r="C29" s="38">
        <f>COUNTIF(Summary!$B$17:$AB$17,"PASS")</f>
        <v/>
      </c>
      <c r="D29" s="38">
        <f>COUNTIF(Summary!$B$17:$AB$17,"FAIL")</f>
        <v/>
      </c>
      <c r="E29" s="38">
        <f>COUNTIF(Summary!$B$17:$AB$17,"ERROR")</f>
        <v/>
      </c>
      <c r="F29" s="45">
        <f>IF($B29=0,0,C29/$B29)</f>
        <v/>
      </c>
      <c r="G29" s="45">
        <f>IF($B29=0,0,D29/$B29)</f>
        <v/>
      </c>
      <c r="H29" s="45">
        <f>IF($B29=0,0,E29/$B29)</f>
        <v/>
      </c>
      <c r="I29" s="38">
        <f>IF(C29=B29,"PASS",IF(E29&gt;0,"ERROR","FAIL"))</f>
        <v/>
      </c>
      <c r="J29" s="38" t="n">
        <v>2</v>
      </c>
    </row>
    <row r="30">
      <c r="A30" s="38">
        <f>Summary!A18</f>
        <v/>
      </c>
      <c r="B30" s="38">
        <f>COUNTIF(Summary!$B$18:$AB$18,"PASS")+COUNTIF(Summary!$B$18:$AB$18,"FAIL")+COUNTIF(Summary!$B$18:$AB$18,"ERROR")</f>
        <v/>
      </c>
      <c r="C30" s="38">
        <f>COUNTIF(Summary!$B$18:$AB$18,"PASS")</f>
        <v/>
      </c>
      <c r="D30" s="38">
        <f>COUNTIF(Summary!$B$18:$AB$18,"FAIL")</f>
        <v/>
      </c>
      <c r="E30" s="38">
        <f>COUNTIF(Summary!$B$18:$AB$18,"ERROR")</f>
        <v/>
      </c>
      <c r="F30" s="45">
        <f>IF($B30=0,0,C30/$B30)</f>
        <v/>
      </c>
      <c r="G30" s="45">
        <f>IF($B30=0,0,D30/$B30)</f>
        <v/>
      </c>
      <c r="H30" s="45">
        <f>IF($B30=0,0,E30/$B30)</f>
        <v/>
      </c>
      <c r="I30" s="38">
        <f>IF(C30=B30,"PASS",IF(E30&gt;0,"ERROR","FAIL"))</f>
        <v/>
      </c>
      <c r="J30" s="38" t="n">
        <v>2</v>
      </c>
    </row>
    <row r="31">
      <c r="A31" s="38">
        <f>Summary!A19</f>
        <v/>
      </c>
      <c r="B31" s="38">
        <f>COUNTIF(Summary!$B$19:$AB$19,"PASS")+COUNTIF(Summary!$B$19:$AB$19,"FAIL")+COUNTIF(Summary!$B$19:$AB$19,"ERROR")</f>
        <v/>
      </c>
      <c r="C31" s="38">
        <f>COUNTIF(Summary!$B$19:$AB$19,"PASS")</f>
        <v/>
      </c>
      <c r="D31" s="38">
        <f>COUNTIF(Summary!$B$19:$AB$19,"FAIL")</f>
        <v/>
      </c>
      <c r="E31" s="38">
        <f>COUNTIF(Summary!$B$19:$AB$19,"ERROR")</f>
        <v/>
      </c>
      <c r="F31" s="45">
        <f>IF($B31=0,0,C31/$B31)</f>
        <v/>
      </c>
      <c r="G31" s="45">
        <f>IF($B31=0,0,D31/$B31)</f>
        <v/>
      </c>
      <c r="H31" s="45">
        <f>IF($B31=0,0,E31/$B31)</f>
        <v/>
      </c>
      <c r="I31" s="38">
        <f>IF(C31=B31,"PASS",IF(E31&gt;0,"ERROR","FAIL"))</f>
        <v/>
      </c>
      <c r="J31" s="38" t="n">
        <v>2</v>
      </c>
    </row>
    <row r="32">
      <c r="A32" s="38">
        <f>Summary!A20</f>
        <v/>
      </c>
      <c r="B32" s="38">
        <f>COUNTIF(Summary!$B$20:$AB$20,"PASS")+COUNTIF(Summary!$B$20:$AB$20,"FAIL")+COUNTIF(Summary!$B$20:$AB$20,"ERROR")</f>
        <v/>
      </c>
      <c r="C32" s="38">
        <f>COUNTIF(Summary!$B$20:$AB$20,"PASS")</f>
        <v/>
      </c>
      <c r="D32" s="38">
        <f>COUNTIF(Summary!$B$20:$AB$20,"FAIL")</f>
        <v/>
      </c>
      <c r="E32" s="38">
        <f>COUNTIF(Summary!$B$20:$AB$20,"ERROR")</f>
        <v/>
      </c>
      <c r="F32" s="45">
        <f>IF($B32=0,0,C32/$B32)</f>
        <v/>
      </c>
      <c r="G32" s="45">
        <f>IF($B32=0,0,D32/$B32)</f>
        <v/>
      </c>
      <c r="H32" s="45">
        <f>IF($B32=0,0,E32/$B32)</f>
        <v/>
      </c>
      <c r="I32" s="38">
        <f>IF(C32=B32,"PASS",IF(E32&gt;0,"ERROR","FAIL"))</f>
        <v/>
      </c>
      <c r="J32" s="38" t="n">
        <v>2</v>
      </c>
    </row>
    <row r="33">
      <c r="A33" s="38">
        <f>Summary!A21</f>
        <v/>
      </c>
      <c r="B33" s="38">
        <f>COUNTIF(Summary!$B$21:$AB$21,"PASS")+COUNTIF(Summary!$B$21:$AB$21,"FAIL")+COUNTIF(Summary!$B$21:$AB$21,"ERROR")</f>
        <v/>
      </c>
      <c r="C33" s="38">
        <f>COUNTIF(Summary!$B$21:$AB$21,"PASS")</f>
        <v/>
      </c>
      <c r="D33" s="38">
        <f>COUNTIF(Summary!$B$21:$AB$21,"FAIL")</f>
        <v/>
      </c>
      <c r="E33" s="38">
        <f>COUNTIF(Summary!$B$21:$AB$21,"ERROR")</f>
        <v/>
      </c>
      <c r="F33" s="45">
        <f>IF($B33=0,0,C33/$B33)</f>
        <v/>
      </c>
      <c r="G33" s="45">
        <f>IF($B33=0,0,D33/$B33)</f>
        <v/>
      </c>
      <c r="H33" s="45">
        <f>IF($B33=0,0,E33/$B33)</f>
        <v/>
      </c>
      <c r="I33" s="38">
        <f>IF(C33=B33,"PASS",IF(E33&gt;0,"ERROR","FAIL"))</f>
        <v/>
      </c>
      <c r="J33" s="38" t="n">
        <v>2</v>
      </c>
    </row>
    <row r="35">
      <c r="A35" s="8" t="inlineStr">
        <is>
          <t>3. Cases by outcome</t>
        </is>
      </c>
    </row>
    <row r="36">
      <c r="A36" s="43" t="inlineStr">
        <is>
          <t>Outcome</t>
        </is>
      </c>
      <c r="B36" s="43" t="inlineStr">
        <is>
          <t>Cases</t>
        </is>
      </c>
      <c r="C36" s="43" t="inlineStr">
        <is>
          <t>% of cases</t>
        </is>
      </c>
      <c r="D36" s="43" t="inlineStr">
        <is>
          <t>Batch 1</t>
        </is>
      </c>
      <c r="E36" s="43" t="inlineStr">
        <is>
          <t>Batch 1 %</t>
        </is>
      </c>
      <c r="F36" s="43" t="inlineStr">
        <is>
          <t>Batch 2</t>
        </is>
      </c>
      <c r="G36" s="43" t="inlineStr">
        <is>
          <t>Batch 2 %</t>
        </is>
      </c>
    </row>
    <row r="37">
      <c r="A37" s="44" t="inlineStr">
        <is>
          <t>PASS</t>
        </is>
      </c>
      <c r="B37" s="38">
        <f>COUNTIF($I$14:$I$33,"PASS")</f>
        <v/>
      </c>
      <c r="C37" s="45">
        <f>IF($B$40=0,0,B37/$B$40)</f>
        <v/>
      </c>
      <c r="D37" s="38">
        <f>COUNTIFS($I$14:$I$33,"PASS",$J$14:$J$33,1)</f>
        <v/>
      </c>
      <c r="E37" s="45">
        <f>IF(D$40=0,0,D37/D$40)</f>
        <v/>
      </c>
      <c r="F37" s="38">
        <f>COUNTIFS($I$14:$I$33,"PASS",$J$14:$J$33,2)</f>
        <v/>
      </c>
      <c r="G37" s="45">
        <f>IF(F$40=0,0,F37/F$40)</f>
        <v/>
      </c>
    </row>
    <row r="38">
      <c r="A38" s="46" t="inlineStr">
        <is>
          <t>FAIL</t>
        </is>
      </c>
      <c r="B38" s="38">
        <f>COUNTIF($I$14:$I$33,"FAIL")</f>
        <v/>
      </c>
      <c r="C38" s="45">
        <f>IF($B$40=0,0,B38/$B$40)</f>
        <v/>
      </c>
      <c r="D38" s="38">
        <f>COUNTIFS($I$14:$I$33,"FAIL",$J$14:$J$33,1)</f>
        <v/>
      </c>
      <c r="E38" s="45">
        <f>IF(D$40=0,0,D38/D$40)</f>
        <v/>
      </c>
      <c r="F38" s="38">
        <f>COUNTIFS($I$14:$I$33,"FAIL",$J$14:$J$33,2)</f>
        <v/>
      </c>
      <c r="G38" s="45">
        <f>IF(F$40=0,0,F38/F$40)</f>
        <v/>
      </c>
    </row>
    <row r="39">
      <c r="A39" s="47" t="inlineStr">
        <is>
          <t>ERROR</t>
        </is>
      </c>
      <c r="B39" s="38">
        <f>COUNTIF($I$14:$I$33,"ERROR")</f>
        <v/>
      </c>
      <c r="C39" s="45">
        <f>IF($B$40=0,0,B39/$B$40)</f>
        <v/>
      </c>
      <c r="D39" s="38">
        <f>COUNTIFS($I$14:$I$33,"ERROR",$J$14:$J$33,1)</f>
        <v/>
      </c>
      <c r="E39" s="45">
        <f>IF(D$40=0,0,D39/D$40)</f>
        <v/>
      </c>
      <c r="F39" s="38">
        <f>COUNTIFS($I$14:$I$33,"ERROR",$J$14:$J$33,2)</f>
        <v/>
      </c>
      <c r="G39" s="45">
        <f>IF(F$40=0,0,F39/F$40)</f>
        <v/>
      </c>
    </row>
    <row r="40">
      <c r="A40" s="48" t="inlineStr">
        <is>
          <t>Total cases</t>
        </is>
      </c>
      <c r="B40" s="48">
        <f>SUM(B37:B39)</f>
        <v/>
      </c>
      <c r="C40" s="49">
        <f>SUM(C37:C39)</f>
        <v/>
      </c>
      <c r="D40" s="48">
        <f>SUM(D37:D39)</f>
        <v/>
      </c>
      <c r="E40" s="49">
        <f>SUM(E37:E39)</f>
        <v/>
      </c>
      <c r="F40" s="48">
        <f>SUM(F37:F39)</f>
        <v/>
      </c>
      <c r="G40" s="49">
        <f>SUM(G37:G39)</f>
        <v/>
      </c>
    </row>
    <row r="41">
      <c r="A41" s="7" t="inlineStr">
        <is>
          <t>A case is PASS only if it passed on every version it was tested on; ERROR if any version crashed; otherwise FAIL.</t>
        </is>
      </c>
    </row>
    <row r="43">
      <c r="A43" s="8" t="inlineStr">
        <is>
          <t>4. Cases that passed on at least one version</t>
        </is>
      </c>
    </row>
    <row r="44">
      <c r="A44" s="43" t="inlineStr">
        <is>
          <t>Measure</t>
        </is>
      </c>
      <c r="B44" s="43" t="inlineStr">
        <is>
          <t>Cases</t>
        </is>
      </c>
      <c r="C44" s="43" t="inlineStr">
        <is>
          <t>% of cases</t>
        </is>
      </c>
      <c r="D44" s="43" t="inlineStr">
        <is>
          <t>Batch 1</t>
        </is>
      </c>
      <c r="E44" s="43" t="inlineStr">
        <is>
          <t>Batch 1 %</t>
        </is>
      </c>
      <c r="F44" s="43" t="inlineStr">
        <is>
          <t>Batch 2</t>
        </is>
      </c>
      <c r="G44" s="43" t="inlineStr">
        <is>
          <t>Batch 2 %</t>
        </is>
      </c>
    </row>
    <row r="45">
      <c r="A45" s="44" t="inlineStr">
        <is>
          <t>Passed on at least one version</t>
        </is>
      </c>
      <c r="B45" s="38">
        <f>COUNTIF($B$50:$B$69,"YES")</f>
        <v/>
      </c>
      <c r="C45" s="45">
        <f>IF(COUNTA($A$50:$A$69)=0,0,B45/COUNTA($A$50:$A$69))</f>
        <v/>
      </c>
      <c r="D45" s="38">
        <f>COUNTIFS($B$50:$B$69,"YES",$F$50:$F$69,1)</f>
        <v/>
      </c>
      <c r="E45" s="45">
        <f>IF(COUNTIF($F$50:$F$69,1)=0,0,D45/COUNTIF($F$50:$F$69,1))</f>
        <v/>
      </c>
      <c r="F45" s="38">
        <f>COUNTIFS($B$50:$B$69,"YES",$F$50:$F$69,2)</f>
        <v/>
      </c>
      <c r="G45" s="45">
        <f>IF(COUNTIF($F$50:$F$69,2)=0,0,F45/COUNTIF($F$50:$F$69,2))</f>
        <v/>
      </c>
    </row>
    <row r="46">
      <c r="A46" s="38" t="inlineStr">
        <is>
          <t>Passed on every version (strict, as in section 3)</t>
        </is>
      </c>
      <c r="B46" s="38">
        <f>B37</f>
        <v/>
      </c>
      <c r="C46" s="45">
        <f>IF(COUNTA($A$50:$A$69)=0,0,B46/COUNTA($A$50:$A$69))</f>
        <v/>
      </c>
      <c r="D46" s="38">
        <f>D37</f>
        <v/>
      </c>
      <c r="E46" s="45">
        <f>IF(COUNTIF($F$50:$F$69,1)=0,0,D46/COUNTIF($F$50:$F$69,1))</f>
        <v/>
      </c>
      <c r="F46" s="38">
        <f>F37</f>
        <v/>
      </c>
      <c r="G46" s="45">
        <f>IF(COUNTIF($F$50:$F$69,2)=0,0,F46/COUNTIF($F$50:$F$69,2))</f>
        <v/>
      </c>
    </row>
    <row r="47">
      <c r="A47" s="38" t="inlineStr">
        <is>
          <t>Passed on some but not all versions</t>
        </is>
      </c>
      <c r="B47" s="38">
        <f>B45-B46</f>
        <v/>
      </c>
      <c r="C47" s="45">
        <f>IF(COUNTA($A$50:$A$69)=0,0,B47/COUNTA($A$50:$A$69))</f>
        <v/>
      </c>
      <c r="D47" s="38">
        <f>D45-D46</f>
        <v/>
      </c>
      <c r="E47" s="45">
        <f>IF(COUNTIF($F$50:$F$69,1)=0,0,D47/COUNTIF($F$50:$F$69,1))</f>
        <v/>
      </c>
      <c r="F47" s="38">
        <f>F45-F46</f>
        <v/>
      </c>
      <c r="G47" s="45">
        <f>IF(COUNTIF($F$50:$F$69,2)=0,0,F47/COUNTIF($F$50:$F$69,2))</f>
        <v/>
      </c>
    </row>
    <row r="48">
      <c r="A48" s="46" t="inlineStr">
        <is>
          <t>Passed on no version</t>
        </is>
      </c>
      <c r="B48" s="38">
        <f>COUNTIF($B$50:$B$69,"NO")</f>
        <v/>
      </c>
      <c r="C48" s="45">
        <f>IF(COUNTA($A$50:$A$69)=0,0,B48/COUNTA($A$50:$A$69))</f>
        <v/>
      </c>
      <c r="D48" s="38">
        <f>COUNTIFS($B$50:$B$69,"NO",$F$50:$F$69,1)</f>
        <v/>
      </c>
      <c r="E48" s="45">
        <f>IF(COUNTIF($F$50:$F$69,1)=0,0,D48/COUNTIF($F$50:$F$69,1))</f>
        <v/>
      </c>
      <c r="F48" s="38">
        <f>COUNTIFS($B$50:$B$69,"NO",$F$50:$F$69,2)</f>
        <v/>
      </c>
      <c r="G48" s="45">
        <f>IF(COUNTIF($F$50:$F$69,2)=0,0,F48/COUNTIF($F$50:$F$69,2))</f>
        <v/>
      </c>
    </row>
    <row r="49">
      <c r="A49" s="43" t="inlineStr">
        <is>
          <t>Case</t>
        </is>
      </c>
      <c r="B49" s="43" t="inlineStr">
        <is>
          <t>Passed on ≥1 version?</t>
        </is>
      </c>
      <c r="C49" s="43" t="inlineStr">
        <is>
          <t>Versions it passed on</t>
        </is>
      </c>
      <c r="D49" s="43" t="inlineStr">
        <is>
          <t># passed</t>
        </is>
      </c>
      <c r="E49" s="43" t="inlineStr">
        <is>
          <t># tested</t>
        </is>
      </c>
      <c r="F49" s="43" t="inlineStr">
        <is>
          <t>Batch</t>
        </is>
      </c>
    </row>
    <row r="50">
      <c r="A50" s="38">
        <f>Summary!A2</f>
        <v/>
      </c>
      <c r="B50" s="38">
        <f>IF(C14&gt;0,"YES","NO")</f>
        <v/>
      </c>
      <c r="C50" s="50">
        <f t="array" ref="C50">IF(C14=0,"-",_xlfn.TEXTJOIN(", ",TRUE,IF(Summary!$B$2:$AB$2="PASS",Summary!$B$1:$AB$1,"")))</f>
        <v/>
      </c>
      <c r="D50" s="38">
        <f>C14</f>
        <v/>
      </c>
      <c r="E50" s="38">
        <f>B14</f>
        <v/>
      </c>
      <c r="F50" s="38" t="n">
        <v>1</v>
      </c>
    </row>
    <row r="51">
      <c r="A51" s="38">
        <f>Summary!A3</f>
        <v/>
      </c>
      <c r="B51" s="38">
        <f>IF(C15&gt;0,"YES","NO")</f>
        <v/>
      </c>
      <c r="C51" s="50">
        <f t="array" ref="C51">IF(C15=0,"-",_xlfn.TEXTJOIN(", ",TRUE,IF(Summary!$B$3:$AB$3="PASS",Summary!$B$1:$AB$1,"")))</f>
        <v/>
      </c>
      <c r="D51" s="38">
        <f>C15</f>
        <v/>
      </c>
      <c r="E51" s="38">
        <f>B15</f>
        <v/>
      </c>
      <c r="F51" s="38" t="n">
        <v>1</v>
      </c>
    </row>
    <row r="52">
      <c r="A52" s="38">
        <f>Summary!A4</f>
        <v/>
      </c>
      <c r="B52" s="38">
        <f>IF(C16&gt;0,"YES","NO")</f>
        <v/>
      </c>
      <c r="C52" s="50">
        <f t="array" ref="C52">IF(C16=0,"-",_xlfn.TEXTJOIN(", ",TRUE,IF(Summary!$B$4:$AB$4="PASS",Summary!$B$1:$AB$1,"")))</f>
        <v/>
      </c>
      <c r="D52" s="38">
        <f>C16</f>
        <v/>
      </c>
      <c r="E52" s="38">
        <f>B16</f>
        <v/>
      </c>
      <c r="F52" s="38" t="n">
        <v>1</v>
      </c>
    </row>
    <row r="53">
      <c r="A53" s="38">
        <f>Summary!A5</f>
        <v/>
      </c>
      <c r="B53" s="38">
        <f>IF(C17&gt;0,"YES","NO")</f>
        <v/>
      </c>
      <c r="C53" s="50">
        <f t="array" ref="C53">IF(C17=0,"-",_xlfn.TEXTJOIN(", ",TRUE,IF(Summary!$B$5:$AB$5="PASS",Summary!$B$1:$AB$1,"")))</f>
        <v/>
      </c>
      <c r="D53" s="38">
        <f>C17</f>
        <v/>
      </c>
      <c r="E53" s="38">
        <f>B17</f>
        <v/>
      </c>
      <c r="F53" s="38" t="n">
        <v>1</v>
      </c>
    </row>
    <row r="54">
      <c r="A54" s="38">
        <f>Summary!A6</f>
        <v/>
      </c>
      <c r="B54" s="38">
        <f>IF(C18&gt;0,"YES","NO")</f>
        <v/>
      </c>
      <c r="C54" s="50">
        <f t="array" ref="C54">IF(C18=0,"-",_xlfn.TEXTJOIN(", ",TRUE,IF(Summary!$B$6:$AB$6="PASS",Summary!$B$1:$AB$1,"")))</f>
        <v/>
      </c>
      <c r="D54" s="38">
        <f>C18</f>
        <v/>
      </c>
      <c r="E54" s="38">
        <f>B18</f>
        <v/>
      </c>
      <c r="F54" s="38" t="n">
        <v>1</v>
      </c>
    </row>
    <row r="55">
      <c r="A55" s="38">
        <f>Summary!A7</f>
        <v/>
      </c>
      <c r="B55" s="38">
        <f>IF(C19&gt;0,"YES","NO")</f>
        <v/>
      </c>
      <c r="C55" s="50">
        <f t="array" ref="C55">IF(C19=0,"-",_xlfn.TEXTJOIN(", ",TRUE,IF(Summary!$B$7:$AB$7="PASS",Summary!$B$1:$AB$1,"")))</f>
        <v/>
      </c>
      <c r="D55" s="38">
        <f>C19</f>
        <v/>
      </c>
      <c r="E55" s="38">
        <f>B19</f>
        <v/>
      </c>
      <c r="F55" s="38" t="n">
        <v>1</v>
      </c>
    </row>
    <row r="56">
      <c r="A56" s="38">
        <f>Summary!A8</f>
        <v/>
      </c>
      <c r="B56" s="38">
        <f>IF(C20&gt;0,"YES","NO")</f>
        <v/>
      </c>
      <c r="C56" s="50">
        <f t="array" ref="C56">IF(C20=0,"-",_xlfn.TEXTJOIN(", ",TRUE,IF(Summary!$B$8:$AB$8="PASS",Summary!$B$1:$AB$1,"")))</f>
        <v/>
      </c>
      <c r="D56" s="38">
        <f>C20</f>
        <v/>
      </c>
      <c r="E56" s="38">
        <f>B20</f>
        <v/>
      </c>
      <c r="F56" s="38" t="n">
        <v>1</v>
      </c>
    </row>
    <row r="57">
      <c r="A57" s="38">
        <f>Summary!A9</f>
        <v/>
      </c>
      <c r="B57" s="38">
        <f>IF(C21&gt;0,"YES","NO")</f>
        <v/>
      </c>
      <c r="C57" s="50">
        <f t="array" ref="C57">IF(C21=0,"-",_xlfn.TEXTJOIN(", ",TRUE,IF(Summary!$B$9:$AB$9="PASS",Summary!$B$1:$AB$1,"")))</f>
        <v/>
      </c>
      <c r="D57" s="38">
        <f>C21</f>
        <v/>
      </c>
      <c r="E57" s="38">
        <f>B21</f>
        <v/>
      </c>
      <c r="F57" s="38" t="n">
        <v>1</v>
      </c>
    </row>
    <row r="58">
      <c r="A58" s="38">
        <f>Summary!A10</f>
        <v/>
      </c>
      <c r="B58" s="38">
        <f>IF(C22&gt;0,"YES","NO")</f>
        <v/>
      </c>
      <c r="C58" s="50">
        <f t="array" ref="C58">IF(C22=0,"-",_xlfn.TEXTJOIN(", ",TRUE,IF(Summary!$B$10:$AB$10="PASS",Summary!$B$1:$AB$1,"")))</f>
        <v/>
      </c>
      <c r="D58" s="38">
        <f>C22</f>
        <v/>
      </c>
      <c r="E58" s="38">
        <f>B22</f>
        <v/>
      </c>
      <c r="F58" s="38" t="n">
        <v>1</v>
      </c>
    </row>
    <row r="59">
      <c r="A59" s="38">
        <f>Summary!A11</f>
        <v/>
      </c>
      <c r="B59" s="38">
        <f>IF(C23&gt;0,"YES","NO")</f>
        <v/>
      </c>
      <c r="C59" s="50">
        <f t="array" ref="C59">IF(C23=0,"-",_xlfn.TEXTJOIN(", ",TRUE,IF(Summary!$B$11:$AB$11="PASS",Summary!$B$1:$AB$1,"")))</f>
        <v/>
      </c>
      <c r="D59" s="38">
        <f>C23</f>
        <v/>
      </c>
      <c r="E59" s="38">
        <f>B23</f>
        <v/>
      </c>
      <c r="F59" s="38" t="n">
        <v>1</v>
      </c>
    </row>
    <row r="60">
      <c r="A60" s="38">
        <f>Summary!A12</f>
        <v/>
      </c>
      <c r="B60" s="38">
        <f>IF(C24&gt;0,"YES","NO")</f>
        <v/>
      </c>
      <c r="C60" s="50">
        <f t="array" ref="C60">IF(C24=0,"-",_xlfn.TEXTJOIN(", ",TRUE,IF(Summary!$B$12:$AB$12="PASS",Summary!$B$1:$AB$1,"")))</f>
        <v/>
      </c>
      <c r="D60" s="38">
        <f>C24</f>
        <v/>
      </c>
      <c r="E60" s="38">
        <f>B24</f>
        <v/>
      </c>
      <c r="F60" s="38" t="n">
        <v>2</v>
      </c>
    </row>
    <row r="61">
      <c r="A61" s="38">
        <f>Summary!A13</f>
        <v/>
      </c>
      <c r="B61" s="38">
        <f>IF(C25&gt;0,"YES","NO")</f>
        <v/>
      </c>
      <c r="C61" s="50">
        <f t="array" ref="C61">IF(C25=0,"-",_xlfn.TEXTJOIN(", ",TRUE,IF(Summary!$B$13:$AB$13="PASS",Summary!$B$1:$AB$1,"")))</f>
        <v/>
      </c>
      <c r="D61" s="38">
        <f>C25</f>
        <v/>
      </c>
      <c r="E61" s="38">
        <f>B25</f>
        <v/>
      </c>
      <c r="F61" s="38" t="n">
        <v>2</v>
      </c>
    </row>
    <row r="62">
      <c r="A62" s="38">
        <f>Summary!A14</f>
        <v/>
      </c>
      <c r="B62" s="38">
        <f>IF(C26&gt;0,"YES","NO")</f>
        <v/>
      </c>
      <c r="C62" s="50">
        <f t="array" ref="C62">IF(C26=0,"-",_xlfn.TEXTJOIN(", ",TRUE,IF(Summary!$B$14:$AB$14="PASS",Summary!$B$1:$AB$1,"")))</f>
        <v/>
      </c>
      <c r="D62" s="38">
        <f>C26</f>
        <v/>
      </c>
      <c r="E62" s="38">
        <f>B26</f>
        <v/>
      </c>
      <c r="F62" s="38" t="n">
        <v>2</v>
      </c>
    </row>
    <row r="63">
      <c r="A63" s="38">
        <f>Summary!A15</f>
        <v/>
      </c>
      <c r="B63" s="38">
        <f>IF(C27&gt;0,"YES","NO")</f>
        <v/>
      </c>
      <c r="C63" s="50">
        <f t="array" ref="C63">IF(C27=0,"-",_xlfn.TEXTJOIN(", ",TRUE,IF(Summary!$B$15:$AB$15="PASS",Summary!$B$1:$AB$1,"")))</f>
        <v/>
      </c>
      <c r="D63" s="38">
        <f>C27</f>
        <v/>
      </c>
      <c r="E63" s="38">
        <f>B27</f>
        <v/>
      </c>
      <c r="F63" s="38" t="n">
        <v>2</v>
      </c>
    </row>
    <row r="64">
      <c r="A64" s="38">
        <f>Summary!A16</f>
        <v/>
      </c>
      <c r="B64" s="38">
        <f>IF(C28&gt;0,"YES","NO")</f>
        <v/>
      </c>
      <c r="C64" s="50">
        <f t="array" ref="C64">IF(C28=0,"-",_xlfn.TEXTJOIN(", ",TRUE,IF(Summary!$B$16:$AB$16="PASS",Summary!$B$1:$AB$1,"")))</f>
        <v/>
      </c>
      <c r="D64" s="38">
        <f>C28</f>
        <v/>
      </c>
      <c r="E64" s="38">
        <f>B28</f>
        <v/>
      </c>
      <c r="F64" s="38" t="n">
        <v>2</v>
      </c>
    </row>
    <row r="65">
      <c r="A65" s="38">
        <f>Summary!A17</f>
        <v/>
      </c>
      <c r="B65" s="38">
        <f>IF(C29&gt;0,"YES","NO")</f>
        <v/>
      </c>
      <c r="C65" s="50">
        <f t="array" ref="C65">IF(C29=0,"-",_xlfn.TEXTJOIN(", ",TRUE,IF(Summary!$B$17:$AB$17="PASS",Summary!$B$1:$AB$1,"")))</f>
        <v/>
      </c>
      <c r="D65" s="38">
        <f>C29</f>
        <v/>
      </c>
      <c r="E65" s="38">
        <f>B29</f>
        <v/>
      </c>
      <c r="F65" s="38" t="n">
        <v>2</v>
      </c>
    </row>
    <row r="66">
      <c r="A66" s="38">
        <f>Summary!A18</f>
        <v/>
      </c>
      <c r="B66" s="38">
        <f>IF(C30&gt;0,"YES","NO")</f>
        <v/>
      </c>
      <c r="C66" s="50">
        <f t="array" ref="C66">IF(C30=0,"-",_xlfn.TEXTJOIN(", ",TRUE,IF(Summary!$B$18:$AB$18="PASS",Summary!$B$1:$AB$1,"")))</f>
        <v/>
      </c>
      <c r="D66" s="38">
        <f>C30</f>
        <v/>
      </c>
      <c r="E66" s="38">
        <f>B30</f>
        <v/>
      </c>
      <c r="F66" s="38" t="n">
        <v>2</v>
      </c>
    </row>
    <row r="67">
      <c r="A67" s="38">
        <f>Summary!A19</f>
        <v/>
      </c>
      <c r="B67" s="38">
        <f>IF(C31&gt;0,"YES","NO")</f>
        <v/>
      </c>
      <c r="C67" s="50">
        <f t="array" ref="C67">IF(C31=0,"-",_xlfn.TEXTJOIN(", ",TRUE,IF(Summary!$B$19:$AB$19="PASS",Summary!$B$1:$AB$1,"")))</f>
        <v/>
      </c>
      <c r="D67" s="38">
        <f>C31</f>
        <v/>
      </c>
      <c r="E67" s="38">
        <f>B31</f>
        <v/>
      </c>
      <c r="F67" s="38" t="n">
        <v>2</v>
      </c>
    </row>
    <row r="68">
      <c r="A68" s="38">
        <f>Summary!A20</f>
        <v/>
      </c>
      <c r="B68" s="38">
        <f>IF(C32&gt;0,"YES","NO")</f>
        <v/>
      </c>
      <c r="C68" s="50">
        <f t="array" ref="C68">IF(C32=0,"-",_xlfn.TEXTJOIN(", ",TRUE,IF(Summary!$B$20:$AB$20="PASS",Summary!$B$1:$AB$1,"")))</f>
        <v/>
      </c>
      <c r="D68" s="38">
        <f>C32</f>
        <v/>
      </c>
      <c r="E68" s="38">
        <f>B32</f>
        <v/>
      </c>
      <c r="F68" s="38" t="n">
        <v>2</v>
      </c>
    </row>
    <row r="69">
      <c r="A69" s="38">
        <f>Summary!A21</f>
        <v/>
      </c>
      <c r="B69" s="38">
        <f>IF(C33&gt;0,"YES","NO")</f>
        <v/>
      </c>
      <c r="C69" s="50">
        <f t="array" ref="C69">IF(C33=0,"-",_xlfn.TEXTJOIN(", ",TRUE,IF(Summary!$B$21:$AB$21="PASS",Summary!$B$1:$AB$1,"")))</f>
        <v/>
      </c>
      <c r="D69" s="38">
        <f>C33</f>
        <v/>
      </c>
      <c r="E69" s="38">
        <f>B33</f>
        <v/>
      </c>
      <c r="F69" s="38" t="n">
        <v>2</v>
      </c>
    </row>
    <row r="70">
      <c r="A70" s="7">
        <f>IF(B47=0,"Every case passed on either all or none of its versions, so the at-least-one count equals the strict count.","Some cases passed on only part of their versions; see the table above.")</f>
        <v/>
      </c>
    </row>
    <row r="72">
      <c r="A72" s="8" t="inlineStr">
        <is>
          <t>5. Notes: every case, its versions and what happened</t>
        </is>
      </c>
    </row>
    <row r="73">
      <c r="A73" s="43" t="inlineStr">
        <is>
          <t>Result</t>
        </is>
      </c>
      <c r="B73" s="43" t="inlineStr">
        <is>
          <t>Case</t>
        </is>
      </c>
      <c r="C73" s="43" t="inlineStr">
        <is>
          <t>Versions</t>
        </is>
      </c>
      <c r="D73" s="43" t="inlineStr">
        <is>
          <t># versions</t>
        </is>
      </c>
      <c r="E73" s="43" t="inlineStr">
        <is>
          <t>Error type</t>
        </is>
      </c>
      <c r="F73" s="43" t="inlineStr">
        <is>
          <t>Error message (last traceback line)</t>
        </is>
      </c>
      <c r="G73" s="43" t="inlineStr">
        <is>
          <t>What happened (plain English)</t>
        </is>
      </c>
      <c r="H73" s="43" t="inlineStr">
        <is>
          <t>Batch</t>
        </is>
      </c>
    </row>
    <row r="74">
      <c r="A74" s="51" t="inlineStr">
        <is>
          <t>PASS</t>
        </is>
      </c>
      <c r="B74" s="50" t="inlineStr">
        <is>
          <t>issue_032_se</t>
        </is>
      </c>
      <c r="C74" s="50" t="inlineStr">
        <is>
          <t>0.25.0, 0.25.1, 0.25.2, 0.25.3</t>
        </is>
      </c>
      <c r="D74" s="50" t="n">
        <v>4</v>
      </c>
      <c r="E74" s="50" t="n"/>
      <c r="F74" s="50" t="n"/>
      <c r="G74" s="50" t="inlineStr">
        <is>
          <t>The LLM passed an iSwapGate() object instead of the unrecognised 'iswap' string, the same fix as the reference.</t>
        </is>
      </c>
      <c r="H74" s="50" t="n">
        <v>1</v>
      </c>
    </row>
    <row r="75">
      <c r="A75" s="51" t="inlineStr">
        <is>
          <t>PASS</t>
        </is>
      </c>
      <c r="B75" s="50" t="inlineStr">
        <is>
          <t>issue_034</t>
        </is>
      </c>
      <c r="C75" s="50" t="inlineStr">
        <is>
          <t>1.0.0, 1.0.1, 1.0.2, 1.1.0, 1.1.1, 1.1.2, 1.2.0, 1.2.1, 1.2.2, 1.2.4, 2.0.0, 2.2.0, 2.3.0, 2.4.0, 2.5.0</t>
        </is>
      </c>
      <c r="D75" s="50" t="n">
        <v>15</v>
      </c>
      <c r="E75" s="50" t="n"/>
      <c r="F75" s="50" t="n"/>
      <c r="G75" s="50" t="inlineStr">
        <is>
          <t>The LLM imported Aer from qiskit_aer instead of qiskit, the same fix as the reference.</t>
        </is>
      </c>
      <c r="H75" s="50" t="n">
        <v>1</v>
      </c>
    </row>
    <row r="76">
      <c r="A76" s="51" t="inlineStr">
        <is>
          <t>PASS</t>
        </is>
      </c>
      <c r="B76" s="50" t="inlineStr">
        <is>
          <t>issue_036</t>
        </is>
      </c>
      <c r="C76" s="50" t="inlineStr">
        <is>
          <t>1.0.0, 1.0.1, 1.0.2, 1.1.0, 1.1.1, 1.1.2, 1.2.0, 1.2.1, 1.2.2, 1.2.4, 2.0.0, 2.2.0, 2.3.0, 2.4.0, 2.5.0</t>
        </is>
      </c>
      <c r="D76" s="50" t="n">
        <v>15</v>
      </c>
      <c r="E76" s="50" t="n"/>
      <c r="F76" s="50" t="n"/>
      <c r="G76" s="50" t="inlineStr">
        <is>
          <t>The LLM replaced the removed c.qasm() with qasm2.dumps(c), the same fix as the reference.</t>
        </is>
      </c>
      <c r="H76" s="50" t="n">
        <v>1</v>
      </c>
    </row>
    <row r="77">
      <c r="A77" s="51" t="inlineStr">
        <is>
          <t>PASS</t>
        </is>
      </c>
      <c r="B77" s="50" t="inlineStr">
        <is>
          <t>issue_058_se</t>
        </is>
      </c>
      <c r="C77" s="50" t="inlineStr">
        <is>
          <t>0.25.0, 0.25.1, 0.25.2, 0.25.3, 0.45.0, 0.45.1, 0.45.2, 0.45.3, 0.46.0, 0.46.1, 0.46.2, 0.46.3</t>
        </is>
      </c>
      <c r="D77" s="50" t="n">
        <v>12</v>
      </c>
      <c r="E77" s="50" t="n"/>
      <c r="F77" s="50" t="n"/>
      <c r="G77" s="50" t="inlineStr">
        <is>
          <t>The LLM decomposed the custom diffuser gate before running it (the reference transpiles instead), and the simulator produced the correct state.</t>
        </is>
      </c>
      <c r="H77" s="50" t="n">
        <v>1</v>
      </c>
    </row>
    <row r="78">
      <c r="A78" s="51" t="inlineStr">
        <is>
          <t>PASS</t>
        </is>
      </c>
      <c r="B78" s="50" t="inlineStr">
        <is>
          <t>issue_061</t>
        </is>
      </c>
      <c r="C78" s="50" t="inlineStr">
        <is>
          <t>1.0.0, 1.0.1, 1.0.2, 1.1.0, 1.1.1, 1.1.2, 1.2.0, 1.2.1, 1.2.2, 1.2.4, 2.0.0, 2.2.0, 2.3.0, 2.4.0, 2.5.0</t>
        </is>
      </c>
      <c r="D78" s="50" t="n">
        <v>15</v>
      </c>
      <c r="E78" s="50" t="n"/>
      <c r="F78" s="50" t="n"/>
      <c r="G78" s="50" t="inlineStr">
        <is>
          <t>The LLM read the register and register-local index via qc.find_bit(qbit).registers[0], removing the deprecated back-references. The team's updated test_new.py accepts this output (the old test.py only accepted the reference's exact print format).</t>
        </is>
      </c>
      <c r="H78" s="50" t="n">
        <v>1</v>
      </c>
    </row>
    <row r="79">
      <c r="A79" s="51" t="inlineStr">
        <is>
          <t>PASS</t>
        </is>
      </c>
      <c r="B79" s="50" t="inlineStr">
        <is>
          <t>issue_072</t>
        </is>
      </c>
      <c r="C79" s="50" t="inlineStr">
        <is>
          <t>0.25.0, 0.25.1, 0.25.2, 0.25.3</t>
        </is>
      </c>
      <c r="D79" s="50" t="n">
        <v>4</v>
      </c>
      <c r="E79" s="50" t="n"/>
      <c r="F79" s="50" t="n"/>
      <c r="G79" s="50" t="inlineStr">
        <is>
          <t>The LLM remapped the duplicated qreg[5] to the unused physical qubit 15 (the reference used 16), so every virtual qubit gets its own physical qubit.</t>
        </is>
      </c>
      <c r="H79" s="50" t="n">
        <v>1</v>
      </c>
    </row>
    <row r="80">
      <c r="A80" s="52" t="inlineStr">
        <is>
          <t>FAIL</t>
        </is>
      </c>
      <c r="B80" s="50" t="inlineStr">
        <is>
          <t>issue_018_se</t>
        </is>
      </c>
      <c r="C80" s="50" t="inlineStr">
        <is>
          <t>1.0.0, 1.0.1, 1.0.2, 1.1.0, 1.1.1, 1.1.2, 1.2.0, 1.2.1, 1.2.2, 1.2.4, 2.0.0, 2.2.0, 2.3.0, 2.4.0, 2.5.0</t>
        </is>
      </c>
      <c r="D80" s="50" t="n">
        <v>15</v>
      </c>
      <c r="E80" s="50" t="inlineStr">
        <is>
          <t>AssertionError</t>
        </is>
      </c>
      <c r="F80" s="50" t="inlineStr">
        <is>
          <t xml:space="preserve">AssertionError: Not equal to tolerance rtol=0, atol=1e-12 The ideal magic-square strategy must win every input pair. Mismatched elements: 6 / 9 (66.7%) Max absolute difference: 0.5 Max relative difference: inf x: array([0. , 0.5, 0.5, 0.5, 0. , 0.5, </t>
        </is>
      </c>
      <c r="G80" s="50" t="inlineStr">
        <is>
          <t>The LLM swapped which inputs choose Alice's and Bob's answers, so the strategy still loses 6 of the 9 input pairs half the time instead of always winning (the Aer simulator also crashes natively here, as it does for fixed.py).</t>
        </is>
      </c>
      <c r="H80" s="50" t="n">
        <v>1</v>
      </c>
    </row>
    <row r="81">
      <c r="A81" s="52" t="inlineStr">
        <is>
          <t>FAIL</t>
        </is>
      </c>
      <c r="B81" s="50" t="inlineStr">
        <is>
          <t>issue_096</t>
        </is>
      </c>
      <c r="C81" s="50" t="inlineStr">
        <is>
          <t>0.25.0, 0.25.1, 0.25.2, 0.25.3, 0.45.0, 0.45.1, 0.45.2, 0.45.3, 0.46.0, 0.46.1, 0.46.2, 0.46.3, 1.0.0, 1.0.1, 1.0.2, 1.1.0, 1.1.1, 1.1.2, 1.2.0, 1.2.1, 1.2.2, 1.2.4, 2.0.0, 2.2.0, 2.3.0, 2.4.0, 2.5.0</t>
        </is>
      </c>
      <c r="D81" s="50" t="n">
        <v>27</v>
      </c>
      <c r="E81" s="50" t="inlineStr">
        <is>
          <t>AssertionError</t>
        </is>
      </c>
      <c r="F81" s="50" t="inlineStr">
        <is>
          <t>AssertionError: '' != '[default]\n' + [default] | AssertionError: False is not true : Missing ipython_kernel_config.py (even when the profile directory already exists)</t>
        </is>
      </c>
      <c r="G81" s="50" t="inlineStr">
        <is>
          <t>The LLM creates an empty Qiskit settings file instead of one containing '[default]', and never creates the ipython_kernel_config.py file the user needed.</t>
        </is>
      </c>
      <c r="H81" s="50" t="n">
        <v>1</v>
      </c>
    </row>
    <row r="82">
      <c r="A82" s="52" t="inlineStr">
        <is>
          <t>FAIL</t>
        </is>
      </c>
      <c r="B82" s="50" t="inlineStr">
        <is>
          <t>issue_009</t>
        </is>
      </c>
      <c r="C82" s="50" t="inlineStr">
        <is>
          <t>0.45.2, 0.45.3</t>
        </is>
      </c>
      <c r="D82" s="50" t="n">
        <v>2</v>
      </c>
      <c r="E82" s="50" t="inlineStr">
        <is>
          <t>AssertionError</t>
        </is>
      </c>
      <c r="F82" s="50" t="inlineStr">
        <is>
          <t>AssertionError: 3 != 5</t>
        </is>
      </c>
      <c r="G82" s="50"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H82" s="50" t="n">
        <v>1</v>
      </c>
    </row>
    <row r="83">
      <c r="A83" s="53" t="inlineStr">
        <is>
          <t>ERROR</t>
        </is>
      </c>
      <c r="B83" s="50" t="inlineStr">
        <is>
          <t>issue_009</t>
        </is>
      </c>
      <c r="C83" s="50" t="inlineStr">
        <is>
          <t>0.45.0, 0.45.1, 0.46.0, 0.46.1, 0.46.2, 0.46.3</t>
        </is>
      </c>
      <c r="D83" s="50" t="n">
        <v>6</v>
      </c>
      <c r="E83" s="50" t="inlineStr">
        <is>
          <t>TranspilerError</t>
        </is>
      </c>
      <c r="F83" s="50" t="inlineStr">
        <is>
          <t>qiskit.transpiler.exceptions.TranspilerError: "The 'layout' must be full (with ancilla)."</t>
        </is>
      </c>
      <c r="G83" s="50" t="inlineStr">
        <is>
          <t>The LLM ran CSPLayout and ApplyLayout by hand in a PassManager but never added the passes that extend the 3-qubit layout to the backend's 5 qubits (FullAncillaAllocation / EnlargeWithAncilla), so ApplyLayout rejects the partial layout.</t>
        </is>
      </c>
      <c r="H83" s="50" t="n">
        <v>1</v>
      </c>
    </row>
    <row r="84">
      <c r="A84" s="53" t="inlineStr">
        <is>
          <t>ERROR</t>
        </is>
      </c>
      <c r="B84" s="50" t="inlineStr">
        <is>
          <t>issue_021_se</t>
        </is>
      </c>
      <c r="C84" s="50" t="inlineStr">
        <is>
          <t>0.25.0, 0.25.1, 0.25.2, 0.25.3</t>
        </is>
      </c>
      <c r="D84" s="50" t="n">
        <v>4</v>
      </c>
      <c r="E84" s="50" t="inlineStr">
        <is>
          <t>QiskitError</t>
        </is>
      </c>
      <c r="F84" s="50" t="inlineStr">
        <is>
          <t>qiskit.exceptions.QiskitError: 'ERROR: [Experiment 0] Circuit contains invalid instructions {"gates": {disentangler_dg}} for "statevector" method , ERROR: Circuit contains invalid instructions {"gates": {disentangler_dg}} for "statevector" method'</t>
        </is>
      </c>
      <c r="G84" s="50" t="inlineStr">
        <is>
          <t>Calling circuit.decompose() only unrolls one level, leaving a 'disentangler_dg' instruction that the Aer statevector simulator cannot run, so the simulation fails.</t>
        </is>
      </c>
      <c r="H84" s="50" t="n">
        <v>1</v>
      </c>
    </row>
    <row r="85">
      <c r="A85" s="53" t="inlineStr">
        <is>
          <t>ERROR</t>
        </is>
      </c>
      <c r="B85" s="50" t="inlineStr">
        <is>
          <t>issue_021_se</t>
        </is>
      </c>
      <c r="C85" s="50" t="inlineStr">
        <is>
          <t>0.45.0, 0.45.1, 0.45.2, 0.45.3, 0.46.0, 0.46.1, 0.46.2, 0.46.3</t>
        </is>
      </c>
      <c r="D85" s="50" t="n">
        <v>8</v>
      </c>
      <c r="E85" s="50" t="inlineStr">
        <is>
          <t>QiskitError</t>
        </is>
      </c>
      <c r="F85" s="50" t="inlineStr">
        <is>
          <t>qiskit.exceptions.QiskitError: 'You have to select a circuit or schedule when there is more than one available'</t>
        </is>
      </c>
      <c r="G85" s="50" t="inlineStr">
        <is>
          <t>Calling circuit.decompose() only unrolls one level, leaving a 'state_preparation' instruction that Aer cannot load, so the simulation fails and no statevector is returned.</t>
        </is>
      </c>
      <c r="H85" s="50" t="n">
        <v>1</v>
      </c>
    </row>
    <row r="86">
      <c r="A86" s="51" t="inlineStr">
        <is>
          <t>PASS</t>
        </is>
      </c>
      <c r="B86" s="50" t="inlineStr">
        <is>
          <t>issue_155</t>
        </is>
      </c>
      <c r="C86" s="50" t="inlineStr">
        <is>
          <t>0.25.0, 0.25.1, 0.25.2, 0.25.3, 0.45.0, 0.45.1, 0.45.2, 0.45.3, 0.46.0, 0.46.1, 0.46.2, 0.46.3</t>
        </is>
      </c>
      <c r="D86" s="50" t="n">
        <v>12</v>
      </c>
      <c r="E86" s="50" t="n"/>
      <c r="F86" s="50" t="n"/>
      <c r="G86" s="50" t="inlineStr">
        <is>
          <t>The LLM turned the two traced-out registers into their qubit indices with qc.qubits.index(...), the same fix as the reference.</t>
        </is>
      </c>
      <c r="H86" s="50" t="n">
        <v>2</v>
      </c>
    </row>
    <row r="87">
      <c r="A87" s="51" t="inlineStr">
        <is>
          <t>PASS</t>
        </is>
      </c>
      <c r="B87" s="50" t="inlineStr">
        <is>
          <t>issue_157</t>
        </is>
      </c>
      <c r="C87" s="50" t="inlineStr">
        <is>
          <t>0.45.0, 0.45.1, 0.45.2, 0.45.3, 0.46.0, 0.46.1, 0.46.2, 0.46.3</t>
        </is>
      </c>
      <c r="D87" s="50" t="n">
        <v>8</v>
      </c>
      <c r="E87" s="50" t="n"/>
      <c r="F87" s="50" t="n"/>
      <c r="G87" s="50" t="inlineStr">
        <is>
          <t>The LLM replaced the non-unitary initialize() with prepare_state(), which builds a unitary state-preparation gate that can be controlled (the reference builds an isometry and wraps it in a UnitaryGate instead).</t>
        </is>
      </c>
      <c r="H87" s="50" t="n">
        <v>2</v>
      </c>
    </row>
    <row r="88">
      <c r="A88" s="51" t="inlineStr">
        <is>
          <t>PASS</t>
        </is>
      </c>
      <c r="B88" s="50" t="inlineStr">
        <is>
          <t>issue_225</t>
        </is>
      </c>
      <c r="C88" s="50" t="inlineStr">
        <is>
          <t>0.45.0, 0.45.1, 0.45.2, 0.45.3, 0.46.0, 0.46.1, 0.46.2, 0.46.3</t>
        </is>
      </c>
      <c r="D88" s="50" t="n">
        <v>8</v>
      </c>
      <c r="E88" s="50" t="n"/>
      <c r="F88" s="50" t="n"/>
      <c r="G88" s="50" t="inlineStr">
        <is>
          <t>The LLM took the Statevector's NumPy array via .data before calling reshape(), equivalent to the reference's np.asarray(...).</t>
        </is>
      </c>
      <c r="H88" s="50" t="n">
        <v>2</v>
      </c>
    </row>
    <row r="89">
      <c r="A89" s="51" t="inlineStr">
        <is>
          <t>PASS</t>
        </is>
      </c>
      <c r="B89" s="50" t="inlineStr">
        <is>
          <t>issue_261</t>
        </is>
      </c>
      <c r="C89" s="50" t="inlineStr">
        <is>
          <t>0.25.0, 0.25.1, 0.25.2, 0.25.3, 0.45.0, 0.45.1, 0.45.2, 0.45.3, 0.46.0, 0.46.1, 0.46.2, 0.46.3</t>
        </is>
      </c>
      <c r="D89" s="50" t="n">
        <v>12</v>
      </c>
      <c r="E89" s="50" t="n"/>
      <c r="F89" s="50" t="n"/>
      <c r="G89" s="50" t="inlineStr">
        <is>
          <t>The LLM replaced PauliOp(hamiltonian_string) with eval(hamiltonian_string), the same fix as the reference.</t>
        </is>
      </c>
      <c r="H89" s="50" t="n">
        <v>2</v>
      </c>
    </row>
    <row r="90">
      <c r="A90" s="51" t="inlineStr">
        <is>
          <t>PASS</t>
        </is>
      </c>
      <c r="B90" s="50" t="inlineStr">
        <is>
          <t>issue_280</t>
        </is>
      </c>
      <c r="C90" s="50" t="inlineStr">
        <is>
          <t>0.25.0, 0.25.1, 0.25.2, 0.25.3, 0.45.0, 0.45.1, 0.45.2, 0.45.3, 0.46.0, 0.46.1, 0.46.2, 0.46.3</t>
        </is>
      </c>
      <c r="D90" s="50" t="n">
        <v>12</v>
      </c>
      <c r="E90" s="50" t="n"/>
      <c r="F90" s="50" t="n"/>
      <c r="G90" s="50" t="inlineStr">
        <is>
          <t>The LLM made the depolarizing error act on 2 qubits so it matches the two-qubit 'cx' instruction, the same fix as the reference.</t>
        </is>
      </c>
      <c r="H90" s="50" t="n">
        <v>2</v>
      </c>
    </row>
    <row r="91">
      <c r="A91" s="51" t="inlineStr">
        <is>
          <t>PASS</t>
        </is>
      </c>
      <c r="B91" s="50" t="inlineStr">
        <is>
          <t>issue_295</t>
        </is>
      </c>
      <c r="C91" s="50" t="inlineStr">
        <is>
          <t>0.45.0, 0.45.1, 0.45.2, 0.45.3, 0.46.0, 0.46.1, 0.46.2, 0.46.3</t>
        </is>
      </c>
      <c r="D91" s="50" t="n">
        <v>8</v>
      </c>
      <c r="E91" s="50" t="n"/>
      <c r="F91" s="50" t="n"/>
      <c r="G91" s="50" t="inlineStr">
        <is>
          <t>The LLM replaced the unsupported circuit += oracle with circuit.compose(oracle, inplace=True); the reference reassigns circuit = circuit.compose(oracle), which does the same thing.</t>
        </is>
      </c>
      <c r="H91" s="50" t="n">
        <v>2</v>
      </c>
    </row>
    <row r="92">
      <c r="A92" s="52" t="inlineStr">
        <is>
          <t>FAIL</t>
        </is>
      </c>
      <c r="B92" s="50" t="inlineStr">
        <is>
          <t>issue_189</t>
        </is>
      </c>
      <c r="C92" s="50" t="inlineStr">
        <is>
          <t>0.45.0, 0.45.1, 0.45.2, 0.45.3, 0.46.0, 0.46.1, 0.46.2, 0.46.3, 1.0.0, 1.0.1, 1.0.2, 1.1.0, 1.1.1, 1.1.2, 1.2.0, 1.2.1, 1.2.2, 1.2.4, 2.0.0, 2.2.0, 2.3.0, 2.4.0, 2.5.0</t>
        </is>
      </c>
      <c r="D92" s="50" t="n">
        <v>23</v>
      </c>
      <c r="E92" s="50" t="inlineStr">
        <is>
          <t>AssertionError</t>
        </is>
      </c>
      <c r="F92" s="50" t="inlineStr">
        <is>
          <t>AssertionError: Lists differ: [2, 3, 4, 5, 6, 7, 8] != [0, 3, 4, 5, 6, 7, 8]</t>
        </is>
      </c>
      <c r="G92" s="50"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H92" s="50" t="n">
        <v>2</v>
      </c>
    </row>
    <row r="93">
      <c r="A93" s="53" t="inlineStr">
        <is>
          <t>ERROR</t>
        </is>
      </c>
      <c r="B93" s="50" t="inlineStr">
        <is>
          <t>issue_157</t>
        </is>
      </c>
      <c r="C93" s="50" t="inlineStr">
        <is>
          <t>0.25.0, 0.25.1, 0.25.2, 0.25.3</t>
        </is>
      </c>
      <c r="D93" s="50" t="n">
        <v>4</v>
      </c>
      <c r="E93" s="50" t="inlineStr">
        <is>
          <t>AttributeError</t>
        </is>
      </c>
      <c r="F93" s="50" t="inlineStr">
        <is>
          <t>AttributeError: 'QuantumCircuit' object has no attribute 'prepare_state'</t>
        </is>
      </c>
      <c r="G93" s="50" t="inlineStr">
        <is>
          <t>The LLM replaced initialize() with QuantumCircuit.prepare_state(), which does not exist yet in Qiskit 0.25 (Terra 0.17), so the script crashes with AttributeError before the gate is built.</t>
        </is>
      </c>
      <c r="H93" s="50" t="n">
        <v>2</v>
      </c>
    </row>
    <row r="94">
      <c r="A94" s="53" t="inlineStr">
        <is>
          <t>ERROR</t>
        </is>
      </c>
      <c r="B94" s="50" t="inlineStr">
        <is>
          <t>issue_174</t>
        </is>
      </c>
      <c r="C94" s="50" t="inlineStr">
        <is>
          <t>0.25.0, 0.25.1, 0.25.2, 0.25.3</t>
        </is>
      </c>
      <c r="D94" s="50" t="n">
        <v>4</v>
      </c>
      <c r="E94" s="50" t="inlineStr">
        <is>
          <t>QasmError</t>
        </is>
      </c>
      <c r="F94" s="50" t="inlineStr">
        <is>
          <t>qiskit.qasm.exceptions.QasmError: 'Unable to match any token rule, got --&gt;#&lt;-- Check your OPENQASM source and any include statements.'</t>
        </is>
      </c>
      <c r="G94" s="50" t="inlineStr">
        <is>
          <t>The LLM's QASM change (if (c==1) instead of if (c[0]==1)) is the same as the reference, but it put its '# FIX:' comment inside the OpenQASM string, where '#' is not valid syntax, so the QASM parser rejects the program. With that one line removed the fix passes.</t>
        </is>
      </c>
      <c r="H94" s="50" t="n">
        <v>2</v>
      </c>
    </row>
    <row r="95">
      <c r="A95" s="53" t="inlineStr">
        <is>
          <t>ERROR</t>
        </is>
      </c>
      <c r="B95" s="50" t="inlineStr">
        <is>
          <t>issue_174</t>
        </is>
      </c>
      <c r="C95" s="50" t="inlineStr">
        <is>
          <t>0.45.0, 0.45.1, 0.45.2, 0.45.3, 0.46.0, 0.46.1, 0.46.2, 0.46.3</t>
        </is>
      </c>
      <c r="D95" s="50" t="n">
        <v>8</v>
      </c>
      <c r="E95" s="50" t="inlineStr">
        <is>
          <t>QASM2ParseError</t>
        </is>
      </c>
      <c r="F95" s="50" t="inlineStr">
        <is>
          <t>qiskit.qasm2.exceptions.QASM2ParseError: "&lt;input&gt;:10,0: encountered '#', which doesn't match any valid tokens"</t>
        </is>
      </c>
      <c r="G95" s="50" t="inlineStr">
        <is>
          <t>The LLM's QASM change (if (c==1) instead of if (c[0]==1)) is the same as the reference, but it put its '# FIX:' comment inside the OpenQASM string, where '#' is not valid syntax, so the QASM parser rejects the program. With that one line removed the fix passes.</t>
        </is>
      </c>
      <c r="H95" s="50" t="n">
        <v>2</v>
      </c>
    </row>
    <row r="96">
      <c r="A96" s="53" t="inlineStr">
        <is>
          <t>ERROR</t>
        </is>
      </c>
      <c r="B96" s="50" t="inlineStr">
        <is>
          <t>issue_233</t>
        </is>
      </c>
      <c r="C96" s="50" t="inlineStr">
        <is>
          <t>0.25.0, 0.25.1, 0.25.2, 0.25.3, 0.45.0, 0.45.1, 0.45.2, 0.45.3, 0.46.0, 0.46.1, 0.46.2, 0.46.3, 1.0.0, 1.0.1, 1.0.2, 1.1.0, 1.1.1, 1.1.2, 1.2.0, 1.2.1, 1.2.2, 1.2.4, 2.0.0, 2.2.0, 2.3.0, 2.4.0, 2.5.0</t>
        </is>
      </c>
      <c r="D96" s="50" t="n">
        <v>27</v>
      </c>
      <c r="E96" s="50" t="inlineStr">
        <is>
          <t>TypeError</t>
        </is>
      </c>
      <c r="F96" s="50" t="inlineStr">
        <is>
          <t>TypeError: 'int' object is not callable</t>
        </is>
      </c>
      <c r="G96" s="50" t="inlineStr">
        <is>
          <t>The LLM replaced only the second rot.num_parameters_settable() call (with len(rot.parameters)) and left the first one; num_parameters_settable is a property that returns an int, so calling it raises TypeError before anything is printed.</t>
        </is>
      </c>
      <c r="H96" s="50" t="n">
        <v>2</v>
      </c>
    </row>
    <row r="97">
      <c r="A97" s="53" t="inlineStr">
        <is>
          <t>ERROR</t>
        </is>
      </c>
      <c r="B97" s="50" t="inlineStr">
        <is>
          <t>issue_315</t>
        </is>
      </c>
      <c r="C97" s="50" t="inlineStr">
        <is>
          <t>0.45.0, 0.45.1, 0.45.2, 0.45.3</t>
        </is>
      </c>
      <c r="D97" s="50" t="n">
        <v>4</v>
      </c>
      <c r="E97" s="50" t="inlineStr">
        <is>
          <t>ModuleNotFoundError</t>
        </is>
      </c>
      <c r="F97" s="50" t="inlineStr">
        <is>
          <t>ModuleNotFoundError: No module named 'qiskit.providers.basic_provider'</t>
        </is>
      </c>
      <c r="G97" s="50" t="inlineStr">
        <is>
          <t>The LLM kept the BasicProvider import, and qiskit.providers.basic_provider does not exist before Qiskit 0.46, so the script crashes on import (it also deleted the parallel options the user wanted instead of switching to AerSimulator).</t>
        </is>
      </c>
      <c r="H97" s="50" t="n">
        <v>2</v>
      </c>
    </row>
    <row r="98">
      <c r="A98" s="53" t="inlineStr">
        <is>
          <t>ERROR</t>
        </is>
      </c>
      <c r="B98" s="50" t="inlineStr">
        <is>
          <t>issue_315</t>
        </is>
      </c>
      <c r="C98" s="50" t="inlineStr">
        <is>
          <t>0.46.0, 0.46.1, 0.46.2, 0.46.3, 1.0.0, 1.0.1, 1.0.2, 1.1.0, 1.1.1, 1.1.2, 1.2.0, 1.2.1, 1.2.2, 1.2.4, 2.0.0, 2.2.0, 2.3.0, 2.4.0, 2.5.0</t>
        </is>
      </c>
      <c r="D98" s="50" t="n">
        <v>19</v>
      </c>
      <c r="E98" s="50" t="inlineStr">
        <is>
          <t>AttributeError</t>
        </is>
      </c>
      <c r="F98" s="50" t="inlineStr">
        <is>
          <t>AttributeError: Option max_parallel_threads is not defined</t>
        </is>
      </c>
      <c r="G98" s="50"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H98" s="50" t="n">
        <v>2</v>
      </c>
    </row>
  </sheetData>
  <conditionalFormatting sqref="B50:B69">
    <cfRule type="cellIs" priority="1" operator="equal" dxfId="2">
      <formula>"YES"</formula>
    </cfRule>
    <cfRule type="cellIs" priority="2" operator="equal" dxfId="3">
      <formula>"NO"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14" customWidth="1" style="35" min="1" max="1"/>
    <col width="18" customWidth="1" style="35" min="2" max="2"/>
    <col width="11" customWidth="1" style="35" min="3" max="3"/>
    <col width="45" customWidth="1" style="35" min="4" max="4"/>
    <col width="50" customWidth="1" style="35" min="5" max="5"/>
    <col width="55" customWidth="1" style="35" min="6" max="6"/>
    <col width="50" customWidth="1" style="35" min="7" max="7"/>
    <col width="14" customWidth="1" style="35" min="8" max="8"/>
    <col width="12" customWidth="1" style="35" min="9" max="9"/>
  </cols>
  <sheetData>
    <row r="1" ht="17.4" customHeight="1" s="35">
      <c r="A1" s="6" t="inlineStr">
        <is>
          <t>Test Review: does the test ask for more than the question / buggy code?</t>
        </is>
      </c>
    </row>
    <row r="2" ht="55" customHeight="1" s="35">
      <c r="A2" s="36" t="inlineStr">
        <is>
          <t>Reviewed against original_question.txt, buggy.py and fixed.py for each case. All 10 tests target the right bug; only the 5 below check more than the question asks. On 1 Oct 2026 the team pushed updated tests for issue_021_se (test-new.py), issue_058_se and issue_061 (test_new.py); results now use those. The other 5 (issue_009, issue_018_se, issue_032_se, issue_036, issue_072) check what the question asks. Batch 2 (issue_155 to issue_315): all 10 tests also target the right bug. issue_189 is over-specific; issue_174, issue_233, issue_295 and issue_315 check extra but fair things (rows 10-14). The other 5 (issue_155, issue_157, issue_225, issue_261, issue_280) check what the question asks.</t>
        </is>
      </c>
    </row>
    <row r="3"/>
    <row r="4" ht="27.6" customHeight="1" s="35">
      <c r="A4" s="20" t="inlineStr">
        <is>
          <t>Case</t>
        </is>
      </c>
      <c r="B4" s="20" t="inlineStr">
        <is>
          <t>Verdict</t>
        </is>
      </c>
      <c r="C4" s="20" t="inlineStr">
        <is>
          <t>Asks too much?</t>
        </is>
      </c>
      <c r="D4" s="20" t="inlineStr">
        <is>
          <t>What the question / buggy code asks</t>
        </is>
      </c>
      <c r="E4" s="20" t="inlineStr">
        <is>
          <t>What the test checks</t>
        </is>
      </c>
      <c r="F4" s="20" t="inlineStr">
        <is>
          <t>Where the test goes beyond the question</t>
        </is>
      </c>
      <c r="G4" s="20" t="inlineStr">
        <is>
          <t>Effect on the LLM result</t>
        </is>
      </c>
      <c r="H4" s="20" t="inlineStr">
        <is>
          <t>LLM passed (versions)</t>
        </is>
      </c>
      <c r="I4" s="20" t="inlineStr">
        <is>
          <t>LLM outcome</t>
        </is>
      </c>
    </row>
    <row r="5" ht="69" customHeight="1" s="35">
      <c r="A5" s="21" t="inlineStr">
        <is>
          <t>issue_061</t>
        </is>
      </c>
      <c r="B5" s="26" t="inlineStr">
        <is>
          <t>Over-specific in old test.py; fixed in test_new.py</t>
        </is>
      </c>
      <c r="C5" s="27" t="inlineStr">
        <is>
          <t>Old: Yes / New: No</t>
        </is>
      </c>
      <c r="D5" s="24" t="inlineStr">
        <is>
          <t>Replace the deprecated qbit.register / qbit.index with a non-deprecated API so the DeprecationWarning goes away. The buggy code prints the register first, then the index.</t>
        </is>
      </c>
      <c r="E5" s="24" t="inlineStr">
        <is>
          <t>OLD test.py: patched print() and required exactly [(0,), ((qr, 0),), (0,), ((qr, 0),)]. NEW test_new.py (bit_location_oracle): accepts register + register-local index, optionally with the circuit index, in any order or print format; reruns the script with nonzero bits and an extra leading register so hard-coded zeros, wrong registers and circuit/local index mix-ups still fail; still requires no 'Back-references' warning and the original h + cx circuit.</t>
        </is>
      </c>
      <c r="F5" s="24" t="inlineStr">
        <is>
          <t>The old test hard-coded the reference fix's exact print order and values, rejecting any other valid non-deprecated fix. The new test removes that restriction while making the semantic checks stronger, so it no longer asks for more than the question.</t>
        </is>
      </c>
      <c r="G5" s="24" t="inlineStr">
        <is>
          <t>Old test.py: FAIL 0/15, only because of the print format. New test_new.py: PASS 15/15, confirming the LLM's find_bit(...).registers[0] fix was correct.</t>
        </is>
      </c>
      <c r="H5" s="25">
        <f>COUNTIF(Summary!$B$9:$AB$9,"PASS")&amp;" / "&amp;(COUNTIF(Summary!$B$9:$AB$9,"PASS")+COUNTIF(Summary!$B$9:$AB$9,"FAIL")+COUNTIF(Summary!$B$9:$AB$9,"ERROR"))</f>
        <v/>
      </c>
      <c r="I5" s="25">
        <f>IF(COUNTIF(Summary!$B$9:$AB$9,"PASS")=(COUNTIF(Summary!$B$9:$AB$9,"PASS")+COUNTIF(Summary!$B$9:$AB$9,"FAIL")+COUNTIF(Summary!$B$9:$AB$9,"ERROR")),"PASS",IF(COUNTIF(Summary!$B$9:$AB$9,"ERROR")&gt;0,"ERROR","FAIL"))</f>
        <v/>
      </c>
    </row>
    <row r="6" ht="82.8" customHeight="1" s="35">
      <c r="A6" s="21" t="inlineStr">
        <is>
          <t>issue_096</t>
        </is>
      </c>
      <c r="B6" s="22" t="inlineStr">
        <is>
          <t>Over-specific</t>
        </is>
      </c>
      <c r="C6" s="23" t="inlineStr">
        <is>
          <t>Yes</t>
        </is>
      </c>
      <c r="D6" s="24" t="inlineStr">
        <is>
          <t>The question: settings.conf and ipython_kernel_config.py are missing; how do I fix this? The answer: create settings.conf yourself and try 'ipython profile create'. buggy.py only opens ~/.qiskit/settings.conf and never mentions IPython.</t>
        </is>
      </c>
      <c r="E6" s="24" t="inlineStr">
        <is>
          <t>Three scenarios (clean home, existing settings, existing profile folder). Requires settings.conf content to be exactly '[default]\n', ns['contents'] to equal that, os.system to be called with exactly 'ipython profile create', and ipython_kernel_config.py to exist afterwards.</t>
        </is>
      </c>
      <c r="F6" s="24" t="inlineStr">
        <is>
          <t>The exact file content '[default]\n' is never specified (an empty file is also valid). The exact shell command via os.system is never specified (subprocess.run or the IPython API would do the same job and are rejected). IPython profile creation is not in buggy.py at all, so the fix has to add behaviour the code never had.</t>
        </is>
      </c>
      <c r="G6" s="24" t="inlineStr">
        <is>
          <t>The LLM created an empty settings.conf and did not handle IPython, so it fails on all 27 versions. The empty file would pass a fair test for the Qiskit half; the missing IPython step would still fail a fair test, since the question does ask for it.</t>
        </is>
      </c>
      <c r="H6" s="25">
        <f>COUNTIF(Summary!$B$11:$AB$11,"PASS")&amp;" / "&amp;(COUNTIF(Summary!$B$11:$AB$11,"PASS")+COUNTIF(Summary!$B$11:$AB$11,"FAIL")+COUNTIF(Summary!$B$11:$AB$11,"ERROR"))</f>
        <v/>
      </c>
      <c r="I6" s="25">
        <f>IF(COUNTIF(Summary!$B$11:$AB$11,"PASS")=(COUNTIF(Summary!$B$11:$AB$11,"PASS")+COUNTIF(Summary!$B$11:$AB$11,"FAIL")+COUNTIF(Summary!$B$11:$AB$11,"ERROR")),"PASS",IF(COUNTIF(Summary!$B$11:$AB$11,"ERROR")&gt;0,"ERROR","FAIL"))</f>
        <v/>
      </c>
    </row>
    <row r="7" ht="55.2" customHeight="1" s="35">
      <c r="A7" s="21" t="inlineStr">
        <is>
          <t>issue_021_se</t>
        </is>
      </c>
      <c r="B7" s="26" t="inlineStr">
        <is>
          <t>Extra but reasonable</t>
        </is>
      </c>
      <c r="C7" s="27" t="inlineStr">
        <is>
          <t>No</t>
        </is>
      </c>
      <c r="D7" s="24" t="inlineStr">
        <is>
          <t>The custom CNOTNOT gate fails to execute on the simulator ('invalid instructions'); make the circuit run.</t>
        </is>
      </c>
      <c r="E7" s="24" t="inlineStr">
        <is>
          <t>The full 8-amplitude state must equal the GHZ state (|000&gt;+|111&gt;)/sqrt(2), and the cnotnot() gate matrix is checked column by column. NEW test-new.py (simulation_oracle) also watches the real Aer run: every backend execution must succeed and every simulated or exported state (statevector / v / result / job) must match.</t>
        </is>
      </c>
      <c r="F7" s="24" t="inlineStr">
        <is>
          <t>It checks the full state vector and the gate matrix instead of the printed final_state = [result[0], result[1]] slice. That is consistent with what the code actually computes (the slice is not a real one-qubit state), so it is fair.</t>
        </is>
      </c>
      <c r="G7" s="24" t="inlineStr">
        <is>
          <t>Same on old and new tests: ERROR 0/12. The LLM's single decompose() leaves disentangler_dg (0.25.x) or state_preparation (0.45/0.46) in the circuit, so the simulator rejects it before any check runs.</t>
        </is>
      </c>
      <c r="H7" s="25">
        <f>COUNTIF(Summary!$B$4:$AB$4,"PASS")&amp;" / "&amp;(COUNTIF(Summary!$B$4:$AB$4,"PASS")+COUNTIF(Summary!$B$4:$AB$4,"FAIL")+COUNTIF(Summary!$B$4:$AB$4,"ERROR"))</f>
        <v/>
      </c>
      <c r="I7" s="25">
        <f>IF(COUNTIF(Summary!$B$4:$AB$4,"PASS")=(COUNTIF(Summary!$B$4:$AB$4,"PASS")+COUNTIF(Summary!$B$4:$AB$4,"FAIL")+COUNTIF(Summary!$B$4:$AB$4,"ERROR")),"PASS",IF(COUNTIF(Summary!$B$4:$AB$4,"ERROR")&gt;0,"ERROR","FAIL"))</f>
        <v/>
      </c>
    </row>
    <row r="8" ht="41.4" customHeight="1" s="35">
      <c r="A8" s="21" t="inlineStr">
        <is>
          <t>issue_034</t>
        </is>
      </c>
      <c r="B8" s="26" t="inlineStr">
        <is>
          <t>Extra but reasonable</t>
        </is>
      </c>
      <c r="C8" s="27" t="inlineStr">
        <is>
          <t>No</t>
        </is>
      </c>
      <c r="D8" s="24" t="inlineStr">
        <is>
          <t>'from qiskit import Aer' fails (Aer moved to the qiskit_aer package); fix the import.</t>
        </is>
      </c>
      <c r="E8" s="24" t="inlineStr">
        <is>
          <t>Checks the H + measure circuit, the 50/50 probabilities, and actually runs backend.run(qc, shots=2048) expecting roughly 50/50 counts.</t>
        </is>
      </c>
      <c r="F8" s="24" t="inlineStr">
        <is>
          <t>The question is only about the import error, but running the backend proves the imported Aer works. A reasonable extension.</t>
        </is>
      </c>
      <c r="G8" s="24" t="inlineStr">
        <is>
          <t>None. The LLM passed on all 15 versions.</t>
        </is>
      </c>
      <c r="H8" s="25">
        <f>COUNTIF(Summary!$B$6:$AB$6,"PASS")&amp;" / "&amp;(COUNTIF(Summary!$B$6:$AB$6,"PASS")+COUNTIF(Summary!$B$6:$AB$6,"FAIL")+COUNTIF(Summary!$B$6:$AB$6,"ERROR"))</f>
        <v/>
      </c>
      <c r="I8" s="25">
        <f>IF(COUNTIF(Summary!$B$6:$AB$6,"PASS")=(COUNTIF(Summary!$B$6:$AB$6,"PASS")+COUNTIF(Summary!$B$6:$AB$6,"FAIL")+COUNTIF(Summary!$B$6:$AB$6,"ERROR")),"PASS",IF(COUNTIF(Summary!$B$6:$AB$6,"ERROR")&gt;0,"ERROR","FAIL"))</f>
        <v/>
      </c>
    </row>
    <row r="9" ht="41.4" customHeight="1" s="35">
      <c r="A9" s="21" t="inlineStr">
        <is>
          <t>issue_058_se</t>
        </is>
      </c>
      <c r="B9" s="26" t="inlineStr">
        <is>
          <t>Extra but reasonable</t>
        </is>
      </c>
      <c r="C9" s="27" t="inlineStr">
        <is>
          <t>No</t>
        </is>
      </c>
      <c r="D9" s="24" t="inlineStr">
        <is>
          <t>The Grover diffuser gate fails with 'Circuit contains invalid instructions' on the statevector simulator (missing transpile).</t>
        </is>
      </c>
      <c r="E9" s="24" t="inlineStr">
        <is>
          <t>The simulated state must equal [-0.75, 0.25 x 7] (up to global phase), and diffuser(n) must equal 2|s&gt;&lt;s| - I for n = 2, 3 and 4. NEW test_new.py (simulation_oracle) also requires a successful real Aer run whose result matches.</t>
        </is>
      </c>
      <c r="F9" s="24" t="inlineStr">
        <is>
          <t>The original code only uses diffuser(3); the test also checks n = 2 and 4. Still fair, because diffuser(n) is written for any n.</t>
        </is>
      </c>
      <c r="G9" s="24" t="inlineStr">
        <is>
          <t>None. The LLM passed 12/12 on both the old and the new test.</t>
        </is>
      </c>
      <c r="H9" s="25">
        <f>COUNTIF(Summary!$B$8:$AB$8,"PASS")&amp;" / "&amp;(COUNTIF(Summary!$B$8:$AB$8,"PASS")+COUNTIF(Summary!$B$8:$AB$8,"FAIL")+COUNTIF(Summary!$B$8:$AB$8,"ERROR"))</f>
        <v/>
      </c>
      <c r="I9" s="25">
        <f>IF(COUNTIF(Summary!$B$8:$AB$8,"PASS")=(COUNTIF(Summary!$B$8:$AB$8,"PASS")+COUNTIF(Summary!$B$8:$AB$8,"FAIL")+COUNTIF(Summary!$B$8:$AB$8,"ERROR")),"PASS",IF(COUNTIF(Summary!$B$8:$AB$8,"ERROR")&gt;0,"ERROR","FAIL"))</f>
        <v/>
      </c>
    </row>
    <row r="10" ht="82.8" customHeight="1" s="35">
      <c r="A10" s="21" t="inlineStr">
        <is>
          <t>issue_189</t>
        </is>
      </c>
      <c r="B10" s="22" t="inlineStr">
        <is>
          <t>Over-specific</t>
        </is>
      </c>
      <c r="C10" s="23" t="inlineStr">
        <is>
          <t>Yes</t>
        </is>
      </c>
      <c r="D10" s="24" t="inlineStr">
        <is>
          <t>The loop appends a 7-qubit controlled Grover power to a qubit list whose length grows every iteration (7, then 8, then 9 qubits); make each append use one control qubit plus the six target qubits. The question never says which control qubit should get which power.</t>
        </is>
      </c>
      <c r="E10" s="24" t="inlineStr">
        <is>
          <t>qpe must have 9 qubits and 3 instructions; instruction i must act on exactly [i, 3, 4, 5, 6, 7, 8] and equal the controlled Grover operator raised to 2^(2-i).</t>
        </is>
      </c>
      <c r="F10" s="24" t="inlineStr">
        <is>
          <t>It hard-codes the Stack Overflow answer's control order (control i gets power 2^(2-i)). Keeping the asker's own order (first qubit n-1-i, so control k gets 2^k, the usual QPE convention) fixes the qubit-count error just as well, but the test rejects it.</t>
        </is>
      </c>
      <c r="G10" s="24" t="inlineStr">
        <is>
          <t>This is the only reason the LLM fails. Its fix uses [n-1-i, 3, ..., 8] and every gate matrix is correct (checked separately), but the qubit-list check fails first on all 23 versions. A test that accepted either control order would pass it.</t>
        </is>
      </c>
      <c r="H10" s="25">
        <f>COUNTIF(Summary!$B$15:$AB$15,"PASS")&amp;" / "&amp;(COUNTIF(Summary!$B$15:$AB$15,"PASS")+COUNTIF(Summary!$B$15:$AB$15,"FAIL")+COUNTIF(Summary!$B$15:$AB$15,"ERROR"))</f>
        <v/>
      </c>
      <c r="I10" s="25">
        <f>IF(COUNTIF(Summary!$B$15:$AB$15,"PASS")=(COUNTIF(Summary!$B$15:$AB$15,"PASS")+COUNTIF(Summary!$B$15:$AB$15,"FAIL")+COUNTIF(Summary!$B$15:$AB$15,"ERROR")),"PASS",IF(COUNTIF(Summary!$B$15:$AB$15,"ERROR")&gt;0,"ERROR","FAIL"))</f>
        <v/>
      </c>
    </row>
    <row r="11" ht="55.2" customHeight="1" s="35">
      <c r="A11" s="21" t="inlineStr">
        <is>
          <t>issue_174</t>
        </is>
      </c>
      <c r="B11" s="26" t="inlineStr">
        <is>
          <t>Extra but reasonable</t>
        </is>
      </c>
      <c r="C11" s="27" t="inlineStr">
        <is>
          <t>No</t>
        </is>
      </c>
      <c r="D11" s="24" t="inlineStr">
        <is>
          <t>OpenQASM 2.0 rejects if (c[0]==1); how do you condition a gate on the classical register (and run several gates under one if)?</t>
        </is>
      </c>
      <c r="E11" s="24" t="inlineStr">
        <is>
          <t>Parses the QASM and requires 6 CX gates on the original qubit pairs, each conditioned on (c, 1), plus the right counts. It also reruns with an extra X on q0 so the condition is false and the output must be '0'.</t>
        </is>
      </c>
      <c r="F11" s="24" t="inlineStr">
        <is>
          <t>The condition-false run goes beyond the original program, but it only confirms the conditions really work. Fair.</t>
        </is>
      </c>
      <c r="G11" s="24" t="inlineStr">
        <is>
          <t>None. The LLM's QASM change matches the reference, but it put its '# FIX:' comment inside the QASM string, which breaks parsing on all 12 versions. Without that line the fix passes.</t>
        </is>
      </c>
      <c r="H11" s="25">
        <f>COUNTIF(Summary!$B$14:$AB$14,"PASS")&amp;" / "&amp;(COUNTIF(Summary!$B$14:$AB$14,"PASS")+COUNTIF(Summary!$B$14:$AB$14,"FAIL")+COUNTIF(Summary!$B$14:$AB$14,"ERROR"))</f>
        <v/>
      </c>
      <c r="I11" s="25">
        <f>IF(COUNTIF(Summary!$B$14:$AB$14,"PASS")=(COUNTIF(Summary!$B$14:$AB$14,"PASS")+COUNTIF(Summary!$B$14:$AB$14,"FAIL")+COUNTIF(Summary!$B$14:$AB$14,"ERROR")),"PASS",IF(COUNTIF(Summary!$B$14:$AB$14,"ERROR")&gt;0,"ERROR","FAIL"))</f>
        <v/>
      </c>
    </row>
    <row r="12" ht="55.2" customHeight="1" s="35">
      <c r="A12" s="21" t="inlineStr">
        <is>
          <t>issue_233</t>
        </is>
      </c>
      <c r="B12" s="26" t="inlineStr">
        <is>
          <t>Extra but reasonable</t>
        </is>
      </c>
      <c r="C12" s="27" t="inlineStr">
        <is>
          <t>No</t>
        </is>
      </c>
      <c r="D12" s="24" t="inlineStr">
        <is>
          <t>num_parameters_settable() does not report the real parameter count after composing two TwoLocal circuits; print the actual number of free parameters (2, then 4).</t>
        </is>
      </c>
      <c r="E12" s="24" t="inlineStr">
        <is>
          <t>The printed values must be exactly 2 then 4, the composed circuit must have 4 parameters, and binding each parameter to pi in turn must give the expected 2-qubit state.</t>
        </is>
      </c>
      <c r="F12" s="24" t="inlineStr">
        <is>
          <t>The binding check goes beyond the question but only confirms the 4 parameters are real and independent. Fair.</t>
        </is>
      </c>
      <c r="G12" s="24" t="inlineStr">
        <is>
          <t>None. The LLM left the first num_parameters_settable() call in place, which raises TypeError on all 27 versions before any check runs.</t>
        </is>
      </c>
      <c r="H12" s="25">
        <f>COUNTIF(Summary!$B$17:$AB$17,"PASS")&amp;" / "&amp;(COUNTIF(Summary!$B$17:$AB$17,"PASS")+COUNTIF(Summary!$B$17:$AB$17,"FAIL")+COUNTIF(Summary!$B$17:$AB$17,"ERROR"))</f>
        <v/>
      </c>
      <c r="I12" s="25">
        <f>IF(COUNTIF(Summary!$B$17:$AB$17,"PASS")=(COUNTIF(Summary!$B$17:$AB$17,"PASS")+COUNTIF(Summary!$B$17:$AB$17,"FAIL")+COUNTIF(Summary!$B$17:$AB$17,"ERROR")),"PASS",IF(COUNTIF(Summary!$B$17:$AB$17,"ERROR")&gt;0,"ERROR","FAIL"))</f>
        <v/>
      </c>
    </row>
    <row r="13" ht="55.2" customHeight="1" s="35">
      <c r="A13" s="21" t="inlineStr">
        <is>
          <t>issue_295</t>
        </is>
      </c>
      <c r="B13" s="26" t="inlineStr">
        <is>
          <t>Extra but reasonable</t>
        </is>
      </c>
      <c r="C13" s="27" t="inlineStr">
        <is>
          <t>No</t>
        </is>
      </c>
      <c r="D13" s="24" t="inlineStr">
        <is>
          <t>circuit += oracle no longer works in new Qiskit; append the oracle so Deutsch's algorithm runs.</t>
        </is>
      </c>
      <c r="E13" s="24" t="inlineStr">
        <is>
          <t>Runs deutsch_circuit with all four one-bit oracles (the two in the code plus constant-1 and balanced-NOT) and checks each gives the right answer with one measurement on qubit 0.</t>
        </is>
      </c>
      <c r="F13" s="24" t="inlineStr">
        <is>
          <t>Only two oracles appear in the code; testing four checks that deutsch_circuit works for any oracle. Fair.</t>
        </is>
      </c>
      <c r="G13" s="24" t="inlineStr">
        <is>
          <t>None. The LLM passed on all 8 versions.</t>
        </is>
      </c>
      <c r="H13" s="25">
        <f>COUNTIF(Summary!$B$20:$AB$20,"PASS")&amp;" / "&amp;(COUNTIF(Summary!$B$20:$AB$20,"PASS")+COUNTIF(Summary!$B$20:$AB$20,"FAIL")+COUNTIF(Summary!$B$20:$AB$20,"ERROR"))</f>
        <v/>
      </c>
      <c r="I13" s="25">
        <f>IF(COUNTIF(Summary!$B$20:$AB$20,"PASS")=(COUNTIF(Summary!$B$20:$AB$20,"PASS")+COUNTIF(Summary!$B$20:$AB$20,"FAIL")+COUNTIF(Summary!$B$20:$AB$20,"ERROR")),"PASS",IF(COUNTIF(Summary!$B$20:$AB$20,"ERROR")&gt;0,"ERROR","FAIL"))</f>
        <v/>
      </c>
    </row>
    <row r="14" ht="55.2" customHeight="1" s="35">
      <c r="A14" s="21" t="inlineStr">
        <is>
          <t>issue_315</t>
        </is>
      </c>
      <c r="B14" s="26" t="inlineStr">
        <is>
          <t>Extra but reasonable</t>
        </is>
      </c>
      <c r="C14" s="27" t="inlineStr">
        <is>
          <t>No</t>
        </is>
      </c>
      <c r="D14" s="24" t="inlineStr">
        <is>
          <t>BasicSimulator rejects max_parallel_threads and the other parallel options; how do I set them in Qiskit 1.0?</t>
        </is>
      </c>
      <c r="E14" s="24" t="inlineStr">
        <is>
          <t>The backend's options must actually hold the four requested values (max_parallel_threads=0, max_parallel_experiments=0, max_parallel_shots=42, statevector_parallel_threshold=16), the run must succeed and the Bell counts must be about 50/50.</t>
        </is>
      </c>
      <c r="F14" s="24" t="inlineStr">
        <is>
          <t>Checking the options is exactly what the user asked for; the Bell-sampling checks only confirm the run works. Fair.</t>
        </is>
      </c>
      <c r="G14" s="24" t="inlineStr">
        <is>
          <t>None. The LLM deleted the options instead of switching to AerSimulator, so it would fail any test of what the user asked (ERROR on all 23 versions).</t>
        </is>
      </c>
      <c r="H14" s="25">
        <f>COUNTIF(Summary!$B$21:$AB$21,"PASS")&amp;" / "&amp;(COUNTIF(Summary!$B$21:$AB$21,"PASS")+COUNTIF(Summary!$B$21:$AB$21,"FAIL")+COUNTIF(Summary!$B$21:$AB$21,"ERROR"))</f>
        <v/>
      </c>
      <c r="I14" s="25">
        <f>IF(COUNTIF(Summary!$B$21:$AB$21,"PASS")=(COUNTIF(Summary!$B$21:$AB$21,"PASS")+COUNTIF(Summary!$B$21:$AB$21,"FAIL")+COUNTIF(Summary!$B$21:$AB$21,"ERROR")),"PASS",IF(COUNTIF(Summary!$B$21:$AB$21,"ERROR")&gt;0,"ERROR","FAIL"))</f>
        <v/>
      </c>
    </row>
    <row r="16">
      <c r="A16" s="28" t="inlineStr">
        <is>
          <t>Takeaway</t>
        </is>
      </c>
    </row>
    <row r="17" ht="75" customHeight="1" s="35">
      <c r="A17" s="34" t="inlineStr">
        <is>
          <t>issue_061's old test was over-specific; the team's updated test_new.py fixes that and the LLM fix now passes 15/15. issue_096 still asks for more than the question (exact '[default]' content and exact os.system command), but the LLM fix would fail a fair test too because it skips the IPython step. The extra checks in 021_se, 034 and 058_se are fair and did not change any result. Batch 2: issue_189 is over-specific. It only accepts the Stack Overflow answer's control order, and that is the only reason the LLM fix fails. The extra checks in issue_174, issue_233, issue_295 and issue_315 are fair; the LLM failures in 174, 233 and 315 are its own mistakes.</t>
        </is>
      </c>
    </row>
  </sheetData>
  <mergeCells count="2">
    <mergeCell ref="A17:I1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2026-09-28T22:18:15Z</dcterms:created>
  <dcterms:modified xsi:type="dcterms:W3CDTF">2026-10-01T20:14:19Z</dcterms:modified>
  <cp:lastModifiedBy>Saumya Brahmbhatt</cp:lastModifiedBy>
</cp:coreProperties>
</file>