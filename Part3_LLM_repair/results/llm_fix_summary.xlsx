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516" yWindow="3360" windowWidth="17280" windowHeight="8880" tabRatio="600" firstSheet="0" activeTab="0" autoFilterDateGrouping="1"/>
  </bookViews>
  <sheets>
    <sheet name="Summary" sheetId="1" state="visible" r:id="rId1"/>
    <sheet name="Stats &amp; Notes" sheetId="2" state="visible" r:id="rId2"/>
    <sheet name="Test Review"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FFFFFF"/>
      <sz val="10"/>
    </font>
    <font>
      <name val="Arial"/>
      <sz val="10"/>
    </font>
    <font>
      <name val="Arial"/>
      <b val="1"/>
      <sz val="14"/>
    </font>
    <font>
      <name val="Arial"/>
      <i val="1"/>
      <sz val="9"/>
    </font>
    <font>
      <name val="Arial"/>
      <b val="1"/>
      <sz val="12"/>
    </font>
    <font>
      <name val="Arial"/>
      <b val="1"/>
      <sz val="10"/>
    </font>
    <font>
      <name val="Arial"/>
      <i val="1"/>
      <sz val="10"/>
    </font>
    <font>
      <name val="Arial"/>
      <b val="1"/>
      <sz val="11"/>
    </font>
    <font>
      <name val="Arial"/>
      <sz val="11"/>
    </font>
    <font>
      <name val="Arial"/>
      <b val="1"/>
      <color rgb="00FFFFFF"/>
      <sz val="10"/>
    </font>
    <font>
      <b val="1"/>
      <color rgb="00FFFFFF"/>
    </font>
    <font>
      <b val="1"/>
    </font>
  </fonts>
  <fills count="15">
    <fill>
      <patternFill/>
    </fill>
    <fill>
      <patternFill patternType="gray125"/>
    </fill>
    <fill>
      <patternFill patternType="solid">
        <fgColor rgb="FF1F4E78"/>
      </patternFill>
    </fill>
    <fill>
      <patternFill patternType="solid">
        <fgColor rgb="FFEDEDED"/>
      </patternFill>
    </fill>
    <fill>
      <patternFill patternType="solid">
        <fgColor rgb="FFFFEB9C"/>
      </patternFill>
    </fill>
    <fill>
      <patternFill patternType="solid">
        <fgColor rgb="FFFFC7CE"/>
      </patternFill>
    </fill>
    <fill>
      <patternFill patternType="solid">
        <fgColor rgb="FFC6EFCE"/>
      </patternFill>
    </fill>
    <fill>
      <patternFill patternType="solid">
        <fgColor rgb="FFD9E1F2"/>
      </patternFill>
    </fill>
    <fill>
      <patternFill patternType="solid">
        <fgColor rgb="FFFFC7CE"/>
      </patternFill>
    </fill>
    <fill>
      <patternFill patternType="solid">
        <fgColor rgb="FFFFEB9C"/>
      </patternFill>
    </fill>
    <fill>
      <patternFill patternType="solid">
        <fgColor rgb="001F4E78"/>
      </patternFill>
    </fill>
    <fill>
      <patternFill patternType="solid">
        <fgColor rgb="00EDEDED"/>
      </patternFill>
    </fill>
    <fill>
      <patternFill patternType="solid">
        <fgColor rgb="00FFEB9C"/>
      </patternFill>
    </fill>
    <fill>
      <patternFill patternType="solid">
        <fgColor rgb="00FFC7CE"/>
      </patternFill>
    </fill>
    <fill>
      <patternFill patternType="solid">
        <fgColor rgb="00C6EFCE"/>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1">
    <xf numFmtId="0" fontId="0" fillId="0" borderId="0" pivotButton="0" quotePrefix="0" xfId="0"/>
    <xf numFmtId="0" fontId="1" fillId="2" borderId="0" applyAlignment="1" pivotButton="0" quotePrefix="0" xfId="0">
      <alignment vertical="center" wrapText="1"/>
    </xf>
    <xf numFmtId="0" fontId="2" fillId="0" borderId="1" pivotButton="0" quotePrefix="0" xfId="0"/>
    <xf numFmtId="0" fontId="2" fillId="3" borderId="1" applyAlignment="1" pivotButton="0" quotePrefix="0" xfId="0">
      <alignment horizontal="center"/>
    </xf>
    <xf numFmtId="0" fontId="2" fillId="5" borderId="1" applyAlignment="1" pivotButton="0" quotePrefix="0" xfId="0">
      <alignment horizontal="center"/>
    </xf>
    <xf numFmtId="0" fontId="2" fillId="6" borderId="1" applyAlignment="1" pivotButton="0" quotePrefix="0" xfId="0">
      <alignment horizontal="center"/>
    </xf>
    <xf numFmtId="0" fontId="3" fillId="0" borderId="0" pivotButton="0" quotePrefix="0" xfId="0"/>
    <xf numFmtId="0" fontId="4" fillId="0" borderId="0" pivotButton="0" quotePrefix="0" xfId="0"/>
    <xf numFmtId="0" fontId="5" fillId="0" borderId="0" pivotButton="0" quotePrefix="0" xfId="0"/>
    <xf numFmtId="0" fontId="1" fillId="2" borderId="1" applyAlignment="1" pivotButton="0" quotePrefix="0" xfId="0">
      <alignment vertical="center" wrapText="1"/>
    </xf>
    <xf numFmtId="0" fontId="2" fillId="6" borderId="1" pivotButton="0" quotePrefix="0" xfId="0"/>
    <xf numFmtId="164" fontId="2" fillId="0" borderId="1" pivotButton="0" quotePrefix="0" xfId="0"/>
    <xf numFmtId="0" fontId="2" fillId="5" borderId="1" pivotButton="0" quotePrefix="0" xfId="0"/>
    <xf numFmtId="0" fontId="2" fillId="4" borderId="1" pivotButton="0" quotePrefix="0" xfId="0"/>
    <xf numFmtId="0" fontId="6" fillId="0" borderId="1" pivotButton="0" quotePrefix="0" xfId="0"/>
    <xf numFmtId="164" fontId="6" fillId="0" borderId="1" pivotButton="0" quotePrefix="0" xfId="0"/>
    <xf numFmtId="0" fontId="2" fillId="6"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0" fontId="2" fillId="4" borderId="1" applyAlignment="1" pivotButton="0" quotePrefix="0" xfId="0">
      <alignment vertical="top" wrapText="1"/>
    </xf>
    <xf numFmtId="0" fontId="8" fillId="7" borderId="2" applyAlignment="1" pivotButton="0" quotePrefix="0" xfId="0">
      <alignment vertical="center" wrapText="1"/>
    </xf>
    <xf numFmtId="0" fontId="8" fillId="0" borderId="2" applyAlignment="1" pivotButton="0" quotePrefix="0" xfId="0">
      <alignment vertical="top" wrapText="1"/>
    </xf>
    <xf numFmtId="0" fontId="8" fillId="8" borderId="2" applyAlignment="1" pivotButton="0" quotePrefix="0" xfId="0">
      <alignment vertical="top" wrapText="1"/>
    </xf>
    <xf numFmtId="0" fontId="9" fillId="8" borderId="2" applyAlignment="1" pivotButton="0" quotePrefix="0" xfId="0">
      <alignment vertical="top" wrapText="1"/>
    </xf>
    <xf numFmtId="0" fontId="9" fillId="0" borderId="2" applyAlignment="1" pivotButton="0" quotePrefix="0" xfId="0">
      <alignment vertical="top" wrapText="1"/>
    </xf>
    <xf numFmtId="0" fontId="9" fillId="0" borderId="2" applyAlignment="1" pivotButton="0" quotePrefix="0" xfId="0">
      <alignment horizontal="center" vertical="top"/>
    </xf>
    <xf numFmtId="0" fontId="8" fillId="9" borderId="2" applyAlignment="1" pivotButton="0" quotePrefix="0" xfId="0">
      <alignment vertical="top" wrapText="1"/>
    </xf>
    <xf numFmtId="0" fontId="9" fillId="9" borderId="2" applyAlignment="1" pivotButton="0" quotePrefix="0" xfId="0">
      <alignment vertical="top" wrapText="1"/>
    </xf>
    <xf numFmtId="0" fontId="8" fillId="0" borderId="0" pivotButton="0" quotePrefix="0" xfId="0"/>
    <xf numFmtId="0" fontId="2" fillId="9" borderId="1" applyAlignment="1" pivotButton="0" quotePrefix="0" xfId="0">
      <alignment horizontal="center"/>
    </xf>
    <xf numFmtId="0" fontId="2" fillId="8" borderId="1" applyAlignment="1" pivotButton="0" quotePrefix="0" xfId="0">
      <alignment horizontal="center"/>
    </xf>
    <xf numFmtId="0" fontId="2" fillId="8" borderId="1" pivotButton="0" quotePrefix="0" xfId="0"/>
    <xf numFmtId="0" fontId="2" fillId="0" borderId="1" applyAlignment="1" pivotButton="0" quotePrefix="0" xfId="0">
      <alignment vertical="top"/>
    </xf>
    <xf numFmtId="0" fontId="2" fillId="0" borderId="1" applyAlignment="1" pivotButton="0" quotePrefix="0" xfId="0">
      <alignment horizontal="center" vertical="top"/>
    </xf>
    <xf numFmtId="0" fontId="9" fillId="0" borderId="0" applyAlignment="1" pivotButton="0" quotePrefix="0" xfId="0">
      <alignment vertical="top" wrapText="1"/>
    </xf>
    <xf numFmtId="0" fontId="0" fillId="0" borderId="0" pivotButton="0" quotePrefix="0" xfId="0"/>
    <xf numFmtId="0" fontId="7" fillId="0" borderId="0" applyAlignment="1" pivotButton="0" quotePrefix="0" xfId="0">
      <alignment vertical="top" wrapText="1"/>
    </xf>
    <xf numFmtId="0" fontId="10" fillId="10" borderId="0" applyAlignment="1" pivotButton="0" quotePrefix="0" xfId="0">
      <alignment vertical="center" wrapText="1"/>
    </xf>
    <xf numFmtId="0" fontId="2" fillId="0" borderId="3" pivotButton="0" quotePrefix="0" xfId="0"/>
    <xf numFmtId="0" fontId="2" fillId="11" borderId="3" applyAlignment="1" pivotButton="0" quotePrefix="0" xfId="0">
      <alignment horizontal="center"/>
    </xf>
    <xf numFmtId="0" fontId="2" fillId="12" borderId="3" applyAlignment="1" pivotButton="0" quotePrefix="0" xfId="0">
      <alignment horizontal="center"/>
    </xf>
    <xf numFmtId="0" fontId="2" fillId="13" borderId="3" applyAlignment="1" pivotButton="0" quotePrefix="0" xfId="0">
      <alignment horizontal="center"/>
    </xf>
    <xf numFmtId="0" fontId="2" fillId="14" borderId="3" applyAlignment="1" pivotButton="0" quotePrefix="0" xfId="0">
      <alignment horizontal="center"/>
    </xf>
    <xf numFmtId="0" fontId="10" fillId="10" borderId="3" applyAlignment="1" pivotButton="0" quotePrefix="0" xfId="0">
      <alignment vertical="center" wrapText="1"/>
    </xf>
    <xf numFmtId="0" fontId="2" fillId="14" borderId="3" pivotButton="0" quotePrefix="0" xfId="0"/>
    <xf numFmtId="164" fontId="2" fillId="0" borderId="3" pivotButton="0" quotePrefix="0" xfId="0"/>
    <xf numFmtId="0" fontId="2" fillId="13" borderId="3" pivotButton="0" quotePrefix="0" xfId="0"/>
    <xf numFmtId="0" fontId="2" fillId="12" borderId="3" pivotButton="0" quotePrefix="0" xfId="0"/>
    <xf numFmtId="0" fontId="6" fillId="0" borderId="3" pivotButton="0" quotePrefix="0" xfId="0"/>
    <xf numFmtId="164" fontId="6" fillId="0" borderId="3" pivotButton="0" quotePrefix="0" xfId="0"/>
    <xf numFmtId="0" fontId="2" fillId="0" borderId="3" applyAlignment="1" pivotButton="0" quotePrefix="0" xfId="0">
      <alignment vertical="top" wrapText="1"/>
    </xf>
    <xf numFmtId="0" fontId="2" fillId="14" borderId="3" applyAlignment="1" pivotButton="0" quotePrefix="0" xfId="0">
      <alignment vertical="top" wrapText="1"/>
    </xf>
    <xf numFmtId="0" fontId="2" fillId="13" borderId="3" applyAlignment="1" pivotButton="0" quotePrefix="0" xfId="0">
      <alignment vertical="top" wrapText="1"/>
    </xf>
    <xf numFmtId="0" fontId="2" fillId="12" borderId="3" applyAlignment="1" pivotButton="0" quotePrefix="0" xfId="0">
      <alignment vertical="top" wrapText="1"/>
    </xf>
    <xf numFmtId="0" fontId="11" fillId="10" borderId="3" applyAlignment="1" pivotButton="0" quotePrefix="0" xfId="0">
      <alignment vertical="center" wrapText="1"/>
    </xf>
    <xf numFmtId="0" fontId="0" fillId="0" borderId="3" pivotButton="0" quotePrefix="0" xfId="0"/>
    <xf numFmtId="0" fontId="0" fillId="11" borderId="3" applyAlignment="1" pivotButton="0" quotePrefix="0" xfId="0">
      <alignment horizontal="center"/>
    </xf>
    <xf numFmtId="0" fontId="0" fillId="12" borderId="3" applyAlignment="1" pivotButton="0" quotePrefix="0" xfId="0">
      <alignment horizontal="center"/>
    </xf>
    <xf numFmtId="0" fontId="0" fillId="13" borderId="3" applyAlignment="1" pivotButton="0" quotePrefix="0" xfId="0">
      <alignment horizontal="center"/>
    </xf>
    <xf numFmtId="0" fontId="0" fillId="14" borderId="3" applyAlignment="1" pivotButton="0" quotePrefix="0" xfId="0">
      <alignment horizontal="center"/>
    </xf>
    <xf numFmtId="0" fontId="12" fillId="0" borderId="0" pivotButton="0" quotePrefix="0" xfId="0"/>
    <xf numFmtId="0" fontId="0" fillId="14" borderId="3" pivotButton="0" quotePrefix="0" xfId="0"/>
    <xf numFmtId="164" fontId="0" fillId="0" borderId="3" pivotButton="0" quotePrefix="0" xfId="0"/>
    <xf numFmtId="0" fontId="0" fillId="13" borderId="3" pivotButton="0" quotePrefix="0" xfId="0"/>
    <xf numFmtId="0" fontId="0" fillId="12" borderId="3" pivotButton="0" quotePrefix="0" xfId="0"/>
    <xf numFmtId="0" fontId="12" fillId="0" borderId="3" pivotButton="0" quotePrefix="0" xfId="0"/>
    <xf numFmtId="164" fontId="12" fillId="0" borderId="3" pivotButton="0" quotePrefix="0" xfId="0"/>
    <xf numFmtId="0" fontId="0" fillId="0" borderId="3" applyAlignment="1" pivotButton="0" quotePrefix="0" xfId="0">
      <alignment vertical="top" wrapText="1"/>
    </xf>
    <xf numFmtId="0" fontId="0" fillId="14" borderId="3" applyAlignment="1" pivotButton="0" quotePrefix="0" xfId="0">
      <alignment vertical="top" wrapText="1"/>
    </xf>
    <xf numFmtId="0" fontId="0" fillId="13" borderId="3" applyAlignment="1" pivotButton="0" quotePrefix="0" xfId="0">
      <alignment vertical="top" wrapText="1"/>
    </xf>
    <xf numFmtId="0" fontId="0" fillId="12" borderId="3" applyAlignment="1" pivotButton="0" quotePrefix="0" xfId="0">
      <alignment vertical="top" wrapText="1"/>
    </xf>
  </cellXfs>
  <cellStyles count="1">
    <cellStyle name="Normal" xfId="0" builtinId="0"/>
  </cellStyles>
  <dxfs count="4">
    <dxf>
      <fill>
        <patternFill patternType="solid">
          <fgColor rgb="FFFFC7CE"/>
        </patternFill>
      </fill>
    </dxf>
    <dxf>
      <fill>
        <patternFill patternType="solid">
          <fgColor rgb="FFC6EFCE"/>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35" min="1" max="1"/>
    <col width="11" customWidth="1" style="35" min="2" max="2"/>
    <col width="11" customWidth="1" style="35" min="3" max="3"/>
    <col width="11" customWidth="1" style="35" min="4" max="4"/>
    <col width="11" customWidth="1" style="35" min="5" max="5"/>
    <col width="11" customWidth="1" style="35" min="6" max="6"/>
    <col width="11" customWidth="1" style="35" min="7" max="7"/>
    <col width="11" customWidth="1" style="35" min="8" max="8"/>
    <col width="11" customWidth="1" style="35" min="9" max="9"/>
    <col width="11" customWidth="1" style="35" min="10" max="10"/>
    <col width="11" customWidth="1" style="35" min="11" max="11"/>
    <col width="11" customWidth="1" style="35" min="12" max="12"/>
    <col width="11" customWidth="1" style="35" min="13" max="13"/>
    <col width="11" customWidth="1" style="35" min="14" max="14"/>
    <col width="11" customWidth="1" style="35" min="15" max="15"/>
    <col width="11" customWidth="1" style="35" min="16" max="16"/>
    <col width="11" customWidth="1" style="35" min="17" max="17"/>
    <col width="11" customWidth="1" style="35" min="18" max="18"/>
    <col width="11" customWidth="1" style="35" min="19" max="19"/>
    <col width="11" customWidth="1" style="35" min="20" max="20"/>
    <col width="11" customWidth="1" style="35" min="21" max="21"/>
    <col width="11" customWidth="1" style="35" min="22" max="22"/>
    <col width="11" customWidth="1" style="35" min="23" max="23"/>
    <col width="11" customWidth="1" style="35" min="24" max="24"/>
    <col width="11" customWidth="1" style="35" min="25" max="25"/>
    <col width="11" customWidth="1" style="35" min="26" max="26"/>
    <col width="11" customWidth="1" style="35" min="27" max="27"/>
    <col width="11" customWidth="1" style="35" min="28" max="28"/>
    <col width="28" customWidth="1" style="35" min="29" max="29"/>
    <col width="28" customWidth="1" style="35" min="30" max="30"/>
    <col width="28" customWidth="1" style="35" min="31" max="31"/>
    <col width="28" customWidth="1" style="35" min="32" max="32"/>
    <col width="28" customWidth="1" style="35" min="33" max="33"/>
    <col width="28" customWidth="1" style="35" min="34" max="34"/>
    <col width="28" customWidth="1" style="35" min="35" max="35"/>
    <col width="28" customWidth="1" style="35" min="36" max="36"/>
    <col width="28" customWidth="1" style="35" min="37" max="37"/>
    <col width="28" customWidth="1" style="35" min="38" max="38"/>
    <col width="28" customWidth="1" style="35" min="39" max="39"/>
    <col width="28" customWidth="1" style="35" min="40" max="40"/>
    <col width="28" customWidth="1" style="35" min="41" max="41"/>
    <col width="28" customWidth="1" style="35" min="42" max="42"/>
    <col width="28" customWidth="1" style="35" min="43" max="43"/>
    <col width="28" customWidth="1" style="35" min="44" max="44"/>
    <col width="28" customWidth="1" style="35" min="45" max="45"/>
    <col width="28" customWidth="1" style="35" min="46" max="46"/>
    <col width="28" customWidth="1" style="35" min="47" max="47"/>
    <col width="28" customWidth="1" style="35" min="48" max="48"/>
    <col width="28" customWidth="1" style="35" min="49" max="49"/>
    <col width="28" customWidth="1" style="35" min="50" max="50"/>
    <col width="28" customWidth="1" style="35" min="51" max="51"/>
    <col width="28" customWidth="1" style="35" min="52" max="52"/>
    <col width="28" customWidth="1" style="35" min="53" max="53"/>
    <col width="28" customWidth="1" style="35" min="54" max="54"/>
    <col width="28" customWidth="1" style="35" min="55" max="55"/>
    <col width="28" customWidth="1" style="35" min="56" max="56"/>
    <col width="28" customWidth="1" style="35" min="57" max="57"/>
    <col width="28" customWidth="1" style="35" min="58" max="58"/>
    <col width="28" customWidth="1" style="35" min="59" max="59"/>
    <col width="28" customWidth="1" style="35" min="60" max="60"/>
    <col width="28" customWidth="1" style="35" min="61" max="61"/>
    <col width="28" customWidth="1" style="35" min="62" max="62"/>
    <col width="28" customWidth="1" style="35" min="63" max="63"/>
    <col width="28" customWidth="1" style="35" min="64" max="64"/>
    <col width="28" customWidth="1" style="35" min="65" max="65"/>
    <col width="28" customWidth="1" style="35" min="66" max="66"/>
    <col width="28" customWidth="1" style="35" min="67" max="67"/>
    <col width="28" customWidth="1" style="35" min="68" max="68"/>
    <col width="28" customWidth="1" style="35" min="69" max="69"/>
    <col width="28" customWidth="1" style="35" min="70" max="70"/>
    <col width="28" customWidth="1" style="35" min="71" max="71"/>
    <col width="28" customWidth="1" style="35" min="72" max="72"/>
    <col width="28" customWidth="1" style="35" min="73" max="73"/>
    <col width="28" customWidth="1" style="35" min="74" max="74"/>
    <col width="28" customWidth="1" style="35" min="75" max="75"/>
    <col width="28" customWidth="1" style="35" min="76" max="76"/>
    <col width="28" customWidth="1" style="35" min="77" max="77"/>
    <col width="28" customWidth="1" style="35" min="78" max="78"/>
    <col width="28" customWidth="1" style="35" min="79" max="79"/>
    <col width="28" customWidth="1" style="35" min="80" max="80"/>
    <col width="28" customWidth="1" style="35" min="81" max="81"/>
    <col width="28" customWidth="1" style="35" min="82" max="82"/>
    <col width="28" customWidth="1" style="35" min="83" max="83"/>
    <col width="28" customWidth="1" style="35" min="84" max="84"/>
    <col width="28" customWidth="1" style="35" min="85" max="85"/>
    <col width="28" customWidth="1" style="35" min="86" max="86"/>
    <col width="28" customWidth="1" style="35" min="87" max="87"/>
    <col width="28" customWidth="1" style="35" min="88" max="88"/>
    <col width="28" customWidth="1" style="35" min="89" max="89"/>
    <col width="28" customWidth="1" style="35" min="90" max="90"/>
    <col width="28" customWidth="1" style="35" min="91" max="91"/>
    <col width="28" customWidth="1" style="35" min="92" max="92"/>
    <col width="28" customWidth="1" style="35" min="93" max="93"/>
    <col width="28" customWidth="1" style="35" min="94" max="94"/>
    <col width="28" customWidth="1" style="35" min="95" max="95"/>
    <col width="28" customWidth="1" style="35" min="96" max="96"/>
    <col width="28" customWidth="1" style="35" min="97" max="97"/>
    <col width="28" customWidth="1" style="35" min="98" max="98"/>
    <col width="28" customWidth="1" style="35" min="99" max="99"/>
    <col width="28" customWidth="1" style="35" min="100" max="100"/>
    <col width="28" customWidth="1" style="35" min="101" max="101"/>
    <col width="28" customWidth="1" style="35" min="102" max="102"/>
    <col width="28" customWidth="1" style="35" min="103" max="103"/>
    <col width="28" customWidth="1" style="35" min="104" max="104"/>
    <col width="28" customWidth="1" style="35" min="105" max="105"/>
    <col width="28" customWidth="1" style="35" min="106" max="106"/>
    <col width="28" customWidth="1" style="35" min="107" max="107"/>
    <col width="28" customWidth="1" style="35" min="108" max="108"/>
    <col width="28" customWidth="1" style="35" min="109" max="109"/>
  </cols>
  <sheetData>
    <row r="1">
      <c r="A1" s="54" t="inlineStr">
        <is>
          <t>case_id</t>
        </is>
      </c>
      <c r="B1" s="54" t="inlineStr">
        <is>
          <t>0.25.0</t>
        </is>
      </c>
      <c r="C1" s="54" t="inlineStr">
        <is>
          <t>0.25.1</t>
        </is>
      </c>
      <c r="D1" s="54" t="inlineStr">
        <is>
          <t>0.25.2</t>
        </is>
      </c>
      <c r="E1" s="54" t="inlineStr">
        <is>
          <t>0.25.3</t>
        </is>
      </c>
      <c r="F1" s="54" t="inlineStr">
        <is>
          <t>0.45.0</t>
        </is>
      </c>
      <c r="G1" s="54" t="inlineStr">
        <is>
          <t>0.45.1</t>
        </is>
      </c>
      <c r="H1" s="54" t="inlineStr">
        <is>
          <t>0.45.2</t>
        </is>
      </c>
      <c r="I1" s="54" t="inlineStr">
        <is>
          <t>0.45.3</t>
        </is>
      </c>
      <c r="J1" s="54" t="inlineStr">
        <is>
          <t>0.46.0</t>
        </is>
      </c>
      <c r="K1" s="54" t="inlineStr">
        <is>
          <t>0.46.1</t>
        </is>
      </c>
      <c r="L1" s="54" t="inlineStr">
        <is>
          <t>0.46.2</t>
        </is>
      </c>
      <c r="M1" s="54" t="inlineStr">
        <is>
          <t>0.46.3</t>
        </is>
      </c>
      <c r="N1" s="54" t="inlineStr">
        <is>
          <t>1.0.0</t>
        </is>
      </c>
      <c r="O1" s="54" t="inlineStr">
        <is>
          <t>1.0.1</t>
        </is>
      </c>
      <c r="P1" s="54" t="inlineStr">
        <is>
          <t>1.0.2</t>
        </is>
      </c>
      <c r="Q1" s="54" t="inlineStr">
        <is>
          <t>1.1.0</t>
        </is>
      </c>
      <c r="R1" s="54" t="inlineStr">
        <is>
          <t>1.1.1</t>
        </is>
      </c>
      <c r="S1" s="54" t="inlineStr">
        <is>
          <t>1.1.2</t>
        </is>
      </c>
      <c r="T1" s="54" t="inlineStr">
        <is>
          <t>1.2.0</t>
        </is>
      </c>
      <c r="U1" s="54" t="inlineStr">
        <is>
          <t>1.2.1</t>
        </is>
      </c>
      <c r="V1" s="54" t="inlineStr">
        <is>
          <t>1.2.2</t>
        </is>
      </c>
      <c r="W1" s="54" t="inlineStr">
        <is>
          <t>1.2.4</t>
        </is>
      </c>
      <c r="X1" s="54" t="inlineStr">
        <is>
          <t>2.0.0</t>
        </is>
      </c>
      <c r="Y1" s="54" t="inlineStr">
        <is>
          <t>2.2.0</t>
        </is>
      </c>
      <c r="Z1" s="54" t="inlineStr">
        <is>
          <t>2.3.0</t>
        </is>
      </c>
      <c r="AA1" s="54" t="inlineStr">
        <is>
          <t>2.4.0</t>
        </is>
      </c>
      <c r="AB1" s="54" t="inlineStr">
        <is>
          <t>2.5.0</t>
        </is>
      </c>
      <c r="AC1" s="54" t="inlineStr">
        <is>
          <t>error_type_0.25.0</t>
        </is>
      </c>
      <c r="AD1" s="54" t="inlineStr">
        <is>
          <t>error_message_0.25.0</t>
        </is>
      </c>
      <c r="AE1" s="54" t="inlineStr">
        <is>
          <t>error_description_0.25.0</t>
        </is>
      </c>
      <c r="AF1" s="54" t="inlineStr">
        <is>
          <t>error_type_0.25.1</t>
        </is>
      </c>
      <c r="AG1" s="54" t="inlineStr">
        <is>
          <t>error_message_0.25.1</t>
        </is>
      </c>
      <c r="AH1" s="54" t="inlineStr">
        <is>
          <t>error_description_0.25.1</t>
        </is>
      </c>
      <c r="AI1" s="54" t="inlineStr">
        <is>
          <t>error_type_0.25.2</t>
        </is>
      </c>
      <c r="AJ1" s="54" t="inlineStr">
        <is>
          <t>error_message_0.25.2</t>
        </is>
      </c>
      <c r="AK1" s="54" t="inlineStr">
        <is>
          <t>error_description_0.25.2</t>
        </is>
      </c>
      <c r="AL1" s="54" t="inlineStr">
        <is>
          <t>error_type_0.25.3</t>
        </is>
      </c>
      <c r="AM1" s="54" t="inlineStr">
        <is>
          <t>error_message_0.25.3</t>
        </is>
      </c>
      <c r="AN1" s="54" t="inlineStr">
        <is>
          <t>error_description_0.25.3</t>
        </is>
      </c>
      <c r="AO1" s="54" t="inlineStr">
        <is>
          <t>error_type_0.45.0</t>
        </is>
      </c>
      <c r="AP1" s="54" t="inlineStr">
        <is>
          <t>error_message_0.45.0</t>
        </is>
      </c>
      <c r="AQ1" s="54" t="inlineStr">
        <is>
          <t>error_description_0.45.0</t>
        </is>
      </c>
      <c r="AR1" s="54" t="inlineStr">
        <is>
          <t>error_type_0.45.1</t>
        </is>
      </c>
      <c r="AS1" s="54" t="inlineStr">
        <is>
          <t>error_message_0.45.1</t>
        </is>
      </c>
      <c r="AT1" s="54" t="inlineStr">
        <is>
          <t>error_description_0.45.1</t>
        </is>
      </c>
      <c r="AU1" s="54" t="inlineStr">
        <is>
          <t>error_type_0.45.2</t>
        </is>
      </c>
      <c r="AV1" s="54" t="inlineStr">
        <is>
          <t>error_message_0.45.2</t>
        </is>
      </c>
      <c r="AW1" s="54" t="inlineStr">
        <is>
          <t>error_description_0.45.2</t>
        </is>
      </c>
      <c r="AX1" s="54" t="inlineStr">
        <is>
          <t>error_type_0.45.3</t>
        </is>
      </c>
      <c r="AY1" s="54" t="inlineStr">
        <is>
          <t>error_message_0.45.3</t>
        </is>
      </c>
      <c r="AZ1" s="54" t="inlineStr">
        <is>
          <t>error_description_0.45.3</t>
        </is>
      </c>
      <c r="BA1" s="54" t="inlineStr">
        <is>
          <t>error_type_0.46.0</t>
        </is>
      </c>
      <c r="BB1" s="54" t="inlineStr">
        <is>
          <t>error_message_0.46.0</t>
        </is>
      </c>
      <c r="BC1" s="54" t="inlineStr">
        <is>
          <t>error_description_0.46.0</t>
        </is>
      </c>
      <c r="BD1" s="54" t="inlineStr">
        <is>
          <t>error_type_0.46.1</t>
        </is>
      </c>
      <c r="BE1" s="54" t="inlineStr">
        <is>
          <t>error_message_0.46.1</t>
        </is>
      </c>
      <c r="BF1" s="54" t="inlineStr">
        <is>
          <t>error_description_0.46.1</t>
        </is>
      </c>
      <c r="BG1" s="54" t="inlineStr">
        <is>
          <t>error_type_0.46.2</t>
        </is>
      </c>
      <c r="BH1" s="54" t="inlineStr">
        <is>
          <t>error_message_0.46.2</t>
        </is>
      </c>
      <c r="BI1" s="54" t="inlineStr">
        <is>
          <t>error_description_0.46.2</t>
        </is>
      </c>
      <c r="BJ1" s="54" t="inlineStr">
        <is>
          <t>error_type_0.46.3</t>
        </is>
      </c>
      <c r="BK1" s="54" t="inlineStr">
        <is>
          <t>error_message_0.46.3</t>
        </is>
      </c>
      <c r="BL1" s="54" t="inlineStr">
        <is>
          <t>error_description_0.46.3</t>
        </is>
      </c>
      <c r="BM1" s="54" t="inlineStr">
        <is>
          <t>error_type_1.0.0</t>
        </is>
      </c>
      <c r="BN1" s="54" t="inlineStr">
        <is>
          <t>error_message_1.0.0</t>
        </is>
      </c>
      <c r="BO1" s="54" t="inlineStr">
        <is>
          <t>error_description_1.0.0</t>
        </is>
      </c>
      <c r="BP1" s="54" t="inlineStr">
        <is>
          <t>error_type_1.0.1</t>
        </is>
      </c>
      <c r="BQ1" s="54" t="inlineStr">
        <is>
          <t>error_message_1.0.1</t>
        </is>
      </c>
      <c r="BR1" s="54" t="inlineStr">
        <is>
          <t>error_description_1.0.1</t>
        </is>
      </c>
      <c r="BS1" s="54" t="inlineStr">
        <is>
          <t>error_type_1.0.2</t>
        </is>
      </c>
      <c r="BT1" s="54" t="inlineStr">
        <is>
          <t>error_message_1.0.2</t>
        </is>
      </c>
      <c r="BU1" s="54" t="inlineStr">
        <is>
          <t>error_description_1.0.2</t>
        </is>
      </c>
      <c r="BV1" s="54" t="inlineStr">
        <is>
          <t>error_type_1.1.0</t>
        </is>
      </c>
      <c r="BW1" s="54" t="inlineStr">
        <is>
          <t>error_message_1.1.0</t>
        </is>
      </c>
      <c r="BX1" s="54" t="inlineStr">
        <is>
          <t>error_description_1.1.0</t>
        </is>
      </c>
      <c r="BY1" s="54" t="inlineStr">
        <is>
          <t>error_type_1.1.1</t>
        </is>
      </c>
      <c r="BZ1" s="54" t="inlineStr">
        <is>
          <t>error_message_1.1.1</t>
        </is>
      </c>
      <c r="CA1" s="54" t="inlineStr">
        <is>
          <t>error_description_1.1.1</t>
        </is>
      </c>
      <c r="CB1" s="54" t="inlineStr">
        <is>
          <t>error_type_1.1.2</t>
        </is>
      </c>
      <c r="CC1" s="54" t="inlineStr">
        <is>
          <t>error_message_1.1.2</t>
        </is>
      </c>
      <c r="CD1" s="54" t="inlineStr">
        <is>
          <t>error_description_1.1.2</t>
        </is>
      </c>
      <c r="CE1" s="54" t="inlineStr">
        <is>
          <t>error_type_1.2.0</t>
        </is>
      </c>
      <c r="CF1" s="54" t="inlineStr">
        <is>
          <t>error_message_1.2.0</t>
        </is>
      </c>
      <c r="CG1" s="54" t="inlineStr">
        <is>
          <t>error_description_1.2.0</t>
        </is>
      </c>
      <c r="CH1" s="54" t="inlineStr">
        <is>
          <t>error_type_1.2.1</t>
        </is>
      </c>
      <c r="CI1" s="54" t="inlineStr">
        <is>
          <t>error_message_1.2.1</t>
        </is>
      </c>
      <c r="CJ1" s="54" t="inlineStr">
        <is>
          <t>error_description_1.2.1</t>
        </is>
      </c>
      <c r="CK1" s="54" t="inlineStr">
        <is>
          <t>error_type_1.2.2</t>
        </is>
      </c>
      <c r="CL1" s="54" t="inlineStr">
        <is>
          <t>error_message_1.2.2</t>
        </is>
      </c>
      <c r="CM1" s="54" t="inlineStr">
        <is>
          <t>error_description_1.2.2</t>
        </is>
      </c>
      <c r="CN1" s="54" t="inlineStr">
        <is>
          <t>error_type_1.2.4</t>
        </is>
      </c>
      <c r="CO1" s="54" t="inlineStr">
        <is>
          <t>error_message_1.2.4</t>
        </is>
      </c>
      <c r="CP1" s="54" t="inlineStr">
        <is>
          <t>error_description_1.2.4</t>
        </is>
      </c>
      <c r="CQ1" s="54" t="inlineStr">
        <is>
          <t>error_type_2.0.0</t>
        </is>
      </c>
      <c r="CR1" s="54" t="inlineStr">
        <is>
          <t>error_message_2.0.0</t>
        </is>
      </c>
      <c r="CS1" s="54" t="inlineStr">
        <is>
          <t>error_description_2.0.0</t>
        </is>
      </c>
      <c r="CT1" s="54" t="inlineStr">
        <is>
          <t>error_type_2.2.0</t>
        </is>
      </c>
      <c r="CU1" s="54" t="inlineStr">
        <is>
          <t>error_message_2.2.0</t>
        </is>
      </c>
      <c r="CV1" s="54" t="inlineStr">
        <is>
          <t>error_description_2.2.0</t>
        </is>
      </c>
      <c r="CW1" s="54" t="inlineStr">
        <is>
          <t>error_type_2.3.0</t>
        </is>
      </c>
      <c r="CX1" s="54" t="inlineStr">
        <is>
          <t>error_message_2.3.0</t>
        </is>
      </c>
      <c r="CY1" s="54" t="inlineStr">
        <is>
          <t>error_description_2.3.0</t>
        </is>
      </c>
      <c r="CZ1" s="54" t="inlineStr">
        <is>
          <t>error_type_2.4.0</t>
        </is>
      </c>
      <c r="DA1" s="54" t="inlineStr">
        <is>
          <t>error_message_2.4.0</t>
        </is>
      </c>
      <c r="DB1" s="54" t="inlineStr">
        <is>
          <t>error_description_2.4.0</t>
        </is>
      </c>
      <c r="DC1" s="54" t="inlineStr">
        <is>
          <t>error_type_2.5.0</t>
        </is>
      </c>
      <c r="DD1" s="54" t="inlineStr">
        <is>
          <t>error_message_2.5.0</t>
        </is>
      </c>
      <c r="DE1" s="54" t="inlineStr">
        <is>
          <t>error_description_2.5.0</t>
        </is>
      </c>
    </row>
    <row r="2">
      <c r="A2" s="55" t="inlineStr">
        <is>
          <t>issue_009</t>
        </is>
      </c>
      <c r="B2" s="56" t="inlineStr">
        <is>
          <t>NOT_TESTED</t>
        </is>
      </c>
      <c r="C2" s="56" t="inlineStr">
        <is>
          <t>NOT_TESTED</t>
        </is>
      </c>
      <c r="D2" s="56" t="inlineStr">
        <is>
          <t>NOT_TESTED</t>
        </is>
      </c>
      <c r="E2" s="56" t="inlineStr">
        <is>
          <t>NOT_TESTED</t>
        </is>
      </c>
      <c r="F2" s="57" t="inlineStr">
        <is>
          <t>ERROR</t>
        </is>
      </c>
      <c r="G2" s="57" t="inlineStr">
        <is>
          <t>ERROR</t>
        </is>
      </c>
      <c r="H2" s="58" t="inlineStr">
        <is>
          <t>FAIL</t>
        </is>
      </c>
      <c r="I2" s="58" t="inlineStr">
        <is>
          <t>FAIL</t>
        </is>
      </c>
      <c r="J2" s="57" t="inlineStr">
        <is>
          <t>ERROR</t>
        </is>
      </c>
      <c r="K2" s="57" t="inlineStr">
        <is>
          <t>ERROR</t>
        </is>
      </c>
      <c r="L2" s="57" t="inlineStr">
        <is>
          <t>ERROR</t>
        </is>
      </c>
      <c r="M2" s="57" t="inlineStr">
        <is>
          <t>ERROR</t>
        </is>
      </c>
      <c r="N2" s="56" t="inlineStr">
        <is>
          <t>NOT_TESTED</t>
        </is>
      </c>
      <c r="O2" s="56" t="inlineStr">
        <is>
          <t>NOT_TESTED</t>
        </is>
      </c>
      <c r="P2" s="56" t="inlineStr">
        <is>
          <t>NOT_TESTED</t>
        </is>
      </c>
      <c r="Q2" s="56" t="inlineStr">
        <is>
          <t>NOT_TESTED</t>
        </is>
      </c>
      <c r="R2" s="56" t="inlineStr">
        <is>
          <t>NOT_TESTED</t>
        </is>
      </c>
      <c r="S2" s="56" t="inlineStr">
        <is>
          <t>NOT_TESTED</t>
        </is>
      </c>
      <c r="T2" s="56" t="inlineStr">
        <is>
          <t>NOT_TESTED</t>
        </is>
      </c>
      <c r="U2" s="56" t="inlineStr">
        <is>
          <t>NOT_TESTED</t>
        </is>
      </c>
      <c r="V2" s="56" t="inlineStr">
        <is>
          <t>NOT_TESTED</t>
        </is>
      </c>
      <c r="W2" s="56" t="inlineStr">
        <is>
          <t>NOT_TESTED</t>
        </is>
      </c>
      <c r="X2" s="56" t="inlineStr">
        <is>
          <t>NOT_TESTED</t>
        </is>
      </c>
      <c r="Y2" s="56" t="inlineStr">
        <is>
          <t>NOT_TESTED</t>
        </is>
      </c>
      <c r="Z2" s="56" t="inlineStr">
        <is>
          <t>NOT_TESTED</t>
        </is>
      </c>
      <c r="AA2" s="56" t="inlineStr">
        <is>
          <t>NOT_TESTED</t>
        </is>
      </c>
      <c r="AB2" s="56" t="inlineStr">
        <is>
          <t>NOT_TESTED</t>
        </is>
      </c>
      <c r="AC2" s="55" t="n"/>
      <c r="AD2" s="55" t="n"/>
      <c r="AE2" s="55" t="n"/>
      <c r="AF2" s="55" t="n"/>
      <c r="AG2" s="55" t="n"/>
      <c r="AH2" s="55" t="n"/>
      <c r="AI2" s="55" t="n"/>
      <c r="AJ2" s="55" t="n"/>
      <c r="AK2" s="55" t="n"/>
      <c r="AL2" s="55" t="n"/>
      <c r="AM2" s="55" t="n"/>
      <c r="AN2" s="55" t="n"/>
      <c r="AO2" s="55" t="inlineStr">
        <is>
          <t>TranspilerError</t>
        </is>
      </c>
      <c r="AP2" s="55" t="inlineStr">
        <is>
          <t>qiskit.transpiler.exceptions.TranspilerError: "The 'layout' must be full (with ancilla)."</t>
        </is>
      </c>
      <c r="AQ2" s="55" t="inlineStr">
        <is>
          <t>The LLM ran CSPLayout and ApplyLayout by hand in a PassManager but never added the passes that extend the 3-qubit layout to the backend's 5 qubits (FullAncillaAllocation / EnlargeWithAncilla), so ApplyLayout rejects the partial layout.</t>
        </is>
      </c>
      <c r="AR2" s="55" t="inlineStr">
        <is>
          <t>TranspilerError</t>
        </is>
      </c>
      <c r="AS2" s="55" t="inlineStr">
        <is>
          <t>qiskit.transpiler.exceptions.TranspilerError: "The 'layout' must be full (with ancilla)."</t>
        </is>
      </c>
      <c r="AT2" s="55" t="inlineStr">
        <is>
          <t>The LLM ran CSPLayout and ApplyLayout by hand in a PassManager but never added the passes that extend the 3-qubit layout to the backend's 5 qubits (FullAncillaAllocation / EnlargeWithAncilla), so ApplyLayout rejects the partial layout.</t>
        </is>
      </c>
      <c r="AU2" s="55" t="inlineStr">
        <is>
          <t>AssertionError</t>
        </is>
      </c>
      <c r="AV2" s="55" t="inlineStr">
        <is>
          <t>AssertionError: 3 != 5</t>
        </is>
      </c>
      <c r="AW2" s="55"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AX2" s="55" t="inlineStr">
        <is>
          <t>AssertionError</t>
        </is>
      </c>
      <c r="AY2" s="55" t="inlineStr">
        <is>
          <t>AssertionError: 3 != 5</t>
        </is>
      </c>
      <c r="AZ2" s="55"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BA2" s="55" t="inlineStr">
        <is>
          <t>TranspilerError</t>
        </is>
      </c>
      <c r="BB2" s="55" t="inlineStr">
        <is>
          <t>qiskit.transpiler.exceptions.TranspilerError: "The 'layout' must be full (with ancilla)."</t>
        </is>
      </c>
      <c r="BC2" s="55" t="inlineStr">
        <is>
          <t>The LLM ran CSPLayout and ApplyLayout by hand in a PassManager but never added the passes that extend the 3-qubit layout to the backend's 5 qubits (FullAncillaAllocation / EnlargeWithAncilla), so ApplyLayout rejects the partial layout.</t>
        </is>
      </c>
      <c r="BD2" s="55" t="inlineStr">
        <is>
          <t>TranspilerError</t>
        </is>
      </c>
      <c r="BE2" s="55" t="inlineStr">
        <is>
          <t>qiskit.transpiler.exceptions.TranspilerError: "The 'layout' must be full (with ancilla)."</t>
        </is>
      </c>
      <c r="BF2" s="55" t="inlineStr">
        <is>
          <t>The LLM ran CSPLayout and ApplyLayout by hand in a PassManager but never added the passes that extend the 3-qubit layout to the backend's 5 qubits (FullAncillaAllocation / EnlargeWithAncilla), so ApplyLayout rejects the partial layout.</t>
        </is>
      </c>
      <c r="BG2" s="55" t="inlineStr">
        <is>
          <t>TranspilerError</t>
        </is>
      </c>
      <c r="BH2" s="55" t="inlineStr">
        <is>
          <t>qiskit.transpiler.exceptions.TranspilerError: "The 'layout' must be full (with ancilla)."</t>
        </is>
      </c>
      <c r="BI2" s="55" t="inlineStr">
        <is>
          <t>The LLM ran CSPLayout and ApplyLayout by hand in a PassManager but never added the passes that extend the 3-qubit layout to the backend's 5 qubits (FullAncillaAllocation / EnlargeWithAncilla), so ApplyLayout rejects the partial layout.</t>
        </is>
      </c>
      <c r="BJ2" s="55" t="inlineStr">
        <is>
          <t>TranspilerError</t>
        </is>
      </c>
      <c r="BK2" s="55" t="inlineStr">
        <is>
          <t>qiskit.transpiler.exceptions.TranspilerError: "The 'layout' must be full (with ancilla)."</t>
        </is>
      </c>
      <c r="BL2" s="55" t="inlineStr">
        <is>
          <t>The LLM ran CSPLayout and ApplyLayout by hand in a PassManager but never added the passes that extend the 3-qubit layout to the backend's 5 qubits (FullAncillaAllocation / EnlargeWithAncilla), so ApplyLayout rejects the partial layout.</t>
        </is>
      </c>
      <c r="BM2" s="55" t="n"/>
      <c r="BN2" s="55" t="n"/>
      <c r="BO2" s="55" t="n"/>
      <c r="BP2" s="55" t="n"/>
      <c r="BQ2" s="55" t="n"/>
      <c r="BR2" s="55" t="n"/>
      <c r="BS2" s="55" t="n"/>
      <c r="BT2" s="55" t="n"/>
      <c r="BU2" s="55" t="n"/>
      <c r="BV2" s="55" t="n"/>
      <c r="BW2" s="55" t="n"/>
      <c r="BX2" s="55" t="n"/>
      <c r="BY2" s="55" t="n"/>
      <c r="BZ2" s="55" t="n"/>
      <c r="CA2" s="55" t="n"/>
      <c r="CB2" s="55" t="n"/>
      <c r="CC2" s="55" t="n"/>
      <c r="CD2" s="55" t="n"/>
      <c r="CE2" s="55" t="n"/>
      <c r="CF2" s="55" t="n"/>
      <c r="CG2" s="55" t="n"/>
      <c r="CH2" s="55" t="n"/>
      <c r="CI2" s="55" t="n"/>
      <c r="CJ2" s="55" t="n"/>
      <c r="CK2" s="55" t="n"/>
      <c r="CL2" s="55" t="n"/>
      <c r="CM2" s="55" t="n"/>
      <c r="CN2" s="55" t="n"/>
      <c r="CO2" s="55" t="n"/>
      <c r="CP2" s="55" t="n"/>
      <c r="CQ2" s="55" t="n"/>
      <c r="CR2" s="55" t="n"/>
      <c r="CS2" s="55" t="n"/>
      <c r="CT2" s="55" t="n"/>
      <c r="CU2" s="55" t="n"/>
      <c r="CV2" s="55" t="n"/>
      <c r="CW2" s="55" t="n"/>
      <c r="CX2" s="55" t="n"/>
      <c r="CY2" s="55" t="n"/>
      <c r="CZ2" s="55" t="n"/>
      <c r="DA2" s="55" t="n"/>
      <c r="DB2" s="55" t="n"/>
      <c r="DC2" s="55" t="n"/>
      <c r="DD2" s="55" t="n"/>
      <c r="DE2" s="55" t="n"/>
    </row>
    <row r="3">
      <c r="A3" s="55" t="inlineStr">
        <is>
          <t>issue_018_se</t>
        </is>
      </c>
      <c r="B3" s="56" t="inlineStr">
        <is>
          <t>NOT_TESTED</t>
        </is>
      </c>
      <c r="C3" s="56" t="inlineStr">
        <is>
          <t>NOT_TESTED</t>
        </is>
      </c>
      <c r="D3" s="56" t="inlineStr">
        <is>
          <t>NOT_TESTED</t>
        </is>
      </c>
      <c r="E3" s="56" t="inlineStr">
        <is>
          <t>NOT_TESTED</t>
        </is>
      </c>
      <c r="F3" s="56" t="inlineStr">
        <is>
          <t>NOT_TESTED</t>
        </is>
      </c>
      <c r="G3" s="56" t="inlineStr">
        <is>
          <t>NOT_TESTED</t>
        </is>
      </c>
      <c r="H3" s="56" t="inlineStr">
        <is>
          <t>NOT_TESTED</t>
        </is>
      </c>
      <c r="I3" s="56" t="inlineStr">
        <is>
          <t>NOT_TESTED</t>
        </is>
      </c>
      <c r="J3" s="56" t="inlineStr">
        <is>
          <t>NOT_TESTED</t>
        </is>
      </c>
      <c r="K3" s="56" t="inlineStr">
        <is>
          <t>NOT_TESTED</t>
        </is>
      </c>
      <c r="L3" s="56" t="inlineStr">
        <is>
          <t>NOT_TESTED</t>
        </is>
      </c>
      <c r="M3" s="56" t="inlineStr">
        <is>
          <t>NOT_TESTED</t>
        </is>
      </c>
      <c r="N3" s="58" t="inlineStr">
        <is>
          <t>FAIL</t>
        </is>
      </c>
      <c r="O3" s="58" t="inlineStr">
        <is>
          <t>FAIL</t>
        </is>
      </c>
      <c r="P3" s="58" t="inlineStr">
        <is>
          <t>FAIL</t>
        </is>
      </c>
      <c r="Q3" s="58" t="inlineStr">
        <is>
          <t>FAIL</t>
        </is>
      </c>
      <c r="R3" s="58" t="inlineStr">
        <is>
          <t>FAIL</t>
        </is>
      </c>
      <c r="S3" s="58" t="inlineStr">
        <is>
          <t>FAIL</t>
        </is>
      </c>
      <c r="T3" s="58" t="inlineStr">
        <is>
          <t>FAIL</t>
        </is>
      </c>
      <c r="U3" s="58" t="inlineStr">
        <is>
          <t>FAIL</t>
        </is>
      </c>
      <c r="V3" s="58" t="inlineStr">
        <is>
          <t>FAIL</t>
        </is>
      </c>
      <c r="W3" s="58" t="inlineStr">
        <is>
          <t>FAIL</t>
        </is>
      </c>
      <c r="X3" s="58" t="inlineStr">
        <is>
          <t>FAIL</t>
        </is>
      </c>
      <c r="Y3" s="58" t="inlineStr">
        <is>
          <t>FAIL</t>
        </is>
      </c>
      <c r="Z3" s="58" t="inlineStr">
        <is>
          <t>FAIL</t>
        </is>
      </c>
      <c r="AA3" s="58" t="inlineStr">
        <is>
          <t>FAIL</t>
        </is>
      </c>
      <c r="AB3" s="58" t="inlineStr">
        <is>
          <t>FAIL</t>
        </is>
      </c>
      <c r="AC3" s="55" t="n"/>
      <c r="AD3" s="55" t="n"/>
      <c r="AE3" s="55" t="n"/>
      <c r="AF3" s="55" t="n"/>
      <c r="AG3" s="55" t="n"/>
      <c r="AH3" s="55" t="n"/>
      <c r="AI3" s="55" t="n"/>
      <c r="AJ3" s="55" t="n"/>
      <c r="AK3" s="55" t="n"/>
      <c r="AL3" s="55" t="n"/>
      <c r="AM3" s="55" t="n"/>
      <c r="AN3" s="55" t="n"/>
      <c r="AO3" s="55" t="n"/>
      <c r="AP3" s="55" t="n"/>
      <c r="AQ3" s="55" t="n"/>
      <c r="AR3" s="55" t="n"/>
      <c r="AS3" s="55" t="n"/>
      <c r="AT3" s="55" t="n"/>
      <c r="AU3" s="55" t="n"/>
      <c r="AV3" s="55" t="n"/>
      <c r="AW3" s="55" t="n"/>
      <c r="AX3" s="55" t="n"/>
      <c r="AY3" s="55" t="n"/>
      <c r="AZ3" s="55" t="n"/>
      <c r="BA3" s="55" t="n"/>
      <c r="BB3" s="55" t="n"/>
      <c r="BC3" s="55" t="n"/>
      <c r="BD3" s="55" t="n"/>
      <c r="BE3" s="55" t="n"/>
      <c r="BF3" s="55" t="n"/>
      <c r="BG3" s="55" t="n"/>
      <c r="BH3" s="55" t="n"/>
      <c r="BI3" s="55" t="n"/>
      <c r="BJ3" s="55" t="n"/>
      <c r="BK3" s="55" t="n"/>
      <c r="BL3" s="55" t="n"/>
      <c r="BM3" s="55" t="inlineStr">
        <is>
          <t>AssertionError</t>
        </is>
      </c>
      <c r="BN3" s="55" t="inlineStr">
        <is>
          <t xml:space="preserve">AssertionError: Not equal to tolerance rtol=0, atol=1e-12 The ideal magic-square strategy must win every input pair. Mismatched elements: 6 / 9 (66.7%) Max absolute difference: 0.5 Max relative difference: inf x: array([0. , 0.5, 0.5, 0.5, 0. , 0.5, </t>
        </is>
      </c>
      <c r="BO3" s="55" t="inlineStr">
        <is>
          <t>The LLM swapped which inputs choose Alice's and Bob's answers, so the strategy still loses 6 of the 9 input pairs half the time instead of always winning (the Aer simulator also crashes natively here, as it does for fixed.py).</t>
        </is>
      </c>
      <c r="BP3" s="55" t="inlineStr">
        <is>
          <t>AssertionError</t>
        </is>
      </c>
      <c r="BQ3" s="55" t="inlineStr">
        <is>
          <t xml:space="preserve">AssertionError: Not equal to tolerance rtol=0, atol=1e-12 The ideal magic-square strategy must win every input pair. Mismatched elements: 6 / 9 (66.7%) Max absolute difference: 0.5 Max relative difference: inf x: array([0. , 0.5, 0.5, 0.5, 0. , 0.5, </t>
        </is>
      </c>
      <c r="BR3" s="55" t="inlineStr">
        <is>
          <t>The LLM swapped which inputs choose Alice's and Bob's answers, so the strategy still loses 6 of the 9 input pairs half the time instead of always winning (the Aer simulator also crashes natively here, as it does for fixed.py).</t>
        </is>
      </c>
      <c r="BS3" s="55" t="inlineStr">
        <is>
          <t>AssertionError</t>
        </is>
      </c>
      <c r="BT3" s="55" t="inlineStr">
        <is>
          <t xml:space="preserve">AssertionError: Not equal to tolerance rtol=0, atol=1e-12 The ideal magic-square strategy must win every input pair. Mismatched elements: 6 / 9 (66.7%) Max absolute difference: 0.5 Max relative difference: inf x: array([0. , 0.5, 0.5, 0.5, 0. , 0.5, </t>
        </is>
      </c>
      <c r="BU3" s="55" t="inlineStr">
        <is>
          <t>The LLM swapped which inputs choose Alice's and Bob's answers, so the strategy still loses 6 of the 9 input pairs half the time instead of always winning (the Aer simulator also crashes natively here, as it does for fixed.py).</t>
        </is>
      </c>
      <c r="BV3" s="55" t="inlineStr">
        <is>
          <t>AssertionError</t>
        </is>
      </c>
      <c r="BW3" s="55" t="inlineStr">
        <is>
          <t>AssertionError: Not equal to tolerance rtol=0, atol=1e-12 The ideal magic-square strategy must win every input pair. Mismatched elements: 6 / 9 (66.7%) First 5 mismatches are at indices: [1]: 0.4999999999999999 (ACTUAL), 0.0 (DESIRED) [2]: 0.49999999</t>
        </is>
      </c>
      <c r="BX3" s="55" t="inlineStr">
        <is>
          <t>The LLM swapped which inputs choose Alice's and Bob's answers, so the strategy still loses 6 of the 9 input pairs half the time instead of always winning (the Aer simulator also crashes natively here, as it does for fixed.py).</t>
        </is>
      </c>
      <c r="BY3" s="55" t="inlineStr">
        <is>
          <t>AssertionError</t>
        </is>
      </c>
      <c r="BZ3" s="55" t="inlineStr">
        <is>
          <t>AssertionError: Not equal to tolerance rtol=0, atol=1e-12 The ideal magic-square strategy must win every input pair. Mismatched elements: 6 / 9 (66.7%) First 5 mismatches are at indices: [1]: 0.4999999999999999 (ACTUAL), 0.0 (DESIRED) [2]: 0.49999999</t>
        </is>
      </c>
      <c r="CA3" s="55" t="inlineStr">
        <is>
          <t>The LLM swapped which inputs choose Alice's and Bob's answers, so the strategy still loses 6 of the 9 input pairs half the time instead of always winning (the Aer simulator also crashes natively here, as it does for fixed.py).</t>
        </is>
      </c>
      <c r="CB3" s="55" t="inlineStr">
        <is>
          <t>AssertionError</t>
        </is>
      </c>
      <c r="CC3" s="55" t="inlineStr">
        <is>
          <t>AssertionError: Not equal to tolerance rtol=0, atol=1e-12 The ideal magic-square strategy must win every input pair. Mismatched elements: 6 / 9 (66.7%) First 5 mismatches are at indices: [1]: 0.4999999999999999 (ACTUAL), 0.0 (DESIRED) [2]: 0.49999999</t>
        </is>
      </c>
      <c r="CD3" s="55" t="inlineStr">
        <is>
          <t>The LLM swapped which inputs choose Alice's and Bob's answers, so the strategy still loses 6 of the 9 input pairs half the time instead of always winning (the Aer simulator also crashes natively here, as it does for fixed.py).</t>
        </is>
      </c>
      <c r="CE3" s="55" t="inlineStr">
        <is>
          <t>AssertionError</t>
        </is>
      </c>
      <c r="CF3" s="55" t="inlineStr">
        <is>
          <t>AssertionError: Not equal to tolerance rtol=0, atol=1e-12 The ideal magic-square strategy must win every input pair. Mismatched elements: 6 / 9 (66.7%) First 5 mismatches are at indices: [1]: 0.4999999999999999 (ACTUAL), 0.0 (DESIRED) [2]: 0.49999999</t>
        </is>
      </c>
      <c r="CG3" s="55" t="inlineStr">
        <is>
          <t>The LLM swapped which inputs choose Alice's and Bob's answers, so the strategy still loses 6 of the 9 input pairs half the time instead of always winning (the Aer simulator also crashes natively here, as it does for fixed.py).</t>
        </is>
      </c>
      <c r="CH3" s="55" t="inlineStr">
        <is>
          <t>AssertionError</t>
        </is>
      </c>
      <c r="CI3" s="55" t="inlineStr">
        <is>
          <t>AssertionError: Not equal to tolerance rtol=0, atol=1e-12 The ideal magic-square strategy must win every input pair. Mismatched elements: 6 / 9 (66.7%) First 5 mismatches are at indices: [1]: 0.4999999999999999 (ACTUAL), 0.0 (DESIRED) [2]: 0.49999999</t>
        </is>
      </c>
      <c r="CJ3" s="55" t="inlineStr">
        <is>
          <t>The LLM swapped which inputs choose Alice's and Bob's answers, so the strategy still loses 6 of the 9 input pairs half the time instead of always winning (the Aer simulator also crashes natively here, as it does for fixed.py).</t>
        </is>
      </c>
      <c r="CK3" s="55" t="inlineStr">
        <is>
          <t>AssertionError</t>
        </is>
      </c>
      <c r="CL3" s="55" t="inlineStr">
        <is>
          <t>AssertionError: Not equal to tolerance rtol=0, atol=1e-12 The ideal magic-square strategy must win every input pair. Mismatched elements: 6 / 9 (66.7%) First 5 mismatches are at indices: [1]: 0.4999999999999999 (ACTUAL), 0.0 (DESIRED) [2]: 0.49999999</t>
        </is>
      </c>
      <c r="CM3" s="55" t="inlineStr">
        <is>
          <t>The LLM swapped which inputs choose Alice's and Bob's answers, so the strategy still loses 6 of the 9 input pairs half the time instead of always winning (the Aer simulator also crashes natively here, as it does for fixed.py).</t>
        </is>
      </c>
      <c r="CN3" s="55" t="inlineStr">
        <is>
          <t>AssertionError</t>
        </is>
      </c>
      <c r="CO3" s="55" t="inlineStr">
        <is>
          <t>AssertionError: Not equal to tolerance rtol=0, atol=1e-12 The ideal magic-square strategy must win every input pair. Mismatched elements: 6 / 9 (66.7%) First 5 mismatches are at indices: [1]: 0.4999999999999999 (ACTUAL), 0.0 (DESIRED) [2]: 0.49999999</t>
        </is>
      </c>
      <c r="CP3" s="55" t="inlineStr">
        <is>
          <t>The LLM swapped which inputs choose Alice's and Bob's answers, so the strategy still loses 6 of the 9 input pairs half the time instead of always winning (the Aer simulator also crashes natively here, as it does for fixed.py).</t>
        </is>
      </c>
      <c r="CQ3" s="55" t="inlineStr">
        <is>
          <t>AssertionError</t>
        </is>
      </c>
      <c r="CR3" s="55" t="inlineStr">
        <is>
          <t>AssertionError: Not equal to tolerance rtol=0, atol=1e-12 The ideal magic-square strategy must win every input pair. Mismatched elements: 6 / 9 (66.7%) First 5 mismatches are at indices: [1]: 0.4999999999999999 (ACTUAL), 0.0 (DESIRED) [2]: 0.49999999</t>
        </is>
      </c>
      <c r="CS3" s="55" t="inlineStr">
        <is>
          <t>The LLM swapped which inputs choose Alice's and Bob's answers, so the strategy still loses 6 of the 9 input pairs half the time instead of always winning (the Aer simulator also crashes natively here, as it does for fixed.py).</t>
        </is>
      </c>
      <c r="CT3" s="55" t="inlineStr">
        <is>
          <t>AssertionError</t>
        </is>
      </c>
      <c r="CU3" s="55" t="inlineStr">
        <is>
          <t>AssertionError: Not equal to tolerance rtol=0, atol=1e-12 The ideal magic-square strategy must win every input pair. Mismatched elements: 6 / 9 (66.7%) First 5 mismatches are at indices: [1]: 0.4999999999999999 (ACTUAL), 0.0 (DESIRED) [2]: 0.49999999</t>
        </is>
      </c>
      <c r="CV3" s="55" t="inlineStr">
        <is>
          <t>The LLM swapped which inputs choose Alice's and Bob's answers, so the strategy still loses 6 of the 9 input pairs half the time instead of always winning (the Aer simulator also crashes natively here, as it does for fixed.py).</t>
        </is>
      </c>
      <c r="CW3" s="55" t="inlineStr">
        <is>
          <t>AssertionError</t>
        </is>
      </c>
      <c r="CX3" s="55" t="inlineStr">
        <is>
          <t>AssertionError: Not equal to tolerance rtol=0, atol=1e-12 The ideal magic-square strategy must win every input pair. Mismatched elements: 6 / 9 (66.7%) First 5 mismatches are at indices: [1]: 0.4999999999999999 (ACTUAL), 0.0 (DESIRED) [2]: 0.49999999</t>
        </is>
      </c>
      <c r="CY3" s="55" t="inlineStr">
        <is>
          <t>The LLM swapped which inputs choose Alice's and Bob's answers, so the strategy still loses 6 of the 9 input pairs half the time instead of always winning (the Aer simulator also crashes natively here, as it does for fixed.py).</t>
        </is>
      </c>
      <c r="CZ3" s="55" t="inlineStr">
        <is>
          <t>AssertionError</t>
        </is>
      </c>
      <c r="DA3" s="55" t="inlineStr">
        <is>
          <t>AssertionError: Not equal to tolerance rtol=0, atol=1e-12 The ideal magic-square strategy must win every input pair. Mismatched elements: 6 / 9 (66.7%) First 5 mismatches are at indices: [1]: 0.4999999999999999 (ACTUAL), 0.0 (DESIRED) [2]: 0.49999999</t>
        </is>
      </c>
      <c r="DB3" s="55" t="inlineStr">
        <is>
          <t>The LLM swapped which inputs choose Alice's and Bob's answers, so the strategy still loses 6 of the 9 input pairs half the time instead of always winning (the Aer simulator also crashes natively here, as it does for fixed.py).</t>
        </is>
      </c>
      <c r="DC3" s="55" t="inlineStr">
        <is>
          <t>AssertionError</t>
        </is>
      </c>
      <c r="DD3" s="55" t="inlineStr">
        <is>
          <t>AssertionError: Not equal to tolerance rtol=0, atol=1e-12 The ideal magic-square strategy must win every input pair. Mismatched elements: 6 / 9 (66.7%) First 5 mismatches are at indices: [1]: 0.4999999999999999 (ACTUAL), 0.0 (DESIRED) [2]: 0.49999999</t>
        </is>
      </c>
      <c r="DE3" s="55" t="inlineStr">
        <is>
          <t>The LLM swapped which inputs choose Alice's and Bob's answers, so the strategy still loses 6 of the 9 input pairs half the time instead of always winning (the Aer simulator also crashes natively here, as it does for fixed.py).</t>
        </is>
      </c>
    </row>
    <row r="4">
      <c r="A4" s="55" t="inlineStr">
        <is>
          <t>issue_021_se</t>
        </is>
      </c>
      <c r="B4" s="57" t="inlineStr">
        <is>
          <t>ERROR</t>
        </is>
      </c>
      <c r="C4" s="57" t="inlineStr">
        <is>
          <t>ERROR</t>
        </is>
      </c>
      <c r="D4" s="57" t="inlineStr">
        <is>
          <t>ERROR</t>
        </is>
      </c>
      <c r="E4" s="57" t="inlineStr">
        <is>
          <t>ERROR</t>
        </is>
      </c>
      <c r="F4" s="57" t="inlineStr">
        <is>
          <t>ERROR</t>
        </is>
      </c>
      <c r="G4" s="57" t="inlineStr">
        <is>
          <t>ERROR</t>
        </is>
      </c>
      <c r="H4" s="57" t="inlineStr">
        <is>
          <t>ERROR</t>
        </is>
      </c>
      <c r="I4" s="57" t="inlineStr">
        <is>
          <t>ERROR</t>
        </is>
      </c>
      <c r="J4" s="57" t="inlineStr">
        <is>
          <t>ERROR</t>
        </is>
      </c>
      <c r="K4" s="57" t="inlineStr">
        <is>
          <t>ERROR</t>
        </is>
      </c>
      <c r="L4" s="57" t="inlineStr">
        <is>
          <t>ERROR</t>
        </is>
      </c>
      <c r="M4" s="57" t="inlineStr">
        <is>
          <t>ERROR</t>
        </is>
      </c>
      <c r="N4" s="56" t="inlineStr">
        <is>
          <t>NOT_TESTED</t>
        </is>
      </c>
      <c r="O4" s="56" t="inlineStr">
        <is>
          <t>NOT_TESTED</t>
        </is>
      </c>
      <c r="P4" s="56" t="inlineStr">
        <is>
          <t>NOT_TESTED</t>
        </is>
      </c>
      <c r="Q4" s="56" t="inlineStr">
        <is>
          <t>NOT_TESTED</t>
        </is>
      </c>
      <c r="R4" s="56" t="inlineStr">
        <is>
          <t>NOT_TESTED</t>
        </is>
      </c>
      <c r="S4" s="56" t="inlineStr">
        <is>
          <t>NOT_TESTED</t>
        </is>
      </c>
      <c r="T4" s="56" t="inlineStr">
        <is>
          <t>NOT_TESTED</t>
        </is>
      </c>
      <c r="U4" s="56" t="inlineStr">
        <is>
          <t>NOT_TESTED</t>
        </is>
      </c>
      <c r="V4" s="56" t="inlineStr">
        <is>
          <t>NOT_TESTED</t>
        </is>
      </c>
      <c r="W4" s="56" t="inlineStr">
        <is>
          <t>NOT_TESTED</t>
        </is>
      </c>
      <c r="X4" s="56" t="inlineStr">
        <is>
          <t>NOT_TESTED</t>
        </is>
      </c>
      <c r="Y4" s="56" t="inlineStr">
        <is>
          <t>NOT_TESTED</t>
        </is>
      </c>
      <c r="Z4" s="56" t="inlineStr">
        <is>
          <t>NOT_TESTED</t>
        </is>
      </c>
      <c r="AA4" s="56" t="inlineStr">
        <is>
          <t>NOT_TESTED</t>
        </is>
      </c>
      <c r="AB4" s="56" t="inlineStr">
        <is>
          <t>NOT_TESTED</t>
        </is>
      </c>
      <c r="AC4" s="55" t="inlineStr">
        <is>
          <t>QiskitError</t>
        </is>
      </c>
      <c r="AD4" s="55" t="inlineStr">
        <is>
          <t>qiskit.exceptions.QiskitError: 'ERROR: [Experiment 0] Circuit contains invalid instructions {"gates": {disentangler_dg}} for "statevector" method , ERROR: Circuit contains invalid instructions {"gates": {disentangler_dg}} for "statevector" method'</t>
        </is>
      </c>
      <c r="AE4" s="55" t="inlineStr">
        <is>
          <t>Calling circuit.decompose() only unrolls one level, leaving a 'disentangler_dg' instruction that the Aer statevector simulator cannot run, so the simulation fails.</t>
        </is>
      </c>
      <c r="AF4" s="55" t="inlineStr">
        <is>
          <t>QiskitError</t>
        </is>
      </c>
      <c r="AG4" s="55" t="inlineStr">
        <is>
          <t>qiskit.exceptions.QiskitError: 'ERROR: [Experiment 0] Circuit contains invalid instructions {"gates": {disentangler_dg}} for "statevector" method , ERROR: Circuit contains invalid instructions {"gates": {disentangler_dg}} for "statevector" method'</t>
        </is>
      </c>
      <c r="AH4" s="55" t="inlineStr">
        <is>
          <t>Calling circuit.decompose() only unrolls one level, leaving a 'disentangler_dg' instruction that the Aer statevector simulator cannot run, so the simulation fails.</t>
        </is>
      </c>
      <c r="AI4" s="55" t="inlineStr">
        <is>
          <t>QiskitError</t>
        </is>
      </c>
      <c r="AJ4" s="55" t="inlineStr">
        <is>
          <t>qiskit.exceptions.QiskitError: 'ERROR: [Experiment 0] Circuit contains invalid instructions {"gates": {disentangler_dg}} for "statevector" method , ERROR: Circuit contains invalid instructions {"gates": {disentangler_dg}} for "statevector" method'</t>
        </is>
      </c>
      <c r="AK4" s="55" t="inlineStr">
        <is>
          <t>Calling circuit.decompose() only unrolls one level, leaving a 'disentangler_dg' instruction that the Aer statevector simulator cannot run, so the simulation fails.</t>
        </is>
      </c>
      <c r="AL4" s="55" t="inlineStr">
        <is>
          <t>QiskitError</t>
        </is>
      </c>
      <c r="AM4" s="55" t="inlineStr">
        <is>
          <t>qiskit.exceptions.QiskitError: 'ERROR: [Experiment 0] Circuit contains invalid instructions {"gates": {disentangler_dg}} for "statevector" method , ERROR: Circuit contains invalid instructions {"gates": {disentangler_dg}} for "statevector" method'</t>
        </is>
      </c>
      <c r="AN4" s="55" t="inlineStr">
        <is>
          <t>Calling circuit.decompose() only unrolls one level, leaving a 'disentangler_dg' instruction that the Aer statevector simulator cannot run, so the simulation fails.</t>
        </is>
      </c>
      <c r="AO4" s="55" t="inlineStr">
        <is>
          <t>QiskitError</t>
        </is>
      </c>
      <c r="AP4" s="55" t="inlineStr">
        <is>
          <t>qiskit.exceptions.QiskitError: 'You have to select a circuit or schedule when there is more than one available'</t>
        </is>
      </c>
      <c r="AQ4" s="55" t="inlineStr">
        <is>
          <t>Calling circuit.decompose() only unrolls one level, leaving a 'state_preparation' instruction that Aer cannot load, so the simulation fails and no statevector is returned.</t>
        </is>
      </c>
      <c r="AR4" s="55" t="inlineStr">
        <is>
          <t>QiskitError</t>
        </is>
      </c>
      <c r="AS4" s="55" t="inlineStr">
        <is>
          <t>qiskit.exceptions.QiskitError: 'You have to select a circuit or schedule when there is more than one available'</t>
        </is>
      </c>
      <c r="AT4" s="55" t="inlineStr">
        <is>
          <t>Calling circuit.decompose() only unrolls one level, leaving a 'state_preparation' instruction that Aer cannot load, so the simulation fails and no statevector is returned.</t>
        </is>
      </c>
      <c r="AU4" s="55" t="inlineStr">
        <is>
          <t>QiskitError</t>
        </is>
      </c>
      <c r="AV4" s="55" t="inlineStr">
        <is>
          <t>qiskit.exceptions.QiskitError: 'You have to select a circuit or schedule when there is more than one available'</t>
        </is>
      </c>
      <c r="AW4" s="55" t="inlineStr">
        <is>
          <t>Calling circuit.decompose() only unrolls one level, leaving a 'state_preparation' instruction that Aer cannot load, so the simulation fails and no statevector is returned.</t>
        </is>
      </c>
      <c r="AX4" s="55" t="inlineStr">
        <is>
          <t>QiskitError</t>
        </is>
      </c>
      <c r="AY4" s="55" t="inlineStr">
        <is>
          <t>qiskit.exceptions.QiskitError: 'You have to select a circuit or schedule when there is more than one available'</t>
        </is>
      </c>
      <c r="AZ4" s="55" t="inlineStr">
        <is>
          <t>Calling circuit.decompose() only unrolls one level, leaving a 'state_preparation' instruction that Aer cannot load, so the simulation fails and no statevector is returned.</t>
        </is>
      </c>
      <c r="BA4" s="55" t="inlineStr">
        <is>
          <t>QiskitError</t>
        </is>
      </c>
      <c r="BB4" s="55" t="inlineStr">
        <is>
          <t>qiskit.exceptions.QiskitError: 'You have to select a circuit or schedule when there is more than one available'</t>
        </is>
      </c>
      <c r="BC4" s="55" t="inlineStr">
        <is>
          <t>Calling circuit.decompose() only unrolls one level, leaving a 'state_preparation' instruction that Aer cannot load, so the simulation fails and no statevector is returned.</t>
        </is>
      </c>
      <c r="BD4" s="55" t="inlineStr">
        <is>
          <t>QiskitError</t>
        </is>
      </c>
      <c r="BE4" s="55" t="inlineStr">
        <is>
          <t>qiskit.exceptions.QiskitError: 'You have to select a circuit or schedule when there is more than one available'</t>
        </is>
      </c>
      <c r="BF4" s="55" t="inlineStr">
        <is>
          <t>Calling circuit.decompose() only unrolls one level, leaving a 'state_preparation' instruction that Aer cannot load, so the simulation fails and no statevector is returned.</t>
        </is>
      </c>
      <c r="BG4" s="55" t="inlineStr">
        <is>
          <t>QiskitError</t>
        </is>
      </c>
      <c r="BH4" s="55" t="inlineStr">
        <is>
          <t>qiskit.exceptions.QiskitError: 'You have to select a circuit or schedule when there is more than one available'</t>
        </is>
      </c>
      <c r="BI4" s="55" t="inlineStr">
        <is>
          <t>Calling circuit.decompose() only unrolls one level, leaving a 'state_preparation' instruction that Aer cannot load, so the simulation fails and no statevector is returned.</t>
        </is>
      </c>
      <c r="BJ4" s="55" t="inlineStr">
        <is>
          <t>QiskitError</t>
        </is>
      </c>
      <c r="BK4" s="55" t="inlineStr">
        <is>
          <t>qiskit.exceptions.QiskitError: 'You have to select a circuit or schedule when there is more than one available'</t>
        </is>
      </c>
      <c r="BL4" s="55" t="inlineStr">
        <is>
          <t>Calling circuit.decompose() only unrolls one level, leaving a 'state_preparation' instruction that Aer cannot load, so the simulation fails and no statevector is returned.</t>
        </is>
      </c>
      <c r="BM4" s="55" t="n"/>
      <c r="BN4" s="55" t="n"/>
      <c r="BO4" s="55" t="n"/>
      <c r="BP4" s="55" t="n"/>
      <c r="BQ4" s="55" t="n"/>
      <c r="BR4" s="55" t="n"/>
      <c r="BS4" s="55" t="n"/>
      <c r="BT4" s="55" t="n"/>
      <c r="BU4" s="55" t="n"/>
      <c r="BV4" s="55" t="n"/>
      <c r="BW4" s="55" t="n"/>
      <c r="BX4" s="55" t="n"/>
      <c r="BY4" s="55" t="n"/>
      <c r="BZ4" s="55" t="n"/>
      <c r="CA4" s="55" t="n"/>
      <c r="CB4" s="55" t="n"/>
      <c r="CC4" s="55" t="n"/>
      <c r="CD4" s="55" t="n"/>
      <c r="CE4" s="55" t="n"/>
      <c r="CF4" s="55" t="n"/>
      <c r="CG4" s="55" t="n"/>
      <c r="CH4" s="55" t="n"/>
      <c r="CI4" s="55" t="n"/>
      <c r="CJ4" s="55" t="n"/>
      <c r="CK4" s="55" t="n"/>
      <c r="CL4" s="55" t="n"/>
      <c r="CM4" s="55" t="n"/>
      <c r="CN4" s="55" t="n"/>
      <c r="CO4" s="55" t="n"/>
      <c r="CP4" s="55" t="n"/>
      <c r="CQ4" s="55" t="n"/>
      <c r="CR4" s="55" t="n"/>
      <c r="CS4" s="55" t="n"/>
      <c r="CT4" s="55" t="n"/>
      <c r="CU4" s="55" t="n"/>
      <c r="CV4" s="55" t="n"/>
      <c r="CW4" s="55" t="n"/>
      <c r="CX4" s="55" t="n"/>
      <c r="CY4" s="55" t="n"/>
      <c r="CZ4" s="55" t="n"/>
      <c r="DA4" s="55" t="n"/>
      <c r="DB4" s="55" t="n"/>
      <c r="DC4" s="55" t="n"/>
      <c r="DD4" s="55" t="n"/>
      <c r="DE4" s="55" t="n"/>
    </row>
    <row r="5">
      <c r="A5" s="55" t="inlineStr">
        <is>
          <t>issue_032_se</t>
        </is>
      </c>
      <c r="B5" s="59" t="inlineStr">
        <is>
          <t>PASS</t>
        </is>
      </c>
      <c r="C5" s="59" t="inlineStr">
        <is>
          <t>PASS</t>
        </is>
      </c>
      <c r="D5" s="59" t="inlineStr">
        <is>
          <t>PASS</t>
        </is>
      </c>
      <c r="E5" s="59" t="inlineStr">
        <is>
          <t>PASS</t>
        </is>
      </c>
      <c r="F5" s="56" t="inlineStr">
        <is>
          <t>NOT_TESTED</t>
        </is>
      </c>
      <c r="G5" s="56" t="inlineStr">
        <is>
          <t>NOT_TESTED</t>
        </is>
      </c>
      <c r="H5" s="56" t="inlineStr">
        <is>
          <t>NOT_TESTED</t>
        </is>
      </c>
      <c r="I5" s="56" t="inlineStr">
        <is>
          <t>NOT_TESTED</t>
        </is>
      </c>
      <c r="J5" s="56" t="inlineStr">
        <is>
          <t>NOT_TESTED</t>
        </is>
      </c>
      <c r="K5" s="56" t="inlineStr">
        <is>
          <t>NOT_TESTED</t>
        </is>
      </c>
      <c r="L5" s="56" t="inlineStr">
        <is>
          <t>NOT_TESTED</t>
        </is>
      </c>
      <c r="M5" s="56" t="inlineStr">
        <is>
          <t>NOT_TESTED</t>
        </is>
      </c>
      <c r="N5" s="56" t="inlineStr">
        <is>
          <t>NOT_TESTED</t>
        </is>
      </c>
      <c r="O5" s="56" t="inlineStr">
        <is>
          <t>NOT_TESTED</t>
        </is>
      </c>
      <c r="P5" s="56" t="inlineStr">
        <is>
          <t>NOT_TESTED</t>
        </is>
      </c>
      <c r="Q5" s="56" t="inlineStr">
        <is>
          <t>NOT_TESTED</t>
        </is>
      </c>
      <c r="R5" s="56" t="inlineStr">
        <is>
          <t>NOT_TESTED</t>
        </is>
      </c>
      <c r="S5" s="56" t="inlineStr">
        <is>
          <t>NOT_TESTED</t>
        </is>
      </c>
      <c r="T5" s="56" t="inlineStr">
        <is>
          <t>NOT_TESTED</t>
        </is>
      </c>
      <c r="U5" s="56" t="inlineStr">
        <is>
          <t>NOT_TESTED</t>
        </is>
      </c>
      <c r="V5" s="56" t="inlineStr">
        <is>
          <t>NOT_TESTED</t>
        </is>
      </c>
      <c r="W5" s="56" t="inlineStr">
        <is>
          <t>NOT_TESTED</t>
        </is>
      </c>
      <c r="X5" s="56" t="inlineStr">
        <is>
          <t>NOT_TESTED</t>
        </is>
      </c>
      <c r="Y5" s="56" t="inlineStr">
        <is>
          <t>NOT_TESTED</t>
        </is>
      </c>
      <c r="Z5" s="56" t="inlineStr">
        <is>
          <t>NOT_TESTED</t>
        </is>
      </c>
      <c r="AA5" s="56" t="inlineStr">
        <is>
          <t>NOT_TESTED</t>
        </is>
      </c>
      <c r="AB5" s="56" t="inlineStr">
        <is>
          <t>NOT_TESTED</t>
        </is>
      </c>
      <c r="AC5" s="55" t="n"/>
      <c r="AD5" s="55" t="n"/>
      <c r="AE5" s="55" t="n"/>
      <c r="AF5" s="55" t="n"/>
      <c r="AG5" s="55" t="n"/>
      <c r="AH5" s="55" t="n"/>
      <c r="AI5" s="55" t="n"/>
      <c r="AJ5" s="55" t="n"/>
      <c r="AK5" s="55" t="n"/>
      <c r="AL5" s="55" t="n"/>
      <c r="AM5" s="55" t="n"/>
      <c r="AN5" s="55" t="n"/>
      <c r="AO5" s="55" t="n"/>
      <c r="AP5" s="55" t="n"/>
      <c r="AQ5" s="55" t="n"/>
      <c r="AR5" s="55" t="n"/>
      <c r="AS5" s="55" t="n"/>
      <c r="AT5" s="55" t="n"/>
      <c r="AU5" s="55" t="n"/>
      <c r="AV5" s="55" t="n"/>
      <c r="AW5" s="55" t="n"/>
      <c r="AX5" s="55" t="n"/>
      <c r="AY5" s="55" t="n"/>
      <c r="AZ5" s="55" t="n"/>
      <c r="BA5" s="55" t="n"/>
      <c r="BB5" s="55" t="n"/>
      <c r="BC5" s="55" t="n"/>
      <c r="BD5" s="55" t="n"/>
      <c r="BE5" s="55" t="n"/>
      <c r="BF5" s="55" t="n"/>
      <c r="BG5" s="55" t="n"/>
      <c r="BH5" s="55" t="n"/>
      <c r="BI5" s="55" t="n"/>
      <c r="BJ5" s="55" t="n"/>
      <c r="BK5" s="55" t="n"/>
      <c r="BL5" s="55" t="n"/>
      <c r="BM5" s="55" t="n"/>
      <c r="BN5" s="55" t="n"/>
      <c r="BO5" s="55" t="n"/>
      <c r="BP5" s="55" t="n"/>
      <c r="BQ5" s="55" t="n"/>
      <c r="BR5" s="55" t="n"/>
      <c r="BS5" s="55" t="n"/>
      <c r="BT5" s="55" t="n"/>
      <c r="BU5" s="55" t="n"/>
      <c r="BV5" s="55" t="n"/>
      <c r="BW5" s="55" t="n"/>
      <c r="BX5" s="55" t="n"/>
      <c r="BY5" s="55" t="n"/>
      <c r="BZ5" s="55" t="n"/>
      <c r="CA5" s="55" t="n"/>
      <c r="CB5" s="55" t="n"/>
      <c r="CC5" s="55" t="n"/>
      <c r="CD5" s="55" t="n"/>
      <c r="CE5" s="55" t="n"/>
      <c r="CF5" s="55" t="n"/>
      <c r="CG5" s="55" t="n"/>
      <c r="CH5" s="55" t="n"/>
      <c r="CI5" s="55" t="n"/>
      <c r="CJ5" s="55" t="n"/>
      <c r="CK5" s="55" t="n"/>
      <c r="CL5" s="55" t="n"/>
      <c r="CM5" s="55" t="n"/>
      <c r="CN5" s="55" t="n"/>
      <c r="CO5" s="55" t="n"/>
      <c r="CP5" s="55" t="n"/>
      <c r="CQ5" s="55" t="n"/>
      <c r="CR5" s="55" t="n"/>
      <c r="CS5" s="55" t="n"/>
      <c r="CT5" s="55" t="n"/>
      <c r="CU5" s="55" t="n"/>
      <c r="CV5" s="55" t="n"/>
      <c r="CW5" s="55" t="n"/>
      <c r="CX5" s="55" t="n"/>
      <c r="CY5" s="55" t="n"/>
      <c r="CZ5" s="55" t="n"/>
      <c r="DA5" s="55" t="n"/>
      <c r="DB5" s="55" t="n"/>
      <c r="DC5" s="55" t="n"/>
      <c r="DD5" s="55" t="n"/>
      <c r="DE5" s="55" t="n"/>
    </row>
    <row r="6">
      <c r="A6" s="55" t="inlineStr">
        <is>
          <t>issue_034</t>
        </is>
      </c>
      <c r="B6" s="56" t="inlineStr">
        <is>
          <t>NOT_TESTED</t>
        </is>
      </c>
      <c r="C6" s="56" t="inlineStr">
        <is>
          <t>NOT_TESTED</t>
        </is>
      </c>
      <c r="D6" s="56" t="inlineStr">
        <is>
          <t>NOT_TESTED</t>
        </is>
      </c>
      <c r="E6" s="56" t="inlineStr">
        <is>
          <t>NOT_TESTED</t>
        </is>
      </c>
      <c r="F6" s="56" t="inlineStr">
        <is>
          <t>NOT_TESTED</t>
        </is>
      </c>
      <c r="G6" s="56" t="inlineStr">
        <is>
          <t>NOT_TESTED</t>
        </is>
      </c>
      <c r="H6" s="56" t="inlineStr">
        <is>
          <t>NOT_TESTED</t>
        </is>
      </c>
      <c r="I6" s="56" t="inlineStr">
        <is>
          <t>NOT_TESTED</t>
        </is>
      </c>
      <c r="J6" s="56" t="inlineStr">
        <is>
          <t>NOT_TESTED</t>
        </is>
      </c>
      <c r="K6" s="56" t="inlineStr">
        <is>
          <t>NOT_TESTED</t>
        </is>
      </c>
      <c r="L6" s="56" t="inlineStr">
        <is>
          <t>NOT_TESTED</t>
        </is>
      </c>
      <c r="M6" s="56" t="inlineStr">
        <is>
          <t>NOT_TESTED</t>
        </is>
      </c>
      <c r="N6" s="59" t="inlineStr">
        <is>
          <t>PASS</t>
        </is>
      </c>
      <c r="O6" s="59" t="inlineStr">
        <is>
          <t>PASS</t>
        </is>
      </c>
      <c r="P6" s="59" t="inlineStr">
        <is>
          <t>PASS</t>
        </is>
      </c>
      <c r="Q6" s="59" t="inlineStr">
        <is>
          <t>PASS</t>
        </is>
      </c>
      <c r="R6" s="59" t="inlineStr">
        <is>
          <t>PASS</t>
        </is>
      </c>
      <c r="S6" s="59" t="inlineStr">
        <is>
          <t>PASS</t>
        </is>
      </c>
      <c r="T6" s="59" t="inlineStr">
        <is>
          <t>PASS</t>
        </is>
      </c>
      <c r="U6" s="59" t="inlineStr">
        <is>
          <t>PASS</t>
        </is>
      </c>
      <c r="V6" s="59" t="inlineStr">
        <is>
          <t>PASS</t>
        </is>
      </c>
      <c r="W6" s="59" t="inlineStr">
        <is>
          <t>PASS</t>
        </is>
      </c>
      <c r="X6" s="59" t="inlineStr">
        <is>
          <t>PASS</t>
        </is>
      </c>
      <c r="Y6" s="59" t="inlineStr">
        <is>
          <t>PASS</t>
        </is>
      </c>
      <c r="Z6" s="59" t="inlineStr">
        <is>
          <t>PASS</t>
        </is>
      </c>
      <c r="AA6" s="59" t="inlineStr">
        <is>
          <t>PASS</t>
        </is>
      </c>
      <c r="AB6" s="59" t="inlineStr">
        <is>
          <t>PASS</t>
        </is>
      </c>
      <c r="AC6" s="55" t="n"/>
      <c r="AD6" s="55" t="n"/>
      <c r="AE6" s="55" t="n"/>
      <c r="AF6" s="55" t="n"/>
      <c r="AG6" s="55" t="n"/>
      <c r="AH6" s="55" t="n"/>
      <c r="AI6" s="55" t="n"/>
      <c r="AJ6" s="55" t="n"/>
      <c r="AK6" s="55" t="n"/>
      <c r="AL6" s="55" t="n"/>
      <c r="AM6" s="55" t="n"/>
      <c r="AN6" s="55" t="n"/>
      <c r="AO6" s="55" t="n"/>
      <c r="AP6" s="55" t="n"/>
      <c r="AQ6" s="55" t="n"/>
      <c r="AR6" s="55" t="n"/>
      <c r="AS6" s="55" t="n"/>
      <c r="AT6" s="55" t="n"/>
      <c r="AU6" s="55" t="n"/>
      <c r="AV6" s="55" t="n"/>
      <c r="AW6" s="55" t="n"/>
      <c r="AX6" s="55" t="n"/>
      <c r="AY6" s="55" t="n"/>
      <c r="AZ6" s="55" t="n"/>
      <c r="BA6" s="55" t="n"/>
      <c r="BB6" s="55" t="n"/>
      <c r="BC6" s="55" t="n"/>
      <c r="BD6" s="55" t="n"/>
      <c r="BE6" s="55" t="n"/>
      <c r="BF6" s="55" t="n"/>
      <c r="BG6" s="55" t="n"/>
      <c r="BH6" s="55" t="n"/>
      <c r="BI6" s="55" t="n"/>
      <c r="BJ6" s="55" t="n"/>
      <c r="BK6" s="55" t="n"/>
      <c r="BL6" s="55" t="n"/>
      <c r="BM6" s="55" t="n"/>
      <c r="BN6" s="55" t="n"/>
      <c r="BO6" s="55" t="n"/>
      <c r="BP6" s="55" t="n"/>
      <c r="BQ6" s="55" t="n"/>
      <c r="BR6" s="55" t="n"/>
      <c r="BS6" s="55" t="n"/>
      <c r="BT6" s="55" t="n"/>
      <c r="BU6" s="55" t="n"/>
      <c r="BV6" s="55" t="n"/>
      <c r="BW6" s="55" t="n"/>
      <c r="BX6" s="55" t="n"/>
      <c r="BY6" s="55" t="n"/>
      <c r="BZ6" s="55" t="n"/>
      <c r="CA6" s="55" t="n"/>
      <c r="CB6" s="55" t="n"/>
      <c r="CC6" s="55" t="n"/>
      <c r="CD6" s="55" t="n"/>
      <c r="CE6" s="55" t="n"/>
      <c r="CF6" s="55" t="n"/>
      <c r="CG6" s="55" t="n"/>
      <c r="CH6" s="55" t="n"/>
      <c r="CI6" s="55" t="n"/>
      <c r="CJ6" s="55" t="n"/>
      <c r="CK6" s="55" t="n"/>
      <c r="CL6" s="55" t="n"/>
      <c r="CM6" s="55" t="n"/>
      <c r="CN6" s="55" t="n"/>
      <c r="CO6" s="55" t="n"/>
      <c r="CP6" s="55" t="n"/>
      <c r="CQ6" s="55" t="n"/>
      <c r="CR6" s="55" t="n"/>
      <c r="CS6" s="55" t="n"/>
      <c r="CT6" s="55" t="n"/>
      <c r="CU6" s="55" t="n"/>
      <c r="CV6" s="55" t="n"/>
      <c r="CW6" s="55" t="n"/>
      <c r="CX6" s="55" t="n"/>
      <c r="CY6" s="55" t="n"/>
      <c r="CZ6" s="55" t="n"/>
      <c r="DA6" s="55" t="n"/>
      <c r="DB6" s="55" t="n"/>
      <c r="DC6" s="55" t="n"/>
      <c r="DD6" s="55" t="n"/>
      <c r="DE6" s="55" t="n"/>
    </row>
    <row r="7">
      <c r="A7" s="55" t="inlineStr">
        <is>
          <t>issue_036</t>
        </is>
      </c>
      <c r="B7" s="56" t="inlineStr">
        <is>
          <t>NOT_TESTED</t>
        </is>
      </c>
      <c r="C7" s="56" t="inlineStr">
        <is>
          <t>NOT_TESTED</t>
        </is>
      </c>
      <c r="D7" s="56" t="inlineStr">
        <is>
          <t>NOT_TESTED</t>
        </is>
      </c>
      <c r="E7" s="56" t="inlineStr">
        <is>
          <t>NOT_TESTED</t>
        </is>
      </c>
      <c r="F7" s="56" t="inlineStr">
        <is>
          <t>NOT_TESTED</t>
        </is>
      </c>
      <c r="G7" s="56" t="inlineStr">
        <is>
          <t>NOT_TESTED</t>
        </is>
      </c>
      <c r="H7" s="56" t="inlineStr">
        <is>
          <t>NOT_TESTED</t>
        </is>
      </c>
      <c r="I7" s="56" t="inlineStr">
        <is>
          <t>NOT_TESTED</t>
        </is>
      </c>
      <c r="J7" s="56" t="inlineStr">
        <is>
          <t>NOT_TESTED</t>
        </is>
      </c>
      <c r="K7" s="56" t="inlineStr">
        <is>
          <t>NOT_TESTED</t>
        </is>
      </c>
      <c r="L7" s="56" t="inlineStr">
        <is>
          <t>NOT_TESTED</t>
        </is>
      </c>
      <c r="M7" s="56" t="inlineStr">
        <is>
          <t>NOT_TESTED</t>
        </is>
      </c>
      <c r="N7" s="59" t="inlineStr">
        <is>
          <t>PASS</t>
        </is>
      </c>
      <c r="O7" s="59" t="inlineStr">
        <is>
          <t>PASS</t>
        </is>
      </c>
      <c r="P7" s="59" t="inlineStr">
        <is>
          <t>PASS</t>
        </is>
      </c>
      <c r="Q7" s="59" t="inlineStr">
        <is>
          <t>PASS</t>
        </is>
      </c>
      <c r="R7" s="59" t="inlineStr">
        <is>
          <t>PASS</t>
        </is>
      </c>
      <c r="S7" s="59" t="inlineStr">
        <is>
          <t>PASS</t>
        </is>
      </c>
      <c r="T7" s="59" t="inlineStr">
        <is>
          <t>PASS</t>
        </is>
      </c>
      <c r="U7" s="59" t="inlineStr">
        <is>
          <t>PASS</t>
        </is>
      </c>
      <c r="V7" s="59" t="inlineStr">
        <is>
          <t>PASS</t>
        </is>
      </c>
      <c r="W7" s="59" t="inlineStr">
        <is>
          <t>PASS</t>
        </is>
      </c>
      <c r="X7" s="59" t="inlineStr">
        <is>
          <t>PASS</t>
        </is>
      </c>
      <c r="Y7" s="59" t="inlineStr">
        <is>
          <t>PASS</t>
        </is>
      </c>
      <c r="Z7" s="59" t="inlineStr">
        <is>
          <t>PASS</t>
        </is>
      </c>
      <c r="AA7" s="59" t="inlineStr">
        <is>
          <t>PASS</t>
        </is>
      </c>
      <c r="AB7" s="59" t="inlineStr">
        <is>
          <t>PASS</t>
        </is>
      </c>
      <c r="AC7" s="55" t="n"/>
      <c r="AD7" s="55" t="n"/>
      <c r="AE7" s="55" t="n"/>
      <c r="AF7" s="55" t="n"/>
      <c r="AG7" s="55" t="n"/>
      <c r="AH7" s="55" t="n"/>
      <c r="AI7" s="55" t="n"/>
      <c r="AJ7" s="55" t="n"/>
      <c r="AK7" s="55" t="n"/>
      <c r="AL7" s="55" t="n"/>
      <c r="AM7" s="55" t="n"/>
      <c r="AN7" s="55" t="n"/>
      <c r="AO7" s="55" t="n"/>
      <c r="AP7" s="55" t="n"/>
      <c r="AQ7" s="55" t="n"/>
      <c r="AR7" s="55" t="n"/>
      <c r="AS7" s="55" t="n"/>
      <c r="AT7" s="55" t="n"/>
      <c r="AU7" s="55" t="n"/>
      <c r="AV7" s="55" t="n"/>
      <c r="AW7" s="55" t="n"/>
      <c r="AX7" s="55" t="n"/>
      <c r="AY7" s="55" t="n"/>
      <c r="AZ7" s="55" t="n"/>
      <c r="BA7" s="55" t="n"/>
      <c r="BB7" s="55" t="n"/>
      <c r="BC7" s="55" t="n"/>
      <c r="BD7" s="55" t="n"/>
      <c r="BE7" s="55" t="n"/>
      <c r="BF7" s="55" t="n"/>
      <c r="BG7" s="55" t="n"/>
      <c r="BH7" s="55" t="n"/>
      <c r="BI7" s="55" t="n"/>
      <c r="BJ7" s="55" t="n"/>
      <c r="BK7" s="55" t="n"/>
      <c r="BL7" s="55" t="n"/>
      <c r="BM7" s="55" t="n"/>
      <c r="BN7" s="55" t="n"/>
      <c r="BO7" s="55" t="n"/>
      <c r="BP7" s="55" t="n"/>
      <c r="BQ7" s="55" t="n"/>
      <c r="BR7" s="55" t="n"/>
      <c r="BS7" s="55" t="n"/>
      <c r="BT7" s="55" t="n"/>
      <c r="BU7" s="55" t="n"/>
      <c r="BV7" s="55" t="n"/>
      <c r="BW7" s="55" t="n"/>
      <c r="BX7" s="55" t="n"/>
      <c r="BY7" s="55" t="n"/>
      <c r="BZ7" s="55" t="n"/>
      <c r="CA7" s="55" t="n"/>
      <c r="CB7" s="55" t="n"/>
      <c r="CC7" s="55" t="n"/>
      <c r="CD7" s="55" t="n"/>
      <c r="CE7" s="55" t="n"/>
      <c r="CF7" s="55" t="n"/>
      <c r="CG7" s="55" t="n"/>
      <c r="CH7" s="55" t="n"/>
      <c r="CI7" s="55" t="n"/>
      <c r="CJ7" s="55" t="n"/>
      <c r="CK7" s="55" t="n"/>
      <c r="CL7" s="55" t="n"/>
      <c r="CM7" s="55" t="n"/>
      <c r="CN7" s="55" t="n"/>
      <c r="CO7" s="55" t="n"/>
      <c r="CP7" s="55" t="n"/>
      <c r="CQ7" s="55" t="n"/>
      <c r="CR7" s="55" t="n"/>
      <c r="CS7" s="55" t="n"/>
      <c r="CT7" s="55" t="n"/>
      <c r="CU7" s="55" t="n"/>
      <c r="CV7" s="55" t="n"/>
      <c r="CW7" s="55" t="n"/>
      <c r="CX7" s="55" t="n"/>
      <c r="CY7" s="55" t="n"/>
      <c r="CZ7" s="55" t="n"/>
      <c r="DA7" s="55" t="n"/>
      <c r="DB7" s="55" t="n"/>
      <c r="DC7" s="55" t="n"/>
      <c r="DD7" s="55" t="n"/>
      <c r="DE7" s="55" t="n"/>
    </row>
    <row r="8">
      <c r="A8" s="55" t="inlineStr">
        <is>
          <t>issue_058_se</t>
        </is>
      </c>
      <c r="B8" s="59" t="inlineStr">
        <is>
          <t>PASS</t>
        </is>
      </c>
      <c r="C8" s="59" t="inlineStr">
        <is>
          <t>PASS</t>
        </is>
      </c>
      <c r="D8" s="59" t="inlineStr">
        <is>
          <t>PASS</t>
        </is>
      </c>
      <c r="E8" s="59" t="inlineStr">
        <is>
          <t>PASS</t>
        </is>
      </c>
      <c r="F8" s="59" t="inlineStr">
        <is>
          <t>PASS</t>
        </is>
      </c>
      <c r="G8" s="59" t="inlineStr">
        <is>
          <t>PASS</t>
        </is>
      </c>
      <c r="H8" s="59" t="inlineStr">
        <is>
          <t>PASS</t>
        </is>
      </c>
      <c r="I8" s="59" t="inlineStr">
        <is>
          <t>PASS</t>
        </is>
      </c>
      <c r="J8" s="59" t="inlineStr">
        <is>
          <t>PASS</t>
        </is>
      </c>
      <c r="K8" s="59" t="inlineStr">
        <is>
          <t>PASS</t>
        </is>
      </c>
      <c r="L8" s="59" t="inlineStr">
        <is>
          <t>PASS</t>
        </is>
      </c>
      <c r="M8" s="59" t="inlineStr">
        <is>
          <t>PASS</t>
        </is>
      </c>
      <c r="N8" s="56" t="inlineStr">
        <is>
          <t>NOT_TESTED</t>
        </is>
      </c>
      <c r="O8" s="56" t="inlineStr">
        <is>
          <t>NOT_TESTED</t>
        </is>
      </c>
      <c r="P8" s="56" t="inlineStr">
        <is>
          <t>NOT_TESTED</t>
        </is>
      </c>
      <c r="Q8" s="56" t="inlineStr">
        <is>
          <t>NOT_TESTED</t>
        </is>
      </c>
      <c r="R8" s="56" t="inlineStr">
        <is>
          <t>NOT_TESTED</t>
        </is>
      </c>
      <c r="S8" s="56" t="inlineStr">
        <is>
          <t>NOT_TESTED</t>
        </is>
      </c>
      <c r="T8" s="56" t="inlineStr">
        <is>
          <t>NOT_TESTED</t>
        </is>
      </c>
      <c r="U8" s="56" t="inlineStr">
        <is>
          <t>NOT_TESTED</t>
        </is>
      </c>
      <c r="V8" s="56" t="inlineStr">
        <is>
          <t>NOT_TESTED</t>
        </is>
      </c>
      <c r="W8" s="56" t="inlineStr">
        <is>
          <t>NOT_TESTED</t>
        </is>
      </c>
      <c r="X8" s="56" t="inlineStr">
        <is>
          <t>NOT_TESTED</t>
        </is>
      </c>
      <c r="Y8" s="56" t="inlineStr">
        <is>
          <t>NOT_TESTED</t>
        </is>
      </c>
      <c r="Z8" s="56" t="inlineStr">
        <is>
          <t>NOT_TESTED</t>
        </is>
      </c>
      <c r="AA8" s="56" t="inlineStr">
        <is>
          <t>NOT_TESTED</t>
        </is>
      </c>
      <c r="AB8" s="56" t="inlineStr">
        <is>
          <t>NOT_TESTED</t>
        </is>
      </c>
      <c r="AC8" s="55" t="n"/>
      <c r="AD8" s="55" t="n"/>
      <c r="AE8" s="55" t="n"/>
      <c r="AF8" s="55" t="n"/>
      <c r="AG8" s="55" t="n"/>
      <c r="AH8" s="55" t="n"/>
      <c r="AI8" s="55" t="n"/>
      <c r="AJ8" s="55" t="n"/>
      <c r="AK8" s="55" t="n"/>
      <c r="AL8" s="55" t="n"/>
      <c r="AM8" s="55" t="n"/>
      <c r="AN8" s="55" t="n"/>
      <c r="AO8" s="55" t="n"/>
      <c r="AP8" s="55" t="n"/>
      <c r="AQ8" s="55" t="n"/>
      <c r="AR8" s="55" t="n"/>
      <c r="AS8" s="55" t="n"/>
      <c r="AT8" s="55" t="n"/>
      <c r="AU8" s="55" t="n"/>
      <c r="AV8" s="55" t="n"/>
      <c r="AW8" s="55" t="n"/>
      <c r="AX8" s="55" t="n"/>
      <c r="AY8" s="55" t="n"/>
      <c r="AZ8" s="55" t="n"/>
      <c r="BA8" s="55" t="n"/>
      <c r="BB8" s="55" t="n"/>
      <c r="BC8" s="55" t="n"/>
      <c r="BD8" s="55" t="n"/>
      <c r="BE8" s="55" t="n"/>
      <c r="BF8" s="55" t="n"/>
      <c r="BG8" s="55" t="n"/>
      <c r="BH8" s="55" t="n"/>
      <c r="BI8" s="55" t="n"/>
      <c r="BJ8" s="55" t="n"/>
      <c r="BK8" s="55" t="n"/>
      <c r="BL8" s="55" t="n"/>
      <c r="BM8" s="55" t="n"/>
      <c r="BN8" s="55" t="n"/>
      <c r="BO8" s="55" t="n"/>
      <c r="BP8" s="55" t="n"/>
      <c r="BQ8" s="55" t="n"/>
      <c r="BR8" s="55" t="n"/>
      <c r="BS8" s="55" t="n"/>
      <c r="BT8" s="55" t="n"/>
      <c r="BU8" s="55" t="n"/>
      <c r="BV8" s="55" t="n"/>
      <c r="BW8" s="55" t="n"/>
      <c r="BX8" s="55" t="n"/>
      <c r="BY8" s="55" t="n"/>
      <c r="BZ8" s="55" t="n"/>
      <c r="CA8" s="55" t="n"/>
      <c r="CB8" s="55" t="n"/>
      <c r="CC8" s="55" t="n"/>
      <c r="CD8" s="55" t="n"/>
      <c r="CE8" s="55" t="n"/>
      <c r="CF8" s="55" t="n"/>
      <c r="CG8" s="55" t="n"/>
      <c r="CH8" s="55" t="n"/>
      <c r="CI8" s="55" t="n"/>
      <c r="CJ8" s="55" t="n"/>
      <c r="CK8" s="55" t="n"/>
      <c r="CL8" s="55" t="n"/>
      <c r="CM8" s="55" t="n"/>
      <c r="CN8" s="55" t="n"/>
      <c r="CO8" s="55" t="n"/>
      <c r="CP8" s="55" t="n"/>
      <c r="CQ8" s="55" t="n"/>
      <c r="CR8" s="55" t="n"/>
      <c r="CS8" s="55" t="n"/>
      <c r="CT8" s="55" t="n"/>
      <c r="CU8" s="55" t="n"/>
      <c r="CV8" s="55" t="n"/>
      <c r="CW8" s="55" t="n"/>
      <c r="CX8" s="55" t="n"/>
      <c r="CY8" s="55" t="n"/>
      <c r="CZ8" s="55" t="n"/>
      <c r="DA8" s="55" t="n"/>
      <c r="DB8" s="55" t="n"/>
      <c r="DC8" s="55" t="n"/>
      <c r="DD8" s="55" t="n"/>
      <c r="DE8" s="55" t="n"/>
    </row>
    <row r="9">
      <c r="A9" s="55" t="inlineStr">
        <is>
          <t>issue_061</t>
        </is>
      </c>
      <c r="B9" s="56" t="inlineStr">
        <is>
          <t>NOT_TESTED</t>
        </is>
      </c>
      <c r="C9" s="56" t="inlineStr">
        <is>
          <t>NOT_TESTED</t>
        </is>
      </c>
      <c r="D9" s="56" t="inlineStr">
        <is>
          <t>NOT_TESTED</t>
        </is>
      </c>
      <c r="E9" s="56" t="inlineStr">
        <is>
          <t>NOT_TESTED</t>
        </is>
      </c>
      <c r="F9" s="56" t="inlineStr">
        <is>
          <t>NOT_TESTED</t>
        </is>
      </c>
      <c r="G9" s="56" t="inlineStr">
        <is>
          <t>NOT_TESTED</t>
        </is>
      </c>
      <c r="H9" s="56" t="inlineStr">
        <is>
          <t>NOT_TESTED</t>
        </is>
      </c>
      <c r="I9" s="56" t="inlineStr">
        <is>
          <t>NOT_TESTED</t>
        </is>
      </c>
      <c r="J9" s="56" t="inlineStr">
        <is>
          <t>NOT_TESTED</t>
        </is>
      </c>
      <c r="K9" s="56" t="inlineStr">
        <is>
          <t>NOT_TESTED</t>
        </is>
      </c>
      <c r="L9" s="56" t="inlineStr">
        <is>
          <t>NOT_TESTED</t>
        </is>
      </c>
      <c r="M9" s="56" t="inlineStr">
        <is>
          <t>NOT_TESTED</t>
        </is>
      </c>
      <c r="N9" s="59" t="inlineStr">
        <is>
          <t>PASS</t>
        </is>
      </c>
      <c r="O9" s="59" t="inlineStr">
        <is>
          <t>PASS</t>
        </is>
      </c>
      <c r="P9" s="59" t="inlineStr">
        <is>
          <t>PASS</t>
        </is>
      </c>
      <c r="Q9" s="59" t="inlineStr">
        <is>
          <t>PASS</t>
        </is>
      </c>
      <c r="R9" s="59" t="inlineStr">
        <is>
          <t>PASS</t>
        </is>
      </c>
      <c r="S9" s="59" t="inlineStr">
        <is>
          <t>PASS</t>
        </is>
      </c>
      <c r="T9" s="59" t="inlineStr">
        <is>
          <t>PASS</t>
        </is>
      </c>
      <c r="U9" s="59" t="inlineStr">
        <is>
          <t>PASS</t>
        </is>
      </c>
      <c r="V9" s="59" t="inlineStr">
        <is>
          <t>PASS</t>
        </is>
      </c>
      <c r="W9" s="59" t="inlineStr">
        <is>
          <t>PASS</t>
        </is>
      </c>
      <c r="X9" s="59" t="inlineStr">
        <is>
          <t>PASS</t>
        </is>
      </c>
      <c r="Y9" s="59" t="inlineStr">
        <is>
          <t>PASS</t>
        </is>
      </c>
      <c r="Z9" s="59" t="inlineStr">
        <is>
          <t>PASS</t>
        </is>
      </c>
      <c r="AA9" s="59" t="inlineStr">
        <is>
          <t>PASS</t>
        </is>
      </c>
      <c r="AB9" s="59" t="inlineStr">
        <is>
          <t>PASS</t>
        </is>
      </c>
      <c r="AC9" s="55" t="n"/>
      <c r="AD9" s="55" t="n"/>
      <c r="AE9" s="55" t="n"/>
      <c r="AF9" s="55" t="n"/>
      <c r="AG9" s="55" t="n"/>
      <c r="AH9" s="55" t="n"/>
      <c r="AI9" s="55" t="n"/>
      <c r="AJ9" s="55" t="n"/>
      <c r="AK9" s="55" t="n"/>
      <c r="AL9" s="55" t="n"/>
      <c r="AM9" s="55" t="n"/>
      <c r="AN9" s="55" t="n"/>
      <c r="AO9" s="55" t="n"/>
      <c r="AP9" s="55" t="n"/>
      <c r="AQ9" s="55" t="n"/>
      <c r="AR9" s="55" t="n"/>
      <c r="AS9" s="55" t="n"/>
      <c r="AT9" s="55" t="n"/>
      <c r="AU9" s="55" t="n"/>
      <c r="AV9" s="55" t="n"/>
      <c r="AW9" s="55" t="n"/>
      <c r="AX9" s="55" t="n"/>
      <c r="AY9" s="55" t="n"/>
      <c r="AZ9" s="55" t="n"/>
      <c r="BA9" s="55" t="n"/>
      <c r="BB9" s="55" t="n"/>
      <c r="BC9" s="55" t="n"/>
      <c r="BD9" s="55" t="n"/>
      <c r="BE9" s="55" t="n"/>
      <c r="BF9" s="55" t="n"/>
      <c r="BG9" s="55" t="n"/>
      <c r="BH9" s="55" t="n"/>
      <c r="BI9" s="55" t="n"/>
      <c r="BJ9" s="55" t="n"/>
      <c r="BK9" s="55" t="n"/>
      <c r="BL9" s="55" t="n"/>
      <c r="BM9" s="55" t="n"/>
      <c r="BN9" s="55" t="n"/>
      <c r="BO9" s="55" t="n"/>
      <c r="BP9" s="55" t="n"/>
      <c r="BQ9" s="55" t="n"/>
      <c r="BR9" s="55" t="n"/>
      <c r="BS9" s="55" t="n"/>
      <c r="BT9" s="55" t="n"/>
      <c r="BU9" s="55" t="n"/>
      <c r="BV9" s="55" t="n"/>
      <c r="BW9" s="55" t="n"/>
      <c r="BX9" s="55" t="n"/>
      <c r="BY9" s="55" t="n"/>
      <c r="BZ9" s="55" t="n"/>
      <c r="CA9" s="55" t="n"/>
      <c r="CB9" s="55" t="n"/>
      <c r="CC9" s="55" t="n"/>
      <c r="CD9" s="55" t="n"/>
      <c r="CE9" s="55" t="n"/>
      <c r="CF9" s="55" t="n"/>
      <c r="CG9" s="55" t="n"/>
      <c r="CH9" s="55" t="n"/>
      <c r="CI9" s="55" t="n"/>
      <c r="CJ9" s="55" t="n"/>
      <c r="CK9" s="55" t="n"/>
      <c r="CL9" s="55" t="n"/>
      <c r="CM9" s="55" t="n"/>
      <c r="CN9" s="55" t="n"/>
      <c r="CO9" s="55" t="n"/>
      <c r="CP9" s="55" t="n"/>
      <c r="CQ9" s="55" t="n"/>
      <c r="CR9" s="55" t="n"/>
      <c r="CS9" s="55" t="n"/>
      <c r="CT9" s="55" t="n"/>
      <c r="CU9" s="55" t="n"/>
      <c r="CV9" s="55" t="n"/>
      <c r="CW9" s="55" t="n"/>
      <c r="CX9" s="55" t="n"/>
      <c r="CY9" s="55" t="n"/>
      <c r="CZ9" s="55" t="n"/>
      <c r="DA9" s="55" t="n"/>
      <c r="DB9" s="55" t="n"/>
      <c r="DC9" s="55" t="n"/>
      <c r="DD9" s="55" t="n"/>
      <c r="DE9" s="55" t="n"/>
    </row>
    <row r="10">
      <c r="A10" s="55" t="inlineStr">
        <is>
          <t>issue_072</t>
        </is>
      </c>
      <c r="B10" s="59" t="inlineStr">
        <is>
          <t>PASS</t>
        </is>
      </c>
      <c r="C10" s="59" t="inlineStr">
        <is>
          <t>PASS</t>
        </is>
      </c>
      <c r="D10" s="59" t="inlineStr">
        <is>
          <t>PASS</t>
        </is>
      </c>
      <c r="E10" s="59" t="inlineStr">
        <is>
          <t>PASS</t>
        </is>
      </c>
      <c r="F10" s="56" t="inlineStr">
        <is>
          <t>NOT_TESTED</t>
        </is>
      </c>
      <c r="G10" s="56" t="inlineStr">
        <is>
          <t>NOT_TESTED</t>
        </is>
      </c>
      <c r="H10" s="56" t="inlineStr">
        <is>
          <t>NOT_TESTED</t>
        </is>
      </c>
      <c r="I10" s="56" t="inlineStr">
        <is>
          <t>NOT_TESTED</t>
        </is>
      </c>
      <c r="J10" s="56" t="inlineStr">
        <is>
          <t>NOT_TESTED</t>
        </is>
      </c>
      <c r="K10" s="56" t="inlineStr">
        <is>
          <t>NOT_TESTED</t>
        </is>
      </c>
      <c r="L10" s="56" t="inlineStr">
        <is>
          <t>NOT_TESTED</t>
        </is>
      </c>
      <c r="M10" s="56" t="inlineStr">
        <is>
          <t>NOT_TESTED</t>
        </is>
      </c>
      <c r="N10" s="56" t="inlineStr">
        <is>
          <t>NOT_TESTED</t>
        </is>
      </c>
      <c r="O10" s="56" t="inlineStr">
        <is>
          <t>NOT_TESTED</t>
        </is>
      </c>
      <c r="P10" s="56" t="inlineStr">
        <is>
          <t>NOT_TESTED</t>
        </is>
      </c>
      <c r="Q10" s="56" t="inlineStr">
        <is>
          <t>NOT_TESTED</t>
        </is>
      </c>
      <c r="R10" s="56" t="inlineStr">
        <is>
          <t>NOT_TESTED</t>
        </is>
      </c>
      <c r="S10" s="56" t="inlineStr">
        <is>
          <t>NOT_TESTED</t>
        </is>
      </c>
      <c r="T10" s="56" t="inlineStr">
        <is>
          <t>NOT_TESTED</t>
        </is>
      </c>
      <c r="U10" s="56" t="inlineStr">
        <is>
          <t>NOT_TESTED</t>
        </is>
      </c>
      <c r="V10" s="56" t="inlineStr">
        <is>
          <t>NOT_TESTED</t>
        </is>
      </c>
      <c r="W10" s="56" t="inlineStr">
        <is>
          <t>NOT_TESTED</t>
        </is>
      </c>
      <c r="X10" s="56" t="inlineStr">
        <is>
          <t>NOT_TESTED</t>
        </is>
      </c>
      <c r="Y10" s="56" t="inlineStr">
        <is>
          <t>NOT_TESTED</t>
        </is>
      </c>
      <c r="Z10" s="56" t="inlineStr">
        <is>
          <t>NOT_TESTED</t>
        </is>
      </c>
      <c r="AA10" s="56" t="inlineStr">
        <is>
          <t>NOT_TESTED</t>
        </is>
      </c>
      <c r="AB10" s="56" t="inlineStr">
        <is>
          <t>NOT_TESTED</t>
        </is>
      </c>
      <c r="AC10" s="55" t="n"/>
      <c r="AD10" s="55" t="n"/>
      <c r="AE10" s="55" t="n"/>
      <c r="AF10" s="55" t="n"/>
      <c r="AG10" s="55" t="n"/>
      <c r="AH10" s="55" t="n"/>
      <c r="AI10" s="55" t="n"/>
      <c r="AJ10" s="55" t="n"/>
      <c r="AK10" s="55" t="n"/>
      <c r="AL10" s="55" t="n"/>
      <c r="AM10" s="55" t="n"/>
      <c r="AN10" s="55" t="n"/>
      <c r="AO10" s="55" t="n"/>
      <c r="AP10" s="55" t="n"/>
      <c r="AQ10" s="55" t="n"/>
      <c r="AR10" s="55" t="n"/>
      <c r="AS10" s="55" t="n"/>
      <c r="AT10" s="55" t="n"/>
      <c r="AU10" s="55" t="n"/>
      <c r="AV10" s="55" t="n"/>
      <c r="AW10" s="55" t="n"/>
      <c r="AX10" s="55" t="n"/>
      <c r="AY10" s="55" t="n"/>
      <c r="AZ10" s="55" t="n"/>
      <c r="BA10" s="55" t="n"/>
      <c r="BB10" s="55" t="n"/>
      <c r="BC10" s="55" t="n"/>
      <c r="BD10" s="55" t="n"/>
      <c r="BE10" s="55" t="n"/>
      <c r="BF10" s="55" t="n"/>
      <c r="BG10" s="55" t="n"/>
      <c r="BH10" s="55" t="n"/>
      <c r="BI10" s="55" t="n"/>
      <c r="BJ10" s="55" t="n"/>
      <c r="BK10" s="55" t="n"/>
      <c r="BL10" s="55" t="n"/>
      <c r="BM10" s="55" t="n"/>
      <c r="BN10" s="55" t="n"/>
      <c r="BO10" s="55" t="n"/>
      <c r="BP10" s="55" t="n"/>
      <c r="BQ10" s="55" t="n"/>
      <c r="BR10" s="55" t="n"/>
      <c r="BS10" s="55" t="n"/>
      <c r="BT10" s="55" t="n"/>
      <c r="BU10" s="55" t="n"/>
      <c r="BV10" s="55" t="n"/>
      <c r="BW10" s="55" t="n"/>
      <c r="BX10" s="55" t="n"/>
      <c r="BY10" s="55" t="n"/>
      <c r="BZ10" s="55" t="n"/>
      <c r="CA10" s="55" t="n"/>
      <c r="CB10" s="55" t="n"/>
      <c r="CC10" s="55" t="n"/>
      <c r="CD10" s="55" t="n"/>
      <c r="CE10" s="55" t="n"/>
      <c r="CF10" s="55" t="n"/>
      <c r="CG10" s="55" t="n"/>
      <c r="CH10" s="55" t="n"/>
      <c r="CI10" s="55" t="n"/>
      <c r="CJ10" s="55" t="n"/>
      <c r="CK10" s="55" t="n"/>
      <c r="CL10" s="55" t="n"/>
      <c r="CM10" s="55" t="n"/>
      <c r="CN10" s="55" t="n"/>
      <c r="CO10" s="55" t="n"/>
      <c r="CP10" s="55" t="n"/>
      <c r="CQ10" s="55" t="n"/>
      <c r="CR10" s="55" t="n"/>
      <c r="CS10" s="55" t="n"/>
      <c r="CT10" s="55" t="n"/>
      <c r="CU10" s="55" t="n"/>
      <c r="CV10" s="55" t="n"/>
      <c r="CW10" s="55" t="n"/>
      <c r="CX10" s="55" t="n"/>
      <c r="CY10" s="55" t="n"/>
      <c r="CZ10" s="55" t="n"/>
      <c r="DA10" s="55" t="n"/>
      <c r="DB10" s="55" t="n"/>
      <c r="DC10" s="55" t="n"/>
      <c r="DD10" s="55" t="n"/>
      <c r="DE10" s="55" t="n"/>
    </row>
    <row r="11">
      <c r="A11" s="55" t="inlineStr">
        <is>
          <t>issue_096</t>
        </is>
      </c>
      <c r="B11" s="58" t="inlineStr">
        <is>
          <t>FAIL</t>
        </is>
      </c>
      <c r="C11" s="58" t="inlineStr">
        <is>
          <t>FAIL</t>
        </is>
      </c>
      <c r="D11" s="58" t="inlineStr">
        <is>
          <t>FAIL</t>
        </is>
      </c>
      <c r="E11" s="58" t="inlineStr">
        <is>
          <t>FAIL</t>
        </is>
      </c>
      <c r="F11" s="58" t="inlineStr">
        <is>
          <t>FAIL</t>
        </is>
      </c>
      <c r="G11" s="58" t="inlineStr">
        <is>
          <t>FAIL</t>
        </is>
      </c>
      <c r="H11" s="58" t="inlineStr">
        <is>
          <t>FAIL</t>
        </is>
      </c>
      <c r="I11" s="58" t="inlineStr">
        <is>
          <t>FAIL</t>
        </is>
      </c>
      <c r="J11" s="58" t="inlineStr">
        <is>
          <t>FAIL</t>
        </is>
      </c>
      <c r="K11" s="58" t="inlineStr">
        <is>
          <t>FAIL</t>
        </is>
      </c>
      <c r="L11" s="58" t="inlineStr">
        <is>
          <t>FAIL</t>
        </is>
      </c>
      <c r="M11" s="58" t="inlineStr">
        <is>
          <t>FAIL</t>
        </is>
      </c>
      <c r="N11" s="58" t="inlineStr">
        <is>
          <t>FAIL</t>
        </is>
      </c>
      <c r="O11" s="58" t="inlineStr">
        <is>
          <t>FAIL</t>
        </is>
      </c>
      <c r="P11" s="58" t="inlineStr">
        <is>
          <t>FAIL</t>
        </is>
      </c>
      <c r="Q11" s="58" t="inlineStr">
        <is>
          <t>FAIL</t>
        </is>
      </c>
      <c r="R11" s="58" t="inlineStr">
        <is>
          <t>FAIL</t>
        </is>
      </c>
      <c r="S11" s="58" t="inlineStr">
        <is>
          <t>FAIL</t>
        </is>
      </c>
      <c r="T11" s="58" t="inlineStr">
        <is>
          <t>FAIL</t>
        </is>
      </c>
      <c r="U11" s="58" t="inlineStr">
        <is>
          <t>FAIL</t>
        </is>
      </c>
      <c r="V11" s="58" t="inlineStr">
        <is>
          <t>FAIL</t>
        </is>
      </c>
      <c r="W11" s="58" t="inlineStr">
        <is>
          <t>FAIL</t>
        </is>
      </c>
      <c r="X11" s="58" t="inlineStr">
        <is>
          <t>FAIL</t>
        </is>
      </c>
      <c r="Y11" s="58" t="inlineStr">
        <is>
          <t>FAIL</t>
        </is>
      </c>
      <c r="Z11" s="58" t="inlineStr">
        <is>
          <t>FAIL</t>
        </is>
      </c>
      <c r="AA11" s="58" t="inlineStr">
        <is>
          <t>FAIL</t>
        </is>
      </c>
      <c r="AB11" s="58" t="inlineStr">
        <is>
          <t>FAIL</t>
        </is>
      </c>
      <c r="AC11" s="55" t="inlineStr">
        <is>
          <t>AssertionError</t>
        </is>
      </c>
      <c r="AD11" s="55" t="inlineStr">
        <is>
          <t>AssertionError: '' != '[default]\n' + [default] | AssertionError: False is not true : Missing ipython_kernel_config.py (even when the profile directory already exists)</t>
        </is>
      </c>
      <c r="AE11" s="55" t="inlineStr">
        <is>
          <t>The LLM creates an empty Qiskit settings file instead of one containing '[default]', and never creates the ipython_kernel_config.py file the user needed.</t>
        </is>
      </c>
      <c r="AF11" s="55" t="inlineStr">
        <is>
          <t>AssertionError</t>
        </is>
      </c>
      <c r="AG11" s="55" t="inlineStr">
        <is>
          <t>AssertionError: '' != '[default]\n' + [default] | AssertionError: False is not true : Missing ipython_kernel_config.py (even when the profile directory already exists)</t>
        </is>
      </c>
      <c r="AH11" s="55" t="inlineStr">
        <is>
          <t>The LLM creates an empty Qiskit settings file instead of one containing '[default]', and never creates the ipython_kernel_config.py file the user needed.</t>
        </is>
      </c>
      <c r="AI11" s="55" t="inlineStr">
        <is>
          <t>AssertionError</t>
        </is>
      </c>
      <c r="AJ11" s="55" t="inlineStr">
        <is>
          <t>AssertionError: '' != '[default]\n' + [default] | AssertionError: False is not true : Missing ipython_kernel_config.py (even when the profile directory already exists)</t>
        </is>
      </c>
      <c r="AK11" s="55" t="inlineStr">
        <is>
          <t>The LLM creates an empty Qiskit settings file instead of one containing '[default]', and never creates the ipython_kernel_config.py file the user needed.</t>
        </is>
      </c>
      <c r="AL11" s="55" t="inlineStr">
        <is>
          <t>AssertionError</t>
        </is>
      </c>
      <c r="AM11" s="55" t="inlineStr">
        <is>
          <t>AssertionError: '' != '[default]\n' + [default] | AssertionError: False is not true : Missing ipython_kernel_config.py (even when the profile directory already exists)</t>
        </is>
      </c>
      <c r="AN11" s="55" t="inlineStr">
        <is>
          <t>The LLM creates an empty Qiskit settings file instead of one containing '[default]', and never creates the ipython_kernel_config.py file the user needed.</t>
        </is>
      </c>
      <c r="AO11" s="55" t="inlineStr">
        <is>
          <t>AssertionError</t>
        </is>
      </c>
      <c r="AP11" s="55" t="inlineStr">
        <is>
          <t>AssertionError: '' != '[default]\n' + [default] | AssertionError: False is not true : Missing ipython_kernel_config.py (even when the profile directory already exists)</t>
        </is>
      </c>
      <c r="AQ11" s="55" t="inlineStr">
        <is>
          <t>The LLM creates an empty Qiskit settings file instead of one containing '[default]', and never creates the ipython_kernel_config.py file the user needed.</t>
        </is>
      </c>
      <c r="AR11" s="55" t="inlineStr">
        <is>
          <t>AssertionError</t>
        </is>
      </c>
      <c r="AS11" s="55" t="inlineStr">
        <is>
          <t>AssertionError: '' != '[default]\n' + [default] | AssertionError: False is not true : Missing ipython_kernel_config.py (even when the profile directory already exists)</t>
        </is>
      </c>
      <c r="AT11" s="55" t="inlineStr">
        <is>
          <t>The LLM creates an empty Qiskit settings file instead of one containing '[default]', and never creates the ipython_kernel_config.py file the user needed.</t>
        </is>
      </c>
      <c r="AU11" s="55" t="inlineStr">
        <is>
          <t>AssertionError</t>
        </is>
      </c>
      <c r="AV11" s="55" t="inlineStr">
        <is>
          <t>AssertionError: '' != '[default]\n' + [default] | AssertionError: False is not true : Missing ipython_kernel_config.py (even when the profile directory already exists)</t>
        </is>
      </c>
      <c r="AW11" s="55" t="inlineStr">
        <is>
          <t>The LLM creates an empty Qiskit settings file instead of one containing '[default]', and never creates the ipython_kernel_config.py file the user needed.</t>
        </is>
      </c>
      <c r="AX11" s="55" t="inlineStr">
        <is>
          <t>AssertionError</t>
        </is>
      </c>
      <c r="AY11" s="55" t="inlineStr">
        <is>
          <t>AssertionError: '' != '[default]\n' + [default] | AssertionError: False is not true : Missing ipython_kernel_config.py (even when the profile directory already exists)</t>
        </is>
      </c>
      <c r="AZ11" s="55" t="inlineStr">
        <is>
          <t>The LLM creates an empty Qiskit settings file instead of one containing '[default]', and never creates the ipython_kernel_config.py file the user needed.</t>
        </is>
      </c>
      <c r="BA11" s="55" t="inlineStr">
        <is>
          <t>AssertionError</t>
        </is>
      </c>
      <c r="BB11" s="55" t="inlineStr">
        <is>
          <t>AssertionError: '' != '[default]\n' + [default] | AssertionError: False is not true : Missing ipython_kernel_config.py (even when the profile directory already exists)</t>
        </is>
      </c>
      <c r="BC11" s="55" t="inlineStr">
        <is>
          <t>The LLM creates an empty Qiskit settings file instead of one containing '[default]', and never creates the ipython_kernel_config.py file the user needed.</t>
        </is>
      </c>
      <c r="BD11" s="55" t="inlineStr">
        <is>
          <t>AssertionError</t>
        </is>
      </c>
      <c r="BE11" s="55" t="inlineStr">
        <is>
          <t>AssertionError: '' != '[default]\n' + [default] | AssertionError: False is not true : Missing ipython_kernel_config.py (even when the profile directory already exists)</t>
        </is>
      </c>
      <c r="BF11" s="55" t="inlineStr">
        <is>
          <t>The LLM creates an empty Qiskit settings file instead of one containing '[default]', and never creates the ipython_kernel_config.py file the user needed.</t>
        </is>
      </c>
      <c r="BG11" s="55" t="inlineStr">
        <is>
          <t>AssertionError</t>
        </is>
      </c>
      <c r="BH11" s="55" t="inlineStr">
        <is>
          <t>AssertionError: '' != '[default]\n' + [default] | AssertionError: False is not true : Missing ipython_kernel_config.py (even when the profile directory already exists)</t>
        </is>
      </c>
      <c r="BI11" s="55" t="inlineStr">
        <is>
          <t>The LLM creates an empty Qiskit settings file instead of one containing '[default]', and never creates the ipython_kernel_config.py file the user needed.</t>
        </is>
      </c>
      <c r="BJ11" s="55" t="inlineStr">
        <is>
          <t>AssertionError</t>
        </is>
      </c>
      <c r="BK11" s="55" t="inlineStr">
        <is>
          <t>AssertionError: '' != '[default]\n' + [default] | AssertionError: False is not true : Missing ipython_kernel_config.py (even when the profile directory already exists)</t>
        </is>
      </c>
      <c r="BL11" s="55" t="inlineStr">
        <is>
          <t>The LLM creates an empty Qiskit settings file instead of one containing '[default]', and never creates the ipython_kernel_config.py file the user needed.</t>
        </is>
      </c>
      <c r="BM11" s="55" t="inlineStr">
        <is>
          <t>AssertionError</t>
        </is>
      </c>
      <c r="BN11" s="55" t="inlineStr">
        <is>
          <t>AssertionError: '' != '[default]\n' + [default] | AssertionError: False is not true : Missing ipython_kernel_config.py (even when the profile directory already exists)</t>
        </is>
      </c>
      <c r="BO11" s="55" t="inlineStr">
        <is>
          <t>The LLM creates an empty Qiskit settings file instead of one containing '[default]', and never creates the ipython_kernel_config.py file the user needed.</t>
        </is>
      </c>
      <c r="BP11" s="55" t="inlineStr">
        <is>
          <t>AssertionError</t>
        </is>
      </c>
      <c r="BQ11" s="55" t="inlineStr">
        <is>
          <t>AssertionError: '' != '[default]\n' + [default] | AssertionError: False is not true : Missing ipython_kernel_config.py (even when the profile directory already exists)</t>
        </is>
      </c>
      <c r="BR11" s="55" t="inlineStr">
        <is>
          <t>The LLM creates an empty Qiskit settings file instead of one containing '[default]', and never creates the ipython_kernel_config.py file the user needed.</t>
        </is>
      </c>
      <c r="BS11" s="55" t="inlineStr">
        <is>
          <t>AssertionError</t>
        </is>
      </c>
      <c r="BT11" s="55" t="inlineStr">
        <is>
          <t>AssertionError: '' != '[default]\n' + [default] | AssertionError: False is not true : Missing ipython_kernel_config.py (even when the profile directory already exists)</t>
        </is>
      </c>
      <c r="BU11" s="55" t="inlineStr">
        <is>
          <t>The LLM creates an empty Qiskit settings file instead of one containing '[default]', and never creates the ipython_kernel_config.py file the user needed.</t>
        </is>
      </c>
      <c r="BV11" s="55" t="inlineStr">
        <is>
          <t>AssertionError</t>
        </is>
      </c>
      <c r="BW11" s="55" t="inlineStr">
        <is>
          <t>AssertionError: '' != '[default]\n' + [default] | AssertionError: False is not true : Missing ipython_kernel_config.py (even when the profile directory already exists)</t>
        </is>
      </c>
      <c r="BX11" s="55" t="inlineStr">
        <is>
          <t>The LLM creates an empty Qiskit settings file instead of one containing '[default]', and never creates the ipython_kernel_config.py file the user needed.</t>
        </is>
      </c>
      <c r="BY11" s="55" t="inlineStr">
        <is>
          <t>AssertionError</t>
        </is>
      </c>
      <c r="BZ11" s="55" t="inlineStr">
        <is>
          <t>AssertionError: '' != '[default]\n' + [default] | AssertionError: False is not true : Missing ipython_kernel_config.py (even when the profile directory already exists)</t>
        </is>
      </c>
      <c r="CA11" s="55" t="inlineStr">
        <is>
          <t>The LLM creates an empty Qiskit settings file instead of one containing '[default]', and never creates the ipython_kernel_config.py file the user needed.</t>
        </is>
      </c>
      <c r="CB11" s="55" t="inlineStr">
        <is>
          <t>AssertionError</t>
        </is>
      </c>
      <c r="CC11" s="55" t="inlineStr">
        <is>
          <t>AssertionError: '' != '[default]\n' + [default] | AssertionError: False is not true : Missing ipython_kernel_config.py (even when the profile directory already exists)</t>
        </is>
      </c>
      <c r="CD11" s="55" t="inlineStr">
        <is>
          <t>The LLM creates an empty Qiskit settings file instead of one containing '[default]', and never creates the ipython_kernel_config.py file the user needed.</t>
        </is>
      </c>
      <c r="CE11" s="55" t="inlineStr">
        <is>
          <t>AssertionError</t>
        </is>
      </c>
      <c r="CF11" s="55" t="inlineStr">
        <is>
          <t>AssertionError: '' != '[default]\n' + [default] | AssertionError: False is not true : Missing ipython_kernel_config.py (even when the profile directory already exists)</t>
        </is>
      </c>
      <c r="CG11" s="55" t="inlineStr">
        <is>
          <t>The LLM creates an empty Qiskit settings file instead of one containing '[default]', and never creates the ipython_kernel_config.py file the user needed.</t>
        </is>
      </c>
      <c r="CH11" s="55" t="inlineStr">
        <is>
          <t>AssertionError</t>
        </is>
      </c>
      <c r="CI11" s="55" t="inlineStr">
        <is>
          <t>AssertionError: '' != '[default]\n' + [default] | AssertionError: False is not true : Missing ipython_kernel_config.py (even when the profile directory already exists)</t>
        </is>
      </c>
      <c r="CJ11" s="55" t="inlineStr">
        <is>
          <t>The LLM creates an empty Qiskit settings file instead of one containing '[default]', and never creates the ipython_kernel_config.py file the user needed.</t>
        </is>
      </c>
      <c r="CK11" s="55" t="inlineStr">
        <is>
          <t>AssertionError</t>
        </is>
      </c>
      <c r="CL11" s="55" t="inlineStr">
        <is>
          <t>AssertionError: '' != '[default]\n' + [default] | AssertionError: False is not true : Missing ipython_kernel_config.py (even when the profile directory already exists)</t>
        </is>
      </c>
      <c r="CM11" s="55" t="inlineStr">
        <is>
          <t>The LLM creates an empty Qiskit settings file instead of one containing '[default]', and never creates the ipython_kernel_config.py file the user needed.</t>
        </is>
      </c>
      <c r="CN11" s="55" t="inlineStr">
        <is>
          <t>AssertionError</t>
        </is>
      </c>
      <c r="CO11" s="55" t="inlineStr">
        <is>
          <t>AssertionError: '' != '[default]\n' + [default] | AssertionError: False is not true : Missing ipython_kernel_config.py (even when the profile directory already exists)</t>
        </is>
      </c>
      <c r="CP11" s="55" t="inlineStr">
        <is>
          <t>The LLM creates an empty Qiskit settings file instead of one containing '[default]', and never creates the ipython_kernel_config.py file the user needed.</t>
        </is>
      </c>
      <c r="CQ11" s="55" t="inlineStr">
        <is>
          <t>AssertionError</t>
        </is>
      </c>
      <c r="CR11" s="55" t="inlineStr">
        <is>
          <t>AssertionError: '' != '[default]\n' + [default] | AssertionError: False is not true : Missing ipython_kernel_config.py (even when the profile directory already exists)</t>
        </is>
      </c>
      <c r="CS11" s="55" t="inlineStr">
        <is>
          <t>The LLM creates an empty Qiskit settings file instead of one containing '[default]', and never creates the ipython_kernel_config.py file the user needed.</t>
        </is>
      </c>
      <c r="CT11" s="55" t="inlineStr">
        <is>
          <t>AssertionError</t>
        </is>
      </c>
      <c r="CU11" s="55" t="inlineStr">
        <is>
          <t>AssertionError: '' != '[default]\n' + [default] | AssertionError: False is not true : Missing ipython_kernel_config.py (even when the profile directory already exists)</t>
        </is>
      </c>
      <c r="CV11" s="55" t="inlineStr">
        <is>
          <t>The LLM creates an empty Qiskit settings file instead of one containing '[default]', and never creates the ipython_kernel_config.py file the user needed.</t>
        </is>
      </c>
      <c r="CW11" s="55" t="inlineStr">
        <is>
          <t>AssertionError</t>
        </is>
      </c>
      <c r="CX11" s="55" t="inlineStr">
        <is>
          <t>AssertionError: '' != '[default]\n' + [default] | AssertionError: False is not true : Missing ipython_kernel_config.py (even when the profile directory already exists)</t>
        </is>
      </c>
      <c r="CY11" s="55" t="inlineStr">
        <is>
          <t>The LLM creates an empty Qiskit settings file instead of one containing '[default]', and never creates the ipython_kernel_config.py file the user needed.</t>
        </is>
      </c>
      <c r="CZ11" s="55" t="inlineStr">
        <is>
          <t>AssertionError</t>
        </is>
      </c>
      <c r="DA11" s="55" t="inlineStr">
        <is>
          <t>AssertionError: '' != '[default]\n' + [default] | AssertionError: False is not true : Missing ipython_kernel_config.py (even when the profile directory already exists)</t>
        </is>
      </c>
      <c r="DB11" s="55" t="inlineStr">
        <is>
          <t>The LLM creates an empty Qiskit settings file instead of one containing '[default]', and never creates the ipython_kernel_config.py file the user needed.</t>
        </is>
      </c>
      <c r="DC11" s="55" t="inlineStr">
        <is>
          <t>AssertionError</t>
        </is>
      </c>
      <c r="DD11" s="55" t="inlineStr">
        <is>
          <t>AssertionError: '' != '[default]\n' + [default] | AssertionError: False is not true : Missing ipython_kernel_config.py (even when the profile directory already exists)</t>
        </is>
      </c>
      <c r="DE11" s="55" t="inlineStr">
        <is>
          <t>The LLM creates an empty Qiskit settings file instead of one containing '[default]', and never creates the ipython_kernel_config.py file the user needed.</t>
        </is>
      </c>
    </row>
    <row r="12">
      <c r="A12" s="55" t="inlineStr">
        <is>
          <t>issue_155</t>
        </is>
      </c>
      <c r="B12" s="59" t="inlineStr">
        <is>
          <t>PASS</t>
        </is>
      </c>
      <c r="C12" s="59" t="inlineStr">
        <is>
          <t>PASS</t>
        </is>
      </c>
      <c r="D12" s="59" t="inlineStr">
        <is>
          <t>PASS</t>
        </is>
      </c>
      <c r="E12" s="59" t="inlineStr">
        <is>
          <t>PASS</t>
        </is>
      </c>
      <c r="F12" s="59" t="inlineStr">
        <is>
          <t>PASS</t>
        </is>
      </c>
      <c r="G12" s="59" t="inlineStr">
        <is>
          <t>PASS</t>
        </is>
      </c>
      <c r="H12" s="59" t="inlineStr">
        <is>
          <t>PASS</t>
        </is>
      </c>
      <c r="I12" s="59" t="inlineStr">
        <is>
          <t>PASS</t>
        </is>
      </c>
      <c r="J12" s="59" t="inlineStr">
        <is>
          <t>PASS</t>
        </is>
      </c>
      <c r="K12" s="59" t="inlineStr">
        <is>
          <t>PASS</t>
        </is>
      </c>
      <c r="L12" s="59" t="inlineStr">
        <is>
          <t>PASS</t>
        </is>
      </c>
      <c r="M12" s="59" t="inlineStr">
        <is>
          <t>PASS</t>
        </is>
      </c>
      <c r="N12" s="56" t="inlineStr">
        <is>
          <t>NOT_TESTED</t>
        </is>
      </c>
      <c r="O12" s="56" t="inlineStr">
        <is>
          <t>NOT_TESTED</t>
        </is>
      </c>
      <c r="P12" s="56" t="inlineStr">
        <is>
          <t>NOT_TESTED</t>
        </is>
      </c>
      <c r="Q12" s="56" t="inlineStr">
        <is>
          <t>NOT_TESTED</t>
        </is>
      </c>
      <c r="R12" s="56" t="inlineStr">
        <is>
          <t>NOT_TESTED</t>
        </is>
      </c>
      <c r="S12" s="56" t="inlineStr">
        <is>
          <t>NOT_TESTED</t>
        </is>
      </c>
      <c r="T12" s="56" t="inlineStr">
        <is>
          <t>NOT_TESTED</t>
        </is>
      </c>
      <c r="U12" s="56" t="inlineStr">
        <is>
          <t>NOT_TESTED</t>
        </is>
      </c>
      <c r="V12" s="56" t="inlineStr">
        <is>
          <t>NOT_TESTED</t>
        </is>
      </c>
      <c r="W12" s="56" t="inlineStr">
        <is>
          <t>NOT_TESTED</t>
        </is>
      </c>
      <c r="X12" s="56" t="inlineStr">
        <is>
          <t>NOT_TESTED</t>
        </is>
      </c>
      <c r="Y12" s="56" t="inlineStr">
        <is>
          <t>NOT_TESTED</t>
        </is>
      </c>
      <c r="Z12" s="56" t="inlineStr">
        <is>
          <t>NOT_TESTED</t>
        </is>
      </c>
      <c r="AA12" s="56" t="inlineStr">
        <is>
          <t>NOT_TESTED</t>
        </is>
      </c>
      <c r="AB12" s="56" t="inlineStr">
        <is>
          <t>NOT_TESTED</t>
        </is>
      </c>
      <c r="AC12" s="55" t="n"/>
      <c r="AD12" s="55" t="n"/>
      <c r="AE12" s="55" t="n"/>
      <c r="AF12" s="55" t="n"/>
      <c r="AG12" s="55" t="n"/>
      <c r="AH12" s="55" t="n"/>
      <c r="AI12" s="55" t="n"/>
      <c r="AJ12" s="55" t="n"/>
      <c r="AK12" s="55" t="n"/>
      <c r="AL12" s="55" t="n"/>
      <c r="AM12" s="55" t="n"/>
      <c r="AN12" s="55" t="n"/>
      <c r="AO12" s="55" t="n"/>
      <c r="AP12" s="55" t="n"/>
      <c r="AQ12" s="55" t="n"/>
      <c r="AR12" s="55" t="n"/>
      <c r="AS12" s="55" t="n"/>
      <c r="AT12" s="55" t="n"/>
      <c r="AU12" s="55" t="n"/>
      <c r="AV12" s="55" t="n"/>
      <c r="AW12" s="55" t="n"/>
      <c r="AX12" s="55" t="n"/>
      <c r="AY12" s="55" t="n"/>
      <c r="AZ12" s="55" t="n"/>
      <c r="BA12" s="55" t="n"/>
      <c r="BB12" s="55" t="n"/>
      <c r="BC12" s="55" t="n"/>
      <c r="BD12" s="55" t="n"/>
      <c r="BE12" s="55" t="n"/>
      <c r="BF12" s="55" t="n"/>
      <c r="BG12" s="55" t="n"/>
      <c r="BH12" s="55" t="n"/>
      <c r="BI12" s="55" t="n"/>
      <c r="BJ12" s="55" t="n"/>
      <c r="BK12" s="55" t="n"/>
      <c r="BL12" s="55" t="n"/>
      <c r="BM12" s="55" t="n"/>
      <c r="BN12" s="55" t="n"/>
      <c r="BO12" s="55" t="n"/>
      <c r="BP12" s="55" t="n"/>
      <c r="BQ12" s="55" t="n"/>
      <c r="BR12" s="55" t="n"/>
      <c r="BS12" s="55" t="n"/>
      <c r="BT12" s="55" t="n"/>
      <c r="BU12" s="55" t="n"/>
      <c r="BV12" s="55" t="n"/>
      <c r="BW12" s="55" t="n"/>
      <c r="BX12" s="55" t="n"/>
      <c r="BY12" s="55" t="n"/>
      <c r="BZ12" s="55" t="n"/>
      <c r="CA12" s="55" t="n"/>
      <c r="CB12" s="55" t="n"/>
      <c r="CC12" s="55" t="n"/>
      <c r="CD12" s="55" t="n"/>
      <c r="CE12" s="55" t="n"/>
      <c r="CF12" s="55" t="n"/>
      <c r="CG12" s="55" t="n"/>
      <c r="CH12" s="55" t="n"/>
      <c r="CI12" s="55" t="n"/>
      <c r="CJ12" s="55" t="n"/>
      <c r="CK12" s="55" t="n"/>
      <c r="CL12" s="55" t="n"/>
      <c r="CM12" s="55" t="n"/>
      <c r="CN12" s="55" t="n"/>
      <c r="CO12" s="55" t="n"/>
      <c r="CP12" s="55" t="n"/>
      <c r="CQ12" s="55" t="n"/>
      <c r="CR12" s="55" t="n"/>
      <c r="CS12" s="55" t="n"/>
      <c r="CT12" s="55" t="n"/>
      <c r="CU12" s="55" t="n"/>
      <c r="CV12" s="55" t="n"/>
      <c r="CW12" s="55" t="n"/>
      <c r="CX12" s="55" t="n"/>
      <c r="CY12" s="55" t="n"/>
      <c r="CZ12" s="55" t="n"/>
      <c r="DA12" s="55" t="n"/>
      <c r="DB12" s="55" t="n"/>
      <c r="DC12" s="55" t="n"/>
      <c r="DD12" s="55" t="n"/>
      <c r="DE12" s="55" t="n"/>
    </row>
    <row r="13">
      <c r="A13" s="55" t="inlineStr">
        <is>
          <t>issue_157</t>
        </is>
      </c>
      <c r="B13" s="57" t="inlineStr">
        <is>
          <t>ERROR</t>
        </is>
      </c>
      <c r="C13" s="57" t="inlineStr">
        <is>
          <t>ERROR</t>
        </is>
      </c>
      <c r="D13" s="57" t="inlineStr">
        <is>
          <t>ERROR</t>
        </is>
      </c>
      <c r="E13" s="57" t="inlineStr">
        <is>
          <t>ERROR</t>
        </is>
      </c>
      <c r="F13" s="59" t="inlineStr">
        <is>
          <t>PASS</t>
        </is>
      </c>
      <c r="G13" s="59" t="inlineStr">
        <is>
          <t>PASS</t>
        </is>
      </c>
      <c r="H13" s="59" t="inlineStr">
        <is>
          <t>PASS</t>
        </is>
      </c>
      <c r="I13" s="59" t="inlineStr">
        <is>
          <t>PASS</t>
        </is>
      </c>
      <c r="J13" s="59" t="inlineStr">
        <is>
          <t>PASS</t>
        </is>
      </c>
      <c r="K13" s="59" t="inlineStr">
        <is>
          <t>PASS</t>
        </is>
      </c>
      <c r="L13" s="59" t="inlineStr">
        <is>
          <t>PASS</t>
        </is>
      </c>
      <c r="M13" s="59" t="inlineStr">
        <is>
          <t>PASS</t>
        </is>
      </c>
      <c r="N13" s="56" t="inlineStr">
        <is>
          <t>NOT_TESTED</t>
        </is>
      </c>
      <c r="O13" s="56" t="inlineStr">
        <is>
          <t>NOT_TESTED</t>
        </is>
      </c>
      <c r="P13" s="56" t="inlineStr">
        <is>
          <t>NOT_TESTED</t>
        </is>
      </c>
      <c r="Q13" s="56" t="inlineStr">
        <is>
          <t>NOT_TESTED</t>
        </is>
      </c>
      <c r="R13" s="56" t="inlineStr">
        <is>
          <t>NOT_TESTED</t>
        </is>
      </c>
      <c r="S13" s="56" t="inlineStr">
        <is>
          <t>NOT_TESTED</t>
        </is>
      </c>
      <c r="T13" s="56" t="inlineStr">
        <is>
          <t>NOT_TESTED</t>
        </is>
      </c>
      <c r="U13" s="56" t="inlineStr">
        <is>
          <t>NOT_TESTED</t>
        </is>
      </c>
      <c r="V13" s="56" t="inlineStr">
        <is>
          <t>NOT_TESTED</t>
        </is>
      </c>
      <c r="W13" s="56" t="inlineStr">
        <is>
          <t>NOT_TESTED</t>
        </is>
      </c>
      <c r="X13" s="56" t="inlineStr">
        <is>
          <t>NOT_TESTED</t>
        </is>
      </c>
      <c r="Y13" s="56" t="inlineStr">
        <is>
          <t>NOT_TESTED</t>
        </is>
      </c>
      <c r="Z13" s="56" t="inlineStr">
        <is>
          <t>NOT_TESTED</t>
        </is>
      </c>
      <c r="AA13" s="56" t="inlineStr">
        <is>
          <t>NOT_TESTED</t>
        </is>
      </c>
      <c r="AB13" s="56" t="inlineStr">
        <is>
          <t>NOT_TESTED</t>
        </is>
      </c>
      <c r="AC13" s="55" t="inlineStr">
        <is>
          <t>AttributeError</t>
        </is>
      </c>
      <c r="AD13" s="55" t="inlineStr">
        <is>
          <t>AttributeError: 'QuantumCircuit' object has no attribute 'prepare_state'</t>
        </is>
      </c>
      <c r="AE13" s="55" t="inlineStr">
        <is>
          <t>The LLM replaced initialize() with QuantumCircuit.prepare_state(), which does not exist yet in Qiskit 0.25 (Terra 0.17), so the script crashes with AttributeError before the gate is built.</t>
        </is>
      </c>
      <c r="AF13" s="55" t="inlineStr">
        <is>
          <t>AttributeError</t>
        </is>
      </c>
      <c r="AG13" s="55" t="inlineStr">
        <is>
          <t>AttributeError: 'QuantumCircuit' object has no attribute 'prepare_state'</t>
        </is>
      </c>
      <c r="AH13" s="55" t="inlineStr">
        <is>
          <t>The LLM replaced initialize() with QuantumCircuit.prepare_state(), which does not exist yet in Qiskit 0.25 (Terra 0.17), so the script crashes with AttributeError before the gate is built.</t>
        </is>
      </c>
      <c r="AI13" s="55" t="inlineStr">
        <is>
          <t>AttributeError</t>
        </is>
      </c>
      <c r="AJ13" s="55" t="inlineStr">
        <is>
          <t>AttributeError: 'QuantumCircuit' object has no attribute 'prepare_state'</t>
        </is>
      </c>
      <c r="AK13" s="55" t="inlineStr">
        <is>
          <t>The LLM replaced initialize() with QuantumCircuit.prepare_state(), which does not exist yet in Qiskit 0.25 (Terra 0.17), so the script crashes with AttributeError before the gate is built.</t>
        </is>
      </c>
      <c r="AL13" s="55" t="inlineStr">
        <is>
          <t>AttributeError</t>
        </is>
      </c>
      <c r="AM13" s="55" t="inlineStr">
        <is>
          <t>AttributeError: 'QuantumCircuit' object has no attribute 'prepare_state'</t>
        </is>
      </c>
      <c r="AN13" s="55" t="inlineStr">
        <is>
          <t>The LLM replaced initialize() with QuantumCircuit.prepare_state(), which does not exist yet in Qiskit 0.25 (Terra 0.17), so the script crashes with AttributeError before the gate is built.</t>
        </is>
      </c>
      <c r="AO13" s="55" t="n"/>
      <c r="AP13" s="55" t="n"/>
      <c r="AQ13" s="55" t="n"/>
      <c r="AR13" s="55" t="n"/>
      <c r="AS13" s="55" t="n"/>
      <c r="AT13" s="55" t="n"/>
      <c r="AU13" s="55" t="n"/>
      <c r="AV13" s="55" t="n"/>
      <c r="AW13" s="55" t="n"/>
      <c r="AX13" s="55" t="n"/>
      <c r="AY13" s="55" t="n"/>
      <c r="AZ13" s="55" t="n"/>
      <c r="BA13" s="55" t="n"/>
      <c r="BB13" s="55" t="n"/>
      <c r="BC13" s="55" t="n"/>
      <c r="BD13" s="55" t="n"/>
      <c r="BE13" s="55" t="n"/>
      <c r="BF13" s="55" t="n"/>
      <c r="BG13" s="55" t="n"/>
      <c r="BH13" s="55" t="n"/>
      <c r="BI13" s="55" t="n"/>
      <c r="BJ13" s="55" t="n"/>
      <c r="BK13" s="55" t="n"/>
      <c r="BL13" s="55" t="n"/>
      <c r="BM13" s="55" t="n"/>
      <c r="BN13" s="55" t="n"/>
      <c r="BO13" s="55" t="n"/>
      <c r="BP13" s="55" t="n"/>
      <c r="BQ13" s="55" t="n"/>
      <c r="BR13" s="55" t="n"/>
      <c r="BS13" s="55" t="n"/>
      <c r="BT13" s="55" t="n"/>
      <c r="BU13" s="55" t="n"/>
      <c r="BV13" s="55" t="n"/>
      <c r="BW13" s="55" t="n"/>
      <c r="BX13" s="55" t="n"/>
      <c r="BY13" s="55" t="n"/>
      <c r="BZ13" s="55" t="n"/>
      <c r="CA13" s="55" t="n"/>
      <c r="CB13" s="55" t="n"/>
      <c r="CC13" s="55" t="n"/>
      <c r="CD13" s="55" t="n"/>
      <c r="CE13" s="55" t="n"/>
      <c r="CF13" s="55" t="n"/>
      <c r="CG13" s="55" t="n"/>
      <c r="CH13" s="55" t="n"/>
      <c r="CI13" s="55" t="n"/>
      <c r="CJ13" s="55" t="n"/>
      <c r="CK13" s="55" t="n"/>
      <c r="CL13" s="55" t="n"/>
      <c r="CM13" s="55" t="n"/>
      <c r="CN13" s="55" t="n"/>
      <c r="CO13" s="55" t="n"/>
      <c r="CP13" s="55" t="n"/>
      <c r="CQ13" s="55" t="n"/>
      <c r="CR13" s="55" t="n"/>
      <c r="CS13" s="55" t="n"/>
      <c r="CT13" s="55" t="n"/>
      <c r="CU13" s="55" t="n"/>
      <c r="CV13" s="55" t="n"/>
      <c r="CW13" s="55" t="n"/>
      <c r="CX13" s="55" t="n"/>
      <c r="CY13" s="55" t="n"/>
      <c r="CZ13" s="55" t="n"/>
      <c r="DA13" s="55" t="n"/>
      <c r="DB13" s="55" t="n"/>
      <c r="DC13" s="55" t="n"/>
      <c r="DD13" s="55" t="n"/>
      <c r="DE13" s="55" t="n"/>
    </row>
    <row r="14">
      <c r="A14" s="55" t="inlineStr">
        <is>
          <t>issue_174</t>
        </is>
      </c>
      <c r="B14" s="57" t="inlineStr">
        <is>
          <t>ERROR</t>
        </is>
      </c>
      <c r="C14" s="57" t="inlineStr">
        <is>
          <t>ERROR</t>
        </is>
      </c>
      <c r="D14" s="57" t="inlineStr">
        <is>
          <t>ERROR</t>
        </is>
      </c>
      <c r="E14" s="57" t="inlineStr">
        <is>
          <t>ERROR</t>
        </is>
      </c>
      <c r="F14" s="57" t="inlineStr">
        <is>
          <t>ERROR</t>
        </is>
      </c>
      <c r="G14" s="57" t="inlineStr">
        <is>
          <t>ERROR</t>
        </is>
      </c>
      <c r="H14" s="57" t="inlineStr">
        <is>
          <t>ERROR</t>
        </is>
      </c>
      <c r="I14" s="57" t="inlineStr">
        <is>
          <t>ERROR</t>
        </is>
      </c>
      <c r="J14" s="57" t="inlineStr">
        <is>
          <t>ERROR</t>
        </is>
      </c>
      <c r="K14" s="57" t="inlineStr">
        <is>
          <t>ERROR</t>
        </is>
      </c>
      <c r="L14" s="57" t="inlineStr">
        <is>
          <t>ERROR</t>
        </is>
      </c>
      <c r="M14" s="57" t="inlineStr">
        <is>
          <t>ERROR</t>
        </is>
      </c>
      <c r="N14" s="56" t="inlineStr">
        <is>
          <t>NOT_TESTED</t>
        </is>
      </c>
      <c r="O14" s="56" t="inlineStr">
        <is>
          <t>NOT_TESTED</t>
        </is>
      </c>
      <c r="P14" s="56" t="inlineStr">
        <is>
          <t>NOT_TESTED</t>
        </is>
      </c>
      <c r="Q14" s="56" t="inlineStr">
        <is>
          <t>NOT_TESTED</t>
        </is>
      </c>
      <c r="R14" s="56" t="inlineStr">
        <is>
          <t>NOT_TESTED</t>
        </is>
      </c>
      <c r="S14" s="56" t="inlineStr">
        <is>
          <t>NOT_TESTED</t>
        </is>
      </c>
      <c r="T14" s="56" t="inlineStr">
        <is>
          <t>NOT_TESTED</t>
        </is>
      </c>
      <c r="U14" s="56" t="inlineStr">
        <is>
          <t>NOT_TESTED</t>
        </is>
      </c>
      <c r="V14" s="56" t="inlineStr">
        <is>
          <t>NOT_TESTED</t>
        </is>
      </c>
      <c r="W14" s="56" t="inlineStr">
        <is>
          <t>NOT_TESTED</t>
        </is>
      </c>
      <c r="X14" s="56" t="inlineStr">
        <is>
          <t>NOT_TESTED</t>
        </is>
      </c>
      <c r="Y14" s="56" t="inlineStr">
        <is>
          <t>NOT_TESTED</t>
        </is>
      </c>
      <c r="Z14" s="56" t="inlineStr">
        <is>
          <t>NOT_TESTED</t>
        </is>
      </c>
      <c r="AA14" s="56" t="inlineStr">
        <is>
          <t>NOT_TESTED</t>
        </is>
      </c>
      <c r="AB14" s="56" t="inlineStr">
        <is>
          <t>NOT_TESTED</t>
        </is>
      </c>
      <c r="AC14" s="55" t="inlineStr">
        <is>
          <t>QasmError</t>
        </is>
      </c>
      <c r="AD14" s="55" t="inlineStr">
        <is>
          <t>qiskit.qasm.exceptions.QasmError: 'Unable to match any token rule, got --&gt;#&lt;-- Check your OPENQASM source and any include statements.'</t>
        </is>
      </c>
      <c r="AE14" s="55" t="inlineStr">
        <is>
          <t>The LLM's QASM change (if (c==1) instead of if (c[0]==1)) is the same as the reference, but it put its '# FIX:' comment inside the OpenQASM string, where '#' is not valid syntax, so the QASM parser rejects the program. With that one line removed the fix passes.</t>
        </is>
      </c>
      <c r="AF14" s="55" t="inlineStr">
        <is>
          <t>QasmError</t>
        </is>
      </c>
      <c r="AG14" s="55" t="inlineStr">
        <is>
          <t>qiskit.qasm.exceptions.QasmError: 'Unable to match any token rule, got --&gt;#&lt;-- Check your OPENQASM source and any include statements.'</t>
        </is>
      </c>
      <c r="AH14" s="55" t="inlineStr">
        <is>
          <t>The LLM's QASM change (if (c==1) instead of if (c[0]==1)) is the same as the reference, but it put its '# FIX:' comment inside the OpenQASM string, where '#' is not valid syntax, so the QASM parser rejects the program. With that one line removed the fix passes.</t>
        </is>
      </c>
      <c r="AI14" s="55" t="inlineStr">
        <is>
          <t>QasmError</t>
        </is>
      </c>
      <c r="AJ14" s="55" t="inlineStr">
        <is>
          <t>qiskit.qasm.exceptions.QasmError: 'Unable to match any token rule, got --&gt;#&lt;-- Check your OPENQASM source and any include statements.'</t>
        </is>
      </c>
      <c r="AK14" s="55" t="inlineStr">
        <is>
          <t>The LLM's QASM change (if (c==1) instead of if (c[0]==1)) is the same as the reference, but it put its '# FIX:' comment inside the OpenQASM string, where '#' is not valid syntax, so the QASM parser rejects the program. With that one line removed the fix passes.</t>
        </is>
      </c>
      <c r="AL14" s="55" t="inlineStr">
        <is>
          <t>QasmError</t>
        </is>
      </c>
      <c r="AM14" s="55" t="inlineStr">
        <is>
          <t>qiskit.qasm.exceptions.QasmError: 'Unable to match any token rule, got --&gt;#&lt;-- Check your OPENQASM source and any include statements.'</t>
        </is>
      </c>
      <c r="AN14" s="55" t="inlineStr">
        <is>
          <t>The LLM's QASM change (if (c==1) instead of if (c[0]==1)) is the same as the reference, but it put its '# FIX:' comment inside the OpenQASM string, where '#' is not valid syntax, so the QASM parser rejects the program. With that one line removed the fix passes.</t>
        </is>
      </c>
      <c r="AO14" s="55" t="inlineStr">
        <is>
          <t>QASM2ParseError</t>
        </is>
      </c>
      <c r="AP14" s="55" t="inlineStr">
        <is>
          <t>qiskit.qasm2.exceptions.QASM2ParseError: "&lt;input&gt;:10,0: encountered '#', which doesn't match any valid tokens"</t>
        </is>
      </c>
      <c r="AQ14" s="55" t="inlineStr">
        <is>
          <t>The LLM's QASM change (if (c==1) instead of if (c[0]==1)) is the same as the reference, but it put its '# FIX:' comment inside the OpenQASM string, where '#' is not valid syntax, so the QASM parser rejects the program. With that one line removed the fix passes.</t>
        </is>
      </c>
      <c r="AR14" s="55" t="inlineStr">
        <is>
          <t>QASM2ParseError</t>
        </is>
      </c>
      <c r="AS14" s="55" t="inlineStr">
        <is>
          <t>qiskit.qasm2.exceptions.QASM2ParseError: "&lt;input&gt;:10,0: encountered '#', which doesn't match any valid tokens"</t>
        </is>
      </c>
      <c r="AT14" s="55" t="inlineStr">
        <is>
          <t>The LLM's QASM change (if (c==1) instead of if (c[0]==1)) is the same as the reference, but it put its '# FIX:' comment inside the OpenQASM string, where '#' is not valid syntax, so the QASM parser rejects the program. With that one line removed the fix passes.</t>
        </is>
      </c>
      <c r="AU14" s="55" t="inlineStr">
        <is>
          <t>QASM2ParseError</t>
        </is>
      </c>
      <c r="AV14" s="55" t="inlineStr">
        <is>
          <t>qiskit.qasm2.exceptions.QASM2ParseError: "&lt;input&gt;:10,0: encountered '#', which doesn't match any valid tokens"</t>
        </is>
      </c>
      <c r="AW14" s="55" t="inlineStr">
        <is>
          <t>The LLM's QASM change (if (c==1) instead of if (c[0]==1)) is the same as the reference, but it put its '# FIX:' comment inside the OpenQASM string, where '#' is not valid syntax, so the QASM parser rejects the program. With that one line removed the fix passes.</t>
        </is>
      </c>
      <c r="AX14" s="55" t="inlineStr">
        <is>
          <t>QASM2ParseError</t>
        </is>
      </c>
      <c r="AY14" s="55" t="inlineStr">
        <is>
          <t>qiskit.qasm2.exceptions.QASM2ParseError: "&lt;input&gt;:10,0: encountered '#', which doesn't match any valid tokens"</t>
        </is>
      </c>
      <c r="AZ14" s="55" t="inlineStr">
        <is>
          <t>The LLM's QASM change (if (c==1) instead of if (c[0]==1)) is the same as the reference, but it put its '# FIX:' comment inside the OpenQASM string, where '#' is not valid syntax, so the QASM parser rejects the program. With that one line removed the fix passes.</t>
        </is>
      </c>
      <c r="BA14" s="55" t="inlineStr">
        <is>
          <t>QASM2ParseError</t>
        </is>
      </c>
      <c r="BB14" s="55" t="inlineStr">
        <is>
          <t>qiskit.qasm2.exceptions.QASM2ParseError: "&lt;input&gt;:10,0: encountered '#', which doesn't match any valid tokens"</t>
        </is>
      </c>
      <c r="BC14" s="55" t="inlineStr">
        <is>
          <t>The LLM's QASM change (if (c==1) instead of if (c[0]==1)) is the same as the reference, but it put its '# FIX:' comment inside the OpenQASM string, where '#' is not valid syntax, so the QASM parser rejects the program. With that one line removed the fix passes.</t>
        </is>
      </c>
      <c r="BD14" s="55" t="inlineStr">
        <is>
          <t>QASM2ParseError</t>
        </is>
      </c>
      <c r="BE14" s="55" t="inlineStr">
        <is>
          <t>qiskit.qasm2.exceptions.QASM2ParseError: "&lt;input&gt;:10,0: encountered '#', which doesn't match any valid tokens"</t>
        </is>
      </c>
      <c r="BF14" s="55" t="inlineStr">
        <is>
          <t>The LLM's QASM change (if (c==1) instead of if (c[0]==1)) is the same as the reference, but it put its '# FIX:' comment inside the OpenQASM string, where '#' is not valid syntax, so the QASM parser rejects the program. With that one line removed the fix passes.</t>
        </is>
      </c>
      <c r="BG14" s="55" t="inlineStr">
        <is>
          <t>QASM2ParseError</t>
        </is>
      </c>
      <c r="BH14" s="55" t="inlineStr">
        <is>
          <t>qiskit.qasm2.exceptions.QASM2ParseError: "&lt;input&gt;:10,0: encountered '#', which doesn't match any valid tokens"</t>
        </is>
      </c>
      <c r="BI14" s="55" t="inlineStr">
        <is>
          <t>The LLM's QASM change (if (c==1) instead of if (c[0]==1)) is the same as the reference, but it put its '# FIX:' comment inside the OpenQASM string, where '#' is not valid syntax, so the QASM parser rejects the program. With that one line removed the fix passes.</t>
        </is>
      </c>
      <c r="BJ14" s="55" t="inlineStr">
        <is>
          <t>QASM2ParseError</t>
        </is>
      </c>
      <c r="BK14" s="55" t="inlineStr">
        <is>
          <t>qiskit.qasm2.exceptions.QASM2ParseError: "&lt;input&gt;:10,0: encountered '#', which doesn't match any valid tokens"</t>
        </is>
      </c>
      <c r="BL14" s="55" t="inlineStr">
        <is>
          <t>The LLM's QASM change (if (c==1) instead of if (c[0]==1)) is the same as the reference, but it put its '# FIX:' comment inside the OpenQASM string, where '#' is not valid syntax, so the QASM parser rejects the program. With that one line removed the fix passes.</t>
        </is>
      </c>
      <c r="BM14" s="55" t="n"/>
      <c r="BN14" s="55" t="n"/>
      <c r="BO14" s="55" t="n"/>
      <c r="BP14" s="55" t="n"/>
      <c r="BQ14" s="55" t="n"/>
      <c r="BR14" s="55" t="n"/>
      <c r="BS14" s="55" t="n"/>
      <c r="BT14" s="55" t="n"/>
      <c r="BU14" s="55" t="n"/>
      <c r="BV14" s="55" t="n"/>
      <c r="BW14" s="55" t="n"/>
      <c r="BX14" s="55" t="n"/>
      <c r="BY14" s="55" t="n"/>
      <c r="BZ14" s="55" t="n"/>
      <c r="CA14" s="55" t="n"/>
      <c r="CB14" s="55" t="n"/>
      <c r="CC14" s="55" t="n"/>
      <c r="CD14" s="55" t="n"/>
      <c r="CE14" s="55" t="n"/>
      <c r="CF14" s="55" t="n"/>
      <c r="CG14" s="55" t="n"/>
      <c r="CH14" s="55" t="n"/>
      <c r="CI14" s="55" t="n"/>
      <c r="CJ14" s="55" t="n"/>
      <c r="CK14" s="55" t="n"/>
      <c r="CL14" s="55" t="n"/>
      <c r="CM14" s="55" t="n"/>
      <c r="CN14" s="55" t="n"/>
      <c r="CO14" s="55" t="n"/>
      <c r="CP14" s="55" t="n"/>
      <c r="CQ14" s="55" t="n"/>
      <c r="CR14" s="55" t="n"/>
      <c r="CS14" s="55" t="n"/>
      <c r="CT14" s="55" t="n"/>
      <c r="CU14" s="55" t="n"/>
      <c r="CV14" s="55" t="n"/>
      <c r="CW14" s="55" t="n"/>
      <c r="CX14" s="55" t="n"/>
      <c r="CY14" s="55" t="n"/>
      <c r="CZ14" s="55" t="n"/>
      <c r="DA14" s="55" t="n"/>
      <c r="DB14" s="55" t="n"/>
      <c r="DC14" s="55" t="n"/>
      <c r="DD14" s="55" t="n"/>
      <c r="DE14" s="55" t="n"/>
    </row>
    <row r="15">
      <c r="A15" s="55" t="inlineStr">
        <is>
          <t>issue_189</t>
        </is>
      </c>
      <c r="B15" s="56" t="inlineStr">
        <is>
          <t>NOT_TESTED</t>
        </is>
      </c>
      <c r="C15" s="56" t="inlineStr">
        <is>
          <t>NOT_TESTED</t>
        </is>
      </c>
      <c r="D15" s="56" t="inlineStr">
        <is>
          <t>NOT_TESTED</t>
        </is>
      </c>
      <c r="E15" s="56" t="inlineStr">
        <is>
          <t>NOT_TESTED</t>
        </is>
      </c>
      <c r="F15" s="58" t="inlineStr">
        <is>
          <t>FAIL</t>
        </is>
      </c>
      <c r="G15" s="58" t="inlineStr">
        <is>
          <t>FAIL</t>
        </is>
      </c>
      <c r="H15" s="58" t="inlineStr">
        <is>
          <t>FAIL</t>
        </is>
      </c>
      <c r="I15" s="58" t="inlineStr">
        <is>
          <t>FAIL</t>
        </is>
      </c>
      <c r="J15" s="58" t="inlineStr">
        <is>
          <t>FAIL</t>
        </is>
      </c>
      <c r="K15" s="58" t="inlineStr">
        <is>
          <t>FAIL</t>
        </is>
      </c>
      <c r="L15" s="58" t="inlineStr">
        <is>
          <t>FAIL</t>
        </is>
      </c>
      <c r="M15" s="58" t="inlineStr">
        <is>
          <t>FAIL</t>
        </is>
      </c>
      <c r="N15" s="58" t="inlineStr">
        <is>
          <t>FAIL</t>
        </is>
      </c>
      <c r="O15" s="58" t="inlineStr">
        <is>
          <t>FAIL</t>
        </is>
      </c>
      <c r="P15" s="58" t="inlineStr">
        <is>
          <t>FAIL</t>
        </is>
      </c>
      <c r="Q15" s="58" t="inlineStr">
        <is>
          <t>FAIL</t>
        </is>
      </c>
      <c r="R15" s="58" t="inlineStr">
        <is>
          <t>FAIL</t>
        </is>
      </c>
      <c r="S15" s="58" t="inlineStr">
        <is>
          <t>FAIL</t>
        </is>
      </c>
      <c r="T15" s="58" t="inlineStr">
        <is>
          <t>FAIL</t>
        </is>
      </c>
      <c r="U15" s="58" t="inlineStr">
        <is>
          <t>FAIL</t>
        </is>
      </c>
      <c r="V15" s="58" t="inlineStr">
        <is>
          <t>FAIL</t>
        </is>
      </c>
      <c r="W15" s="58" t="inlineStr">
        <is>
          <t>FAIL</t>
        </is>
      </c>
      <c r="X15" s="58" t="inlineStr">
        <is>
          <t>FAIL</t>
        </is>
      </c>
      <c r="Y15" s="58" t="inlineStr">
        <is>
          <t>FAIL</t>
        </is>
      </c>
      <c r="Z15" s="58" t="inlineStr">
        <is>
          <t>FAIL</t>
        </is>
      </c>
      <c r="AA15" s="58" t="inlineStr">
        <is>
          <t>FAIL</t>
        </is>
      </c>
      <c r="AB15" s="58" t="inlineStr">
        <is>
          <t>FAIL</t>
        </is>
      </c>
      <c r="AC15" s="55" t="n"/>
      <c r="AD15" s="55" t="n"/>
      <c r="AE15" s="55" t="n"/>
      <c r="AF15" s="55" t="n"/>
      <c r="AG15" s="55" t="n"/>
      <c r="AH15" s="55" t="n"/>
      <c r="AI15" s="55" t="n"/>
      <c r="AJ15" s="55" t="n"/>
      <c r="AK15" s="55" t="n"/>
      <c r="AL15" s="55" t="n"/>
      <c r="AM15" s="55" t="n"/>
      <c r="AN15" s="55" t="n"/>
      <c r="AO15" s="55" t="inlineStr">
        <is>
          <t>AssertionError</t>
        </is>
      </c>
      <c r="AP15" s="55" t="inlineStr">
        <is>
          <t>AssertionError: Lists differ: [2, 3, 4, 5, 6, 7, 8] != [0, 3, 4, 5, 6, 7, 8]</t>
        </is>
      </c>
      <c r="AQ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R15" s="55" t="inlineStr">
        <is>
          <t>AssertionError</t>
        </is>
      </c>
      <c r="AS15" s="55" t="inlineStr">
        <is>
          <t>AssertionError: Lists differ: [2, 3, 4, 5, 6, 7, 8] != [0, 3, 4, 5, 6, 7, 8]</t>
        </is>
      </c>
      <c r="AT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U15" s="55" t="inlineStr">
        <is>
          <t>AssertionError</t>
        </is>
      </c>
      <c r="AV15" s="55" t="inlineStr">
        <is>
          <t>AssertionError: Lists differ: [2, 3, 4, 5, 6, 7, 8] != [0, 3, 4, 5, 6, 7, 8]</t>
        </is>
      </c>
      <c r="AW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X15" s="55" t="inlineStr">
        <is>
          <t>AssertionError</t>
        </is>
      </c>
      <c r="AY15" s="55" t="inlineStr">
        <is>
          <t>AssertionError: Lists differ: [2, 3, 4, 5, 6, 7, 8] != [0, 3, 4, 5, 6, 7, 8]</t>
        </is>
      </c>
      <c r="AZ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A15" s="55" t="inlineStr">
        <is>
          <t>AssertionError</t>
        </is>
      </c>
      <c r="BB15" s="55" t="inlineStr">
        <is>
          <t>AssertionError: Lists differ: [2, 3, 4, 5, 6, 7, 8] != [0, 3, 4, 5, 6, 7, 8]</t>
        </is>
      </c>
      <c r="BC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D15" s="55" t="inlineStr">
        <is>
          <t>AssertionError</t>
        </is>
      </c>
      <c r="BE15" s="55" t="inlineStr">
        <is>
          <t>AssertionError: Lists differ: [2, 3, 4, 5, 6, 7, 8] != [0, 3, 4, 5, 6, 7, 8]</t>
        </is>
      </c>
      <c r="BF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G15" s="55" t="inlineStr">
        <is>
          <t>AssertionError</t>
        </is>
      </c>
      <c r="BH15" s="55" t="inlineStr">
        <is>
          <t>AssertionError: Lists differ: [2, 3, 4, 5, 6, 7, 8] != [0, 3, 4, 5, 6, 7, 8]</t>
        </is>
      </c>
      <c r="BI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J15" s="55" t="inlineStr">
        <is>
          <t>AssertionError</t>
        </is>
      </c>
      <c r="BK15" s="55" t="inlineStr">
        <is>
          <t>AssertionError: Lists differ: [2, 3, 4, 5, 6, 7, 8] != [0, 3, 4, 5, 6, 7, 8]</t>
        </is>
      </c>
      <c r="BL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M15" s="55" t="inlineStr">
        <is>
          <t>AssertionError</t>
        </is>
      </c>
      <c r="BN15" s="55" t="inlineStr">
        <is>
          <t>AssertionError: Lists differ: [2, 3, 4, 5, 6, 7, 8] != [0, 3, 4, 5, 6, 7, 8]</t>
        </is>
      </c>
      <c r="BO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P15" s="55" t="inlineStr">
        <is>
          <t>AssertionError</t>
        </is>
      </c>
      <c r="BQ15" s="55" t="inlineStr">
        <is>
          <t>AssertionError: Lists differ: [2, 3, 4, 5, 6, 7, 8] != [0, 3, 4, 5, 6, 7, 8]</t>
        </is>
      </c>
      <c r="BR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S15" s="55" t="inlineStr">
        <is>
          <t>AssertionError</t>
        </is>
      </c>
      <c r="BT15" s="55" t="inlineStr">
        <is>
          <t>AssertionError: Lists differ: [2, 3, 4, 5, 6, 7, 8] != [0, 3, 4, 5, 6, 7, 8]</t>
        </is>
      </c>
      <c r="BU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V15" s="55" t="inlineStr">
        <is>
          <t>AssertionError</t>
        </is>
      </c>
      <c r="BW15" s="55" t="inlineStr">
        <is>
          <t>AssertionError: Lists differ: [2, 3, 4, 5, 6, 7, 8] != [0, 3, 4, 5, 6, 7, 8]</t>
        </is>
      </c>
      <c r="BX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Y15" s="55" t="inlineStr">
        <is>
          <t>AssertionError</t>
        </is>
      </c>
      <c r="BZ15" s="55" t="inlineStr">
        <is>
          <t>AssertionError: Lists differ: [2, 3, 4, 5, 6, 7, 8] != [0, 3, 4, 5, 6, 7, 8]</t>
        </is>
      </c>
      <c r="CA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B15" s="55" t="inlineStr">
        <is>
          <t>AssertionError</t>
        </is>
      </c>
      <c r="CC15" s="55" t="inlineStr">
        <is>
          <t>AssertionError: Lists differ: [2, 3, 4, 5, 6, 7, 8] != [0, 3, 4, 5, 6, 7, 8]</t>
        </is>
      </c>
      <c r="CD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E15" s="55" t="inlineStr">
        <is>
          <t>AssertionError</t>
        </is>
      </c>
      <c r="CF15" s="55" t="inlineStr">
        <is>
          <t>AssertionError: Lists differ: [2, 3, 4, 5, 6, 7, 8] != [0, 3, 4, 5, 6, 7, 8]</t>
        </is>
      </c>
      <c r="CG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H15" s="55" t="inlineStr">
        <is>
          <t>AssertionError</t>
        </is>
      </c>
      <c r="CI15" s="55" t="inlineStr">
        <is>
          <t>AssertionError: Lists differ: [2, 3, 4, 5, 6, 7, 8] != [0, 3, 4, 5, 6, 7, 8]</t>
        </is>
      </c>
      <c r="CJ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K15" s="55" t="inlineStr">
        <is>
          <t>AssertionError</t>
        </is>
      </c>
      <c r="CL15" s="55" t="inlineStr">
        <is>
          <t>AssertionError: Lists differ: [2, 3, 4, 5, 6, 7, 8] != [0, 3, 4, 5, 6, 7, 8]</t>
        </is>
      </c>
      <c r="CM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N15" s="55" t="inlineStr">
        <is>
          <t>AssertionError</t>
        </is>
      </c>
      <c r="CO15" s="55" t="inlineStr">
        <is>
          <t>AssertionError: Lists differ: [2, 3, 4, 5, 6, 7, 8] != [0, 3, 4, 5, 6, 7, 8]</t>
        </is>
      </c>
      <c r="CP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Q15" s="55" t="inlineStr">
        <is>
          <t>AssertionError</t>
        </is>
      </c>
      <c r="CR15" s="55" t="inlineStr">
        <is>
          <t>AssertionError: Lists differ: [2, 3, 4, 5, 6, 7, 8] != [0, 3, 4, 5, 6, 7, 8]</t>
        </is>
      </c>
      <c r="CS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T15" s="55" t="inlineStr">
        <is>
          <t>AssertionError</t>
        </is>
      </c>
      <c r="CU15" s="55" t="inlineStr">
        <is>
          <t>AssertionError: Lists differ: [2, 3, 4, 5, 6, 7, 8] != [0, 3, 4, 5, 6, 7, 8]</t>
        </is>
      </c>
      <c r="CV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W15" s="55" t="inlineStr">
        <is>
          <t>AssertionError</t>
        </is>
      </c>
      <c r="CX15" s="55" t="inlineStr">
        <is>
          <t>AssertionError: Lists differ: [2, 3, 4, 5, 6, 7, 8] != [0, 3, 4, 5, 6, 7, 8]</t>
        </is>
      </c>
      <c r="CY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Z15" s="55" t="inlineStr">
        <is>
          <t>AssertionError</t>
        </is>
      </c>
      <c r="DA15" s="55" t="inlineStr">
        <is>
          <t>AssertionError: Lists differ: [2, 3, 4, 5, 6, 7, 8] != [0, 3, 4, 5, 6, 7, 8]</t>
        </is>
      </c>
      <c r="DB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DC15" s="55" t="inlineStr">
        <is>
          <t>AssertionError</t>
        </is>
      </c>
      <c r="DD15" s="55" t="inlineStr">
        <is>
          <t>AssertionError: Lists differ: [2, 3, 4, 5, 6, 7, 8] != [0, 3, 4, 5, 6, 7, 8]</t>
        </is>
      </c>
      <c r="DE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row>
    <row r="16">
      <c r="A16" s="55" t="inlineStr">
        <is>
          <t>issue_225</t>
        </is>
      </c>
      <c r="B16" s="56" t="inlineStr">
        <is>
          <t>NOT_TESTED</t>
        </is>
      </c>
      <c r="C16" s="56" t="inlineStr">
        <is>
          <t>NOT_TESTED</t>
        </is>
      </c>
      <c r="D16" s="56" t="inlineStr">
        <is>
          <t>NOT_TESTED</t>
        </is>
      </c>
      <c r="E16" s="56" t="inlineStr">
        <is>
          <t>NOT_TESTED</t>
        </is>
      </c>
      <c r="F16" s="59" t="inlineStr">
        <is>
          <t>PASS</t>
        </is>
      </c>
      <c r="G16" s="59" t="inlineStr">
        <is>
          <t>PASS</t>
        </is>
      </c>
      <c r="H16" s="59" t="inlineStr">
        <is>
          <t>PASS</t>
        </is>
      </c>
      <c r="I16" s="59" t="inlineStr">
        <is>
          <t>PASS</t>
        </is>
      </c>
      <c r="J16" s="59" t="inlineStr">
        <is>
          <t>PASS</t>
        </is>
      </c>
      <c r="K16" s="59" t="inlineStr">
        <is>
          <t>PASS</t>
        </is>
      </c>
      <c r="L16" s="59" t="inlineStr">
        <is>
          <t>PASS</t>
        </is>
      </c>
      <c r="M16" s="59" t="inlineStr">
        <is>
          <t>PASS</t>
        </is>
      </c>
      <c r="N16" s="56" t="inlineStr">
        <is>
          <t>NOT_TESTED</t>
        </is>
      </c>
      <c r="O16" s="56" t="inlineStr">
        <is>
          <t>NOT_TESTED</t>
        </is>
      </c>
      <c r="P16" s="56" t="inlineStr">
        <is>
          <t>NOT_TESTED</t>
        </is>
      </c>
      <c r="Q16" s="56" t="inlineStr">
        <is>
          <t>NOT_TESTED</t>
        </is>
      </c>
      <c r="R16" s="56" t="inlineStr">
        <is>
          <t>NOT_TESTED</t>
        </is>
      </c>
      <c r="S16" s="56" t="inlineStr">
        <is>
          <t>NOT_TESTED</t>
        </is>
      </c>
      <c r="T16" s="56" t="inlineStr">
        <is>
          <t>NOT_TESTED</t>
        </is>
      </c>
      <c r="U16" s="56" t="inlineStr">
        <is>
          <t>NOT_TESTED</t>
        </is>
      </c>
      <c r="V16" s="56" t="inlineStr">
        <is>
          <t>NOT_TESTED</t>
        </is>
      </c>
      <c r="W16" s="56" t="inlineStr">
        <is>
          <t>NOT_TESTED</t>
        </is>
      </c>
      <c r="X16" s="56" t="inlineStr">
        <is>
          <t>NOT_TESTED</t>
        </is>
      </c>
      <c r="Y16" s="56" t="inlineStr">
        <is>
          <t>NOT_TESTED</t>
        </is>
      </c>
      <c r="Z16" s="56" t="inlineStr">
        <is>
          <t>NOT_TESTED</t>
        </is>
      </c>
      <c r="AA16" s="56" t="inlineStr">
        <is>
          <t>NOT_TESTED</t>
        </is>
      </c>
      <c r="AB16" s="56" t="inlineStr">
        <is>
          <t>NOT_TESTED</t>
        </is>
      </c>
      <c r="AC16" s="55" t="n"/>
      <c r="AD16" s="55" t="n"/>
      <c r="AE16" s="55" t="n"/>
      <c r="AF16" s="55" t="n"/>
      <c r="AG16" s="55" t="n"/>
      <c r="AH16" s="55" t="n"/>
      <c r="AI16" s="55" t="n"/>
      <c r="AJ16" s="55" t="n"/>
      <c r="AK16" s="55" t="n"/>
      <c r="AL16" s="55" t="n"/>
      <c r="AM16" s="55" t="n"/>
      <c r="AN16" s="55" t="n"/>
      <c r="AO16" s="55" t="n"/>
      <c r="AP16" s="55" t="n"/>
      <c r="AQ16" s="55" t="n"/>
      <c r="AR16" s="55" t="n"/>
      <c r="AS16" s="55" t="n"/>
      <c r="AT16" s="55" t="n"/>
      <c r="AU16" s="55" t="n"/>
      <c r="AV16" s="55" t="n"/>
      <c r="AW16" s="55" t="n"/>
      <c r="AX16" s="55" t="n"/>
      <c r="AY16" s="55" t="n"/>
      <c r="AZ16" s="55" t="n"/>
      <c r="BA16" s="55" t="n"/>
      <c r="BB16" s="55" t="n"/>
      <c r="BC16" s="55" t="n"/>
      <c r="BD16" s="55" t="n"/>
      <c r="BE16" s="55" t="n"/>
      <c r="BF16" s="55" t="n"/>
      <c r="BG16" s="55" t="n"/>
      <c r="BH16" s="55" t="n"/>
      <c r="BI16" s="55" t="n"/>
      <c r="BJ16" s="55" t="n"/>
      <c r="BK16" s="55" t="n"/>
      <c r="BL16" s="55" t="n"/>
      <c r="BM16" s="55" t="n"/>
      <c r="BN16" s="55" t="n"/>
      <c r="BO16" s="55" t="n"/>
      <c r="BP16" s="55" t="n"/>
      <c r="BQ16" s="55" t="n"/>
      <c r="BR16" s="55" t="n"/>
      <c r="BS16" s="55" t="n"/>
      <c r="BT16" s="55" t="n"/>
      <c r="BU16" s="55" t="n"/>
      <c r="BV16" s="55" t="n"/>
      <c r="BW16" s="55" t="n"/>
      <c r="BX16" s="55" t="n"/>
      <c r="BY16" s="55" t="n"/>
      <c r="BZ16" s="55" t="n"/>
      <c r="CA16" s="55" t="n"/>
      <c r="CB16" s="55" t="n"/>
      <c r="CC16" s="55" t="n"/>
      <c r="CD16" s="55" t="n"/>
      <c r="CE16" s="55" t="n"/>
      <c r="CF16" s="55" t="n"/>
      <c r="CG16" s="55" t="n"/>
      <c r="CH16" s="55" t="n"/>
      <c r="CI16" s="55" t="n"/>
      <c r="CJ16" s="55" t="n"/>
      <c r="CK16" s="55" t="n"/>
      <c r="CL16" s="55" t="n"/>
      <c r="CM16" s="55" t="n"/>
      <c r="CN16" s="55" t="n"/>
      <c r="CO16" s="55" t="n"/>
      <c r="CP16" s="55" t="n"/>
      <c r="CQ16" s="55" t="n"/>
      <c r="CR16" s="55" t="n"/>
      <c r="CS16" s="55" t="n"/>
      <c r="CT16" s="55" t="n"/>
      <c r="CU16" s="55" t="n"/>
      <c r="CV16" s="55" t="n"/>
      <c r="CW16" s="55" t="n"/>
      <c r="CX16" s="55" t="n"/>
      <c r="CY16" s="55" t="n"/>
      <c r="CZ16" s="55" t="n"/>
      <c r="DA16" s="55" t="n"/>
      <c r="DB16" s="55" t="n"/>
      <c r="DC16" s="55" t="n"/>
      <c r="DD16" s="55" t="n"/>
      <c r="DE16" s="55" t="n"/>
    </row>
    <row r="17">
      <c r="A17" s="55" t="inlineStr">
        <is>
          <t>issue_233</t>
        </is>
      </c>
      <c r="B17" s="57" t="inlineStr">
        <is>
          <t>ERROR</t>
        </is>
      </c>
      <c r="C17" s="57" t="inlineStr">
        <is>
          <t>ERROR</t>
        </is>
      </c>
      <c r="D17" s="57" t="inlineStr">
        <is>
          <t>ERROR</t>
        </is>
      </c>
      <c r="E17" s="57" t="inlineStr">
        <is>
          <t>ERROR</t>
        </is>
      </c>
      <c r="F17" s="57" t="inlineStr">
        <is>
          <t>ERROR</t>
        </is>
      </c>
      <c r="G17" s="57" t="inlineStr">
        <is>
          <t>ERROR</t>
        </is>
      </c>
      <c r="H17" s="57" t="inlineStr">
        <is>
          <t>ERROR</t>
        </is>
      </c>
      <c r="I17" s="57" t="inlineStr">
        <is>
          <t>ERROR</t>
        </is>
      </c>
      <c r="J17" s="57" t="inlineStr">
        <is>
          <t>ERROR</t>
        </is>
      </c>
      <c r="K17" s="57" t="inlineStr">
        <is>
          <t>ERROR</t>
        </is>
      </c>
      <c r="L17" s="57" t="inlineStr">
        <is>
          <t>ERROR</t>
        </is>
      </c>
      <c r="M17" s="57" t="inlineStr">
        <is>
          <t>ERROR</t>
        </is>
      </c>
      <c r="N17" s="57" t="inlineStr">
        <is>
          <t>ERROR</t>
        </is>
      </c>
      <c r="O17" s="57" t="inlineStr">
        <is>
          <t>ERROR</t>
        </is>
      </c>
      <c r="P17" s="57" t="inlineStr">
        <is>
          <t>ERROR</t>
        </is>
      </c>
      <c r="Q17" s="57" t="inlineStr">
        <is>
          <t>ERROR</t>
        </is>
      </c>
      <c r="R17" s="57" t="inlineStr">
        <is>
          <t>ERROR</t>
        </is>
      </c>
      <c r="S17" s="57" t="inlineStr">
        <is>
          <t>ERROR</t>
        </is>
      </c>
      <c r="T17" s="57" t="inlineStr">
        <is>
          <t>ERROR</t>
        </is>
      </c>
      <c r="U17" s="57" t="inlineStr">
        <is>
          <t>ERROR</t>
        </is>
      </c>
      <c r="V17" s="57" t="inlineStr">
        <is>
          <t>ERROR</t>
        </is>
      </c>
      <c r="W17" s="57" t="inlineStr">
        <is>
          <t>ERROR</t>
        </is>
      </c>
      <c r="X17" s="57" t="inlineStr">
        <is>
          <t>ERROR</t>
        </is>
      </c>
      <c r="Y17" s="57" t="inlineStr">
        <is>
          <t>ERROR</t>
        </is>
      </c>
      <c r="Z17" s="57" t="inlineStr">
        <is>
          <t>ERROR</t>
        </is>
      </c>
      <c r="AA17" s="57" t="inlineStr">
        <is>
          <t>ERROR</t>
        </is>
      </c>
      <c r="AB17" s="57" t="inlineStr">
        <is>
          <t>ERROR</t>
        </is>
      </c>
      <c r="AC17" s="55" t="inlineStr">
        <is>
          <t>TypeError</t>
        </is>
      </c>
      <c r="AD17" s="55" t="inlineStr">
        <is>
          <t>TypeError: 'int' object is not callable</t>
        </is>
      </c>
      <c r="AE17" s="55" t="inlineStr">
        <is>
          <t>The LLM replaced only the second rot.num_parameters_settable() call (with len(rot.parameters)) and left the first one; num_parameters_settable is a property that returns an int, so calling it raises TypeError before anything is printed.</t>
        </is>
      </c>
      <c r="AF17" s="55" t="inlineStr">
        <is>
          <t>TypeError</t>
        </is>
      </c>
      <c r="AG17" s="55" t="inlineStr">
        <is>
          <t>TypeError: 'int' object is not callable</t>
        </is>
      </c>
      <c r="AH17" s="55" t="inlineStr">
        <is>
          <t>The LLM replaced only the second rot.num_parameters_settable() call (with len(rot.parameters)) and left the first one; num_parameters_settable is a property that returns an int, so calling it raises TypeError before anything is printed.</t>
        </is>
      </c>
      <c r="AI17" s="55" t="inlineStr">
        <is>
          <t>TypeError</t>
        </is>
      </c>
      <c r="AJ17" s="55" t="inlineStr">
        <is>
          <t>TypeError: 'int' object is not callable</t>
        </is>
      </c>
      <c r="AK17" s="55" t="inlineStr">
        <is>
          <t>The LLM replaced only the second rot.num_parameters_settable() call (with len(rot.parameters)) and left the first one; num_parameters_settable is a property that returns an int, so calling it raises TypeError before anything is printed.</t>
        </is>
      </c>
      <c r="AL17" s="55" t="inlineStr">
        <is>
          <t>TypeError</t>
        </is>
      </c>
      <c r="AM17" s="55" t="inlineStr">
        <is>
          <t>TypeError: 'int' object is not callable</t>
        </is>
      </c>
      <c r="AN17" s="55" t="inlineStr">
        <is>
          <t>The LLM replaced only the second rot.num_parameters_settable() call (with len(rot.parameters)) and left the first one; num_parameters_settable is a property that returns an int, so calling it raises TypeError before anything is printed.</t>
        </is>
      </c>
      <c r="AO17" s="55" t="inlineStr">
        <is>
          <t>TypeError</t>
        </is>
      </c>
      <c r="AP17" s="55" t="inlineStr">
        <is>
          <t>TypeError: 'int' object is not callable</t>
        </is>
      </c>
      <c r="AQ17" s="55" t="inlineStr">
        <is>
          <t>The LLM replaced only the second rot.num_parameters_settable() call (with len(rot.parameters)) and left the first one; num_parameters_settable is a property that returns an int, so calling it raises TypeError before anything is printed.</t>
        </is>
      </c>
      <c r="AR17" s="55" t="inlineStr">
        <is>
          <t>TypeError</t>
        </is>
      </c>
      <c r="AS17" s="55" t="inlineStr">
        <is>
          <t>TypeError: 'int' object is not callable</t>
        </is>
      </c>
      <c r="AT17" s="55" t="inlineStr">
        <is>
          <t>The LLM replaced only the second rot.num_parameters_settable() call (with len(rot.parameters)) and left the first one; num_parameters_settable is a property that returns an int, so calling it raises TypeError before anything is printed.</t>
        </is>
      </c>
      <c r="AU17" s="55" t="inlineStr">
        <is>
          <t>TypeError</t>
        </is>
      </c>
      <c r="AV17" s="55" t="inlineStr">
        <is>
          <t>TypeError: 'int' object is not callable</t>
        </is>
      </c>
      <c r="AW17" s="55" t="inlineStr">
        <is>
          <t>The LLM replaced only the second rot.num_parameters_settable() call (with len(rot.parameters)) and left the first one; num_parameters_settable is a property that returns an int, so calling it raises TypeError before anything is printed.</t>
        </is>
      </c>
      <c r="AX17" s="55" t="inlineStr">
        <is>
          <t>TypeError</t>
        </is>
      </c>
      <c r="AY17" s="55" t="inlineStr">
        <is>
          <t>TypeError: 'int' object is not callable</t>
        </is>
      </c>
      <c r="AZ17" s="55" t="inlineStr">
        <is>
          <t>The LLM replaced only the second rot.num_parameters_settable() call (with len(rot.parameters)) and left the first one; num_parameters_settable is a property that returns an int, so calling it raises TypeError before anything is printed.</t>
        </is>
      </c>
      <c r="BA17" s="55" t="inlineStr">
        <is>
          <t>TypeError</t>
        </is>
      </c>
      <c r="BB17" s="55" t="inlineStr">
        <is>
          <t>TypeError: 'int' object is not callable</t>
        </is>
      </c>
      <c r="BC17" s="55" t="inlineStr">
        <is>
          <t>The LLM replaced only the second rot.num_parameters_settable() call (with len(rot.parameters)) and left the first one; num_parameters_settable is a property that returns an int, so calling it raises TypeError before anything is printed.</t>
        </is>
      </c>
      <c r="BD17" s="55" t="inlineStr">
        <is>
          <t>TypeError</t>
        </is>
      </c>
      <c r="BE17" s="55" t="inlineStr">
        <is>
          <t>TypeError: 'int' object is not callable</t>
        </is>
      </c>
      <c r="BF17" s="55" t="inlineStr">
        <is>
          <t>The LLM replaced only the second rot.num_parameters_settable() call (with len(rot.parameters)) and left the first one; num_parameters_settable is a property that returns an int, so calling it raises TypeError before anything is printed.</t>
        </is>
      </c>
      <c r="BG17" s="55" t="inlineStr">
        <is>
          <t>TypeError</t>
        </is>
      </c>
      <c r="BH17" s="55" t="inlineStr">
        <is>
          <t>TypeError: 'int' object is not callable</t>
        </is>
      </c>
      <c r="BI17" s="55" t="inlineStr">
        <is>
          <t>The LLM replaced only the second rot.num_parameters_settable() call (with len(rot.parameters)) and left the first one; num_parameters_settable is a property that returns an int, so calling it raises TypeError before anything is printed.</t>
        </is>
      </c>
      <c r="BJ17" s="55" t="inlineStr">
        <is>
          <t>TypeError</t>
        </is>
      </c>
      <c r="BK17" s="55" t="inlineStr">
        <is>
          <t>TypeError: 'int' object is not callable</t>
        </is>
      </c>
      <c r="BL17" s="55" t="inlineStr">
        <is>
          <t>The LLM replaced only the second rot.num_parameters_settable() call (with len(rot.parameters)) and left the first one; num_parameters_settable is a property that returns an int, so calling it raises TypeError before anything is printed.</t>
        </is>
      </c>
      <c r="BM17" s="55" t="inlineStr">
        <is>
          <t>TypeError</t>
        </is>
      </c>
      <c r="BN17" s="55" t="inlineStr">
        <is>
          <t>TypeError: 'int' object is not callable</t>
        </is>
      </c>
      <c r="BO17" s="55" t="inlineStr">
        <is>
          <t>The LLM replaced only the second rot.num_parameters_settable() call (with len(rot.parameters)) and left the first one; num_parameters_settable is a property that returns an int, so calling it raises TypeError before anything is printed.</t>
        </is>
      </c>
      <c r="BP17" s="55" t="inlineStr">
        <is>
          <t>TypeError</t>
        </is>
      </c>
      <c r="BQ17" s="55" t="inlineStr">
        <is>
          <t>TypeError: 'int' object is not callable</t>
        </is>
      </c>
      <c r="BR17" s="55" t="inlineStr">
        <is>
          <t>The LLM replaced only the second rot.num_parameters_settable() call (with len(rot.parameters)) and left the first one; num_parameters_settable is a property that returns an int, so calling it raises TypeError before anything is printed.</t>
        </is>
      </c>
      <c r="BS17" s="55" t="inlineStr">
        <is>
          <t>TypeError</t>
        </is>
      </c>
      <c r="BT17" s="55" t="inlineStr">
        <is>
          <t>TypeError: 'int' object is not callable</t>
        </is>
      </c>
      <c r="BU17" s="55" t="inlineStr">
        <is>
          <t>The LLM replaced only the second rot.num_parameters_settable() call (with len(rot.parameters)) and left the first one; num_parameters_settable is a property that returns an int, so calling it raises TypeError before anything is printed.</t>
        </is>
      </c>
      <c r="BV17" s="55" t="inlineStr">
        <is>
          <t>TypeError</t>
        </is>
      </c>
      <c r="BW17" s="55" t="inlineStr">
        <is>
          <t>TypeError: 'int' object is not callable</t>
        </is>
      </c>
      <c r="BX17" s="55" t="inlineStr">
        <is>
          <t>The LLM replaced only the second rot.num_parameters_settable() call (with len(rot.parameters)) and left the first one; num_parameters_settable is a property that returns an int, so calling it raises TypeError before anything is printed.</t>
        </is>
      </c>
      <c r="BY17" s="55" t="inlineStr">
        <is>
          <t>TypeError</t>
        </is>
      </c>
      <c r="BZ17" s="55" t="inlineStr">
        <is>
          <t>TypeError: 'int' object is not callable</t>
        </is>
      </c>
      <c r="CA17" s="55" t="inlineStr">
        <is>
          <t>The LLM replaced only the second rot.num_parameters_settable() call (with len(rot.parameters)) and left the first one; num_parameters_settable is a property that returns an int, so calling it raises TypeError before anything is printed.</t>
        </is>
      </c>
      <c r="CB17" s="55" t="inlineStr">
        <is>
          <t>TypeError</t>
        </is>
      </c>
      <c r="CC17" s="55" t="inlineStr">
        <is>
          <t>TypeError: 'int' object is not callable</t>
        </is>
      </c>
      <c r="CD17" s="55" t="inlineStr">
        <is>
          <t>The LLM replaced only the second rot.num_parameters_settable() call (with len(rot.parameters)) and left the first one; num_parameters_settable is a property that returns an int, so calling it raises TypeError before anything is printed.</t>
        </is>
      </c>
      <c r="CE17" s="55" t="inlineStr">
        <is>
          <t>TypeError</t>
        </is>
      </c>
      <c r="CF17" s="55" t="inlineStr">
        <is>
          <t>TypeError: 'int' object is not callable</t>
        </is>
      </c>
      <c r="CG17" s="55" t="inlineStr">
        <is>
          <t>The LLM replaced only the second rot.num_parameters_settable() call (with len(rot.parameters)) and left the first one; num_parameters_settable is a property that returns an int, so calling it raises TypeError before anything is printed.</t>
        </is>
      </c>
      <c r="CH17" s="55" t="inlineStr">
        <is>
          <t>TypeError</t>
        </is>
      </c>
      <c r="CI17" s="55" t="inlineStr">
        <is>
          <t>TypeError: 'int' object is not callable</t>
        </is>
      </c>
      <c r="CJ17" s="55" t="inlineStr">
        <is>
          <t>The LLM replaced only the second rot.num_parameters_settable() call (with len(rot.parameters)) and left the first one; num_parameters_settable is a property that returns an int, so calling it raises TypeError before anything is printed.</t>
        </is>
      </c>
      <c r="CK17" s="55" t="inlineStr">
        <is>
          <t>TypeError</t>
        </is>
      </c>
      <c r="CL17" s="55" t="inlineStr">
        <is>
          <t>TypeError: 'int' object is not callable</t>
        </is>
      </c>
      <c r="CM17" s="55" t="inlineStr">
        <is>
          <t>The LLM replaced only the second rot.num_parameters_settable() call (with len(rot.parameters)) and left the first one; num_parameters_settable is a property that returns an int, so calling it raises TypeError before anything is printed.</t>
        </is>
      </c>
      <c r="CN17" s="55" t="inlineStr">
        <is>
          <t>TypeError</t>
        </is>
      </c>
      <c r="CO17" s="55" t="inlineStr">
        <is>
          <t>TypeError: 'int' object is not callable</t>
        </is>
      </c>
      <c r="CP17" s="55" t="inlineStr">
        <is>
          <t>The LLM replaced only the second rot.num_parameters_settable() call (with len(rot.parameters)) and left the first one; num_parameters_settable is a property that returns an int, so calling it raises TypeError before anything is printed.</t>
        </is>
      </c>
      <c r="CQ17" s="55" t="inlineStr">
        <is>
          <t>TypeError</t>
        </is>
      </c>
      <c r="CR17" s="55" t="inlineStr">
        <is>
          <t>TypeError: 'int' object is not callable</t>
        </is>
      </c>
      <c r="CS17" s="55" t="inlineStr">
        <is>
          <t>The LLM replaced only the second rot.num_parameters_settable() call (with len(rot.parameters)) and left the first one; num_parameters_settable is a property that returns an int, so calling it raises TypeError before anything is printed.</t>
        </is>
      </c>
      <c r="CT17" s="55" t="inlineStr">
        <is>
          <t>TypeError</t>
        </is>
      </c>
      <c r="CU17" s="55" t="inlineStr">
        <is>
          <t>TypeError: 'int' object is not callable</t>
        </is>
      </c>
      <c r="CV17" s="55" t="inlineStr">
        <is>
          <t>The LLM replaced only the second rot.num_parameters_settable() call (with len(rot.parameters)) and left the first one; num_parameters_settable is a property that returns an int, so calling it raises TypeError before anything is printed.</t>
        </is>
      </c>
      <c r="CW17" s="55" t="inlineStr">
        <is>
          <t>TypeError</t>
        </is>
      </c>
      <c r="CX17" s="55" t="inlineStr">
        <is>
          <t>TypeError: 'int' object is not callable</t>
        </is>
      </c>
      <c r="CY17" s="55" t="inlineStr">
        <is>
          <t>The LLM replaced only the second rot.num_parameters_settable() call (with len(rot.parameters)) and left the first one; num_parameters_settable is a property that returns an int, so calling it raises TypeError before anything is printed.</t>
        </is>
      </c>
      <c r="CZ17" s="55" t="inlineStr">
        <is>
          <t>TypeError</t>
        </is>
      </c>
      <c r="DA17" s="55" t="inlineStr">
        <is>
          <t>TypeError: 'int' object is not callable</t>
        </is>
      </c>
      <c r="DB17" s="55" t="inlineStr">
        <is>
          <t>The LLM replaced only the second rot.num_parameters_settable() call (with len(rot.parameters)) and left the first one; num_parameters_settable is a property that returns an int, so calling it raises TypeError before anything is printed.</t>
        </is>
      </c>
      <c r="DC17" s="55" t="inlineStr">
        <is>
          <t>TypeError</t>
        </is>
      </c>
      <c r="DD17" s="55" t="inlineStr">
        <is>
          <t>TypeError: 'int' object is not callable</t>
        </is>
      </c>
      <c r="DE17" s="55" t="inlineStr">
        <is>
          <t>The LLM replaced only the second rot.num_parameters_settable() call (with len(rot.parameters)) and left the first one; num_parameters_settable is a property that returns an int, so calling it raises TypeError before anything is printed.</t>
        </is>
      </c>
    </row>
    <row r="18">
      <c r="A18" s="55" t="inlineStr">
        <is>
          <t>issue_261</t>
        </is>
      </c>
      <c r="B18" s="59" t="inlineStr">
        <is>
          <t>PASS</t>
        </is>
      </c>
      <c r="C18" s="59" t="inlineStr">
        <is>
          <t>PASS</t>
        </is>
      </c>
      <c r="D18" s="59" t="inlineStr">
        <is>
          <t>PASS</t>
        </is>
      </c>
      <c r="E18" s="59" t="inlineStr">
        <is>
          <t>PASS</t>
        </is>
      </c>
      <c r="F18" s="59" t="inlineStr">
        <is>
          <t>PASS</t>
        </is>
      </c>
      <c r="G18" s="59" t="inlineStr">
        <is>
          <t>PASS</t>
        </is>
      </c>
      <c r="H18" s="59" t="inlineStr">
        <is>
          <t>PASS</t>
        </is>
      </c>
      <c r="I18" s="59" t="inlineStr">
        <is>
          <t>PASS</t>
        </is>
      </c>
      <c r="J18" s="59" t="inlineStr">
        <is>
          <t>PASS</t>
        </is>
      </c>
      <c r="K18" s="59" t="inlineStr">
        <is>
          <t>PASS</t>
        </is>
      </c>
      <c r="L18" s="59" t="inlineStr">
        <is>
          <t>PASS</t>
        </is>
      </c>
      <c r="M18" s="59" t="inlineStr">
        <is>
          <t>PASS</t>
        </is>
      </c>
      <c r="N18" s="56" t="inlineStr">
        <is>
          <t>NOT_TESTED</t>
        </is>
      </c>
      <c r="O18" s="56" t="inlineStr">
        <is>
          <t>NOT_TESTED</t>
        </is>
      </c>
      <c r="P18" s="56" t="inlineStr">
        <is>
          <t>NOT_TESTED</t>
        </is>
      </c>
      <c r="Q18" s="56" t="inlineStr">
        <is>
          <t>NOT_TESTED</t>
        </is>
      </c>
      <c r="R18" s="56" t="inlineStr">
        <is>
          <t>NOT_TESTED</t>
        </is>
      </c>
      <c r="S18" s="56" t="inlineStr">
        <is>
          <t>NOT_TESTED</t>
        </is>
      </c>
      <c r="T18" s="56" t="inlineStr">
        <is>
          <t>NOT_TESTED</t>
        </is>
      </c>
      <c r="U18" s="56" t="inlineStr">
        <is>
          <t>NOT_TESTED</t>
        </is>
      </c>
      <c r="V18" s="56" t="inlineStr">
        <is>
          <t>NOT_TESTED</t>
        </is>
      </c>
      <c r="W18" s="56" t="inlineStr">
        <is>
          <t>NOT_TESTED</t>
        </is>
      </c>
      <c r="X18" s="56" t="inlineStr">
        <is>
          <t>NOT_TESTED</t>
        </is>
      </c>
      <c r="Y18" s="56" t="inlineStr">
        <is>
          <t>NOT_TESTED</t>
        </is>
      </c>
      <c r="Z18" s="56" t="inlineStr">
        <is>
          <t>NOT_TESTED</t>
        </is>
      </c>
      <c r="AA18" s="56" t="inlineStr">
        <is>
          <t>NOT_TESTED</t>
        </is>
      </c>
      <c r="AB18" s="56" t="inlineStr">
        <is>
          <t>NOT_TESTED</t>
        </is>
      </c>
      <c r="AC18" s="55" t="n"/>
      <c r="AD18" s="55" t="n"/>
      <c r="AE18" s="55" t="n"/>
      <c r="AF18" s="55" t="n"/>
      <c r="AG18" s="55" t="n"/>
      <c r="AH18" s="55" t="n"/>
      <c r="AI18" s="55" t="n"/>
      <c r="AJ18" s="55" t="n"/>
      <c r="AK18" s="55" t="n"/>
      <c r="AL18" s="55" t="n"/>
      <c r="AM18" s="55" t="n"/>
      <c r="AN18" s="55" t="n"/>
      <c r="AO18" s="55" t="n"/>
      <c r="AP18" s="55" t="n"/>
      <c r="AQ18" s="55" t="n"/>
      <c r="AR18" s="55" t="n"/>
      <c r="AS18" s="55" t="n"/>
      <c r="AT18" s="55" t="n"/>
      <c r="AU18" s="55" t="n"/>
      <c r="AV18" s="55" t="n"/>
      <c r="AW18" s="55" t="n"/>
      <c r="AX18" s="55" t="n"/>
      <c r="AY18" s="55" t="n"/>
      <c r="AZ18" s="55" t="n"/>
      <c r="BA18" s="55" t="n"/>
      <c r="BB18" s="55" t="n"/>
      <c r="BC18" s="55" t="n"/>
      <c r="BD18" s="55" t="n"/>
      <c r="BE18" s="55" t="n"/>
      <c r="BF18" s="55" t="n"/>
      <c r="BG18" s="55" t="n"/>
      <c r="BH18" s="55" t="n"/>
      <c r="BI18" s="55" t="n"/>
      <c r="BJ18" s="55" t="n"/>
      <c r="BK18" s="55" t="n"/>
      <c r="BL18" s="55" t="n"/>
      <c r="BM18" s="55" t="n"/>
      <c r="BN18" s="55" t="n"/>
      <c r="BO18" s="55" t="n"/>
      <c r="BP18" s="55" t="n"/>
      <c r="BQ18" s="55" t="n"/>
      <c r="BR18" s="55" t="n"/>
      <c r="BS18" s="55" t="n"/>
      <c r="BT18" s="55" t="n"/>
      <c r="BU18" s="55" t="n"/>
      <c r="BV18" s="55" t="n"/>
      <c r="BW18" s="55" t="n"/>
      <c r="BX18" s="55" t="n"/>
      <c r="BY18" s="55" t="n"/>
      <c r="BZ18" s="55" t="n"/>
      <c r="CA18" s="55" t="n"/>
      <c r="CB18" s="55" t="n"/>
      <c r="CC18" s="55" t="n"/>
      <c r="CD18" s="55" t="n"/>
      <c r="CE18" s="55" t="n"/>
      <c r="CF18" s="55" t="n"/>
      <c r="CG18" s="55" t="n"/>
      <c r="CH18" s="55" t="n"/>
      <c r="CI18" s="55" t="n"/>
      <c r="CJ18" s="55" t="n"/>
      <c r="CK18" s="55" t="n"/>
      <c r="CL18" s="55" t="n"/>
      <c r="CM18" s="55" t="n"/>
      <c r="CN18" s="55" t="n"/>
      <c r="CO18" s="55" t="n"/>
      <c r="CP18" s="55" t="n"/>
      <c r="CQ18" s="55" t="n"/>
      <c r="CR18" s="55" t="n"/>
      <c r="CS18" s="55" t="n"/>
      <c r="CT18" s="55" t="n"/>
      <c r="CU18" s="55" t="n"/>
      <c r="CV18" s="55" t="n"/>
      <c r="CW18" s="55" t="n"/>
      <c r="CX18" s="55" t="n"/>
      <c r="CY18" s="55" t="n"/>
      <c r="CZ18" s="55" t="n"/>
      <c r="DA18" s="55" t="n"/>
      <c r="DB18" s="55" t="n"/>
      <c r="DC18" s="55" t="n"/>
      <c r="DD18" s="55" t="n"/>
      <c r="DE18" s="55" t="n"/>
    </row>
    <row r="19">
      <c r="A19" s="55" t="inlineStr">
        <is>
          <t>issue_280</t>
        </is>
      </c>
      <c r="B19" s="59" t="inlineStr">
        <is>
          <t>PASS</t>
        </is>
      </c>
      <c r="C19" s="59" t="inlineStr">
        <is>
          <t>PASS</t>
        </is>
      </c>
      <c r="D19" s="59" t="inlineStr">
        <is>
          <t>PASS</t>
        </is>
      </c>
      <c r="E19" s="59" t="inlineStr">
        <is>
          <t>PASS</t>
        </is>
      </c>
      <c r="F19" s="59" t="inlineStr">
        <is>
          <t>PASS</t>
        </is>
      </c>
      <c r="G19" s="59" t="inlineStr">
        <is>
          <t>PASS</t>
        </is>
      </c>
      <c r="H19" s="59" t="inlineStr">
        <is>
          <t>PASS</t>
        </is>
      </c>
      <c r="I19" s="59" t="inlineStr">
        <is>
          <t>PASS</t>
        </is>
      </c>
      <c r="J19" s="59" t="inlineStr">
        <is>
          <t>PASS</t>
        </is>
      </c>
      <c r="K19" s="59" t="inlineStr">
        <is>
          <t>PASS</t>
        </is>
      </c>
      <c r="L19" s="59" t="inlineStr">
        <is>
          <t>PASS</t>
        </is>
      </c>
      <c r="M19" s="59" t="inlineStr">
        <is>
          <t>PASS</t>
        </is>
      </c>
      <c r="N19" s="56" t="inlineStr">
        <is>
          <t>NOT_TESTED</t>
        </is>
      </c>
      <c r="O19" s="56" t="inlineStr">
        <is>
          <t>NOT_TESTED</t>
        </is>
      </c>
      <c r="P19" s="56" t="inlineStr">
        <is>
          <t>NOT_TESTED</t>
        </is>
      </c>
      <c r="Q19" s="56" t="inlineStr">
        <is>
          <t>NOT_TESTED</t>
        </is>
      </c>
      <c r="R19" s="56" t="inlineStr">
        <is>
          <t>NOT_TESTED</t>
        </is>
      </c>
      <c r="S19" s="56" t="inlineStr">
        <is>
          <t>NOT_TESTED</t>
        </is>
      </c>
      <c r="T19" s="56" t="inlineStr">
        <is>
          <t>NOT_TESTED</t>
        </is>
      </c>
      <c r="U19" s="56" t="inlineStr">
        <is>
          <t>NOT_TESTED</t>
        </is>
      </c>
      <c r="V19" s="56" t="inlineStr">
        <is>
          <t>NOT_TESTED</t>
        </is>
      </c>
      <c r="W19" s="56" t="inlineStr">
        <is>
          <t>NOT_TESTED</t>
        </is>
      </c>
      <c r="X19" s="56" t="inlineStr">
        <is>
          <t>NOT_TESTED</t>
        </is>
      </c>
      <c r="Y19" s="56" t="inlineStr">
        <is>
          <t>NOT_TESTED</t>
        </is>
      </c>
      <c r="Z19" s="56" t="inlineStr">
        <is>
          <t>NOT_TESTED</t>
        </is>
      </c>
      <c r="AA19" s="56" t="inlineStr">
        <is>
          <t>NOT_TESTED</t>
        </is>
      </c>
      <c r="AB19" s="56" t="inlineStr">
        <is>
          <t>NOT_TESTED</t>
        </is>
      </c>
      <c r="AC19" s="55" t="n"/>
      <c r="AD19" s="55" t="n"/>
      <c r="AE19" s="55" t="n"/>
      <c r="AF19" s="55" t="n"/>
      <c r="AG19" s="55" t="n"/>
      <c r="AH19" s="55" t="n"/>
      <c r="AI19" s="55" t="n"/>
      <c r="AJ19" s="55" t="n"/>
      <c r="AK19" s="55" t="n"/>
      <c r="AL19" s="55" t="n"/>
      <c r="AM19" s="55" t="n"/>
      <c r="AN19" s="55" t="n"/>
      <c r="AO19" s="55" t="n"/>
      <c r="AP19" s="55" t="n"/>
      <c r="AQ19" s="55" t="n"/>
      <c r="AR19" s="55" t="n"/>
      <c r="AS19" s="55" t="n"/>
      <c r="AT19" s="55" t="n"/>
      <c r="AU19" s="55" t="n"/>
      <c r="AV19" s="55" t="n"/>
      <c r="AW19" s="55" t="n"/>
      <c r="AX19" s="55" t="n"/>
      <c r="AY19" s="55" t="n"/>
      <c r="AZ19" s="55" t="n"/>
      <c r="BA19" s="55" t="n"/>
      <c r="BB19" s="55" t="n"/>
      <c r="BC19" s="55" t="n"/>
      <c r="BD19" s="55" t="n"/>
      <c r="BE19" s="55" t="n"/>
      <c r="BF19" s="55" t="n"/>
      <c r="BG19" s="55" t="n"/>
      <c r="BH19" s="55" t="n"/>
      <c r="BI19" s="55" t="n"/>
      <c r="BJ19" s="55" t="n"/>
      <c r="BK19" s="55" t="n"/>
      <c r="BL19" s="55" t="n"/>
      <c r="BM19" s="55" t="n"/>
      <c r="BN19" s="55" t="n"/>
      <c r="BO19" s="55" t="n"/>
      <c r="BP19" s="55" t="n"/>
      <c r="BQ19" s="55" t="n"/>
      <c r="BR19" s="55" t="n"/>
      <c r="BS19" s="55" t="n"/>
      <c r="BT19" s="55" t="n"/>
      <c r="BU19" s="55" t="n"/>
      <c r="BV19" s="55" t="n"/>
      <c r="BW19" s="55" t="n"/>
      <c r="BX19" s="55" t="n"/>
      <c r="BY19" s="55" t="n"/>
      <c r="BZ19" s="55" t="n"/>
      <c r="CA19" s="55" t="n"/>
      <c r="CB19" s="55" t="n"/>
      <c r="CC19" s="55" t="n"/>
      <c r="CD19" s="55" t="n"/>
      <c r="CE19" s="55" t="n"/>
      <c r="CF19" s="55" t="n"/>
      <c r="CG19" s="55" t="n"/>
      <c r="CH19" s="55" t="n"/>
      <c r="CI19" s="55" t="n"/>
      <c r="CJ19" s="55" t="n"/>
      <c r="CK19" s="55" t="n"/>
      <c r="CL19" s="55" t="n"/>
      <c r="CM19" s="55" t="n"/>
      <c r="CN19" s="55" t="n"/>
      <c r="CO19" s="55" t="n"/>
      <c r="CP19" s="55" t="n"/>
      <c r="CQ19" s="55" t="n"/>
      <c r="CR19" s="55" t="n"/>
      <c r="CS19" s="55" t="n"/>
      <c r="CT19" s="55" t="n"/>
      <c r="CU19" s="55" t="n"/>
      <c r="CV19" s="55" t="n"/>
      <c r="CW19" s="55" t="n"/>
      <c r="CX19" s="55" t="n"/>
      <c r="CY19" s="55" t="n"/>
      <c r="CZ19" s="55" t="n"/>
      <c r="DA19" s="55" t="n"/>
      <c r="DB19" s="55" t="n"/>
      <c r="DC19" s="55" t="n"/>
      <c r="DD19" s="55" t="n"/>
      <c r="DE19" s="55" t="n"/>
    </row>
    <row r="20">
      <c r="A20" s="55" t="inlineStr">
        <is>
          <t>issue_295</t>
        </is>
      </c>
      <c r="B20" s="56" t="inlineStr">
        <is>
          <t>NOT_TESTED</t>
        </is>
      </c>
      <c r="C20" s="56" t="inlineStr">
        <is>
          <t>NOT_TESTED</t>
        </is>
      </c>
      <c r="D20" s="56" t="inlineStr">
        <is>
          <t>NOT_TESTED</t>
        </is>
      </c>
      <c r="E20" s="56" t="inlineStr">
        <is>
          <t>NOT_TESTED</t>
        </is>
      </c>
      <c r="F20" s="59" t="inlineStr">
        <is>
          <t>PASS</t>
        </is>
      </c>
      <c r="G20" s="59" t="inlineStr">
        <is>
          <t>PASS</t>
        </is>
      </c>
      <c r="H20" s="59" t="inlineStr">
        <is>
          <t>PASS</t>
        </is>
      </c>
      <c r="I20" s="59" t="inlineStr">
        <is>
          <t>PASS</t>
        </is>
      </c>
      <c r="J20" s="59" t="inlineStr">
        <is>
          <t>PASS</t>
        </is>
      </c>
      <c r="K20" s="59" t="inlineStr">
        <is>
          <t>PASS</t>
        </is>
      </c>
      <c r="L20" s="59" t="inlineStr">
        <is>
          <t>PASS</t>
        </is>
      </c>
      <c r="M20" s="59" t="inlineStr">
        <is>
          <t>PASS</t>
        </is>
      </c>
      <c r="N20" s="56" t="inlineStr">
        <is>
          <t>NOT_TESTED</t>
        </is>
      </c>
      <c r="O20" s="56" t="inlineStr">
        <is>
          <t>NOT_TESTED</t>
        </is>
      </c>
      <c r="P20" s="56" t="inlineStr">
        <is>
          <t>NOT_TESTED</t>
        </is>
      </c>
      <c r="Q20" s="56" t="inlineStr">
        <is>
          <t>NOT_TESTED</t>
        </is>
      </c>
      <c r="R20" s="56" t="inlineStr">
        <is>
          <t>NOT_TESTED</t>
        </is>
      </c>
      <c r="S20" s="56" t="inlineStr">
        <is>
          <t>NOT_TESTED</t>
        </is>
      </c>
      <c r="T20" s="56" t="inlineStr">
        <is>
          <t>NOT_TESTED</t>
        </is>
      </c>
      <c r="U20" s="56" t="inlineStr">
        <is>
          <t>NOT_TESTED</t>
        </is>
      </c>
      <c r="V20" s="56" t="inlineStr">
        <is>
          <t>NOT_TESTED</t>
        </is>
      </c>
      <c r="W20" s="56" t="inlineStr">
        <is>
          <t>NOT_TESTED</t>
        </is>
      </c>
      <c r="X20" s="56" t="inlineStr">
        <is>
          <t>NOT_TESTED</t>
        </is>
      </c>
      <c r="Y20" s="56" t="inlineStr">
        <is>
          <t>NOT_TESTED</t>
        </is>
      </c>
      <c r="Z20" s="56" t="inlineStr">
        <is>
          <t>NOT_TESTED</t>
        </is>
      </c>
      <c r="AA20" s="56" t="inlineStr">
        <is>
          <t>NOT_TESTED</t>
        </is>
      </c>
      <c r="AB20" s="56" t="inlineStr">
        <is>
          <t>NOT_TESTED</t>
        </is>
      </c>
      <c r="AC20" s="55" t="n"/>
      <c r="AD20" s="55" t="n"/>
      <c r="AE20" s="55" t="n"/>
      <c r="AF20" s="55" t="n"/>
      <c r="AG20" s="55" t="n"/>
      <c r="AH20" s="55" t="n"/>
      <c r="AI20" s="55" t="n"/>
      <c r="AJ20" s="55" t="n"/>
      <c r="AK20" s="55" t="n"/>
      <c r="AL20" s="55" t="n"/>
      <c r="AM20" s="55" t="n"/>
      <c r="AN20" s="55" t="n"/>
      <c r="AO20" s="55" t="n"/>
      <c r="AP20" s="55" t="n"/>
      <c r="AQ20" s="55" t="n"/>
      <c r="AR20" s="55" t="n"/>
      <c r="AS20" s="55" t="n"/>
      <c r="AT20" s="55" t="n"/>
      <c r="AU20" s="55" t="n"/>
      <c r="AV20" s="55" t="n"/>
      <c r="AW20" s="55" t="n"/>
      <c r="AX20" s="55" t="n"/>
      <c r="AY20" s="55" t="n"/>
      <c r="AZ20" s="55" t="n"/>
      <c r="BA20" s="55" t="n"/>
      <c r="BB20" s="55" t="n"/>
      <c r="BC20" s="55" t="n"/>
      <c r="BD20" s="55" t="n"/>
      <c r="BE20" s="55" t="n"/>
      <c r="BF20" s="55" t="n"/>
      <c r="BG20" s="55" t="n"/>
      <c r="BH20" s="55" t="n"/>
      <c r="BI20" s="55" t="n"/>
      <c r="BJ20" s="55" t="n"/>
      <c r="BK20" s="55" t="n"/>
      <c r="BL20" s="55" t="n"/>
      <c r="BM20" s="55" t="n"/>
      <c r="BN20" s="55" t="n"/>
      <c r="BO20" s="55" t="n"/>
      <c r="BP20" s="55" t="n"/>
      <c r="BQ20" s="55" t="n"/>
      <c r="BR20" s="55" t="n"/>
      <c r="BS20" s="55" t="n"/>
      <c r="BT20" s="55" t="n"/>
      <c r="BU20" s="55" t="n"/>
      <c r="BV20" s="55" t="n"/>
      <c r="BW20" s="55" t="n"/>
      <c r="BX20" s="55" t="n"/>
      <c r="BY20" s="55" t="n"/>
      <c r="BZ20" s="55" t="n"/>
      <c r="CA20" s="55" t="n"/>
      <c r="CB20" s="55" t="n"/>
      <c r="CC20" s="55" t="n"/>
      <c r="CD20" s="55" t="n"/>
      <c r="CE20" s="55" t="n"/>
      <c r="CF20" s="55" t="n"/>
      <c r="CG20" s="55" t="n"/>
      <c r="CH20" s="55" t="n"/>
      <c r="CI20" s="55" t="n"/>
      <c r="CJ20" s="55" t="n"/>
      <c r="CK20" s="55" t="n"/>
      <c r="CL20" s="55" t="n"/>
      <c r="CM20" s="55" t="n"/>
      <c r="CN20" s="55" t="n"/>
      <c r="CO20" s="55" t="n"/>
      <c r="CP20" s="55" t="n"/>
      <c r="CQ20" s="55" t="n"/>
      <c r="CR20" s="55" t="n"/>
      <c r="CS20" s="55" t="n"/>
      <c r="CT20" s="55" t="n"/>
      <c r="CU20" s="55" t="n"/>
      <c r="CV20" s="55" t="n"/>
      <c r="CW20" s="55" t="n"/>
      <c r="CX20" s="55" t="n"/>
      <c r="CY20" s="55" t="n"/>
      <c r="CZ20" s="55" t="n"/>
      <c r="DA20" s="55" t="n"/>
      <c r="DB20" s="55" t="n"/>
      <c r="DC20" s="55" t="n"/>
      <c r="DD20" s="55" t="n"/>
      <c r="DE20" s="55" t="n"/>
    </row>
    <row r="21">
      <c r="A21" s="55" t="inlineStr">
        <is>
          <t>issue_315</t>
        </is>
      </c>
      <c r="B21" s="56" t="inlineStr">
        <is>
          <t>NOT_TESTED</t>
        </is>
      </c>
      <c r="C21" s="56" t="inlineStr">
        <is>
          <t>NOT_TESTED</t>
        </is>
      </c>
      <c r="D21" s="56" t="inlineStr">
        <is>
          <t>NOT_TESTED</t>
        </is>
      </c>
      <c r="E21" s="56" t="inlineStr">
        <is>
          <t>NOT_TESTED</t>
        </is>
      </c>
      <c r="F21" s="57" t="inlineStr">
        <is>
          <t>ERROR</t>
        </is>
      </c>
      <c r="G21" s="57" t="inlineStr">
        <is>
          <t>ERROR</t>
        </is>
      </c>
      <c r="H21" s="57" t="inlineStr">
        <is>
          <t>ERROR</t>
        </is>
      </c>
      <c r="I21" s="57" t="inlineStr">
        <is>
          <t>ERROR</t>
        </is>
      </c>
      <c r="J21" s="57" t="inlineStr">
        <is>
          <t>ERROR</t>
        </is>
      </c>
      <c r="K21" s="57" t="inlineStr">
        <is>
          <t>ERROR</t>
        </is>
      </c>
      <c r="L21" s="57" t="inlineStr">
        <is>
          <t>ERROR</t>
        </is>
      </c>
      <c r="M21" s="57" t="inlineStr">
        <is>
          <t>ERROR</t>
        </is>
      </c>
      <c r="N21" s="57" t="inlineStr">
        <is>
          <t>ERROR</t>
        </is>
      </c>
      <c r="O21" s="57" t="inlineStr">
        <is>
          <t>ERROR</t>
        </is>
      </c>
      <c r="P21" s="57" t="inlineStr">
        <is>
          <t>ERROR</t>
        </is>
      </c>
      <c r="Q21" s="57" t="inlineStr">
        <is>
          <t>ERROR</t>
        </is>
      </c>
      <c r="R21" s="57" t="inlineStr">
        <is>
          <t>ERROR</t>
        </is>
      </c>
      <c r="S21" s="57" t="inlineStr">
        <is>
          <t>ERROR</t>
        </is>
      </c>
      <c r="T21" s="57" t="inlineStr">
        <is>
          <t>ERROR</t>
        </is>
      </c>
      <c r="U21" s="57" t="inlineStr">
        <is>
          <t>ERROR</t>
        </is>
      </c>
      <c r="V21" s="57" t="inlineStr">
        <is>
          <t>ERROR</t>
        </is>
      </c>
      <c r="W21" s="57" t="inlineStr">
        <is>
          <t>ERROR</t>
        </is>
      </c>
      <c r="X21" s="57" t="inlineStr">
        <is>
          <t>ERROR</t>
        </is>
      </c>
      <c r="Y21" s="57" t="inlineStr">
        <is>
          <t>ERROR</t>
        </is>
      </c>
      <c r="Z21" s="57" t="inlineStr">
        <is>
          <t>ERROR</t>
        </is>
      </c>
      <c r="AA21" s="57" t="inlineStr">
        <is>
          <t>ERROR</t>
        </is>
      </c>
      <c r="AB21" s="57" t="inlineStr">
        <is>
          <t>ERROR</t>
        </is>
      </c>
      <c r="AC21" s="55" t="n"/>
      <c r="AD21" s="55" t="n"/>
      <c r="AE21" s="55" t="n"/>
      <c r="AF21" s="55" t="n"/>
      <c r="AG21" s="55" t="n"/>
      <c r="AH21" s="55" t="n"/>
      <c r="AI21" s="55" t="n"/>
      <c r="AJ21" s="55" t="n"/>
      <c r="AK21" s="55" t="n"/>
      <c r="AL21" s="55" t="n"/>
      <c r="AM21" s="55" t="n"/>
      <c r="AN21" s="55" t="n"/>
      <c r="AO21" s="55" t="inlineStr">
        <is>
          <t>ModuleNotFoundError</t>
        </is>
      </c>
      <c r="AP21" s="55" t="inlineStr">
        <is>
          <t>ModuleNotFoundError: No module named 'qiskit.providers.basic_provider'</t>
        </is>
      </c>
      <c r="AQ21" s="55" t="inlineStr">
        <is>
          <t>The LLM kept the BasicProvider import, and qiskit.providers.basic_provider does not exist before Qiskit 0.46, so the script crashes on import (it also deleted the parallel options the user wanted instead of switching to AerSimulator).</t>
        </is>
      </c>
      <c r="AR21" s="55" t="inlineStr">
        <is>
          <t>ModuleNotFoundError</t>
        </is>
      </c>
      <c r="AS21" s="55" t="inlineStr">
        <is>
          <t>ModuleNotFoundError: No module named 'qiskit.providers.basic_provider'</t>
        </is>
      </c>
      <c r="AT21" s="55" t="inlineStr">
        <is>
          <t>The LLM kept the BasicProvider import, and qiskit.providers.basic_provider does not exist before Qiskit 0.46, so the script crashes on import (it also deleted the parallel options the user wanted instead of switching to AerSimulator).</t>
        </is>
      </c>
      <c r="AU21" s="55" t="inlineStr">
        <is>
          <t>ModuleNotFoundError</t>
        </is>
      </c>
      <c r="AV21" s="55" t="inlineStr">
        <is>
          <t>ModuleNotFoundError: No module named 'qiskit.providers.basic_provider'</t>
        </is>
      </c>
      <c r="AW21" s="55" t="inlineStr">
        <is>
          <t>The LLM kept the BasicProvider import, and qiskit.providers.basic_provider does not exist before Qiskit 0.46, so the script crashes on import (it also deleted the parallel options the user wanted instead of switching to AerSimulator).</t>
        </is>
      </c>
      <c r="AX21" s="55" t="inlineStr">
        <is>
          <t>ModuleNotFoundError</t>
        </is>
      </c>
      <c r="AY21" s="55" t="inlineStr">
        <is>
          <t>ModuleNotFoundError: No module named 'qiskit.providers.basic_provider'</t>
        </is>
      </c>
      <c r="AZ21" s="55" t="inlineStr">
        <is>
          <t>The LLM kept the BasicProvider import, and qiskit.providers.basic_provider does not exist before Qiskit 0.46, so the script crashes on import (it also deleted the parallel options the user wanted instead of switching to AerSimulator).</t>
        </is>
      </c>
      <c r="BA21" s="55" t="inlineStr">
        <is>
          <t>AttributeError</t>
        </is>
      </c>
      <c r="BB21" s="55" t="inlineStr">
        <is>
          <t>AttributeError: Option max_parallel_threads is not defined</t>
        </is>
      </c>
      <c r="BC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D21" s="55" t="inlineStr">
        <is>
          <t>AttributeError</t>
        </is>
      </c>
      <c r="BE21" s="55" t="inlineStr">
        <is>
          <t>AttributeError: Option max_parallel_threads is not defined</t>
        </is>
      </c>
      <c r="BF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G21" s="55" t="inlineStr">
        <is>
          <t>AttributeError</t>
        </is>
      </c>
      <c r="BH21" s="55" t="inlineStr">
        <is>
          <t>AttributeError: Option max_parallel_threads is not defined</t>
        </is>
      </c>
      <c r="BI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J21" s="55" t="inlineStr">
        <is>
          <t>AttributeError</t>
        </is>
      </c>
      <c r="BK21" s="55" t="inlineStr">
        <is>
          <t>AttributeError: Option max_parallel_threads is not defined</t>
        </is>
      </c>
      <c r="BL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M21" s="55" t="inlineStr">
        <is>
          <t>AttributeError</t>
        </is>
      </c>
      <c r="BN21" s="55" t="inlineStr">
        <is>
          <t>AttributeError: Option max_parallel_threads is not defined</t>
        </is>
      </c>
      <c r="BO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P21" s="55" t="inlineStr">
        <is>
          <t>AttributeError</t>
        </is>
      </c>
      <c r="BQ21" s="55" t="inlineStr">
        <is>
          <t>AttributeError: Option max_parallel_threads is not defined</t>
        </is>
      </c>
      <c r="BR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S21" s="55" t="inlineStr">
        <is>
          <t>AttributeError</t>
        </is>
      </c>
      <c r="BT21" s="55" t="inlineStr">
        <is>
          <t>AttributeError: Option max_parallel_threads is not defined</t>
        </is>
      </c>
      <c r="BU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V21" s="55" t="inlineStr">
        <is>
          <t>AttributeError</t>
        </is>
      </c>
      <c r="BW21" s="55" t="inlineStr">
        <is>
          <t>AttributeError: Option max_parallel_threads is not defined</t>
        </is>
      </c>
      <c r="BX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Y21" s="55" t="inlineStr">
        <is>
          <t>AttributeError</t>
        </is>
      </c>
      <c r="BZ21" s="55" t="inlineStr">
        <is>
          <t>AttributeError: Option max_parallel_threads is not defined</t>
        </is>
      </c>
      <c r="CA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B21" s="55" t="inlineStr">
        <is>
          <t>AttributeError</t>
        </is>
      </c>
      <c r="CC21" s="55" t="inlineStr">
        <is>
          <t>AttributeError: Option max_parallel_threads is not defined</t>
        </is>
      </c>
      <c r="CD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E21" s="55" t="inlineStr">
        <is>
          <t>AttributeError</t>
        </is>
      </c>
      <c r="CF21" s="55" t="inlineStr">
        <is>
          <t>AttributeError: Option max_parallel_threads is not defined</t>
        </is>
      </c>
      <c r="CG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H21" s="55" t="inlineStr">
        <is>
          <t>AttributeError</t>
        </is>
      </c>
      <c r="CI21" s="55" t="inlineStr">
        <is>
          <t>AttributeError: Option max_parallel_threads is not defined</t>
        </is>
      </c>
      <c r="CJ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K21" s="55" t="inlineStr">
        <is>
          <t>AttributeError</t>
        </is>
      </c>
      <c r="CL21" s="55" t="inlineStr">
        <is>
          <t>AttributeError: Option max_parallel_threads is not defined</t>
        </is>
      </c>
      <c r="CM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N21" s="55" t="inlineStr">
        <is>
          <t>AttributeError</t>
        </is>
      </c>
      <c r="CO21" s="55" t="inlineStr">
        <is>
          <t>AttributeError: Option max_parallel_threads is not defined</t>
        </is>
      </c>
      <c r="CP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Q21" s="55" t="inlineStr">
        <is>
          <t>AttributeError</t>
        </is>
      </c>
      <c r="CR21" s="55" t="inlineStr">
        <is>
          <t>AttributeError: Option max_parallel_threads is not defined</t>
        </is>
      </c>
      <c r="CS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T21" s="55" t="inlineStr">
        <is>
          <t>AttributeError</t>
        </is>
      </c>
      <c r="CU21" s="55" t="inlineStr">
        <is>
          <t>AttributeError: Option max_parallel_threads is not defined</t>
        </is>
      </c>
      <c r="CV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W21" s="55" t="inlineStr">
        <is>
          <t>AttributeError</t>
        </is>
      </c>
      <c r="CX21" s="55" t="inlineStr">
        <is>
          <t>AttributeError: Option max_parallel_threads is not defined</t>
        </is>
      </c>
      <c r="CY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Z21" s="55" t="inlineStr">
        <is>
          <t>AttributeError</t>
        </is>
      </c>
      <c r="DA21" s="55" t="inlineStr">
        <is>
          <t>AttributeError: Option max_parallel_threads is not defined</t>
        </is>
      </c>
      <c r="DB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DC21" s="55" t="inlineStr">
        <is>
          <t>AttributeError</t>
        </is>
      </c>
      <c r="DD21" s="55" t="inlineStr">
        <is>
          <t>AttributeError: Option max_parallel_threads is not defined</t>
        </is>
      </c>
      <c r="DE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row>
    <row r="22">
      <c r="A22" s="55" t="inlineStr">
        <is>
          <t>issue_344</t>
        </is>
      </c>
      <c r="B22" s="57" t="inlineStr">
        <is>
          <t>ERROR</t>
        </is>
      </c>
      <c r="C22" s="57" t="inlineStr">
        <is>
          <t>ERROR</t>
        </is>
      </c>
      <c r="D22" s="57" t="inlineStr">
        <is>
          <t>ERROR</t>
        </is>
      </c>
      <c r="E22" s="57" t="inlineStr">
        <is>
          <t>ERROR</t>
        </is>
      </c>
      <c r="F22" s="57" t="inlineStr">
        <is>
          <t>ERROR</t>
        </is>
      </c>
      <c r="G22" s="57" t="inlineStr">
        <is>
          <t>ERROR</t>
        </is>
      </c>
      <c r="H22" s="57" t="inlineStr">
        <is>
          <t>ERROR</t>
        </is>
      </c>
      <c r="I22" s="57" t="inlineStr">
        <is>
          <t>ERROR</t>
        </is>
      </c>
      <c r="J22" s="57" t="inlineStr">
        <is>
          <t>ERROR</t>
        </is>
      </c>
      <c r="K22" s="57" t="inlineStr">
        <is>
          <t>ERROR</t>
        </is>
      </c>
      <c r="L22" s="57" t="inlineStr">
        <is>
          <t>ERROR</t>
        </is>
      </c>
      <c r="M22" s="57" t="inlineStr">
        <is>
          <t>ERROR</t>
        </is>
      </c>
      <c r="N22" s="56" t="inlineStr">
        <is>
          <t>NOT_TESTED</t>
        </is>
      </c>
      <c r="O22" s="56" t="inlineStr">
        <is>
          <t>NOT_TESTED</t>
        </is>
      </c>
      <c r="P22" s="56" t="inlineStr">
        <is>
          <t>NOT_TESTED</t>
        </is>
      </c>
      <c r="Q22" s="56" t="inlineStr">
        <is>
          <t>NOT_TESTED</t>
        </is>
      </c>
      <c r="R22" s="56" t="inlineStr">
        <is>
          <t>NOT_TESTED</t>
        </is>
      </c>
      <c r="S22" s="56" t="inlineStr">
        <is>
          <t>NOT_TESTED</t>
        </is>
      </c>
      <c r="T22" s="56" t="inlineStr">
        <is>
          <t>NOT_TESTED</t>
        </is>
      </c>
      <c r="U22" s="56" t="inlineStr">
        <is>
          <t>NOT_TESTED</t>
        </is>
      </c>
      <c r="V22" s="56" t="inlineStr">
        <is>
          <t>NOT_TESTED</t>
        </is>
      </c>
      <c r="W22" s="56" t="inlineStr">
        <is>
          <t>NOT_TESTED</t>
        </is>
      </c>
      <c r="X22" s="56" t="inlineStr">
        <is>
          <t>NOT_TESTED</t>
        </is>
      </c>
      <c r="Y22" s="56" t="inlineStr">
        <is>
          <t>NOT_TESTED</t>
        </is>
      </c>
      <c r="Z22" s="56" t="inlineStr">
        <is>
          <t>NOT_TESTED</t>
        </is>
      </c>
      <c r="AA22" s="56" t="inlineStr">
        <is>
          <t>NOT_TESTED</t>
        </is>
      </c>
      <c r="AB22" s="56" t="inlineStr">
        <is>
          <t>NOT_TESTED</t>
        </is>
      </c>
      <c r="AC22" s="55" t="inlineStr">
        <is>
          <t>QiskitError</t>
        </is>
      </c>
      <c r="AD22" s="55" t="inlineStr">
        <is>
          <t>qiskit.exceptions.QiskitError: 'Input quantum state is not a valid'</t>
        </is>
      </c>
      <c r="AE22" s="55" t="inlineStr">
        <is>
          <t>The LLM passed the Statevector object to entropy() but kept get_statevector(..., decimals=3); the rounded amplitudes are no longer normalized, so Qiskit rejects the state ('Input quantum state is not a valid'). The reference also removes decimals=3.</t>
        </is>
      </c>
      <c r="AF22" s="55" t="inlineStr">
        <is>
          <t>QiskitError</t>
        </is>
      </c>
      <c r="AG22" s="55" t="inlineStr">
        <is>
          <t>qiskit.exceptions.QiskitError: 'Input quantum state is not a valid'</t>
        </is>
      </c>
      <c r="AH22" s="55" t="inlineStr">
        <is>
          <t>The LLM passed the Statevector object to entropy() but kept get_statevector(..., decimals=3); the rounded amplitudes are no longer normalized, so Qiskit rejects the state ('Input quantum state is not a valid'). The reference also removes decimals=3.</t>
        </is>
      </c>
      <c r="AI22" s="55" t="inlineStr">
        <is>
          <t>QiskitError</t>
        </is>
      </c>
      <c r="AJ22" s="55" t="inlineStr">
        <is>
          <t>qiskit.exceptions.QiskitError: 'Input quantum state is not a valid'</t>
        </is>
      </c>
      <c r="AK22" s="55" t="inlineStr">
        <is>
          <t>The LLM passed the Statevector object to entropy() but kept get_statevector(..., decimals=3); the rounded amplitudes are no longer normalized, so Qiskit rejects the state ('Input quantum state is not a valid'). The reference also removes decimals=3.</t>
        </is>
      </c>
      <c r="AL22" s="55" t="inlineStr">
        <is>
          <t>QiskitError</t>
        </is>
      </c>
      <c r="AM22" s="55" t="inlineStr">
        <is>
          <t>qiskit.exceptions.QiskitError: 'Input quantum state is not a valid'</t>
        </is>
      </c>
      <c r="AN22" s="55" t="inlineStr">
        <is>
          <t>The LLM passed the Statevector object to entropy() but kept get_statevector(..., decimals=3); the rounded amplitudes are no longer normalized, so Qiskit rejects the state ('Input quantum state is not a valid'). The reference also removes decimals=3.</t>
        </is>
      </c>
      <c r="AO22" s="55" t="inlineStr">
        <is>
          <t>QiskitError</t>
        </is>
      </c>
      <c r="AP22" s="55" t="inlineStr">
        <is>
          <t>qiskit.exceptions.QiskitError: 'Input quantum state is not a valid'</t>
        </is>
      </c>
      <c r="AQ22" s="55" t="inlineStr">
        <is>
          <t>The LLM passed the Statevector object to entropy() but kept get_statevector(..., decimals=3); the rounded amplitudes are no longer normalized, so Qiskit rejects the state ('Input quantum state is not a valid'). The reference also removes decimals=3.</t>
        </is>
      </c>
      <c r="AR22" s="55" t="inlineStr">
        <is>
          <t>QiskitError</t>
        </is>
      </c>
      <c r="AS22" s="55" t="inlineStr">
        <is>
          <t>qiskit.exceptions.QiskitError: 'Input quantum state is not a valid'</t>
        </is>
      </c>
      <c r="AT22" s="55" t="inlineStr">
        <is>
          <t>The LLM passed the Statevector object to entropy() but kept get_statevector(..., decimals=3); the rounded amplitudes are no longer normalized, so Qiskit rejects the state ('Input quantum state is not a valid'). The reference also removes decimals=3.</t>
        </is>
      </c>
      <c r="AU22" s="55" t="inlineStr">
        <is>
          <t>QiskitError</t>
        </is>
      </c>
      <c r="AV22" s="55" t="inlineStr">
        <is>
          <t>qiskit.exceptions.QiskitError: 'Input quantum state is not a valid'</t>
        </is>
      </c>
      <c r="AW22" s="55" t="inlineStr">
        <is>
          <t>The LLM passed the Statevector object to entropy() but kept get_statevector(..., decimals=3); the rounded amplitudes are no longer normalized, so Qiskit rejects the state ('Input quantum state is not a valid'). The reference also removes decimals=3.</t>
        </is>
      </c>
      <c r="AX22" s="55" t="inlineStr">
        <is>
          <t>QiskitError</t>
        </is>
      </c>
      <c r="AY22" s="55" t="inlineStr">
        <is>
          <t>qiskit.exceptions.QiskitError: 'Input quantum state is not a valid'</t>
        </is>
      </c>
      <c r="AZ22" s="55" t="inlineStr">
        <is>
          <t>The LLM passed the Statevector object to entropy() but kept get_statevector(..., decimals=3); the rounded amplitudes are no longer normalized, so Qiskit rejects the state ('Input quantum state is not a valid'). The reference also removes decimals=3.</t>
        </is>
      </c>
      <c r="BA22" s="55" t="inlineStr">
        <is>
          <t>QiskitError</t>
        </is>
      </c>
      <c r="BB22" s="55" t="inlineStr">
        <is>
          <t>qiskit.exceptions.QiskitError: 'Input quantum state is not a valid'</t>
        </is>
      </c>
      <c r="BC22" s="55" t="inlineStr">
        <is>
          <t>The LLM passed the Statevector object to entropy() but kept get_statevector(..., decimals=3); the rounded amplitudes are no longer normalized, so Qiskit rejects the state ('Input quantum state is not a valid'). The reference also removes decimals=3.</t>
        </is>
      </c>
      <c r="BD22" s="55" t="inlineStr">
        <is>
          <t>QiskitError</t>
        </is>
      </c>
      <c r="BE22" s="55" t="inlineStr">
        <is>
          <t>qiskit.exceptions.QiskitError: 'Input quantum state is not a valid'</t>
        </is>
      </c>
      <c r="BF22" s="55" t="inlineStr">
        <is>
          <t>The LLM passed the Statevector object to entropy() but kept get_statevector(..., decimals=3); the rounded amplitudes are no longer normalized, so Qiskit rejects the state ('Input quantum state is not a valid'). The reference also removes decimals=3.</t>
        </is>
      </c>
      <c r="BG22" s="55" t="inlineStr">
        <is>
          <t>QiskitError</t>
        </is>
      </c>
      <c r="BH22" s="55" t="inlineStr">
        <is>
          <t>qiskit.exceptions.QiskitError: 'Input quantum state is not a valid'</t>
        </is>
      </c>
      <c r="BI22" s="55" t="inlineStr">
        <is>
          <t>The LLM passed the Statevector object to entropy() but kept get_statevector(..., decimals=3); the rounded amplitudes are no longer normalized, so Qiskit rejects the state ('Input quantum state is not a valid'). The reference also removes decimals=3.</t>
        </is>
      </c>
      <c r="BJ22" s="55" t="inlineStr">
        <is>
          <t>QiskitError</t>
        </is>
      </c>
      <c r="BK22" s="55" t="inlineStr">
        <is>
          <t>qiskit.exceptions.QiskitError: 'Input quantum state is not a valid'</t>
        </is>
      </c>
      <c r="BL22" s="55" t="inlineStr">
        <is>
          <t>The LLM passed the Statevector object to entropy() but kept get_statevector(..., decimals=3); the rounded amplitudes are no longer normalized, so Qiskit rejects the state ('Input quantum state is not a valid'). The reference also removes decimals=3.</t>
        </is>
      </c>
      <c r="BM22" s="55" t="n"/>
      <c r="BN22" s="55" t="n"/>
      <c r="BO22" s="55" t="n"/>
      <c r="BP22" s="55" t="n"/>
      <c r="BQ22" s="55" t="n"/>
      <c r="BR22" s="55" t="n"/>
      <c r="BS22" s="55" t="n"/>
      <c r="BT22" s="55" t="n"/>
      <c r="BU22" s="55" t="n"/>
      <c r="BV22" s="55" t="n"/>
      <c r="BW22" s="55" t="n"/>
      <c r="BX22" s="55" t="n"/>
      <c r="BY22" s="55" t="n"/>
      <c r="BZ22" s="55" t="n"/>
      <c r="CA22" s="55" t="n"/>
      <c r="CB22" s="55" t="n"/>
      <c r="CC22" s="55" t="n"/>
      <c r="CD22" s="55" t="n"/>
      <c r="CE22" s="55" t="n"/>
      <c r="CF22" s="55" t="n"/>
      <c r="CG22" s="55" t="n"/>
      <c r="CH22" s="55" t="n"/>
      <c r="CI22" s="55" t="n"/>
      <c r="CJ22" s="55" t="n"/>
      <c r="CK22" s="55" t="n"/>
      <c r="CL22" s="55" t="n"/>
      <c r="CM22" s="55" t="n"/>
      <c r="CN22" s="55" t="n"/>
      <c r="CO22" s="55" t="n"/>
      <c r="CP22" s="55" t="n"/>
      <c r="CQ22" s="55" t="n"/>
      <c r="CR22" s="55" t="n"/>
      <c r="CS22" s="55" t="n"/>
      <c r="CT22" s="55" t="n"/>
      <c r="CU22" s="55" t="n"/>
      <c r="CV22" s="55" t="n"/>
      <c r="CW22" s="55" t="n"/>
      <c r="CX22" s="55" t="n"/>
      <c r="CY22" s="55" t="n"/>
      <c r="CZ22" s="55" t="n"/>
      <c r="DA22" s="55" t="n"/>
      <c r="DB22" s="55" t="n"/>
      <c r="DC22" s="55" t="n"/>
      <c r="DD22" s="55" t="n"/>
      <c r="DE22" s="55" t="n"/>
    </row>
    <row r="23">
      <c r="A23" s="55" t="inlineStr">
        <is>
          <t>issue_362</t>
        </is>
      </c>
      <c r="B23" s="56" t="inlineStr">
        <is>
          <t>NOT_TESTED</t>
        </is>
      </c>
      <c r="C23" s="56" t="inlineStr">
        <is>
          <t>NOT_TESTED</t>
        </is>
      </c>
      <c r="D23" s="56" t="inlineStr">
        <is>
          <t>NOT_TESTED</t>
        </is>
      </c>
      <c r="E23" s="56" t="inlineStr">
        <is>
          <t>NOT_TESTED</t>
        </is>
      </c>
      <c r="F23" s="59" t="inlineStr">
        <is>
          <t>PASS</t>
        </is>
      </c>
      <c r="G23" s="59" t="inlineStr">
        <is>
          <t>PASS</t>
        </is>
      </c>
      <c r="H23" s="59" t="inlineStr">
        <is>
          <t>PASS</t>
        </is>
      </c>
      <c r="I23" s="59" t="inlineStr">
        <is>
          <t>PASS</t>
        </is>
      </c>
      <c r="J23" s="59" t="inlineStr">
        <is>
          <t>PASS</t>
        </is>
      </c>
      <c r="K23" s="59" t="inlineStr">
        <is>
          <t>PASS</t>
        </is>
      </c>
      <c r="L23" s="59" t="inlineStr">
        <is>
          <t>PASS</t>
        </is>
      </c>
      <c r="M23" s="59" t="inlineStr">
        <is>
          <t>PASS</t>
        </is>
      </c>
      <c r="N23" s="59" t="inlineStr">
        <is>
          <t>PASS</t>
        </is>
      </c>
      <c r="O23" s="59" t="inlineStr">
        <is>
          <t>PASS</t>
        </is>
      </c>
      <c r="P23" s="59" t="inlineStr">
        <is>
          <t>PASS</t>
        </is>
      </c>
      <c r="Q23" s="59" t="inlineStr">
        <is>
          <t>PASS</t>
        </is>
      </c>
      <c r="R23" s="59" t="inlineStr">
        <is>
          <t>PASS</t>
        </is>
      </c>
      <c r="S23" s="59" t="inlineStr">
        <is>
          <t>PASS</t>
        </is>
      </c>
      <c r="T23" s="59" t="inlineStr">
        <is>
          <t>PASS</t>
        </is>
      </c>
      <c r="U23" s="59" t="inlineStr">
        <is>
          <t>PASS</t>
        </is>
      </c>
      <c r="V23" s="59" t="inlineStr">
        <is>
          <t>PASS</t>
        </is>
      </c>
      <c r="W23" s="59" t="inlineStr">
        <is>
          <t>PASS</t>
        </is>
      </c>
      <c r="X23" s="59" t="inlineStr">
        <is>
          <t>PASS</t>
        </is>
      </c>
      <c r="Y23" s="59" t="inlineStr">
        <is>
          <t>PASS</t>
        </is>
      </c>
      <c r="Z23" s="59" t="inlineStr">
        <is>
          <t>PASS</t>
        </is>
      </c>
      <c r="AA23" s="59" t="inlineStr">
        <is>
          <t>PASS</t>
        </is>
      </c>
      <c r="AB23" s="59" t="inlineStr">
        <is>
          <t>PASS</t>
        </is>
      </c>
      <c r="AC23" s="55" t="n"/>
      <c r="AD23" s="55" t="n"/>
      <c r="AE23" s="55" t="n"/>
      <c r="AF23" s="55" t="n"/>
      <c r="AG23" s="55" t="n"/>
      <c r="AH23" s="55" t="n"/>
      <c r="AI23" s="55" t="n"/>
      <c r="AJ23" s="55" t="n"/>
      <c r="AK23" s="55" t="n"/>
      <c r="AL23" s="55" t="n"/>
      <c r="AM23" s="55" t="n"/>
      <c r="AN23" s="55" t="n"/>
      <c r="AO23" s="55" t="n"/>
      <c r="AP23" s="55" t="n"/>
      <c r="AQ23" s="55" t="n"/>
      <c r="AR23" s="55" t="n"/>
      <c r="AS23" s="55" t="n"/>
      <c r="AT23" s="55" t="n"/>
      <c r="AU23" s="55" t="n"/>
      <c r="AV23" s="55" t="n"/>
      <c r="AW23" s="55" t="n"/>
      <c r="AX23" s="55" t="n"/>
      <c r="AY23" s="55" t="n"/>
      <c r="AZ23" s="55" t="n"/>
      <c r="BA23" s="55" t="n"/>
      <c r="BB23" s="55" t="n"/>
      <c r="BC23" s="55" t="n"/>
      <c r="BD23" s="55" t="n"/>
      <c r="BE23" s="55" t="n"/>
      <c r="BF23" s="55" t="n"/>
      <c r="BG23" s="55" t="n"/>
      <c r="BH23" s="55" t="n"/>
      <c r="BI23" s="55" t="n"/>
      <c r="BJ23" s="55" t="n"/>
      <c r="BK23" s="55" t="n"/>
      <c r="BL23" s="55" t="n"/>
      <c r="BM23" s="55" t="n"/>
      <c r="BN23" s="55" t="n"/>
      <c r="BO23" s="55" t="n"/>
      <c r="BP23" s="55" t="n"/>
      <c r="BQ23" s="55" t="n"/>
      <c r="BR23" s="55" t="n"/>
      <c r="BS23" s="55" t="n"/>
      <c r="BT23" s="55" t="n"/>
      <c r="BU23" s="55" t="n"/>
      <c r="BV23" s="55" t="n"/>
      <c r="BW23" s="55" t="n"/>
      <c r="BX23" s="55" t="n"/>
      <c r="BY23" s="55" t="n"/>
      <c r="BZ23" s="55" t="n"/>
      <c r="CA23" s="55" t="n"/>
      <c r="CB23" s="55" t="n"/>
      <c r="CC23" s="55" t="n"/>
      <c r="CD23" s="55" t="n"/>
      <c r="CE23" s="55" t="n"/>
      <c r="CF23" s="55" t="n"/>
      <c r="CG23" s="55" t="n"/>
      <c r="CH23" s="55" t="n"/>
      <c r="CI23" s="55" t="n"/>
      <c r="CJ23" s="55" t="n"/>
      <c r="CK23" s="55" t="n"/>
      <c r="CL23" s="55" t="n"/>
      <c r="CM23" s="55" t="n"/>
      <c r="CN23" s="55" t="n"/>
      <c r="CO23" s="55" t="n"/>
      <c r="CP23" s="55" t="n"/>
      <c r="CQ23" s="55" t="n"/>
      <c r="CR23" s="55" t="n"/>
      <c r="CS23" s="55" t="n"/>
      <c r="CT23" s="55" t="n"/>
      <c r="CU23" s="55" t="n"/>
      <c r="CV23" s="55" t="n"/>
      <c r="CW23" s="55" t="n"/>
      <c r="CX23" s="55" t="n"/>
      <c r="CY23" s="55" t="n"/>
      <c r="CZ23" s="55" t="n"/>
      <c r="DA23" s="55" t="n"/>
      <c r="DB23" s="55" t="n"/>
      <c r="DC23" s="55" t="n"/>
      <c r="DD23" s="55" t="n"/>
      <c r="DE23" s="55" t="n"/>
    </row>
    <row r="24">
      <c r="A24" s="55" t="inlineStr">
        <is>
          <t>issue_369</t>
        </is>
      </c>
      <c r="B24" s="57" t="inlineStr">
        <is>
          <t>ERROR</t>
        </is>
      </c>
      <c r="C24" s="57" t="inlineStr">
        <is>
          <t>ERROR</t>
        </is>
      </c>
      <c r="D24" s="57" t="inlineStr">
        <is>
          <t>ERROR</t>
        </is>
      </c>
      <c r="E24" s="57" t="inlineStr">
        <is>
          <t>ERROR</t>
        </is>
      </c>
      <c r="F24" s="57" t="inlineStr">
        <is>
          <t>ERROR</t>
        </is>
      </c>
      <c r="G24" s="57" t="inlineStr">
        <is>
          <t>ERROR</t>
        </is>
      </c>
      <c r="H24" s="57" t="inlineStr">
        <is>
          <t>ERROR</t>
        </is>
      </c>
      <c r="I24" s="57" t="inlineStr">
        <is>
          <t>ERROR</t>
        </is>
      </c>
      <c r="J24" s="57" t="inlineStr">
        <is>
          <t>ERROR</t>
        </is>
      </c>
      <c r="K24" s="57" t="inlineStr">
        <is>
          <t>ERROR</t>
        </is>
      </c>
      <c r="L24" s="57" t="inlineStr">
        <is>
          <t>ERROR</t>
        </is>
      </c>
      <c r="M24" s="57" t="inlineStr">
        <is>
          <t>ERROR</t>
        </is>
      </c>
      <c r="N24" s="57" t="inlineStr">
        <is>
          <t>ERROR</t>
        </is>
      </c>
      <c r="O24" s="57" t="inlineStr">
        <is>
          <t>ERROR</t>
        </is>
      </c>
      <c r="P24" s="57" t="inlineStr">
        <is>
          <t>ERROR</t>
        </is>
      </c>
      <c r="Q24" s="57" t="inlineStr">
        <is>
          <t>ERROR</t>
        </is>
      </c>
      <c r="R24" s="57" t="inlineStr">
        <is>
          <t>ERROR</t>
        </is>
      </c>
      <c r="S24" s="57" t="inlineStr">
        <is>
          <t>ERROR</t>
        </is>
      </c>
      <c r="T24" s="57" t="inlineStr">
        <is>
          <t>ERROR</t>
        </is>
      </c>
      <c r="U24" s="57" t="inlineStr">
        <is>
          <t>ERROR</t>
        </is>
      </c>
      <c r="V24" s="57" t="inlineStr">
        <is>
          <t>ERROR</t>
        </is>
      </c>
      <c r="W24" s="57" t="inlineStr">
        <is>
          <t>ERROR</t>
        </is>
      </c>
      <c r="X24" s="57" t="inlineStr">
        <is>
          <t>ERROR</t>
        </is>
      </c>
      <c r="Y24" s="57" t="inlineStr">
        <is>
          <t>ERROR</t>
        </is>
      </c>
      <c r="Z24" s="57" t="inlineStr">
        <is>
          <t>ERROR</t>
        </is>
      </c>
      <c r="AA24" s="57" t="inlineStr">
        <is>
          <t>ERROR</t>
        </is>
      </c>
      <c r="AB24" s="57" t="inlineStr">
        <is>
          <t>ERROR</t>
        </is>
      </c>
      <c r="AC24" s="55" t="inlineStr">
        <is>
          <t>CircuitError</t>
        </is>
      </c>
      <c r="AD24" s="55" t="inlineStr">
        <is>
          <t>qiskit.circuit.exceptions.CircuitError: 'The amount of qubit(3)/clbit(0) arguments does not match the gate expectation (4).'</t>
        </is>
      </c>
      <c r="AE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F24" s="55" t="inlineStr">
        <is>
          <t>CircuitError</t>
        </is>
      </c>
      <c r="AG24" s="55" t="inlineStr">
        <is>
          <t>qiskit.circuit.exceptions.CircuitError: 'The amount of qubit(3)/clbit(0) arguments does not match the gate expectation (4).'</t>
        </is>
      </c>
      <c r="AH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I24" s="55" t="inlineStr">
        <is>
          <t>CircuitError</t>
        </is>
      </c>
      <c r="AJ24" s="55" t="inlineStr">
        <is>
          <t>qiskit.circuit.exceptions.CircuitError: 'The amount of qubit(3)/clbit(0) arguments does not match the gate expectation (4).'</t>
        </is>
      </c>
      <c r="AK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L24" s="55" t="inlineStr">
        <is>
          <t>CircuitError</t>
        </is>
      </c>
      <c r="AM24" s="55" t="inlineStr">
        <is>
          <t>qiskit.circuit.exceptions.CircuitError: 'The amount of qubit(3)/clbit(0) arguments does not match the gate expectation (4).'</t>
        </is>
      </c>
      <c r="AN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O24" s="55" t="inlineStr">
        <is>
          <t>CircuitError</t>
        </is>
      </c>
      <c r="AP24" s="55" t="inlineStr">
        <is>
          <t>qiskit.circuit.exceptions.CircuitError: 'The amount of qubit(3)/clbit(0) arguments does not match the gate expectation (4).'</t>
        </is>
      </c>
      <c r="AQ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R24" s="55" t="inlineStr">
        <is>
          <t>CircuitError</t>
        </is>
      </c>
      <c r="AS24" s="55" t="inlineStr">
        <is>
          <t>qiskit.circuit.exceptions.CircuitError: 'The amount of qubit(3)/clbit(0) arguments does not match the gate expectation (4).'</t>
        </is>
      </c>
      <c r="AT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U24" s="55" t="inlineStr">
        <is>
          <t>CircuitError</t>
        </is>
      </c>
      <c r="AV24" s="55" t="inlineStr">
        <is>
          <t>qiskit.circuit.exceptions.CircuitError: 'The amount of qubit(3)/clbit(0) arguments does not match the gate expectation (4).'</t>
        </is>
      </c>
      <c r="AW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X24" s="55" t="inlineStr">
        <is>
          <t>CircuitError</t>
        </is>
      </c>
      <c r="AY24" s="55" t="inlineStr">
        <is>
          <t>qiskit.circuit.exceptions.CircuitError: 'The amount of qubit(3)/clbit(0) arguments does not match the gate expectation (4).'</t>
        </is>
      </c>
      <c r="AZ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A24" s="55" t="inlineStr">
        <is>
          <t>CircuitError</t>
        </is>
      </c>
      <c r="BB24" s="55" t="inlineStr">
        <is>
          <t>qiskit.circuit.exceptions.CircuitError: 'The amount of qubit(3)/clbit(0) arguments does not match the gate expectation (4).'</t>
        </is>
      </c>
      <c r="BC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D24" s="55" t="inlineStr">
        <is>
          <t>CircuitError</t>
        </is>
      </c>
      <c r="BE24" s="55" t="inlineStr">
        <is>
          <t>qiskit.circuit.exceptions.CircuitError: 'The amount of qubit(3)/clbit(0) arguments does not match the gate expectation (4).'</t>
        </is>
      </c>
      <c r="BF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G24" s="55" t="inlineStr">
        <is>
          <t>CircuitError</t>
        </is>
      </c>
      <c r="BH24" s="55" t="inlineStr">
        <is>
          <t>qiskit.circuit.exceptions.CircuitError: 'The amount of qubit(3)/clbit(0) arguments does not match the gate expectation (4).'</t>
        </is>
      </c>
      <c r="BI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J24" s="55" t="inlineStr">
        <is>
          <t>CircuitError</t>
        </is>
      </c>
      <c r="BK24" s="55" t="inlineStr">
        <is>
          <t>qiskit.circuit.exceptions.CircuitError: 'The amount of qubit(3)/clbit(0) arguments does not match the gate expectation (4).'</t>
        </is>
      </c>
      <c r="BL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M24" s="55" t="inlineStr">
        <is>
          <t>CircuitError</t>
        </is>
      </c>
      <c r="BN24" s="55" t="inlineStr">
        <is>
          <t>qiskit.circuit.exceptions.CircuitError: 'The amount of qubit(3)/clbit(0) arguments does not match the gate expectation (4).'</t>
        </is>
      </c>
      <c r="BO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P24" s="55" t="inlineStr">
        <is>
          <t>CircuitError</t>
        </is>
      </c>
      <c r="BQ24" s="55" t="inlineStr">
        <is>
          <t>qiskit.circuit.exceptions.CircuitError: 'The amount of qubit(3)/clbit(0) arguments does not match the gate expectation (4).'</t>
        </is>
      </c>
      <c r="BR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S24" s="55" t="inlineStr">
        <is>
          <t>CircuitError</t>
        </is>
      </c>
      <c r="BT24" s="55" t="inlineStr">
        <is>
          <t>qiskit.circuit.exceptions.CircuitError: 'The amount of qubit(3)/clbit(0) arguments does not match the gate expectation (4).'</t>
        </is>
      </c>
      <c r="BU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V24" s="55" t="inlineStr">
        <is>
          <t>CircuitError</t>
        </is>
      </c>
      <c r="BW24" s="55" t="inlineStr">
        <is>
          <t>qiskit.circuit.exceptions.CircuitError: 'The amount of qubit(3)/clbit(0) arguments does not match the gate expectation (4).'</t>
        </is>
      </c>
      <c r="BX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Y24" s="55" t="inlineStr">
        <is>
          <t>CircuitError</t>
        </is>
      </c>
      <c r="BZ24" s="55" t="inlineStr">
        <is>
          <t>qiskit.circuit.exceptions.CircuitError: 'The amount of qubit(3)/clbit(0) arguments does not match the gate expectation (4).'</t>
        </is>
      </c>
      <c r="CA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B24" s="55" t="inlineStr">
        <is>
          <t>CircuitError</t>
        </is>
      </c>
      <c r="CC24" s="55" t="inlineStr">
        <is>
          <t>qiskit.circuit.exceptions.CircuitError: 'The amount of qubit(3)/clbit(0) arguments does not match the gate expectation (4).'</t>
        </is>
      </c>
      <c r="CD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E24" s="55" t="inlineStr">
        <is>
          <t>CircuitError</t>
        </is>
      </c>
      <c r="CF24" s="55" t="inlineStr">
        <is>
          <t>qiskit.circuit.exceptions.CircuitError: 'The amount of qubit(3)/clbit(0) arguments does not match the gate expectation (4).'</t>
        </is>
      </c>
      <c r="CG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H24" s="55" t="inlineStr">
        <is>
          <t>CircuitError</t>
        </is>
      </c>
      <c r="CI24" s="55" t="inlineStr">
        <is>
          <t>qiskit.circuit.exceptions.CircuitError: 'The amount of qubit(3)/clbit(0) arguments does not match the gate expectation (4).'</t>
        </is>
      </c>
      <c r="CJ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K24" s="55" t="inlineStr">
        <is>
          <t>CircuitError</t>
        </is>
      </c>
      <c r="CL24" s="55" t="inlineStr">
        <is>
          <t>qiskit.circuit.exceptions.CircuitError: 'The amount of qubit(3)/clbit(0) arguments does not match the gate expectation (4).'</t>
        </is>
      </c>
      <c r="CM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N24" s="55" t="inlineStr">
        <is>
          <t>CircuitError</t>
        </is>
      </c>
      <c r="CO24" s="55" t="inlineStr">
        <is>
          <t>qiskit.circuit.exceptions.CircuitError: 'The amount of qubit(3)/clbit(0) arguments does not match the gate expectation (4).'</t>
        </is>
      </c>
      <c r="CP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Q24" s="55" t="inlineStr">
        <is>
          <t>CircuitError</t>
        </is>
      </c>
      <c r="CR24" s="55" t="inlineStr">
        <is>
          <t>qiskit.circuit.exceptions.CircuitError: 'The amount of qubit(3)/clbit(0) arguments does not match the gate expectation (4).'</t>
        </is>
      </c>
      <c r="CS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T24" s="55" t="inlineStr">
        <is>
          <t>CircuitError</t>
        </is>
      </c>
      <c r="CU24" s="55" t="inlineStr">
        <is>
          <t>qiskit.circuit.exceptions.CircuitError: 'The amount of qubit(3)/clbit(0) arguments does not match the gate expectation (4).'</t>
        </is>
      </c>
      <c r="CV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W24" s="55" t="inlineStr">
        <is>
          <t>CircuitError</t>
        </is>
      </c>
      <c r="CX24" s="55" t="inlineStr">
        <is>
          <t>qiskit.circuit.exceptions.CircuitError: 'The amount of qubit(3)/clbit(0) arguments does not match the gate expectation (4).'</t>
        </is>
      </c>
      <c r="CY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Z24" s="55" t="inlineStr">
        <is>
          <t>CircuitError</t>
        </is>
      </c>
      <c r="DA24" s="55" t="inlineStr">
        <is>
          <t>qiskit.circuit.exceptions.CircuitError: 'The amount of qubit(3)/clbit(0) arguments does not match the gate expectation (4).'</t>
        </is>
      </c>
      <c r="DB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DC24" s="55" t="inlineStr">
        <is>
          <t>CircuitError</t>
        </is>
      </c>
      <c r="DD24" s="55" t="inlineStr">
        <is>
          <t>qiskit.circuit.exceptions.CircuitError: 'The amount of qubit(3)/clbit(0) arguments does not match the gate expectation (4).'</t>
        </is>
      </c>
      <c r="DE24" s="55" t="inlineStr">
        <is>
          <t>The LLM's compose fix (all 17 qubits instead of [i]) matches the reference, but it also invented an extra line, sub.append(C3XGate(), [14, 6, 7]), which gives a 4-qubit gate only 3 qubits, so building the circuit raises CircuitError. With that line removed the fix passes.</t>
        </is>
      </c>
    </row>
    <row r="25">
      <c r="A25" s="55" t="inlineStr">
        <is>
          <t>issue_396</t>
        </is>
      </c>
      <c r="B25" s="59" t="inlineStr">
        <is>
          <t>PASS</t>
        </is>
      </c>
      <c r="C25" s="59" t="inlineStr">
        <is>
          <t>PASS</t>
        </is>
      </c>
      <c r="D25" s="59" t="inlineStr">
        <is>
          <t>PASS</t>
        </is>
      </c>
      <c r="E25" s="59" t="inlineStr">
        <is>
          <t>PASS</t>
        </is>
      </c>
      <c r="F25" s="59" t="inlineStr">
        <is>
          <t>PASS</t>
        </is>
      </c>
      <c r="G25" s="59" t="inlineStr">
        <is>
          <t>PASS</t>
        </is>
      </c>
      <c r="H25" s="59" t="inlineStr">
        <is>
          <t>PASS</t>
        </is>
      </c>
      <c r="I25" s="59" t="inlineStr">
        <is>
          <t>PASS</t>
        </is>
      </c>
      <c r="J25" s="59" t="inlineStr">
        <is>
          <t>PASS</t>
        </is>
      </c>
      <c r="K25" s="59" t="inlineStr">
        <is>
          <t>PASS</t>
        </is>
      </c>
      <c r="L25" s="59" t="inlineStr">
        <is>
          <t>PASS</t>
        </is>
      </c>
      <c r="M25" s="59" t="inlineStr">
        <is>
          <t>PASS</t>
        </is>
      </c>
      <c r="N25" s="57" t="inlineStr">
        <is>
          <t>ERROR</t>
        </is>
      </c>
      <c r="O25" s="57" t="inlineStr">
        <is>
          <t>ERROR</t>
        </is>
      </c>
      <c r="P25" s="57" t="inlineStr">
        <is>
          <t>ERROR</t>
        </is>
      </c>
      <c r="Q25" s="57" t="inlineStr">
        <is>
          <t>ERROR</t>
        </is>
      </c>
      <c r="R25" s="57" t="inlineStr">
        <is>
          <t>ERROR</t>
        </is>
      </c>
      <c r="S25" s="57" t="inlineStr">
        <is>
          <t>ERROR</t>
        </is>
      </c>
      <c r="T25" s="57" t="inlineStr">
        <is>
          <t>ERROR</t>
        </is>
      </c>
      <c r="U25" s="57" t="inlineStr">
        <is>
          <t>ERROR</t>
        </is>
      </c>
      <c r="V25" s="57" t="inlineStr">
        <is>
          <t>ERROR</t>
        </is>
      </c>
      <c r="W25" s="57" t="inlineStr">
        <is>
          <t>ERROR</t>
        </is>
      </c>
      <c r="X25" s="57" t="inlineStr">
        <is>
          <t>ERROR</t>
        </is>
      </c>
      <c r="Y25" s="57" t="inlineStr">
        <is>
          <t>ERROR</t>
        </is>
      </c>
      <c r="Z25" s="57" t="inlineStr">
        <is>
          <t>ERROR</t>
        </is>
      </c>
      <c r="AA25" s="57" t="inlineStr">
        <is>
          <t>ERROR</t>
        </is>
      </c>
      <c r="AB25" s="57" t="inlineStr">
        <is>
          <t>ERROR</t>
        </is>
      </c>
      <c r="AC25" s="55" t="n"/>
      <c r="AD25" s="55" t="n"/>
      <c r="AE25" s="55" t="n"/>
      <c r="AF25" s="55" t="n"/>
      <c r="AG25" s="55" t="n"/>
      <c r="AH25" s="55" t="n"/>
      <c r="AI25" s="55" t="n"/>
      <c r="AJ25" s="55" t="n"/>
      <c r="AK25" s="55" t="n"/>
      <c r="AL25" s="55" t="n"/>
      <c r="AM25" s="55" t="n"/>
      <c r="AN25" s="55" t="n"/>
      <c r="AO25" s="55" t="n"/>
      <c r="AP25" s="55" t="n"/>
      <c r="AQ25" s="55" t="n"/>
      <c r="AR25" s="55" t="n"/>
      <c r="AS25" s="55" t="n"/>
      <c r="AT25" s="55" t="n"/>
      <c r="AU25" s="55" t="n"/>
      <c r="AV25" s="55" t="n"/>
      <c r="AW25" s="55" t="n"/>
      <c r="AX25" s="55" t="n"/>
      <c r="AY25" s="55" t="n"/>
      <c r="AZ25" s="55" t="n"/>
      <c r="BA25" s="55" t="n"/>
      <c r="BB25" s="55" t="n"/>
      <c r="BC25" s="55" t="n"/>
      <c r="BD25" s="55" t="n"/>
      <c r="BE25" s="55" t="n"/>
      <c r="BF25" s="55" t="n"/>
      <c r="BG25" s="55" t="n"/>
      <c r="BH25" s="55" t="n"/>
      <c r="BI25" s="55" t="n"/>
      <c r="BJ25" s="55" t="n"/>
      <c r="BK25" s="55" t="n"/>
      <c r="BL25" s="55" t="n"/>
      <c r="BM25" s="55" t="inlineStr">
        <is>
          <t>AttributeError</t>
        </is>
      </c>
      <c r="BN25" s="55" t="inlineStr">
        <is>
          <t>AttributeError: 'QuantumCircuit' object has no attribute 'diagonal'</t>
        </is>
      </c>
      <c r="BO25" s="55" t="inlineStr">
        <is>
          <t>The LLM built the oracle with QuantumCircuit.diagonal(), which was removed in Qiskit 1.0, so the script crashes with AttributeError on 1.x and 2.x.</t>
        </is>
      </c>
      <c r="BP25" s="55" t="inlineStr">
        <is>
          <t>AttributeError</t>
        </is>
      </c>
      <c r="BQ25" s="55" t="inlineStr">
        <is>
          <t>AttributeError: 'QuantumCircuit' object has no attribute 'diagonal'</t>
        </is>
      </c>
      <c r="BR25" s="55" t="inlineStr">
        <is>
          <t>The LLM built the oracle with QuantumCircuit.diagonal(), which was removed in Qiskit 1.0, so the script crashes with AttributeError on 1.x and 2.x.</t>
        </is>
      </c>
      <c r="BS25" s="55" t="inlineStr">
        <is>
          <t>AttributeError</t>
        </is>
      </c>
      <c r="BT25" s="55" t="inlineStr">
        <is>
          <t>AttributeError: 'QuantumCircuit' object has no attribute 'diagonal'</t>
        </is>
      </c>
      <c r="BU25" s="55" t="inlineStr">
        <is>
          <t>The LLM built the oracle with QuantumCircuit.diagonal(), which was removed in Qiskit 1.0, so the script crashes with AttributeError on 1.x and 2.x.</t>
        </is>
      </c>
      <c r="BV25" s="55" t="inlineStr">
        <is>
          <t>AttributeError</t>
        </is>
      </c>
      <c r="BW25" s="55" t="inlineStr">
        <is>
          <t>AttributeError: 'QuantumCircuit' object has no attribute 'diagonal'</t>
        </is>
      </c>
      <c r="BX25" s="55" t="inlineStr">
        <is>
          <t>The LLM built the oracle with QuantumCircuit.diagonal(), which was removed in Qiskit 1.0, so the script crashes with AttributeError on 1.x and 2.x.</t>
        </is>
      </c>
      <c r="BY25" s="55" t="inlineStr">
        <is>
          <t>AttributeError</t>
        </is>
      </c>
      <c r="BZ25" s="55" t="inlineStr">
        <is>
          <t>AttributeError: 'QuantumCircuit' object has no attribute 'diagonal'</t>
        </is>
      </c>
      <c r="CA25" s="55" t="inlineStr">
        <is>
          <t>The LLM built the oracle with QuantumCircuit.diagonal(), which was removed in Qiskit 1.0, so the script crashes with AttributeError on 1.x and 2.x.</t>
        </is>
      </c>
      <c r="CB25" s="55" t="inlineStr">
        <is>
          <t>AttributeError</t>
        </is>
      </c>
      <c r="CC25" s="55" t="inlineStr">
        <is>
          <t>AttributeError: 'QuantumCircuit' object has no attribute 'diagonal'</t>
        </is>
      </c>
      <c r="CD25" s="55" t="inlineStr">
        <is>
          <t>The LLM built the oracle with QuantumCircuit.diagonal(), which was removed in Qiskit 1.0, so the script crashes with AttributeError on 1.x and 2.x.</t>
        </is>
      </c>
      <c r="CE25" s="55" t="inlineStr">
        <is>
          <t>AttributeError</t>
        </is>
      </c>
      <c r="CF25" s="55" t="inlineStr">
        <is>
          <t>AttributeError: 'QuantumCircuit' object has no attribute 'diagonal'</t>
        </is>
      </c>
      <c r="CG25" s="55" t="inlineStr">
        <is>
          <t>The LLM built the oracle with QuantumCircuit.diagonal(), which was removed in Qiskit 1.0, so the script crashes with AttributeError on 1.x and 2.x.</t>
        </is>
      </c>
      <c r="CH25" s="55" t="inlineStr">
        <is>
          <t>AttributeError</t>
        </is>
      </c>
      <c r="CI25" s="55" t="inlineStr">
        <is>
          <t>AttributeError: 'QuantumCircuit' object has no attribute 'diagonal'</t>
        </is>
      </c>
      <c r="CJ25" s="55" t="inlineStr">
        <is>
          <t>The LLM built the oracle with QuantumCircuit.diagonal(), which was removed in Qiskit 1.0, so the script crashes with AttributeError on 1.x and 2.x.</t>
        </is>
      </c>
      <c r="CK25" s="55" t="inlineStr">
        <is>
          <t>AttributeError</t>
        </is>
      </c>
      <c r="CL25" s="55" t="inlineStr">
        <is>
          <t>AttributeError: 'QuantumCircuit' object has no attribute 'diagonal'</t>
        </is>
      </c>
      <c r="CM25" s="55" t="inlineStr">
        <is>
          <t>The LLM built the oracle with QuantumCircuit.diagonal(), which was removed in Qiskit 1.0, so the script crashes with AttributeError on 1.x and 2.x.</t>
        </is>
      </c>
      <c r="CN25" s="55" t="inlineStr">
        <is>
          <t>AttributeError</t>
        </is>
      </c>
      <c r="CO25" s="55" t="inlineStr">
        <is>
          <t>AttributeError: 'QuantumCircuit' object has no attribute 'diagonal'</t>
        </is>
      </c>
      <c r="CP25" s="55" t="inlineStr">
        <is>
          <t>The LLM built the oracle with QuantumCircuit.diagonal(), which was removed in Qiskit 1.0, so the script crashes with AttributeError on 1.x and 2.x.</t>
        </is>
      </c>
      <c r="CQ25" s="55" t="inlineStr">
        <is>
          <t>AttributeError</t>
        </is>
      </c>
      <c r="CR25" s="55" t="inlineStr">
        <is>
          <t>AttributeError: 'QuantumCircuit' object has no attribute 'diagonal'</t>
        </is>
      </c>
      <c r="CS25" s="55" t="inlineStr">
        <is>
          <t>The LLM built the oracle with QuantumCircuit.diagonal(), which was removed in Qiskit 1.0, so the script crashes with AttributeError on 1.x and 2.x.</t>
        </is>
      </c>
      <c r="CT25" s="55" t="inlineStr">
        <is>
          <t>AttributeError</t>
        </is>
      </c>
      <c r="CU25" s="55" t="inlineStr">
        <is>
          <t>AttributeError: 'QuantumCircuit' object has no attribute 'diagonal'</t>
        </is>
      </c>
      <c r="CV25" s="55" t="inlineStr">
        <is>
          <t>The LLM built the oracle with QuantumCircuit.diagonal(), which was removed in Qiskit 1.0, so the script crashes with AttributeError on 1.x and 2.x.</t>
        </is>
      </c>
      <c r="CW25" s="55" t="inlineStr">
        <is>
          <t>AttributeError</t>
        </is>
      </c>
      <c r="CX25" s="55" t="inlineStr">
        <is>
          <t>AttributeError: 'QuantumCircuit' object has no attribute 'diagonal'</t>
        </is>
      </c>
      <c r="CY25" s="55" t="inlineStr">
        <is>
          <t>The LLM built the oracle with QuantumCircuit.diagonal(), which was removed in Qiskit 1.0, so the script crashes with AttributeError on 1.x and 2.x.</t>
        </is>
      </c>
      <c r="CZ25" s="55" t="inlineStr">
        <is>
          <t>AttributeError</t>
        </is>
      </c>
      <c r="DA25" s="55" t="inlineStr">
        <is>
          <t>AttributeError: 'QuantumCircuit' object has no attribute 'diagonal'</t>
        </is>
      </c>
      <c r="DB25" s="55" t="inlineStr">
        <is>
          <t>The LLM built the oracle with QuantumCircuit.diagonal(), which was removed in Qiskit 1.0, so the script crashes with AttributeError on 1.x and 2.x.</t>
        </is>
      </c>
      <c r="DC25" s="55" t="inlineStr">
        <is>
          <t>AttributeError</t>
        </is>
      </c>
      <c r="DD25" s="55" t="inlineStr">
        <is>
          <t>AttributeError: 'QuantumCircuit' object has no attribute 'diagonal'</t>
        </is>
      </c>
      <c r="DE25" s="55" t="inlineStr">
        <is>
          <t>The LLM built the oracle with QuantumCircuit.diagonal(), which was removed in Qiskit 1.0, so the script crashes with AttributeError on 1.x and 2.x.</t>
        </is>
      </c>
    </row>
    <row r="26">
      <c r="A26" s="55" t="inlineStr">
        <is>
          <t>issue_415</t>
        </is>
      </c>
      <c r="B26" s="58" t="inlineStr">
        <is>
          <t>FAIL</t>
        </is>
      </c>
      <c r="C26" s="58" t="inlineStr">
        <is>
          <t>FAIL</t>
        </is>
      </c>
      <c r="D26" s="58" t="inlineStr">
        <is>
          <t>FAIL</t>
        </is>
      </c>
      <c r="E26" s="58" t="inlineStr">
        <is>
          <t>FAIL</t>
        </is>
      </c>
      <c r="F26" s="56" t="inlineStr">
        <is>
          <t>NOT_TESTED</t>
        </is>
      </c>
      <c r="G26" s="56" t="inlineStr">
        <is>
          <t>NOT_TESTED</t>
        </is>
      </c>
      <c r="H26" s="56" t="inlineStr">
        <is>
          <t>NOT_TESTED</t>
        </is>
      </c>
      <c r="I26" s="56" t="inlineStr">
        <is>
          <t>NOT_TESTED</t>
        </is>
      </c>
      <c r="J26" s="56" t="inlineStr">
        <is>
          <t>NOT_TESTED</t>
        </is>
      </c>
      <c r="K26" s="56" t="inlineStr">
        <is>
          <t>NOT_TESTED</t>
        </is>
      </c>
      <c r="L26" s="56" t="inlineStr">
        <is>
          <t>NOT_TESTED</t>
        </is>
      </c>
      <c r="M26" s="56" t="inlineStr">
        <is>
          <t>NOT_TESTED</t>
        </is>
      </c>
      <c r="N26" s="56" t="inlineStr">
        <is>
          <t>NOT_TESTED</t>
        </is>
      </c>
      <c r="O26" s="56" t="inlineStr">
        <is>
          <t>NOT_TESTED</t>
        </is>
      </c>
      <c r="P26" s="56" t="inlineStr">
        <is>
          <t>NOT_TESTED</t>
        </is>
      </c>
      <c r="Q26" s="56" t="inlineStr">
        <is>
          <t>NOT_TESTED</t>
        </is>
      </c>
      <c r="R26" s="56" t="inlineStr">
        <is>
          <t>NOT_TESTED</t>
        </is>
      </c>
      <c r="S26" s="56" t="inlineStr">
        <is>
          <t>NOT_TESTED</t>
        </is>
      </c>
      <c r="T26" s="56" t="inlineStr">
        <is>
          <t>NOT_TESTED</t>
        </is>
      </c>
      <c r="U26" s="56" t="inlineStr">
        <is>
          <t>NOT_TESTED</t>
        </is>
      </c>
      <c r="V26" s="56" t="inlineStr">
        <is>
          <t>NOT_TESTED</t>
        </is>
      </c>
      <c r="W26" s="56" t="inlineStr">
        <is>
          <t>NOT_TESTED</t>
        </is>
      </c>
      <c r="X26" s="56" t="inlineStr">
        <is>
          <t>NOT_TESTED</t>
        </is>
      </c>
      <c r="Y26" s="56" t="inlineStr">
        <is>
          <t>NOT_TESTED</t>
        </is>
      </c>
      <c r="Z26" s="56" t="inlineStr">
        <is>
          <t>NOT_TESTED</t>
        </is>
      </c>
      <c r="AA26" s="56" t="inlineStr">
        <is>
          <t>NOT_TESTED</t>
        </is>
      </c>
      <c r="AB26" s="56" t="inlineStr">
        <is>
          <t>NOT_TESTED</t>
        </is>
      </c>
      <c r="AC26" s="55" t="inlineStr">
        <is>
          <t>AssertionError</t>
        </is>
      </c>
      <c r="AD26" s="55" t="inlineStr">
        <is>
          <t>AssertionError: Not equal to tolerance rtol=1e-07, atol=1e-12</t>
        </is>
      </c>
      <c r="AE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F26" s="55" t="inlineStr">
        <is>
          <t>AssertionError</t>
        </is>
      </c>
      <c r="AG26" s="55" t="inlineStr">
        <is>
          <t>AssertionError: Not equal to tolerance rtol=1e-07, atol=1e-12</t>
        </is>
      </c>
      <c r="AH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I26" s="55" t="inlineStr">
        <is>
          <t>AssertionError</t>
        </is>
      </c>
      <c r="AJ26" s="55" t="inlineStr">
        <is>
          <t>AssertionError: Not equal to tolerance rtol=1e-07, atol=1e-12</t>
        </is>
      </c>
      <c r="AK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L26" s="55" t="inlineStr">
        <is>
          <t>AssertionError</t>
        </is>
      </c>
      <c r="AM26" s="55" t="inlineStr">
        <is>
          <t>AssertionError: Not equal to tolerance rtol=1e-07, atol=1e-12</t>
        </is>
      </c>
      <c r="AN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O26" s="55" t="n"/>
      <c r="AP26" s="55" t="n"/>
      <c r="AQ26" s="55" t="n"/>
      <c r="AR26" s="55" t="n"/>
      <c r="AS26" s="55" t="n"/>
      <c r="AT26" s="55" t="n"/>
      <c r="AU26" s="55" t="n"/>
      <c r="AV26" s="55" t="n"/>
      <c r="AW26" s="55" t="n"/>
      <c r="AX26" s="55" t="n"/>
      <c r="AY26" s="55" t="n"/>
      <c r="AZ26" s="55" t="n"/>
      <c r="BA26" s="55" t="n"/>
      <c r="BB26" s="55" t="n"/>
      <c r="BC26" s="55" t="n"/>
      <c r="BD26" s="55" t="n"/>
      <c r="BE26" s="55" t="n"/>
      <c r="BF26" s="55" t="n"/>
      <c r="BG26" s="55" t="n"/>
      <c r="BH26" s="55" t="n"/>
      <c r="BI26" s="55" t="n"/>
      <c r="BJ26" s="55" t="n"/>
      <c r="BK26" s="55" t="n"/>
      <c r="BL26" s="55" t="n"/>
      <c r="BM26" s="55" t="n"/>
      <c r="BN26" s="55" t="n"/>
      <c r="BO26" s="55" t="n"/>
      <c r="BP26" s="55" t="n"/>
      <c r="BQ26" s="55" t="n"/>
      <c r="BR26" s="55" t="n"/>
      <c r="BS26" s="55" t="n"/>
      <c r="BT26" s="55" t="n"/>
      <c r="BU26" s="55" t="n"/>
      <c r="BV26" s="55" t="n"/>
      <c r="BW26" s="55" t="n"/>
      <c r="BX26" s="55" t="n"/>
      <c r="BY26" s="55" t="n"/>
      <c r="BZ26" s="55" t="n"/>
      <c r="CA26" s="55" t="n"/>
      <c r="CB26" s="55" t="n"/>
      <c r="CC26" s="55" t="n"/>
      <c r="CD26" s="55" t="n"/>
      <c r="CE26" s="55" t="n"/>
      <c r="CF26" s="55" t="n"/>
      <c r="CG26" s="55" t="n"/>
      <c r="CH26" s="55" t="n"/>
      <c r="CI26" s="55" t="n"/>
      <c r="CJ26" s="55" t="n"/>
      <c r="CK26" s="55" t="n"/>
      <c r="CL26" s="55" t="n"/>
      <c r="CM26" s="55" t="n"/>
      <c r="CN26" s="55" t="n"/>
      <c r="CO26" s="55" t="n"/>
      <c r="CP26" s="55" t="n"/>
      <c r="CQ26" s="55" t="n"/>
      <c r="CR26" s="55" t="n"/>
      <c r="CS26" s="55" t="n"/>
      <c r="CT26" s="55" t="n"/>
      <c r="CU26" s="55" t="n"/>
      <c r="CV26" s="55" t="n"/>
      <c r="CW26" s="55" t="n"/>
      <c r="CX26" s="55" t="n"/>
      <c r="CY26" s="55" t="n"/>
      <c r="CZ26" s="55" t="n"/>
      <c r="DA26" s="55" t="n"/>
      <c r="DB26" s="55" t="n"/>
      <c r="DC26" s="55" t="n"/>
      <c r="DD26" s="55" t="n"/>
      <c r="DE26" s="55" t="n"/>
    </row>
    <row r="27">
      <c r="A27" s="55" t="inlineStr">
        <is>
          <t>issue_436</t>
        </is>
      </c>
      <c r="B27" s="59" t="inlineStr">
        <is>
          <t>PASS</t>
        </is>
      </c>
      <c r="C27" s="59" t="inlineStr">
        <is>
          <t>PASS</t>
        </is>
      </c>
      <c r="D27" s="59" t="inlineStr">
        <is>
          <t>PASS</t>
        </is>
      </c>
      <c r="E27" s="59" t="inlineStr">
        <is>
          <t>PASS</t>
        </is>
      </c>
      <c r="F27" s="56" t="inlineStr">
        <is>
          <t>NOT_TESTED</t>
        </is>
      </c>
      <c r="G27" s="56" t="inlineStr">
        <is>
          <t>NOT_TESTED</t>
        </is>
      </c>
      <c r="H27" s="56" t="inlineStr">
        <is>
          <t>NOT_TESTED</t>
        </is>
      </c>
      <c r="I27" s="56" t="inlineStr">
        <is>
          <t>NOT_TESTED</t>
        </is>
      </c>
      <c r="J27" s="56" t="inlineStr">
        <is>
          <t>NOT_TESTED</t>
        </is>
      </c>
      <c r="K27" s="56" t="inlineStr">
        <is>
          <t>NOT_TESTED</t>
        </is>
      </c>
      <c r="L27" s="56" t="inlineStr">
        <is>
          <t>NOT_TESTED</t>
        </is>
      </c>
      <c r="M27" s="56" t="inlineStr">
        <is>
          <t>NOT_TESTED</t>
        </is>
      </c>
      <c r="N27" s="56" t="inlineStr">
        <is>
          <t>NOT_TESTED</t>
        </is>
      </c>
      <c r="O27" s="56" t="inlineStr">
        <is>
          <t>NOT_TESTED</t>
        </is>
      </c>
      <c r="P27" s="56" t="inlineStr">
        <is>
          <t>NOT_TESTED</t>
        </is>
      </c>
      <c r="Q27" s="56" t="inlineStr">
        <is>
          <t>NOT_TESTED</t>
        </is>
      </c>
      <c r="R27" s="56" t="inlineStr">
        <is>
          <t>NOT_TESTED</t>
        </is>
      </c>
      <c r="S27" s="56" t="inlineStr">
        <is>
          <t>NOT_TESTED</t>
        </is>
      </c>
      <c r="T27" s="56" t="inlineStr">
        <is>
          <t>NOT_TESTED</t>
        </is>
      </c>
      <c r="U27" s="56" t="inlineStr">
        <is>
          <t>NOT_TESTED</t>
        </is>
      </c>
      <c r="V27" s="56" t="inlineStr">
        <is>
          <t>NOT_TESTED</t>
        </is>
      </c>
      <c r="W27" s="56" t="inlineStr">
        <is>
          <t>NOT_TESTED</t>
        </is>
      </c>
      <c r="X27" s="56" t="inlineStr">
        <is>
          <t>NOT_TESTED</t>
        </is>
      </c>
      <c r="Y27" s="56" t="inlineStr">
        <is>
          <t>NOT_TESTED</t>
        </is>
      </c>
      <c r="Z27" s="56" t="inlineStr">
        <is>
          <t>NOT_TESTED</t>
        </is>
      </c>
      <c r="AA27" s="56" t="inlineStr">
        <is>
          <t>NOT_TESTED</t>
        </is>
      </c>
      <c r="AB27" s="56" t="inlineStr">
        <is>
          <t>NOT_TESTED</t>
        </is>
      </c>
      <c r="AC27" s="55" t="n"/>
      <c r="AD27" s="55" t="n"/>
      <c r="AE27" s="55" t="n"/>
      <c r="AF27" s="55" t="n"/>
      <c r="AG27" s="55" t="n"/>
      <c r="AH27" s="55" t="n"/>
      <c r="AI27" s="55" t="n"/>
      <c r="AJ27" s="55" t="n"/>
      <c r="AK27" s="55" t="n"/>
      <c r="AL27" s="55" t="n"/>
      <c r="AM27" s="55" t="n"/>
      <c r="AN27" s="55" t="n"/>
      <c r="AO27" s="55" t="n"/>
      <c r="AP27" s="55" t="n"/>
      <c r="AQ27" s="55" t="n"/>
      <c r="AR27" s="55" t="n"/>
      <c r="AS27" s="55" t="n"/>
      <c r="AT27" s="55" t="n"/>
      <c r="AU27" s="55" t="n"/>
      <c r="AV27" s="55" t="n"/>
      <c r="AW27" s="55" t="n"/>
      <c r="AX27" s="55" t="n"/>
      <c r="AY27" s="55" t="n"/>
      <c r="AZ27" s="55" t="n"/>
      <c r="BA27" s="55" t="n"/>
      <c r="BB27" s="55" t="n"/>
      <c r="BC27" s="55" t="n"/>
      <c r="BD27" s="55" t="n"/>
      <c r="BE27" s="55" t="n"/>
      <c r="BF27" s="55" t="n"/>
      <c r="BG27" s="55" t="n"/>
      <c r="BH27" s="55" t="n"/>
      <c r="BI27" s="55" t="n"/>
      <c r="BJ27" s="55" t="n"/>
      <c r="BK27" s="55" t="n"/>
      <c r="BL27" s="55" t="n"/>
      <c r="BM27" s="55" t="n"/>
      <c r="BN27" s="55" t="n"/>
      <c r="BO27" s="55" t="n"/>
      <c r="BP27" s="55" t="n"/>
      <c r="BQ27" s="55" t="n"/>
      <c r="BR27" s="55" t="n"/>
      <c r="BS27" s="55" t="n"/>
      <c r="BT27" s="55" t="n"/>
      <c r="BU27" s="55" t="n"/>
      <c r="BV27" s="55" t="n"/>
      <c r="BW27" s="55" t="n"/>
      <c r="BX27" s="55" t="n"/>
      <c r="BY27" s="55" t="n"/>
      <c r="BZ27" s="55" t="n"/>
      <c r="CA27" s="55" t="n"/>
      <c r="CB27" s="55" t="n"/>
      <c r="CC27" s="55" t="n"/>
      <c r="CD27" s="55" t="n"/>
      <c r="CE27" s="55" t="n"/>
      <c r="CF27" s="55" t="n"/>
      <c r="CG27" s="55" t="n"/>
      <c r="CH27" s="55" t="n"/>
      <c r="CI27" s="55" t="n"/>
      <c r="CJ27" s="55" t="n"/>
      <c r="CK27" s="55" t="n"/>
      <c r="CL27" s="55" t="n"/>
      <c r="CM27" s="55" t="n"/>
      <c r="CN27" s="55" t="n"/>
      <c r="CO27" s="55" t="n"/>
      <c r="CP27" s="55" t="n"/>
      <c r="CQ27" s="55" t="n"/>
      <c r="CR27" s="55" t="n"/>
      <c r="CS27" s="55" t="n"/>
      <c r="CT27" s="55" t="n"/>
      <c r="CU27" s="55" t="n"/>
      <c r="CV27" s="55" t="n"/>
      <c r="CW27" s="55" t="n"/>
      <c r="CX27" s="55" t="n"/>
      <c r="CY27" s="55" t="n"/>
      <c r="CZ27" s="55" t="n"/>
      <c r="DA27" s="55" t="n"/>
      <c r="DB27" s="55" t="n"/>
      <c r="DC27" s="55" t="n"/>
      <c r="DD27" s="55" t="n"/>
      <c r="DE27" s="55" t="n"/>
    </row>
    <row r="28">
      <c r="A28" s="55" t="inlineStr">
        <is>
          <t>issue_443</t>
        </is>
      </c>
      <c r="B28" s="59" t="inlineStr">
        <is>
          <t>PASS</t>
        </is>
      </c>
      <c r="C28" s="59" t="inlineStr">
        <is>
          <t>PASS</t>
        </is>
      </c>
      <c r="D28" s="59" t="inlineStr">
        <is>
          <t>PASS</t>
        </is>
      </c>
      <c r="E28" s="59" t="inlineStr">
        <is>
          <t>PASS</t>
        </is>
      </c>
      <c r="F28" s="59" t="inlineStr">
        <is>
          <t>PASS</t>
        </is>
      </c>
      <c r="G28" s="59" t="inlineStr">
        <is>
          <t>PASS</t>
        </is>
      </c>
      <c r="H28" s="59" t="inlineStr">
        <is>
          <t>PASS</t>
        </is>
      </c>
      <c r="I28" s="59" t="inlineStr">
        <is>
          <t>PASS</t>
        </is>
      </c>
      <c r="J28" s="59" t="inlineStr">
        <is>
          <t>PASS</t>
        </is>
      </c>
      <c r="K28" s="59" t="inlineStr">
        <is>
          <t>PASS</t>
        </is>
      </c>
      <c r="L28" s="59" t="inlineStr">
        <is>
          <t>PASS</t>
        </is>
      </c>
      <c r="M28" s="59" t="inlineStr">
        <is>
          <t>PASS</t>
        </is>
      </c>
      <c r="N28" s="59" t="inlineStr">
        <is>
          <t>PASS</t>
        </is>
      </c>
      <c r="O28" s="59" t="inlineStr">
        <is>
          <t>PASS</t>
        </is>
      </c>
      <c r="P28" s="59" t="inlineStr">
        <is>
          <t>PASS</t>
        </is>
      </c>
      <c r="Q28" s="59" t="inlineStr">
        <is>
          <t>PASS</t>
        </is>
      </c>
      <c r="R28" s="59" t="inlineStr">
        <is>
          <t>PASS</t>
        </is>
      </c>
      <c r="S28" s="59" t="inlineStr">
        <is>
          <t>PASS</t>
        </is>
      </c>
      <c r="T28" s="59" t="inlineStr">
        <is>
          <t>PASS</t>
        </is>
      </c>
      <c r="U28" s="59" t="inlineStr">
        <is>
          <t>PASS</t>
        </is>
      </c>
      <c r="V28" s="59" t="inlineStr">
        <is>
          <t>PASS</t>
        </is>
      </c>
      <c r="W28" s="59" t="inlineStr">
        <is>
          <t>PASS</t>
        </is>
      </c>
      <c r="X28" s="59" t="inlineStr">
        <is>
          <t>PASS</t>
        </is>
      </c>
      <c r="Y28" s="59" t="inlineStr">
        <is>
          <t>PASS</t>
        </is>
      </c>
      <c r="Z28" s="59" t="inlineStr">
        <is>
          <t>PASS</t>
        </is>
      </c>
      <c r="AA28" s="59" t="inlineStr">
        <is>
          <t>PASS</t>
        </is>
      </c>
      <c r="AB28" s="59" t="inlineStr">
        <is>
          <t>PASS</t>
        </is>
      </c>
      <c r="AC28" s="55" t="n"/>
      <c r="AD28" s="55" t="n"/>
      <c r="AE28" s="55" t="n"/>
      <c r="AF28" s="55" t="n"/>
      <c r="AG28" s="55" t="n"/>
      <c r="AH28" s="55" t="n"/>
      <c r="AI28" s="55" t="n"/>
      <c r="AJ28" s="55" t="n"/>
      <c r="AK28" s="55" t="n"/>
      <c r="AL28" s="55" t="n"/>
      <c r="AM28" s="55" t="n"/>
      <c r="AN28" s="55" t="n"/>
      <c r="AO28" s="55" t="n"/>
      <c r="AP28" s="55" t="n"/>
      <c r="AQ28" s="55" t="n"/>
      <c r="AR28" s="55" t="n"/>
      <c r="AS28" s="55" t="n"/>
      <c r="AT28" s="55" t="n"/>
      <c r="AU28" s="55" t="n"/>
      <c r="AV28" s="55" t="n"/>
      <c r="AW28" s="55" t="n"/>
      <c r="AX28" s="55" t="n"/>
      <c r="AY28" s="55" t="n"/>
      <c r="AZ28" s="55" t="n"/>
      <c r="BA28" s="55" t="n"/>
      <c r="BB28" s="55" t="n"/>
      <c r="BC28" s="55" t="n"/>
      <c r="BD28" s="55" t="n"/>
      <c r="BE28" s="55" t="n"/>
      <c r="BF28" s="55" t="n"/>
      <c r="BG28" s="55" t="n"/>
      <c r="BH28" s="55" t="n"/>
      <c r="BI28" s="55" t="n"/>
      <c r="BJ28" s="55" t="n"/>
      <c r="BK28" s="55" t="n"/>
      <c r="BL28" s="55" t="n"/>
      <c r="BM28" s="55" t="n"/>
      <c r="BN28" s="55" t="n"/>
      <c r="BO28" s="55" t="n"/>
      <c r="BP28" s="55" t="n"/>
      <c r="BQ28" s="55" t="n"/>
      <c r="BR28" s="55" t="n"/>
      <c r="BS28" s="55" t="n"/>
      <c r="BT28" s="55" t="n"/>
      <c r="BU28" s="55" t="n"/>
      <c r="BV28" s="55" t="n"/>
      <c r="BW28" s="55" t="n"/>
      <c r="BX28" s="55" t="n"/>
      <c r="BY28" s="55" t="n"/>
      <c r="BZ28" s="55" t="n"/>
      <c r="CA28" s="55" t="n"/>
      <c r="CB28" s="55" t="n"/>
      <c r="CC28" s="55" t="n"/>
      <c r="CD28" s="55" t="n"/>
      <c r="CE28" s="55" t="n"/>
      <c r="CF28" s="55" t="n"/>
      <c r="CG28" s="55" t="n"/>
      <c r="CH28" s="55" t="n"/>
      <c r="CI28" s="55" t="n"/>
      <c r="CJ28" s="55" t="n"/>
      <c r="CK28" s="55" t="n"/>
      <c r="CL28" s="55" t="n"/>
      <c r="CM28" s="55" t="n"/>
      <c r="CN28" s="55" t="n"/>
      <c r="CO28" s="55" t="n"/>
      <c r="CP28" s="55" t="n"/>
      <c r="CQ28" s="55" t="n"/>
      <c r="CR28" s="55" t="n"/>
      <c r="CS28" s="55" t="n"/>
      <c r="CT28" s="55" t="n"/>
      <c r="CU28" s="55" t="n"/>
      <c r="CV28" s="55" t="n"/>
      <c r="CW28" s="55" t="n"/>
      <c r="CX28" s="55" t="n"/>
      <c r="CY28" s="55" t="n"/>
      <c r="CZ28" s="55" t="n"/>
      <c r="DA28" s="55" t="n"/>
      <c r="DB28" s="55" t="n"/>
      <c r="DC28" s="55" t="n"/>
      <c r="DD28" s="55" t="n"/>
      <c r="DE28" s="55" t="n"/>
    </row>
    <row r="29">
      <c r="A29" s="55" t="inlineStr">
        <is>
          <t>issue_453</t>
        </is>
      </c>
      <c r="B29" s="56" t="inlineStr">
        <is>
          <t>NOT_TESTED</t>
        </is>
      </c>
      <c r="C29" s="56" t="inlineStr">
        <is>
          <t>NOT_TESTED</t>
        </is>
      </c>
      <c r="D29" s="56" t="inlineStr">
        <is>
          <t>NOT_TESTED</t>
        </is>
      </c>
      <c r="E29" s="56" t="inlineStr">
        <is>
          <t>NOT_TESTED</t>
        </is>
      </c>
      <c r="F29" s="58" t="inlineStr">
        <is>
          <t>FAIL</t>
        </is>
      </c>
      <c r="G29" s="58" t="inlineStr">
        <is>
          <t>FAIL</t>
        </is>
      </c>
      <c r="H29" s="58" t="inlineStr">
        <is>
          <t>FAIL</t>
        </is>
      </c>
      <c r="I29" s="58" t="inlineStr">
        <is>
          <t>FAIL</t>
        </is>
      </c>
      <c r="J29" s="58" t="inlineStr">
        <is>
          <t>FAIL</t>
        </is>
      </c>
      <c r="K29" s="58" t="inlineStr">
        <is>
          <t>FAIL</t>
        </is>
      </c>
      <c r="L29" s="58" t="inlineStr">
        <is>
          <t>FAIL</t>
        </is>
      </c>
      <c r="M29" s="58" t="inlineStr">
        <is>
          <t>FAIL</t>
        </is>
      </c>
      <c r="N29" s="58" t="inlineStr">
        <is>
          <t>FAIL</t>
        </is>
      </c>
      <c r="O29" s="58" t="inlineStr">
        <is>
          <t>FAIL</t>
        </is>
      </c>
      <c r="P29" s="58" t="inlineStr">
        <is>
          <t>FAIL</t>
        </is>
      </c>
      <c r="Q29" s="58" t="inlineStr">
        <is>
          <t>FAIL</t>
        </is>
      </c>
      <c r="R29" s="58" t="inlineStr">
        <is>
          <t>FAIL</t>
        </is>
      </c>
      <c r="S29" s="58" t="inlineStr">
        <is>
          <t>FAIL</t>
        </is>
      </c>
      <c r="T29" s="58" t="inlineStr">
        <is>
          <t>FAIL</t>
        </is>
      </c>
      <c r="U29" s="58" t="inlineStr">
        <is>
          <t>FAIL</t>
        </is>
      </c>
      <c r="V29" s="58" t="inlineStr">
        <is>
          <t>FAIL</t>
        </is>
      </c>
      <c r="W29" s="58" t="inlineStr">
        <is>
          <t>FAIL</t>
        </is>
      </c>
      <c r="X29" s="58" t="inlineStr">
        <is>
          <t>FAIL</t>
        </is>
      </c>
      <c r="Y29" s="58" t="inlineStr">
        <is>
          <t>FAIL</t>
        </is>
      </c>
      <c r="Z29" s="58" t="inlineStr">
        <is>
          <t>FAIL</t>
        </is>
      </c>
      <c r="AA29" s="58" t="inlineStr">
        <is>
          <t>FAIL</t>
        </is>
      </c>
      <c r="AB29" s="58" t="inlineStr">
        <is>
          <t>FAIL</t>
        </is>
      </c>
      <c r="AC29" s="55" t="n"/>
      <c r="AD29" s="55" t="n"/>
      <c r="AE29" s="55" t="n"/>
      <c r="AF29" s="55" t="n"/>
      <c r="AG29" s="55" t="n"/>
      <c r="AH29" s="55" t="n"/>
      <c r="AI29" s="55" t="n"/>
      <c r="AJ29" s="55" t="n"/>
      <c r="AK29" s="55" t="n"/>
      <c r="AL29" s="55" t="n"/>
      <c r="AM29" s="55" t="n"/>
      <c r="AN29" s="55" t="n"/>
      <c r="AO29" s="55" t="inlineStr">
        <is>
          <t>AssertionError</t>
        </is>
      </c>
      <c r="AP29" s="55" t="inlineStr">
        <is>
          <t>AssertionError: 0 != 2</t>
        </is>
      </c>
      <c r="AQ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R29" s="55" t="inlineStr">
        <is>
          <t>AssertionError</t>
        </is>
      </c>
      <c r="AS29" s="55" t="inlineStr">
        <is>
          <t>AssertionError: 0 != 2</t>
        </is>
      </c>
      <c r="AT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U29" s="55" t="inlineStr">
        <is>
          <t>AssertionError</t>
        </is>
      </c>
      <c r="AV29" s="55" t="inlineStr">
        <is>
          <t>AssertionError: 0 != 2</t>
        </is>
      </c>
      <c r="AW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X29" s="55" t="inlineStr">
        <is>
          <t>AssertionError</t>
        </is>
      </c>
      <c r="AY29" s="55" t="inlineStr">
        <is>
          <t>AssertionError: 0 != 2</t>
        </is>
      </c>
      <c r="AZ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A29" s="55" t="inlineStr">
        <is>
          <t>AssertionError</t>
        </is>
      </c>
      <c r="BB29" s="55" t="inlineStr">
        <is>
          <t>AssertionError: 0 != 2</t>
        </is>
      </c>
      <c r="BC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D29" s="55" t="inlineStr">
        <is>
          <t>AssertionError</t>
        </is>
      </c>
      <c r="BE29" s="55" t="inlineStr">
        <is>
          <t>AssertionError: 0 != 2</t>
        </is>
      </c>
      <c r="BF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G29" s="55" t="inlineStr">
        <is>
          <t>AssertionError</t>
        </is>
      </c>
      <c r="BH29" s="55" t="inlineStr">
        <is>
          <t>AssertionError: 0 != 2</t>
        </is>
      </c>
      <c r="BI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J29" s="55" t="inlineStr">
        <is>
          <t>AssertionError</t>
        </is>
      </c>
      <c r="BK29" s="55" t="inlineStr">
        <is>
          <t>AssertionError: 0 != 2</t>
        </is>
      </c>
      <c r="BL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M29" s="55" t="inlineStr">
        <is>
          <t>AssertionError</t>
        </is>
      </c>
      <c r="BN29" s="55" t="inlineStr">
        <is>
          <t>AssertionError: 0 != 2</t>
        </is>
      </c>
      <c r="BO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P29" s="55" t="inlineStr">
        <is>
          <t>AssertionError</t>
        </is>
      </c>
      <c r="BQ29" s="55" t="inlineStr">
        <is>
          <t>AssertionError: 0 != 2</t>
        </is>
      </c>
      <c r="BR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S29" s="55" t="inlineStr">
        <is>
          <t>AssertionError</t>
        </is>
      </c>
      <c r="BT29" s="55" t="inlineStr">
        <is>
          <t>AssertionError: 0 != 2</t>
        </is>
      </c>
      <c r="BU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V29" s="55" t="inlineStr">
        <is>
          <t>AssertionError</t>
        </is>
      </c>
      <c r="BW29" s="55" t="inlineStr">
        <is>
          <t>AssertionError: 0 != 2</t>
        </is>
      </c>
      <c r="BX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Y29" s="55" t="inlineStr">
        <is>
          <t>AssertionError</t>
        </is>
      </c>
      <c r="BZ29" s="55" t="inlineStr">
        <is>
          <t>AssertionError: 0 != 2</t>
        </is>
      </c>
      <c r="CA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B29" s="55" t="inlineStr">
        <is>
          <t>AssertionError</t>
        </is>
      </c>
      <c r="CC29" s="55" t="inlineStr">
        <is>
          <t>AssertionError: 0 != 2</t>
        </is>
      </c>
      <c r="CD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E29" s="55" t="inlineStr">
        <is>
          <t>AssertionError</t>
        </is>
      </c>
      <c r="CF29" s="55" t="inlineStr">
        <is>
          <t>AssertionError: 0 != 2</t>
        </is>
      </c>
      <c r="CG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H29" s="55" t="inlineStr">
        <is>
          <t>AssertionError</t>
        </is>
      </c>
      <c r="CI29" s="55" t="inlineStr">
        <is>
          <t>AssertionError: 0 != 2</t>
        </is>
      </c>
      <c r="CJ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K29" s="55" t="inlineStr">
        <is>
          <t>AssertionError</t>
        </is>
      </c>
      <c r="CL29" s="55" t="inlineStr">
        <is>
          <t>AssertionError: 0 != 2</t>
        </is>
      </c>
      <c r="CM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N29" s="55" t="inlineStr">
        <is>
          <t>AssertionError</t>
        </is>
      </c>
      <c r="CO29" s="55" t="inlineStr">
        <is>
          <t>AssertionError: 0 != 2</t>
        </is>
      </c>
      <c r="CP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Q29" s="55" t="inlineStr">
        <is>
          <t>AssertionError</t>
        </is>
      </c>
      <c r="CR29" s="55" t="inlineStr">
        <is>
          <t>AssertionError: 0 != 2</t>
        </is>
      </c>
      <c r="CS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T29" s="55" t="inlineStr">
        <is>
          <t>AssertionError</t>
        </is>
      </c>
      <c r="CU29" s="55" t="inlineStr">
        <is>
          <t>AssertionError: 0 != 2</t>
        </is>
      </c>
      <c r="CV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W29" s="55" t="inlineStr">
        <is>
          <t>AssertionError</t>
        </is>
      </c>
      <c r="CX29" s="55" t="inlineStr">
        <is>
          <t>AssertionError: 0 != 2</t>
        </is>
      </c>
      <c r="CY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Z29" s="55" t="inlineStr">
        <is>
          <t>AssertionError</t>
        </is>
      </c>
      <c r="DA29" s="55" t="inlineStr">
        <is>
          <t>AssertionError: 0 != 2</t>
        </is>
      </c>
      <c r="DB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DC29" s="55" t="inlineStr">
        <is>
          <t>AssertionError</t>
        </is>
      </c>
      <c r="DD29" s="55" t="inlineStr">
        <is>
          <t>AssertionError: 0 != 2</t>
        </is>
      </c>
      <c r="DE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row>
    <row r="30">
      <c r="A30" s="55" t="inlineStr">
        <is>
          <t>issue_468</t>
        </is>
      </c>
      <c r="B30" s="57" t="inlineStr">
        <is>
          <t>ERROR</t>
        </is>
      </c>
      <c r="C30" s="57" t="inlineStr">
        <is>
          <t>ERROR</t>
        </is>
      </c>
      <c r="D30" s="57" t="inlineStr">
        <is>
          <t>ERROR</t>
        </is>
      </c>
      <c r="E30" s="57" t="inlineStr">
        <is>
          <t>ERROR</t>
        </is>
      </c>
      <c r="F30" s="56" t="inlineStr">
        <is>
          <t>NOT_TESTED</t>
        </is>
      </c>
      <c r="G30" s="56" t="inlineStr">
        <is>
          <t>NOT_TESTED</t>
        </is>
      </c>
      <c r="H30" s="56" t="inlineStr">
        <is>
          <t>NOT_TESTED</t>
        </is>
      </c>
      <c r="I30" s="56" t="inlineStr">
        <is>
          <t>NOT_TESTED</t>
        </is>
      </c>
      <c r="J30" s="56" t="inlineStr">
        <is>
          <t>NOT_TESTED</t>
        </is>
      </c>
      <c r="K30" s="56" t="inlineStr">
        <is>
          <t>NOT_TESTED</t>
        </is>
      </c>
      <c r="L30" s="56" t="inlineStr">
        <is>
          <t>NOT_TESTED</t>
        </is>
      </c>
      <c r="M30" s="56" t="inlineStr">
        <is>
          <t>NOT_TESTED</t>
        </is>
      </c>
      <c r="N30" s="56" t="inlineStr">
        <is>
          <t>NOT_TESTED</t>
        </is>
      </c>
      <c r="O30" s="56" t="inlineStr">
        <is>
          <t>NOT_TESTED</t>
        </is>
      </c>
      <c r="P30" s="56" t="inlineStr">
        <is>
          <t>NOT_TESTED</t>
        </is>
      </c>
      <c r="Q30" s="56" t="inlineStr">
        <is>
          <t>NOT_TESTED</t>
        </is>
      </c>
      <c r="R30" s="56" t="inlineStr">
        <is>
          <t>NOT_TESTED</t>
        </is>
      </c>
      <c r="S30" s="56" t="inlineStr">
        <is>
          <t>NOT_TESTED</t>
        </is>
      </c>
      <c r="T30" s="56" t="inlineStr">
        <is>
          <t>NOT_TESTED</t>
        </is>
      </c>
      <c r="U30" s="56" t="inlineStr">
        <is>
          <t>NOT_TESTED</t>
        </is>
      </c>
      <c r="V30" s="56" t="inlineStr">
        <is>
          <t>NOT_TESTED</t>
        </is>
      </c>
      <c r="W30" s="56" t="inlineStr">
        <is>
          <t>NOT_TESTED</t>
        </is>
      </c>
      <c r="X30" s="56" t="inlineStr">
        <is>
          <t>NOT_TESTED</t>
        </is>
      </c>
      <c r="Y30" s="56" t="inlineStr">
        <is>
          <t>NOT_TESTED</t>
        </is>
      </c>
      <c r="Z30" s="56" t="inlineStr">
        <is>
          <t>NOT_TESTED</t>
        </is>
      </c>
      <c r="AA30" s="56" t="inlineStr">
        <is>
          <t>NOT_TESTED</t>
        </is>
      </c>
      <c r="AB30" s="56" t="inlineStr">
        <is>
          <t>NOT_TESTED</t>
        </is>
      </c>
      <c r="AC30" s="55" t="inlineStr">
        <is>
          <t>ValueError</t>
        </is>
      </c>
      <c r="AD30" s="55" t="inlineStr">
        <is>
          <t>ValueError: Operators can only be scalar multiplied by float or complex, not Operator([[1.+0.j, 0.+0.j], [0.+0.j, 0.+0.j]], input_dims=(2,), output_dims=(2,)) of type &lt;class 'qiskit.aqua.operators.primitive_ops.matrix_op.MatrixOp'&gt;.</t>
        </is>
      </c>
      <c r="AE30" s="55" t="inlineStr">
        <is>
          <t>The LLM wrapped the density matrices in MatrixOp, but Aqua's legacy commutator() multiplies its inputs with *, which for MatrixOp means scalar multiplication, so it raises ValueError; the reference rewrites the two operators as WeightedPauliOperators.</t>
        </is>
      </c>
      <c r="AF30" s="55" t="inlineStr">
        <is>
          <t>ValueError</t>
        </is>
      </c>
      <c r="AG30" s="55" t="inlineStr">
        <is>
          <t>ValueError: Operators can only be scalar multiplied by float or complex, not Operator([[1.+0.j, 0.+0.j], [0.+0.j, 0.+0.j]], input_dims=(2,), output_dims=(2,)) of type &lt;class 'qiskit.aqua.operators.primitive_ops.matrix_op.MatrixOp'&gt;.</t>
        </is>
      </c>
      <c r="AH30" s="55" t="inlineStr">
        <is>
          <t>The LLM wrapped the density matrices in MatrixOp, but Aqua's legacy commutator() multiplies its inputs with *, which for MatrixOp means scalar multiplication, so it raises ValueError; the reference rewrites the two operators as WeightedPauliOperators.</t>
        </is>
      </c>
      <c r="AI30" s="55" t="inlineStr">
        <is>
          <t>ValueError</t>
        </is>
      </c>
      <c r="AJ30" s="55" t="inlineStr">
        <is>
          <t>ValueError: Operators can only be scalar multiplied by float or complex, not Operator([[1.+0.j, 0.+0.j], [0.+0.j, 0.+0.j]], input_dims=(2,), output_dims=(2,)) of type &lt;class 'qiskit.aqua.operators.primitive_ops.matrix_op.MatrixOp'&gt;.</t>
        </is>
      </c>
      <c r="AK30" s="55" t="inlineStr">
        <is>
          <t>The LLM wrapped the density matrices in MatrixOp, but Aqua's legacy commutator() multiplies its inputs with *, which for MatrixOp means scalar multiplication, so it raises ValueError; the reference rewrites the two operators as WeightedPauliOperators.</t>
        </is>
      </c>
      <c r="AL30" s="55" t="inlineStr">
        <is>
          <t>ValueError</t>
        </is>
      </c>
      <c r="AM30" s="55" t="inlineStr">
        <is>
          <t>ValueError: Operators can only be scalar multiplied by float or complex, not Operator([[1.+0.j, 0.+0.j], [0.+0.j, 0.+0.j]], input_dims=(2,), output_dims=(2,)) of type &lt;class 'qiskit.aqua.operators.primitive_ops.matrix_op.MatrixOp'&gt;.</t>
        </is>
      </c>
      <c r="AN30" s="55" t="inlineStr">
        <is>
          <t>The LLM wrapped the density matrices in MatrixOp, but Aqua's legacy commutator() multiplies its inputs with *, which for MatrixOp means scalar multiplication, so it raises ValueError; the reference rewrites the two operators as WeightedPauliOperators.</t>
        </is>
      </c>
      <c r="AO30" s="55" t="n"/>
      <c r="AP30" s="55" t="n"/>
      <c r="AQ30" s="55" t="n"/>
      <c r="AR30" s="55" t="n"/>
      <c r="AS30" s="55" t="n"/>
      <c r="AT30" s="55" t="n"/>
      <c r="AU30" s="55" t="n"/>
      <c r="AV30" s="55" t="n"/>
      <c r="AW30" s="55" t="n"/>
      <c r="AX30" s="55" t="n"/>
      <c r="AY30" s="55" t="n"/>
      <c r="AZ30" s="55" t="n"/>
      <c r="BA30" s="55" t="n"/>
      <c r="BB30" s="55" t="n"/>
      <c r="BC30" s="55" t="n"/>
      <c r="BD30" s="55" t="n"/>
      <c r="BE30" s="55" t="n"/>
      <c r="BF30" s="55" t="n"/>
      <c r="BG30" s="55" t="n"/>
      <c r="BH30" s="55" t="n"/>
      <c r="BI30" s="55" t="n"/>
      <c r="BJ30" s="55" t="n"/>
      <c r="BK30" s="55" t="n"/>
      <c r="BL30" s="55" t="n"/>
      <c r="BM30" s="55" t="n"/>
      <c r="BN30" s="55" t="n"/>
      <c r="BO30" s="55" t="n"/>
      <c r="BP30" s="55" t="n"/>
      <c r="BQ30" s="55" t="n"/>
      <c r="BR30" s="55" t="n"/>
      <c r="BS30" s="55" t="n"/>
      <c r="BT30" s="55" t="n"/>
      <c r="BU30" s="55" t="n"/>
      <c r="BV30" s="55" t="n"/>
      <c r="BW30" s="55" t="n"/>
      <c r="BX30" s="55" t="n"/>
      <c r="BY30" s="55" t="n"/>
      <c r="BZ30" s="55" t="n"/>
      <c r="CA30" s="55" t="n"/>
      <c r="CB30" s="55" t="n"/>
      <c r="CC30" s="55" t="n"/>
      <c r="CD30" s="55" t="n"/>
      <c r="CE30" s="55" t="n"/>
      <c r="CF30" s="55" t="n"/>
      <c r="CG30" s="55" t="n"/>
      <c r="CH30" s="55" t="n"/>
      <c r="CI30" s="55" t="n"/>
      <c r="CJ30" s="55" t="n"/>
      <c r="CK30" s="55" t="n"/>
      <c r="CL30" s="55" t="n"/>
      <c r="CM30" s="55" t="n"/>
      <c r="CN30" s="55" t="n"/>
      <c r="CO30" s="55" t="n"/>
      <c r="CP30" s="55" t="n"/>
      <c r="CQ30" s="55" t="n"/>
      <c r="CR30" s="55" t="n"/>
      <c r="CS30" s="55" t="n"/>
      <c r="CT30" s="55" t="n"/>
      <c r="CU30" s="55" t="n"/>
      <c r="CV30" s="55" t="n"/>
      <c r="CW30" s="55" t="n"/>
      <c r="CX30" s="55" t="n"/>
      <c r="CY30" s="55" t="n"/>
      <c r="CZ30" s="55" t="n"/>
      <c r="DA30" s="55" t="n"/>
      <c r="DB30" s="55" t="n"/>
      <c r="DC30" s="55" t="n"/>
      <c r="DD30" s="55" t="n"/>
      <c r="DE30" s="55" t="n"/>
    </row>
    <row r="31">
      <c r="A31" s="55" t="inlineStr">
        <is>
          <t>issue_497</t>
        </is>
      </c>
      <c r="B31" s="59" t="inlineStr">
        <is>
          <t>PASS</t>
        </is>
      </c>
      <c r="C31" s="59" t="inlineStr">
        <is>
          <t>PASS</t>
        </is>
      </c>
      <c r="D31" s="59" t="inlineStr">
        <is>
          <t>PASS</t>
        </is>
      </c>
      <c r="E31" s="59" t="inlineStr">
        <is>
          <t>PASS</t>
        </is>
      </c>
      <c r="F31" s="56" t="inlineStr">
        <is>
          <t>NOT_TESTED</t>
        </is>
      </c>
      <c r="G31" s="56" t="inlineStr">
        <is>
          <t>NOT_TESTED</t>
        </is>
      </c>
      <c r="H31" s="56" t="inlineStr">
        <is>
          <t>NOT_TESTED</t>
        </is>
      </c>
      <c r="I31" s="56" t="inlineStr">
        <is>
          <t>NOT_TESTED</t>
        </is>
      </c>
      <c r="J31" s="56" t="inlineStr">
        <is>
          <t>NOT_TESTED</t>
        </is>
      </c>
      <c r="K31" s="56" t="inlineStr">
        <is>
          <t>NOT_TESTED</t>
        </is>
      </c>
      <c r="L31" s="56" t="inlineStr">
        <is>
          <t>NOT_TESTED</t>
        </is>
      </c>
      <c r="M31" s="56" t="inlineStr">
        <is>
          <t>NOT_TESTED</t>
        </is>
      </c>
      <c r="N31" s="56" t="inlineStr">
        <is>
          <t>NOT_TESTED</t>
        </is>
      </c>
      <c r="O31" s="56" t="inlineStr">
        <is>
          <t>NOT_TESTED</t>
        </is>
      </c>
      <c r="P31" s="56" t="inlineStr">
        <is>
          <t>NOT_TESTED</t>
        </is>
      </c>
      <c r="Q31" s="56" t="inlineStr">
        <is>
          <t>NOT_TESTED</t>
        </is>
      </c>
      <c r="R31" s="56" t="inlineStr">
        <is>
          <t>NOT_TESTED</t>
        </is>
      </c>
      <c r="S31" s="56" t="inlineStr">
        <is>
          <t>NOT_TESTED</t>
        </is>
      </c>
      <c r="T31" s="56" t="inlineStr">
        <is>
          <t>NOT_TESTED</t>
        </is>
      </c>
      <c r="U31" s="56" t="inlineStr">
        <is>
          <t>NOT_TESTED</t>
        </is>
      </c>
      <c r="V31" s="56" t="inlineStr">
        <is>
          <t>NOT_TESTED</t>
        </is>
      </c>
      <c r="W31" s="56" t="inlineStr">
        <is>
          <t>NOT_TESTED</t>
        </is>
      </c>
      <c r="X31" s="56" t="inlineStr">
        <is>
          <t>NOT_TESTED</t>
        </is>
      </c>
      <c r="Y31" s="56" t="inlineStr">
        <is>
          <t>NOT_TESTED</t>
        </is>
      </c>
      <c r="Z31" s="56" t="inlineStr">
        <is>
          <t>NOT_TESTED</t>
        </is>
      </c>
      <c r="AA31" s="56" t="inlineStr">
        <is>
          <t>NOT_TESTED</t>
        </is>
      </c>
      <c r="AB31" s="56" t="inlineStr">
        <is>
          <t>NOT_TESTED</t>
        </is>
      </c>
      <c r="AC31" s="55" t="n"/>
      <c r="AD31" s="55" t="n"/>
      <c r="AE31" s="55" t="n"/>
      <c r="AF31" s="55" t="n"/>
      <c r="AG31" s="55" t="n"/>
      <c r="AH31" s="55" t="n"/>
      <c r="AI31" s="55" t="n"/>
      <c r="AJ31" s="55" t="n"/>
      <c r="AK31" s="55" t="n"/>
      <c r="AL31" s="55" t="n"/>
      <c r="AM31" s="55" t="n"/>
      <c r="AN31" s="55" t="n"/>
      <c r="AO31" s="55" t="n"/>
      <c r="AP31" s="55" t="n"/>
      <c r="AQ31" s="55" t="n"/>
      <c r="AR31" s="55" t="n"/>
      <c r="AS31" s="55" t="n"/>
      <c r="AT31" s="55" t="n"/>
      <c r="AU31" s="55" t="n"/>
      <c r="AV31" s="55" t="n"/>
      <c r="AW31" s="55" t="n"/>
      <c r="AX31" s="55" t="n"/>
      <c r="AY31" s="55" t="n"/>
      <c r="AZ31" s="55" t="n"/>
      <c r="BA31" s="55" t="n"/>
      <c r="BB31" s="55" t="n"/>
      <c r="BC31" s="55" t="n"/>
      <c r="BD31" s="55" t="n"/>
      <c r="BE31" s="55" t="n"/>
      <c r="BF31" s="55" t="n"/>
      <c r="BG31" s="55" t="n"/>
      <c r="BH31" s="55" t="n"/>
      <c r="BI31" s="55" t="n"/>
      <c r="BJ31" s="55" t="n"/>
      <c r="BK31" s="55" t="n"/>
      <c r="BL31" s="55" t="n"/>
      <c r="BM31" s="55" t="n"/>
      <c r="BN31" s="55" t="n"/>
      <c r="BO31" s="55" t="n"/>
      <c r="BP31" s="55" t="n"/>
      <c r="BQ31" s="55" t="n"/>
      <c r="BR31" s="55" t="n"/>
      <c r="BS31" s="55" t="n"/>
      <c r="BT31" s="55" t="n"/>
      <c r="BU31" s="55" t="n"/>
      <c r="BV31" s="55" t="n"/>
      <c r="BW31" s="55" t="n"/>
      <c r="BX31" s="55" t="n"/>
      <c r="BY31" s="55" t="n"/>
      <c r="BZ31" s="55" t="n"/>
      <c r="CA31" s="55" t="n"/>
      <c r="CB31" s="55" t="n"/>
      <c r="CC31" s="55" t="n"/>
      <c r="CD31" s="55" t="n"/>
      <c r="CE31" s="55" t="n"/>
      <c r="CF31" s="55" t="n"/>
      <c r="CG31" s="55" t="n"/>
      <c r="CH31" s="55" t="n"/>
      <c r="CI31" s="55" t="n"/>
      <c r="CJ31" s="55" t="n"/>
      <c r="CK31" s="55" t="n"/>
      <c r="CL31" s="55" t="n"/>
      <c r="CM31" s="55" t="n"/>
      <c r="CN31" s="55" t="n"/>
      <c r="CO31" s="55" t="n"/>
      <c r="CP31" s="55" t="n"/>
      <c r="CQ31" s="55" t="n"/>
      <c r="CR31" s="55" t="n"/>
      <c r="CS31" s="55" t="n"/>
      <c r="CT31" s="55" t="n"/>
      <c r="CU31" s="55" t="n"/>
      <c r="CV31" s="55" t="n"/>
      <c r="CW31" s="55" t="n"/>
      <c r="CX31" s="55" t="n"/>
      <c r="CY31" s="55" t="n"/>
      <c r="CZ31" s="55" t="n"/>
      <c r="DA31" s="55" t="n"/>
      <c r="DB31" s="55" t="n"/>
      <c r="DC31" s="55" t="n"/>
      <c r="DD31" s="55" t="n"/>
      <c r="DE31" s="55" t="n"/>
    </row>
    <row r="32">
      <c r="A32" s="55" t="inlineStr">
        <is>
          <t>issue_504</t>
        </is>
      </c>
      <c r="B32" s="56" t="inlineStr">
        <is>
          <t>NOT_TESTED</t>
        </is>
      </c>
      <c r="C32" s="56" t="inlineStr">
        <is>
          <t>NOT_TESTED</t>
        </is>
      </c>
      <c r="D32" s="56" t="inlineStr">
        <is>
          <t>NOT_TESTED</t>
        </is>
      </c>
      <c r="E32" s="56" t="inlineStr">
        <is>
          <t>NOT_TESTED</t>
        </is>
      </c>
      <c r="F32" s="59" t="inlineStr">
        <is>
          <t>PASS</t>
        </is>
      </c>
      <c r="G32" s="59" t="inlineStr">
        <is>
          <t>PASS</t>
        </is>
      </c>
      <c r="H32" s="59" t="inlineStr">
        <is>
          <t>PASS</t>
        </is>
      </c>
      <c r="I32" s="59" t="inlineStr">
        <is>
          <t>PASS</t>
        </is>
      </c>
      <c r="J32" s="59" t="inlineStr">
        <is>
          <t>PASS</t>
        </is>
      </c>
      <c r="K32" s="59" t="inlineStr">
        <is>
          <t>PASS</t>
        </is>
      </c>
      <c r="L32" s="59" t="inlineStr">
        <is>
          <t>PASS</t>
        </is>
      </c>
      <c r="M32" s="59" t="inlineStr">
        <is>
          <t>PASS</t>
        </is>
      </c>
      <c r="N32" s="59" t="inlineStr">
        <is>
          <t>PASS</t>
        </is>
      </c>
      <c r="O32" s="59" t="inlineStr">
        <is>
          <t>PASS</t>
        </is>
      </c>
      <c r="P32" s="59" t="inlineStr">
        <is>
          <t>PASS</t>
        </is>
      </c>
      <c r="Q32" s="59" t="inlineStr">
        <is>
          <t>PASS</t>
        </is>
      </c>
      <c r="R32" s="59" t="inlineStr">
        <is>
          <t>PASS</t>
        </is>
      </c>
      <c r="S32" s="59" t="inlineStr">
        <is>
          <t>PASS</t>
        </is>
      </c>
      <c r="T32" s="59" t="inlineStr">
        <is>
          <t>PASS</t>
        </is>
      </c>
      <c r="U32" s="59" t="inlineStr">
        <is>
          <t>PASS</t>
        </is>
      </c>
      <c r="V32" s="59" t="inlineStr">
        <is>
          <t>PASS</t>
        </is>
      </c>
      <c r="W32" s="59" t="inlineStr">
        <is>
          <t>PASS</t>
        </is>
      </c>
      <c r="X32" s="59" t="inlineStr">
        <is>
          <t>PASS</t>
        </is>
      </c>
      <c r="Y32" s="59" t="inlineStr">
        <is>
          <t>PASS</t>
        </is>
      </c>
      <c r="Z32" s="59" t="inlineStr">
        <is>
          <t>PASS</t>
        </is>
      </c>
      <c r="AA32" s="59" t="inlineStr">
        <is>
          <t>PASS</t>
        </is>
      </c>
      <c r="AB32" s="59" t="inlineStr">
        <is>
          <t>PASS</t>
        </is>
      </c>
      <c r="AC32" s="55" t="n"/>
      <c r="AD32" s="55" t="n"/>
      <c r="AE32" s="55" t="n"/>
      <c r="AF32" s="55" t="n"/>
      <c r="AG32" s="55" t="n"/>
      <c r="AH32" s="55" t="n"/>
      <c r="AI32" s="55" t="n"/>
      <c r="AJ32" s="55" t="n"/>
      <c r="AK32" s="55" t="n"/>
      <c r="AL32" s="55" t="n"/>
      <c r="AM32" s="55" t="n"/>
      <c r="AN32" s="55" t="n"/>
      <c r="AO32" s="55" t="n"/>
      <c r="AP32" s="55" t="n"/>
      <c r="AQ32" s="55" t="n"/>
      <c r="AR32" s="55" t="n"/>
      <c r="AS32" s="55" t="n"/>
      <c r="AT32" s="55" t="n"/>
      <c r="AU32" s="55" t="n"/>
      <c r="AV32" s="55" t="n"/>
      <c r="AW32" s="55" t="n"/>
      <c r="AX32" s="55" t="n"/>
      <c r="AY32" s="55" t="n"/>
      <c r="AZ32" s="55" t="n"/>
      <c r="BA32" s="55" t="n"/>
      <c r="BB32" s="55" t="n"/>
      <c r="BC32" s="55" t="n"/>
      <c r="BD32" s="55" t="n"/>
      <c r="BE32" s="55" t="n"/>
      <c r="BF32" s="55" t="n"/>
      <c r="BG32" s="55" t="n"/>
      <c r="BH32" s="55" t="n"/>
      <c r="BI32" s="55" t="n"/>
      <c r="BJ32" s="55" t="n"/>
      <c r="BK32" s="55" t="n"/>
      <c r="BL32" s="55" t="n"/>
      <c r="BM32" s="55" t="n"/>
      <c r="BN32" s="55" t="n"/>
      <c r="BO32" s="55" t="n"/>
      <c r="BP32" s="55" t="n"/>
      <c r="BQ32" s="55" t="n"/>
      <c r="BR32" s="55" t="n"/>
      <c r="BS32" s="55" t="n"/>
      <c r="BT32" s="55" t="n"/>
      <c r="BU32" s="55" t="n"/>
      <c r="BV32" s="55" t="n"/>
      <c r="BW32" s="55" t="n"/>
      <c r="BX32" s="55" t="n"/>
      <c r="BY32" s="55" t="n"/>
      <c r="BZ32" s="55" t="n"/>
      <c r="CA32" s="55" t="n"/>
      <c r="CB32" s="55" t="n"/>
      <c r="CC32" s="55" t="n"/>
      <c r="CD32" s="55" t="n"/>
      <c r="CE32" s="55" t="n"/>
      <c r="CF32" s="55" t="n"/>
      <c r="CG32" s="55" t="n"/>
      <c r="CH32" s="55" t="n"/>
      <c r="CI32" s="55" t="n"/>
      <c r="CJ32" s="55" t="n"/>
      <c r="CK32" s="55" t="n"/>
      <c r="CL32" s="55" t="n"/>
      <c r="CM32" s="55" t="n"/>
      <c r="CN32" s="55" t="n"/>
      <c r="CO32" s="55" t="n"/>
      <c r="CP32" s="55" t="n"/>
      <c r="CQ32" s="55" t="n"/>
      <c r="CR32" s="55" t="n"/>
      <c r="CS32" s="55" t="n"/>
      <c r="CT32" s="55" t="n"/>
      <c r="CU32" s="55" t="n"/>
      <c r="CV32" s="55" t="n"/>
      <c r="CW32" s="55" t="n"/>
      <c r="CX32" s="55" t="n"/>
      <c r="CY32" s="55" t="n"/>
      <c r="CZ32" s="55" t="n"/>
      <c r="DA32" s="55" t="n"/>
      <c r="DB32" s="55" t="n"/>
      <c r="DC32" s="55" t="n"/>
      <c r="DD32" s="55" t="n"/>
      <c r="DE32" s="55" t="n"/>
    </row>
    <row r="33">
      <c r="A33" s="55" t="inlineStr">
        <is>
          <t>issue_505</t>
        </is>
      </c>
      <c r="B33" s="56" t="inlineStr">
        <is>
          <t>NOT_TESTED</t>
        </is>
      </c>
      <c r="C33" s="56" t="inlineStr">
        <is>
          <t>NOT_TESTED</t>
        </is>
      </c>
      <c r="D33" s="56" t="inlineStr">
        <is>
          <t>NOT_TESTED</t>
        </is>
      </c>
      <c r="E33" s="56" t="inlineStr">
        <is>
          <t>NOT_TESTED</t>
        </is>
      </c>
      <c r="F33" s="59" t="inlineStr">
        <is>
          <t>PASS</t>
        </is>
      </c>
      <c r="G33" s="59" t="inlineStr">
        <is>
          <t>PASS</t>
        </is>
      </c>
      <c r="H33" s="59" t="inlineStr">
        <is>
          <t>PASS</t>
        </is>
      </c>
      <c r="I33" s="59" t="inlineStr">
        <is>
          <t>PASS</t>
        </is>
      </c>
      <c r="J33" s="59" t="inlineStr">
        <is>
          <t>PASS</t>
        </is>
      </c>
      <c r="K33" s="59" t="inlineStr">
        <is>
          <t>PASS</t>
        </is>
      </c>
      <c r="L33" s="59" t="inlineStr">
        <is>
          <t>PASS</t>
        </is>
      </c>
      <c r="M33" s="59" t="inlineStr">
        <is>
          <t>PASS</t>
        </is>
      </c>
      <c r="N33" s="56" t="inlineStr">
        <is>
          <t>NOT_TESTED</t>
        </is>
      </c>
      <c r="O33" s="56" t="inlineStr">
        <is>
          <t>NOT_TESTED</t>
        </is>
      </c>
      <c r="P33" s="56" t="inlineStr">
        <is>
          <t>NOT_TESTED</t>
        </is>
      </c>
      <c r="Q33" s="56" t="inlineStr">
        <is>
          <t>NOT_TESTED</t>
        </is>
      </c>
      <c r="R33" s="56" t="inlineStr">
        <is>
          <t>NOT_TESTED</t>
        </is>
      </c>
      <c r="S33" s="56" t="inlineStr">
        <is>
          <t>NOT_TESTED</t>
        </is>
      </c>
      <c r="T33" s="56" t="inlineStr">
        <is>
          <t>NOT_TESTED</t>
        </is>
      </c>
      <c r="U33" s="56" t="inlineStr">
        <is>
          <t>NOT_TESTED</t>
        </is>
      </c>
      <c r="V33" s="56" t="inlineStr">
        <is>
          <t>NOT_TESTED</t>
        </is>
      </c>
      <c r="W33" s="56" t="inlineStr">
        <is>
          <t>NOT_TESTED</t>
        </is>
      </c>
      <c r="X33" s="56" t="inlineStr">
        <is>
          <t>NOT_TESTED</t>
        </is>
      </c>
      <c r="Y33" s="56" t="inlineStr">
        <is>
          <t>NOT_TESTED</t>
        </is>
      </c>
      <c r="Z33" s="56" t="inlineStr">
        <is>
          <t>NOT_TESTED</t>
        </is>
      </c>
      <c r="AA33" s="56" t="inlineStr">
        <is>
          <t>NOT_TESTED</t>
        </is>
      </c>
      <c r="AB33" s="56" t="inlineStr">
        <is>
          <t>NOT_TESTED</t>
        </is>
      </c>
      <c r="AC33" s="55" t="n"/>
      <c r="AD33" s="55" t="n"/>
      <c r="AE33" s="55" t="n"/>
      <c r="AF33" s="55" t="n"/>
      <c r="AG33" s="55" t="n"/>
      <c r="AH33" s="55" t="n"/>
      <c r="AI33" s="55" t="n"/>
      <c r="AJ33" s="55" t="n"/>
      <c r="AK33" s="55" t="n"/>
      <c r="AL33" s="55" t="n"/>
      <c r="AM33" s="55" t="n"/>
      <c r="AN33" s="55" t="n"/>
      <c r="AO33" s="55" t="n"/>
      <c r="AP33" s="55" t="n"/>
      <c r="AQ33" s="55" t="n"/>
      <c r="AR33" s="55" t="n"/>
      <c r="AS33" s="55" t="n"/>
      <c r="AT33" s="55" t="n"/>
      <c r="AU33" s="55" t="n"/>
      <c r="AV33" s="55" t="n"/>
      <c r="AW33" s="55" t="n"/>
      <c r="AX33" s="55" t="n"/>
      <c r="AY33" s="55" t="n"/>
      <c r="AZ33" s="55" t="n"/>
      <c r="BA33" s="55" t="n"/>
      <c r="BB33" s="55" t="n"/>
      <c r="BC33" s="55" t="n"/>
      <c r="BD33" s="55" t="n"/>
      <c r="BE33" s="55" t="n"/>
      <c r="BF33" s="55" t="n"/>
      <c r="BG33" s="55" t="n"/>
      <c r="BH33" s="55" t="n"/>
      <c r="BI33" s="55" t="n"/>
      <c r="BJ33" s="55" t="n"/>
      <c r="BK33" s="55" t="n"/>
      <c r="BL33" s="55" t="n"/>
      <c r="BM33" s="55" t="n"/>
      <c r="BN33" s="55" t="n"/>
      <c r="BO33" s="55" t="n"/>
      <c r="BP33" s="55" t="n"/>
      <c r="BQ33" s="55" t="n"/>
      <c r="BR33" s="55" t="n"/>
      <c r="BS33" s="55" t="n"/>
      <c r="BT33" s="55" t="n"/>
      <c r="BU33" s="55" t="n"/>
      <c r="BV33" s="55" t="n"/>
      <c r="BW33" s="55" t="n"/>
      <c r="BX33" s="55" t="n"/>
      <c r="BY33" s="55" t="n"/>
      <c r="BZ33" s="55" t="n"/>
      <c r="CA33" s="55" t="n"/>
      <c r="CB33" s="55" t="n"/>
      <c r="CC33" s="55" t="n"/>
      <c r="CD33" s="55" t="n"/>
      <c r="CE33" s="55" t="n"/>
      <c r="CF33" s="55" t="n"/>
      <c r="CG33" s="55" t="n"/>
      <c r="CH33" s="55" t="n"/>
      <c r="CI33" s="55" t="n"/>
      <c r="CJ33" s="55" t="n"/>
      <c r="CK33" s="55" t="n"/>
      <c r="CL33" s="55" t="n"/>
      <c r="CM33" s="55" t="n"/>
      <c r="CN33" s="55" t="n"/>
      <c r="CO33" s="55" t="n"/>
      <c r="CP33" s="55" t="n"/>
      <c r="CQ33" s="55" t="n"/>
      <c r="CR33" s="55" t="n"/>
      <c r="CS33" s="55" t="n"/>
      <c r="CT33" s="55" t="n"/>
      <c r="CU33" s="55" t="n"/>
      <c r="CV33" s="55" t="n"/>
      <c r="CW33" s="55" t="n"/>
      <c r="CX33" s="55" t="n"/>
      <c r="CY33" s="55" t="n"/>
      <c r="CZ33" s="55" t="n"/>
      <c r="DA33" s="55" t="n"/>
      <c r="DB33" s="55" t="n"/>
      <c r="DC33" s="55" t="n"/>
      <c r="DD33" s="55" t="n"/>
      <c r="DE33" s="55" t="n"/>
    </row>
    <row r="34">
      <c r="A34" s="55" t="inlineStr">
        <is>
          <t>issue_565</t>
        </is>
      </c>
      <c r="B34" s="57" t="inlineStr">
        <is>
          <t>ERROR</t>
        </is>
      </c>
      <c r="C34" s="57" t="inlineStr">
        <is>
          <t>ERROR</t>
        </is>
      </c>
      <c r="D34" s="57" t="inlineStr">
        <is>
          <t>ERROR</t>
        </is>
      </c>
      <c r="E34" s="57" t="inlineStr">
        <is>
          <t>ERROR</t>
        </is>
      </c>
      <c r="F34" s="56" t="inlineStr">
        <is>
          <t>NOT_TESTED</t>
        </is>
      </c>
      <c r="G34" s="56" t="inlineStr">
        <is>
          <t>NOT_TESTED</t>
        </is>
      </c>
      <c r="H34" s="56" t="inlineStr">
        <is>
          <t>NOT_TESTED</t>
        </is>
      </c>
      <c r="I34" s="56" t="inlineStr">
        <is>
          <t>NOT_TESTED</t>
        </is>
      </c>
      <c r="J34" s="56" t="inlineStr">
        <is>
          <t>NOT_TESTED</t>
        </is>
      </c>
      <c r="K34" s="56" t="inlineStr">
        <is>
          <t>NOT_TESTED</t>
        </is>
      </c>
      <c r="L34" s="56" t="inlineStr">
        <is>
          <t>NOT_TESTED</t>
        </is>
      </c>
      <c r="M34" s="56" t="inlineStr">
        <is>
          <t>NOT_TESTED</t>
        </is>
      </c>
      <c r="N34" s="56" t="inlineStr">
        <is>
          <t>NOT_TESTED</t>
        </is>
      </c>
      <c r="O34" s="56" t="inlineStr">
        <is>
          <t>NOT_TESTED</t>
        </is>
      </c>
      <c r="P34" s="56" t="inlineStr">
        <is>
          <t>NOT_TESTED</t>
        </is>
      </c>
      <c r="Q34" s="56" t="inlineStr">
        <is>
          <t>NOT_TESTED</t>
        </is>
      </c>
      <c r="R34" s="56" t="inlineStr">
        <is>
          <t>NOT_TESTED</t>
        </is>
      </c>
      <c r="S34" s="56" t="inlineStr">
        <is>
          <t>NOT_TESTED</t>
        </is>
      </c>
      <c r="T34" s="56" t="inlineStr">
        <is>
          <t>NOT_TESTED</t>
        </is>
      </c>
      <c r="U34" s="56" t="inlineStr">
        <is>
          <t>NOT_TESTED</t>
        </is>
      </c>
      <c r="V34" s="56" t="inlineStr">
        <is>
          <t>NOT_TESTED</t>
        </is>
      </c>
      <c r="W34" s="56" t="inlineStr">
        <is>
          <t>NOT_TESTED</t>
        </is>
      </c>
      <c r="X34" s="56" t="inlineStr">
        <is>
          <t>NOT_TESTED</t>
        </is>
      </c>
      <c r="Y34" s="56" t="inlineStr">
        <is>
          <t>NOT_TESTED</t>
        </is>
      </c>
      <c r="Z34" s="56" t="inlineStr">
        <is>
          <t>NOT_TESTED</t>
        </is>
      </c>
      <c r="AA34" s="56" t="inlineStr">
        <is>
          <t>NOT_TESTED</t>
        </is>
      </c>
      <c r="AB34" s="56" t="inlineStr">
        <is>
          <t>NOT_TESTED</t>
        </is>
      </c>
      <c r="AC34" s="55" t="inlineStr">
        <is>
          <t>ValueError</t>
        </is>
      </c>
      <c r="AD34" s="55" t="inlineStr">
        <is>
          <t>ValueError: Operators can only be scalar multiplied by float or complex, not SummedOp([ IIIXIIIII, IIIYIIIII ]) of type &lt;class 'qiskit.aqua.operators.list_ops.summed_op.SummedOp'&gt;.</t>
        </is>
      </c>
      <c r="AE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F34" s="55" t="inlineStr">
        <is>
          <t>ValueError</t>
        </is>
      </c>
      <c r="AG34" s="55" t="inlineStr">
        <is>
          <t>ValueError: Operators can only be scalar multiplied by float or complex, not SummedOp([ IIIXIIIII, IIIYIIIII ]) of type &lt;class 'qiskit.aqua.operators.list_ops.summed_op.SummedOp'&gt;.</t>
        </is>
      </c>
      <c r="AH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I34" s="55" t="inlineStr">
        <is>
          <t>ValueError</t>
        </is>
      </c>
      <c r="AJ34" s="55" t="inlineStr">
        <is>
          <t>ValueError: Operators can only be scalar multiplied by float or complex, not SummedOp([ IIIXIIIII, IIIYIIIII ]) of type &lt;class 'qiskit.aqua.operators.list_ops.summed_op.SummedOp'&gt;.</t>
        </is>
      </c>
      <c r="AK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L34" s="55" t="inlineStr">
        <is>
          <t>ValueError</t>
        </is>
      </c>
      <c r="AM34" s="55" t="inlineStr">
        <is>
          <t>ValueError: Operators can only be scalar multiplied by float or complex, not SummedOp([ IIIXIIIII, IIIYIIIII ]) of type &lt;class 'qiskit.aqua.operators.list_ops.summed_op.SummedOp'&gt;.</t>
        </is>
      </c>
      <c r="AN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O34" s="55" t="n"/>
      <c r="AP34" s="55" t="n"/>
      <c r="AQ34" s="55" t="n"/>
      <c r="AR34" s="55" t="n"/>
      <c r="AS34" s="55" t="n"/>
      <c r="AT34" s="55" t="n"/>
      <c r="AU34" s="55" t="n"/>
      <c r="AV34" s="55" t="n"/>
      <c r="AW34" s="55" t="n"/>
      <c r="AX34" s="55" t="n"/>
      <c r="AY34" s="55" t="n"/>
      <c r="AZ34" s="55" t="n"/>
      <c r="BA34" s="55" t="n"/>
      <c r="BB34" s="55" t="n"/>
      <c r="BC34" s="55" t="n"/>
      <c r="BD34" s="55" t="n"/>
      <c r="BE34" s="55" t="n"/>
      <c r="BF34" s="55" t="n"/>
      <c r="BG34" s="55" t="n"/>
      <c r="BH34" s="55" t="n"/>
      <c r="BI34" s="55" t="n"/>
      <c r="BJ34" s="55" t="n"/>
      <c r="BK34" s="55" t="n"/>
      <c r="BL34" s="55" t="n"/>
      <c r="BM34" s="55" t="n"/>
      <c r="BN34" s="55" t="n"/>
      <c r="BO34" s="55" t="n"/>
      <c r="BP34" s="55" t="n"/>
      <c r="BQ34" s="55" t="n"/>
      <c r="BR34" s="55" t="n"/>
      <c r="BS34" s="55" t="n"/>
      <c r="BT34" s="55" t="n"/>
      <c r="BU34" s="55" t="n"/>
      <c r="BV34" s="55" t="n"/>
      <c r="BW34" s="55" t="n"/>
      <c r="BX34" s="55" t="n"/>
      <c r="BY34" s="55" t="n"/>
      <c r="BZ34" s="55" t="n"/>
      <c r="CA34" s="55" t="n"/>
      <c r="CB34" s="55" t="n"/>
      <c r="CC34" s="55" t="n"/>
      <c r="CD34" s="55" t="n"/>
      <c r="CE34" s="55" t="n"/>
      <c r="CF34" s="55" t="n"/>
      <c r="CG34" s="55" t="n"/>
      <c r="CH34" s="55" t="n"/>
      <c r="CI34" s="55" t="n"/>
      <c r="CJ34" s="55" t="n"/>
      <c r="CK34" s="55" t="n"/>
      <c r="CL34" s="55" t="n"/>
      <c r="CM34" s="55" t="n"/>
      <c r="CN34" s="55" t="n"/>
      <c r="CO34" s="55" t="n"/>
      <c r="CP34" s="55" t="n"/>
      <c r="CQ34" s="55" t="n"/>
      <c r="CR34" s="55" t="n"/>
      <c r="CS34" s="55" t="n"/>
      <c r="CT34" s="55" t="n"/>
      <c r="CU34" s="55" t="n"/>
      <c r="CV34" s="55" t="n"/>
      <c r="CW34" s="55" t="n"/>
      <c r="CX34" s="55" t="n"/>
      <c r="CY34" s="55" t="n"/>
      <c r="CZ34" s="55" t="n"/>
      <c r="DA34" s="55" t="n"/>
      <c r="DB34" s="55" t="n"/>
      <c r="DC34" s="55" t="n"/>
      <c r="DD34" s="55" t="n"/>
      <c r="DE34" s="55" t="n"/>
    </row>
    <row r="35">
      <c r="A35" s="55" t="inlineStr">
        <is>
          <t>issue_595</t>
        </is>
      </c>
      <c r="B35" s="56" t="inlineStr">
        <is>
          <t>NOT_TESTED</t>
        </is>
      </c>
      <c r="C35" s="56" t="inlineStr">
        <is>
          <t>NOT_TESTED</t>
        </is>
      </c>
      <c r="D35" s="56" t="inlineStr">
        <is>
          <t>NOT_TESTED</t>
        </is>
      </c>
      <c r="E35" s="56" t="inlineStr">
        <is>
          <t>NOT_TESTED</t>
        </is>
      </c>
      <c r="F35" s="59" t="inlineStr">
        <is>
          <t>PASS</t>
        </is>
      </c>
      <c r="G35" s="59" t="inlineStr">
        <is>
          <t>PASS</t>
        </is>
      </c>
      <c r="H35" s="59" t="inlineStr">
        <is>
          <t>PASS</t>
        </is>
      </c>
      <c r="I35" s="59" t="inlineStr">
        <is>
          <t>PASS</t>
        </is>
      </c>
      <c r="J35" s="59" t="inlineStr">
        <is>
          <t>PASS</t>
        </is>
      </c>
      <c r="K35" s="59" t="inlineStr">
        <is>
          <t>PASS</t>
        </is>
      </c>
      <c r="L35" s="59" t="inlineStr">
        <is>
          <t>PASS</t>
        </is>
      </c>
      <c r="M35" s="59" t="inlineStr">
        <is>
          <t>PASS</t>
        </is>
      </c>
      <c r="N35" s="59" t="inlineStr">
        <is>
          <t>PASS</t>
        </is>
      </c>
      <c r="O35" s="59" t="inlineStr">
        <is>
          <t>PASS</t>
        </is>
      </c>
      <c r="P35" s="59" t="inlineStr">
        <is>
          <t>PASS</t>
        </is>
      </c>
      <c r="Q35" s="59" t="inlineStr">
        <is>
          <t>PASS</t>
        </is>
      </c>
      <c r="R35" s="59" t="inlineStr">
        <is>
          <t>PASS</t>
        </is>
      </c>
      <c r="S35" s="59" t="inlineStr">
        <is>
          <t>PASS</t>
        </is>
      </c>
      <c r="T35" s="59" t="inlineStr">
        <is>
          <t>PASS</t>
        </is>
      </c>
      <c r="U35" s="59" t="inlineStr">
        <is>
          <t>PASS</t>
        </is>
      </c>
      <c r="V35" s="59" t="inlineStr">
        <is>
          <t>PASS</t>
        </is>
      </c>
      <c r="W35" s="59" t="inlineStr">
        <is>
          <t>PASS</t>
        </is>
      </c>
      <c r="X35" s="59" t="inlineStr">
        <is>
          <t>PASS</t>
        </is>
      </c>
      <c r="Y35" s="59" t="inlineStr">
        <is>
          <t>PASS</t>
        </is>
      </c>
      <c r="Z35" s="59" t="inlineStr">
        <is>
          <t>PASS</t>
        </is>
      </c>
      <c r="AA35" s="59" t="inlineStr">
        <is>
          <t>PASS</t>
        </is>
      </c>
      <c r="AB35" s="59" t="inlineStr">
        <is>
          <t>PASS</t>
        </is>
      </c>
      <c r="AC35" s="55" t="n"/>
      <c r="AD35" s="55" t="n"/>
      <c r="AE35" s="55" t="n"/>
      <c r="AF35" s="55" t="n"/>
      <c r="AG35" s="55" t="n"/>
      <c r="AH35" s="55" t="n"/>
      <c r="AI35" s="55" t="n"/>
      <c r="AJ35" s="55" t="n"/>
      <c r="AK35" s="55" t="n"/>
      <c r="AL35" s="55" t="n"/>
      <c r="AM35" s="55" t="n"/>
      <c r="AN35" s="55" t="n"/>
      <c r="AO35" s="55" t="n"/>
      <c r="AP35" s="55" t="n"/>
      <c r="AQ35" s="55" t="n"/>
      <c r="AR35" s="55" t="n"/>
      <c r="AS35" s="55" t="n"/>
      <c r="AT35" s="55" t="n"/>
      <c r="AU35" s="55" t="n"/>
      <c r="AV35" s="55" t="n"/>
      <c r="AW35" s="55" t="n"/>
      <c r="AX35" s="55" t="n"/>
      <c r="AY35" s="55" t="n"/>
      <c r="AZ35" s="55" t="n"/>
      <c r="BA35" s="55" t="n"/>
      <c r="BB35" s="55" t="n"/>
      <c r="BC35" s="55" t="n"/>
      <c r="BD35" s="55" t="n"/>
      <c r="BE35" s="55" t="n"/>
      <c r="BF35" s="55" t="n"/>
      <c r="BG35" s="55" t="n"/>
      <c r="BH35" s="55" t="n"/>
      <c r="BI35" s="55" t="n"/>
      <c r="BJ35" s="55" t="n"/>
      <c r="BK35" s="55" t="n"/>
      <c r="BL35" s="55" t="n"/>
      <c r="BM35" s="55" t="n"/>
      <c r="BN35" s="55" t="n"/>
      <c r="BO35" s="55" t="n"/>
      <c r="BP35" s="55" t="n"/>
      <c r="BQ35" s="55" t="n"/>
      <c r="BR35" s="55" t="n"/>
      <c r="BS35" s="55" t="n"/>
      <c r="BT35" s="55" t="n"/>
      <c r="BU35" s="55" t="n"/>
      <c r="BV35" s="55" t="n"/>
      <c r="BW35" s="55" t="n"/>
      <c r="BX35" s="55" t="n"/>
      <c r="BY35" s="55" t="n"/>
      <c r="BZ35" s="55" t="n"/>
      <c r="CA35" s="55" t="n"/>
      <c r="CB35" s="55" t="n"/>
      <c r="CC35" s="55" t="n"/>
      <c r="CD35" s="55" t="n"/>
      <c r="CE35" s="55" t="n"/>
      <c r="CF35" s="55" t="n"/>
      <c r="CG35" s="55" t="n"/>
      <c r="CH35" s="55" t="n"/>
      <c r="CI35" s="55" t="n"/>
      <c r="CJ35" s="55" t="n"/>
      <c r="CK35" s="55" t="n"/>
      <c r="CL35" s="55" t="n"/>
      <c r="CM35" s="55" t="n"/>
      <c r="CN35" s="55" t="n"/>
      <c r="CO35" s="55" t="n"/>
      <c r="CP35" s="55" t="n"/>
      <c r="CQ35" s="55" t="n"/>
      <c r="CR35" s="55" t="n"/>
      <c r="CS35" s="55" t="n"/>
      <c r="CT35" s="55" t="n"/>
      <c r="CU35" s="55" t="n"/>
      <c r="CV35" s="55" t="n"/>
      <c r="CW35" s="55" t="n"/>
      <c r="CX35" s="55" t="n"/>
      <c r="CY35" s="55" t="n"/>
      <c r="CZ35" s="55" t="n"/>
      <c r="DA35" s="55" t="n"/>
      <c r="DB35" s="55" t="n"/>
      <c r="DC35" s="55" t="n"/>
      <c r="DD35" s="55" t="n"/>
      <c r="DE35" s="55" t="n"/>
    </row>
    <row r="36">
      <c r="A36" s="55" t="inlineStr">
        <is>
          <t>issue_596</t>
        </is>
      </c>
      <c r="B36" s="59" t="inlineStr">
        <is>
          <t>PASS</t>
        </is>
      </c>
      <c r="C36" s="59" t="inlineStr">
        <is>
          <t>PASS</t>
        </is>
      </c>
      <c r="D36" s="59" t="inlineStr">
        <is>
          <t>PASS</t>
        </is>
      </c>
      <c r="E36" s="59" t="inlineStr">
        <is>
          <t>PASS</t>
        </is>
      </c>
      <c r="F36" s="59" t="inlineStr">
        <is>
          <t>PASS</t>
        </is>
      </c>
      <c r="G36" s="59" t="inlineStr">
        <is>
          <t>PASS</t>
        </is>
      </c>
      <c r="H36" s="59" t="inlineStr">
        <is>
          <t>PASS</t>
        </is>
      </c>
      <c r="I36" s="59" t="inlineStr">
        <is>
          <t>PASS</t>
        </is>
      </c>
      <c r="J36" s="59" t="inlineStr">
        <is>
          <t>PASS</t>
        </is>
      </c>
      <c r="K36" s="59" t="inlineStr">
        <is>
          <t>PASS</t>
        </is>
      </c>
      <c r="L36" s="59" t="inlineStr">
        <is>
          <t>PASS</t>
        </is>
      </c>
      <c r="M36" s="59" t="inlineStr">
        <is>
          <t>PASS</t>
        </is>
      </c>
      <c r="N36" s="56" t="inlineStr">
        <is>
          <t>NOT_TESTED</t>
        </is>
      </c>
      <c r="O36" s="56" t="inlineStr">
        <is>
          <t>NOT_TESTED</t>
        </is>
      </c>
      <c r="P36" s="56" t="inlineStr">
        <is>
          <t>NOT_TESTED</t>
        </is>
      </c>
      <c r="Q36" s="56" t="inlineStr">
        <is>
          <t>NOT_TESTED</t>
        </is>
      </c>
      <c r="R36" s="56" t="inlineStr">
        <is>
          <t>NOT_TESTED</t>
        </is>
      </c>
      <c r="S36" s="56" t="inlineStr">
        <is>
          <t>NOT_TESTED</t>
        </is>
      </c>
      <c r="T36" s="56" t="inlineStr">
        <is>
          <t>NOT_TESTED</t>
        </is>
      </c>
      <c r="U36" s="56" t="inlineStr">
        <is>
          <t>NOT_TESTED</t>
        </is>
      </c>
      <c r="V36" s="56" t="inlineStr">
        <is>
          <t>NOT_TESTED</t>
        </is>
      </c>
      <c r="W36" s="56" t="inlineStr">
        <is>
          <t>NOT_TESTED</t>
        </is>
      </c>
      <c r="X36" s="56" t="inlineStr">
        <is>
          <t>NOT_TESTED</t>
        </is>
      </c>
      <c r="Y36" s="56" t="inlineStr">
        <is>
          <t>NOT_TESTED</t>
        </is>
      </c>
      <c r="Z36" s="56" t="inlineStr">
        <is>
          <t>NOT_TESTED</t>
        </is>
      </c>
      <c r="AA36" s="56" t="inlineStr">
        <is>
          <t>NOT_TESTED</t>
        </is>
      </c>
      <c r="AB36" s="56" t="inlineStr">
        <is>
          <t>NOT_TESTED</t>
        </is>
      </c>
      <c r="AC36" s="55" t="n"/>
      <c r="AD36" s="55" t="n"/>
      <c r="AE36" s="55" t="n"/>
      <c r="AF36" s="55" t="n"/>
      <c r="AG36" s="55" t="n"/>
      <c r="AH36" s="55" t="n"/>
      <c r="AI36" s="55" t="n"/>
      <c r="AJ36" s="55" t="n"/>
      <c r="AK36" s="55" t="n"/>
      <c r="AL36" s="55" t="n"/>
      <c r="AM36" s="55" t="n"/>
      <c r="AN36" s="55" t="n"/>
      <c r="AO36" s="55" t="n"/>
      <c r="AP36" s="55" t="n"/>
      <c r="AQ36" s="55" t="n"/>
      <c r="AR36" s="55" t="n"/>
      <c r="AS36" s="55" t="n"/>
      <c r="AT36" s="55" t="n"/>
      <c r="AU36" s="55" t="n"/>
      <c r="AV36" s="55" t="n"/>
      <c r="AW36" s="55" t="n"/>
      <c r="AX36" s="55" t="n"/>
      <c r="AY36" s="55" t="n"/>
      <c r="AZ36" s="55" t="n"/>
      <c r="BA36" s="55" t="n"/>
      <c r="BB36" s="55" t="n"/>
      <c r="BC36" s="55" t="n"/>
      <c r="BD36" s="55" t="n"/>
      <c r="BE36" s="55" t="n"/>
      <c r="BF36" s="55" t="n"/>
      <c r="BG36" s="55" t="n"/>
      <c r="BH36" s="55" t="n"/>
      <c r="BI36" s="55" t="n"/>
      <c r="BJ36" s="55" t="n"/>
      <c r="BK36" s="55" t="n"/>
      <c r="BL36" s="55" t="n"/>
      <c r="BM36" s="55" t="n"/>
      <c r="BN36" s="55" t="n"/>
      <c r="BO36" s="55" t="n"/>
      <c r="BP36" s="55" t="n"/>
      <c r="BQ36" s="55" t="n"/>
      <c r="BR36" s="55" t="n"/>
      <c r="BS36" s="55" t="n"/>
      <c r="BT36" s="55" t="n"/>
      <c r="BU36" s="55" t="n"/>
      <c r="BV36" s="55" t="n"/>
      <c r="BW36" s="55" t="n"/>
      <c r="BX36" s="55" t="n"/>
      <c r="BY36" s="55" t="n"/>
      <c r="BZ36" s="55" t="n"/>
      <c r="CA36" s="55" t="n"/>
      <c r="CB36" s="55" t="n"/>
      <c r="CC36" s="55" t="n"/>
      <c r="CD36" s="55" t="n"/>
      <c r="CE36" s="55" t="n"/>
      <c r="CF36" s="55" t="n"/>
      <c r="CG36" s="55" t="n"/>
      <c r="CH36" s="55" t="n"/>
      <c r="CI36" s="55" t="n"/>
      <c r="CJ36" s="55" t="n"/>
      <c r="CK36" s="55" t="n"/>
      <c r="CL36" s="55" t="n"/>
      <c r="CM36" s="55" t="n"/>
      <c r="CN36" s="55" t="n"/>
      <c r="CO36" s="55" t="n"/>
      <c r="CP36" s="55" t="n"/>
      <c r="CQ36" s="55" t="n"/>
      <c r="CR36" s="55" t="n"/>
      <c r="CS36" s="55" t="n"/>
      <c r="CT36" s="55" t="n"/>
      <c r="CU36" s="55" t="n"/>
      <c r="CV36" s="55" t="n"/>
      <c r="CW36" s="55" t="n"/>
      <c r="CX36" s="55" t="n"/>
      <c r="CY36" s="55" t="n"/>
      <c r="CZ36" s="55" t="n"/>
      <c r="DA36" s="55" t="n"/>
      <c r="DB36" s="55" t="n"/>
      <c r="DC36" s="55" t="n"/>
      <c r="DD36" s="55" t="n"/>
      <c r="DE36" s="55" t="n"/>
    </row>
    <row r="37">
      <c r="A37" s="55" t="inlineStr">
        <is>
          <t>issue_600</t>
        </is>
      </c>
      <c r="B37" s="57" t="inlineStr">
        <is>
          <t>ERROR</t>
        </is>
      </c>
      <c r="C37" s="57" t="inlineStr">
        <is>
          <t>ERROR</t>
        </is>
      </c>
      <c r="D37" s="57" t="inlineStr">
        <is>
          <t>ERROR</t>
        </is>
      </c>
      <c r="E37" s="57" t="inlineStr">
        <is>
          <t>ERROR</t>
        </is>
      </c>
      <c r="F37" s="59" t="inlineStr">
        <is>
          <t>PASS</t>
        </is>
      </c>
      <c r="G37" s="59" t="inlineStr">
        <is>
          <t>PASS</t>
        </is>
      </c>
      <c r="H37" s="59" t="inlineStr">
        <is>
          <t>PASS</t>
        </is>
      </c>
      <c r="I37" s="59" t="inlineStr">
        <is>
          <t>PASS</t>
        </is>
      </c>
      <c r="J37" s="59" t="inlineStr">
        <is>
          <t>PASS</t>
        </is>
      </c>
      <c r="K37" s="59" t="inlineStr">
        <is>
          <t>PASS</t>
        </is>
      </c>
      <c r="L37" s="59" t="inlineStr">
        <is>
          <t>PASS</t>
        </is>
      </c>
      <c r="M37" s="59" t="inlineStr">
        <is>
          <t>PASS</t>
        </is>
      </c>
      <c r="N37" s="56" t="inlineStr">
        <is>
          <t>NOT_TESTED</t>
        </is>
      </c>
      <c r="O37" s="56" t="inlineStr">
        <is>
          <t>NOT_TESTED</t>
        </is>
      </c>
      <c r="P37" s="56" t="inlineStr">
        <is>
          <t>NOT_TESTED</t>
        </is>
      </c>
      <c r="Q37" s="56" t="inlineStr">
        <is>
          <t>NOT_TESTED</t>
        </is>
      </c>
      <c r="R37" s="56" t="inlineStr">
        <is>
          <t>NOT_TESTED</t>
        </is>
      </c>
      <c r="S37" s="56" t="inlineStr">
        <is>
          <t>NOT_TESTED</t>
        </is>
      </c>
      <c r="T37" s="56" t="inlineStr">
        <is>
          <t>NOT_TESTED</t>
        </is>
      </c>
      <c r="U37" s="56" t="inlineStr">
        <is>
          <t>NOT_TESTED</t>
        </is>
      </c>
      <c r="V37" s="56" t="inlineStr">
        <is>
          <t>NOT_TESTED</t>
        </is>
      </c>
      <c r="W37" s="56" t="inlineStr">
        <is>
          <t>NOT_TESTED</t>
        </is>
      </c>
      <c r="X37" s="56" t="inlineStr">
        <is>
          <t>NOT_TESTED</t>
        </is>
      </c>
      <c r="Y37" s="56" t="inlineStr">
        <is>
          <t>NOT_TESTED</t>
        </is>
      </c>
      <c r="Z37" s="56" t="inlineStr">
        <is>
          <t>NOT_TESTED</t>
        </is>
      </c>
      <c r="AA37" s="56" t="inlineStr">
        <is>
          <t>NOT_TESTED</t>
        </is>
      </c>
      <c r="AB37" s="56" t="inlineStr">
        <is>
          <t>NOT_TESTED</t>
        </is>
      </c>
      <c r="AC37" s="55" t="inlineStr">
        <is>
          <t>ImportError</t>
        </is>
      </c>
      <c r="AD37" s="55" t="inlineStr">
        <is>
          <t>ImportError: cannot import name 'PauliGate' from 'qiskit.circuit.library' (C:\qiskit_envs\q0250\lib\site-packages\qiskit\circuit\library\__init__.py)</t>
        </is>
      </c>
      <c r="AE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F37" s="55" t="inlineStr">
        <is>
          <t>ImportError</t>
        </is>
      </c>
      <c r="AG37" s="55" t="inlineStr">
        <is>
          <t>ImportError: cannot import name 'PauliGate' from 'qiskit.circuit.library' (C:\qiskit_envs\q0251\lib\site-packages\qiskit\circuit\library\__init__.py)</t>
        </is>
      </c>
      <c r="AH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I37" s="55" t="inlineStr">
        <is>
          <t>ImportError</t>
        </is>
      </c>
      <c r="AJ37" s="55" t="inlineStr">
        <is>
          <t>ImportError: cannot import name 'PauliGate' from 'qiskit.circuit.library' (C:\qiskit_envs\q0252\lib\site-packages\qiskit\circuit\library\__init__.py)</t>
        </is>
      </c>
      <c r="AK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L37" s="55" t="inlineStr">
        <is>
          <t>ImportError</t>
        </is>
      </c>
      <c r="AM37" s="55" t="inlineStr">
        <is>
          <t>ImportError: cannot import name 'PauliGate' from 'qiskit.circuit.library' (C:\qiskit_envs\q0253\lib\site-packages\qiskit\circuit\library\__init__.py)</t>
        </is>
      </c>
      <c r="AN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O37" s="55" t="n"/>
      <c r="AP37" s="55" t="n"/>
      <c r="AQ37" s="55" t="n"/>
      <c r="AR37" s="55" t="n"/>
      <c r="AS37" s="55" t="n"/>
      <c r="AT37" s="55" t="n"/>
      <c r="AU37" s="55" t="n"/>
      <c r="AV37" s="55" t="n"/>
      <c r="AW37" s="55" t="n"/>
      <c r="AX37" s="55" t="n"/>
      <c r="AY37" s="55" t="n"/>
      <c r="AZ37" s="55" t="n"/>
      <c r="BA37" s="55" t="n"/>
      <c r="BB37" s="55" t="n"/>
      <c r="BC37" s="55" t="n"/>
      <c r="BD37" s="55" t="n"/>
      <c r="BE37" s="55" t="n"/>
      <c r="BF37" s="55" t="n"/>
      <c r="BG37" s="55" t="n"/>
      <c r="BH37" s="55" t="n"/>
      <c r="BI37" s="55" t="n"/>
      <c r="BJ37" s="55" t="n"/>
      <c r="BK37" s="55" t="n"/>
      <c r="BL37" s="55" t="n"/>
      <c r="BM37" s="55" t="n"/>
      <c r="BN37" s="55" t="n"/>
      <c r="BO37" s="55" t="n"/>
      <c r="BP37" s="55" t="n"/>
      <c r="BQ37" s="55" t="n"/>
      <c r="BR37" s="55" t="n"/>
      <c r="BS37" s="55" t="n"/>
      <c r="BT37" s="55" t="n"/>
      <c r="BU37" s="55" t="n"/>
      <c r="BV37" s="55" t="n"/>
      <c r="BW37" s="55" t="n"/>
      <c r="BX37" s="55" t="n"/>
      <c r="BY37" s="55" t="n"/>
      <c r="BZ37" s="55" t="n"/>
      <c r="CA37" s="55" t="n"/>
      <c r="CB37" s="55" t="n"/>
      <c r="CC37" s="55" t="n"/>
      <c r="CD37" s="55" t="n"/>
      <c r="CE37" s="55" t="n"/>
      <c r="CF37" s="55" t="n"/>
      <c r="CG37" s="55" t="n"/>
      <c r="CH37" s="55" t="n"/>
      <c r="CI37" s="55" t="n"/>
      <c r="CJ37" s="55" t="n"/>
      <c r="CK37" s="55" t="n"/>
      <c r="CL37" s="55" t="n"/>
      <c r="CM37" s="55" t="n"/>
      <c r="CN37" s="55" t="n"/>
      <c r="CO37" s="55" t="n"/>
      <c r="CP37" s="55" t="n"/>
      <c r="CQ37" s="55" t="n"/>
      <c r="CR37" s="55" t="n"/>
      <c r="CS37" s="55" t="n"/>
      <c r="CT37" s="55" t="n"/>
      <c r="CU37" s="55" t="n"/>
      <c r="CV37" s="55" t="n"/>
      <c r="CW37" s="55" t="n"/>
      <c r="CX37" s="55" t="n"/>
      <c r="CY37" s="55" t="n"/>
      <c r="CZ37" s="55" t="n"/>
      <c r="DA37" s="55" t="n"/>
      <c r="DB37" s="55" t="n"/>
      <c r="DC37" s="55" t="n"/>
      <c r="DD37" s="55" t="n"/>
      <c r="DE37" s="55" t="n"/>
    </row>
    <row r="38">
      <c r="A38" s="55" t="inlineStr">
        <is>
          <t>issue_622</t>
        </is>
      </c>
      <c r="B38" s="58" t="inlineStr">
        <is>
          <t>FAIL</t>
        </is>
      </c>
      <c r="C38" s="58" t="inlineStr">
        <is>
          <t>FAIL</t>
        </is>
      </c>
      <c r="D38" s="58" t="inlineStr">
        <is>
          <t>FAIL</t>
        </is>
      </c>
      <c r="E38" s="58" t="inlineStr">
        <is>
          <t>FAIL</t>
        </is>
      </c>
      <c r="F38" s="58" t="inlineStr">
        <is>
          <t>FAIL</t>
        </is>
      </c>
      <c r="G38" s="58" t="inlineStr">
        <is>
          <t>FAIL</t>
        </is>
      </c>
      <c r="H38" s="58" t="inlineStr">
        <is>
          <t>FAIL</t>
        </is>
      </c>
      <c r="I38" s="58" t="inlineStr">
        <is>
          <t>FAIL</t>
        </is>
      </c>
      <c r="J38" s="58" t="inlineStr">
        <is>
          <t>FAIL</t>
        </is>
      </c>
      <c r="K38" s="58" t="inlineStr">
        <is>
          <t>FAIL</t>
        </is>
      </c>
      <c r="L38" s="58" t="inlineStr">
        <is>
          <t>FAIL</t>
        </is>
      </c>
      <c r="M38" s="58" t="inlineStr">
        <is>
          <t>FAIL</t>
        </is>
      </c>
      <c r="N38" s="56" t="inlineStr">
        <is>
          <t>NOT_TESTED</t>
        </is>
      </c>
      <c r="O38" s="56" t="inlineStr">
        <is>
          <t>NOT_TESTED</t>
        </is>
      </c>
      <c r="P38" s="56" t="inlineStr">
        <is>
          <t>NOT_TESTED</t>
        </is>
      </c>
      <c r="Q38" s="56" t="inlineStr">
        <is>
          <t>NOT_TESTED</t>
        </is>
      </c>
      <c r="R38" s="56" t="inlineStr">
        <is>
          <t>NOT_TESTED</t>
        </is>
      </c>
      <c r="S38" s="56" t="inlineStr">
        <is>
          <t>NOT_TESTED</t>
        </is>
      </c>
      <c r="T38" s="56" t="inlineStr">
        <is>
          <t>NOT_TESTED</t>
        </is>
      </c>
      <c r="U38" s="56" t="inlineStr">
        <is>
          <t>NOT_TESTED</t>
        </is>
      </c>
      <c r="V38" s="56" t="inlineStr">
        <is>
          <t>NOT_TESTED</t>
        </is>
      </c>
      <c r="W38" s="56" t="inlineStr">
        <is>
          <t>NOT_TESTED</t>
        </is>
      </c>
      <c r="X38" s="56" t="inlineStr">
        <is>
          <t>NOT_TESTED</t>
        </is>
      </c>
      <c r="Y38" s="56" t="inlineStr">
        <is>
          <t>NOT_TESTED</t>
        </is>
      </c>
      <c r="Z38" s="56" t="inlineStr">
        <is>
          <t>NOT_TESTED</t>
        </is>
      </c>
      <c r="AA38" s="56" t="inlineStr">
        <is>
          <t>NOT_TESTED</t>
        </is>
      </c>
      <c r="AB38" s="56" t="inlineStr">
        <is>
          <t>NOT_TESTED</t>
        </is>
      </c>
      <c r="AC38" s="55" t="inlineStr">
        <is>
          <t>AssertionError</t>
        </is>
      </c>
      <c r="AD38" s="55" t="inlineStr">
        <is>
          <t>AssertionError: Items in the first set but not the second: '01' '10'</t>
        </is>
      </c>
      <c r="AE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F38" s="55" t="inlineStr">
        <is>
          <t>AssertionError</t>
        </is>
      </c>
      <c r="AG38" s="55" t="inlineStr">
        <is>
          <t>AssertionError: Items in the first set but not the second: '10' '01'</t>
        </is>
      </c>
      <c r="AH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I38" s="55" t="inlineStr">
        <is>
          <t>AssertionError</t>
        </is>
      </c>
      <c r="AJ38" s="55" t="inlineStr">
        <is>
          <t>AssertionError: Items in the first set but not the second: '01' '10'</t>
        </is>
      </c>
      <c r="AK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L38" s="55" t="inlineStr">
        <is>
          <t>AssertionError</t>
        </is>
      </c>
      <c r="AM38" s="55" t="inlineStr">
        <is>
          <t>AssertionError: Items in the first set but not the second: '10' '01'</t>
        </is>
      </c>
      <c r="AN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O38" s="55" t="inlineStr">
        <is>
          <t>AssertionError</t>
        </is>
      </c>
      <c r="AP38" s="55" t="inlineStr">
        <is>
          <t>AssertionError: Items in the first set but not the second: '10' '01'</t>
        </is>
      </c>
      <c r="AQ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R38" s="55" t="inlineStr">
        <is>
          <t>AssertionError</t>
        </is>
      </c>
      <c r="AS38" s="55" t="inlineStr">
        <is>
          <t>AssertionError: Items in the first set but not the second: '10' '01'</t>
        </is>
      </c>
      <c r="AT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U38" s="55" t="inlineStr">
        <is>
          <t>AssertionError</t>
        </is>
      </c>
      <c r="AV38" s="55" t="inlineStr">
        <is>
          <t>AssertionError: Items in the first set but not the second: '01' '10'</t>
        </is>
      </c>
      <c r="AW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X38" s="55" t="inlineStr">
        <is>
          <t>AssertionError</t>
        </is>
      </c>
      <c r="AY38" s="55" t="inlineStr">
        <is>
          <t>AssertionError: Items in the first set but not the second: '01' '10'</t>
        </is>
      </c>
      <c r="AZ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A38" s="55" t="inlineStr">
        <is>
          <t>AssertionError</t>
        </is>
      </c>
      <c r="BB38" s="55" t="inlineStr">
        <is>
          <t>AssertionError: Items in the first set but not the second: '01' '10'</t>
        </is>
      </c>
      <c r="BC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D38" s="55" t="inlineStr">
        <is>
          <t>AssertionError</t>
        </is>
      </c>
      <c r="BE38" s="55" t="inlineStr">
        <is>
          <t>AssertionError: Items in the first set but not the second: '10' '01'</t>
        </is>
      </c>
      <c r="BF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G38" s="55" t="inlineStr">
        <is>
          <t>AssertionError</t>
        </is>
      </c>
      <c r="BH38" s="55" t="inlineStr">
        <is>
          <t>AssertionError: Items in the first set but not the second: '10' '01'</t>
        </is>
      </c>
      <c r="BI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J38" s="55" t="inlineStr">
        <is>
          <t>AssertionError</t>
        </is>
      </c>
      <c r="BK38" s="55" t="inlineStr">
        <is>
          <t>AssertionError: Items in the first set but not the second: '10' '01'</t>
        </is>
      </c>
      <c r="BL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M38" s="55" t="n"/>
      <c r="BN38" s="55" t="n"/>
      <c r="BO38" s="55" t="n"/>
      <c r="BP38" s="55" t="n"/>
      <c r="BQ38" s="55" t="n"/>
      <c r="BR38" s="55" t="n"/>
      <c r="BS38" s="55" t="n"/>
      <c r="BT38" s="55" t="n"/>
      <c r="BU38" s="55" t="n"/>
      <c r="BV38" s="55" t="n"/>
      <c r="BW38" s="55" t="n"/>
      <c r="BX38" s="55" t="n"/>
      <c r="BY38" s="55" t="n"/>
      <c r="BZ38" s="55" t="n"/>
      <c r="CA38" s="55" t="n"/>
      <c r="CB38" s="55" t="n"/>
      <c r="CC38" s="55" t="n"/>
      <c r="CD38" s="55" t="n"/>
      <c r="CE38" s="55" t="n"/>
      <c r="CF38" s="55" t="n"/>
      <c r="CG38" s="55" t="n"/>
      <c r="CH38" s="55" t="n"/>
      <c r="CI38" s="55" t="n"/>
      <c r="CJ38" s="55" t="n"/>
      <c r="CK38" s="55" t="n"/>
      <c r="CL38" s="55" t="n"/>
      <c r="CM38" s="55" t="n"/>
      <c r="CN38" s="55" t="n"/>
      <c r="CO38" s="55" t="n"/>
      <c r="CP38" s="55" t="n"/>
      <c r="CQ38" s="55" t="n"/>
      <c r="CR38" s="55" t="n"/>
      <c r="CS38" s="55" t="n"/>
      <c r="CT38" s="55" t="n"/>
      <c r="CU38" s="55" t="n"/>
      <c r="CV38" s="55" t="n"/>
      <c r="CW38" s="55" t="n"/>
      <c r="CX38" s="55" t="n"/>
      <c r="CY38" s="55" t="n"/>
      <c r="CZ38" s="55" t="n"/>
      <c r="DA38" s="55" t="n"/>
      <c r="DB38" s="55" t="n"/>
      <c r="DC38" s="55" t="n"/>
      <c r="DD38" s="55" t="n"/>
      <c r="DE38" s="55" t="n"/>
    </row>
    <row r="39">
      <c r="A39" s="55" t="inlineStr">
        <is>
          <t>issue_624</t>
        </is>
      </c>
      <c r="B39" s="57" t="inlineStr">
        <is>
          <t>ERROR</t>
        </is>
      </c>
      <c r="C39" s="57" t="inlineStr">
        <is>
          <t>ERROR</t>
        </is>
      </c>
      <c r="D39" s="57" t="inlineStr">
        <is>
          <t>ERROR</t>
        </is>
      </c>
      <c r="E39" s="57" t="inlineStr">
        <is>
          <t>ERROR</t>
        </is>
      </c>
      <c r="F39" s="57" t="inlineStr">
        <is>
          <t>ERROR</t>
        </is>
      </c>
      <c r="G39" s="57" t="inlineStr">
        <is>
          <t>ERROR</t>
        </is>
      </c>
      <c r="H39" s="57" t="inlineStr">
        <is>
          <t>ERROR</t>
        </is>
      </c>
      <c r="I39" s="57" t="inlineStr">
        <is>
          <t>ERROR</t>
        </is>
      </c>
      <c r="J39" s="57" t="inlineStr">
        <is>
          <t>ERROR</t>
        </is>
      </c>
      <c r="K39" s="57" t="inlineStr">
        <is>
          <t>ERROR</t>
        </is>
      </c>
      <c r="L39" s="57" t="inlineStr">
        <is>
          <t>ERROR</t>
        </is>
      </c>
      <c r="M39" s="57" t="inlineStr">
        <is>
          <t>ERROR</t>
        </is>
      </c>
      <c r="N39" s="56" t="inlineStr">
        <is>
          <t>NOT_TESTED</t>
        </is>
      </c>
      <c r="O39" s="56" t="inlineStr">
        <is>
          <t>NOT_TESTED</t>
        </is>
      </c>
      <c r="P39" s="56" t="inlineStr">
        <is>
          <t>NOT_TESTED</t>
        </is>
      </c>
      <c r="Q39" s="56" t="inlineStr">
        <is>
          <t>NOT_TESTED</t>
        </is>
      </c>
      <c r="R39" s="56" t="inlineStr">
        <is>
          <t>NOT_TESTED</t>
        </is>
      </c>
      <c r="S39" s="56" t="inlineStr">
        <is>
          <t>NOT_TESTED</t>
        </is>
      </c>
      <c r="T39" s="56" t="inlineStr">
        <is>
          <t>NOT_TESTED</t>
        </is>
      </c>
      <c r="U39" s="56" t="inlineStr">
        <is>
          <t>NOT_TESTED</t>
        </is>
      </c>
      <c r="V39" s="56" t="inlineStr">
        <is>
          <t>NOT_TESTED</t>
        </is>
      </c>
      <c r="W39" s="56" t="inlineStr">
        <is>
          <t>NOT_TESTED</t>
        </is>
      </c>
      <c r="X39" s="56" t="inlineStr">
        <is>
          <t>NOT_TESTED</t>
        </is>
      </c>
      <c r="Y39" s="56" t="inlineStr">
        <is>
          <t>NOT_TESTED</t>
        </is>
      </c>
      <c r="Z39" s="56" t="inlineStr">
        <is>
          <t>NOT_TESTED</t>
        </is>
      </c>
      <c r="AA39" s="56" t="inlineStr">
        <is>
          <t>NOT_TESTED</t>
        </is>
      </c>
      <c r="AB39" s="56" t="inlineStr">
        <is>
          <t>NOT_TESTED</t>
        </is>
      </c>
      <c r="AC39" s="55" t="inlineStr">
        <is>
          <t>ValueError</t>
        </is>
      </c>
      <c r="AD39" s="55" t="inlineStr">
        <is>
          <t>ValueError: Evolutions of mixed Operators not yet supported.</t>
        </is>
      </c>
      <c r="AE39" s="55" t="inlineStr">
        <is>
          <t>The LLM wrapped the circuit in CircuitOp, which is an OperatorBase with the right matrix, but QAOA cannot build the evolution of a CircuitOp ('Evolutions of mixed Operators not yet supported'). The reference converts it with MatrixOp(Operator(H)).</t>
        </is>
      </c>
      <c r="AF39" s="55" t="inlineStr">
        <is>
          <t>ValueError</t>
        </is>
      </c>
      <c r="AG39" s="55" t="inlineStr">
        <is>
          <t>ValueError: Evolutions of mixed Operators not yet supported.</t>
        </is>
      </c>
      <c r="AH39" s="55" t="inlineStr">
        <is>
          <t>The LLM wrapped the circuit in CircuitOp, which is an OperatorBase with the right matrix, but QAOA cannot build the evolution of a CircuitOp ('Evolutions of mixed Operators not yet supported'). The reference converts it with MatrixOp(Operator(H)).</t>
        </is>
      </c>
      <c r="AI39" s="55" t="inlineStr">
        <is>
          <t>ValueError</t>
        </is>
      </c>
      <c r="AJ39" s="55" t="inlineStr">
        <is>
          <t>ValueError: Evolutions of mixed Operators not yet supported.</t>
        </is>
      </c>
      <c r="AK39" s="55" t="inlineStr">
        <is>
          <t>The LLM wrapped the circuit in CircuitOp, which is an OperatorBase with the right matrix, but QAOA cannot build the evolution of a CircuitOp ('Evolutions of mixed Operators not yet supported'). The reference converts it with MatrixOp(Operator(H)).</t>
        </is>
      </c>
      <c r="AL39" s="55" t="inlineStr">
        <is>
          <t>ValueError</t>
        </is>
      </c>
      <c r="AM39" s="55" t="inlineStr">
        <is>
          <t>ValueError: Evolutions of mixed Operators not yet supported.</t>
        </is>
      </c>
      <c r="AN39" s="55" t="inlineStr">
        <is>
          <t>The LLM wrapped the circuit in CircuitOp, which is an OperatorBase with the right matrix, but QAOA cannot build the evolution of a CircuitOp ('Evolutions of mixed Operators not yet supported'). The reference converts it with MatrixOp(Operator(H)).</t>
        </is>
      </c>
      <c r="AO39" s="55" t="inlineStr">
        <is>
          <t>TypeError</t>
        </is>
      </c>
      <c r="AP39" s="55" t="inlineStr">
        <is>
          <t>TypeError: ParameterExpression with unbound parameters (dict_keys([Parameter(c)])) cannot be cast to a float.</t>
        </is>
      </c>
      <c r="AQ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R39" s="55" t="inlineStr">
        <is>
          <t>TypeError</t>
        </is>
      </c>
      <c r="AS39" s="55" t="inlineStr">
        <is>
          <t>TypeError: ParameterExpression with unbound parameters (dict_keys([Parameter(c)])) cannot be cast to a float.</t>
        </is>
      </c>
      <c r="AT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U39" s="55" t="inlineStr">
        <is>
          <t>TypeError</t>
        </is>
      </c>
      <c r="AV39" s="55" t="inlineStr">
        <is>
          <t>TypeError: ParameterExpression with unbound parameters (dict_keys([Parameter(c)])) cannot be cast to a float.</t>
        </is>
      </c>
      <c r="AW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X39" s="55" t="inlineStr">
        <is>
          <t>TypeError</t>
        </is>
      </c>
      <c r="AY39" s="55" t="inlineStr">
        <is>
          <t>TypeError: ParameterExpression with unbound parameters (dict_keys([Parameter(c)])) cannot be cast to a float.</t>
        </is>
      </c>
      <c r="AZ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A39" s="55" t="inlineStr">
        <is>
          <t>TypeError</t>
        </is>
      </c>
      <c r="BB39" s="55" t="inlineStr">
        <is>
          <t>TypeError: ParameterExpression with unbound parameters (dict_keys([Parameter(c)])) cannot be cast to a float.</t>
        </is>
      </c>
      <c r="BC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D39" s="55" t="inlineStr">
        <is>
          <t>TypeError</t>
        </is>
      </c>
      <c r="BE39" s="55" t="inlineStr">
        <is>
          <t>TypeError: ParameterExpression with unbound parameters (dict_keys([Parameter(c)])) cannot be cast to a float.</t>
        </is>
      </c>
      <c r="BF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G39" s="55" t="inlineStr">
        <is>
          <t>TypeError</t>
        </is>
      </c>
      <c r="BH39" s="55" t="inlineStr">
        <is>
          <t>TypeError: ParameterExpression with unbound parameters (dict_keys([Parameter(c)])) cannot be cast to a float.</t>
        </is>
      </c>
      <c r="BI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J39" s="55" t="inlineStr">
        <is>
          <t>TypeError</t>
        </is>
      </c>
      <c r="BK39" s="55" t="inlineStr">
        <is>
          <t>TypeError: ParameterExpression with unbound parameters (dict_keys([Parameter(c)])) cannot be cast to a float.</t>
        </is>
      </c>
      <c r="BL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M39" s="55" t="n"/>
      <c r="BN39" s="55" t="n"/>
      <c r="BO39" s="55" t="n"/>
      <c r="BP39" s="55" t="n"/>
      <c r="BQ39" s="55" t="n"/>
      <c r="BR39" s="55" t="n"/>
      <c r="BS39" s="55" t="n"/>
      <c r="BT39" s="55" t="n"/>
      <c r="BU39" s="55" t="n"/>
      <c r="BV39" s="55" t="n"/>
      <c r="BW39" s="55" t="n"/>
      <c r="BX39" s="55" t="n"/>
      <c r="BY39" s="55" t="n"/>
      <c r="BZ39" s="55" t="n"/>
      <c r="CA39" s="55" t="n"/>
      <c r="CB39" s="55" t="n"/>
      <c r="CC39" s="55" t="n"/>
      <c r="CD39" s="55" t="n"/>
      <c r="CE39" s="55" t="n"/>
      <c r="CF39" s="55" t="n"/>
      <c r="CG39" s="55" t="n"/>
      <c r="CH39" s="55" t="n"/>
      <c r="CI39" s="55" t="n"/>
      <c r="CJ39" s="55" t="n"/>
      <c r="CK39" s="55" t="n"/>
      <c r="CL39" s="55" t="n"/>
      <c r="CM39" s="55" t="n"/>
      <c r="CN39" s="55" t="n"/>
      <c r="CO39" s="55" t="n"/>
      <c r="CP39" s="55" t="n"/>
      <c r="CQ39" s="55" t="n"/>
      <c r="CR39" s="55" t="n"/>
      <c r="CS39" s="55" t="n"/>
      <c r="CT39" s="55" t="n"/>
      <c r="CU39" s="55" t="n"/>
      <c r="CV39" s="55" t="n"/>
      <c r="CW39" s="55" t="n"/>
      <c r="CX39" s="55" t="n"/>
      <c r="CY39" s="55" t="n"/>
      <c r="CZ39" s="55" t="n"/>
      <c r="DA39" s="55" t="n"/>
      <c r="DB39" s="55" t="n"/>
      <c r="DC39" s="55" t="n"/>
      <c r="DD39" s="55" t="n"/>
      <c r="DE39" s="55" t="n"/>
    </row>
    <row r="40">
      <c r="A40" s="55" t="inlineStr">
        <is>
          <t>issue_635</t>
        </is>
      </c>
      <c r="B40" s="58" t="inlineStr">
        <is>
          <t>FAIL</t>
        </is>
      </c>
      <c r="C40" s="58" t="inlineStr">
        <is>
          <t>FAIL</t>
        </is>
      </c>
      <c r="D40" s="58" t="inlineStr">
        <is>
          <t>FAIL</t>
        </is>
      </c>
      <c r="E40" s="58" t="inlineStr">
        <is>
          <t>FAIL</t>
        </is>
      </c>
      <c r="F40" s="56" t="inlineStr">
        <is>
          <t>NOT_TESTED</t>
        </is>
      </c>
      <c r="G40" s="56" t="inlineStr">
        <is>
          <t>NOT_TESTED</t>
        </is>
      </c>
      <c r="H40" s="56" t="inlineStr">
        <is>
          <t>NOT_TESTED</t>
        </is>
      </c>
      <c r="I40" s="56" t="inlineStr">
        <is>
          <t>NOT_TESTED</t>
        </is>
      </c>
      <c r="J40" s="56" t="inlineStr">
        <is>
          <t>NOT_TESTED</t>
        </is>
      </c>
      <c r="K40" s="56" t="inlineStr">
        <is>
          <t>NOT_TESTED</t>
        </is>
      </c>
      <c r="L40" s="56" t="inlineStr">
        <is>
          <t>NOT_TESTED</t>
        </is>
      </c>
      <c r="M40" s="56" t="inlineStr">
        <is>
          <t>NOT_TESTED</t>
        </is>
      </c>
      <c r="N40" s="56" t="inlineStr">
        <is>
          <t>NOT_TESTED</t>
        </is>
      </c>
      <c r="O40" s="56" t="inlineStr">
        <is>
          <t>NOT_TESTED</t>
        </is>
      </c>
      <c r="P40" s="56" t="inlineStr">
        <is>
          <t>NOT_TESTED</t>
        </is>
      </c>
      <c r="Q40" s="56" t="inlineStr">
        <is>
          <t>NOT_TESTED</t>
        </is>
      </c>
      <c r="R40" s="56" t="inlineStr">
        <is>
          <t>NOT_TESTED</t>
        </is>
      </c>
      <c r="S40" s="56" t="inlineStr">
        <is>
          <t>NOT_TESTED</t>
        </is>
      </c>
      <c r="T40" s="56" t="inlineStr">
        <is>
          <t>NOT_TESTED</t>
        </is>
      </c>
      <c r="U40" s="56" t="inlineStr">
        <is>
          <t>NOT_TESTED</t>
        </is>
      </c>
      <c r="V40" s="56" t="inlineStr">
        <is>
          <t>NOT_TESTED</t>
        </is>
      </c>
      <c r="W40" s="56" t="inlineStr">
        <is>
          <t>NOT_TESTED</t>
        </is>
      </c>
      <c r="X40" s="56" t="inlineStr">
        <is>
          <t>NOT_TESTED</t>
        </is>
      </c>
      <c r="Y40" s="56" t="inlineStr">
        <is>
          <t>NOT_TESTED</t>
        </is>
      </c>
      <c r="Z40" s="56" t="inlineStr">
        <is>
          <t>NOT_TESTED</t>
        </is>
      </c>
      <c r="AA40" s="56" t="inlineStr">
        <is>
          <t>NOT_TESTED</t>
        </is>
      </c>
      <c r="AB40" s="56" t="inlineStr">
        <is>
          <t>NOT_TESTED</t>
        </is>
      </c>
      <c r="AC40" s="55" t="inlineStr">
        <is>
          <t>AssertionError</t>
        </is>
      </c>
      <c r="AD40" s="55" t="inlineStr">
        <is>
          <t>AssertionError: Items in the first set but not the second: 0 Items in the second set but not the first: 1 : Conditional AND failed for basis 001</t>
        </is>
      </c>
      <c r="AE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F40" s="55" t="inlineStr">
        <is>
          <t>AssertionError</t>
        </is>
      </c>
      <c r="AG40" s="55" t="inlineStr">
        <is>
          <t>AssertionError: Items in the first set but not the second: 0 Items in the second set but not the first: 1 : Conditional AND failed for basis 001</t>
        </is>
      </c>
      <c r="AH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I40" s="55" t="inlineStr">
        <is>
          <t>AssertionError</t>
        </is>
      </c>
      <c r="AJ40" s="55" t="inlineStr">
        <is>
          <t>AssertionError: Items in the first set but not the second: 0 Items in the second set but not the first: 1 : Conditional AND failed for basis 001</t>
        </is>
      </c>
      <c r="AK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L40" s="55" t="inlineStr">
        <is>
          <t>AssertionError</t>
        </is>
      </c>
      <c r="AM40" s="55" t="inlineStr">
        <is>
          <t>AssertionError: Items in the first set but not the second: 0 Items in the second set but not the first: 1 : Conditional AND failed for basis 001</t>
        </is>
      </c>
      <c r="AN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O40" s="55" t="n"/>
      <c r="AP40" s="55" t="n"/>
      <c r="AQ40" s="55" t="n"/>
      <c r="AR40" s="55" t="n"/>
      <c r="AS40" s="55" t="n"/>
      <c r="AT40" s="55" t="n"/>
      <c r="AU40" s="55" t="n"/>
      <c r="AV40" s="55" t="n"/>
      <c r="AW40" s="55" t="n"/>
      <c r="AX40" s="55" t="n"/>
      <c r="AY40" s="55" t="n"/>
      <c r="AZ40" s="55" t="n"/>
      <c r="BA40" s="55" t="n"/>
      <c r="BB40" s="55" t="n"/>
      <c r="BC40" s="55" t="n"/>
      <c r="BD40" s="55" t="n"/>
      <c r="BE40" s="55" t="n"/>
      <c r="BF40" s="55" t="n"/>
      <c r="BG40" s="55" t="n"/>
      <c r="BH40" s="55" t="n"/>
      <c r="BI40" s="55" t="n"/>
      <c r="BJ40" s="55" t="n"/>
      <c r="BK40" s="55" t="n"/>
      <c r="BL40" s="55" t="n"/>
      <c r="BM40" s="55" t="n"/>
      <c r="BN40" s="55" t="n"/>
      <c r="BO40" s="55" t="n"/>
      <c r="BP40" s="55" t="n"/>
      <c r="BQ40" s="55" t="n"/>
      <c r="BR40" s="55" t="n"/>
      <c r="BS40" s="55" t="n"/>
      <c r="BT40" s="55" t="n"/>
      <c r="BU40" s="55" t="n"/>
      <c r="BV40" s="55" t="n"/>
      <c r="BW40" s="55" t="n"/>
      <c r="BX40" s="55" t="n"/>
      <c r="BY40" s="55" t="n"/>
      <c r="BZ40" s="55" t="n"/>
      <c r="CA40" s="55" t="n"/>
      <c r="CB40" s="55" t="n"/>
      <c r="CC40" s="55" t="n"/>
      <c r="CD40" s="55" t="n"/>
      <c r="CE40" s="55" t="n"/>
      <c r="CF40" s="55" t="n"/>
      <c r="CG40" s="55" t="n"/>
      <c r="CH40" s="55" t="n"/>
      <c r="CI40" s="55" t="n"/>
      <c r="CJ40" s="55" t="n"/>
      <c r="CK40" s="55" t="n"/>
      <c r="CL40" s="55" t="n"/>
      <c r="CM40" s="55" t="n"/>
      <c r="CN40" s="55" t="n"/>
      <c r="CO40" s="55" t="n"/>
      <c r="CP40" s="55" t="n"/>
      <c r="CQ40" s="55" t="n"/>
      <c r="CR40" s="55" t="n"/>
      <c r="CS40" s="55" t="n"/>
      <c r="CT40" s="55" t="n"/>
      <c r="CU40" s="55" t="n"/>
      <c r="CV40" s="55" t="n"/>
      <c r="CW40" s="55" t="n"/>
      <c r="CX40" s="55" t="n"/>
      <c r="CY40" s="55" t="n"/>
      <c r="CZ40" s="55" t="n"/>
      <c r="DA40" s="55" t="n"/>
      <c r="DB40" s="55" t="n"/>
      <c r="DC40" s="55" t="n"/>
      <c r="DD40" s="55" t="n"/>
      <c r="DE40" s="55" t="n"/>
    </row>
    <row r="41">
      <c r="A41" s="55" t="inlineStr">
        <is>
          <t>issue_662</t>
        </is>
      </c>
      <c r="B41" s="56" t="inlineStr">
        <is>
          <t>NOT_TESTED</t>
        </is>
      </c>
      <c r="C41" s="56" t="inlineStr">
        <is>
          <t>NOT_TESTED</t>
        </is>
      </c>
      <c r="D41" s="56" t="inlineStr">
        <is>
          <t>NOT_TESTED</t>
        </is>
      </c>
      <c r="E41" s="56" t="inlineStr">
        <is>
          <t>NOT_TESTED</t>
        </is>
      </c>
      <c r="F41" s="57" t="inlineStr">
        <is>
          <t>ERROR</t>
        </is>
      </c>
      <c r="G41" s="57" t="inlineStr">
        <is>
          <t>ERROR</t>
        </is>
      </c>
      <c r="H41" s="57" t="inlineStr">
        <is>
          <t>ERROR</t>
        </is>
      </c>
      <c r="I41" s="57" t="inlineStr">
        <is>
          <t>ERROR</t>
        </is>
      </c>
      <c r="J41" s="57" t="inlineStr">
        <is>
          <t>ERROR</t>
        </is>
      </c>
      <c r="K41" s="57" t="inlineStr">
        <is>
          <t>ERROR</t>
        </is>
      </c>
      <c r="L41" s="57" t="inlineStr">
        <is>
          <t>ERROR</t>
        </is>
      </c>
      <c r="M41" s="57" t="inlineStr">
        <is>
          <t>ERROR</t>
        </is>
      </c>
      <c r="N41" s="57" t="inlineStr">
        <is>
          <t>ERROR</t>
        </is>
      </c>
      <c r="O41" s="57" t="inlineStr">
        <is>
          <t>ERROR</t>
        </is>
      </c>
      <c r="P41" s="57" t="inlineStr">
        <is>
          <t>ERROR</t>
        </is>
      </c>
      <c r="Q41" s="57" t="inlineStr">
        <is>
          <t>ERROR</t>
        </is>
      </c>
      <c r="R41" s="57" t="inlineStr">
        <is>
          <t>ERROR</t>
        </is>
      </c>
      <c r="S41" s="57" t="inlineStr">
        <is>
          <t>ERROR</t>
        </is>
      </c>
      <c r="T41" s="57" t="inlineStr">
        <is>
          <t>ERROR</t>
        </is>
      </c>
      <c r="U41" s="57" t="inlineStr">
        <is>
          <t>ERROR</t>
        </is>
      </c>
      <c r="V41" s="57" t="inlineStr">
        <is>
          <t>ERROR</t>
        </is>
      </c>
      <c r="W41" s="57" t="inlineStr">
        <is>
          <t>ERROR</t>
        </is>
      </c>
      <c r="X41" s="57" t="inlineStr">
        <is>
          <t>ERROR</t>
        </is>
      </c>
      <c r="Y41" s="57" t="inlineStr">
        <is>
          <t>ERROR</t>
        </is>
      </c>
      <c r="Z41" s="57" t="inlineStr">
        <is>
          <t>ERROR</t>
        </is>
      </c>
      <c r="AA41" s="57" t="inlineStr">
        <is>
          <t>ERROR</t>
        </is>
      </c>
      <c r="AB41" s="57" t="inlineStr">
        <is>
          <t>ERROR</t>
        </is>
      </c>
      <c r="AC41" s="55" t="n"/>
      <c r="AD41" s="55" t="n"/>
      <c r="AE41" s="55" t="n"/>
      <c r="AF41" s="55" t="n"/>
      <c r="AG41" s="55" t="n"/>
      <c r="AH41" s="55" t="n"/>
      <c r="AI41" s="55" t="n"/>
      <c r="AJ41" s="55" t="n"/>
      <c r="AK41" s="55" t="n"/>
      <c r="AL41" s="55" t="n"/>
      <c r="AM41" s="55" t="n"/>
      <c r="AN41" s="55" t="n"/>
      <c r="AO41" s="55" t="inlineStr">
        <is>
          <t>AttributeError</t>
        </is>
      </c>
      <c r="AP41" s="55" t="inlineStr">
        <is>
          <t>AttributeError: 'DAGOpNode' object has no attribute 'type'</t>
        </is>
      </c>
      <c r="AQ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R41" s="55" t="inlineStr">
        <is>
          <t>AttributeError</t>
        </is>
      </c>
      <c r="AS41" s="55" t="inlineStr">
        <is>
          <t>AttributeError: 'DAGOpNode' object has no attribute 'type'</t>
        </is>
      </c>
      <c r="AT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U41" s="55" t="inlineStr">
        <is>
          <t>AttributeError</t>
        </is>
      </c>
      <c r="AV41" s="55" t="inlineStr">
        <is>
          <t>AttributeError: 'DAGOpNode' object has no attribute 'type'</t>
        </is>
      </c>
      <c r="AW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X41" s="55" t="inlineStr">
        <is>
          <t>AttributeError</t>
        </is>
      </c>
      <c r="AY41" s="55" t="inlineStr">
        <is>
          <t>AttributeError: 'DAGOpNode' object has no attribute 'type'</t>
        </is>
      </c>
      <c r="AZ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A41" s="55" t="inlineStr">
        <is>
          <t>AttributeError</t>
        </is>
      </c>
      <c r="BB41" s="55" t="inlineStr">
        <is>
          <t>AttributeError: 'DAGOpNode' object has no attribute 'type'</t>
        </is>
      </c>
      <c r="BC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D41" s="55" t="inlineStr">
        <is>
          <t>AttributeError</t>
        </is>
      </c>
      <c r="BE41" s="55" t="inlineStr">
        <is>
          <t>AttributeError: 'DAGOpNode' object has no attribute 'type'</t>
        </is>
      </c>
      <c r="BF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G41" s="55" t="inlineStr">
        <is>
          <t>AttributeError</t>
        </is>
      </c>
      <c r="BH41" s="55" t="inlineStr">
        <is>
          <t>AttributeError: 'DAGOpNode' object has no attribute 'type'</t>
        </is>
      </c>
      <c r="BI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J41" s="55" t="inlineStr">
        <is>
          <t>AttributeError</t>
        </is>
      </c>
      <c r="BK41" s="55" t="inlineStr">
        <is>
          <t>AttributeError: 'DAGOpNode' object has no attribute 'type'</t>
        </is>
      </c>
      <c r="BL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M41" s="55" t="inlineStr">
        <is>
          <t>AttributeError</t>
        </is>
      </c>
      <c r="BN41" s="55" t="inlineStr">
        <is>
          <t>AttributeError: 'DAGOpNode' object has no attribute 'type'</t>
        </is>
      </c>
      <c r="BO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P41" s="55" t="inlineStr">
        <is>
          <t>AttributeError</t>
        </is>
      </c>
      <c r="BQ41" s="55" t="inlineStr">
        <is>
          <t>AttributeError: 'DAGOpNode' object has no attribute 'type'</t>
        </is>
      </c>
      <c r="BR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S41" s="55" t="inlineStr">
        <is>
          <t>AttributeError</t>
        </is>
      </c>
      <c r="BT41" s="55" t="inlineStr">
        <is>
          <t>AttributeError: 'DAGOpNode' object has no attribute 'type'</t>
        </is>
      </c>
      <c r="BU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V41" s="55" t="inlineStr">
        <is>
          <t>AttributeError</t>
        </is>
      </c>
      <c r="BW41" s="55" t="inlineStr">
        <is>
          <t>AttributeError: 'DAGOpNode' object has no attribute 'type'</t>
        </is>
      </c>
      <c r="BX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Y41" s="55" t="inlineStr">
        <is>
          <t>AttributeError</t>
        </is>
      </c>
      <c r="BZ41" s="55" t="inlineStr">
        <is>
          <t>AttributeError: 'DAGOpNode' object has no attribute 'type'</t>
        </is>
      </c>
      <c r="CA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B41" s="55" t="inlineStr">
        <is>
          <t>AttributeError</t>
        </is>
      </c>
      <c r="CC41" s="55" t="inlineStr">
        <is>
          <t>AttributeError: 'DAGOpNode' object has no attribute 'type'</t>
        </is>
      </c>
      <c r="CD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E41" s="55" t="inlineStr">
        <is>
          <t>AttributeError</t>
        </is>
      </c>
      <c r="CF41" s="55" t="inlineStr">
        <is>
          <t>AttributeError: 'qiskit._accelerate.circuit.DAGOpNode' object has no attribute 'type'</t>
        </is>
      </c>
      <c r="CG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H41" s="55" t="inlineStr">
        <is>
          <t>AttributeError</t>
        </is>
      </c>
      <c r="CI41" s="55" t="inlineStr">
        <is>
          <t>AttributeError: 'qiskit._accelerate.circuit.DAGOpNode' object has no attribute 'type'</t>
        </is>
      </c>
      <c r="CJ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K41" s="55" t="inlineStr">
        <is>
          <t>AttributeError</t>
        </is>
      </c>
      <c r="CL41" s="55" t="inlineStr">
        <is>
          <t>AttributeError: 'qiskit._accelerate.circuit.DAGOpNode' object has no attribute 'type'</t>
        </is>
      </c>
      <c r="CM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N41" s="55" t="inlineStr">
        <is>
          <t>AttributeError</t>
        </is>
      </c>
      <c r="CO41" s="55" t="inlineStr">
        <is>
          <t>AttributeError: 'qiskit._accelerate.circuit.DAGOpNode' object has no attribute 'type'</t>
        </is>
      </c>
      <c r="CP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Q41" s="55" t="inlineStr">
        <is>
          <t>AttributeError</t>
        </is>
      </c>
      <c r="CR41" s="55" t="inlineStr">
        <is>
          <t>AttributeError: 'qiskit._accelerate.circuit.DAGOpNode' object has no attribute 'type'</t>
        </is>
      </c>
      <c r="CS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T41" s="55" t="inlineStr">
        <is>
          <t>AttributeError</t>
        </is>
      </c>
      <c r="CU41" s="55" t="inlineStr">
        <is>
          <t>AttributeError: 'qiskit._accelerate.circuit.DAGOpNode' object has no attribute 'type'</t>
        </is>
      </c>
      <c r="CV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W41" s="55" t="inlineStr">
        <is>
          <t>AttributeError</t>
        </is>
      </c>
      <c r="CX41" s="55" t="inlineStr">
        <is>
          <t>AttributeError: 'qiskit._accelerate.circuit.DAGOpNode' object has no attribute 'type'</t>
        </is>
      </c>
      <c r="CY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Z41" s="55" t="inlineStr">
        <is>
          <t>AttributeError</t>
        </is>
      </c>
      <c r="DA41" s="55" t="inlineStr">
        <is>
          <t>AttributeError: 'qiskit._accelerate.circuit.DAGOpNode' object has no attribute 'type'</t>
        </is>
      </c>
      <c r="DB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DC41" s="55" t="inlineStr">
        <is>
          <t>AttributeError</t>
        </is>
      </c>
      <c r="DD41" s="55" t="inlineStr">
        <is>
          <t>AttributeError: 'qiskit._accelerate.circuit.DAGOpNode' object has no attribute 'type'</t>
        </is>
      </c>
      <c r="DE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row>
    <row r="42">
      <c r="A42" s="55" t="inlineStr">
        <is>
          <t>issue_663</t>
        </is>
      </c>
      <c r="B42" s="56" t="inlineStr">
        <is>
          <t>NOT_TESTED</t>
        </is>
      </c>
      <c r="C42" s="56" t="inlineStr">
        <is>
          <t>NOT_TESTED</t>
        </is>
      </c>
      <c r="D42" s="56" t="inlineStr">
        <is>
          <t>NOT_TESTED</t>
        </is>
      </c>
      <c r="E42" s="56" t="inlineStr">
        <is>
          <t>NOT_TESTED</t>
        </is>
      </c>
      <c r="F42" s="59" t="inlineStr">
        <is>
          <t>PASS</t>
        </is>
      </c>
      <c r="G42" s="59" t="inlineStr">
        <is>
          <t>PASS</t>
        </is>
      </c>
      <c r="H42" s="59" t="inlineStr">
        <is>
          <t>PASS</t>
        </is>
      </c>
      <c r="I42" s="59" t="inlineStr">
        <is>
          <t>PASS</t>
        </is>
      </c>
      <c r="J42" s="59" t="inlineStr">
        <is>
          <t>PASS</t>
        </is>
      </c>
      <c r="K42" s="59" t="inlineStr">
        <is>
          <t>PASS</t>
        </is>
      </c>
      <c r="L42" s="59" t="inlineStr">
        <is>
          <t>PASS</t>
        </is>
      </c>
      <c r="M42" s="59" t="inlineStr">
        <is>
          <t>PASS</t>
        </is>
      </c>
      <c r="N42" s="56" t="inlineStr">
        <is>
          <t>NOT_TESTED</t>
        </is>
      </c>
      <c r="O42" s="56" t="inlineStr">
        <is>
          <t>NOT_TESTED</t>
        </is>
      </c>
      <c r="P42" s="56" t="inlineStr">
        <is>
          <t>NOT_TESTED</t>
        </is>
      </c>
      <c r="Q42" s="56" t="inlineStr">
        <is>
          <t>NOT_TESTED</t>
        </is>
      </c>
      <c r="R42" s="56" t="inlineStr">
        <is>
          <t>NOT_TESTED</t>
        </is>
      </c>
      <c r="S42" s="56" t="inlineStr">
        <is>
          <t>NOT_TESTED</t>
        </is>
      </c>
      <c r="T42" s="56" t="inlineStr">
        <is>
          <t>NOT_TESTED</t>
        </is>
      </c>
      <c r="U42" s="56" t="inlineStr">
        <is>
          <t>NOT_TESTED</t>
        </is>
      </c>
      <c r="V42" s="56" t="inlineStr">
        <is>
          <t>NOT_TESTED</t>
        </is>
      </c>
      <c r="W42" s="56" t="inlineStr">
        <is>
          <t>NOT_TESTED</t>
        </is>
      </c>
      <c r="X42" s="56" t="inlineStr">
        <is>
          <t>NOT_TESTED</t>
        </is>
      </c>
      <c r="Y42" s="56" t="inlineStr">
        <is>
          <t>NOT_TESTED</t>
        </is>
      </c>
      <c r="Z42" s="56" t="inlineStr">
        <is>
          <t>NOT_TESTED</t>
        </is>
      </c>
      <c r="AA42" s="56" t="inlineStr">
        <is>
          <t>NOT_TESTED</t>
        </is>
      </c>
      <c r="AB42" s="56" t="inlineStr">
        <is>
          <t>NOT_TESTED</t>
        </is>
      </c>
      <c r="AC42" s="55" t="n"/>
      <c r="AD42" s="55" t="n"/>
      <c r="AE42" s="55" t="n"/>
      <c r="AF42" s="55" t="n"/>
      <c r="AG42" s="55" t="n"/>
      <c r="AH42" s="55" t="n"/>
      <c r="AI42" s="55" t="n"/>
      <c r="AJ42" s="55" t="n"/>
      <c r="AK42" s="55" t="n"/>
      <c r="AL42" s="55" t="n"/>
      <c r="AM42" s="55" t="n"/>
      <c r="AN42" s="55" t="n"/>
      <c r="AO42" s="55" t="n"/>
      <c r="AP42" s="55" t="n"/>
      <c r="AQ42" s="55" t="n"/>
      <c r="AR42" s="55" t="n"/>
      <c r="AS42" s="55" t="n"/>
      <c r="AT42" s="55" t="n"/>
      <c r="AU42" s="55" t="n"/>
      <c r="AV42" s="55" t="n"/>
      <c r="AW42" s="55" t="n"/>
      <c r="AX42" s="55" t="n"/>
      <c r="AY42" s="55" t="n"/>
      <c r="AZ42" s="55" t="n"/>
      <c r="BA42" s="55" t="n"/>
      <c r="BB42" s="55" t="n"/>
      <c r="BC42" s="55" t="n"/>
      <c r="BD42" s="55" t="n"/>
      <c r="BE42" s="55" t="n"/>
      <c r="BF42" s="55" t="n"/>
      <c r="BG42" s="55" t="n"/>
      <c r="BH42" s="55" t="n"/>
      <c r="BI42" s="55" t="n"/>
      <c r="BJ42" s="55" t="n"/>
      <c r="BK42" s="55" t="n"/>
      <c r="BL42" s="55" t="n"/>
      <c r="BM42" s="55" t="n"/>
      <c r="BN42" s="55" t="n"/>
      <c r="BO42" s="55" t="n"/>
      <c r="BP42" s="55" t="n"/>
      <c r="BQ42" s="55" t="n"/>
      <c r="BR42" s="55" t="n"/>
      <c r="BS42" s="55" t="n"/>
      <c r="BT42" s="55" t="n"/>
      <c r="BU42" s="55" t="n"/>
      <c r="BV42" s="55" t="n"/>
      <c r="BW42" s="55" t="n"/>
      <c r="BX42" s="55" t="n"/>
      <c r="BY42" s="55" t="n"/>
      <c r="BZ42" s="55" t="n"/>
      <c r="CA42" s="55" t="n"/>
      <c r="CB42" s="55" t="n"/>
      <c r="CC42" s="55" t="n"/>
      <c r="CD42" s="55" t="n"/>
      <c r="CE42" s="55" t="n"/>
      <c r="CF42" s="55" t="n"/>
      <c r="CG42" s="55" t="n"/>
      <c r="CH42" s="55" t="n"/>
      <c r="CI42" s="55" t="n"/>
      <c r="CJ42" s="55" t="n"/>
      <c r="CK42" s="55" t="n"/>
      <c r="CL42" s="55" t="n"/>
      <c r="CM42" s="55" t="n"/>
      <c r="CN42" s="55" t="n"/>
      <c r="CO42" s="55" t="n"/>
      <c r="CP42" s="55" t="n"/>
      <c r="CQ42" s="55" t="n"/>
      <c r="CR42" s="55" t="n"/>
      <c r="CS42" s="55" t="n"/>
      <c r="CT42" s="55" t="n"/>
      <c r="CU42" s="55" t="n"/>
      <c r="CV42" s="55" t="n"/>
      <c r="CW42" s="55" t="n"/>
      <c r="CX42" s="55" t="n"/>
      <c r="CY42" s="55" t="n"/>
      <c r="CZ42" s="55" t="n"/>
      <c r="DA42" s="55" t="n"/>
      <c r="DB42" s="55" t="n"/>
      <c r="DC42" s="55" t="n"/>
      <c r="DD42" s="55" t="n"/>
      <c r="DE42" s="55" t="n"/>
    </row>
    <row r="43">
      <c r="A43" s="55" t="inlineStr">
        <is>
          <t>issue_671</t>
        </is>
      </c>
      <c r="B43" s="58" t="inlineStr">
        <is>
          <t>FAIL</t>
        </is>
      </c>
      <c r="C43" s="58" t="inlineStr">
        <is>
          <t>FAIL</t>
        </is>
      </c>
      <c r="D43" s="58" t="inlineStr">
        <is>
          <t>FAIL</t>
        </is>
      </c>
      <c r="E43" s="58" t="inlineStr">
        <is>
          <t>FAIL</t>
        </is>
      </c>
      <c r="F43" s="58" t="inlineStr">
        <is>
          <t>FAIL</t>
        </is>
      </c>
      <c r="G43" s="58" t="inlineStr">
        <is>
          <t>FAIL</t>
        </is>
      </c>
      <c r="H43" s="58" t="inlineStr">
        <is>
          <t>FAIL</t>
        </is>
      </c>
      <c r="I43" s="58" t="inlineStr">
        <is>
          <t>FAIL</t>
        </is>
      </c>
      <c r="J43" s="58" t="inlineStr">
        <is>
          <t>FAIL</t>
        </is>
      </c>
      <c r="K43" s="58" t="inlineStr">
        <is>
          <t>FAIL</t>
        </is>
      </c>
      <c r="L43" s="58" t="inlineStr">
        <is>
          <t>FAIL</t>
        </is>
      </c>
      <c r="M43" s="58" t="inlineStr">
        <is>
          <t>FAIL</t>
        </is>
      </c>
      <c r="N43" s="58" t="inlineStr">
        <is>
          <t>FAIL</t>
        </is>
      </c>
      <c r="O43" s="58" t="inlineStr">
        <is>
          <t>FAIL</t>
        </is>
      </c>
      <c r="P43" s="58" t="inlineStr">
        <is>
          <t>FAIL</t>
        </is>
      </c>
      <c r="Q43" s="58" t="inlineStr">
        <is>
          <t>FAIL</t>
        </is>
      </c>
      <c r="R43" s="58" t="inlineStr">
        <is>
          <t>FAIL</t>
        </is>
      </c>
      <c r="S43" s="58" t="inlineStr">
        <is>
          <t>FAIL</t>
        </is>
      </c>
      <c r="T43" s="58" t="inlineStr">
        <is>
          <t>FAIL</t>
        </is>
      </c>
      <c r="U43" s="58" t="inlineStr">
        <is>
          <t>FAIL</t>
        </is>
      </c>
      <c r="V43" s="58" t="inlineStr">
        <is>
          <t>FAIL</t>
        </is>
      </c>
      <c r="W43" s="58" t="inlineStr">
        <is>
          <t>FAIL</t>
        </is>
      </c>
      <c r="X43" s="58" t="inlineStr">
        <is>
          <t>FAIL</t>
        </is>
      </c>
      <c r="Y43" s="58" t="inlineStr">
        <is>
          <t>FAIL</t>
        </is>
      </c>
      <c r="Z43" s="58" t="inlineStr">
        <is>
          <t>FAIL</t>
        </is>
      </c>
      <c r="AA43" s="58" t="inlineStr">
        <is>
          <t>FAIL</t>
        </is>
      </c>
      <c r="AB43" s="58" t="inlineStr">
        <is>
          <t>FAIL</t>
        </is>
      </c>
      <c r="AC43" s="55" t="inlineStr">
        <is>
          <t>AssertionError</t>
        </is>
      </c>
      <c r="AD43" s="55" t="inlineStr">
        <is>
          <t>AssertionError: Not equal to tolerance rtol=1e-07, atol=1e-10</t>
        </is>
      </c>
      <c r="AE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F43" s="55" t="inlineStr">
        <is>
          <t>AssertionError</t>
        </is>
      </c>
      <c r="AG43" s="55" t="inlineStr">
        <is>
          <t>AssertionError: Not equal to tolerance rtol=1e-07, atol=1e-10</t>
        </is>
      </c>
      <c r="AH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I43" s="55" t="inlineStr">
        <is>
          <t>AssertionError</t>
        </is>
      </c>
      <c r="AJ43" s="55" t="inlineStr">
        <is>
          <t>AssertionError: Not equal to tolerance rtol=1e-07, atol=1e-10</t>
        </is>
      </c>
      <c r="AK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L43" s="55" t="inlineStr">
        <is>
          <t>AssertionError</t>
        </is>
      </c>
      <c r="AM43" s="55" t="inlineStr">
        <is>
          <t>AssertionError: Not equal to tolerance rtol=1e-07, atol=1e-10</t>
        </is>
      </c>
      <c r="AN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O43" s="55" t="inlineStr">
        <is>
          <t>AssertionError</t>
        </is>
      </c>
      <c r="AP43" s="55" t="inlineStr">
        <is>
          <t>AssertionError: Not equal to tolerance rtol=1e-07, atol=1e-10</t>
        </is>
      </c>
      <c r="AQ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R43" s="55" t="inlineStr">
        <is>
          <t>AssertionError</t>
        </is>
      </c>
      <c r="AS43" s="55" t="inlineStr">
        <is>
          <t>AssertionError: Not equal to tolerance rtol=1e-07, atol=1e-10</t>
        </is>
      </c>
      <c r="AT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U43" s="55" t="inlineStr">
        <is>
          <t>AssertionError</t>
        </is>
      </c>
      <c r="AV43" s="55" t="inlineStr">
        <is>
          <t>AssertionError: Not equal to tolerance rtol=1e-07, atol=1e-10</t>
        </is>
      </c>
      <c r="AW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X43" s="55" t="inlineStr">
        <is>
          <t>AssertionError</t>
        </is>
      </c>
      <c r="AY43" s="55" t="inlineStr">
        <is>
          <t>AssertionError: Not equal to tolerance rtol=1e-07, atol=1e-10</t>
        </is>
      </c>
      <c r="AZ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A43" s="55" t="inlineStr">
        <is>
          <t>AssertionError</t>
        </is>
      </c>
      <c r="BB43" s="55" t="inlineStr">
        <is>
          <t>AssertionError: Not equal to tolerance rtol=1e-07, atol=1e-10</t>
        </is>
      </c>
      <c r="BC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D43" s="55" t="inlineStr">
        <is>
          <t>AssertionError</t>
        </is>
      </c>
      <c r="BE43" s="55" t="inlineStr">
        <is>
          <t>AssertionError: Not equal to tolerance rtol=1e-07, atol=1e-10</t>
        </is>
      </c>
      <c r="BF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G43" s="55" t="inlineStr">
        <is>
          <t>AssertionError</t>
        </is>
      </c>
      <c r="BH43" s="55" t="inlineStr">
        <is>
          <t>AssertionError: Not equal to tolerance rtol=1e-07, atol=1e-10</t>
        </is>
      </c>
      <c r="BI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J43" s="55" t="inlineStr">
        <is>
          <t>AssertionError</t>
        </is>
      </c>
      <c r="BK43" s="55" t="inlineStr">
        <is>
          <t>AssertionError: Not equal to tolerance rtol=1e-07, atol=1e-10</t>
        </is>
      </c>
      <c r="BL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M43" s="55" t="inlineStr">
        <is>
          <t>AssertionError</t>
        </is>
      </c>
      <c r="BN43" s="55" t="inlineStr">
        <is>
          <t>AssertionError: Not equal to tolerance rtol=1e-07, atol=1e-10</t>
        </is>
      </c>
      <c r="BO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P43" s="55" t="inlineStr">
        <is>
          <t>AssertionError</t>
        </is>
      </c>
      <c r="BQ43" s="55" t="inlineStr">
        <is>
          <t>AssertionError: Not equal to tolerance rtol=1e-07, atol=1e-10</t>
        </is>
      </c>
      <c r="BR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S43" s="55" t="inlineStr">
        <is>
          <t>AssertionError</t>
        </is>
      </c>
      <c r="BT43" s="55" t="inlineStr">
        <is>
          <t>AssertionError: Not equal to tolerance rtol=1e-07, atol=1e-10</t>
        </is>
      </c>
      <c r="BU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V43" s="55" t="inlineStr">
        <is>
          <t>AssertionError</t>
        </is>
      </c>
      <c r="BW43" s="55" t="inlineStr">
        <is>
          <t>AssertionError: Not equal to tolerance rtol=1e-07, atol=1e-10</t>
        </is>
      </c>
      <c r="BX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Y43" s="55" t="inlineStr">
        <is>
          <t>AssertionError</t>
        </is>
      </c>
      <c r="BZ43" s="55" t="inlineStr">
        <is>
          <t>AssertionError: Not equal to tolerance rtol=1e-07, atol=1e-10</t>
        </is>
      </c>
      <c r="CA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B43" s="55" t="inlineStr">
        <is>
          <t>AssertionError</t>
        </is>
      </c>
      <c r="CC43" s="55" t="inlineStr">
        <is>
          <t>AssertionError: Not equal to tolerance rtol=1e-07, atol=1e-10</t>
        </is>
      </c>
      <c r="CD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E43" s="55" t="inlineStr">
        <is>
          <t>AssertionError</t>
        </is>
      </c>
      <c r="CF43" s="55" t="inlineStr">
        <is>
          <t>AssertionError: Not equal to tolerance rtol=1e-07, atol=1e-10</t>
        </is>
      </c>
      <c r="CG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H43" s="55" t="inlineStr">
        <is>
          <t>AssertionError</t>
        </is>
      </c>
      <c r="CI43" s="55" t="inlineStr">
        <is>
          <t>AssertionError: Not equal to tolerance rtol=1e-07, atol=1e-10</t>
        </is>
      </c>
      <c r="CJ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K43" s="55" t="inlineStr">
        <is>
          <t>AssertionError</t>
        </is>
      </c>
      <c r="CL43" s="55" t="inlineStr">
        <is>
          <t>AssertionError: Not equal to tolerance rtol=1e-07, atol=1e-10</t>
        </is>
      </c>
      <c r="CM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N43" s="55" t="inlineStr">
        <is>
          <t>AssertionError</t>
        </is>
      </c>
      <c r="CO43" s="55" t="inlineStr">
        <is>
          <t>AssertionError: Not equal to tolerance rtol=1e-07, atol=1e-10</t>
        </is>
      </c>
      <c r="CP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Q43" s="55" t="inlineStr">
        <is>
          <t>AssertionError</t>
        </is>
      </c>
      <c r="CR43" s="55" t="inlineStr">
        <is>
          <t>AssertionError: Not equal to tolerance rtol=1e-07, atol=1e-10</t>
        </is>
      </c>
      <c r="CS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T43" s="55" t="inlineStr">
        <is>
          <t>AssertionError</t>
        </is>
      </c>
      <c r="CU43" s="55" t="inlineStr">
        <is>
          <t>AssertionError: Not equal to tolerance rtol=1e-07, atol=1e-10</t>
        </is>
      </c>
      <c r="CV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W43" s="55" t="inlineStr">
        <is>
          <t>AssertionError</t>
        </is>
      </c>
      <c r="CX43" s="55" t="inlineStr">
        <is>
          <t>AssertionError: Not equal to tolerance rtol=1e-07, atol=1e-10</t>
        </is>
      </c>
      <c r="CY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Z43" s="55" t="inlineStr">
        <is>
          <t>AssertionError</t>
        </is>
      </c>
      <c r="DA43" s="55" t="inlineStr">
        <is>
          <t>AssertionError: Not equal to tolerance rtol=1e-07, atol=1e-10</t>
        </is>
      </c>
      <c r="DB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DC43" s="55" t="inlineStr">
        <is>
          <t>AssertionError</t>
        </is>
      </c>
      <c r="DD43" s="55" t="inlineStr">
        <is>
          <t>AssertionError: Not equal to tolerance rtol=1e-07, atol=1e-10</t>
        </is>
      </c>
      <c r="DE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row>
    <row r="44">
      <c r="A44" s="55" t="inlineStr">
        <is>
          <t>issue_727</t>
        </is>
      </c>
      <c r="B44" s="59" t="inlineStr">
        <is>
          <t>PASS</t>
        </is>
      </c>
      <c r="C44" s="59" t="inlineStr">
        <is>
          <t>PASS</t>
        </is>
      </c>
      <c r="D44" s="59" t="inlineStr">
        <is>
          <t>PASS</t>
        </is>
      </c>
      <c r="E44" s="59" t="inlineStr">
        <is>
          <t>PASS</t>
        </is>
      </c>
      <c r="F44" s="59" t="inlineStr">
        <is>
          <t>PASS</t>
        </is>
      </c>
      <c r="G44" s="59" t="inlineStr">
        <is>
          <t>PASS</t>
        </is>
      </c>
      <c r="H44" s="59" t="inlineStr">
        <is>
          <t>PASS</t>
        </is>
      </c>
      <c r="I44" s="59" t="inlineStr">
        <is>
          <t>PASS</t>
        </is>
      </c>
      <c r="J44" s="59" t="inlineStr">
        <is>
          <t>PASS</t>
        </is>
      </c>
      <c r="K44" s="59" t="inlineStr">
        <is>
          <t>PASS</t>
        </is>
      </c>
      <c r="L44" s="59" t="inlineStr">
        <is>
          <t>PASS</t>
        </is>
      </c>
      <c r="M44" s="59" t="inlineStr">
        <is>
          <t>PASS</t>
        </is>
      </c>
      <c r="N44" s="56" t="inlineStr">
        <is>
          <t>NOT_TESTED</t>
        </is>
      </c>
      <c r="O44" s="56" t="inlineStr">
        <is>
          <t>NOT_TESTED</t>
        </is>
      </c>
      <c r="P44" s="56" t="inlineStr">
        <is>
          <t>NOT_TESTED</t>
        </is>
      </c>
      <c r="Q44" s="56" t="inlineStr">
        <is>
          <t>NOT_TESTED</t>
        </is>
      </c>
      <c r="R44" s="56" t="inlineStr">
        <is>
          <t>NOT_TESTED</t>
        </is>
      </c>
      <c r="S44" s="56" t="inlineStr">
        <is>
          <t>NOT_TESTED</t>
        </is>
      </c>
      <c r="T44" s="56" t="inlineStr">
        <is>
          <t>NOT_TESTED</t>
        </is>
      </c>
      <c r="U44" s="56" t="inlineStr">
        <is>
          <t>NOT_TESTED</t>
        </is>
      </c>
      <c r="V44" s="56" t="inlineStr">
        <is>
          <t>NOT_TESTED</t>
        </is>
      </c>
      <c r="W44" s="56" t="inlineStr">
        <is>
          <t>NOT_TESTED</t>
        </is>
      </c>
      <c r="X44" s="56" t="inlineStr">
        <is>
          <t>NOT_TESTED</t>
        </is>
      </c>
      <c r="Y44" s="56" t="inlineStr">
        <is>
          <t>NOT_TESTED</t>
        </is>
      </c>
      <c r="Z44" s="56" t="inlineStr">
        <is>
          <t>NOT_TESTED</t>
        </is>
      </c>
      <c r="AA44" s="56" t="inlineStr">
        <is>
          <t>NOT_TESTED</t>
        </is>
      </c>
      <c r="AB44" s="56" t="inlineStr">
        <is>
          <t>NOT_TESTED</t>
        </is>
      </c>
      <c r="AC44" s="55" t="n"/>
      <c r="AD44" s="55" t="n"/>
      <c r="AE44" s="55" t="n"/>
      <c r="AF44" s="55" t="n"/>
      <c r="AG44" s="55" t="n"/>
      <c r="AH44" s="55" t="n"/>
      <c r="AI44" s="55" t="n"/>
      <c r="AJ44" s="55" t="n"/>
      <c r="AK44" s="55" t="n"/>
      <c r="AL44" s="55" t="n"/>
      <c r="AM44" s="55" t="n"/>
      <c r="AN44" s="55" t="n"/>
      <c r="AO44" s="55" t="n"/>
      <c r="AP44" s="55" t="n"/>
      <c r="AQ44" s="55" t="n"/>
      <c r="AR44" s="55" t="n"/>
      <c r="AS44" s="55" t="n"/>
      <c r="AT44" s="55" t="n"/>
      <c r="AU44" s="55" t="n"/>
      <c r="AV44" s="55" t="n"/>
      <c r="AW44" s="55" t="n"/>
      <c r="AX44" s="55" t="n"/>
      <c r="AY44" s="55" t="n"/>
      <c r="AZ44" s="55" t="n"/>
      <c r="BA44" s="55" t="n"/>
      <c r="BB44" s="55" t="n"/>
      <c r="BC44" s="55" t="n"/>
      <c r="BD44" s="55" t="n"/>
      <c r="BE44" s="55" t="n"/>
      <c r="BF44" s="55" t="n"/>
      <c r="BG44" s="55" t="n"/>
      <c r="BH44" s="55" t="n"/>
      <c r="BI44" s="55" t="n"/>
      <c r="BJ44" s="55" t="n"/>
      <c r="BK44" s="55" t="n"/>
      <c r="BL44" s="55" t="n"/>
      <c r="BM44" s="55" t="n"/>
      <c r="BN44" s="55" t="n"/>
      <c r="BO44" s="55" t="n"/>
      <c r="BP44" s="55" t="n"/>
      <c r="BQ44" s="55" t="n"/>
      <c r="BR44" s="55" t="n"/>
      <c r="BS44" s="55" t="n"/>
      <c r="BT44" s="55" t="n"/>
      <c r="BU44" s="55" t="n"/>
      <c r="BV44" s="55" t="n"/>
      <c r="BW44" s="55" t="n"/>
      <c r="BX44" s="55" t="n"/>
      <c r="BY44" s="55" t="n"/>
      <c r="BZ44" s="55" t="n"/>
      <c r="CA44" s="55" t="n"/>
      <c r="CB44" s="55" t="n"/>
      <c r="CC44" s="55" t="n"/>
      <c r="CD44" s="55" t="n"/>
      <c r="CE44" s="55" t="n"/>
      <c r="CF44" s="55" t="n"/>
      <c r="CG44" s="55" t="n"/>
      <c r="CH44" s="55" t="n"/>
      <c r="CI44" s="55" t="n"/>
      <c r="CJ44" s="55" t="n"/>
      <c r="CK44" s="55" t="n"/>
      <c r="CL44" s="55" t="n"/>
      <c r="CM44" s="55" t="n"/>
      <c r="CN44" s="55" t="n"/>
      <c r="CO44" s="55" t="n"/>
      <c r="CP44" s="55" t="n"/>
      <c r="CQ44" s="55" t="n"/>
      <c r="CR44" s="55" t="n"/>
      <c r="CS44" s="55" t="n"/>
      <c r="CT44" s="55" t="n"/>
      <c r="CU44" s="55" t="n"/>
      <c r="CV44" s="55" t="n"/>
      <c r="CW44" s="55" t="n"/>
      <c r="CX44" s="55" t="n"/>
      <c r="CY44" s="55" t="n"/>
      <c r="CZ44" s="55" t="n"/>
      <c r="DA44" s="55" t="n"/>
      <c r="DB44" s="55" t="n"/>
      <c r="DC44" s="55" t="n"/>
      <c r="DD44" s="55" t="n"/>
      <c r="DE44" s="55" t="n"/>
    </row>
    <row r="45">
      <c r="A45" s="55" t="inlineStr">
        <is>
          <t>issue_742</t>
        </is>
      </c>
      <c r="B45" s="56" t="inlineStr">
        <is>
          <t>NOT_TESTED</t>
        </is>
      </c>
      <c r="C45" s="56" t="inlineStr">
        <is>
          <t>NOT_TESTED</t>
        </is>
      </c>
      <c r="D45" s="56" t="inlineStr">
        <is>
          <t>NOT_TESTED</t>
        </is>
      </c>
      <c r="E45" s="56" t="inlineStr">
        <is>
          <t>NOT_TESTED</t>
        </is>
      </c>
      <c r="F45" s="56" t="inlineStr">
        <is>
          <t>NOT_TESTED</t>
        </is>
      </c>
      <c r="G45" s="56" t="inlineStr">
        <is>
          <t>NOT_TESTED</t>
        </is>
      </c>
      <c r="H45" s="56" t="inlineStr">
        <is>
          <t>NOT_TESTED</t>
        </is>
      </c>
      <c r="I45" s="56" t="inlineStr">
        <is>
          <t>NOT_TESTED</t>
        </is>
      </c>
      <c r="J45" s="56" t="inlineStr">
        <is>
          <t>NOT_TESTED</t>
        </is>
      </c>
      <c r="K45" s="56" t="inlineStr">
        <is>
          <t>NOT_TESTED</t>
        </is>
      </c>
      <c r="L45" s="56" t="inlineStr">
        <is>
          <t>NOT_TESTED</t>
        </is>
      </c>
      <c r="M45" s="56" t="inlineStr">
        <is>
          <t>NOT_TESTED</t>
        </is>
      </c>
      <c r="N45" s="56" t="inlineStr">
        <is>
          <t>NOT_TESTED</t>
        </is>
      </c>
      <c r="O45" s="56" t="inlineStr">
        <is>
          <t>NOT_TESTED</t>
        </is>
      </c>
      <c r="P45" s="56" t="inlineStr">
        <is>
          <t>NOT_TESTED</t>
        </is>
      </c>
      <c r="Q45" s="59" t="inlineStr">
        <is>
          <t>PASS</t>
        </is>
      </c>
      <c r="R45" s="59" t="inlineStr">
        <is>
          <t>PASS</t>
        </is>
      </c>
      <c r="S45" s="59" t="inlineStr">
        <is>
          <t>PASS</t>
        </is>
      </c>
      <c r="T45" s="59" t="inlineStr">
        <is>
          <t>PASS</t>
        </is>
      </c>
      <c r="U45" s="59" t="inlineStr">
        <is>
          <t>PASS</t>
        </is>
      </c>
      <c r="V45" s="59" t="inlineStr">
        <is>
          <t>PASS</t>
        </is>
      </c>
      <c r="W45" s="59" t="inlineStr">
        <is>
          <t>PASS</t>
        </is>
      </c>
      <c r="X45" s="59" t="inlineStr">
        <is>
          <t>PASS</t>
        </is>
      </c>
      <c r="Y45" s="59" t="inlineStr">
        <is>
          <t>PASS</t>
        </is>
      </c>
      <c r="Z45" s="59" t="inlineStr">
        <is>
          <t>PASS</t>
        </is>
      </c>
      <c r="AA45" s="59" t="inlineStr">
        <is>
          <t>PASS</t>
        </is>
      </c>
      <c r="AB45" s="59" t="inlineStr">
        <is>
          <t>PASS</t>
        </is>
      </c>
      <c r="AC45" s="55" t="n"/>
      <c r="AD45" s="55" t="n"/>
      <c r="AE45" s="55" t="n"/>
      <c r="AF45" s="55" t="n"/>
      <c r="AG45" s="55" t="n"/>
      <c r="AH45" s="55" t="n"/>
      <c r="AI45" s="55" t="n"/>
      <c r="AJ45" s="55" t="n"/>
      <c r="AK45" s="55" t="n"/>
      <c r="AL45" s="55" t="n"/>
      <c r="AM45" s="55" t="n"/>
      <c r="AN45" s="55" t="n"/>
      <c r="AO45" s="55" t="n"/>
      <c r="AP45" s="55" t="n"/>
      <c r="AQ45" s="55" t="n"/>
      <c r="AR45" s="55" t="n"/>
      <c r="AS45" s="55" t="n"/>
      <c r="AT45" s="55" t="n"/>
      <c r="AU45" s="55" t="n"/>
      <c r="AV45" s="55" t="n"/>
      <c r="AW45" s="55" t="n"/>
      <c r="AX45" s="55" t="n"/>
      <c r="AY45" s="55" t="n"/>
      <c r="AZ45" s="55" t="n"/>
      <c r="BA45" s="55" t="n"/>
      <c r="BB45" s="55" t="n"/>
      <c r="BC45" s="55" t="n"/>
      <c r="BD45" s="55" t="n"/>
      <c r="BE45" s="55" t="n"/>
      <c r="BF45" s="55" t="n"/>
      <c r="BG45" s="55" t="n"/>
      <c r="BH45" s="55" t="n"/>
      <c r="BI45" s="55" t="n"/>
      <c r="BJ45" s="55" t="n"/>
      <c r="BK45" s="55" t="n"/>
      <c r="BL45" s="55" t="n"/>
      <c r="BM45" s="55" t="n"/>
      <c r="BN45" s="55" t="n"/>
      <c r="BO45" s="55" t="n"/>
      <c r="BP45" s="55" t="n"/>
      <c r="BQ45" s="55" t="n"/>
      <c r="BR45" s="55" t="n"/>
      <c r="BS45" s="55" t="n"/>
      <c r="BT45" s="55" t="n"/>
      <c r="BU45" s="55" t="n"/>
      <c r="BV45" s="55" t="n"/>
      <c r="BW45" s="55" t="n"/>
      <c r="BX45" s="55" t="n"/>
      <c r="BY45" s="55" t="n"/>
      <c r="BZ45" s="55" t="n"/>
      <c r="CA45" s="55" t="n"/>
      <c r="CB45" s="55" t="n"/>
      <c r="CC45" s="55" t="n"/>
      <c r="CD45" s="55" t="n"/>
      <c r="CE45" s="55" t="n"/>
      <c r="CF45" s="55" t="n"/>
      <c r="CG45" s="55" t="n"/>
      <c r="CH45" s="55" t="n"/>
      <c r="CI45" s="55" t="n"/>
      <c r="CJ45" s="55" t="n"/>
      <c r="CK45" s="55" t="n"/>
      <c r="CL45" s="55" t="n"/>
      <c r="CM45" s="55" t="n"/>
      <c r="CN45" s="55" t="n"/>
      <c r="CO45" s="55" t="n"/>
      <c r="CP45" s="55" t="n"/>
      <c r="CQ45" s="55" t="n"/>
      <c r="CR45" s="55" t="n"/>
      <c r="CS45" s="55" t="n"/>
      <c r="CT45" s="55" t="n"/>
      <c r="CU45" s="55" t="n"/>
      <c r="CV45" s="55" t="n"/>
      <c r="CW45" s="55" t="n"/>
      <c r="CX45" s="55" t="n"/>
      <c r="CY45" s="55" t="n"/>
      <c r="CZ45" s="55" t="n"/>
      <c r="DA45" s="55" t="n"/>
      <c r="DB45" s="55" t="n"/>
      <c r="DC45" s="55" t="n"/>
      <c r="DD45" s="55" t="n"/>
      <c r="DE45" s="55" t="n"/>
    </row>
    <row r="46">
      <c r="A46" s="55" t="inlineStr">
        <is>
          <t>issue_747</t>
        </is>
      </c>
      <c r="B46" s="56" t="inlineStr">
        <is>
          <t>NOT_TESTED</t>
        </is>
      </c>
      <c r="C46" s="56" t="inlineStr">
        <is>
          <t>NOT_TESTED</t>
        </is>
      </c>
      <c r="D46" s="56" t="inlineStr">
        <is>
          <t>NOT_TESTED</t>
        </is>
      </c>
      <c r="E46" s="56" t="inlineStr">
        <is>
          <t>NOT_TESTED</t>
        </is>
      </c>
      <c r="F46" s="58" t="inlineStr">
        <is>
          <t>FAIL</t>
        </is>
      </c>
      <c r="G46" s="58" t="inlineStr">
        <is>
          <t>FAIL</t>
        </is>
      </c>
      <c r="H46" s="58" t="inlineStr">
        <is>
          <t>FAIL</t>
        </is>
      </c>
      <c r="I46" s="58" t="inlineStr">
        <is>
          <t>FAIL</t>
        </is>
      </c>
      <c r="J46" s="58" t="inlineStr">
        <is>
          <t>FAIL</t>
        </is>
      </c>
      <c r="K46" s="58" t="inlineStr">
        <is>
          <t>FAIL</t>
        </is>
      </c>
      <c r="L46" s="58" t="inlineStr">
        <is>
          <t>FAIL</t>
        </is>
      </c>
      <c r="M46" s="58" t="inlineStr">
        <is>
          <t>FAIL</t>
        </is>
      </c>
      <c r="N46" s="56" t="inlineStr">
        <is>
          <t>NOT_TESTED</t>
        </is>
      </c>
      <c r="O46" s="56" t="inlineStr">
        <is>
          <t>NOT_TESTED</t>
        </is>
      </c>
      <c r="P46" s="56" t="inlineStr">
        <is>
          <t>NOT_TESTED</t>
        </is>
      </c>
      <c r="Q46" s="56" t="inlineStr">
        <is>
          <t>NOT_TESTED</t>
        </is>
      </c>
      <c r="R46" s="56" t="inlineStr">
        <is>
          <t>NOT_TESTED</t>
        </is>
      </c>
      <c r="S46" s="56" t="inlineStr">
        <is>
          <t>NOT_TESTED</t>
        </is>
      </c>
      <c r="T46" s="56" t="inlineStr">
        <is>
          <t>NOT_TESTED</t>
        </is>
      </c>
      <c r="U46" s="56" t="inlineStr">
        <is>
          <t>NOT_TESTED</t>
        </is>
      </c>
      <c r="V46" s="56" t="inlineStr">
        <is>
          <t>NOT_TESTED</t>
        </is>
      </c>
      <c r="W46" s="56" t="inlineStr">
        <is>
          <t>NOT_TESTED</t>
        </is>
      </c>
      <c r="X46" s="56" t="inlineStr">
        <is>
          <t>NOT_TESTED</t>
        </is>
      </c>
      <c r="Y46" s="56" t="inlineStr">
        <is>
          <t>NOT_TESTED</t>
        </is>
      </c>
      <c r="Z46" s="56" t="inlineStr">
        <is>
          <t>NOT_TESTED</t>
        </is>
      </c>
      <c r="AA46" s="56" t="inlineStr">
        <is>
          <t>NOT_TESTED</t>
        </is>
      </c>
      <c r="AB46" s="56" t="inlineStr">
        <is>
          <t>NOT_TESTED</t>
        </is>
      </c>
      <c r="AC46" s="55" t="n"/>
      <c r="AD46" s="55" t="n"/>
      <c r="AE46" s="55" t="n"/>
      <c r="AF46" s="55" t="n"/>
      <c r="AG46" s="55" t="n"/>
      <c r="AH46" s="55" t="n"/>
      <c r="AI46" s="55" t="n"/>
      <c r="AJ46" s="55" t="n"/>
      <c r="AK46" s="55" t="n"/>
      <c r="AL46" s="55" t="n"/>
      <c r="AM46" s="55" t="n"/>
      <c r="AN46" s="55" t="n"/>
      <c r="AO46" s="55" t="inlineStr">
        <is>
          <t>AssertionError</t>
        </is>
      </c>
      <c r="AP46" s="55" t="inlineStr">
        <is>
          <t>AssertionError: Items in the first set but not the second: '000 000' '111 000' Items in the second set but not the first: '000' '111'</t>
        </is>
      </c>
      <c r="AQ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R46" s="55" t="inlineStr">
        <is>
          <t>AssertionError</t>
        </is>
      </c>
      <c r="AS46" s="55" t="inlineStr">
        <is>
          <t>AssertionError: Items in the first set but not the second: '000 000' '111 000' Items in the second set but not the first: '000' '111'</t>
        </is>
      </c>
      <c r="AT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U46" s="55" t="inlineStr">
        <is>
          <t>AssertionError</t>
        </is>
      </c>
      <c r="AV46" s="55" t="inlineStr">
        <is>
          <t>AssertionError: Items in the first set but not the second: '111 000' '000 000' Items in the second set but not the first: '000' '111'</t>
        </is>
      </c>
      <c r="AW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X46" s="55" t="inlineStr">
        <is>
          <t>AssertionError</t>
        </is>
      </c>
      <c r="AY46" s="55" t="inlineStr">
        <is>
          <t>AssertionError: Items in the first set but not the second: '111 000' '000 000' Items in the second set but not the first: '111' '000'</t>
        </is>
      </c>
      <c r="AZ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A46" s="55" t="inlineStr">
        <is>
          <t>AssertionError</t>
        </is>
      </c>
      <c r="BB46" s="55" t="inlineStr">
        <is>
          <t>AssertionError: Items in the first set but not the second: '000 000' '111 000' Items in the second set but not the first: '111' '000'</t>
        </is>
      </c>
      <c r="BC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D46" s="55" t="inlineStr">
        <is>
          <t>AssertionError</t>
        </is>
      </c>
      <c r="BE46" s="55" t="inlineStr">
        <is>
          <t>AssertionError: Items in the first set but not the second: '000 000' '111 000' Items in the second set but not the first: '000' '111'</t>
        </is>
      </c>
      <c r="BF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G46" s="55" t="inlineStr">
        <is>
          <t>AssertionError</t>
        </is>
      </c>
      <c r="BH46" s="55" t="inlineStr">
        <is>
          <t>AssertionError: Items in the first set but not the second: '000 000' '111 000' Items in the second set but not the first: '000' '111'</t>
        </is>
      </c>
      <c r="BI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J46" s="55" t="inlineStr">
        <is>
          <t>AssertionError</t>
        </is>
      </c>
      <c r="BK46" s="55" t="inlineStr">
        <is>
          <t>AssertionError: Items in the first set but not the second: '111 000' '000 000' Items in the second set but not the first: '000' '111'</t>
        </is>
      </c>
      <c r="BL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M46" s="55" t="n"/>
      <c r="BN46" s="55" t="n"/>
      <c r="BO46" s="55" t="n"/>
      <c r="BP46" s="55" t="n"/>
      <c r="BQ46" s="55" t="n"/>
      <c r="BR46" s="55" t="n"/>
      <c r="BS46" s="55" t="n"/>
      <c r="BT46" s="55" t="n"/>
      <c r="BU46" s="55" t="n"/>
      <c r="BV46" s="55" t="n"/>
      <c r="BW46" s="55" t="n"/>
      <c r="BX46" s="55" t="n"/>
      <c r="BY46" s="55" t="n"/>
      <c r="BZ46" s="55" t="n"/>
      <c r="CA46" s="55" t="n"/>
      <c r="CB46" s="55" t="n"/>
      <c r="CC46" s="55" t="n"/>
      <c r="CD46" s="55" t="n"/>
      <c r="CE46" s="55" t="n"/>
      <c r="CF46" s="55" t="n"/>
      <c r="CG46" s="55" t="n"/>
      <c r="CH46" s="55" t="n"/>
      <c r="CI46" s="55" t="n"/>
      <c r="CJ46" s="55" t="n"/>
      <c r="CK46" s="55" t="n"/>
      <c r="CL46" s="55" t="n"/>
      <c r="CM46" s="55" t="n"/>
      <c r="CN46" s="55" t="n"/>
      <c r="CO46" s="55" t="n"/>
      <c r="CP46" s="55" t="n"/>
      <c r="CQ46" s="55" t="n"/>
      <c r="CR46" s="55" t="n"/>
      <c r="CS46" s="55" t="n"/>
      <c r="CT46" s="55" t="n"/>
      <c r="CU46" s="55" t="n"/>
      <c r="CV46" s="55" t="n"/>
      <c r="CW46" s="55" t="n"/>
      <c r="CX46" s="55" t="n"/>
      <c r="CY46" s="55" t="n"/>
      <c r="CZ46" s="55" t="n"/>
      <c r="DA46" s="55" t="n"/>
      <c r="DB46" s="55" t="n"/>
      <c r="DC46" s="55" t="n"/>
      <c r="DD46" s="55" t="n"/>
      <c r="DE46" s="55" t="n"/>
    </row>
    <row r="47">
      <c r="A47" s="55" t="inlineStr">
        <is>
          <t>issue_750</t>
        </is>
      </c>
      <c r="B47" s="56" t="inlineStr">
        <is>
          <t>NOT_TESTED</t>
        </is>
      </c>
      <c r="C47" s="56" t="inlineStr">
        <is>
          <t>NOT_TESTED</t>
        </is>
      </c>
      <c r="D47" s="56" t="inlineStr">
        <is>
          <t>NOT_TESTED</t>
        </is>
      </c>
      <c r="E47" s="56" t="inlineStr">
        <is>
          <t>NOT_TESTED</t>
        </is>
      </c>
      <c r="F47" s="57" t="inlineStr">
        <is>
          <t>ERROR</t>
        </is>
      </c>
      <c r="G47" s="57" t="inlineStr">
        <is>
          <t>ERROR</t>
        </is>
      </c>
      <c r="H47" s="57" t="inlineStr">
        <is>
          <t>ERROR</t>
        </is>
      </c>
      <c r="I47" s="57" t="inlineStr">
        <is>
          <t>ERROR</t>
        </is>
      </c>
      <c r="J47" s="57" t="inlineStr">
        <is>
          <t>ERROR</t>
        </is>
      </c>
      <c r="K47" s="57" t="inlineStr">
        <is>
          <t>ERROR</t>
        </is>
      </c>
      <c r="L47" s="57" t="inlineStr">
        <is>
          <t>ERROR</t>
        </is>
      </c>
      <c r="M47" s="57" t="inlineStr">
        <is>
          <t>ERROR</t>
        </is>
      </c>
      <c r="N47" s="57" t="inlineStr">
        <is>
          <t>ERROR</t>
        </is>
      </c>
      <c r="O47" s="57" t="inlineStr">
        <is>
          <t>ERROR</t>
        </is>
      </c>
      <c r="P47" s="57" t="inlineStr">
        <is>
          <t>ERROR</t>
        </is>
      </c>
      <c r="Q47" s="57" t="inlineStr">
        <is>
          <t>ERROR</t>
        </is>
      </c>
      <c r="R47" s="57" t="inlineStr">
        <is>
          <t>ERROR</t>
        </is>
      </c>
      <c r="S47" s="57" t="inlineStr">
        <is>
          <t>ERROR</t>
        </is>
      </c>
      <c r="T47" s="57" t="inlineStr">
        <is>
          <t>ERROR</t>
        </is>
      </c>
      <c r="U47" s="57" t="inlineStr">
        <is>
          <t>ERROR</t>
        </is>
      </c>
      <c r="V47" s="57" t="inlineStr">
        <is>
          <t>ERROR</t>
        </is>
      </c>
      <c r="W47" s="57" t="inlineStr">
        <is>
          <t>ERROR</t>
        </is>
      </c>
      <c r="X47" s="57" t="inlineStr">
        <is>
          <t>ERROR</t>
        </is>
      </c>
      <c r="Y47" s="57" t="inlineStr">
        <is>
          <t>ERROR</t>
        </is>
      </c>
      <c r="Z47" s="57" t="inlineStr">
        <is>
          <t>ERROR</t>
        </is>
      </c>
      <c r="AA47" s="57" t="inlineStr">
        <is>
          <t>ERROR</t>
        </is>
      </c>
      <c r="AB47" s="57" t="inlineStr">
        <is>
          <t>ERROR</t>
        </is>
      </c>
      <c r="AC47" s="55" t="n"/>
      <c r="AD47" s="55" t="n"/>
      <c r="AE47" s="55" t="n"/>
      <c r="AF47" s="55" t="n"/>
      <c r="AG47" s="55" t="n"/>
      <c r="AH47" s="55" t="n"/>
      <c r="AI47" s="55" t="n"/>
      <c r="AJ47" s="55" t="n"/>
      <c r="AK47" s="55" t="n"/>
      <c r="AL47" s="55" t="n"/>
      <c r="AM47" s="55" t="n"/>
      <c r="AN47" s="55" t="n"/>
      <c r="AO47" s="55" t="inlineStr">
        <is>
          <t>TypeError</t>
        </is>
      </c>
      <c r="AP47" s="55" t="inlineStr">
        <is>
          <t>TypeError: Pauli.__init__() got an unexpected keyword argument 'label'</t>
        </is>
      </c>
      <c r="AQ47" s="55" t="inlineStr">
        <is>
          <t>The LLM answered NO BUG and kept Pauli(label='XZ'); the math is right, but the label keyword was removed from Pauli in these versions, so the script raises TypeError. The reference builds the operator with Pauli('X')/Pauli('Z') and tensor/expand.</t>
        </is>
      </c>
      <c r="AR47" s="55" t="inlineStr">
        <is>
          <t>TypeError</t>
        </is>
      </c>
      <c r="AS47" s="55" t="inlineStr">
        <is>
          <t>TypeError: Pauli.__init__() got an unexpected keyword argument 'label'</t>
        </is>
      </c>
      <c r="AT47" s="55" t="inlineStr">
        <is>
          <t>The LLM answered NO BUG and kept Pauli(label='XZ'); the math is right, but the label keyword was removed from Pauli in these versions, so the script raises TypeError. The reference builds the operator with Pauli('X')/Pauli('Z') and tensor/expand.</t>
        </is>
      </c>
      <c r="AU47" s="55" t="inlineStr">
        <is>
          <t>TypeError</t>
        </is>
      </c>
      <c r="AV47" s="55" t="inlineStr">
        <is>
          <t>TypeError: Pauli.__init__() got an unexpected keyword argument 'label'</t>
        </is>
      </c>
      <c r="AW47" s="55" t="inlineStr">
        <is>
          <t>The LLM answered NO BUG and kept Pauli(label='XZ'); the math is right, but the label keyword was removed from Pauli in these versions, so the script raises TypeError. The reference builds the operator with Pauli('X')/Pauli('Z') and tensor/expand.</t>
        </is>
      </c>
      <c r="AX47" s="55" t="inlineStr">
        <is>
          <t>TypeError</t>
        </is>
      </c>
      <c r="AY47" s="55" t="inlineStr">
        <is>
          <t>TypeError: Pauli.__init__() got an unexpected keyword argument 'label'</t>
        </is>
      </c>
      <c r="AZ47" s="55" t="inlineStr">
        <is>
          <t>The LLM answered NO BUG and kept Pauli(label='XZ'); the math is right, but the label keyword was removed from Pauli in these versions, so the script raises TypeError. The reference builds the operator with Pauli('X')/Pauli('Z') and tensor/expand.</t>
        </is>
      </c>
      <c r="BA47" s="55" t="inlineStr">
        <is>
          <t>TypeError</t>
        </is>
      </c>
      <c r="BB47" s="55" t="inlineStr">
        <is>
          <t>TypeError: Pauli.__init__() got an unexpected keyword argument 'label'</t>
        </is>
      </c>
      <c r="BC47" s="55" t="inlineStr">
        <is>
          <t>The LLM answered NO BUG and kept Pauli(label='XZ'); the math is right, but the label keyword was removed from Pauli in these versions, so the script raises TypeError. The reference builds the operator with Pauli('X')/Pauli('Z') and tensor/expand.</t>
        </is>
      </c>
      <c r="BD47" s="55" t="inlineStr">
        <is>
          <t>TypeError</t>
        </is>
      </c>
      <c r="BE47" s="55" t="inlineStr">
        <is>
          <t>TypeError: Pauli.__init__() got an unexpected keyword argument 'label'</t>
        </is>
      </c>
      <c r="BF47" s="55" t="inlineStr">
        <is>
          <t>The LLM answered NO BUG and kept Pauli(label='XZ'); the math is right, but the label keyword was removed from Pauli in these versions, so the script raises TypeError. The reference builds the operator with Pauli('X')/Pauli('Z') and tensor/expand.</t>
        </is>
      </c>
      <c r="BG47" s="55" t="inlineStr">
        <is>
          <t>TypeError</t>
        </is>
      </c>
      <c r="BH47" s="55" t="inlineStr">
        <is>
          <t>TypeError: Pauli.__init__() got an unexpected keyword argument 'label'</t>
        </is>
      </c>
      <c r="BI47" s="55" t="inlineStr">
        <is>
          <t>The LLM answered NO BUG and kept Pauli(label='XZ'); the math is right, but the label keyword was removed from Pauli in these versions, so the script raises TypeError. The reference builds the operator with Pauli('X')/Pauli('Z') and tensor/expand.</t>
        </is>
      </c>
      <c r="BJ47" s="55" t="inlineStr">
        <is>
          <t>TypeError</t>
        </is>
      </c>
      <c r="BK47" s="55" t="inlineStr">
        <is>
          <t>TypeError: Pauli.__init__() got an unexpected keyword argument 'label'</t>
        </is>
      </c>
      <c r="BL47" s="55" t="inlineStr">
        <is>
          <t>The LLM answered NO BUG and kept Pauli(label='XZ'); the math is right, but the label keyword was removed from Pauli in these versions, so the script raises TypeError. The reference builds the operator with Pauli('X')/Pauli('Z') and tensor/expand.</t>
        </is>
      </c>
      <c r="BM47" s="55" t="inlineStr">
        <is>
          <t>TypeError</t>
        </is>
      </c>
      <c r="BN47" s="55" t="inlineStr">
        <is>
          <t>TypeError: Pauli.__init__() got an unexpected keyword argument 'label'</t>
        </is>
      </c>
      <c r="BO47" s="55" t="inlineStr">
        <is>
          <t>The LLM answered NO BUG and kept Pauli(label='XZ'); the math is right, but the label keyword was removed from Pauli in these versions, so the script raises TypeError. The reference builds the operator with Pauli('X')/Pauli('Z') and tensor/expand.</t>
        </is>
      </c>
      <c r="BP47" s="55" t="inlineStr">
        <is>
          <t>TypeError</t>
        </is>
      </c>
      <c r="BQ47" s="55" t="inlineStr">
        <is>
          <t>TypeError: Pauli.__init__() got an unexpected keyword argument 'label'</t>
        </is>
      </c>
      <c r="BR47" s="55" t="inlineStr">
        <is>
          <t>The LLM answered NO BUG and kept Pauli(label='XZ'); the math is right, but the label keyword was removed from Pauli in these versions, so the script raises TypeError. The reference builds the operator with Pauli('X')/Pauli('Z') and tensor/expand.</t>
        </is>
      </c>
      <c r="BS47" s="55" t="inlineStr">
        <is>
          <t>TypeError</t>
        </is>
      </c>
      <c r="BT47" s="55" t="inlineStr">
        <is>
          <t>TypeError: Pauli.__init__() got an unexpected keyword argument 'label'</t>
        </is>
      </c>
      <c r="BU47" s="55" t="inlineStr">
        <is>
          <t>The LLM answered NO BUG and kept Pauli(label='XZ'); the math is right, but the label keyword was removed from Pauli in these versions, so the script raises TypeError. The reference builds the operator with Pauli('X')/Pauli('Z') and tensor/expand.</t>
        </is>
      </c>
      <c r="BV47" s="55" t="inlineStr">
        <is>
          <t>TypeError</t>
        </is>
      </c>
      <c r="BW47" s="55" t="inlineStr">
        <is>
          <t>TypeError: Pauli.__init__() got an unexpected keyword argument 'label'</t>
        </is>
      </c>
      <c r="BX47" s="55" t="inlineStr">
        <is>
          <t>The LLM answered NO BUG and kept Pauli(label='XZ'); the math is right, but the label keyword was removed from Pauli in these versions, so the script raises TypeError. The reference builds the operator with Pauli('X')/Pauli('Z') and tensor/expand.</t>
        </is>
      </c>
      <c r="BY47" s="55" t="inlineStr">
        <is>
          <t>TypeError</t>
        </is>
      </c>
      <c r="BZ47" s="55" t="inlineStr">
        <is>
          <t>TypeError: Pauli.__init__() got an unexpected keyword argument 'label'</t>
        </is>
      </c>
      <c r="CA47" s="55" t="inlineStr">
        <is>
          <t>The LLM answered NO BUG and kept Pauli(label='XZ'); the math is right, but the label keyword was removed from Pauli in these versions, so the script raises TypeError. The reference builds the operator with Pauli('X')/Pauli('Z') and tensor/expand.</t>
        </is>
      </c>
      <c r="CB47" s="55" t="inlineStr">
        <is>
          <t>TypeError</t>
        </is>
      </c>
      <c r="CC47" s="55" t="inlineStr">
        <is>
          <t>TypeError: Pauli.__init__() got an unexpected keyword argument 'label'</t>
        </is>
      </c>
      <c r="CD47" s="55" t="inlineStr">
        <is>
          <t>The LLM answered NO BUG and kept Pauli(label='XZ'); the math is right, but the label keyword was removed from Pauli in these versions, so the script raises TypeError. The reference builds the operator with Pauli('X')/Pauli('Z') and tensor/expand.</t>
        </is>
      </c>
      <c r="CE47" s="55" t="inlineStr">
        <is>
          <t>TypeError</t>
        </is>
      </c>
      <c r="CF47" s="55" t="inlineStr">
        <is>
          <t>TypeError: Pauli.__init__() got an unexpected keyword argument 'label'</t>
        </is>
      </c>
      <c r="CG47" s="55" t="inlineStr">
        <is>
          <t>The LLM answered NO BUG and kept Pauli(label='XZ'); the math is right, but the label keyword was removed from Pauli in these versions, so the script raises TypeError. The reference builds the operator with Pauli('X')/Pauli('Z') and tensor/expand.</t>
        </is>
      </c>
      <c r="CH47" s="55" t="inlineStr">
        <is>
          <t>TypeError</t>
        </is>
      </c>
      <c r="CI47" s="55" t="inlineStr">
        <is>
          <t>TypeError: Pauli.__init__() got an unexpected keyword argument 'label'</t>
        </is>
      </c>
      <c r="CJ47" s="55" t="inlineStr">
        <is>
          <t>The LLM answered NO BUG and kept Pauli(label='XZ'); the math is right, but the label keyword was removed from Pauli in these versions, so the script raises TypeError. The reference builds the operator with Pauli('X')/Pauli('Z') and tensor/expand.</t>
        </is>
      </c>
      <c r="CK47" s="55" t="inlineStr">
        <is>
          <t>TypeError</t>
        </is>
      </c>
      <c r="CL47" s="55" t="inlineStr">
        <is>
          <t>TypeError: Pauli.__init__() got an unexpected keyword argument 'label'</t>
        </is>
      </c>
      <c r="CM47" s="55" t="inlineStr">
        <is>
          <t>The LLM answered NO BUG and kept Pauli(label='XZ'); the math is right, but the label keyword was removed from Pauli in these versions, so the script raises TypeError. The reference builds the operator with Pauli('X')/Pauli('Z') and tensor/expand.</t>
        </is>
      </c>
      <c r="CN47" s="55" t="inlineStr">
        <is>
          <t>TypeError</t>
        </is>
      </c>
      <c r="CO47" s="55" t="inlineStr">
        <is>
          <t>TypeError: Pauli.__init__() got an unexpected keyword argument 'label'</t>
        </is>
      </c>
      <c r="CP47" s="55" t="inlineStr">
        <is>
          <t>The LLM answered NO BUG and kept Pauli(label='XZ'); the math is right, but the label keyword was removed from Pauli in these versions, so the script raises TypeError. The reference builds the operator with Pauli('X')/Pauli('Z') and tensor/expand.</t>
        </is>
      </c>
      <c r="CQ47" s="55" t="inlineStr">
        <is>
          <t>TypeError</t>
        </is>
      </c>
      <c r="CR47" s="55" t="inlineStr">
        <is>
          <t>TypeError: Pauli.__init__() got an unexpected keyword argument 'label'</t>
        </is>
      </c>
      <c r="CS47" s="55" t="inlineStr">
        <is>
          <t>The LLM answered NO BUG and kept Pauli(label='XZ'); the math is right, but the label keyword was removed from Pauli in these versions, so the script raises TypeError. The reference builds the operator with Pauli('X')/Pauli('Z') and tensor/expand.</t>
        </is>
      </c>
      <c r="CT47" s="55" t="inlineStr">
        <is>
          <t>TypeError</t>
        </is>
      </c>
      <c r="CU47" s="55" t="inlineStr">
        <is>
          <t>TypeError: Pauli.__init__() got an unexpected keyword argument 'label'</t>
        </is>
      </c>
      <c r="CV47" s="55" t="inlineStr">
        <is>
          <t>The LLM answered NO BUG and kept Pauli(label='XZ'); the math is right, but the label keyword was removed from Pauli in these versions, so the script raises TypeError. The reference builds the operator with Pauli('X')/Pauli('Z') and tensor/expand.</t>
        </is>
      </c>
      <c r="CW47" s="55" t="inlineStr">
        <is>
          <t>TypeError</t>
        </is>
      </c>
      <c r="CX47" s="55" t="inlineStr">
        <is>
          <t>TypeError: Pauli.__init__() got an unexpected keyword argument 'label'</t>
        </is>
      </c>
      <c r="CY47" s="55" t="inlineStr">
        <is>
          <t>The LLM answered NO BUG and kept Pauli(label='XZ'); the math is right, but the label keyword was removed from Pauli in these versions, so the script raises TypeError. The reference builds the operator with Pauli('X')/Pauli('Z') and tensor/expand.</t>
        </is>
      </c>
      <c r="CZ47" s="55" t="inlineStr">
        <is>
          <t>TypeError</t>
        </is>
      </c>
      <c r="DA47" s="55" t="inlineStr">
        <is>
          <t>TypeError: Pauli.__init__() got an unexpected keyword argument 'label'</t>
        </is>
      </c>
      <c r="DB47" s="55" t="inlineStr">
        <is>
          <t>The LLM answered NO BUG and kept Pauli(label='XZ'); the math is right, but the label keyword was removed from Pauli in these versions, so the script raises TypeError. The reference builds the operator with Pauli('X')/Pauli('Z') and tensor/expand.</t>
        </is>
      </c>
      <c r="DC47" s="55" t="inlineStr">
        <is>
          <t>TypeError</t>
        </is>
      </c>
      <c r="DD47" s="55" t="inlineStr">
        <is>
          <t>TypeError: Pauli.__init__() got an unexpected keyword argument 'label'</t>
        </is>
      </c>
      <c r="DE47" s="55" t="inlineStr">
        <is>
          <t>The LLM answered NO BUG and kept Pauli(label='XZ'); the math is right, but the label keyword was removed from Pauli in these versions, so the script raises TypeError. The reference builds the operator with Pauli('X')/Pauli('Z') and tensor/expand.</t>
        </is>
      </c>
    </row>
    <row r="48">
      <c r="A48" s="55" t="inlineStr">
        <is>
          <t>issue_769</t>
        </is>
      </c>
      <c r="B48" s="56" t="inlineStr">
        <is>
          <t>NOT_TESTED</t>
        </is>
      </c>
      <c r="C48" s="56" t="inlineStr">
        <is>
          <t>NOT_TESTED</t>
        </is>
      </c>
      <c r="D48" s="56" t="inlineStr">
        <is>
          <t>NOT_TESTED</t>
        </is>
      </c>
      <c r="E48" s="56" t="inlineStr">
        <is>
          <t>NOT_TESTED</t>
        </is>
      </c>
      <c r="F48" s="56" t="inlineStr">
        <is>
          <t>NOT_TESTED</t>
        </is>
      </c>
      <c r="G48" s="56" t="inlineStr">
        <is>
          <t>NOT_TESTED</t>
        </is>
      </c>
      <c r="H48" s="56" t="inlineStr">
        <is>
          <t>NOT_TESTED</t>
        </is>
      </c>
      <c r="I48" s="56" t="inlineStr">
        <is>
          <t>NOT_TESTED</t>
        </is>
      </c>
      <c r="J48" s="56" t="inlineStr">
        <is>
          <t>NOT_TESTED</t>
        </is>
      </c>
      <c r="K48" s="56" t="inlineStr">
        <is>
          <t>NOT_TESTED</t>
        </is>
      </c>
      <c r="L48" s="56" t="inlineStr">
        <is>
          <t>NOT_TESTED</t>
        </is>
      </c>
      <c r="M48" s="56" t="inlineStr">
        <is>
          <t>NOT_TESTED</t>
        </is>
      </c>
      <c r="N48" s="57" t="inlineStr">
        <is>
          <t>ERROR</t>
        </is>
      </c>
      <c r="O48" s="57" t="inlineStr">
        <is>
          <t>ERROR</t>
        </is>
      </c>
      <c r="P48" s="57" t="inlineStr">
        <is>
          <t>ERROR</t>
        </is>
      </c>
      <c r="Q48" s="57" t="inlineStr">
        <is>
          <t>ERROR</t>
        </is>
      </c>
      <c r="R48" s="57" t="inlineStr">
        <is>
          <t>ERROR</t>
        </is>
      </c>
      <c r="S48" s="57" t="inlineStr">
        <is>
          <t>ERROR</t>
        </is>
      </c>
      <c r="T48" s="57" t="inlineStr">
        <is>
          <t>ERROR</t>
        </is>
      </c>
      <c r="U48" s="57" t="inlineStr">
        <is>
          <t>ERROR</t>
        </is>
      </c>
      <c r="V48" s="57" t="inlineStr">
        <is>
          <t>ERROR</t>
        </is>
      </c>
      <c r="W48" s="57" t="inlineStr">
        <is>
          <t>ERROR</t>
        </is>
      </c>
      <c r="X48" s="57" t="inlineStr">
        <is>
          <t>ERROR</t>
        </is>
      </c>
      <c r="Y48" s="57" t="inlineStr">
        <is>
          <t>ERROR</t>
        </is>
      </c>
      <c r="Z48" s="57" t="inlineStr">
        <is>
          <t>ERROR</t>
        </is>
      </c>
      <c r="AA48" s="57" t="inlineStr">
        <is>
          <t>ERROR</t>
        </is>
      </c>
      <c r="AB48" s="57" t="inlineStr">
        <is>
          <t>ERROR</t>
        </is>
      </c>
      <c r="AC48" s="55" t="n"/>
      <c r="AD48" s="55" t="n"/>
      <c r="AE48" s="55" t="n"/>
      <c r="AF48" s="55" t="n"/>
      <c r="AG48" s="55" t="n"/>
      <c r="AH48" s="55" t="n"/>
      <c r="AI48" s="55" t="n"/>
      <c r="AJ48" s="55" t="n"/>
      <c r="AK48" s="55" t="n"/>
      <c r="AL48" s="55" t="n"/>
      <c r="AM48" s="55" t="n"/>
      <c r="AN48" s="55" t="n"/>
      <c r="AO48" s="55" t="n"/>
      <c r="AP48" s="55" t="n"/>
      <c r="AQ48" s="55" t="n"/>
      <c r="AR48" s="55" t="n"/>
      <c r="AS48" s="55" t="n"/>
      <c r="AT48" s="55" t="n"/>
      <c r="AU48" s="55" t="n"/>
      <c r="AV48" s="55" t="n"/>
      <c r="AW48" s="55" t="n"/>
      <c r="AX48" s="55" t="n"/>
      <c r="AY48" s="55" t="n"/>
      <c r="AZ48" s="55" t="n"/>
      <c r="BA48" s="55" t="n"/>
      <c r="BB48" s="55" t="n"/>
      <c r="BC48" s="55" t="n"/>
      <c r="BD48" s="55" t="n"/>
      <c r="BE48" s="55" t="n"/>
      <c r="BF48" s="55" t="n"/>
      <c r="BG48" s="55" t="n"/>
      <c r="BH48" s="55" t="n"/>
      <c r="BI48" s="55" t="n"/>
      <c r="BJ48" s="55" t="n"/>
      <c r="BK48" s="55" t="n"/>
      <c r="BL48" s="55" t="n"/>
      <c r="BM48" s="55" t="inlineStr">
        <is>
          <t>KeyError</t>
        </is>
      </c>
      <c r="BN48" s="55" t="inlineStr">
        <is>
          <t>KeyError: 'get_qiskit_gate'</t>
        </is>
      </c>
      <c r="BO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P48" s="55" t="inlineStr">
        <is>
          <t>KeyError</t>
        </is>
      </c>
      <c r="BQ48" s="55" t="inlineStr">
        <is>
          <t>KeyError: 'get_qiskit_gate'</t>
        </is>
      </c>
      <c r="BR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S48" s="55" t="inlineStr">
        <is>
          <t>KeyError</t>
        </is>
      </c>
      <c r="BT48" s="55" t="inlineStr">
        <is>
          <t>KeyError: 'get_qiskit_gate'</t>
        </is>
      </c>
      <c r="BU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V48" s="55" t="inlineStr">
        <is>
          <t>KeyError</t>
        </is>
      </c>
      <c r="BW48" s="55" t="inlineStr">
        <is>
          <t>KeyError: 'get_qiskit_gate'</t>
        </is>
      </c>
      <c r="BX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Y48" s="55" t="inlineStr">
        <is>
          <t>KeyError</t>
        </is>
      </c>
      <c r="BZ48" s="55" t="inlineStr">
        <is>
          <t>KeyError: 'get_qiskit_gate'</t>
        </is>
      </c>
      <c r="CA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B48" s="55" t="inlineStr">
        <is>
          <t>KeyError</t>
        </is>
      </c>
      <c r="CC48" s="55" t="inlineStr">
        <is>
          <t>KeyError: 'get_qiskit_gate'</t>
        </is>
      </c>
      <c r="CD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E48" s="55" t="inlineStr">
        <is>
          <t>KeyError</t>
        </is>
      </c>
      <c r="CF48" s="55" t="inlineStr">
        <is>
          <t>KeyError: 'get_qiskit_gate'</t>
        </is>
      </c>
      <c r="CG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H48" s="55" t="inlineStr">
        <is>
          <t>KeyError</t>
        </is>
      </c>
      <c r="CI48" s="55" t="inlineStr">
        <is>
          <t>KeyError: 'get_qiskit_gate'</t>
        </is>
      </c>
      <c r="CJ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K48" s="55" t="inlineStr">
        <is>
          <t>KeyError</t>
        </is>
      </c>
      <c r="CL48" s="55" t="inlineStr">
        <is>
          <t>KeyError: 'get_qiskit_gate'</t>
        </is>
      </c>
      <c r="CM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N48" s="55" t="inlineStr">
        <is>
          <t>KeyError</t>
        </is>
      </c>
      <c r="CO48" s="55" t="inlineStr">
        <is>
          <t>KeyError: 'get_qiskit_gate'</t>
        </is>
      </c>
      <c r="CP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Q48" s="55" t="inlineStr">
        <is>
          <t>KeyError</t>
        </is>
      </c>
      <c r="CR48" s="55" t="inlineStr">
        <is>
          <t>KeyError: 'get_qiskit_gate'</t>
        </is>
      </c>
      <c r="CS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T48" s="55" t="inlineStr">
        <is>
          <t>KeyError</t>
        </is>
      </c>
      <c r="CU48" s="55" t="inlineStr">
        <is>
          <t>KeyError: 'get_qiskit_gate'</t>
        </is>
      </c>
      <c r="CV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W48" s="55" t="inlineStr">
        <is>
          <t>KeyError</t>
        </is>
      </c>
      <c r="CX48" s="55" t="inlineStr">
        <is>
          <t>KeyError: 'get_qiskit_gate'</t>
        </is>
      </c>
      <c r="CY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Z48" s="55" t="inlineStr">
        <is>
          <t>KeyError</t>
        </is>
      </c>
      <c r="DA48" s="55" t="inlineStr">
        <is>
          <t>KeyError: 'get_qiskit_gate'</t>
        </is>
      </c>
      <c r="DB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DC48" s="55" t="inlineStr">
        <is>
          <t>KeyError</t>
        </is>
      </c>
      <c r="DD48" s="55" t="inlineStr">
        <is>
          <t>KeyError: 'get_qiskit_gate'</t>
        </is>
      </c>
      <c r="DE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row>
    <row r="49">
      <c r="A49" s="55" t="inlineStr">
        <is>
          <t>issue_773</t>
        </is>
      </c>
      <c r="B49" s="56" t="inlineStr">
        <is>
          <t>NOT_TESTED</t>
        </is>
      </c>
      <c r="C49" s="56" t="inlineStr">
        <is>
          <t>NOT_TESTED</t>
        </is>
      </c>
      <c r="D49" s="56" t="inlineStr">
        <is>
          <t>NOT_TESTED</t>
        </is>
      </c>
      <c r="E49" s="56" t="inlineStr">
        <is>
          <t>NOT_TESTED</t>
        </is>
      </c>
      <c r="F49" s="59" t="inlineStr">
        <is>
          <t>PASS</t>
        </is>
      </c>
      <c r="G49" s="59" t="inlineStr">
        <is>
          <t>PASS</t>
        </is>
      </c>
      <c r="H49" s="59" t="inlineStr">
        <is>
          <t>PASS</t>
        </is>
      </c>
      <c r="I49" s="59" t="inlineStr">
        <is>
          <t>PASS</t>
        </is>
      </c>
      <c r="J49" s="59" t="inlineStr">
        <is>
          <t>PASS</t>
        </is>
      </c>
      <c r="K49" s="59" t="inlineStr">
        <is>
          <t>PASS</t>
        </is>
      </c>
      <c r="L49" s="59" t="inlineStr">
        <is>
          <t>PASS</t>
        </is>
      </c>
      <c r="M49" s="59" t="inlineStr">
        <is>
          <t>PASS</t>
        </is>
      </c>
      <c r="N49" s="56" t="inlineStr">
        <is>
          <t>NOT_TESTED</t>
        </is>
      </c>
      <c r="O49" s="56" t="inlineStr">
        <is>
          <t>NOT_TESTED</t>
        </is>
      </c>
      <c r="P49" s="56" t="inlineStr">
        <is>
          <t>NOT_TESTED</t>
        </is>
      </c>
      <c r="Q49" s="56" t="inlineStr">
        <is>
          <t>NOT_TESTED</t>
        </is>
      </c>
      <c r="R49" s="56" t="inlineStr">
        <is>
          <t>NOT_TESTED</t>
        </is>
      </c>
      <c r="S49" s="56" t="inlineStr">
        <is>
          <t>NOT_TESTED</t>
        </is>
      </c>
      <c r="T49" s="56" t="inlineStr">
        <is>
          <t>NOT_TESTED</t>
        </is>
      </c>
      <c r="U49" s="56" t="inlineStr">
        <is>
          <t>NOT_TESTED</t>
        </is>
      </c>
      <c r="V49" s="56" t="inlineStr">
        <is>
          <t>NOT_TESTED</t>
        </is>
      </c>
      <c r="W49" s="56" t="inlineStr">
        <is>
          <t>NOT_TESTED</t>
        </is>
      </c>
      <c r="X49" s="56" t="inlineStr">
        <is>
          <t>NOT_TESTED</t>
        </is>
      </c>
      <c r="Y49" s="56" t="inlineStr">
        <is>
          <t>NOT_TESTED</t>
        </is>
      </c>
      <c r="Z49" s="56" t="inlineStr">
        <is>
          <t>NOT_TESTED</t>
        </is>
      </c>
      <c r="AA49" s="56" t="inlineStr">
        <is>
          <t>NOT_TESTED</t>
        </is>
      </c>
      <c r="AB49" s="56" t="inlineStr">
        <is>
          <t>NOT_TESTED</t>
        </is>
      </c>
      <c r="AC49" s="55" t="n"/>
      <c r="AD49" s="55" t="n"/>
      <c r="AE49" s="55" t="n"/>
      <c r="AF49" s="55" t="n"/>
      <c r="AG49" s="55" t="n"/>
      <c r="AH49" s="55" t="n"/>
      <c r="AI49" s="55" t="n"/>
      <c r="AJ49" s="55" t="n"/>
      <c r="AK49" s="55" t="n"/>
      <c r="AL49" s="55" t="n"/>
      <c r="AM49" s="55" t="n"/>
      <c r="AN49" s="55" t="n"/>
      <c r="AO49" s="55" t="n"/>
      <c r="AP49" s="55" t="n"/>
      <c r="AQ49" s="55" t="n"/>
      <c r="AR49" s="55" t="n"/>
      <c r="AS49" s="55" t="n"/>
      <c r="AT49" s="55" t="n"/>
      <c r="AU49" s="55" t="n"/>
      <c r="AV49" s="55" t="n"/>
      <c r="AW49" s="55" t="n"/>
      <c r="AX49" s="55" t="n"/>
      <c r="AY49" s="55" t="n"/>
      <c r="AZ49" s="55" t="n"/>
      <c r="BA49" s="55" t="n"/>
      <c r="BB49" s="55" t="n"/>
      <c r="BC49" s="55" t="n"/>
      <c r="BD49" s="55" t="n"/>
      <c r="BE49" s="55" t="n"/>
      <c r="BF49" s="55" t="n"/>
      <c r="BG49" s="55" t="n"/>
      <c r="BH49" s="55" t="n"/>
      <c r="BI49" s="55" t="n"/>
      <c r="BJ49" s="55" t="n"/>
      <c r="BK49" s="55" t="n"/>
      <c r="BL49" s="55" t="n"/>
      <c r="BM49" s="55" t="n"/>
      <c r="BN49" s="55" t="n"/>
      <c r="BO49" s="55" t="n"/>
      <c r="BP49" s="55" t="n"/>
      <c r="BQ49" s="55" t="n"/>
      <c r="BR49" s="55" t="n"/>
      <c r="BS49" s="55" t="n"/>
      <c r="BT49" s="55" t="n"/>
      <c r="BU49" s="55" t="n"/>
      <c r="BV49" s="55" t="n"/>
      <c r="BW49" s="55" t="n"/>
      <c r="BX49" s="55" t="n"/>
      <c r="BY49" s="55" t="n"/>
      <c r="BZ49" s="55" t="n"/>
      <c r="CA49" s="55" t="n"/>
      <c r="CB49" s="55" t="n"/>
      <c r="CC49" s="55" t="n"/>
      <c r="CD49" s="55" t="n"/>
      <c r="CE49" s="55" t="n"/>
      <c r="CF49" s="55" t="n"/>
      <c r="CG49" s="55" t="n"/>
      <c r="CH49" s="55" t="n"/>
      <c r="CI49" s="55" t="n"/>
      <c r="CJ49" s="55" t="n"/>
      <c r="CK49" s="55" t="n"/>
      <c r="CL49" s="55" t="n"/>
      <c r="CM49" s="55" t="n"/>
      <c r="CN49" s="55" t="n"/>
      <c r="CO49" s="55" t="n"/>
      <c r="CP49" s="55" t="n"/>
      <c r="CQ49" s="55" t="n"/>
      <c r="CR49" s="55" t="n"/>
      <c r="CS49" s="55" t="n"/>
      <c r="CT49" s="55" t="n"/>
      <c r="CU49" s="55" t="n"/>
      <c r="CV49" s="55" t="n"/>
      <c r="CW49" s="55" t="n"/>
      <c r="CX49" s="55" t="n"/>
      <c r="CY49" s="55" t="n"/>
      <c r="CZ49" s="55" t="n"/>
      <c r="DA49" s="55" t="n"/>
      <c r="DB49" s="55" t="n"/>
      <c r="DC49" s="55" t="n"/>
      <c r="DD49" s="55" t="n"/>
      <c r="DE49" s="55" t="n"/>
    </row>
    <row r="50">
      <c r="A50" s="55" t="inlineStr">
        <is>
          <t>issue_775</t>
        </is>
      </c>
      <c r="B50" s="57" t="inlineStr">
        <is>
          <t>ERROR</t>
        </is>
      </c>
      <c r="C50" s="57" t="inlineStr">
        <is>
          <t>ERROR</t>
        </is>
      </c>
      <c r="D50" s="57" t="inlineStr">
        <is>
          <t>ERROR</t>
        </is>
      </c>
      <c r="E50" s="57" t="inlineStr">
        <is>
          <t>ERROR</t>
        </is>
      </c>
      <c r="F50" s="57" t="inlineStr">
        <is>
          <t>ERROR</t>
        </is>
      </c>
      <c r="G50" s="57" t="inlineStr">
        <is>
          <t>ERROR</t>
        </is>
      </c>
      <c r="H50" s="57" t="inlineStr">
        <is>
          <t>ERROR</t>
        </is>
      </c>
      <c r="I50" s="57" t="inlineStr">
        <is>
          <t>ERROR</t>
        </is>
      </c>
      <c r="J50" s="57" t="inlineStr">
        <is>
          <t>ERROR</t>
        </is>
      </c>
      <c r="K50" s="57" t="inlineStr">
        <is>
          <t>ERROR</t>
        </is>
      </c>
      <c r="L50" s="57" t="inlineStr">
        <is>
          <t>ERROR</t>
        </is>
      </c>
      <c r="M50" s="57" t="inlineStr">
        <is>
          <t>ERROR</t>
        </is>
      </c>
      <c r="N50" s="56" t="inlineStr">
        <is>
          <t>NOT_TESTED</t>
        </is>
      </c>
      <c r="O50" s="56" t="inlineStr">
        <is>
          <t>NOT_TESTED</t>
        </is>
      </c>
      <c r="P50" s="56" t="inlineStr">
        <is>
          <t>NOT_TESTED</t>
        </is>
      </c>
      <c r="Q50" s="56" t="inlineStr">
        <is>
          <t>NOT_TESTED</t>
        </is>
      </c>
      <c r="R50" s="56" t="inlineStr">
        <is>
          <t>NOT_TESTED</t>
        </is>
      </c>
      <c r="S50" s="56" t="inlineStr">
        <is>
          <t>NOT_TESTED</t>
        </is>
      </c>
      <c r="T50" s="56" t="inlineStr">
        <is>
          <t>NOT_TESTED</t>
        </is>
      </c>
      <c r="U50" s="56" t="inlineStr">
        <is>
          <t>NOT_TESTED</t>
        </is>
      </c>
      <c r="V50" s="56" t="inlineStr">
        <is>
          <t>NOT_TESTED</t>
        </is>
      </c>
      <c r="W50" s="56" t="inlineStr">
        <is>
          <t>NOT_TESTED</t>
        </is>
      </c>
      <c r="X50" s="56" t="inlineStr">
        <is>
          <t>NOT_TESTED</t>
        </is>
      </c>
      <c r="Y50" s="56" t="inlineStr">
        <is>
          <t>NOT_TESTED</t>
        </is>
      </c>
      <c r="Z50" s="56" t="inlineStr">
        <is>
          <t>NOT_TESTED</t>
        </is>
      </c>
      <c r="AA50" s="56" t="inlineStr">
        <is>
          <t>NOT_TESTED</t>
        </is>
      </c>
      <c r="AB50" s="56" t="inlineStr">
        <is>
          <t>NOT_TESTED</t>
        </is>
      </c>
      <c r="AC50" s="55" t="inlineStr">
        <is>
          <t>KeyError</t>
        </is>
      </c>
      <c r="AD50" s="55" t="inlineStr">
        <is>
          <t>KeyError: 'qc'</t>
        </is>
      </c>
      <c r="AE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F50" s="55" t="inlineStr">
        <is>
          <t>KeyError</t>
        </is>
      </c>
      <c r="AG50" s="55" t="inlineStr">
        <is>
          <t>KeyError: 'qc'</t>
        </is>
      </c>
      <c r="AH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I50" s="55" t="inlineStr">
        <is>
          <t>KeyError</t>
        </is>
      </c>
      <c r="AJ50" s="55" t="inlineStr">
        <is>
          <t>KeyError: 'qc'</t>
        </is>
      </c>
      <c r="AK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L50" s="55" t="inlineStr">
        <is>
          <t>KeyError</t>
        </is>
      </c>
      <c r="AM50" s="55" t="inlineStr">
        <is>
          <t>KeyError: 'qc'</t>
        </is>
      </c>
      <c r="AN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O50" s="55" t="inlineStr">
        <is>
          <t>KeyError</t>
        </is>
      </c>
      <c r="AP50" s="55" t="inlineStr">
        <is>
          <t>KeyError: 'qc'</t>
        </is>
      </c>
      <c r="AQ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R50" s="55" t="inlineStr">
        <is>
          <t>KeyError</t>
        </is>
      </c>
      <c r="AS50" s="55" t="inlineStr">
        <is>
          <t>KeyError: 'qc'</t>
        </is>
      </c>
      <c r="AT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U50" s="55" t="inlineStr">
        <is>
          <t>KeyError</t>
        </is>
      </c>
      <c r="AV50" s="55" t="inlineStr">
        <is>
          <t>KeyError: 'qc'</t>
        </is>
      </c>
      <c r="AW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X50" s="55" t="inlineStr">
        <is>
          <t>KeyError</t>
        </is>
      </c>
      <c r="AY50" s="55" t="inlineStr">
        <is>
          <t>KeyError: 'qc'</t>
        </is>
      </c>
      <c r="AZ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A50" s="55" t="inlineStr">
        <is>
          <t>KeyError</t>
        </is>
      </c>
      <c r="BB50" s="55" t="inlineStr">
        <is>
          <t>KeyError: 'qc'</t>
        </is>
      </c>
      <c r="BC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D50" s="55" t="inlineStr">
        <is>
          <t>KeyError</t>
        </is>
      </c>
      <c r="BE50" s="55" t="inlineStr">
        <is>
          <t>KeyError: 'qc'</t>
        </is>
      </c>
      <c r="BF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G50" s="55" t="inlineStr">
        <is>
          <t>KeyError</t>
        </is>
      </c>
      <c r="BH50" s="55" t="inlineStr">
        <is>
          <t>KeyError: 'qc'</t>
        </is>
      </c>
      <c r="BI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J50" s="55" t="inlineStr">
        <is>
          <t>KeyError</t>
        </is>
      </c>
      <c r="BK50" s="55" t="inlineStr">
        <is>
          <t>KeyError: 'qc'</t>
        </is>
      </c>
      <c r="BL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M50" s="55" t="n"/>
      <c r="BN50" s="55" t="n"/>
      <c r="BO50" s="55" t="n"/>
      <c r="BP50" s="55" t="n"/>
      <c r="BQ50" s="55" t="n"/>
      <c r="BR50" s="55" t="n"/>
      <c r="BS50" s="55" t="n"/>
      <c r="BT50" s="55" t="n"/>
      <c r="BU50" s="55" t="n"/>
      <c r="BV50" s="55" t="n"/>
      <c r="BW50" s="55" t="n"/>
      <c r="BX50" s="55" t="n"/>
      <c r="BY50" s="55" t="n"/>
      <c r="BZ50" s="55" t="n"/>
      <c r="CA50" s="55" t="n"/>
      <c r="CB50" s="55" t="n"/>
      <c r="CC50" s="55" t="n"/>
      <c r="CD50" s="55" t="n"/>
      <c r="CE50" s="55" t="n"/>
      <c r="CF50" s="55" t="n"/>
      <c r="CG50" s="55" t="n"/>
      <c r="CH50" s="55" t="n"/>
      <c r="CI50" s="55" t="n"/>
      <c r="CJ50" s="55" t="n"/>
      <c r="CK50" s="55" t="n"/>
      <c r="CL50" s="55" t="n"/>
      <c r="CM50" s="55" t="n"/>
      <c r="CN50" s="55" t="n"/>
      <c r="CO50" s="55" t="n"/>
      <c r="CP50" s="55" t="n"/>
      <c r="CQ50" s="55" t="n"/>
      <c r="CR50" s="55" t="n"/>
      <c r="CS50" s="55" t="n"/>
      <c r="CT50" s="55" t="n"/>
      <c r="CU50" s="55" t="n"/>
      <c r="CV50" s="55" t="n"/>
      <c r="CW50" s="55" t="n"/>
      <c r="CX50" s="55" t="n"/>
      <c r="CY50" s="55" t="n"/>
      <c r="CZ50" s="55" t="n"/>
      <c r="DA50" s="55" t="n"/>
      <c r="DB50" s="55" t="n"/>
      <c r="DC50" s="55" t="n"/>
      <c r="DD50" s="55" t="n"/>
      <c r="DE50" s="55" t="n"/>
    </row>
    <row r="51">
      <c r="A51" s="55" t="inlineStr">
        <is>
          <t>issue_795</t>
        </is>
      </c>
      <c r="B51" s="59" t="inlineStr">
        <is>
          <t>PASS</t>
        </is>
      </c>
      <c r="C51" s="59" t="inlineStr">
        <is>
          <t>PASS</t>
        </is>
      </c>
      <c r="D51" s="59" t="inlineStr">
        <is>
          <t>PASS</t>
        </is>
      </c>
      <c r="E51" s="59" t="inlineStr">
        <is>
          <t>PASS</t>
        </is>
      </c>
      <c r="F51" s="59" t="inlineStr">
        <is>
          <t>PASS</t>
        </is>
      </c>
      <c r="G51" s="59" t="inlineStr">
        <is>
          <t>PASS</t>
        </is>
      </c>
      <c r="H51" s="59" t="inlineStr">
        <is>
          <t>PASS</t>
        </is>
      </c>
      <c r="I51" s="59" t="inlineStr">
        <is>
          <t>PASS</t>
        </is>
      </c>
      <c r="J51" s="59" t="inlineStr">
        <is>
          <t>PASS</t>
        </is>
      </c>
      <c r="K51" s="59" t="inlineStr">
        <is>
          <t>PASS</t>
        </is>
      </c>
      <c r="L51" s="59" t="inlineStr">
        <is>
          <t>PASS</t>
        </is>
      </c>
      <c r="M51" s="59" t="inlineStr">
        <is>
          <t>PASS</t>
        </is>
      </c>
      <c r="N51" s="56" t="inlineStr">
        <is>
          <t>NOT_TESTED</t>
        </is>
      </c>
      <c r="O51" s="56" t="inlineStr">
        <is>
          <t>NOT_TESTED</t>
        </is>
      </c>
      <c r="P51" s="56" t="inlineStr">
        <is>
          <t>NOT_TESTED</t>
        </is>
      </c>
      <c r="Q51" s="56" t="inlineStr">
        <is>
          <t>NOT_TESTED</t>
        </is>
      </c>
      <c r="R51" s="56" t="inlineStr">
        <is>
          <t>NOT_TESTED</t>
        </is>
      </c>
      <c r="S51" s="56" t="inlineStr">
        <is>
          <t>NOT_TESTED</t>
        </is>
      </c>
      <c r="T51" s="56" t="inlineStr">
        <is>
          <t>NOT_TESTED</t>
        </is>
      </c>
      <c r="U51" s="56" t="inlineStr">
        <is>
          <t>NOT_TESTED</t>
        </is>
      </c>
      <c r="V51" s="56" t="inlineStr">
        <is>
          <t>NOT_TESTED</t>
        </is>
      </c>
      <c r="W51" s="56" t="inlineStr">
        <is>
          <t>NOT_TESTED</t>
        </is>
      </c>
      <c r="X51" s="56" t="inlineStr">
        <is>
          <t>NOT_TESTED</t>
        </is>
      </c>
      <c r="Y51" s="56" t="inlineStr">
        <is>
          <t>NOT_TESTED</t>
        </is>
      </c>
      <c r="Z51" s="56" t="inlineStr">
        <is>
          <t>NOT_TESTED</t>
        </is>
      </c>
      <c r="AA51" s="56" t="inlineStr">
        <is>
          <t>NOT_TESTED</t>
        </is>
      </c>
      <c r="AB51" s="56" t="inlineStr">
        <is>
          <t>NOT_TESTED</t>
        </is>
      </c>
      <c r="AC51" s="55" t="n"/>
      <c r="AD51" s="55" t="n"/>
      <c r="AE51" s="55" t="n"/>
      <c r="AF51" s="55" t="n"/>
      <c r="AG51" s="55" t="n"/>
      <c r="AH51" s="55" t="n"/>
      <c r="AI51" s="55" t="n"/>
      <c r="AJ51" s="55" t="n"/>
      <c r="AK51" s="55" t="n"/>
      <c r="AL51" s="55" t="n"/>
      <c r="AM51" s="55" t="n"/>
      <c r="AN51" s="55" t="n"/>
      <c r="AO51" s="55" t="n"/>
      <c r="AP51" s="55" t="n"/>
      <c r="AQ51" s="55" t="n"/>
      <c r="AR51" s="55" t="n"/>
      <c r="AS51" s="55" t="n"/>
      <c r="AT51" s="55" t="n"/>
      <c r="AU51" s="55" t="n"/>
      <c r="AV51" s="55" t="n"/>
      <c r="AW51" s="55" t="n"/>
      <c r="AX51" s="55" t="n"/>
      <c r="AY51" s="55" t="n"/>
      <c r="AZ51" s="55" t="n"/>
      <c r="BA51" s="55" t="n"/>
      <c r="BB51" s="55" t="n"/>
      <c r="BC51" s="55" t="n"/>
      <c r="BD51" s="55" t="n"/>
      <c r="BE51" s="55" t="n"/>
      <c r="BF51" s="55" t="n"/>
      <c r="BG51" s="55" t="n"/>
      <c r="BH51" s="55" t="n"/>
      <c r="BI51" s="55" t="n"/>
      <c r="BJ51" s="55" t="n"/>
      <c r="BK51" s="55" t="n"/>
      <c r="BL51" s="55" t="n"/>
      <c r="BM51" s="55" t="n"/>
      <c r="BN51" s="55" t="n"/>
      <c r="BO51" s="55" t="n"/>
      <c r="BP51" s="55" t="n"/>
      <c r="BQ51" s="55" t="n"/>
      <c r="BR51" s="55" t="n"/>
      <c r="BS51" s="55" t="n"/>
      <c r="BT51" s="55" t="n"/>
      <c r="BU51" s="55" t="n"/>
      <c r="BV51" s="55" t="n"/>
      <c r="BW51" s="55" t="n"/>
      <c r="BX51" s="55" t="n"/>
      <c r="BY51" s="55" t="n"/>
      <c r="BZ51" s="55" t="n"/>
      <c r="CA51" s="55" t="n"/>
      <c r="CB51" s="55" t="n"/>
      <c r="CC51" s="55" t="n"/>
      <c r="CD51" s="55" t="n"/>
      <c r="CE51" s="55" t="n"/>
      <c r="CF51" s="55" t="n"/>
      <c r="CG51" s="55" t="n"/>
      <c r="CH51" s="55" t="n"/>
      <c r="CI51" s="55" t="n"/>
      <c r="CJ51" s="55" t="n"/>
      <c r="CK51" s="55" t="n"/>
      <c r="CL51" s="55" t="n"/>
      <c r="CM51" s="55" t="n"/>
      <c r="CN51" s="55" t="n"/>
      <c r="CO51" s="55" t="n"/>
      <c r="CP51" s="55" t="n"/>
      <c r="CQ51" s="55" t="n"/>
      <c r="CR51" s="55" t="n"/>
      <c r="CS51" s="55" t="n"/>
      <c r="CT51" s="55" t="n"/>
      <c r="CU51" s="55" t="n"/>
      <c r="CV51" s="55" t="n"/>
      <c r="CW51" s="55" t="n"/>
      <c r="CX51" s="55" t="n"/>
      <c r="CY51" s="55" t="n"/>
      <c r="CZ51" s="55" t="n"/>
      <c r="DA51" s="55" t="n"/>
      <c r="DB51" s="55" t="n"/>
      <c r="DC51" s="55" t="n"/>
      <c r="DD51" s="55" t="n"/>
      <c r="DE51" s="5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92"/>
  <sheetViews>
    <sheetView workbookViewId="0">
      <selection activeCell="A1" sqref="A1"/>
    </sheetView>
  </sheetViews>
  <sheetFormatPr baseColWidth="8" defaultRowHeight="15"/>
  <cols>
    <col width="16" customWidth="1" style="35" min="1" max="1"/>
    <col width="15" customWidth="1" style="35" min="2" max="2"/>
    <col width="34" customWidth="1" style="35" min="3" max="3"/>
    <col width="11" customWidth="1" style="35" min="4" max="4"/>
    <col width="26" customWidth="1" style="35" min="5" max="5"/>
    <col width="48" customWidth="1" style="35" min="6" max="6"/>
    <col width="60" customWidth="1" style="35" min="7" max="7"/>
    <col width="10" customWidth="1" style="35" min="8" max="8"/>
    <col width="14" customWidth="1" style="35" min="9" max="9"/>
    <col width="10" customWidth="1" style="35" min="10" max="10"/>
    <col width="12" customWidth="1" style="35" min="11" max="11"/>
  </cols>
  <sheetData>
    <row r="1">
      <c r="A1" s="60" t="inlineStr">
        <is>
          <t>LLM bug-repair results (gpt-5.6-luna), judged by each case's test (test_new.py / test-new.py for issue_021_se, issue_058_se and issue_061; test.py for the rest)</t>
        </is>
      </c>
    </row>
    <row r="2">
      <c r="A2" t="inlineStr">
        <is>
          <t>All numbers below are formulas over the Summary sheet, so they update if Summary changes. batch 1 = Summary rows 2-11, batch 2 = Summary rows 12-21, batch 3 = Summary rows 22-31, batch 4 = Summary rows 32-41, batch 5 = Summary rows 42-51.</t>
        </is>
      </c>
    </row>
    <row r="4">
      <c r="A4" s="60" t="inlineStr">
        <is>
          <t>1. Case × version pairs</t>
        </is>
      </c>
    </row>
    <row r="5">
      <c r="A5" s="54" t="inlineStr">
        <is>
          <t>Result</t>
        </is>
      </c>
      <c r="B5" s="54" t="inlineStr">
        <is>
          <t>Count</t>
        </is>
      </c>
      <c r="C5" s="54" t="inlineStr">
        <is>
          <t>% of tested pairs</t>
        </is>
      </c>
      <c r="D5" s="54" t="inlineStr">
        <is>
          <t>Batch 1</t>
        </is>
      </c>
      <c r="E5" s="54" t="inlineStr">
        <is>
          <t>Batch 1 %</t>
        </is>
      </c>
      <c r="F5" s="54" t="inlineStr">
        <is>
          <t>Batch 2</t>
        </is>
      </c>
      <c r="G5" s="54" t="inlineStr">
        <is>
          <t>Batch 2 %</t>
        </is>
      </c>
      <c r="H5" s="54" t="inlineStr">
        <is>
          <t>Batch 3</t>
        </is>
      </c>
      <c r="I5" s="54" t="inlineStr">
        <is>
          <t>Batch 3 %</t>
        </is>
      </c>
      <c r="J5" s="54" t="inlineStr">
        <is>
          <t>Batch 4</t>
        </is>
      </c>
      <c r="K5" s="54" t="inlineStr">
        <is>
          <t>Batch 4 %</t>
        </is>
      </c>
      <c r="L5" s="54" t="inlineStr">
        <is>
          <t>Batch 5</t>
        </is>
      </c>
      <c r="M5" s="54" t="inlineStr">
        <is>
          <t>Batch 5 %</t>
        </is>
      </c>
    </row>
    <row r="6">
      <c r="A6" s="61" t="inlineStr">
        <is>
          <t>PASS</t>
        </is>
      </c>
      <c r="B6" s="55">
        <f>COUNTIF(Summary!$B$2:$AB$51,"PASS")</f>
        <v/>
      </c>
      <c r="C6" s="62">
        <f>IF($B$9=0,0,B6/$B$9)</f>
        <v/>
      </c>
      <c r="D6" s="55">
        <f>COUNTIF(Summary!$B$2:$AB$11,"PASS")</f>
        <v/>
      </c>
      <c r="E6" s="62">
        <f>IF(D$9=0,0,D6/D$9)</f>
        <v/>
      </c>
      <c r="F6" s="55">
        <f>COUNTIF(Summary!$B$12:$AB$21,"PASS")</f>
        <v/>
      </c>
      <c r="G6" s="62">
        <f>IF(F$9=0,0,F6/F$9)</f>
        <v/>
      </c>
      <c r="H6" s="55">
        <f>COUNTIF(Summary!$B$22:$AB$31,"PASS")</f>
        <v/>
      </c>
      <c r="I6" s="62">
        <f>IF(H$9=0,0,H6/H$9)</f>
        <v/>
      </c>
      <c r="J6" s="55">
        <f>COUNTIF(Summary!$B$32:$AB$41,"PASS")</f>
        <v/>
      </c>
      <c r="K6" s="62">
        <f>IF(J$9=0,0,J6/J$9)</f>
        <v/>
      </c>
      <c r="L6" s="55">
        <f>COUNTIF(Summary!$B$42:$AB$51,"PASS")</f>
        <v/>
      </c>
      <c r="M6" s="62">
        <f>IF(L$9=0,0,L6/L$9)</f>
        <v/>
      </c>
    </row>
    <row r="7">
      <c r="A7" s="63" t="inlineStr">
        <is>
          <t>FAIL</t>
        </is>
      </c>
      <c r="B7" s="55">
        <f>COUNTIF(Summary!$B$2:$AB$51,"FAIL")</f>
        <v/>
      </c>
      <c r="C7" s="62">
        <f>IF($B$9=0,0,B7/$B$9)</f>
        <v/>
      </c>
      <c r="D7" s="55">
        <f>COUNTIF(Summary!$B$2:$AB$11,"FAIL")</f>
        <v/>
      </c>
      <c r="E7" s="62">
        <f>IF(D$9=0,0,D7/D$9)</f>
        <v/>
      </c>
      <c r="F7" s="55">
        <f>COUNTIF(Summary!$B$12:$AB$21,"FAIL")</f>
        <v/>
      </c>
      <c r="G7" s="62">
        <f>IF(F$9=0,0,F7/F$9)</f>
        <v/>
      </c>
      <c r="H7" s="55">
        <f>COUNTIF(Summary!$B$22:$AB$31,"FAIL")</f>
        <v/>
      </c>
      <c r="I7" s="62">
        <f>IF(H$9=0,0,H7/H$9)</f>
        <v/>
      </c>
      <c r="J7" s="55">
        <f>COUNTIF(Summary!$B$32:$AB$41,"FAIL")</f>
        <v/>
      </c>
      <c r="K7" s="62">
        <f>IF(J$9=0,0,J7/J$9)</f>
        <v/>
      </c>
      <c r="L7" s="55">
        <f>COUNTIF(Summary!$B$42:$AB$51,"FAIL")</f>
        <v/>
      </c>
      <c r="M7" s="62">
        <f>IF(L$9=0,0,L7/L$9)</f>
        <v/>
      </c>
    </row>
    <row r="8">
      <c r="A8" s="64" t="inlineStr">
        <is>
          <t>ERROR</t>
        </is>
      </c>
      <c r="B8" s="55">
        <f>COUNTIF(Summary!$B$2:$AB$51,"ERROR")</f>
        <v/>
      </c>
      <c r="C8" s="62">
        <f>IF($B$9=0,0,B8/$B$9)</f>
        <v/>
      </c>
      <c r="D8" s="55">
        <f>COUNTIF(Summary!$B$2:$AB$11,"ERROR")</f>
        <v/>
      </c>
      <c r="E8" s="62">
        <f>IF(D$9=0,0,D8/D$9)</f>
        <v/>
      </c>
      <c r="F8" s="55">
        <f>COUNTIF(Summary!$B$12:$AB$21,"ERROR")</f>
        <v/>
      </c>
      <c r="G8" s="62">
        <f>IF(F$9=0,0,F8/F$9)</f>
        <v/>
      </c>
      <c r="H8" s="55">
        <f>COUNTIF(Summary!$B$22:$AB$31,"ERROR")</f>
        <v/>
      </c>
      <c r="I8" s="62">
        <f>IF(H$9=0,0,H8/H$9)</f>
        <v/>
      </c>
      <c r="J8" s="55">
        <f>COUNTIF(Summary!$B$32:$AB$41,"ERROR")</f>
        <v/>
      </c>
      <c r="K8" s="62">
        <f>IF(J$9=0,0,J8/J$9)</f>
        <v/>
      </c>
      <c r="L8" s="55">
        <f>COUNTIF(Summary!$B$42:$AB$51,"ERROR")</f>
        <v/>
      </c>
      <c r="M8" s="62">
        <f>IF(L$9=0,0,L8/L$9)</f>
        <v/>
      </c>
    </row>
    <row r="9">
      <c r="A9" s="65" t="inlineStr">
        <is>
          <t>Total tested</t>
        </is>
      </c>
      <c r="B9" s="65">
        <f>SUM(B6:B8)</f>
        <v/>
      </c>
      <c r="C9" s="66">
        <f>SUM(C6:C8)</f>
        <v/>
      </c>
      <c r="D9" s="65">
        <f>SUM(D6:D8)</f>
        <v/>
      </c>
      <c r="E9" s="66">
        <f>SUM(E6:E8)</f>
        <v/>
      </c>
      <c r="F9" s="65">
        <f>SUM(F6:F8)</f>
        <v/>
      </c>
      <c r="G9" s="66">
        <f>SUM(G6:G8)</f>
        <v/>
      </c>
      <c r="H9" s="65">
        <f>SUM(H6:H8)</f>
        <v/>
      </c>
      <c r="I9" s="66">
        <f>SUM(I6:I8)</f>
        <v/>
      </c>
      <c r="J9" s="65">
        <f>SUM(J6:J8)</f>
        <v/>
      </c>
      <c r="K9" s="66">
        <f>SUM(K6:K8)</f>
        <v/>
      </c>
      <c r="L9" s="65">
        <f>SUM(L6:L8)</f>
        <v/>
      </c>
      <c r="M9" s="66">
        <f>SUM(M6:M8)</f>
        <v/>
      </c>
    </row>
    <row r="10">
      <c r="A10" s="55" t="inlineStr">
        <is>
          <t>Not tested (version not listed for that case)</t>
        </is>
      </c>
      <c r="B10" s="55">
        <f>COUNTIF(Summary!$B$2:$AB$51,"NOT_TESTED")</f>
        <v/>
      </c>
      <c r="D10" s="55">
        <f>COUNTIF(Summary!$B$2:$AB$11,"NOT_TESTED")</f>
        <v/>
      </c>
      <c r="F10" s="55">
        <f>COUNTIF(Summary!$B$12:$AB$21,"NOT_TESTED")</f>
        <v/>
      </c>
      <c r="H10" s="55">
        <f>COUNTIF(Summary!$B$22:$AB$31,"NOT_TESTED")</f>
        <v/>
      </c>
      <c r="J10" s="55">
        <f>COUNTIF(Summary!$B$32:$AB$41,"NOT_TESTED")</f>
        <v/>
      </c>
      <c r="L10" s="55">
        <f>COUNTIF(Summary!$B$42:$AB$51,"NOT_TESTED")</f>
        <v/>
      </c>
    </row>
    <row r="12">
      <c r="A12" s="60" t="inlineStr">
        <is>
          <t>2. Per case</t>
        </is>
      </c>
    </row>
    <row r="13">
      <c r="A13" s="54" t="inlineStr">
        <is>
          <t>Case</t>
        </is>
      </c>
      <c r="B13" s="54" t="inlineStr">
        <is>
          <t>Versions tested</t>
        </is>
      </c>
      <c r="C13" s="54" t="inlineStr">
        <is>
          <t>PASS</t>
        </is>
      </c>
      <c r="D13" s="54" t="inlineStr">
        <is>
          <t>FAIL</t>
        </is>
      </c>
      <c r="E13" s="54" t="inlineStr">
        <is>
          <t>ERROR</t>
        </is>
      </c>
      <c r="F13" s="54" t="inlineStr">
        <is>
          <t>Pass %</t>
        </is>
      </c>
      <c r="G13" s="54" t="inlineStr">
        <is>
          <t>Fail %</t>
        </is>
      </c>
      <c r="H13" s="54" t="inlineStr">
        <is>
          <t>Error %</t>
        </is>
      </c>
      <c r="I13" s="54" t="inlineStr">
        <is>
          <t>Case outcome</t>
        </is>
      </c>
      <c r="J13" s="54" t="inlineStr">
        <is>
          <t>Batch</t>
        </is>
      </c>
    </row>
    <row r="14">
      <c r="A14" s="55">
        <f>Summary!A2</f>
        <v/>
      </c>
      <c r="B14" s="55">
        <f>COUNTIF(Summary!$B$2:$AB$2,"PASS")+COUNTIF(Summary!$B$2:$AB$2,"FAIL")+COUNTIF(Summary!$B$2:$AB$2,"ERROR")</f>
        <v/>
      </c>
      <c r="C14" s="55">
        <f>COUNTIF(Summary!$B$2:$AB$2,"PASS")</f>
        <v/>
      </c>
      <c r="D14" s="55">
        <f>COUNTIF(Summary!$B$2:$AB$2,"FAIL")</f>
        <v/>
      </c>
      <c r="E14" s="55">
        <f>COUNTIF(Summary!$B$2:$AB$2,"ERROR")</f>
        <v/>
      </c>
      <c r="F14" s="62">
        <f>IF($B14=0,0,C14/$B14)</f>
        <v/>
      </c>
      <c r="G14" s="62">
        <f>IF($B14=0,0,D14/$B14)</f>
        <v/>
      </c>
      <c r="H14" s="62">
        <f>IF($B14=0,0,E14/$B14)</f>
        <v/>
      </c>
      <c r="I14" s="55">
        <f>IF(C14=B14,"PASS",IF(E14&gt;0,"ERROR","FAIL"))</f>
        <v/>
      </c>
      <c r="J14" s="55" t="n">
        <v>1</v>
      </c>
    </row>
    <row r="15">
      <c r="A15" s="55">
        <f>Summary!A3</f>
        <v/>
      </c>
      <c r="B15" s="55">
        <f>COUNTIF(Summary!$B$3:$AB$3,"PASS")+COUNTIF(Summary!$B$3:$AB$3,"FAIL")+COUNTIF(Summary!$B$3:$AB$3,"ERROR")</f>
        <v/>
      </c>
      <c r="C15" s="55">
        <f>COUNTIF(Summary!$B$3:$AB$3,"PASS")</f>
        <v/>
      </c>
      <c r="D15" s="55">
        <f>COUNTIF(Summary!$B$3:$AB$3,"FAIL")</f>
        <v/>
      </c>
      <c r="E15" s="55">
        <f>COUNTIF(Summary!$B$3:$AB$3,"ERROR")</f>
        <v/>
      </c>
      <c r="F15" s="62">
        <f>IF($B15=0,0,C15/$B15)</f>
        <v/>
      </c>
      <c r="G15" s="62">
        <f>IF($B15=0,0,D15/$B15)</f>
        <v/>
      </c>
      <c r="H15" s="62">
        <f>IF($B15=0,0,E15/$B15)</f>
        <v/>
      </c>
      <c r="I15" s="55">
        <f>IF(C15=B15,"PASS",IF(E15&gt;0,"ERROR","FAIL"))</f>
        <v/>
      </c>
      <c r="J15" s="55" t="n">
        <v>1</v>
      </c>
    </row>
    <row r="16">
      <c r="A16" s="55">
        <f>Summary!A4</f>
        <v/>
      </c>
      <c r="B16" s="55">
        <f>COUNTIF(Summary!$B$4:$AB$4,"PASS")+COUNTIF(Summary!$B$4:$AB$4,"FAIL")+COUNTIF(Summary!$B$4:$AB$4,"ERROR")</f>
        <v/>
      </c>
      <c r="C16" s="55">
        <f>COUNTIF(Summary!$B$4:$AB$4,"PASS")</f>
        <v/>
      </c>
      <c r="D16" s="55">
        <f>COUNTIF(Summary!$B$4:$AB$4,"FAIL")</f>
        <v/>
      </c>
      <c r="E16" s="55">
        <f>COUNTIF(Summary!$B$4:$AB$4,"ERROR")</f>
        <v/>
      </c>
      <c r="F16" s="62">
        <f>IF($B16=0,0,C16/$B16)</f>
        <v/>
      </c>
      <c r="G16" s="62">
        <f>IF($B16=0,0,D16/$B16)</f>
        <v/>
      </c>
      <c r="H16" s="62">
        <f>IF($B16=0,0,E16/$B16)</f>
        <v/>
      </c>
      <c r="I16" s="55">
        <f>IF(C16=B16,"PASS",IF(E16&gt;0,"ERROR","FAIL"))</f>
        <v/>
      </c>
      <c r="J16" s="55" t="n">
        <v>1</v>
      </c>
    </row>
    <row r="17">
      <c r="A17" s="55">
        <f>Summary!A5</f>
        <v/>
      </c>
      <c r="B17" s="55">
        <f>COUNTIF(Summary!$B$5:$AB$5,"PASS")+COUNTIF(Summary!$B$5:$AB$5,"FAIL")+COUNTIF(Summary!$B$5:$AB$5,"ERROR")</f>
        <v/>
      </c>
      <c r="C17" s="55">
        <f>COUNTIF(Summary!$B$5:$AB$5,"PASS")</f>
        <v/>
      </c>
      <c r="D17" s="55">
        <f>COUNTIF(Summary!$B$5:$AB$5,"FAIL")</f>
        <v/>
      </c>
      <c r="E17" s="55">
        <f>COUNTIF(Summary!$B$5:$AB$5,"ERROR")</f>
        <v/>
      </c>
      <c r="F17" s="62">
        <f>IF($B17=0,0,C17/$B17)</f>
        <v/>
      </c>
      <c r="G17" s="62">
        <f>IF($B17=0,0,D17/$B17)</f>
        <v/>
      </c>
      <c r="H17" s="62">
        <f>IF($B17=0,0,E17/$B17)</f>
        <v/>
      </c>
      <c r="I17" s="55">
        <f>IF(C17=B17,"PASS",IF(E17&gt;0,"ERROR","FAIL"))</f>
        <v/>
      </c>
      <c r="J17" s="55" t="n">
        <v>1</v>
      </c>
    </row>
    <row r="18">
      <c r="A18" s="55">
        <f>Summary!A6</f>
        <v/>
      </c>
      <c r="B18" s="55">
        <f>COUNTIF(Summary!$B$6:$AB$6,"PASS")+COUNTIF(Summary!$B$6:$AB$6,"FAIL")+COUNTIF(Summary!$B$6:$AB$6,"ERROR")</f>
        <v/>
      </c>
      <c r="C18" s="55">
        <f>COUNTIF(Summary!$B$6:$AB$6,"PASS")</f>
        <v/>
      </c>
      <c r="D18" s="55">
        <f>COUNTIF(Summary!$B$6:$AB$6,"FAIL")</f>
        <v/>
      </c>
      <c r="E18" s="55">
        <f>COUNTIF(Summary!$B$6:$AB$6,"ERROR")</f>
        <v/>
      </c>
      <c r="F18" s="62">
        <f>IF($B18=0,0,C18/$B18)</f>
        <v/>
      </c>
      <c r="G18" s="62">
        <f>IF($B18=0,0,D18/$B18)</f>
        <v/>
      </c>
      <c r="H18" s="62">
        <f>IF($B18=0,0,E18/$B18)</f>
        <v/>
      </c>
      <c r="I18" s="55">
        <f>IF(C18=B18,"PASS",IF(E18&gt;0,"ERROR","FAIL"))</f>
        <v/>
      </c>
      <c r="J18" s="55" t="n">
        <v>1</v>
      </c>
    </row>
    <row r="19">
      <c r="A19" s="55">
        <f>Summary!A7</f>
        <v/>
      </c>
      <c r="B19" s="55">
        <f>COUNTIF(Summary!$B$7:$AB$7,"PASS")+COUNTIF(Summary!$B$7:$AB$7,"FAIL")+COUNTIF(Summary!$B$7:$AB$7,"ERROR")</f>
        <v/>
      </c>
      <c r="C19" s="55">
        <f>COUNTIF(Summary!$B$7:$AB$7,"PASS")</f>
        <v/>
      </c>
      <c r="D19" s="55">
        <f>COUNTIF(Summary!$B$7:$AB$7,"FAIL")</f>
        <v/>
      </c>
      <c r="E19" s="55">
        <f>COUNTIF(Summary!$B$7:$AB$7,"ERROR")</f>
        <v/>
      </c>
      <c r="F19" s="62">
        <f>IF($B19=0,0,C19/$B19)</f>
        <v/>
      </c>
      <c r="G19" s="62">
        <f>IF($B19=0,0,D19/$B19)</f>
        <v/>
      </c>
      <c r="H19" s="62">
        <f>IF($B19=0,0,E19/$B19)</f>
        <v/>
      </c>
      <c r="I19" s="55">
        <f>IF(C19=B19,"PASS",IF(E19&gt;0,"ERROR","FAIL"))</f>
        <v/>
      </c>
      <c r="J19" s="55" t="n">
        <v>1</v>
      </c>
    </row>
    <row r="20">
      <c r="A20" s="55">
        <f>Summary!A8</f>
        <v/>
      </c>
      <c r="B20" s="55">
        <f>COUNTIF(Summary!$B$8:$AB$8,"PASS")+COUNTIF(Summary!$B$8:$AB$8,"FAIL")+COUNTIF(Summary!$B$8:$AB$8,"ERROR")</f>
        <v/>
      </c>
      <c r="C20" s="55">
        <f>COUNTIF(Summary!$B$8:$AB$8,"PASS")</f>
        <v/>
      </c>
      <c r="D20" s="55">
        <f>COUNTIF(Summary!$B$8:$AB$8,"FAIL")</f>
        <v/>
      </c>
      <c r="E20" s="55">
        <f>COUNTIF(Summary!$B$8:$AB$8,"ERROR")</f>
        <v/>
      </c>
      <c r="F20" s="62">
        <f>IF($B20=0,0,C20/$B20)</f>
        <v/>
      </c>
      <c r="G20" s="62">
        <f>IF($B20=0,0,D20/$B20)</f>
        <v/>
      </c>
      <c r="H20" s="62">
        <f>IF($B20=0,0,E20/$B20)</f>
        <v/>
      </c>
      <c r="I20" s="55">
        <f>IF(C20=B20,"PASS",IF(E20&gt;0,"ERROR","FAIL"))</f>
        <v/>
      </c>
      <c r="J20" s="55" t="n">
        <v>1</v>
      </c>
    </row>
    <row r="21">
      <c r="A21" s="55">
        <f>Summary!A9</f>
        <v/>
      </c>
      <c r="B21" s="55">
        <f>COUNTIF(Summary!$B$9:$AB$9,"PASS")+COUNTIF(Summary!$B$9:$AB$9,"FAIL")+COUNTIF(Summary!$B$9:$AB$9,"ERROR")</f>
        <v/>
      </c>
      <c r="C21" s="55">
        <f>COUNTIF(Summary!$B$9:$AB$9,"PASS")</f>
        <v/>
      </c>
      <c r="D21" s="55">
        <f>COUNTIF(Summary!$B$9:$AB$9,"FAIL")</f>
        <v/>
      </c>
      <c r="E21" s="55">
        <f>COUNTIF(Summary!$B$9:$AB$9,"ERROR")</f>
        <v/>
      </c>
      <c r="F21" s="62">
        <f>IF($B21=0,0,C21/$B21)</f>
        <v/>
      </c>
      <c r="G21" s="62">
        <f>IF($B21=0,0,D21/$B21)</f>
        <v/>
      </c>
      <c r="H21" s="62">
        <f>IF($B21=0,0,E21/$B21)</f>
        <v/>
      </c>
      <c r="I21" s="55">
        <f>IF(C21=B21,"PASS",IF(E21&gt;0,"ERROR","FAIL"))</f>
        <v/>
      </c>
      <c r="J21" s="55" t="n">
        <v>1</v>
      </c>
    </row>
    <row r="22">
      <c r="A22" s="55">
        <f>Summary!A10</f>
        <v/>
      </c>
      <c r="B22" s="55">
        <f>COUNTIF(Summary!$B$10:$AB$10,"PASS")+COUNTIF(Summary!$B$10:$AB$10,"FAIL")+COUNTIF(Summary!$B$10:$AB$10,"ERROR")</f>
        <v/>
      </c>
      <c r="C22" s="55">
        <f>COUNTIF(Summary!$B$10:$AB$10,"PASS")</f>
        <v/>
      </c>
      <c r="D22" s="55">
        <f>COUNTIF(Summary!$B$10:$AB$10,"FAIL")</f>
        <v/>
      </c>
      <c r="E22" s="55">
        <f>COUNTIF(Summary!$B$10:$AB$10,"ERROR")</f>
        <v/>
      </c>
      <c r="F22" s="62">
        <f>IF($B22=0,0,C22/$B22)</f>
        <v/>
      </c>
      <c r="G22" s="62">
        <f>IF($B22=0,0,D22/$B22)</f>
        <v/>
      </c>
      <c r="H22" s="62">
        <f>IF($B22=0,0,E22/$B22)</f>
        <v/>
      </c>
      <c r="I22" s="55">
        <f>IF(C22=B22,"PASS",IF(E22&gt;0,"ERROR","FAIL"))</f>
        <v/>
      </c>
      <c r="J22" s="55" t="n">
        <v>1</v>
      </c>
    </row>
    <row r="23">
      <c r="A23" s="55">
        <f>Summary!A11</f>
        <v/>
      </c>
      <c r="B23" s="55">
        <f>COUNTIF(Summary!$B$11:$AB$11,"PASS")+COUNTIF(Summary!$B$11:$AB$11,"FAIL")+COUNTIF(Summary!$B$11:$AB$11,"ERROR")</f>
        <v/>
      </c>
      <c r="C23" s="55">
        <f>COUNTIF(Summary!$B$11:$AB$11,"PASS")</f>
        <v/>
      </c>
      <c r="D23" s="55">
        <f>COUNTIF(Summary!$B$11:$AB$11,"FAIL")</f>
        <v/>
      </c>
      <c r="E23" s="55">
        <f>COUNTIF(Summary!$B$11:$AB$11,"ERROR")</f>
        <v/>
      </c>
      <c r="F23" s="62">
        <f>IF($B23=0,0,C23/$B23)</f>
        <v/>
      </c>
      <c r="G23" s="62">
        <f>IF($B23=0,0,D23/$B23)</f>
        <v/>
      </c>
      <c r="H23" s="62">
        <f>IF($B23=0,0,E23/$B23)</f>
        <v/>
      </c>
      <c r="I23" s="55">
        <f>IF(C23=B23,"PASS",IF(E23&gt;0,"ERROR","FAIL"))</f>
        <v/>
      </c>
      <c r="J23" s="55" t="n">
        <v>1</v>
      </c>
    </row>
    <row r="24">
      <c r="A24" s="55">
        <f>Summary!A12</f>
        <v/>
      </c>
      <c r="B24" s="55">
        <f>COUNTIF(Summary!$B$12:$AB$12,"PASS")+COUNTIF(Summary!$B$12:$AB$12,"FAIL")+COUNTIF(Summary!$B$12:$AB$12,"ERROR")</f>
        <v/>
      </c>
      <c r="C24" s="55">
        <f>COUNTIF(Summary!$B$12:$AB$12,"PASS")</f>
        <v/>
      </c>
      <c r="D24" s="55">
        <f>COUNTIF(Summary!$B$12:$AB$12,"FAIL")</f>
        <v/>
      </c>
      <c r="E24" s="55">
        <f>COUNTIF(Summary!$B$12:$AB$12,"ERROR")</f>
        <v/>
      </c>
      <c r="F24" s="62">
        <f>IF($B24=0,0,C24/$B24)</f>
        <v/>
      </c>
      <c r="G24" s="62">
        <f>IF($B24=0,0,D24/$B24)</f>
        <v/>
      </c>
      <c r="H24" s="62">
        <f>IF($B24=0,0,E24/$B24)</f>
        <v/>
      </c>
      <c r="I24" s="55">
        <f>IF(C24=B24,"PASS",IF(E24&gt;0,"ERROR","FAIL"))</f>
        <v/>
      </c>
      <c r="J24" s="55" t="n">
        <v>2</v>
      </c>
    </row>
    <row r="25">
      <c r="A25" s="55">
        <f>Summary!A13</f>
        <v/>
      </c>
      <c r="B25" s="55">
        <f>COUNTIF(Summary!$B$13:$AB$13,"PASS")+COUNTIF(Summary!$B$13:$AB$13,"FAIL")+COUNTIF(Summary!$B$13:$AB$13,"ERROR")</f>
        <v/>
      </c>
      <c r="C25" s="55">
        <f>COUNTIF(Summary!$B$13:$AB$13,"PASS")</f>
        <v/>
      </c>
      <c r="D25" s="55">
        <f>COUNTIF(Summary!$B$13:$AB$13,"FAIL")</f>
        <v/>
      </c>
      <c r="E25" s="55">
        <f>COUNTIF(Summary!$B$13:$AB$13,"ERROR")</f>
        <v/>
      </c>
      <c r="F25" s="62">
        <f>IF($B25=0,0,C25/$B25)</f>
        <v/>
      </c>
      <c r="G25" s="62">
        <f>IF($B25=0,0,D25/$B25)</f>
        <v/>
      </c>
      <c r="H25" s="62">
        <f>IF($B25=0,0,E25/$B25)</f>
        <v/>
      </c>
      <c r="I25" s="55">
        <f>IF(C25=B25,"PASS",IF(E25&gt;0,"ERROR","FAIL"))</f>
        <v/>
      </c>
      <c r="J25" s="55" t="n">
        <v>2</v>
      </c>
    </row>
    <row r="26">
      <c r="A26" s="55">
        <f>Summary!A14</f>
        <v/>
      </c>
      <c r="B26" s="55">
        <f>COUNTIF(Summary!$B$14:$AB$14,"PASS")+COUNTIF(Summary!$B$14:$AB$14,"FAIL")+COUNTIF(Summary!$B$14:$AB$14,"ERROR")</f>
        <v/>
      </c>
      <c r="C26" s="55">
        <f>COUNTIF(Summary!$B$14:$AB$14,"PASS")</f>
        <v/>
      </c>
      <c r="D26" s="55">
        <f>COUNTIF(Summary!$B$14:$AB$14,"FAIL")</f>
        <v/>
      </c>
      <c r="E26" s="55">
        <f>COUNTIF(Summary!$B$14:$AB$14,"ERROR")</f>
        <v/>
      </c>
      <c r="F26" s="62">
        <f>IF($B26=0,0,C26/$B26)</f>
        <v/>
      </c>
      <c r="G26" s="62">
        <f>IF($B26=0,0,D26/$B26)</f>
        <v/>
      </c>
      <c r="H26" s="62">
        <f>IF($B26=0,0,E26/$B26)</f>
        <v/>
      </c>
      <c r="I26" s="55">
        <f>IF(C26=B26,"PASS",IF(E26&gt;0,"ERROR","FAIL"))</f>
        <v/>
      </c>
      <c r="J26" s="55" t="n">
        <v>2</v>
      </c>
    </row>
    <row r="27">
      <c r="A27" s="55">
        <f>Summary!A15</f>
        <v/>
      </c>
      <c r="B27" s="55">
        <f>COUNTIF(Summary!$B$15:$AB$15,"PASS")+COUNTIF(Summary!$B$15:$AB$15,"FAIL")+COUNTIF(Summary!$B$15:$AB$15,"ERROR")</f>
        <v/>
      </c>
      <c r="C27" s="55">
        <f>COUNTIF(Summary!$B$15:$AB$15,"PASS")</f>
        <v/>
      </c>
      <c r="D27" s="55">
        <f>COUNTIF(Summary!$B$15:$AB$15,"FAIL")</f>
        <v/>
      </c>
      <c r="E27" s="55">
        <f>COUNTIF(Summary!$B$15:$AB$15,"ERROR")</f>
        <v/>
      </c>
      <c r="F27" s="62">
        <f>IF($B27=0,0,C27/$B27)</f>
        <v/>
      </c>
      <c r="G27" s="62">
        <f>IF($B27=0,0,D27/$B27)</f>
        <v/>
      </c>
      <c r="H27" s="62">
        <f>IF($B27=0,0,E27/$B27)</f>
        <v/>
      </c>
      <c r="I27" s="55">
        <f>IF(C27=B27,"PASS",IF(E27&gt;0,"ERROR","FAIL"))</f>
        <v/>
      </c>
      <c r="J27" s="55" t="n">
        <v>2</v>
      </c>
    </row>
    <row r="28">
      <c r="A28" s="55">
        <f>Summary!A16</f>
        <v/>
      </c>
      <c r="B28" s="55">
        <f>COUNTIF(Summary!$B$16:$AB$16,"PASS")+COUNTIF(Summary!$B$16:$AB$16,"FAIL")+COUNTIF(Summary!$B$16:$AB$16,"ERROR")</f>
        <v/>
      </c>
      <c r="C28" s="55">
        <f>COUNTIF(Summary!$B$16:$AB$16,"PASS")</f>
        <v/>
      </c>
      <c r="D28" s="55">
        <f>COUNTIF(Summary!$B$16:$AB$16,"FAIL")</f>
        <v/>
      </c>
      <c r="E28" s="55">
        <f>COUNTIF(Summary!$B$16:$AB$16,"ERROR")</f>
        <v/>
      </c>
      <c r="F28" s="62">
        <f>IF($B28=0,0,C28/$B28)</f>
        <v/>
      </c>
      <c r="G28" s="62">
        <f>IF($B28=0,0,D28/$B28)</f>
        <v/>
      </c>
      <c r="H28" s="62">
        <f>IF($B28=0,0,E28/$B28)</f>
        <v/>
      </c>
      <c r="I28" s="55">
        <f>IF(C28=B28,"PASS",IF(E28&gt;0,"ERROR","FAIL"))</f>
        <v/>
      </c>
      <c r="J28" s="55" t="n">
        <v>2</v>
      </c>
    </row>
    <row r="29">
      <c r="A29" s="55">
        <f>Summary!A17</f>
        <v/>
      </c>
      <c r="B29" s="55">
        <f>COUNTIF(Summary!$B$17:$AB$17,"PASS")+COUNTIF(Summary!$B$17:$AB$17,"FAIL")+COUNTIF(Summary!$B$17:$AB$17,"ERROR")</f>
        <v/>
      </c>
      <c r="C29" s="55">
        <f>COUNTIF(Summary!$B$17:$AB$17,"PASS")</f>
        <v/>
      </c>
      <c r="D29" s="55">
        <f>COUNTIF(Summary!$B$17:$AB$17,"FAIL")</f>
        <v/>
      </c>
      <c r="E29" s="55">
        <f>COUNTIF(Summary!$B$17:$AB$17,"ERROR")</f>
        <v/>
      </c>
      <c r="F29" s="62">
        <f>IF($B29=0,0,C29/$B29)</f>
        <v/>
      </c>
      <c r="G29" s="62">
        <f>IF($B29=0,0,D29/$B29)</f>
        <v/>
      </c>
      <c r="H29" s="62">
        <f>IF($B29=0,0,E29/$B29)</f>
        <v/>
      </c>
      <c r="I29" s="55">
        <f>IF(C29=B29,"PASS",IF(E29&gt;0,"ERROR","FAIL"))</f>
        <v/>
      </c>
      <c r="J29" s="55" t="n">
        <v>2</v>
      </c>
    </row>
    <row r="30">
      <c r="A30" s="55">
        <f>Summary!A18</f>
        <v/>
      </c>
      <c r="B30" s="55">
        <f>COUNTIF(Summary!$B$18:$AB$18,"PASS")+COUNTIF(Summary!$B$18:$AB$18,"FAIL")+COUNTIF(Summary!$B$18:$AB$18,"ERROR")</f>
        <v/>
      </c>
      <c r="C30" s="55">
        <f>COUNTIF(Summary!$B$18:$AB$18,"PASS")</f>
        <v/>
      </c>
      <c r="D30" s="55">
        <f>COUNTIF(Summary!$B$18:$AB$18,"FAIL")</f>
        <v/>
      </c>
      <c r="E30" s="55">
        <f>COUNTIF(Summary!$B$18:$AB$18,"ERROR")</f>
        <v/>
      </c>
      <c r="F30" s="62">
        <f>IF($B30=0,0,C30/$B30)</f>
        <v/>
      </c>
      <c r="G30" s="62">
        <f>IF($B30=0,0,D30/$B30)</f>
        <v/>
      </c>
      <c r="H30" s="62">
        <f>IF($B30=0,0,E30/$B30)</f>
        <v/>
      </c>
      <c r="I30" s="55">
        <f>IF(C30=B30,"PASS",IF(E30&gt;0,"ERROR","FAIL"))</f>
        <v/>
      </c>
      <c r="J30" s="55" t="n">
        <v>2</v>
      </c>
    </row>
    <row r="31">
      <c r="A31" s="55">
        <f>Summary!A19</f>
        <v/>
      </c>
      <c r="B31" s="55">
        <f>COUNTIF(Summary!$B$19:$AB$19,"PASS")+COUNTIF(Summary!$B$19:$AB$19,"FAIL")+COUNTIF(Summary!$B$19:$AB$19,"ERROR")</f>
        <v/>
      </c>
      <c r="C31" s="55">
        <f>COUNTIF(Summary!$B$19:$AB$19,"PASS")</f>
        <v/>
      </c>
      <c r="D31" s="55">
        <f>COUNTIF(Summary!$B$19:$AB$19,"FAIL")</f>
        <v/>
      </c>
      <c r="E31" s="55">
        <f>COUNTIF(Summary!$B$19:$AB$19,"ERROR")</f>
        <v/>
      </c>
      <c r="F31" s="62">
        <f>IF($B31=0,0,C31/$B31)</f>
        <v/>
      </c>
      <c r="G31" s="62">
        <f>IF($B31=0,0,D31/$B31)</f>
        <v/>
      </c>
      <c r="H31" s="62">
        <f>IF($B31=0,0,E31/$B31)</f>
        <v/>
      </c>
      <c r="I31" s="55">
        <f>IF(C31=B31,"PASS",IF(E31&gt;0,"ERROR","FAIL"))</f>
        <v/>
      </c>
      <c r="J31" s="55" t="n">
        <v>2</v>
      </c>
    </row>
    <row r="32">
      <c r="A32" s="55">
        <f>Summary!A20</f>
        <v/>
      </c>
      <c r="B32" s="55">
        <f>COUNTIF(Summary!$B$20:$AB$20,"PASS")+COUNTIF(Summary!$B$20:$AB$20,"FAIL")+COUNTIF(Summary!$B$20:$AB$20,"ERROR")</f>
        <v/>
      </c>
      <c r="C32" s="55">
        <f>COUNTIF(Summary!$B$20:$AB$20,"PASS")</f>
        <v/>
      </c>
      <c r="D32" s="55">
        <f>COUNTIF(Summary!$B$20:$AB$20,"FAIL")</f>
        <v/>
      </c>
      <c r="E32" s="55">
        <f>COUNTIF(Summary!$B$20:$AB$20,"ERROR")</f>
        <v/>
      </c>
      <c r="F32" s="62">
        <f>IF($B32=0,0,C32/$B32)</f>
        <v/>
      </c>
      <c r="G32" s="62">
        <f>IF($B32=0,0,D32/$B32)</f>
        <v/>
      </c>
      <c r="H32" s="62">
        <f>IF($B32=0,0,E32/$B32)</f>
        <v/>
      </c>
      <c r="I32" s="55">
        <f>IF(C32=B32,"PASS",IF(E32&gt;0,"ERROR","FAIL"))</f>
        <v/>
      </c>
      <c r="J32" s="55" t="n">
        <v>2</v>
      </c>
    </row>
    <row r="33">
      <c r="A33" s="55">
        <f>Summary!A21</f>
        <v/>
      </c>
      <c r="B33" s="55">
        <f>COUNTIF(Summary!$B$21:$AB$21,"PASS")+COUNTIF(Summary!$B$21:$AB$21,"FAIL")+COUNTIF(Summary!$B$21:$AB$21,"ERROR")</f>
        <v/>
      </c>
      <c r="C33" s="55">
        <f>COUNTIF(Summary!$B$21:$AB$21,"PASS")</f>
        <v/>
      </c>
      <c r="D33" s="55">
        <f>COUNTIF(Summary!$B$21:$AB$21,"FAIL")</f>
        <v/>
      </c>
      <c r="E33" s="55">
        <f>COUNTIF(Summary!$B$21:$AB$21,"ERROR")</f>
        <v/>
      </c>
      <c r="F33" s="62">
        <f>IF($B33=0,0,C33/$B33)</f>
        <v/>
      </c>
      <c r="G33" s="62">
        <f>IF($B33=0,0,D33/$B33)</f>
        <v/>
      </c>
      <c r="H33" s="62">
        <f>IF($B33=0,0,E33/$B33)</f>
        <v/>
      </c>
      <c r="I33" s="55">
        <f>IF(C33=B33,"PASS",IF(E33&gt;0,"ERROR","FAIL"))</f>
        <v/>
      </c>
      <c r="J33" s="55" t="n">
        <v>2</v>
      </c>
    </row>
    <row r="34">
      <c r="A34" s="55">
        <f>Summary!A22</f>
        <v/>
      </c>
      <c r="B34" s="55">
        <f>COUNTIF(Summary!$B$22:$AB$22,"PASS")+COUNTIF(Summary!$B$22:$AB$22,"FAIL")+COUNTIF(Summary!$B$22:$AB$22,"ERROR")</f>
        <v/>
      </c>
      <c r="C34" s="55">
        <f>COUNTIF(Summary!$B$22:$AB$22,"PASS")</f>
        <v/>
      </c>
      <c r="D34" s="55">
        <f>COUNTIF(Summary!$B$22:$AB$22,"FAIL")</f>
        <v/>
      </c>
      <c r="E34" s="55">
        <f>COUNTIF(Summary!$B$22:$AB$22,"ERROR")</f>
        <v/>
      </c>
      <c r="F34" s="62">
        <f>IF($B34=0,0,C34/$B34)</f>
        <v/>
      </c>
      <c r="G34" s="62">
        <f>IF($B34=0,0,D34/$B34)</f>
        <v/>
      </c>
      <c r="H34" s="62">
        <f>IF($B34=0,0,E34/$B34)</f>
        <v/>
      </c>
      <c r="I34" s="55">
        <f>IF(C34=B34,"PASS",IF(E34&gt;0,"ERROR","FAIL"))</f>
        <v/>
      </c>
      <c r="J34" s="55" t="n">
        <v>3</v>
      </c>
    </row>
    <row r="35">
      <c r="A35" s="55">
        <f>Summary!A23</f>
        <v/>
      </c>
      <c r="B35" s="55">
        <f>COUNTIF(Summary!$B$23:$AB$23,"PASS")+COUNTIF(Summary!$B$23:$AB$23,"FAIL")+COUNTIF(Summary!$B$23:$AB$23,"ERROR")</f>
        <v/>
      </c>
      <c r="C35" s="55">
        <f>COUNTIF(Summary!$B$23:$AB$23,"PASS")</f>
        <v/>
      </c>
      <c r="D35" s="55">
        <f>COUNTIF(Summary!$B$23:$AB$23,"FAIL")</f>
        <v/>
      </c>
      <c r="E35" s="55">
        <f>COUNTIF(Summary!$B$23:$AB$23,"ERROR")</f>
        <v/>
      </c>
      <c r="F35" s="62">
        <f>IF($B35=0,0,C35/$B35)</f>
        <v/>
      </c>
      <c r="G35" s="62">
        <f>IF($B35=0,0,D35/$B35)</f>
        <v/>
      </c>
      <c r="H35" s="62">
        <f>IF($B35=0,0,E35/$B35)</f>
        <v/>
      </c>
      <c r="I35" s="55">
        <f>IF(C35=B35,"PASS",IF(E35&gt;0,"ERROR","FAIL"))</f>
        <v/>
      </c>
      <c r="J35" s="55" t="n">
        <v>3</v>
      </c>
    </row>
    <row r="36">
      <c r="A36" s="55">
        <f>Summary!A24</f>
        <v/>
      </c>
      <c r="B36" s="55">
        <f>COUNTIF(Summary!$B$24:$AB$24,"PASS")+COUNTIF(Summary!$B$24:$AB$24,"FAIL")+COUNTIF(Summary!$B$24:$AB$24,"ERROR")</f>
        <v/>
      </c>
      <c r="C36" s="55">
        <f>COUNTIF(Summary!$B$24:$AB$24,"PASS")</f>
        <v/>
      </c>
      <c r="D36" s="55">
        <f>COUNTIF(Summary!$B$24:$AB$24,"FAIL")</f>
        <v/>
      </c>
      <c r="E36" s="55">
        <f>COUNTIF(Summary!$B$24:$AB$24,"ERROR")</f>
        <v/>
      </c>
      <c r="F36" s="62">
        <f>IF($B36=0,0,C36/$B36)</f>
        <v/>
      </c>
      <c r="G36" s="62">
        <f>IF($B36=0,0,D36/$B36)</f>
        <v/>
      </c>
      <c r="H36" s="62">
        <f>IF($B36=0,0,E36/$B36)</f>
        <v/>
      </c>
      <c r="I36" s="55">
        <f>IF(C36=B36,"PASS",IF(E36&gt;0,"ERROR","FAIL"))</f>
        <v/>
      </c>
      <c r="J36" s="55" t="n">
        <v>3</v>
      </c>
    </row>
    <row r="37">
      <c r="A37" s="55">
        <f>Summary!A25</f>
        <v/>
      </c>
      <c r="B37" s="55">
        <f>COUNTIF(Summary!$B$25:$AB$25,"PASS")+COUNTIF(Summary!$B$25:$AB$25,"FAIL")+COUNTIF(Summary!$B$25:$AB$25,"ERROR")</f>
        <v/>
      </c>
      <c r="C37" s="55">
        <f>COUNTIF(Summary!$B$25:$AB$25,"PASS")</f>
        <v/>
      </c>
      <c r="D37" s="55">
        <f>COUNTIF(Summary!$B$25:$AB$25,"FAIL")</f>
        <v/>
      </c>
      <c r="E37" s="55">
        <f>COUNTIF(Summary!$B$25:$AB$25,"ERROR")</f>
        <v/>
      </c>
      <c r="F37" s="62">
        <f>IF($B37=0,0,C37/$B37)</f>
        <v/>
      </c>
      <c r="G37" s="62">
        <f>IF($B37=0,0,D37/$B37)</f>
        <v/>
      </c>
      <c r="H37" s="62">
        <f>IF($B37=0,0,E37/$B37)</f>
        <v/>
      </c>
      <c r="I37" s="55">
        <f>IF(C37=B37,"PASS",IF(E37&gt;0,"ERROR","FAIL"))</f>
        <v/>
      </c>
      <c r="J37" s="55" t="n">
        <v>3</v>
      </c>
    </row>
    <row r="38">
      <c r="A38" s="55">
        <f>Summary!A26</f>
        <v/>
      </c>
      <c r="B38" s="55">
        <f>COUNTIF(Summary!$B$26:$AB$26,"PASS")+COUNTIF(Summary!$B$26:$AB$26,"FAIL")+COUNTIF(Summary!$B$26:$AB$26,"ERROR")</f>
        <v/>
      </c>
      <c r="C38" s="55">
        <f>COUNTIF(Summary!$B$26:$AB$26,"PASS")</f>
        <v/>
      </c>
      <c r="D38" s="55">
        <f>COUNTIF(Summary!$B$26:$AB$26,"FAIL")</f>
        <v/>
      </c>
      <c r="E38" s="55">
        <f>COUNTIF(Summary!$B$26:$AB$26,"ERROR")</f>
        <v/>
      </c>
      <c r="F38" s="62">
        <f>IF($B38=0,0,C38/$B38)</f>
        <v/>
      </c>
      <c r="G38" s="62">
        <f>IF($B38=0,0,D38/$B38)</f>
        <v/>
      </c>
      <c r="H38" s="62">
        <f>IF($B38=0,0,E38/$B38)</f>
        <v/>
      </c>
      <c r="I38" s="55">
        <f>IF(C38=B38,"PASS",IF(E38&gt;0,"ERROR","FAIL"))</f>
        <v/>
      </c>
      <c r="J38" s="55" t="n">
        <v>3</v>
      </c>
    </row>
    <row r="39">
      <c r="A39" s="55">
        <f>Summary!A27</f>
        <v/>
      </c>
      <c r="B39" s="55">
        <f>COUNTIF(Summary!$B$27:$AB$27,"PASS")+COUNTIF(Summary!$B$27:$AB$27,"FAIL")+COUNTIF(Summary!$B$27:$AB$27,"ERROR")</f>
        <v/>
      </c>
      <c r="C39" s="55">
        <f>COUNTIF(Summary!$B$27:$AB$27,"PASS")</f>
        <v/>
      </c>
      <c r="D39" s="55">
        <f>COUNTIF(Summary!$B$27:$AB$27,"FAIL")</f>
        <v/>
      </c>
      <c r="E39" s="55">
        <f>COUNTIF(Summary!$B$27:$AB$27,"ERROR")</f>
        <v/>
      </c>
      <c r="F39" s="62">
        <f>IF($B39=0,0,C39/$B39)</f>
        <v/>
      </c>
      <c r="G39" s="62">
        <f>IF($B39=0,0,D39/$B39)</f>
        <v/>
      </c>
      <c r="H39" s="62">
        <f>IF($B39=0,0,E39/$B39)</f>
        <v/>
      </c>
      <c r="I39" s="55">
        <f>IF(C39=B39,"PASS",IF(E39&gt;0,"ERROR","FAIL"))</f>
        <v/>
      </c>
      <c r="J39" s="55" t="n">
        <v>3</v>
      </c>
    </row>
    <row r="40">
      <c r="A40" s="55">
        <f>Summary!A28</f>
        <v/>
      </c>
      <c r="B40" s="55">
        <f>COUNTIF(Summary!$B$28:$AB$28,"PASS")+COUNTIF(Summary!$B$28:$AB$28,"FAIL")+COUNTIF(Summary!$B$28:$AB$28,"ERROR")</f>
        <v/>
      </c>
      <c r="C40" s="55">
        <f>COUNTIF(Summary!$B$28:$AB$28,"PASS")</f>
        <v/>
      </c>
      <c r="D40" s="55">
        <f>COUNTIF(Summary!$B$28:$AB$28,"FAIL")</f>
        <v/>
      </c>
      <c r="E40" s="55">
        <f>COUNTIF(Summary!$B$28:$AB$28,"ERROR")</f>
        <v/>
      </c>
      <c r="F40" s="62">
        <f>IF($B40=0,0,C40/$B40)</f>
        <v/>
      </c>
      <c r="G40" s="62">
        <f>IF($B40=0,0,D40/$B40)</f>
        <v/>
      </c>
      <c r="H40" s="62">
        <f>IF($B40=0,0,E40/$B40)</f>
        <v/>
      </c>
      <c r="I40" s="55">
        <f>IF(C40=B40,"PASS",IF(E40&gt;0,"ERROR","FAIL"))</f>
        <v/>
      </c>
      <c r="J40" s="55" t="n">
        <v>3</v>
      </c>
    </row>
    <row r="41">
      <c r="A41" s="55">
        <f>Summary!A29</f>
        <v/>
      </c>
      <c r="B41" s="55">
        <f>COUNTIF(Summary!$B$29:$AB$29,"PASS")+COUNTIF(Summary!$B$29:$AB$29,"FAIL")+COUNTIF(Summary!$B$29:$AB$29,"ERROR")</f>
        <v/>
      </c>
      <c r="C41" s="55">
        <f>COUNTIF(Summary!$B$29:$AB$29,"PASS")</f>
        <v/>
      </c>
      <c r="D41" s="55">
        <f>COUNTIF(Summary!$B$29:$AB$29,"FAIL")</f>
        <v/>
      </c>
      <c r="E41" s="55">
        <f>COUNTIF(Summary!$B$29:$AB$29,"ERROR")</f>
        <v/>
      </c>
      <c r="F41" s="62">
        <f>IF($B41=0,0,C41/$B41)</f>
        <v/>
      </c>
      <c r="G41" s="62">
        <f>IF($B41=0,0,D41/$B41)</f>
        <v/>
      </c>
      <c r="H41" s="62">
        <f>IF($B41=0,0,E41/$B41)</f>
        <v/>
      </c>
      <c r="I41" s="55">
        <f>IF(C41=B41,"PASS",IF(E41&gt;0,"ERROR","FAIL"))</f>
        <v/>
      </c>
      <c r="J41" s="55" t="n">
        <v>3</v>
      </c>
    </row>
    <row r="42">
      <c r="A42" s="55">
        <f>Summary!A30</f>
        <v/>
      </c>
      <c r="B42" s="55">
        <f>COUNTIF(Summary!$B$30:$AB$30,"PASS")+COUNTIF(Summary!$B$30:$AB$30,"FAIL")+COUNTIF(Summary!$B$30:$AB$30,"ERROR")</f>
        <v/>
      </c>
      <c r="C42" s="55">
        <f>COUNTIF(Summary!$B$30:$AB$30,"PASS")</f>
        <v/>
      </c>
      <c r="D42" s="55">
        <f>COUNTIF(Summary!$B$30:$AB$30,"FAIL")</f>
        <v/>
      </c>
      <c r="E42" s="55">
        <f>COUNTIF(Summary!$B$30:$AB$30,"ERROR")</f>
        <v/>
      </c>
      <c r="F42" s="62">
        <f>IF($B42=0,0,C42/$B42)</f>
        <v/>
      </c>
      <c r="G42" s="62">
        <f>IF($B42=0,0,D42/$B42)</f>
        <v/>
      </c>
      <c r="H42" s="62">
        <f>IF($B42=0,0,E42/$B42)</f>
        <v/>
      </c>
      <c r="I42" s="55">
        <f>IF(C42=B42,"PASS",IF(E42&gt;0,"ERROR","FAIL"))</f>
        <v/>
      </c>
      <c r="J42" s="55" t="n">
        <v>3</v>
      </c>
    </row>
    <row r="43">
      <c r="A43" s="55">
        <f>Summary!A31</f>
        <v/>
      </c>
      <c r="B43" s="55">
        <f>COUNTIF(Summary!$B$31:$AB$31,"PASS")+COUNTIF(Summary!$B$31:$AB$31,"FAIL")+COUNTIF(Summary!$B$31:$AB$31,"ERROR")</f>
        <v/>
      </c>
      <c r="C43" s="55">
        <f>COUNTIF(Summary!$B$31:$AB$31,"PASS")</f>
        <v/>
      </c>
      <c r="D43" s="55">
        <f>COUNTIF(Summary!$B$31:$AB$31,"FAIL")</f>
        <v/>
      </c>
      <c r="E43" s="55">
        <f>COUNTIF(Summary!$B$31:$AB$31,"ERROR")</f>
        <v/>
      </c>
      <c r="F43" s="62">
        <f>IF($B43=0,0,C43/$B43)</f>
        <v/>
      </c>
      <c r="G43" s="62">
        <f>IF($B43=0,0,D43/$B43)</f>
        <v/>
      </c>
      <c r="H43" s="62">
        <f>IF($B43=0,0,E43/$B43)</f>
        <v/>
      </c>
      <c r="I43" s="55">
        <f>IF(C43=B43,"PASS",IF(E43&gt;0,"ERROR","FAIL"))</f>
        <v/>
      </c>
      <c r="J43" s="55" t="n">
        <v>3</v>
      </c>
    </row>
    <row r="44">
      <c r="A44" s="55">
        <f>Summary!A32</f>
        <v/>
      </c>
      <c r="B44" s="55">
        <f>COUNTIF(Summary!$B$32:$AB$32,"PASS")+COUNTIF(Summary!$B$32:$AB$32,"FAIL")+COUNTIF(Summary!$B$32:$AB$32,"ERROR")</f>
        <v/>
      </c>
      <c r="C44" s="55">
        <f>COUNTIF(Summary!$B$32:$AB$32,"PASS")</f>
        <v/>
      </c>
      <c r="D44" s="55">
        <f>COUNTIF(Summary!$B$32:$AB$32,"FAIL")</f>
        <v/>
      </c>
      <c r="E44" s="55">
        <f>COUNTIF(Summary!$B$32:$AB$32,"ERROR")</f>
        <v/>
      </c>
      <c r="F44" s="62">
        <f>IF($B44=0,0,C44/$B44)</f>
        <v/>
      </c>
      <c r="G44" s="62">
        <f>IF($B44=0,0,D44/$B44)</f>
        <v/>
      </c>
      <c r="H44" s="62">
        <f>IF($B44=0,0,E44/$B44)</f>
        <v/>
      </c>
      <c r="I44" s="55">
        <f>IF(C44=B44,"PASS",IF(E44&gt;0,"ERROR","FAIL"))</f>
        <v/>
      </c>
      <c r="J44" s="55" t="n">
        <v>4</v>
      </c>
    </row>
    <row r="45">
      <c r="A45" s="55">
        <f>Summary!A33</f>
        <v/>
      </c>
      <c r="B45" s="55">
        <f>COUNTIF(Summary!$B$33:$AB$33,"PASS")+COUNTIF(Summary!$B$33:$AB$33,"FAIL")+COUNTIF(Summary!$B$33:$AB$33,"ERROR")</f>
        <v/>
      </c>
      <c r="C45" s="55">
        <f>COUNTIF(Summary!$B$33:$AB$33,"PASS")</f>
        <v/>
      </c>
      <c r="D45" s="55">
        <f>COUNTIF(Summary!$B$33:$AB$33,"FAIL")</f>
        <v/>
      </c>
      <c r="E45" s="55">
        <f>COUNTIF(Summary!$B$33:$AB$33,"ERROR")</f>
        <v/>
      </c>
      <c r="F45" s="62">
        <f>IF($B45=0,0,C45/$B45)</f>
        <v/>
      </c>
      <c r="G45" s="62">
        <f>IF($B45=0,0,D45/$B45)</f>
        <v/>
      </c>
      <c r="H45" s="62">
        <f>IF($B45=0,0,E45/$B45)</f>
        <v/>
      </c>
      <c r="I45" s="55">
        <f>IF(C45=B45,"PASS",IF(E45&gt;0,"ERROR","FAIL"))</f>
        <v/>
      </c>
      <c r="J45" s="55" t="n">
        <v>4</v>
      </c>
    </row>
    <row r="46">
      <c r="A46" s="55">
        <f>Summary!A34</f>
        <v/>
      </c>
      <c r="B46" s="55">
        <f>COUNTIF(Summary!$B$34:$AB$34,"PASS")+COUNTIF(Summary!$B$34:$AB$34,"FAIL")+COUNTIF(Summary!$B$34:$AB$34,"ERROR")</f>
        <v/>
      </c>
      <c r="C46" s="55">
        <f>COUNTIF(Summary!$B$34:$AB$34,"PASS")</f>
        <v/>
      </c>
      <c r="D46" s="55">
        <f>COUNTIF(Summary!$B$34:$AB$34,"FAIL")</f>
        <v/>
      </c>
      <c r="E46" s="55">
        <f>COUNTIF(Summary!$B$34:$AB$34,"ERROR")</f>
        <v/>
      </c>
      <c r="F46" s="62">
        <f>IF($B46=0,0,C46/$B46)</f>
        <v/>
      </c>
      <c r="G46" s="62">
        <f>IF($B46=0,0,D46/$B46)</f>
        <v/>
      </c>
      <c r="H46" s="62">
        <f>IF($B46=0,0,E46/$B46)</f>
        <v/>
      </c>
      <c r="I46" s="55">
        <f>IF(C46=B46,"PASS",IF(E46&gt;0,"ERROR","FAIL"))</f>
        <v/>
      </c>
      <c r="J46" s="55" t="n">
        <v>4</v>
      </c>
    </row>
    <row r="47">
      <c r="A47" s="55">
        <f>Summary!A35</f>
        <v/>
      </c>
      <c r="B47" s="55">
        <f>COUNTIF(Summary!$B$35:$AB$35,"PASS")+COUNTIF(Summary!$B$35:$AB$35,"FAIL")+COUNTIF(Summary!$B$35:$AB$35,"ERROR")</f>
        <v/>
      </c>
      <c r="C47" s="55">
        <f>COUNTIF(Summary!$B$35:$AB$35,"PASS")</f>
        <v/>
      </c>
      <c r="D47" s="55">
        <f>COUNTIF(Summary!$B$35:$AB$35,"FAIL")</f>
        <v/>
      </c>
      <c r="E47" s="55">
        <f>COUNTIF(Summary!$B$35:$AB$35,"ERROR")</f>
        <v/>
      </c>
      <c r="F47" s="62">
        <f>IF($B47=0,0,C47/$B47)</f>
        <v/>
      </c>
      <c r="G47" s="62">
        <f>IF($B47=0,0,D47/$B47)</f>
        <v/>
      </c>
      <c r="H47" s="62">
        <f>IF($B47=0,0,E47/$B47)</f>
        <v/>
      </c>
      <c r="I47" s="55">
        <f>IF(C47=B47,"PASS",IF(E47&gt;0,"ERROR","FAIL"))</f>
        <v/>
      </c>
      <c r="J47" s="55" t="n">
        <v>4</v>
      </c>
    </row>
    <row r="48">
      <c r="A48" s="55">
        <f>Summary!A36</f>
        <v/>
      </c>
      <c r="B48" s="55">
        <f>COUNTIF(Summary!$B$36:$AB$36,"PASS")+COUNTIF(Summary!$B$36:$AB$36,"FAIL")+COUNTIF(Summary!$B$36:$AB$36,"ERROR")</f>
        <v/>
      </c>
      <c r="C48" s="55">
        <f>COUNTIF(Summary!$B$36:$AB$36,"PASS")</f>
        <v/>
      </c>
      <c r="D48" s="55">
        <f>COUNTIF(Summary!$B$36:$AB$36,"FAIL")</f>
        <v/>
      </c>
      <c r="E48" s="55">
        <f>COUNTIF(Summary!$B$36:$AB$36,"ERROR")</f>
        <v/>
      </c>
      <c r="F48" s="62">
        <f>IF($B48=0,0,C48/$B48)</f>
        <v/>
      </c>
      <c r="G48" s="62">
        <f>IF($B48=0,0,D48/$B48)</f>
        <v/>
      </c>
      <c r="H48" s="62">
        <f>IF($B48=0,0,E48/$B48)</f>
        <v/>
      </c>
      <c r="I48" s="55">
        <f>IF(C48=B48,"PASS",IF(E48&gt;0,"ERROR","FAIL"))</f>
        <v/>
      </c>
      <c r="J48" s="55" t="n">
        <v>4</v>
      </c>
    </row>
    <row r="49">
      <c r="A49" s="55">
        <f>Summary!A37</f>
        <v/>
      </c>
      <c r="B49" s="55">
        <f>COUNTIF(Summary!$B$37:$AB$37,"PASS")+COUNTIF(Summary!$B$37:$AB$37,"FAIL")+COUNTIF(Summary!$B$37:$AB$37,"ERROR")</f>
        <v/>
      </c>
      <c r="C49" s="55">
        <f>COUNTIF(Summary!$B$37:$AB$37,"PASS")</f>
        <v/>
      </c>
      <c r="D49" s="55">
        <f>COUNTIF(Summary!$B$37:$AB$37,"FAIL")</f>
        <v/>
      </c>
      <c r="E49" s="55">
        <f>COUNTIF(Summary!$B$37:$AB$37,"ERROR")</f>
        <v/>
      </c>
      <c r="F49" s="62">
        <f>IF($B49=0,0,C49/$B49)</f>
        <v/>
      </c>
      <c r="G49" s="62">
        <f>IF($B49=0,0,D49/$B49)</f>
        <v/>
      </c>
      <c r="H49" s="62">
        <f>IF($B49=0,0,E49/$B49)</f>
        <v/>
      </c>
      <c r="I49" s="55">
        <f>IF(C49=B49,"PASS",IF(E49&gt;0,"ERROR","FAIL"))</f>
        <v/>
      </c>
      <c r="J49" s="55" t="n">
        <v>4</v>
      </c>
    </row>
    <row r="50">
      <c r="A50" s="55">
        <f>Summary!A38</f>
        <v/>
      </c>
      <c r="B50" s="55">
        <f>COUNTIF(Summary!$B$38:$AB$38,"PASS")+COUNTIF(Summary!$B$38:$AB$38,"FAIL")+COUNTIF(Summary!$B$38:$AB$38,"ERROR")</f>
        <v/>
      </c>
      <c r="C50" s="55">
        <f>COUNTIF(Summary!$B$38:$AB$38,"PASS")</f>
        <v/>
      </c>
      <c r="D50" s="55">
        <f>COUNTIF(Summary!$B$38:$AB$38,"FAIL")</f>
        <v/>
      </c>
      <c r="E50" s="55">
        <f>COUNTIF(Summary!$B$38:$AB$38,"ERROR")</f>
        <v/>
      </c>
      <c r="F50" s="62">
        <f>IF($B50=0,0,C50/$B50)</f>
        <v/>
      </c>
      <c r="G50" s="62">
        <f>IF($B50=0,0,D50/$B50)</f>
        <v/>
      </c>
      <c r="H50" s="62">
        <f>IF($B50=0,0,E50/$B50)</f>
        <v/>
      </c>
      <c r="I50" s="55">
        <f>IF(C50=B50,"PASS",IF(E50&gt;0,"ERROR","FAIL"))</f>
        <v/>
      </c>
      <c r="J50" s="55" t="n">
        <v>4</v>
      </c>
    </row>
    <row r="51">
      <c r="A51" s="55">
        <f>Summary!A39</f>
        <v/>
      </c>
      <c r="B51" s="55">
        <f>COUNTIF(Summary!$B$39:$AB$39,"PASS")+COUNTIF(Summary!$B$39:$AB$39,"FAIL")+COUNTIF(Summary!$B$39:$AB$39,"ERROR")</f>
        <v/>
      </c>
      <c r="C51" s="55">
        <f>COUNTIF(Summary!$B$39:$AB$39,"PASS")</f>
        <v/>
      </c>
      <c r="D51" s="55">
        <f>COUNTIF(Summary!$B$39:$AB$39,"FAIL")</f>
        <v/>
      </c>
      <c r="E51" s="55">
        <f>COUNTIF(Summary!$B$39:$AB$39,"ERROR")</f>
        <v/>
      </c>
      <c r="F51" s="62">
        <f>IF($B51=0,0,C51/$B51)</f>
        <v/>
      </c>
      <c r="G51" s="62">
        <f>IF($B51=0,0,D51/$B51)</f>
        <v/>
      </c>
      <c r="H51" s="62">
        <f>IF($B51=0,0,E51/$B51)</f>
        <v/>
      </c>
      <c r="I51" s="55">
        <f>IF(C51=B51,"PASS",IF(E51&gt;0,"ERROR","FAIL"))</f>
        <v/>
      </c>
      <c r="J51" s="55" t="n">
        <v>4</v>
      </c>
    </row>
    <row r="52">
      <c r="A52" s="55">
        <f>Summary!A40</f>
        <v/>
      </c>
      <c r="B52" s="55">
        <f>COUNTIF(Summary!$B$40:$AB$40,"PASS")+COUNTIF(Summary!$B$40:$AB$40,"FAIL")+COUNTIF(Summary!$B$40:$AB$40,"ERROR")</f>
        <v/>
      </c>
      <c r="C52" s="55">
        <f>COUNTIF(Summary!$B$40:$AB$40,"PASS")</f>
        <v/>
      </c>
      <c r="D52" s="55">
        <f>COUNTIF(Summary!$B$40:$AB$40,"FAIL")</f>
        <v/>
      </c>
      <c r="E52" s="55">
        <f>COUNTIF(Summary!$B$40:$AB$40,"ERROR")</f>
        <v/>
      </c>
      <c r="F52" s="62">
        <f>IF($B52=0,0,C52/$B52)</f>
        <v/>
      </c>
      <c r="G52" s="62">
        <f>IF($B52=0,0,D52/$B52)</f>
        <v/>
      </c>
      <c r="H52" s="62">
        <f>IF($B52=0,0,E52/$B52)</f>
        <v/>
      </c>
      <c r="I52" s="55">
        <f>IF(C52=B52,"PASS",IF(E52&gt;0,"ERROR","FAIL"))</f>
        <v/>
      </c>
      <c r="J52" s="55" t="n">
        <v>4</v>
      </c>
    </row>
    <row r="53">
      <c r="A53" s="55">
        <f>Summary!A41</f>
        <v/>
      </c>
      <c r="B53" s="55">
        <f>COUNTIF(Summary!$B$41:$AB$41,"PASS")+COUNTIF(Summary!$B$41:$AB$41,"FAIL")+COUNTIF(Summary!$B$41:$AB$41,"ERROR")</f>
        <v/>
      </c>
      <c r="C53" s="55">
        <f>COUNTIF(Summary!$B$41:$AB$41,"PASS")</f>
        <v/>
      </c>
      <c r="D53" s="55">
        <f>COUNTIF(Summary!$B$41:$AB$41,"FAIL")</f>
        <v/>
      </c>
      <c r="E53" s="55">
        <f>COUNTIF(Summary!$B$41:$AB$41,"ERROR")</f>
        <v/>
      </c>
      <c r="F53" s="62">
        <f>IF($B53=0,0,C53/$B53)</f>
        <v/>
      </c>
      <c r="G53" s="62">
        <f>IF($B53=0,0,D53/$B53)</f>
        <v/>
      </c>
      <c r="H53" s="62">
        <f>IF($B53=0,0,E53/$B53)</f>
        <v/>
      </c>
      <c r="I53" s="55">
        <f>IF(C53=B53,"PASS",IF(E53&gt;0,"ERROR","FAIL"))</f>
        <v/>
      </c>
      <c r="J53" s="55" t="n">
        <v>4</v>
      </c>
    </row>
    <row r="54">
      <c r="A54" s="55">
        <f>Summary!A42</f>
        <v/>
      </c>
      <c r="B54" s="55">
        <f>COUNTIF(Summary!$B$42:$AB$42,"PASS")+COUNTIF(Summary!$B$42:$AB$42,"FAIL")+COUNTIF(Summary!$B$42:$AB$42,"ERROR")</f>
        <v/>
      </c>
      <c r="C54" s="55">
        <f>COUNTIF(Summary!$B$42:$AB$42,"PASS")</f>
        <v/>
      </c>
      <c r="D54" s="55">
        <f>COUNTIF(Summary!$B$42:$AB$42,"FAIL")</f>
        <v/>
      </c>
      <c r="E54" s="55">
        <f>COUNTIF(Summary!$B$42:$AB$42,"ERROR")</f>
        <v/>
      </c>
      <c r="F54" s="62">
        <f>IF($B54=0,0,C54/$B54)</f>
        <v/>
      </c>
      <c r="G54" s="62">
        <f>IF($B54=0,0,D54/$B54)</f>
        <v/>
      </c>
      <c r="H54" s="62">
        <f>IF($B54=0,0,E54/$B54)</f>
        <v/>
      </c>
      <c r="I54" s="55">
        <f>IF(C54=B54,"PASS",IF(E54&gt;0,"ERROR","FAIL"))</f>
        <v/>
      </c>
      <c r="J54" s="55" t="n">
        <v>5</v>
      </c>
    </row>
    <row r="55">
      <c r="A55" s="55">
        <f>Summary!A43</f>
        <v/>
      </c>
      <c r="B55" s="55">
        <f>COUNTIF(Summary!$B$43:$AB$43,"PASS")+COUNTIF(Summary!$B$43:$AB$43,"FAIL")+COUNTIF(Summary!$B$43:$AB$43,"ERROR")</f>
        <v/>
      </c>
      <c r="C55" s="55">
        <f>COUNTIF(Summary!$B$43:$AB$43,"PASS")</f>
        <v/>
      </c>
      <c r="D55" s="55">
        <f>COUNTIF(Summary!$B$43:$AB$43,"FAIL")</f>
        <v/>
      </c>
      <c r="E55" s="55">
        <f>COUNTIF(Summary!$B$43:$AB$43,"ERROR")</f>
        <v/>
      </c>
      <c r="F55" s="62">
        <f>IF($B55=0,0,C55/$B55)</f>
        <v/>
      </c>
      <c r="G55" s="62">
        <f>IF($B55=0,0,D55/$B55)</f>
        <v/>
      </c>
      <c r="H55" s="62">
        <f>IF($B55=0,0,E55/$B55)</f>
        <v/>
      </c>
      <c r="I55" s="55">
        <f>IF(C55=B55,"PASS",IF(E55&gt;0,"ERROR","FAIL"))</f>
        <v/>
      </c>
      <c r="J55" s="55" t="n">
        <v>5</v>
      </c>
    </row>
    <row r="56">
      <c r="A56" s="55">
        <f>Summary!A44</f>
        <v/>
      </c>
      <c r="B56" s="55">
        <f>COUNTIF(Summary!$B$44:$AB$44,"PASS")+COUNTIF(Summary!$B$44:$AB$44,"FAIL")+COUNTIF(Summary!$B$44:$AB$44,"ERROR")</f>
        <v/>
      </c>
      <c r="C56" s="55">
        <f>COUNTIF(Summary!$B$44:$AB$44,"PASS")</f>
        <v/>
      </c>
      <c r="D56" s="55">
        <f>COUNTIF(Summary!$B$44:$AB$44,"FAIL")</f>
        <v/>
      </c>
      <c r="E56" s="55">
        <f>COUNTIF(Summary!$B$44:$AB$44,"ERROR")</f>
        <v/>
      </c>
      <c r="F56" s="62">
        <f>IF($B56=0,0,C56/$B56)</f>
        <v/>
      </c>
      <c r="G56" s="62">
        <f>IF($B56=0,0,D56/$B56)</f>
        <v/>
      </c>
      <c r="H56" s="62">
        <f>IF($B56=0,0,E56/$B56)</f>
        <v/>
      </c>
      <c r="I56" s="55">
        <f>IF(C56=B56,"PASS",IF(E56&gt;0,"ERROR","FAIL"))</f>
        <v/>
      </c>
      <c r="J56" s="55" t="n">
        <v>5</v>
      </c>
    </row>
    <row r="57">
      <c r="A57" s="55">
        <f>Summary!A45</f>
        <v/>
      </c>
      <c r="B57" s="55">
        <f>COUNTIF(Summary!$B$45:$AB$45,"PASS")+COUNTIF(Summary!$B$45:$AB$45,"FAIL")+COUNTIF(Summary!$B$45:$AB$45,"ERROR")</f>
        <v/>
      </c>
      <c r="C57" s="55">
        <f>COUNTIF(Summary!$B$45:$AB$45,"PASS")</f>
        <v/>
      </c>
      <c r="D57" s="55">
        <f>COUNTIF(Summary!$B$45:$AB$45,"FAIL")</f>
        <v/>
      </c>
      <c r="E57" s="55">
        <f>COUNTIF(Summary!$B$45:$AB$45,"ERROR")</f>
        <v/>
      </c>
      <c r="F57" s="62">
        <f>IF($B57=0,0,C57/$B57)</f>
        <v/>
      </c>
      <c r="G57" s="62">
        <f>IF($B57=0,0,D57/$B57)</f>
        <v/>
      </c>
      <c r="H57" s="62">
        <f>IF($B57=0,0,E57/$B57)</f>
        <v/>
      </c>
      <c r="I57" s="55">
        <f>IF(C57=B57,"PASS",IF(E57&gt;0,"ERROR","FAIL"))</f>
        <v/>
      </c>
      <c r="J57" s="55" t="n">
        <v>5</v>
      </c>
    </row>
    <row r="58">
      <c r="A58" s="55">
        <f>Summary!A46</f>
        <v/>
      </c>
      <c r="B58" s="55">
        <f>COUNTIF(Summary!$B$46:$AB$46,"PASS")+COUNTIF(Summary!$B$46:$AB$46,"FAIL")+COUNTIF(Summary!$B$46:$AB$46,"ERROR")</f>
        <v/>
      </c>
      <c r="C58" s="55">
        <f>COUNTIF(Summary!$B$46:$AB$46,"PASS")</f>
        <v/>
      </c>
      <c r="D58" s="55">
        <f>COUNTIF(Summary!$B$46:$AB$46,"FAIL")</f>
        <v/>
      </c>
      <c r="E58" s="55">
        <f>COUNTIF(Summary!$B$46:$AB$46,"ERROR")</f>
        <v/>
      </c>
      <c r="F58" s="62">
        <f>IF($B58=0,0,C58/$B58)</f>
        <v/>
      </c>
      <c r="G58" s="62">
        <f>IF($B58=0,0,D58/$B58)</f>
        <v/>
      </c>
      <c r="H58" s="62">
        <f>IF($B58=0,0,E58/$B58)</f>
        <v/>
      </c>
      <c r="I58" s="55">
        <f>IF(C58=B58,"PASS",IF(E58&gt;0,"ERROR","FAIL"))</f>
        <v/>
      </c>
      <c r="J58" s="55" t="n">
        <v>5</v>
      </c>
    </row>
    <row r="59">
      <c r="A59" s="55">
        <f>Summary!A47</f>
        <v/>
      </c>
      <c r="B59" s="55">
        <f>COUNTIF(Summary!$B$47:$AB$47,"PASS")+COUNTIF(Summary!$B$47:$AB$47,"FAIL")+COUNTIF(Summary!$B$47:$AB$47,"ERROR")</f>
        <v/>
      </c>
      <c r="C59" s="55">
        <f>COUNTIF(Summary!$B$47:$AB$47,"PASS")</f>
        <v/>
      </c>
      <c r="D59" s="55">
        <f>COUNTIF(Summary!$B$47:$AB$47,"FAIL")</f>
        <v/>
      </c>
      <c r="E59" s="55">
        <f>COUNTIF(Summary!$B$47:$AB$47,"ERROR")</f>
        <v/>
      </c>
      <c r="F59" s="62">
        <f>IF($B59=0,0,C59/$B59)</f>
        <v/>
      </c>
      <c r="G59" s="62">
        <f>IF($B59=0,0,D59/$B59)</f>
        <v/>
      </c>
      <c r="H59" s="62">
        <f>IF($B59=0,0,E59/$B59)</f>
        <v/>
      </c>
      <c r="I59" s="55">
        <f>IF(C59=B59,"PASS",IF(E59&gt;0,"ERROR","FAIL"))</f>
        <v/>
      </c>
      <c r="J59" s="55" t="n">
        <v>5</v>
      </c>
    </row>
    <row r="60">
      <c r="A60" s="55">
        <f>Summary!A48</f>
        <v/>
      </c>
      <c r="B60" s="55">
        <f>COUNTIF(Summary!$B$48:$AB$48,"PASS")+COUNTIF(Summary!$B$48:$AB$48,"FAIL")+COUNTIF(Summary!$B$48:$AB$48,"ERROR")</f>
        <v/>
      </c>
      <c r="C60" s="55">
        <f>COUNTIF(Summary!$B$48:$AB$48,"PASS")</f>
        <v/>
      </c>
      <c r="D60" s="55">
        <f>COUNTIF(Summary!$B$48:$AB$48,"FAIL")</f>
        <v/>
      </c>
      <c r="E60" s="55">
        <f>COUNTIF(Summary!$B$48:$AB$48,"ERROR")</f>
        <v/>
      </c>
      <c r="F60" s="62">
        <f>IF($B60=0,0,C60/$B60)</f>
        <v/>
      </c>
      <c r="G60" s="62">
        <f>IF($B60=0,0,D60/$B60)</f>
        <v/>
      </c>
      <c r="H60" s="62">
        <f>IF($B60=0,0,E60/$B60)</f>
        <v/>
      </c>
      <c r="I60" s="55">
        <f>IF(C60=B60,"PASS",IF(E60&gt;0,"ERROR","FAIL"))</f>
        <v/>
      </c>
      <c r="J60" s="55" t="n">
        <v>5</v>
      </c>
    </row>
    <row r="61">
      <c r="A61" s="55">
        <f>Summary!A49</f>
        <v/>
      </c>
      <c r="B61" s="55">
        <f>COUNTIF(Summary!$B$49:$AB$49,"PASS")+COUNTIF(Summary!$B$49:$AB$49,"FAIL")+COUNTIF(Summary!$B$49:$AB$49,"ERROR")</f>
        <v/>
      </c>
      <c r="C61" s="55">
        <f>COUNTIF(Summary!$B$49:$AB$49,"PASS")</f>
        <v/>
      </c>
      <c r="D61" s="55">
        <f>COUNTIF(Summary!$B$49:$AB$49,"FAIL")</f>
        <v/>
      </c>
      <c r="E61" s="55">
        <f>COUNTIF(Summary!$B$49:$AB$49,"ERROR")</f>
        <v/>
      </c>
      <c r="F61" s="62">
        <f>IF($B61=0,0,C61/$B61)</f>
        <v/>
      </c>
      <c r="G61" s="62">
        <f>IF($B61=0,0,D61/$B61)</f>
        <v/>
      </c>
      <c r="H61" s="62">
        <f>IF($B61=0,0,E61/$B61)</f>
        <v/>
      </c>
      <c r="I61" s="55">
        <f>IF(C61=B61,"PASS",IF(E61&gt;0,"ERROR","FAIL"))</f>
        <v/>
      </c>
      <c r="J61" s="55" t="n">
        <v>5</v>
      </c>
    </row>
    <row r="62">
      <c r="A62" s="55">
        <f>Summary!A50</f>
        <v/>
      </c>
      <c r="B62" s="55">
        <f>COUNTIF(Summary!$B$50:$AB$50,"PASS")+COUNTIF(Summary!$B$50:$AB$50,"FAIL")+COUNTIF(Summary!$B$50:$AB$50,"ERROR")</f>
        <v/>
      </c>
      <c r="C62" s="55">
        <f>COUNTIF(Summary!$B$50:$AB$50,"PASS")</f>
        <v/>
      </c>
      <c r="D62" s="55">
        <f>COUNTIF(Summary!$B$50:$AB$50,"FAIL")</f>
        <v/>
      </c>
      <c r="E62" s="55">
        <f>COUNTIF(Summary!$B$50:$AB$50,"ERROR")</f>
        <v/>
      </c>
      <c r="F62" s="62">
        <f>IF($B62=0,0,C62/$B62)</f>
        <v/>
      </c>
      <c r="G62" s="62">
        <f>IF($B62=0,0,D62/$B62)</f>
        <v/>
      </c>
      <c r="H62" s="62">
        <f>IF($B62=0,0,E62/$B62)</f>
        <v/>
      </c>
      <c r="I62" s="55">
        <f>IF(C62=B62,"PASS",IF(E62&gt;0,"ERROR","FAIL"))</f>
        <v/>
      </c>
      <c r="J62" s="55" t="n">
        <v>5</v>
      </c>
    </row>
    <row r="63">
      <c r="A63" s="55">
        <f>Summary!A51</f>
        <v/>
      </c>
      <c r="B63" s="55">
        <f>COUNTIF(Summary!$B$51:$AB$51,"PASS")+COUNTIF(Summary!$B$51:$AB$51,"FAIL")+COUNTIF(Summary!$B$51:$AB$51,"ERROR")</f>
        <v/>
      </c>
      <c r="C63" s="55">
        <f>COUNTIF(Summary!$B$51:$AB$51,"PASS")</f>
        <v/>
      </c>
      <c r="D63" s="55">
        <f>COUNTIF(Summary!$B$51:$AB$51,"FAIL")</f>
        <v/>
      </c>
      <c r="E63" s="55">
        <f>COUNTIF(Summary!$B$51:$AB$51,"ERROR")</f>
        <v/>
      </c>
      <c r="F63" s="62">
        <f>IF($B63=0,0,C63/$B63)</f>
        <v/>
      </c>
      <c r="G63" s="62">
        <f>IF($B63=0,0,D63/$B63)</f>
        <v/>
      </c>
      <c r="H63" s="62">
        <f>IF($B63=0,0,E63/$B63)</f>
        <v/>
      </c>
      <c r="I63" s="55">
        <f>IF(C63=B63,"PASS",IF(E63&gt;0,"ERROR","FAIL"))</f>
        <v/>
      </c>
      <c r="J63" s="55" t="n">
        <v>5</v>
      </c>
    </row>
    <row r="65">
      <c r="A65" s="60" t="inlineStr">
        <is>
          <t>3. Cases by outcome</t>
        </is>
      </c>
    </row>
    <row r="66">
      <c r="A66" s="54" t="inlineStr">
        <is>
          <t>Outcome</t>
        </is>
      </c>
      <c r="B66" s="54" t="inlineStr">
        <is>
          <t>Cases</t>
        </is>
      </c>
      <c r="C66" s="54" t="inlineStr">
        <is>
          <t>% of cases</t>
        </is>
      </c>
      <c r="D66" s="54" t="inlineStr">
        <is>
          <t>Batch 1</t>
        </is>
      </c>
      <c r="E66" s="54" t="inlineStr">
        <is>
          <t>Batch 1 %</t>
        </is>
      </c>
      <c r="F66" s="54" t="inlineStr">
        <is>
          <t>Batch 2</t>
        </is>
      </c>
      <c r="G66" s="54" t="inlineStr">
        <is>
          <t>Batch 2 %</t>
        </is>
      </c>
      <c r="H66" s="54" t="inlineStr">
        <is>
          <t>Batch 3</t>
        </is>
      </c>
      <c r="I66" s="54" t="inlineStr">
        <is>
          <t>Batch 3 %</t>
        </is>
      </c>
      <c r="J66" s="54" t="inlineStr">
        <is>
          <t>Batch 4</t>
        </is>
      </c>
      <c r="K66" s="54" t="inlineStr">
        <is>
          <t>Batch 4 %</t>
        </is>
      </c>
      <c r="L66" s="54" t="inlineStr">
        <is>
          <t>Batch 5</t>
        </is>
      </c>
      <c r="M66" s="54" t="inlineStr">
        <is>
          <t>Batch 5 %</t>
        </is>
      </c>
    </row>
    <row r="67">
      <c r="A67" s="61" t="inlineStr">
        <is>
          <t>PASS</t>
        </is>
      </c>
      <c r="B67" s="55">
        <f>COUNTIF($I$14:$I$63,"PASS")</f>
        <v/>
      </c>
      <c r="C67" s="62">
        <f>IF($B$70=0,0,B67/$B$70)</f>
        <v/>
      </c>
      <c r="D67" s="55">
        <f>COUNTIFS($I$14:$I$63,"PASS",$J$14:$J$63,1)</f>
        <v/>
      </c>
      <c r="E67" s="62">
        <f>IF(D$70=0,0,D67/D$70)</f>
        <v/>
      </c>
      <c r="F67" s="55">
        <f>COUNTIFS($I$14:$I$63,"PASS",$J$14:$J$63,2)</f>
        <v/>
      </c>
      <c r="G67" s="62">
        <f>IF(F$70=0,0,F67/F$70)</f>
        <v/>
      </c>
      <c r="H67" s="55">
        <f>COUNTIFS($I$14:$I$63,"PASS",$J$14:$J$63,3)</f>
        <v/>
      </c>
      <c r="I67" s="62">
        <f>IF(H$70=0,0,H67/H$70)</f>
        <v/>
      </c>
      <c r="J67" s="55">
        <f>COUNTIFS($I$14:$I$63,"PASS",$J$14:$J$63,4)</f>
        <v/>
      </c>
      <c r="K67" s="62">
        <f>IF(J$70=0,0,J67/J$70)</f>
        <v/>
      </c>
      <c r="L67" s="55">
        <f>COUNTIFS($I$14:$I$63,"PASS",$J$14:$J$63,5)</f>
        <v/>
      </c>
      <c r="M67" s="62">
        <f>IF(L$70=0,0,L67/L$70)</f>
        <v/>
      </c>
    </row>
    <row r="68">
      <c r="A68" s="63" t="inlineStr">
        <is>
          <t>FAIL</t>
        </is>
      </c>
      <c r="B68" s="55">
        <f>COUNTIF($I$14:$I$63,"FAIL")</f>
        <v/>
      </c>
      <c r="C68" s="62">
        <f>IF($B$70=0,0,B68/$B$70)</f>
        <v/>
      </c>
      <c r="D68" s="55">
        <f>COUNTIFS($I$14:$I$63,"FAIL",$J$14:$J$63,1)</f>
        <v/>
      </c>
      <c r="E68" s="62">
        <f>IF(D$70=0,0,D68/D$70)</f>
        <v/>
      </c>
      <c r="F68" s="55">
        <f>COUNTIFS($I$14:$I$63,"FAIL",$J$14:$J$63,2)</f>
        <v/>
      </c>
      <c r="G68" s="62">
        <f>IF(F$70=0,0,F68/F$70)</f>
        <v/>
      </c>
      <c r="H68" s="55">
        <f>COUNTIFS($I$14:$I$63,"FAIL",$J$14:$J$63,3)</f>
        <v/>
      </c>
      <c r="I68" s="62">
        <f>IF(H$70=0,0,H68/H$70)</f>
        <v/>
      </c>
      <c r="J68" s="55">
        <f>COUNTIFS($I$14:$I$63,"FAIL",$J$14:$J$63,4)</f>
        <v/>
      </c>
      <c r="K68" s="62">
        <f>IF(J$70=0,0,J68/J$70)</f>
        <v/>
      </c>
      <c r="L68" s="55">
        <f>COUNTIFS($I$14:$I$63,"FAIL",$J$14:$J$63,5)</f>
        <v/>
      </c>
      <c r="M68" s="62">
        <f>IF(L$70=0,0,L68/L$70)</f>
        <v/>
      </c>
    </row>
    <row r="69">
      <c r="A69" s="64" t="inlineStr">
        <is>
          <t>ERROR</t>
        </is>
      </c>
      <c r="B69" s="55">
        <f>COUNTIF($I$14:$I$63,"ERROR")</f>
        <v/>
      </c>
      <c r="C69" s="62">
        <f>IF($B$70=0,0,B69/$B$70)</f>
        <v/>
      </c>
      <c r="D69" s="55">
        <f>COUNTIFS($I$14:$I$63,"ERROR",$J$14:$J$63,1)</f>
        <v/>
      </c>
      <c r="E69" s="62">
        <f>IF(D$70=0,0,D69/D$70)</f>
        <v/>
      </c>
      <c r="F69" s="55">
        <f>COUNTIFS($I$14:$I$63,"ERROR",$J$14:$J$63,2)</f>
        <v/>
      </c>
      <c r="G69" s="62">
        <f>IF(F$70=0,0,F69/F$70)</f>
        <v/>
      </c>
      <c r="H69" s="55">
        <f>COUNTIFS($I$14:$I$63,"ERROR",$J$14:$J$63,3)</f>
        <v/>
      </c>
      <c r="I69" s="62">
        <f>IF(H$70=0,0,H69/H$70)</f>
        <v/>
      </c>
      <c r="J69" s="55">
        <f>COUNTIFS($I$14:$I$63,"ERROR",$J$14:$J$63,4)</f>
        <v/>
      </c>
      <c r="K69" s="62">
        <f>IF(J$70=0,0,J69/J$70)</f>
        <v/>
      </c>
      <c r="L69" s="55">
        <f>COUNTIFS($I$14:$I$63,"ERROR",$J$14:$J$63,5)</f>
        <v/>
      </c>
      <c r="M69" s="62">
        <f>IF(L$70=0,0,L69/L$70)</f>
        <v/>
      </c>
    </row>
    <row r="70">
      <c r="A70" s="65" t="inlineStr">
        <is>
          <t>Total cases</t>
        </is>
      </c>
      <c r="B70" s="65">
        <f>SUM(B67:B69)</f>
        <v/>
      </c>
      <c r="C70" s="66">
        <f>SUM(C67:C69)</f>
        <v/>
      </c>
      <c r="D70" s="65">
        <f>SUM(D67:D69)</f>
        <v/>
      </c>
      <c r="E70" s="66">
        <f>SUM(E67:E69)</f>
        <v/>
      </c>
      <c r="F70" s="65">
        <f>SUM(F67:F69)</f>
        <v/>
      </c>
      <c r="G70" s="66">
        <f>SUM(G67:G69)</f>
        <v/>
      </c>
      <c r="H70" s="65">
        <f>SUM(H67:H69)</f>
        <v/>
      </c>
      <c r="I70" s="66">
        <f>SUM(I67:I69)</f>
        <v/>
      </c>
      <c r="J70" s="65">
        <f>SUM(J67:J69)</f>
        <v/>
      </c>
      <c r="K70" s="66">
        <f>SUM(K67:K69)</f>
        <v/>
      </c>
      <c r="L70" s="65">
        <f>SUM(L67:L69)</f>
        <v/>
      </c>
      <c r="M70" s="66">
        <f>SUM(M67:M69)</f>
        <v/>
      </c>
    </row>
    <row r="71">
      <c r="A71" t="inlineStr">
        <is>
          <t>A case is PASS only if it passed on every version it was tested on; ERROR if any version crashed; otherwise FAIL.</t>
        </is>
      </c>
    </row>
    <row r="73">
      <c r="A73" s="60" t="inlineStr">
        <is>
          <t>4. Cases that passed on at least one version</t>
        </is>
      </c>
    </row>
    <row r="74">
      <c r="A74" s="54" t="inlineStr">
        <is>
          <t>Measure</t>
        </is>
      </c>
      <c r="B74" s="54" t="inlineStr">
        <is>
          <t>Cases</t>
        </is>
      </c>
      <c r="C74" s="54" t="inlineStr">
        <is>
          <t>% of cases</t>
        </is>
      </c>
      <c r="D74" s="54" t="inlineStr">
        <is>
          <t>Batch 1</t>
        </is>
      </c>
      <c r="E74" s="54" t="inlineStr">
        <is>
          <t>Batch 1 %</t>
        </is>
      </c>
      <c r="F74" s="54" t="inlineStr">
        <is>
          <t>Batch 2</t>
        </is>
      </c>
      <c r="G74" s="54" t="inlineStr">
        <is>
          <t>Batch 2 %</t>
        </is>
      </c>
      <c r="H74" s="54" t="inlineStr">
        <is>
          <t>Batch 3</t>
        </is>
      </c>
      <c r="I74" s="54" t="inlineStr">
        <is>
          <t>Batch 3 %</t>
        </is>
      </c>
      <c r="J74" s="54" t="inlineStr">
        <is>
          <t>Batch 4</t>
        </is>
      </c>
      <c r="K74" s="54" t="inlineStr">
        <is>
          <t>Batch 4 %</t>
        </is>
      </c>
      <c r="L74" s="54" t="inlineStr">
        <is>
          <t>Batch 5</t>
        </is>
      </c>
      <c r="M74" s="54" t="inlineStr">
        <is>
          <t>Batch 5 %</t>
        </is>
      </c>
    </row>
    <row r="75">
      <c r="A75" s="55" t="inlineStr">
        <is>
          <t>Passed on at least one version</t>
        </is>
      </c>
      <c r="B75" s="55">
        <f>COUNTIF($B$80:$B$129,"YES")</f>
        <v/>
      </c>
      <c r="C75" s="62">
        <f>IF(COUNTA($A$80:$A$129)=0,0,B75/COUNTA($A$80:$A$129))</f>
        <v/>
      </c>
      <c r="D75" s="55">
        <f>COUNTIFS($B$80:$B$129,"YES",$F$80:$F$129,1)</f>
        <v/>
      </c>
      <c r="E75" s="62">
        <f>IF(COUNTIF($F$80:$F$129,1)=0,0,D75/COUNTIF($F$80:$F$129,1))</f>
        <v/>
      </c>
      <c r="F75" s="55">
        <f>COUNTIFS($B$80:$B$129,"YES",$F$80:$F$129,2)</f>
        <v/>
      </c>
      <c r="G75" s="62">
        <f>IF(COUNTIF($F$80:$F$129,2)=0,0,F75/COUNTIF($F$80:$F$129,2))</f>
        <v/>
      </c>
      <c r="H75" s="55">
        <f>COUNTIFS($B$80:$B$129,"YES",$F$80:$F$129,3)</f>
        <v/>
      </c>
      <c r="I75" s="62">
        <f>IF(COUNTIF($F$80:$F$129,3)=0,0,H75/COUNTIF($F$80:$F$129,3))</f>
        <v/>
      </c>
      <c r="J75" s="55">
        <f>COUNTIFS($B$80:$B$129,"YES",$F$80:$F$129,4)</f>
        <v/>
      </c>
      <c r="K75" s="62">
        <f>IF(COUNTIF($F$80:$F$129,4)=0,0,J75/COUNTIF($F$80:$F$129,4))</f>
        <v/>
      </c>
      <c r="L75" s="55">
        <f>COUNTIFS($B$80:$B$129,"YES",$F$80:$F$129,5)</f>
        <v/>
      </c>
      <c r="M75" s="62">
        <f>IF(COUNTIF($F$80:$F$129,5)=0,0,L75/COUNTIF($F$80:$F$129,5))</f>
        <v/>
      </c>
    </row>
    <row r="76">
      <c r="A76" s="55" t="inlineStr">
        <is>
          <t>Passed on every version (strict, as in section 3)</t>
        </is>
      </c>
      <c r="B76" s="55">
        <f>B67</f>
        <v/>
      </c>
      <c r="C76" s="62">
        <f>IF(COUNTA($A$80:$A$129)=0,0,B76/COUNTA($A$80:$A$129))</f>
        <v/>
      </c>
      <c r="D76" s="55">
        <f>D67</f>
        <v/>
      </c>
      <c r="E76" s="62">
        <f>IF(COUNTIF($F$80:$F$129,1)=0,0,D76/COUNTIF($F$80:$F$129,1))</f>
        <v/>
      </c>
      <c r="F76" s="55">
        <f>F67</f>
        <v/>
      </c>
      <c r="G76" s="62">
        <f>IF(COUNTIF($F$80:$F$129,2)=0,0,F76/COUNTIF($F$80:$F$129,2))</f>
        <v/>
      </c>
      <c r="H76" s="55">
        <f>H67</f>
        <v/>
      </c>
      <c r="I76" s="62">
        <f>IF(COUNTIF($F$80:$F$129,3)=0,0,H76/COUNTIF($F$80:$F$129,3))</f>
        <v/>
      </c>
      <c r="J76" s="55">
        <f>J67</f>
        <v/>
      </c>
      <c r="K76" s="62">
        <f>IF(COUNTIF($F$80:$F$129,4)=0,0,J76/COUNTIF($F$80:$F$129,4))</f>
        <v/>
      </c>
      <c r="L76" s="55">
        <f>L67</f>
        <v/>
      </c>
      <c r="M76" s="62">
        <f>IF(COUNTIF($F$80:$F$129,5)=0,0,L76/COUNTIF($F$80:$F$129,5))</f>
        <v/>
      </c>
    </row>
    <row r="77">
      <c r="A77" s="55" t="inlineStr">
        <is>
          <t>Passed on some but not all versions</t>
        </is>
      </c>
      <c r="B77" s="55">
        <f>B75-B76</f>
        <v/>
      </c>
      <c r="C77" s="62">
        <f>IF(COUNTA($A$80:$A$129)=0,0,B77/COUNTA($A$80:$A$129))</f>
        <v/>
      </c>
      <c r="D77" s="55">
        <f>D75-D76</f>
        <v/>
      </c>
      <c r="E77" s="62">
        <f>IF(COUNTIF($F$80:$F$129,1)=0,0,D77/COUNTIF($F$80:$F$129,1))</f>
        <v/>
      </c>
      <c r="F77" s="55">
        <f>F75-F76</f>
        <v/>
      </c>
      <c r="G77" s="62">
        <f>IF(COUNTIF($F$80:$F$129,2)=0,0,F77/COUNTIF($F$80:$F$129,2))</f>
        <v/>
      </c>
      <c r="H77" s="55">
        <f>H75-H76</f>
        <v/>
      </c>
      <c r="I77" s="62">
        <f>IF(COUNTIF($F$80:$F$129,3)=0,0,H77/COUNTIF($F$80:$F$129,3))</f>
        <v/>
      </c>
      <c r="J77" s="55">
        <f>J75-J76</f>
        <v/>
      </c>
      <c r="K77" s="62">
        <f>IF(COUNTIF($F$80:$F$129,4)=0,0,J77/COUNTIF($F$80:$F$129,4))</f>
        <v/>
      </c>
      <c r="L77" s="55">
        <f>L75-L76</f>
        <v/>
      </c>
      <c r="M77" s="62">
        <f>IF(COUNTIF($F$80:$F$129,5)=0,0,L77/COUNTIF($F$80:$F$129,5))</f>
        <v/>
      </c>
    </row>
    <row r="78">
      <c r="A78" s="55" t="inlineStr">
        <is>
          <t>Passed on no version</t>
        </is>
      </c>
      <c r="B78" s="55">
        <f>COUNTIF($B$80:$B$129,"NO")</f>
        <v/>
      </c>
      <c r="C78" s="62">
        <f>IF(COUNTA($A$80:$A$129)=0,0,B78/COUNTA($A$80:$A$129))</f>
        <v/>
      </c>
      <c r="D78" s="55">
        <f>COUNTIFS($B$80:$B$129,"NO",$F$80:$F$129,1)</f>
        <v/>
      </c>
      <c r="E78" s="62">
        <f>IF(COUNTIF($F$80:$F$129,1)=0,0,D78/COUNTIF($F$80:$F$129,1))</f>
        <v/>
      </c>
      <c r="F78" s="55">
        <f>COUNTIFS($B$80:$B$129,"NO",$F$80:$F$129,2)</f>
        <v/>
      </c>
      <c r="G78" s="62">
        <f>IF(COUNTIF($F$80:$F$129,2)=0,0,F78/COUNTIF($F$80:$F$129,2))</f>
        <v/>
      </c>
      <c r="H78" s="55">
        <f>COUNTIFS($B$80:$B$129,"NO",$F$80:$F$129,3)</f>
        <v/>
      </c>
      <c r="I78" s="62">
        <f>IF(COUNTIF($F$80:$F$129,3)=0,0,H78/COUNTIF($F$80:$F$129,3))</f>
        <v/>
      </c>
      <c r="J78" s="55">
        <f>COUNTIFS($B$80:$B$129,"NO",$F$80:$F$129,4)</f>
        <v/>
      </c>
      <c r="K78" s="62">
        <f>IF(COUNTIF($F$80:$F$129,4)=0,0,J78/COUNTIF($F$80:$F$129,4))</f>
        <v/>
      </c>
      <c r="L78" s="55">
        <f>COUNTIFS($B$80:$B$129,"NO",$F$80:$F$129,5)</f>
        <v/>
      </c>
      <c r="M78" s="62">
        <f>IF(COUNTIF($F$80:$F$129,5)=0,0,L78/COUNTIF($F$80:$F$129,5))</f>
        <v/>
      </c>
    </row>
    <row r="79">
      <c r="A79" s="54" t="inlineStr">
        <is>
          <t>Case</t>
        </is>
      </c>
      <c r="B79" s="54" t="inlineStr">
        <is>
          <t>Passed on ≥1 version?</t>
        </is>
      </c>
      <c r="C79" s="54" t="inlineStr">
        <is>
          <t>Versions it passed on</t>
        </is>
      </c>
      <c r="D79" s="54" t="inlineStr">
        <is>
          <t># passed</t>
        </is>
      </c>
      <c r="E79" s="54" t="inlineStr">
        <is>
          <t># tested</t>
        </is>
      </c>
      <c r="F79" s="54" t="inlineStr">
        <is>
          <t>Batch</t>
        </is>
      </c>
    </row>
    <row r="80">
      <c r="A80" s="55">
        <f>Summary!A2</f>
        <v/>
      </c>
      <c r="B80" s="55">
        <f>IF(C14&gt;0,"YES","NO")</f>
        <v/>
      </c>
      <c r="C80" s="67">
        <f t="array" ref="C80">IF(C14=0,"-",_xlfn.TEXTJOIN(", ",TRUE,IF(Summary!$B$2:$AB$2="PASS",Summary!$B$1:$AB$1,"")))</f>
        <v/>
      </c>
      <c r="D80" s="55">
        <f>C14</f>
        <v/>
      </c>
      <c r="E80" s="55">
        <f>B14</f>
        <v/>
      </c>
      <c r="F80" s="55" t="n">
        <v>1</v>
      </c>
    </row>
    <row r="81">
      <c r="A81" s="55">
        <f>Summary!A3</f>
        <v/>
      </c>
      <c r="B81" s="55">
        <f>IF(C15&gt;0,"YES","NO")</f>
        <v/>
      </c>
      <c r="C81" s="67">
        <f t="array" ref="C81">IF(C15=0,"-",_xlfn.TEXTJOIN(", ",TRUE,IF(Summary!$B$3:$AB$3="PASS",Summary!$B$1:$AB$1,"")))</f>
        <v/>
      </c>
      <c r="D81" s="55">
        <f>C15</f>
        <v/>
      </c>
      <c r="E81" s="55">
        <f>B15</f>
        <v/>
      </c>
      <c r="F81" s="55" t="n">
        <v>1</v>
      </c>
    </row>
    <row r="82">
      <c r="A82" s="55">
        <f>Summary!A4</f>
        <v/>
      </c>
      <c r="B82" s="55">
        <f>IF(C16&gt;0,"YES","NO")</f>
        <v/>
      </c>
      <c r="C82" s="67">
        <f t="array" ref="C82">IF(C16=0,"-",_xlfn.TEXTJOIN(", ",TRUE,IF(Summary!$B$4:$AB$4="PASS",Summary!$B$1:$AB$1,"")))</f>
        <v/>
      </c>
      <c r="D82" s="55">
        <f>C16</f>
        <v/>
      </c>
      <c r="E82" s="55">
        <f>B16</f>
        <v/>
      </c>
      <c r="F82" s="55" t="n">
        <v>1</v>
      </c>
    </row>
    <row r="83">
      <c r="A83" s="55">
        <f>Summary!A5</f>
        <v/>
      </c>
      <c r="B83" s="55">
        <f>IF(C17&gt;0,"YES","NO")</f>
        <v/>
      </c>
      <c r="C83" s="67">
        <f t="array" ref="C83">IF(C17=0,"-",_xlfn.TEXTJOIN(", ",TRUE,IF(Summary!$B$5:$AB$5="PASS",Summary!$B$1:$AB$1,"")))</f>
        <v/>
      </c>
      <c r="D83" s="55">
        <f>C17</f>
        <v/>
      </c>
      <c r="E83" s="55">
        <f>B17</f>
        <v/>
      </c>
      <c r="F83" s="55" t="n">
        <v>1</v>
      </c>
    </row>
    <row r="84">
      <c r="A84" s="55">
        <f>Summary!A6</f>
        <v/>
      </c>
      <c r="B84" s="55">
        <f>IF(C18&gt;0,"YES","NO")</f>
        <v/>
      </c>
      <c r="C84" s="67">
        <f t="array" ref="C84">IF(C18=0,"-",_xlfn.TEXTJOIN(", ",TRUE,IF(Summary!$B$6:$AB$6="PASS",Summary!$B$1:$AB$1,"")))</f>
        <v/>
      </c>
      <c r="D84" s="55">
        <f>C18</f>
        <v/>
      </c>
      <c r="E84" s="55">
        <f>B18</f>
        <v/>
      </c>
      <c r="F84" s="55" t="n">
        <v>1</v>
      </c>
    </row>
    <row r="85">
      <c r="A85" s="55">
        <f>Summary!A7</f>
        <v/>
      </c>
      <c r="B85" s="55">
        <f>IF(C19&gt;0,"YES","NO")</f>
        <v/>
      </c>
      <c r="C85" s="67">
        <f t="array" ref="C85">IF(C19=0,"-",_xlfn.TEXTJOIN(", ",TRUE,IF(Summary!$B$7:$AB$7="PASS",Summary!$B$1:$AB$1,"")))</f>
        <v/>
      </c>
      <c r="D85" s="55">
        <f>C19</f>
        <v/>
      </c>
      <c r="E85" s="55">
        <f>B19</f>
        <v/>
      </c>
      <c r="F85" s="55" t="n">
        <v>1</v>
      </c>
    </row>
    <row r="86">
      <c r="A86" s="55">
        <f>Summary!A8</f>
        <v/>
      </c>
      <c r="B86" s="55">
        <f>IF(C20&gt;0,"YES","NO")</f>
        <v/>
      </c>
      <c r="C86" s="67">
        <f t="array" ref="C86">IF(C20=0,"-",_xlfn.TEXTJOIN(", ",TRUE,IF(Summary!$B$8:$AB$8="PASS",Summary!$B$1:$AB$1,"")))</f>
        <v/>
      </c>
      <c r="D86" s="55">
        <f>C20</f>
        <v/>
      </c>
      <c r="E86" s="55">
        <f>B20</f>
        <v/>
      </c>
      <c r="F86" s="55" t="n">
        <v>1</v>
      </c>
    </row>
    <row r="87">
      <c r="A87" s="55">
        <f>Summary!A9</f>
        <v/>
      </c>
      <c r="B87" s="55">
        <f>IF(C21&gt;0,"YES","NO")</f>
        <v/>
      </c>
      <c r="C87" s="67">
        <f t="array" ref="C87">IF(C21=0,"-",_xlfn.TEXTJOIN(", ",TRUE,IF(Summary!$B$9:$AB$9="PASS",Summary!$B$1:$AB$1,"")))</f>
        <v/>
      </c>
      <c r="D87" s="55">
        <f>C21</f>
        <v/>
      </c>
      <c r="E87" s="55">
        <f>B21</f>
        <v/>
      </c>
      <c r="F87" s="55" t="n">
        <v>1</v>
      </c>
    </row>
    <row r="88">
      <c r="A88" s="55">
        <f>Summary!A10</f>
        <v/>
      </c>
      <c r="B88" s="55">
        <f>IF(C22&gt;0,"YES","NO")</f>
        <v/>
      </c>
      <c r="C88" s="67">
        <f t="array" ref="C88">IF(C22=0,"-",_xlfn.TEXTJOIN(", ",TRUE,IF(Summary!$B$10:$AB$10="PASS",Summary!$B$1:$AB$1,"")))</f>
        <v/>
      </c>
      <c r="D88" s="55">
        <f>C22</f>
        <v/>
      </c>
      <c r="E88" s="55">
        <f>B22</f>
        <v/>
      </c>
      <c r="F88" s="55" t="n">
        <v>1</v>
      </c>
    </row>
    <row r="89">
      <c r="A89" s="55">
        <f>Summary!A11</f>
        <v/>
      </c>
      <c r="B89" s="55">
        <f>IF(C23&gt;0,"YES","NO")</f>
        <v/>
      </c>
      <c r="C89" s="67">
        <f t="array" ref="C89">IF(C23=0,"-",_xlfn.TEXTJOIN(", ",TRUE,IF(Summary!$B$11:$AB$11="PASS",Summary!$B$1:$AB$1,"")))</f>
        <v/>
      </c>
      <c r="D89" s="55">
        <f>C23</f>
        <v/>
      </c>
      <c r="E89" s="55">
        <f>B23</f>
        <v/>
      </c>
      <c r="F89" s="55" t="n">
        <v>1</v>
      </c>
    </row>
    <row r="90">
      <c r="A90" s="55">
        <f>Summary!A12</f>
        <v/>
      </c>
      <c r="B90" s="55">
        <f>IF(C24&gt;0,"YES","NO")</f>
        <v/>
      </c>
      <c r="C90" s="67">
        <f t="array" ref="C90">IF(C24=0,"-",_xlfn.TEXTJOIN(", ",TRUE,IF(Summary!$B$12:$AB$12="PASS",Summary!$B$1:$AB$1,"")))</f>
        <v/>
      </c>
      <c r="D90" s="55">
        <f>C24</f>
        <v/>
      </c>
      <c r="E90" s="55">
        <f>B24</f>
        <v/>
      </c>
      <c r="F90" s="55" t="n">
        <v>2</v>
      </c>
    </row>
    <row r="91">
      <c r="A91" s="55">
        <f>Summary!A13</f>
        <v/>
      </c>
      <c r="B91" s="55">
        <f>IF(C25&gt;0,"YES","NO")</f>
        <v/>
      </c>
      <c r="C91" s="67">
        <f t="array" ref="C91">IF(C25=0,"-",_xlfn.TEXTJOIN(", ",TRUE,IF(Summary!$B$13:$AB$13="PASS",Summary!$B$1:$AB$1,"")))</f>
        <v/>
      </c>
      <c r="D91" s="55">
        <f>C25</f>
        <v/>
      </c>
      <c r="E91" s="55">
        <f>B25</f>
        <v/>
      </c>
      <c r="F91" s="55" t="n">
        <v>2</v>
      </c>
    </row>
    <row r="92">
      <c r="A92" s="55">
        <f>Summary!A14</f>
        <v/>
      </c>
      <c r="B92" s="55">
        <f>IF(C26&gt;0,"YES","NO")</f>
        <v/>
      </c>
      <c r="C92" s="67">
        <f t="array" ref="C92">IF(C26=0,"-",_xlfn.TEXTJOIN(", ",TRUE,IF(Summary!$B$14:$AB$14="PASS",Summary!$B$1:$AB$1,"")))</f>
        <v/>
      </c>
      <c r="D92" s="55">
        <f>C26</f>
        <v/>
      </c>
      <c r="E92" s="55">
        <f>B26</f>
        <v/>
      </c>
      <c r="F92" s="55" t="n">
        <v>2</v>
      </c>
    </row>
    <row r="93">
      <c r="A93" s="55">
        <f>Summary!A15</f>
        <v/>
      </c>
      <c r="B93" s="55">
        <f>IF(C27&gt;0,"YES","NO")</f>
        <v/>
      </c>
      <c r="C93" s="67">
        <f t="array" ref="C93">IF(C27=0,"-",_xlfn.TEXTJOIN(", ",TRUE,IF(Summary!$B$15:$AB$15="PASS",Summary!$B$1:$AB$1,"")))</f>
        <v/>
      </c>
      <c r="D93" s="55">
        <f>C27</f>
        <v/>
      </c>
      <c r="E93" s="55">
        <f>B27</f>
        <v/>
      </c>
      <c r="F93" s="55" t="n">
        <v>2</v>
      </c>
    </row>
    <row r="94">
      <c r="A94" s="55">
        <f>Summary!A16</f>
        <v/>
      </c>
      <c r="B94" s="55">
        <f>IF(C28&gt;0,"YES","NO")</f>
        <v/>
      </c>
      <c r="C94" s="67">
        <f t="array" ref="C94">IF(C28=0,"-",_xlfn.TEXTJOIN(", ",TRUE,IF(Summary!$B$16:$AB$16="PASS",Summary!$B$1:$AB$1,"")))</f>
        <v/>
      </c>
      <c r="D94" s="55">
        <f>C28</f>
        <v/>
      </c>
      <c r="E94" s="55">
        <f>B28</f>
        <v/>
      </c>
      <c r="F94" s="55" t="n">
        <v>2</v>
      </c>
    </row>
    <row r="95">
      <c r="A95" s="55">
        <f>Summary!A17</f>
        <v/>
      </c>
      <c r="B95" s="55">
        <f>IF(C29&gt;0,"YES","NO")</f>
        <v/>
      </c>
      <c r="C95" s="67">
        <f t="array" ref="C95">IF(C29=0,"-",_xlfn.TEXTJOIN(", ",TRUE,IF(Summary!$B$17:$AB$17="PASS",Summary!$B$1:$AB$1,"")))</f>
        <v/>
      </c>
      <c r="D95" s="55">
        <f>C29</f>
        <v/>
      </c>
      <c r="E95" s="55">
        <f>B29</f>
        <v/>
      </c>
      <c r="F95" s="55" t="n">
        <v>2</v>
      </c>
    </row>
    <row r="96">
      <c r="A96" s="55">
        <f>Summary!A18</f>
        <v/>
      </c>
      <c r="B96" s="55">
        <f>IF(C30&gt;0,"YES","NO")</f>
        <v/>
      </c>
      <c r="C96" s="67">
        <f t="array" ref="C96">IF(C30=0,"-",_xlfn.TEXTJOIN(", ",TRUE,IF(Summary!$B$18:$AB$18="PASS",Summary!$B$1:$AB$1,"")))</f>
        <v/>
      </c>
      <c r="D96" s="55">
        <f>C30</f>
        <v/>
      </c>
      <c r="E96" s="55">
        <f>B30</f>
        <v/>
      </c>
      <c r="F96" s="55" t="n">
        <v>2</v>
      </c>
    </row>
    <row r="97">
      <c r="A97" s="55">
        <f>Summary!A19</f>
        <v/>
      </c>
      <c r="B97" s="55">
        <f>IF(C31&gt;0,"YES","NO")</f>
        <v/>
      </c>
      <c r="C97" s="67">
        <f t="array" ref="C97">IF(C31=0,"-",_xlfn.TEXTJOIN(", ",TRUE,IF(Summary!$B$19:$AB$19="PASS",Summary!$B$1:$AB$1,"")))</f>
        <v/>
      </c>
      <c r="D97" s="55">
        <f>C31</f>
        <v/>
      </c>
      <c r="E97" s="55">
        <f>B31</f>
        <v/>
      </c>
      <c r="F97" s="55" t="n">
        <v>2</v>
      </c>
    </row>
    <row r="98">
      <c r="A98" s="55">
        <f>Summary!A20</f>
        <v/>
      </c>
      <c r="B98" s="55">
        <f>IF(C32&gt;0,"YES","NO")</f>
        <v/>
      </c>
      <c r="C98" s="67">
        <f t="array" ref="C98">IF(C32=0,"-",_xlfn.TEXTJOIN(", ",TRUE,IF(Summary!$B$20:$AB$20="PASS",Summary!$B$1:$AB$1,"")))</f>
        <v/>
      </c>
      <c r="D98" s="55">
        <f>C32</f>
        <v/>
      </c>
      <c r="E98" s="55">
        <f>B32</f>
        <v/>
      </c>
      <c r="F98" s="55" t="n">
        <v>2</v>
      </c>
    </row>
    <row r="99">
      <c r="A99" s="55">
        <f>Summary!A21</f>
        <v/>
      </c>
      <c r="B99" s="55">
        <f>IF(C33&gt;0,"YES","NO")</f>
        <v/>
      </c>
      <c r="C99" s="67">
        <f t="array" ref="C99">IF(C33=0,"-",_xlfn.TEXTJOIN(", ",TRUE,IF(Summary!$B$21:$AB$21="PASS",Summary!$B$1:$AB$1,"")))</f>
        <v/>
      </c>
      <c r="D99" s="55">
        <f>C33</f>
        <v/>
      </c>
      <c r="E99" s="55">
        <f>B33</f>
        <v/>
      </c>
      <c r="F99" s="55" t="n">
        <v>2</v>
      </c>
    </row>
    <row r="100">
      <c r="A100" s="55">
        <f>Summary!A22</f>
        <v/>
      </c>
      <c r="B100" s="55">
        <f>IF(C34&gt;0,"YES","NO")</f>
        <v/>
      </c>
      <c r="C100" s="67">
        <f t="array" ref="C100">IF(C34=0,"-",_xlfn.TEXTJOIN(", ",TRUE,IF(Summary!$B$22:$AB$22="PASS",Summary!$B$1:$AB$1,"")))</f>
        <v/>
      </c>
      <c r="D100" s="55">
        <f>C34</f>
        <v/>
      </c>
      <c r="E100" s="55">
        <f>B34</f>
        <v/>
      </c>
      <c r="F100" s="55" t="n">
        <v>3</v>
      </c>
    </row>
    <row r="101">
      <c r="A101" s="55">
        <f>Summary!A23</f>
        <v/>
      </c>
      <c r="B101" s="55">
        <f>IF(C35&gt;0,"YES","NO")</f>
        <v/>
      </c>
      <c r="C101" s="67">
        <f t="array" ref="C101">IF(C35=0,"-",_xlfn.TEXTJOIN(", ",TRUE,IF(Summary!$B$23:$AB$23="PASS",Summary!$B$1:$AB$1,"")))</f>
        <v/>
      </c>
      <c r="D101" s="55">
        <f>C35</f>
        <v/>
      </c>
      <c r="E101" s="55">
        <f>B35</f>
        <v/>
      </c>
      <c r="F101" s="55" t="n">
        <v>3</v>
      </c>
    </row>
    <row r="102">
      <c r="A102" s="55">
        <f>Summary!A24</f>
        <v/>
      </c>
      <c r="B102" s="55">
        <f>IF(C36&gt;0,"YES","NO")</f>
        <v/>
      </c>
      <c r="C102" s="67">
        <f t="array" ref="C102">IF(C36=0,"-",_xlfn.TEXTJOIN(", ",TRUE,IF(Summary!$B$24:$AB$24="PASS",Summary!$B$1:$AB$1,"")))</f>
        <v/>
      </c>
      <c r="D102" s="55">
        <f>C36</f>
        <v/>
      </c>
      <c r="E102" s="55">
        <f>B36</f>
        <v/>
      </c>
      <c r="F102" s="55" t="n">
        <v>3</v>
      </c>
    </row>
    <row r="103">
      <c r="A103" s="55">
        <f>Summary!A25</f>
        <v/>
      </c>
      <c r="B103" s="55">
        <f>IF(C37&gt;0,"YES","NO")</f>
        <v/>
      </c>
      <c r="C103" s="67">
        <f t="array" ref="C103">IF(C37=0,"-",_xlfn.TEXTJOIN(", ",TRUE,IF(Summary!$B$25:$AB$25="PASS",Summary!$B$1:$AB$1,"")))</f>
        <v/>
      </c>
      <c r="D103" s="55">
        <f>C37</f>
        <v/>
      </c>
      <c r="E103" s="55">
        <f>B37</f>
        <v/>
      </c>
      <c r="F103" s="55" t="n">
        <v>3</v>
      </c>
    </row>
    <row r="104">
      <c r="A104" s="55">
        <f>Summary!A26</f>
        <v/>
      </c>
      <c r="B104" s="55">
        <f>IF(C38&gt;0,"YES","NO")</f>
        <v/>
      </c>
      <c r="C104" s="67">
        <f t="array" ref="C104">IF(C38=0,"-",_xlfn.TEXTJOIN(", ",TRUE,IF(Summary!$B$26:$AB$26="PASS",Summary!$B$1:$AB$1,"")))</f>
        <v/>
      </c>
      <c r="D104" s="55">
        <f>C38</f>
        <v/>
      </c>
      <c r="E104" s="55">
        <f>B38</f>
        <v/>
      </c>
      <c r="F104" s="55" t="n">
        <v>3</v>
      </c>
    </row>
    <row r="105">
      <c r="A105" s="55">
        <f>Summary!A27</f>
        <v/>
      </c>
      <c r="B105" s="55">
        <f>IF(C39&gt;0,"YES","NO")</f>
        <v/>
      </c>
      <c r="C105" s="67">
        <f t="array" ref="C105">IF(C39=0,"-",_xlfn.TEXTJOIN(", ",TRUE,IF(Summary!$B$27:$AB$27="PASS",Summary!$B$1:$AB$1,"")))</f>
        <v/>
      </c>
      <c r="D105" s="55">
        <f>C39</f>
        <v/>
      </c>
      <c r="E105" s="55">
        <f>B39</f>
        <v/>
      </c>
      <c r="F105" s="55" t="n">
        <v>3</v>
      </c>
    </row>
    <row r="106">
      <c r="A106" s="55">
        <f>Summary!A28</f>
        <v/>
      </c>
      <c r="B106" s="55">
        <f>IF(C40&gt;0,"YES","NO")</f>
        <v/>
      </c>
      <c r="C106" s="67">
        <f t="array" ref="C106">IF(C40=0,"-",_xlfn.TEXTJOIN(", ",TRUE,IF(Summary!$B$28:$AB$28="PASS",Summary!$B$1:$AB$1,"")))</f>
        <v/>
      </c>
      <c r="D106" s="55">
        <f>C40</f>
        <v/>
      </c>
      <c r="E106" s="55">
        <f>B40</f>
        <v/>
      </c>
      <c r="F106" s="55" t="n">
        <v>3</v>
      </c>
    </row>
    <row r="107">
      <c r="A107" s="55">
        <f>Summary!A29</f>
        <v/>
      </c>
      <c r="B107" s="55">
        <f>IF(C41&gt;0,"YES","NO")</f>
        <v/>
      </c>
      <c r="C107" s="67">
        <f t="array" ref="C107">IF(C41=0,"-",_xlfn.TEXTJOIN(", ",TRUE,IF(Summary!$B$29:$AB$29="PASS",Summary!$B$1:$AB$1,"")))</f>
        <v/>
      </c>
      <c r="D107" s="55">
        <f>C41</f>
        <v/>
      </c>
      <c r="E107" s="55">
        <f>B41</f>
        <v/>
      </c>
      <c r="F107" s="55" t="n">
        <v>3</v>
      </c>
    </row>
    <row r="108">
      <c r="A108" s="55">
        <f>Summary!A30</f>
        <v/>
      </c>
      <c r="B108" s="55">
        <f>IF(C42&gt;0,"YES","NO")</f>
        <v/>
      </c>
      <c r="C108" s="67">
        <f t="array" ref="C108">IF(C42=0,"-",_xlfn.TEXTJOIN(", ",TRUE,IF(Summary!$B$30:$AB$30="PASS",Summary!$B$1:$AB$1,"")))</f>
        <v/>
      </c>
      <c r="D108" s="55">
        <f>C42</f>
        <v/>
      </c>
      <c r="E108" s="55">
        <f>B42</f>
        <v/>
      </c>
      <c r="F108" s="55" t="n">
        <v>3</v>
      </c>
    </row>
    <row r="109">
      <c r="A109" s="55">
        <f>Summary!A31</f>
        <v/>
      </c>
      <c r="B109" s="55">
        <f>IF(C43&gt;0,"YES","NO")</f>
        <v/>
      </c>
      <c r="C109" s="67">
        <f t="array" ref="C109">IF(C43=0,"-",_xlfn.TEXTJOIN(", ",TRUE,IF(Summary!$B$31:$AB$31="PASS",Summary!$B$1:$AB$1,"")))</f>
        <v/>
      </c>
      <c r="D109" s="55">
        <f>C43</f>
        <v/>
      </c>
      <c r="E109" s="55">
        <f>B43</f>
        <v/>
      </c>
      <c r="F109" s="55" t="n">
        <v>3</v>
      </c>
    </row>
    <row r="110">
      <c r="A110" s="55">
        <f>Summary!A32</f>
        <v/>
      </c>
      <c r="B110" s="55">
        <f>IF(C44&gt;0,"YES","NO")</f>
        <v/>
      </c>
      <c r="C110" s="67">
        <f t="array" ref="C110">IF(C44=0,"-",_xlfn.TEXTJOIN(", ",TRUE,IF(Summary!$B$32:$AB$32="PASS",Summary!$B$1:$AB$1,"")))</f>
        <v/>
      </c>
      <c r="D110" s="55">
        <f>C44</f>
        <v/>
      </c>
      <c r="E110" s="55">
        <f>B44</f>
        <v/>
      </c>
      <c r="F110" s="55" t="n">
        <v>4</v>
      </c>
    </row>
    <row r="111">
      <c r="A111" s="55">
        <f>Summary!A33</f>
        <v/>
      </c>
      <c r="B111" s="55">
        <f>IF(C45&gt;0,"YES","NO")</f>
        <v/>
      </c>
      <c r="C111" s="67">
        <f t="array" ref="C111">IF(C45=0,"-",_xlfn.TEXTJOIN(", ",TRUE,IF(Summary!$B$33:$AB$33="PASS",Summary!$B$1:$AB$1,"")))</f>
        <v/>
      </c>
      <c r="D111" s="55">
        <f>C45</f>
        <v/>
      </c>
      <c r="E111" s="55">
        <f>B45</f>
        <v/>
      </c>
      <c r="F111" s="55" t="n">
        <v>4</v>
      </c>
    </row>
    <row r="112">
      <c r="A112" s="55">
        <f>Summary!A34</f>
        <v/>
      </c>
      <c r="B112" s="55">
        <f>IF(C46&gt;0,"YES","NO")</f>
        <v/>
      </c>
      <c r="C112" s="67">
        <f t="array" ref="C112">IF(C46=0,"-",_xlfn.TEXTJOIN(", ",TRUE,IF(Summary!$B$34:$AB$34="PASS",Summary!$B$1:$AB$1,"")))</f>
        <v/>
      </c>
      <c r="D112" s="55">
        <f>C46</f>
        <v/>
      </c>
      <c r="E112" s="55">
        <f>B46</f>
        <v/>
      </c>
      <c r="F112" s="55" t="n">
        <v>4</v>
      </c>
    </row>
    <row r="113">
      <c r="A113" s="55">
        <f>Summary!A35</f>
        <v/>
      </c>
      <c r="B113" s="55">
        <f>IF(C47&gt;0,"YES","NO")</f>
        <v/>
      </c>
      <c r="C113" s="67">
        <f t="array" ref="C113">IF(C47=0,"-",_xlfn.TEXTJOIN(", ",TRUE,IF(Summary!$B$35:$AB$35="PASS",Summary!$B$1:$AB$1,"")))</f>
        <v/>
      </c>
      <c r="D113" s="55">
        <f>C47</f>
        <v/>
      </c>
      <c r="E113" s="55">
        <f>B47</f>
        <v/>
      </c>
      <c r="F113" s="55" t="n">
        <v>4</v>
      </c>
    </row>
    <row r="114">
      <c r="A114" s="55">
        <f>Summary!A36</f>
        <v/>
      </c>
      <c r="B114" s="55">
        <f>IF(C48&gt;0,"YES","NO")</f>
        <v/>
      </c>
      <c r="C114" s="67">
        <f t="array" ref="C114">IF(C48=0,"-",_xlfn.TEXTJOIN(", ",TRUE,IF(Summary!$B$36:$AB$36="PASS",Summary!$B$1:$AB$1,"")))</f>
        <v/>
      </c>
      <c r="D114" s="55">
        <f>C48</f>
        <v/>
      </c>
      <c r="E114" s="55">
        <f>B48</f>
        <v/>
      </c>
      <c r="F114" s="55" t="n">
        <v>4</v>
      </c>
    </row>
    <row r="115">
      <c r="A115" s="55">
        <f>Summary!A37</f>
        <v/>
      </c>
      <c r="B115" s="55">
        <f>IF(C49&gt;0,"YES","NO")</f>
        <v/>
      </c>
      <c r="C115" s="67">
        <f t="array" ref="C115">IF(C49=0,"-",_xlfn.TEXTJOIN(", ",TRUE,IF(Summary!$B$37:$AB$37="PASS",Summary!$B$1:$AB$1,"")))</f>
        <v/>
      </c>
      <c r="D115" s="55">
        <f>C49</f>
        <v/>
      </c>
      <c r="E115" s="55">
        <f>B49</f>
        <v/>
      </c>
      <c r="F115" s="55" t="n">
        <v>4</v>
      </c>
    </row>
    <row r="116">
      <c r="A116" s="55">
        <f>Summary!A38</f>
        <v/>
      </c>
      <c r="B116" s="55">
        <f>IF(C50&gt;0,"YES","NO")</f>
        <v/>
      </c>
      <c r="C116" s="67">
        <f t="array" ref="C116">IF(C50=0,"-",_xlfn.TEXTJOIN(", ",TRUE,IF(Summary!$B$38:$AB$38="PASS",Summary!$B$1:$AB$1,"")))</f>
        <v/>
      </c>
      <c r="D116" s="55">
        <f>C50</f>
        <v/>
      </c>
      <c r="E116" s="55">
        <f>B50</f>
        <v/>
      </c>
      <c r="F116" s="55" t="n">
        <v>4</v>
      </c>
    </row>
    <row r="117">
      <c r="A117" s="55">
        <f>Summary!A39</f>
        <v/>
      </c>
      <c r="B117" s="55">
        <f>IF(C51&gt;0,"YES","NO")</f>
        <v/>
      </c>
      <c r="C117" s="67">
        <f t="array" ref="C117">IF(C51=0,"-",_xlfn.TEXTJOIN(", ",TRUE,IF(Summary!$B$39:$AB$39="PASS",Summary!$B$1:$AB$1,"")))</f>
        <v/>
      </c>
      <c r="D117" s="55">
        <f>C51</f>
        <v/>
      </c>
      <c r="E117" s="55">
        <f>B51</f>
        <v/>
      </c>
      <c r="F117" s="55" t="n">
        <v>4</v>
      </c>
    </row>
    <row r="118">
      <c r="A118" s="55">
        <f>Summary!A40</f>
        <v/>
      </c>
      <c r="B118" s="55">
        <f>IF(C52&gt;0,"YES","NO")</f>
        <v/>
      </c>
      <c r="C118" s="67">
        <f t="array" ref="C118">IF(C52=0,"-",_xlfn.TEXTJOIN(", ",TRUE,IF(Summary!$B$40:$AB$40="PASS",Summary!$B$1:$AB$1,"")))</f>
        <v/>
      </c>
      <c r="D118" s="55">
        <f>C52</f>
        <v/>
      </c>
      <c r="E118" s="55">
        <f>B52</f>
        <v/>
      </c>
      <c r="F118" s="55" t="n">
        <v>4</v>
      </c>
    </row>
    <row r="119">
      <c r="A119" s="55">
        <f>Summary!A41</f>
        <v/>
      </c>
      <c r="B119" s="55">
        <f>IF(C53&gt;0,"YES","NO")</f>
        <v/>
      </c>
      <c r="C119" s="67">
        <f t="array" ref="C119">IF(C53=0,"-",_xlfn.TEXTJOIN(", ",TRUE,IF(Summary!$B$41:$AB$41="PASS",Summary!$B$1:$AB$1,"")))</f>
        <v/>
      </c>
      <c r="D119" s="55">
        <f>C53</f>
        <v/>
      </c>
      <c r="E119" s="55">
        <f>B53</f>
        <v/>
      </c>
      <c r="F119" s="55" t="n">
        <v>4</v>
      </c>
    </row>
    <row r="120">
      <c r="A120" s="55">
        <f>Summary!A42</f>
        <v/>
      </c>
      <c r="B120" s="55">
        <f>IF(C54&gt;0,"YES","NO")</f>
        <v/>
      </c>
      <c r="C120" s="67">
        <f t="array" ref="C120">IF(C54=0,"-",_xlfn.TEXTJOIN(", ",TRUE,IF(Summary!$B$42:$AB$42="PASS",Summary!$B$1:$AB$1,"")))</f>
        <v/>
      </c>
      <c r="D120" s="55">
        <f>C54</f>
        <v/>
      </c>
      <c r="E120" s="55">
        <f>B54</f>
        <v/>
      </c>
      <c r="F120" s="55" t="n">
        <v>5</v>
      </c>
    </row>
    <row r="121">
      <c r="A121" s="55">
        <f>Summary!A43</f>
        <v/>
      </c>
      <c r="B121" s="55">
        <f>IF(C55&gt;0,"YES","NO")</f>
        <v/>
      </c>
      <c r="C121" s="67">
        <f t="array" ref="C121">IF(C55=0,"-",_xlfn.TEXTJOIN(", ",TRUE,IF(Summary!$B$43:$AB$43="PASS",Summary!$B$1:$AB$1,"")))</f>
        <v/>
      </c>
      <c r="D121" s="55">
        <f>C55</f>
        <v/>
      </c>
      <c r="E121" s="55">
        <f>B55</f>
        <v/>
      </c>
      <c r="F121" s="55" t="n">
        <v>5</v>
      </c>
    </row>
    <row r="122">
      <c r="A122" s="55">
        <f>Summary!A44</f>
        <v/>
      </c>
      <c r="B122" s="55">
        <f>IF(C56&gt;0,"YES","NO")</f>
        <v/>
      </c>
      <c r="C122" s="67">
        <f t="array" ref="C122">IF(C56=0,"-",_xlfn.TEXTJOIN(", ",TRUE,IF(Summary!$B$44:$AB$44="PASS",Summary!$B$1:$AB$1,"")))</f>
        <v/>
      </c>
      <c r="D122" s="55">
        <f>C56</f>
        <v/>
      </c>
      <c r="E122" s="55">
        <f>B56</f>
        <v/>
      </c>
      <c r="F122" s="55" t="n">
        <v>5</v>
      </c>
    </row>
    <row r="123">
      <c r="A123" s="55">
        <f>Summary!A45</f>
        <v/>
      </c>
      <c r="B123" s="55">
        <f>IF(C57&gt;0,"YES","NO")</f>
        <v/>
      </c>
      <c r="C123" s="67">
        <f t="array" ref="C123">IF(C57=0,"-",_xlfn.TEXTJOIN(", ",TRUE,IF(Summary!$B$45:$AB$45="PASS",Summary!$B$1:$AB$1,"")))</f>
        <v/>
      </c>
      <c r="D123" s="55">
        <f>C57</f>
        <v/>
      </c>
      <c r="E123" s="55">
        <f>B57</f>
        <v/>
      </c>
      <c r="F123" s="55" t="n">
        <v>5</v>
      </c>
    </row>
    <row r="124">
      <c r="A124" s="55">
        <f>Summary!A46</f>
        <v/>
      </c>
      <c r="B124" s="55">
        <f>IF(C58&gt;0,"YES","NO")</f>
        <v/>
      </c>
      <c r="C124" s="67">
        <f t="array" ref="C124">IF(C58=0,"-",_xlfn.TEXTJOIN(", ",TRUE,IF(Summary!$B$46:$AB$46="PASS",Summary!$B$1:$AB$1,"")))</f>
        <v/>
      </c>
      <c r="D124" s="55">
        <f>C58</f>
        <v/>
      </c>
      <c r="E124" s="55">
        <f>B58</f>
        <v/>
      </c>
      <c r="F124" s="55" t="n">
        <v>5</v>
      </c>
    </row>
    <row r="125">
      <c r="A125" s="55">
        <f>Summary!A47</f>
        <v/>
      </c>
      <c r="B125" s="55">
        <f>IF(C59&gt;0,"YES","NO")</f>
        <v/>
      </c>
      <c r="C125" s="67">
        <f t="array" ref="C125">IF(C59=0,"-",_xlfn.TEXTJOIN(", ",TRUE,IF(Summary!$B$47:$AB$47="PASS",Summary!$B$1:$AB$1,"")))</f>
        <v/>
      </c>
      <c r="D125" s="55">
        <f>C59</f>
        <v/>
      </c>
      <c r="E125" s="55">
        <f>B59</f>
        <v/>
      </c>
      <c r="F125" s="55" t="n">
        <v>5</v>
      </c>
    </row>
    <row r="126">
      <c r="A126" s="55">
        <f>Summary!A48</f>
        <v/>
      </c>
      <c r="B126" s="55">
        <f>IF(C60&gt;0,"YES","NO")</f>
        <v/>
      </c>
      <c r="C126" s="67">
        <f t="array" ref="C126">IF(C60=0,"-",_xlfn.TEXTJOIN(", ",TRUE,IF(Summary!$B$48:$AB$48="PASS",Summary!$B$1:$AB$1,"")))</f>
        <v/>
      </c>
      <c r="D126" s="55">
        <f>C60</f>
        <v/>
      </c>
      <c r="E126" s="55">
        <f>B60</f>
        <v/>
      </c>
      <c r="F126" s="55" t="n">
        <v>5</v>
      </c>
    </row>
    <row r="127">
      <c r="A127" s="55">
        <f>Summary!A49</f>
        <v/>
      </c>
      <c r="B127" s="55">
        <f>IF(C61&gt;0,"YES","NO")</f>
        <v/>
      </c>
      <c r="C127" s="67">
        <f t="array" ref="C127">IF(C61=0,"-",_xlfn.TEXTJOIN(", ",TRUE,IF(Summary!$B$49:$AB$49="PASS",Summary!$B$1:$AB$1,"")))</f>
        <v/>
      </c>
      <c r="D127" s="55">
        <f>C61</f>
        <v/>
      </c>
      <c r="E127" s="55">
        <f>B61</f>
        <v/>
      </c>
      <c r="F127" s="55" t="n">
        <v>5</v>
      </c>
    </row>
    <row r="128">
      <c r="A128" s="55">
        <f>Summary!A50</f>
        <v/>
      </c>
      <c r="B128" s="55">
        <f>IF(C62&gt;0,"YES","NO")</f>
        <v/>
      </c>
      <c r="C128" s="67">
        <f t="array" ref="C128">IF(C62=0,"-",_xlfn.TEXTJOIN(", ",TRUE,IF(Summary!$B$50:$AB$50="PASS",Summary!$B$1:$AB$1,"")))</f>
        <v/>
      </c>
      <c r="D128" s="55">
        <f>C62</f>
        <v/>
      </c>
      <c r="E128" s="55">
        <f>B62</f>
        <v/>
      </c>
      <c r="F128" s="55" t="n">
        <v>5</v>
      </c>
    </row>
    <row r="129">
      <c r="A129" s="55">
        <f>Summary!A51</f>
        <v/>
      </c>
      <c r="B129" s="55">
        <f>IF(C63&gt;0,"YES","NO")</f>
        <v/>
      </c>
      <c r="C129" s="67">
        <f t="array" ref="C129">IF(C63=0,"-",_xlfn.TEXTJOIN(", ",TRUE,IF(Summary!$B$51:$AB$51="PASS",Summary!$B$1:$AB$1,"")))</f>
        <v/>
      </c>
      <c r="D129" s="55">
        <f>C63</f>
        <v/>
      </c>
      <c r="E129" s="55">
        <f>B63</f>
        <v/>
      </c>
      <c r="F129" s="55" t="n">
        <v>5</v>
      </c>
    </row>
    <row r="130">
      <c r="A130">
        <f>IF(B77=0,"Every case passed on either all or none of its versions, so the at-least-one count equals the strict count.","Some cases passed on only part of their versions; see the table above.")</f>
        <v/>
      </c>
    </row>
    <row r="132">
      <c r="A132" s="60" t="inlineStr">
        <is>
          <t>5. Notes: every case, its versions and what happened</t>
        </is>
      </c>
    </row>
    <row r="133">
      <c r="A133" s="54" t="inlineStr">
        <is>
          <t>Result</t>
        </is>
      </c>
      <c r="B133" s="54" t="inlineStr">
        <is>
          <t>Case</t>
        </is>
      </c>
      <c r="C133" s="54" t="inlineStr">
        <is>
          <t>Versions</t>
        </is>
      </c>
      <c r="D133" s="54" t="inlineStr">
        <is>
          <t># versions</t>
        </is>
      </c>
      <c r="E133" s="54" t="inlineStr">
        <is>
          <t>Error type</t>
        </is>
      </c>
      <c r="F133" s="54" t="inlineStr">
        <is>
          <t>Error message (last traceback line)</t>
        </is>
      </c>
      <c r="G133" s="54" t="inlineStr">
        <is>
          <t>What happened (plain English)</t>
        </is>
      </c>
      <c r="H133" s="54" t="inlineStr">
        <is>
          <t>Batch</t>
        </is>
      </c>
    </row>
    <row r="134">
      <c r="A134" s="68" t="inlineStr">
        <is>
          <t>PASS</t>
        </is>
      </c>
      <c r="B134" s="67" t="inlineStr">
        <is>
          <t>issue_032_se</t>
        </is>
      </c>
      <c r="C134" s="67" t="inlineStr">
        <is>
          <t>0.25.0, 0.25.1, 0.25.2, 0.25.3</t>
        </is>
      </c>
      <c r="D134" s="67" t="n">
        <v>4</v>
      </c>
      <c r="E134" s="67" t="n"/>
      <c r="F134" s="67" t="n"/>
      <c r="G134" s="67" t="inlineStr">
        <is>
          <t>The LLM passed an iSwapGate() object instead of the unrecognised 'iswap' string, the same fix as the reference.</t>
        </is>
      </c>
      <c r="H134" s="67" t="n">
        <v>1</v>
      </c>
    </row>
    <row r="135">
      <c r="A135" s="68" t="inlineStr">
        <is>
          <t>PASS</t>
        </is>
      </c>
      <c r="B135" s="67" t="inlineStr">
        <is>
          <t>issue_034</t>
        </is>
      </c>
      <c r="C135" s="67" t="inlineStr">
        <is>
          <t>1.0.0, 1.0.1, 1.0.2, 1.1.0, 1.1.1, 1.1.2, 1.2.0, 1.2.1, 1.2.2, 1.2.4, 2.0.0, 2.2.0, 2.3.0, 2.4.0, 2.5.0</t>
        </is>
      </c>
      <c r="D135" s="67" t="n">
        <v>15</v>
      </c>
      <c r="E135" s="67" t="n"/>
      <c r="F135" s="67" t="n"/>
      <c r="G135" s="67" t="inlineStr">
        <is>
          <t>The LLM imported Aer from qiskit_aer instead of qiskit, the same fix as the reference.</t>
        </is>
      </c>
      <c r="H135" s="67" t="n">
        <v>1</v>
      </c>
    </row>
    <row r="136">
      <c r="A136" s="68" t="inlineStr">
        <is>
          <t>PASS</t>
        </is>
      </c>
      <c r="B136" s="67" t="inlineStr">
        <is>
          <t>issue_036</t>
        </is>
      </c>
      <c r="C136" s="67" t="inlineStr">
        <is>
          <t>1.0.0, 1.0.1, 1.0.2, 1.1.0, 1.1.1, 1.1.2, 1.2.0, 1.2.1, 1.2.2, 1.2.4, 2.0.0, 2.2.0, 2.3.0, 2.4.0, 2.5.0</t>
        </is>
      </c>
      <c r="D136" s="67" t="n">
        <v>15</v>
      </c>
      <c r="E136" s="67" t="n"/>
      <c r="F136" s="67" t="n"/>
      <c r="G136" s="67" t="inlineStr">
        <is>
          <t>The LLM replaced the removed c.qasm() with qasm2.dumps(c), the same fix as the reference.</t>
        </is>
      </c>
      <c r="H136" s="67" t="n">
        <v>1</v>
      </c>
    </row>
    <row r="137">
      <c r="A137" s="68" t="inlineStr">
        <is>
          <t>PASS</t>
        </is>
      </c>
      <c r="B137" s="67" t="inlineStr">
        <is>
          <t>issue_058_se</t>
        </is>
      </c>
      <c r="C137" s="67" t="inlineStr">
        <is>
          <t>0.25.0, 0.25.1, 0.25.2, 0.25.3, 0.45.0, 0.45.1, 0.45.2, 0.45.3, 0.46.0, 0.46.1, 0.46.2, 0.46.3</t>
        </is>
      </c>
      <c r="D137" s="67" t="n">
        <v>12</v>
      </c>
      <c r="E137" s="67" t="n"/>
      <c r="F137" s="67" t="n"/>
      <c r="G137" s="67" t="inlineStr">
        <is>
          <t>The LLM decomposed the custom diffuser gate before running it (the reference transpiles instead), and the simulator produced the correct state.</t>
        </is>
      </c>
      <c r="H137" s="67" t="n">
        <v>1</v>
      </c>
    </row>
    <row r="138">
      <c r="A138" s="68" t="inlineStr">
        <is>
          <t>PASS</t>
        </is>
      </c>
      <c r="B138" s="67" t="inlineStr">
        <is>
          <t>issue_061</t>
        </is>
      </c>
      <c r="C138" s="67" t="inlineStr">
        <is>
          <t>1.0.0, 1.0.1, 1.0.2, 1.1.0, 1.1.1, 1.1.2, 1.2.0, 1.2.1, 1.2.2, 1.2.4, 2.0.0, 2.2.0, 2.3.0, 2.4.0, 2.5.0</t>
        </is>
      </c>
      <c r="D138" s="67" t="n">
        <v>15</v>
      </c>
      <c r="E138" s="67" t="n"/>
      <c r="F138" s="67" t="n"/>
      <c r="G138" s="67" t="inlineStr">
        <is>
          <t>The LLM read the register and register-local index via qc.find_bit(qbit).registers[0], removing the deprecated back-references. The team's updated test_new.py accepts this output (the old test.py only accepted the reference's exact print format).</t>
        </is>
      </c>
      <c r="H138" s="67" t="n">
        <v>1</v>
      </c>
    </row>
    <row r="139">
      <c r="A139" s="68" t="inlineStr">
        <is>
          <t>PASS</t>
        </is>
      </c>
      <c r="B139" s="67" t="inlineStr">
        <is>
          <t>issue_072</t>
        </is>
      </c>
      <c r="C139" s="67" t="inlineStr">
        <is>
          <t>0.25.0, 0.25.1, 0.25.2, 0.25.3</t>
        </is>
      </c>
      <c r="D139" s="67" t="n">
        <v>4</v>
      </c>
      <c r="E139" s="67" t="n"/>
      <c r="F139" s="67" t="n"/>
      <c r="G139" s="67" t="inlineStr">
        <is>
          <t>The LLM remapped the duplicated qreg[5] to the unused physical qubit 15 (the reference used 16), so every virtual qubit gets its own physical qubit.</t>
        </is>
      </c>
      <c r="H139" s="67" t="n">
        <v>1</v>
      </c>
    </row>
    <row r="140">
      <c r="A140" s="69" t="inlineStr">
        <is>
          <t>FAIL</t>
        </is>
      </c>
      <c r="B140" s="67" t="inlineStr">
        <is>
          <t>issue_018_se</t>
        </is>
      </c>
      <c r="C140" s="67" t="inlineStr">
        <is>
          <t>1.0.0, 1.0.1, 1.0.2, 1.1.0, 1.1.1, 1.1.2, 1.2.0, 1.2.1, 1.2.2, 1.2.4, 2.0.0, 2.2.0, 2.3.0, 2.4.0, 2.5.0</t>
        </is>
      </c>
      <c r="D140" s="67" t="n">
        <v>15</v>
      </c>
      <c r="E140" s="67" t="inlineStr">
        <is>
          <t>AssertionError</t>
        </is>
      </c>
      <c r="F140" s="67" t="inlineStr">
        <is>
          <t xml:space="preserve">AssertionError: Not equal to tolerance rtol=0, atol=1e-12 The ideal magic-square strategy must win every input pair. Mismatched elements: 6 / 9 (66.7%) Max absolute difference: 0.5 Max relative difference: inf x: array([0. , 0.5, 0.5, 0.5, 0. , 0.5, </t>
        </is>
      </c>
      <c r="G140" s="67" t="inlineStr">
        <is>
          <t>The LLM swapped which inputs choose Alice's and Bob's answers, so the strategy still loses 6 of the 9 input pairs half the time instead of always winning (the Aer simulator also crashes natively here, as it does for fixed.py).</t>
        </is>
      </c>
      <c r="H140" s="67" t="n">
        <v>1</v>
      </c>
    </row>
    <row r="141">
      <c r="A141" s="69" t="inlineStr">
        <is>
          <t>FAIL</t>
        </is>
      </c>
      <c r="B141" s="67" t="inlineStr">
        <is>
          <t>issue_096</t>
        </is>
      </c>
      <c r="C141" s="67" t="inlineStr">
        <is>
          <t>0.25.0, 0.25.1, 0.25.2, 0.25.3, 0.45.0, 0.45.1, 0.45.2, 0.45.3, 0.46.0, 0.46.1, 0.46.2, 0.46.3, 1.0.0, 1.0.1, 1.0.2, 1.1.0, 1.1.1, 1.1.2, 1.2.0, 1.2.1, 1.2.2, 1.2.4, 2.0.0, 2.2.0, 2.3.0, 2.4.0, 2.5.0</t>
        </is>
      </c>
      <c r="D141" s="67" t="n">
        <v>27</v>
      </c>
      <c r="E141" s="67" t="inlineStr">
        <is>
          <t>AssertionError</t>
        </is>
      </c>
      <c r="F141" s="67" t="inlineStr">
        <is>
          <t>AssertionError: '' != '[default]\n' + [default] | AssertionError: False is not true : Missing ipython_kernel_config.py (even when the profile directory already exists)</t>
        </is>
      </c>
      <c r="G141" s="67" t="inlineStr">
        <is>
          <t>The LLM creates an empty Qiskit settings file instead of one containing '[default]', and never creates the ipython_kernel_config.py file the user needed.</t>
        </is>
      </c>
      <c r="H141" s="67" t="n">
        <v>1</v>
      </c>
    </row>
    <row r="142">
      <c r="A142" s="69" t="inlineStr">
        <is>
          <t>FAIL</t>
        </is>
      </c>
      <c r="B142" s="67" t="inlineStr">
        <is>
          <t>issue_009</t>
        </is>
      </c>
      <c r="C142" s="67" t="inlineStr">
        <is>
          <t>0.45.2, 0.45.3</t>
        </is>
      </c>
      <c r="D142" s="67" t="n">
        <v>2</v>
      </c>
      <c r="E142" s="67" t="inlineStr">
        <is>
          <t>AssertionError</t>
        </is>
      </c>
      <c r="F142" s="67" t="inlineStr">
        <is>
          <t>AssertionError: 3 != 5</t>
        </is>
      </c>
      <c r="G142" s="67"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H142" s="67" t="n">
        <v>1</v>
      </c>
    </row>
    <row r="143">
      <c r="A143" s="70" t="inlineStr">
        <is>
          <t>ERROR</t>
        </is>
      </c>
      <c r="B143" s="67" t="inlineStr">
        <is>
          <t>issue_009</t>
        </is>
      </c>
      <c r="C143" s="67" t="inlineStr">
        <is>
          <t>0.45.0, 0.45.1, 0.46.0, 0.46.1, 0.46.2, 0.46.3</t>
        </is>
      </c>
      <c r="D143" s="67" t="n">
        <v>6</v>
      </c>
      <c r="E143" s="67" t="inlineStr">
        <is>
          <t>TranspilerError</t>
        </is>
      </c>
      <c r="F143" s="67" t="inlineStr">
        <is>
          <t>qiskit.transpiler.exceptions.TranspilerError: "The 'layout' must be full (with ancilla)."</t>
        </is>
      </c>
      <c r="G143" s="67" t="inlineStr">
        <is>
          <t>The LLM ran CSPLayout and ApplyLayout by hand in a PassManager but never added the passes that extend the 3-qubit layout to the backend's 5 qubits (FullAncillaAllocation / EnlargeWithAncilla), so ApplyLayout rejects the partial layout.</t>
        </is>
      </c>
      <c r="H143" s="67" t="n">
        <v>1</v>
      </c>
    </row>
    <row r="144">
      <c r="A144" s="70" t="inlineStr">
        <is>
          <t>ERROR</t>
        </is>
      </c>
      <c r="B144" s="67" t="inlineStr">
        <is>
          <t>issue_021_se</t>
        </is>
      </c>
      <c r="C144" s="67" t="inlineStr">
        <is>
          <t>0.25.0, 0.25.1, 0.25.2, 0.25.3</t>
        </is>
      </c>
      <c r="D144" s="67" t="n">
        <v>4</v>
      </c>
      <c r="E144" s="67" t="inlineStr">
        <is>
          <t>QiskitError</t>
        </is>
      </c>
      <c r="F144" s="67" t="inlineStr">
        <is>
          <t>qiskit.exceptions.QiskitError: 'ERROR: [Experiment 0] Circuit contains invalid instructions {"gates": {disentangler_dg}} for "statevector" method , ERROR: Circuit contains invalid instructions {"gates": {disentangler_dg}} for "statevector" method'</t>
        </is>
      </c>
      <c r="G144" s="67" t="inlineStr">
        <is>
          <t>Calling circuit.decompose() only unrolls one level, leaving a 'disentangler_dg' instruction that the Aer statevector simulator cannot run, so the simulation fails.</t>
        </is>
      </c>
      <c r="H144" s="67" t="n">
        <v>1</v>
      </c>
    </row>
    <row r="145">
      <c r="A145" s="70" t="inlineStr">
        <is>
          <t>ERROR</t>
        </is>
      </c>
      <c r="B145" s="67" t="inlineStr">
        <is>
          <t>issue_021_se</t>
        </is>
      </c>
      <c r="C145" s="67" t="inlineStr">
        <is>
          <t>0.45.0, 0.45.1, 0.45.2, 0.45.3, 0.46.0, 0.46.1, 0.46.2, 0.46.3</t>
        </is>
      </c>
      <c r="D145" s="67" t="n">
        <v>8</v>
      </c>
      <c r="E145" s="67" t="inlineStr">
        <is>
          <t>QiskitError</t>
        </is>
      </c>
      <c r="F145" s="67" t="inlineStr">
        <is>
          <t>qiskit.exceptions.QiskitError: 'You have to select a circuit or schedule when there is more than one available'</t>
        </is>
      </c>
      <c r="G145" s="67" t="inlineStr">
        <is>
          <t>Calling circuit.decompose() only unrolls one level, leaving a 'state_preparation' instruction that Aer cannot load, so the simulation fails and no statevector is returned.</t>
        </is>
      </c>
      <c r="H145" s="67" t="n">
        <v>1</v>
      </c>
    </row>
    <row r="146">
      <c r="A146" s="68" t="inlineStr">
        <is>
          <t>PASS</t>
        </is>
      </c>
      <c r="B146" s="67" t="inlineStr">
        <is>
          <t>issue_155</t>
        </is>
      </c>
      <c r="C146" s="67" t="inlineStr">
        <is>
          <t>0.25.0, 0.25.1, 0.25.2, 0.25.3, 0.45.0, 0.45.1, 0.45.2, 0.45.3, 0.46.0, 0.46.1, 0.46.2, 0.46.3</t>
        </is>
      </c>
      <c r="D146" s="67" t="n">
        <v>12</v>
      </c>
      <c r="E146" s="67" t="n"/>
      <c r="F146" s="67" t="n"/>
      <c r="G146" s="67" t="inlineStr">
        <is>
          <t>The LLM turned the two traced-out registers into their qubit indices with qc.qubits.index(...), the same fix as the reference.</t>
        </is>
      </c>
      <c r="H146" s="67" t="n">
        <v>2</v>
      </c>
    </row>
    <row r="147">
      <c r="A147" s="68" t="inlineStr">
        <is>
          <t>PASS</t>
        </is>
      </c>
      <c r="B147" s="67" t="inlineStr">
        <is>
          <t>issue_157</t>
        </is>
      </c>
      <c r="C147" s="67" t="inlineStr">
        <is>
          <t>0.45.0, 0.45.1, 0.45.2, 0.45.3, 0.46.0, 0.46.1, 0.46.2, 0.46.3</t>
        </is>
      </c>
      <c r="D147" s="67" t="n">
        <v>8</v>
      </c>
      <c r="E147" s="67" t="n"/>
      <c r="F147" s="67" t="n"/>
      <c r="G147" s="67" t="inlineStr">
        <is>
          <t>The LLM replaced the non-unitary initialize() with prepare_state(), which builds a unitary state-preparation gate that can be controlled (the reference builds an isometry and wraps it in a UnitaryGate instead).</t>
        </is>
      </c>
      <c r="H147" s="67" t="n">
        <v>2</v>
      </c>
    </row>
    <row r="148">
      <c r="A148" s="68" t="inlineStr">
        <is>
          <t>PASS</t>
        </is>
      </c>
      <c r="B148" s="67" t="inlineStr">
        <is>
          <t>issue_225</t>
        </is>
      </c>
      <c r="C148" s="67" t="inlineStr">
        <is>
          <t>0.45.0, 0.45.1, 0.45.2, 0.45.3, 0.46.0, 0.46.1, 0.46.2, 0.46.3</t>
        </is>
      </c>
      <c r="D148" s="67" t="n">
        <v>8</v>
      </c>
      <c r="E148" s="67" t="n"/>
      <c r="F148" s="67" t="n"/>
      <c r="G148" s="67" t="inlineStr">
        <is>
          <t>The LLM took the Statevector's NumPy array via .data before calling reshape(), equivalent to the reference's np.asarray(...).</t>
        </is>
      </c>
      <c r="H148" s="67" t="n">
        <v>2</v>
      </c>
    </row>
    <row r="149">
      <c r="A149" s="68" t="inlineStr">
        <is>
          <t>PASS</t>
        </is>
      </c>
      <c r="B149" s="67" t="inlineStr">
        <is>
          <t>issue_261</t>
        </is>
      </c>
      <c r="C149" s="67" t="inlineStr">
        <is>
          <t>0.25.0, 0.25.1, 0.25.2, 0.25.3, 0.45.0, 0.45.1, 0.45.2, 0.45.3, 0.46.0, 0.46.1, 0.46.2, 0.46.3</t>
        </is>
      </c>
      <c r="D149" s="67" t="n">
        <v>12</v>
      </c>
      <c r="E149" s="67" t="n"/>
      <c r="F149" s="67" t="n"/>
      <c r="G149" s="67" t="inlineStr">
        <is>
          <t>The LLM replaced PauliOp(hamiltonian_string) with eval(hamiltonian_string), the same fix as the reference.</t>
        </is>
      </c>
      <c r="H149" s="67" t="n">
        <v>2</v>
      </c>
    </row>
    <row r="150">
      <c r="A150" s="68" t="inlineStr">
        <is>
          <t>PASS</t>
        </is>
      </c>
      <c r="B150" s="67" t="inlineStr">
        <is>
          <t>issue_280</t>
        </is>
      </c>
      <c r="C150" s="67" t="inlineStr">
        <is>
          <t>0.25.0, 0.25.1, 0.25.2, 0.25.3, 0.45.0, 0.45.1, 0.45.2, 0.45.3, 0.46.0, 0.46.1, 0.46.2, 0.46.3</t>
        </is>
      </c>
      <c r="D150" s="67" t="n">
        <v>12</v>
      </c>
      <c r="E150" s="67" t="n"/>
      <c r="F150" s="67" t="n"/>
      <c r="G150" s="67" t="inlineStr">
        <is>
          <t>The LLM made the depolarizing error act on 2 qubits so it matches the two-qubit 'cx' instruction, the same fix as the reference.</t>
        </is>
      </c>
      <c r="H150" s="67" t="n">
        <v>2</v>
      </c>
    </row>
    <row r="151">
      <c r="A151" s="68" t="inlineStr">
        <is>
          <t>PASS</t>
        </is>
      </c>
      <c r="B151" s="67" t="inlineStr">
        <is>
          <t>issue_295</t>
        </is>
      </c>
      <c r="C151" s="67" t="inlineStr">
        <is>
          <t>0.45.0, 0.45.1, 0.45.2, 0.45.3, 0.46.0, 0.46.1, 0.46.2, 0.46.3</t>
        </is>
      </c>
      <c r="D151" s="67" t="n">
        <v>8</v>
      </c>
      <c r="E151" s="67" t="n"/>
      <c r="F151" s="67" t="n"/>
      <c r="G151" s="67" t="inlineStr">
        <is>
          <t>The LLM replaced the unsupported circuit += oracle with circuit.compose(oracle, inplace=True); the reference reassigns circuit = circuit.compose(oracle), which does the same thing.</t>
        </is>
      </c>
      <c r="H151" s="67" t="n">
        <v>2</v>
      </c>
    </row>
    <row r="152">
      <c r="A152" s="69" t="inlineStr">
        <is>
          <t>FAIL</t>
        </is>
      </c>
      <c r="B152" s="67" t="inlineStr">
        <is>
          <t>issue_189</t>
        </is>
      </c>
      <c r="C152" s="67" t="inlineStr">
        <is>
          <t>0.45.0, 0.45.1, 0.45.2, 0.45.3, 0.46.0, 0.46.1, 0.46.2, 0.46.3, 1.0.0, 1.0.1, 1.0.2, 1.1.0, 1.1.1, 1.1.2, 1.2.0, 1.2.1, 1.2.2, 1.2.4, 2.0.0, 2.2.0, 2.3.0, 2.4.0, 2.5.0</t>
        </is>
      </c>
      <c r="D152" s="67" t="n">
        <v>23</v>
      </c>
      <c r="E152" s="67" t="inlineStr">
        <is>
          <t>AssertionError</t>
        </is>
      </c>
      <c r="F152" s="67" t="inlineStr">
        <is>
          <t>AssertionError: Lists differ: [2, 3, 4, 5, 6, 7, 8] != [0, 3, 4, 5, 6, 7, 8]</t>
        </is>
      </c>
      <c r="G152" s="67"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H152" s="67" t="n">
        <v>2</v>
      </c>
    </row>
    <row r="153">
      <c r="A153" s="70" t="inlineStr">
        <is>
          <t>ERROR</t>
        </is>
      </c>
      <c r="B153" s="67" t="inlineStr">
        <is>
          <t>issue_157</t>
        </is>
      </c>
      <c r="C153" s="67" t="inlineStr">
        <is>
          <t>0.25.0, 0.25.1, 0.25.2, 0.25.3</t>
        </is>
      </c>
      <c r="D153" s="67" t="n">
        <v>4</v>
      </c>
      <c r="E153" s="67" t="inlineStr">
        <is>
          <t>AttributeError</t>
        </is>
      </c>
      <c r="F153" s="67" t="inlineStr">
        <is>
          <t>AttributeError: 'QuantumCircuit' object has no attribute 'prepare_state'</t>
        </is>
      </c>
      <c r="G153" s="67" t="inlineStr">
        <is>
          <t>The LLM replaced initialize() with QuantumCircuit.prepare_state(), which does not exist yet in Qiskit 0.25 (Terra 0.17), so the script crashes with AttributeError before the gate is built.</t>
        </is>
      </c>
      <c r="H153" s="67" t="n">
        <v>2</v>
      </c>
    </row>
    <row r="154">
      <c r="A154" s="70" t="inlineStr">
        <is>
          <t>ERROR</t>
        </is>
      </c>
      <c r="B154" s="67" t="inlineStr">
        <is>
          <t>issue_174</t>
        </is>
      </c>
      <c r="C154" s="67" t="inlineStr">
        <is>
          <t>0.25.0, 0.25.1, 0.25.2, 0.25.3</t>
        </is>
      </c>
      <c r="D154" s="67" t="n">
        <v>4</v>
      </c>
      <c r="E154" s="67" t="inlineStr">
        <is>
          <t>QasmError</t>
        </is>
      </c>
      <c r="F154" s="67" t="inlineStr">
        <is>
          <t>qiskit.qasm.exceptions.QasmError: 'Unable to match any token rule, got --&gt;#&lt;-- Check your OPENQASM source and any include statements.'</t>
        </is>
      </c>
      <c r="G154" s="67" t="inlineStr">
        <is>
          <t>The LLM's QASM change (if (c==1) instead of if (c[0]==1)) is the same as the reference, but it put its '# FIX:' comment inside the OpenQASM string, where '#' is not valid syntax, so the QASM parser rejects the program. With that one line removed the fix passes.</t>
        </is>
      </c>
      <c r="H154" s="67" t="n">
        <v>2</v>
      </c>
    </row>
    <row r="155">
      <c r="A155" s="70" t="inlineStr">
        <is>
          <t>ERROR</t>
        </is>
      </c>
      <c r="B155" s="67" t="inlineStr">
        <is>
          <t>issue_174</t>
        </is>
      </c>
      <c r="C155" s="67" t="inlineStr">
        <is>
          <t>0.45.0, 0.45.1, 0.45.2, 0.45.3, 0.46.0, 0.46.1, 0.46.2, 0.46.3</t>
        </is>
      </c>
      <c r="D155" s="67" t="n">
        <v>8</v>
      </c>
      <c r="E155" s="67" t="inlineStr">
        <is>
          <t>QASM2ParseError</t>
        </is>
      </c>
      <c r="F155" s="67" t="inlineStr">
        <is>
          <t>qiskit.qasm2.exceptions.QASM2ParseError: "&lt;input&gt;:10,0: encountered '#', which doesn't match any valid tokens"</t>
        </is>
      </c>
      <c r="G155" s="67" t="inlineStr">
        <is>
          <t>The LLM's QASM change (if (c==1) instead of if (c[0]==1)) is the same as the reference, but it put its '# FIX:' comment inside the OpenQASM string, where '#' is not valid syntax, so the QASM parser rejects the program. With that one line removed the fix passes.</t>
        </is>
      </c>
      <c r="H155" s="67" t="n">
        <v>2</v>
      </c>
    </row>
    <row r="156">
      <c r="A156" s="70" t="inlineStr">
        <is>
          <t>ERROR</t>
        </is>
      </c>
      <c r="B156" s="67" t="inlineStr">
        <is>
          <t>issue_233</t>
        </is>
      </c>
      <c r="C156" s="67" t="inlineStr">
        <is>
          <t>0.25.0, 0.25.1, 0.25.2, 0.25.3, 0.45.0, 0.45.1, 0.45.2, 0.45.3, 0.46.0, 0.46.1, 0.46.2, 0.46.3, 1.0.0, 1.0.1, 1.0.2, 1.1.0, 1.1.1, 1.1.2, 1.2.0, 1.2.1, 1.2.2, 1.2.4, 2.0.0, 2.2.0, 2.3.0, 2.4.0, 2.5.0</t>
        </is>
      </c>
      <c r="D156" s="67" t="n">
        <v>27</v>
      </c>
      <c r="E156" s="67" t="inlineStr">
        <is>
          <t>TypeError</t>
        </is>
      </c>
      <c r="F156" s="67" t="inlineStr">
        <is>
          <t>TypeError: 'int' object is not callable</t>
        </is>
      </c>
      <c r="G156" s="67" t="inlineStr">
        <is>
          <t>The LLM replaced only the second rot.num_parameters_settable() call (with len(rot.parameters)) and left the first one; num_parameters_settable is a property that returns an int, so calling it raises TypeError before anything is printed.</t>
        </is>
      </c>
      <c r="H156" s="67" t="n">
        <v>2</v>
      </c>
    </row>
    <row r="157">
      <c r="A157" s="70" t="inlineStr">
        <is>
          <t>ERROR</t>
        </is>
      </c>
      <c r="B157" s="67" t="inlineStr">
        <is>
          <t>issue_315</t>
        </is>
      </c>
      <c r="C157" s="67" t="inlineStr">
        <is>
          <t>0.45.0, 0.45.1, 0.45.2, 0.45.3</t>
        </is>
      </c>
      <c r="D157" s="67" t="n">
        <v>4</v>
      </c>
      <c r="E157" s="67" t="inlineStr">
        <is>
          <t>ModuleNotFoundError</t>
        </is>
      </c>
      <c r="F157" s="67" t="inlineStr">
        <is>
          <t>ModuleNotFoundError: No module named 'qiskit.providers.basic_provider'</t>
        </is>
      </c>
      <c r="G157" s="67" t="inlineStr">
        <is>
          <t>The LLM kept the BasicProvider import, and qiskit.providers.basic_provider does not exist before Qiskit 0.46, so the script crashes on import (it also deleted the parallel options the user wanted instead of switching to AerSimulator).</t>
        </is>
      </c>
      <c r="H157" s="67" t="n">
        <v>2</v>
      </c>
    </row>
    <row r="158">
      <c r="A158" s="70" t="inlineStr">
        <is>
          <t>ERROR</t>
        </is>
      </c>
      <c r="B158" s="67" t="inlineStr">
        <is>
          <t>issue_315</t>
        </is>
      </c>
      <c r="C158" s="67" t="inlineStr">
        <is>
          <t>0.46.0, 0.46.1, 0.46.2, 0.46.3, 1.0.0, 1.0.1, 1.0.2, 1.1.0, 1.1.1, 1.1.2, 1.2.0, 1.2.1, 1.2.2, 1.2.4, 2.0.0, 2.2.0, 2.3.0, 2.4.0, 2.5.0</t>
        </is>
      </c>
      <c r="D158" s="67" t="n">
        <v>19</v>
      </c>
      <c r="E158" s="67" t="inlineStr">
        <is>
          <t>AttributeError</t>
        </is>
      </c>
      <c r="F158" s="67" t="inlineStr">
        <is>
          <t>AttributeError: Option max_parallel_threads is not defined</t>
        </is>
      </c>
      <c r="G158" s="67"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H158" s="67" t="n">
        <v>2</v>
      </c>
    </row>
    <row r="159">
      <c r="A159" s="68" t="inlineStr">
        <is>
          <t>PASS</t>
        </is>
      </c>
      <c r="B159" s="67" t="inlineStr">
        <is>
          <t>issue_362</t>
        </is>
      </c>
      <c r="C159" s="67" t="inlineStr">
        <is>
          <t>0.45.0, 0.45.1, 0.45.2, 0.45.3, 0.46.0, 0.46.1, 0.46.2, 0.46.3, 1.0.0, 1.0.1, 1.0.2, 1.1.0, 1.1.1, 1.1.2, 1.2.0, 1.2.1, 1.2.2, 1.2.4, 2.0.0, 2.2.0, 2.3.0, 2.4.0, 2.5.0</t>
        </is>
      </c>
      <c r="D159" s="67" t="n">
        <v>23</v>
      </c>
      <c r="E159" s="67" t="n"/>
      <c r="F159" s="67" t="n"/>
      <c r="G159" s="67" t="inlineStr">
        <is>
          <t>The LLM added circuit.save_unitary() so AerSimulator returns the unitary, the same key fix as the reference.</t>
        </is>
      </c>
      <c r="H159" s="67" t="n">
        <v>3</v>
      </c>
    </row>
    <row r="160">
      <c r="A160" s="68" t="inlineStr">
        <is>
          <t>PASS</t>
        </is>
      </c>
      <c r="B160" s="67" t="inlineStr">
        <is>
          <t>issue_396</t>
        </is>
      </c>
      <c r="C160" s="67" t="inlineStr">
        <is>
          <t>0.25.0, 0.25.1, 0.25.2, 0.25.3, 0.45.0, 0.45.1, 0.45.2, 0.45.3, 0.46.0, 0.46.1, 0.46.2, 0.46.3</t>
        </is>
      </c>
      <c r="D160" s="67" t="n">
        <v>12</v>
      </c>
      <c r="E160" s="67" t="n"/>
      <c r="F160" s="67" t="n"/>
      <c r="G160" s="67" t="inlineStr">
        <is>
          <t>The LLM built the oracle as a QuantumCircuit with one diagonal gate (-1 on |101&gt; and |110&gt;); the reference builds it from X, H and MCX gates. Both give the same oracle.</t>
        </is>
      </c>
      <c r="H160" s="67" t="n">
        <v>3</v>
      </c>
    </row>
    <row r="161">
      <c r="A161" s="68" t="inlineStr">
        <is>
          <t>PASS</t>
        </is>
      </c>
      <c r="B161" s="67" t="inlineStr">
        <is>
          <t>issue_436</t>
        </is>
      </c>
      <c r="C161" s="67" t="inlineStr">
        <is>
          <t>0.25.0, 0.25.1, 0.25.2, 0.25.3</t>
        </is>
      </c>
      <c r="D161" s="67" t="n">
        <v>4</v>
      </c>
      <c r="E161" s="67" t="n"/>
      <c r="F161" s="67" t="n"/>
      <c r="G161" s="67" t="inlineStr">
        <is>
          <t>The LLM replaced the unsupported set_frequency() with the envelope modulated by exp(2*pi*i*df*t), the same approach as the reference.</t>
        </is>
      </c>
      <c r="H161" s="67" t="n">
        <v>3</v>
      </c>
    </row>
    <row r="162">
      <c r="A162" s="68" t="inlineStr">
        <is>
          <t>PASS</t>
        </is>
      </c>
      <c r="B162" s="67" t="inlineStr">
        <is>
          <t>issue_443</t>
        </is>
      </c>
      <c r="C162" s="67" t="inlineStr">
        <is>
          <t>0.25.0, 0.25.1, 0.25.2, 0.25.3, 0.45.0, 0.45.1, 0.45.2, 0.45.3, 0.46.0, 0.46.1, 0.46.2, 0.46.3, 1.0.0, 1.0.1, 1.0.2, 1.1.0, 1.1.1, 1.1.2, 1.2.0, 1.2.1, 1.2.2, 1.2.4, 2.0.0, 2.2.0, 2.3.0, 2.4.0, 2.5.0</t>
        </is>
      </c>
      <c r="D162" s="67" t="n">
        <v>27</v>
      </c>
      <c r="E162" s="67" t="n"/>
      <c r="F162" s="67" t="n"/>
      <c r="G162" s="67" t="inlineStr">
        <is>
          <t>The LLM flattened the registers into a list of qubits (list(train_register) + list(control)), equivalent to the reference's train_register[:] + control[:].</t>
        </is>
      </c>
      <c r="H162" s="67" t="n">
        <v>3</v>
      </c>
    </row>
    <row r="163">
      <c r="A163" s="68" t="inlineStr">
        <is>
          <t>PASS</t>
        </is>
      </c>
      <c r="B163" s="67" t="inlineStr">
        <is>
          <t>issue_497</t>
        </is>
      </c>
      <c r="C163" s="67" t="inlineStr">
        <is>
          <t>0.25.0, 0.25.1, 0.25.2, 0.25.3</t>
        </is>
      </c>
      <c r="D163" s="67" t="n">
        <v>4</v>
      </c>
      <c r="E163" s="67" t="n"/>
      <c r="F163" s="67" t="n"/>
      <c r="G163" s="67" t="inlineStr">
        <is>
          <t>The LLM combined both expectation values in a ListOp evaluated by one CircuitSampler call (one backend submission) and removed the undefined IBMQJobManager(), like the reference; it also widened psi from 1 to 2 qubits to match the operators.</t>
        </is>
      </c>
      <c r="H163" s="67" t="n">
        <v>3</v>
      </c>
    </row>
    <row r="164">
      <c r="A164" s="69" t="inlineStr">
        <is>
          <t>FAIL</t>
        </is>
      </c>
      <c r="B164" s="67" t="inlineStr">
        <is>
          <t>issue_415</t>
        </is>
      </c>
      <c r="C164" s="67" t="inlineStr">
        <is>
          <t>0.25.0, 0.25.1, 0.25.2, 0.25.3</t>
        </is>
      </c>
      <c r="D164" s="67" t="n">
        <v>4</v>
      </c>
      <c r="E164" s="67" t="inlineStr">
        <is>
          <t>AssertionError</t>
        </is>
      </c>
      <c r="F164" s="67" t="inlineStr">
        <is>
          <t>AssertionError: Not equal to tolerance rtol=1e-07, atol=1e-12</t>
        </is>
      </c>
      <c r="G164" s="67"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H164" s="67" t="n">
        <v>3</v>
      </c>
    </row>
    <row r="165">
      <c r="A165" s="69" t="inlineStr">
        <is>
          <t>FAIL</t>
        </is>
      </c>
      <c r="B165" s="67" t="inlineStr">
        <is>
          <t>issue_453</t>
        </is>
      </c>
      <c r="C165" s="67" t="inlineStr">
        <is>
          <t>0.45.0, 0.45.1, 0.45.2, 0.45.3, 0.46.0, 0.46.1, 0.46.2, 0.46.3, 1.0.0, 1.0.1, 1.0.2, 1.1.0, 1.1.1, 1.1.2, 1.2.0, 1.2.1, 1.2.2, 1.2.4, 2.0.0, 2.2.0, 2.3.0, 2.4.0, 2.5.0</t>
        </is>
      </c>
      <c r="D165" s="67" t="n">
        <v>23</v>
      </c>
      <c r="E165" s="67" t="inlineStr">
        <is>
          <t>AssertionError</t>
        </is>
      </c>
      <c r="F165" s="67" t="inlineStr">
        <is>
          <t>AssertionError: 0 != 2</t>
        </is>
      </c>
      <c r="G165" s="67"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H165" s="67" t="n">
        <v>3</v>
      </c>
    </row>
    <row r="166">
      <c r="A166" s="70" t="inlineStr">
        <is>
          <t>ERROR</t>
        </is>
      </c>
      <c r="B166" s="67" t="inlineStr">
        <is>
          <t>issue_344</t>
        </is>
      </c>
      <c r="C166" s="67" t="inlineStr">
        <is>
          <t>0.25.0, 0.25.1, 0.25.2, 0.25.3, 0.45.0, 0.45.1, 0.45.2, 0.45.3, 0.46.0, 0.46.1, 0.46.2, 0.46.3</t>
        </is>
      </c>
      <c r="D166" s="67" t="n">
        <v>12</v>
      </c>
      <c r="E166" s="67" t="inlineStr">
        <is>
          <t>QiskitError</t>
        </is>
      </c>
      <c r="F166" s="67" t="inlineStr">
        <is>
          <t>qiskit.exceptions.QiskitError: 'Input quantum state is not a valid'</t>
        </is>
      </c>
      <c r="G166" s="67" t="inlineStr">
        <is>
          <t>The LLM passed the Statevector object to entropy() but kept get_statevector(..., decimals=3); the rounded amplitudes are no longer normalized, so Qiskit rejects the state ('Input quantum state is not a valid'). The reference also removes decimals=3.</t>
        </is>
      </c>
      <c r="H166" s="67" t="n">
        <v>3</v>
      </c>
    </row>
    <row r="167">
      <c r="A167" s="70" t="inlineStr">
        <is>
          <t>ERROR</t>
        </is>
      </c>
      <c r="B167" s="67" t="inlineStr">
        <is>
          <t>issue_369</t>
        </is>
      </c>
      <c r="C167" s="67" t="inlineStr">
        <is>
          <t>0.25.0, 0.25.1, 0.25.2, 0.25.3, 0.45.0, 0.45.1, 0.45.2, 0.45.3, 0.46.0, 0.46.1, 0.46.2, 0.46.3, 1.0.0, 1.0.1, 1.0.2, 1.1.0, 1.1.1, 1.1.2, 1.2.0, 1.2.1, 1.2.2, 1.2.4, 2.0.0, 2.2.0, 2.3.0, 2.4.0, 2.5.0</t>
        </is>
      </c>
      <c r="D167" s="67" t="n">
        <v>27</v>
      </c>
      <c r="E167" s="67" t="inlineStr">
        <is>
          <t>CircuitError</t>
        </is>
      </c>
      <c r="F167" s="67" t="inlineStr">
        <is>
          <t>qiskit.circuit.exceptions.CircuitError: 'The amount of qubit(3)/clbit(0) arguments does not match the gate expectation (4).'</t>
        </is>
      </c>
      <c r="G167" s="67" t="inlineStr">
        <is>
          <t>The LLM's compose fix (all 17 qubits instead of [i]) matches the reference, but it also invented an extra line, sub.append(C3XGate(), [14, 6, 7]), which gives a 4-qubit gate only 3 qubits, so building the circuit raises CircuitError. With that line removed the fix passes.</t>
        </is>
      </c>
      <c r="H167" s="67" t="n">
        <v>3</v>
      </c>
    </row>
    <row r="168">
      <c r="A168" s="70" t="inlineStr">
        <is>
          <t>ERROR</t>
        </is>
      </c>
      <c r="B168" s="67" t="inlineStr">
        <is>
          <t>issue_396</t>
        </is>
      </c>
      <c r="C168" s="67" t="inlineStr">
        <is>
          <t>1.0.0, 1.0.1, 1.0.2, 1.1.0, 1.1.1, 1.1.2, 1.2.0, 1.2.1, 1.2.2, 1.2.4, 2.0.0, 2.2.0, 2.3.0, 2.4.0, 2.5.0</t>
        </is>
      </c>
      <c r="D168" s="67" t="n">
        <v>15</v>
      </c>
      <c r="E168" s="67" t="inlineStr">
        <is>
          <t>AttributeError</t>
        </is>
      </c>
      <c r="F168" s="67" t="inlineStr">
        <is>
          <t>AttributeError: 'QuantumCircuit' object has no attribute 'diagonal'</t>
        </is>
      </c>
      <c r="G168" s="67" t="inlineStr">
        <is>
          <t>The LLM built the oracle with QuantumCircuit.diagonal(), which was removed in Qiskit 1.0, so the script crashes with AttributeError on 1.x and 2.x.</t>
        </is>
      </c>
      <c r="H168" s="67" t="n">
        <v>3</v>
      </c>
    </row>
    <row r="169">
      <c r="A169" s="70" t="inlineStr">
        <is>
          <t>ERROR</t>
        </is>
      </c>
      <c r="B169" s="67" t="inlineStr">
        <is>
          <t>issue_468</t>
        </is>
      </c>
      <c r="C169" s="67" t="inlineStr">
        <is>
          <t>0.25.0, 0.25.1, 0.25.2, 0.25.3</t>
        </is>
      </c>
      <c r="D169" s="67" t="n">
        <v>4</v>
      </c>
      <c r="E169" s="67" t="inlineStr">
        <is>
          <t>ValueError</t>
        </is>
      </c>
      <c r="F169" s="67" t="inlineStr">
        <is>
          <t>ValueError: Operators can only be scalar multiplied by float or complex, not Operator([[1.+0.j, 0.+0.j], [0.+0.j, 0.+0.j]], input_dims=(2,), output_dims=(2,)) of type &lt;class 'qiskit.aqua.operators.primitive_ops.matrix_op.MatrixOp'&gt;.</t>
        </is>
      </c>
      <c r="G169" s="67" t="inlineStr">
        <is>
          <t>The LLM wrapped the density matrices in MatrixOp, but Aqua's legacy commutator() multiplies its inputs with *, which for MatrixOp means scalar multiplication, so it raises ValueError; the reference rewrites the two operators as WeightedPauliOperators.</t>
        </is>
      </c>
      <c r="H169" s="67" t="n">
        <v>3</v>
      </c>
    </row>
    <row r="170">
      <c r="A170" s="68" t="inlineStr">
        <is>
          <t>PASS</t>
        </is>
      </c>
      <c r="B170" s="67" t="inlineStr">
        <is>
          <t>issue_504</t>
        </is>
      </c>
      <c r="C170" s="67" t="inlineStr">
        <is>
          <t>0.45.0, 0.45.1, 0.45.2, 0.45.3, 0.46.0, 0.46.1, 0.46.2, 0.46.3, 1.0.0, 1.0.1, 1.0.2, 1.1.0, 1.1.1, 1.1.2, 1.2.0, 1.2.1, 1.2.2, 1.2.4, 2.0.0, 2.2.0, 2.3.0, 2.4.0, 2.5.0</t>
        </is>
      </c>
      <c r="D170" s="67" t="n">
        <v>23</v>
      </c>
      <c r="E170" s="67" t="n"/>
      <c r="F170" s="67" t="n"/>
      <c r="G170" s="67" t="inlineStr">
        <is>
          <t>The LLM pointed the Hadamards, the oracle, the diffusion and the measurement at circuit.qubits instead of a new QuantumRegister(n) each time, and ran the transpiled circuit with backend.run(); the reference creates one register and reuses it. Same effect.</t>
        </is>
      </c>
      <c r="H170" s="67" t="n">
        <v>4</v>
      </c>
    </row>
    <row r="171">
      <c r="A171" s="68" t="inlineStr">
        <is>
          <t>PASS</t>
        </is>
      </c>
      <c r="B171" s="67" t="inlineStr">
        <is>
          <t>issue_505</t>
        </is>
      </c>
      <c r="C171" s="67" t="inlineStr">
        <is>
          <t>0.45.0, 0.45.1, 0.45.2, 0.45.3, 0.46.0, 0.46.1, 0.46.2, 0.46.3</t>
        </is>
      </c>
      <c r="D171" s="67" t="n">
        <v>8</v>
      </c>
      <c r="E171" s="67" t="n"/>
      <c r="F171" s="67" t="n"/>
      <c r="G171" s="67" t="inlineStr">
        <is>
          <t>The LLM cast x to a Python float, so PauliSumOp handles the scalar multiplication instead of NumPy, the same cast as the reference (which also swaps the operand order).</t>
        </is>
      </c>
      <c r="H171" s="67" t="n">
        <v>4</v>
      </c>
    </row>
    <row r="172">
      <c r="A172" s="68" t="inlineStr">
        <is>
          <t>PASS</t>
        </is>
      </c>
      <c r="B172" s="67" t="inlineStr">
        <is>
          <t>issue_595</t>
        </is>
      </c>
      <c r="C172" s="67" t="inlineStr">
        <is>
          <t>0.45.0, 0.45.1, 0.45.2, 0.45.3, 0.46.0, 0.46.1, 0.46.2, 0.46.3, 1.0.0, 1.0.1, 1.0.2, 1.1.0, 1.1.1, 1.1.2, 1.2.0, 1.2.1, 1.2.2, 1.2.4, 2.0.0, 2.2.0, 2.3.0, 2.4.0, 2.5.0</t>
        </is>
      </c>
      <c r="D172" s="67" t="n">
        <v>23</v>
      </c>
      <c r="E172" s="67" t="n"/>
      <c r="F172" s="67" t="n"/>
      <c r="G172" s="67" t="inlineStr">
        <is>
          <t>The LLM added circ.save_unitary() so AerSimulator returns the unitary, the same key fix as the reference.</t>
        </is>
      </c>
      <c r="H172" s="67" t="n">
        <v>4</v>
      </c>
    </row>
    <row r="173">
      <c r="A173" s="68" t="inlineStr">
        <is>
          <t>PASS</t>
        </is>
      </c>
      <c r="B173" s="67" t="inlineStr">
        <is>
          <t>issue_596</t>
        </is>
      </c>
      <c r="C173" s="67" t="inlineStr">
        <is>
          <t>0.25.0, 0.25.1, 0.25.2, 0.25.3, 0.45.0, 0.45.1, 0.45.2, 0.45.3, 0.46.0, 0.46.1, 0.46.2, 0.46.3</t>
        </is>
      </c>
      <c r="D173" s="67" t="n">
        <v>12</v>
      </c>
      <c r="E173" s="67" t="n"/>
      <c r="F173" s="67" t="n"/>
      <c r="G173" s="67" t="inlineStr">
        <is>
          <t>The LLM bound each parameter explicitly (p to inp[0], th to theta) and kept the circuit returned by assign_parameters, like the reference.</t>
        </is>
      </c>
      <c r="H173" s="67" t="n">
        <v>4</v>
      </c>
    </row>
    <row r="174">
      <c r="A174" s="68" t="inlineStr">
        <is>
          <t>PASS</t>
        </is>
      </c>
      <c r="B174" s="67" t="inlineStr">
        <is>
          <t>issue_600</t>
        </is>
      </c>
      <c r="C174" s="67" t="inlineStr">
        <is>
          <t>0.45.0, 0.45.1, 0.45.2, 0.45.3, 0.46.0, 0.46.1, 0.46.2, 0.46.3</t>
        </is>
      </c>
      <c r="D174" s="67" t="n">
        <v>8</v>
      </c>
      <c r="E174" s="67" t="n"/>
      <c r="F174" s="67" t="n"/>
      <c r="G174" s="67" t="inlineStr">
        <is>
          <t>The LLM replaced PauliGate(...).power(param) with PauliEvolutionGate(Pauli('XX'), time=pi*param/2), which equals (XX)^param up to a global phase; the reference uses rxx/ryy/rzz(pi*param), the same gates.</t>
        </is>
      </c>
      <c r="H174" s="67" t="n">
        <v>4</v>
      </c>
    </row>
    <row r="175">
      <c r="A175" s="69" t="inlineStr">
        <is>
          <t>FAIL</t>
        </is>
      </c>
      <c r="B175" s="67" t="inlineStr">
        <is>
          <t>issue_622</t>
        </is>
      </c>
      <c r="C175" s="67" t="inlineStr">
        <is>
          <t>0.25.0, 0.25.1, 0.25.2, 0.25.3, 0.45.0, 0.45.1, 0.45.2, 0.45.3, 0.46.0, 0.46.1, 0.46.2, 0.46.3</t>
        </is>
      </c>
      <c r="D175" s="67" t="n">
        <v>12</v>
      </c>
      <c r="E175" s="67" t="inlineStr">
        <is>
          <t>AssertionError</t>
        </is>
      </c>
      <c r="F175" s="67" t="inlineStr">
        <is>
          <t>AssertionError: Items in the first set but not the second: '01' '10'</t>
        </is>
      </c>
      <c r="G175" s="67"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H175" s="67" t="n">
        <v>4</v>
      </c>
    </row>
    <row r="176">
      <c r="A176" s="69" t="inlineStr">
        <is>
          <t>FAIL</t>
        </is>
      </c>
      <c r="B176" s="67" t="inlineStr">
        <is>
          <t>issue_635</t>
        </is>
      </c>
      <c r="C176" s="67" t="inlineStr">
        <is>
          <t>0.25.0, 0.25.1, 0.25.2, 0.25.3</t>
        </is>
      </c>
      <c r="D176" s="67" t="n">
        <v>4</v>
      </c>
      <c r="E176" s="67" t="inlineStr">
        <is>
          <t>AssertionError</t>
        </is>
      </c>
      <c r="F176" s="67" t="inlineStr">
        <is>
          <t>AssertionError: Items in the first set but not the second: 0 Items in the second set but not the first: 1 : Conditional AND failed for basis 001</t>
        </is>
      </c>
      <c r="G176" s="67"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H176" s="67" t="n">
        <v>4</v>
      </c>
    </row>
    <row r="177">
      <c r="A177" s="70" t="inlineStr">
        <is>
          <t>ERROR</t>
        </is>
      </c>
      <c r="B177" s="67" t="inlineStr">
        <is>
          <t>issue_565</t>
        </is>
      </c>
      <c r="C177" s="67" t="inlineStr">
        <is>
          <t>0.25.0, 0.25.1, 0.25.2, 0.25.3</t>
        </is>
      </c>
      <c r="D177" s="67" t="n">
        <v>4</v>
      </c>
      <c r="E177" s="67" t="inlineStr">
        <is>
          <t>ValueError</t>
        </is>
      </c>
      <c r="F177" s="67" t="inlineStr">
        <is>
          <t>ValueError: Operators can only be scalar multiplied by float or complex, not SummedOp([ IIIXIIIII, IIIYIIIII ]) of type &lt;class 'qiskit.aqua.operators.list_ops.summed_op.SummedOp'&gt;.</t>
        </is>
      </c>
      <c r="G177" s="67"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H177" s="67" t="n">
        <v>4</v>
      </c>
    </row>
    <row r="178">
      <c r="A178" s="70" t="inlineStr">
        <is>
          <t>ERROR</t>
        </is>
      </c>
      <c r="B178" s="67" t="inlineStr">
        <is>
          <t>issue_600</t>
        </is>
      </c>
      <c r="C178" s="67" t="inlineStr">
        <is>
          <t>0.25.0, 0.25.1, 0.25.2, 0.25.3</t>
        </is>
      </c>
      <c r="D178" s="67" t="n">
        <v>4</v>
      </c>
      <c r="E178" s="67" t="inlineStr">
        <is>
          <t>ImportError</t>
        </is>
      </c>
      <c r="F178" s="67" t="inlineStr">
        <is>
          <t>ImportError: cannot import name 'PauliGate' from 'qiskit.circuit.library'</t>
        </is>
      </c>
      <c r="G178" s="67" t="inlineStr">
        <is>
          <t>The LLM kept the now-unused import of PauliGate, which does not exist in Qiskit 0.25 (Terra 0.17), so the script crashes on import. PauliEvolutionGate, which it switched to, does not exist there either (added in Terra 0.19). The reference drops the import and uses rxx/ryy/rzz, which exist in 0.25.</t>
        </is>
      </c>
      <c r="H178" s="67" t="n">
        <v>4</v>
      </c>
    </row>
    <row r="179">
      <c r="A179" s="70" t="inlineStr">
        <is>
          <t>ERROR</t>
        </is>
      </c>
      <c r="B179" s="67" t="inlineStr">
        <is>
          <t>issue_624</t>
        </is>
      </c>
      <c r="C179" s="67" t="inlineStr">
        <is>
          <t>0.25.0, 0.25.1, 0.25.2, 0.25.3</t>
        </is>
      </c>
      <c r="D179" s="67" t="n">
        <v>4</v>
      </c>
      <c r="E179" s="67" t="inlineStr">
        <is>
          <t>ValueError</t>
        </is>
      </c>
      <c r="F179" s="67" t="inlineStr">
        <is>
          <t>ValueError: Evolutions of mixed Operators not yet supported.</t>
        </is>
      </c>
      <c r="G179" s="67" t="inlineStr">
        <is>
          <t>The LLM wrapped the circuit in CircuitOp, which is an OperatorBase with the right matrix, but QAOA cannot build the evolution of a CircuitOp ('Evolutions of mixed Operators not yet supported'). The reference converts it with MatrixOp(Operator(H)).</t>
        </is>
      </c>
      <c r="H179" s="67" t="n">
        <v>4</v>
      </c>
    </row>
    <row r="180">
      <c r="A180" s="70" t="inlineStr">
        <is>
          <t>ERROR</t>
        </is>
      </c>
      <c r="B180" s="67" t="inlineStr">
        <is>
          <t>issue_624</t>
        </is>
      </c>
      <c r="C180" s="67" t="inlineStr">
        <is>
          <t>0.45.0, 0.45.1, 0.45.2, 0.45.3, 0.46.0, 0.46.1, 0.46.2, 0.46.3</t>
        </is>
      </c>
      <c r="D180" s="67" t="n">
        <v>8</v>
      </c>
      <c r="E180" s="67" t="inlineStr">
        <is>
          <t>TypeError</t>
        </is>
      </c>
      <c r="F180" s="67" t="inlineStr">
        <is>
          <t>TypeError: ParameterExpression with unbound parameters (dict_keys([Parameter(c)])) cannot be cast to a float.</t>
        </is>
      </c>
      <c r="G180" s="67"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H180" s="67" t="n">
        <v>4</v>
      </c>
    </row>
    <row r="181">
      <c r="A181" s="70" t="inlineStr">
        <is>
          <t>ERROR</t>
        </is>
      </c>
      <c r="B181" s="67" t="inlineStr">
        <is>
          <t>issue_662</t>
        </is>
      </c>
      <c r="C181" s="67" t="inlineStr">
        <is>
          <t>0.45.0, 0.45.1, 0.45.2, 0.45.3, 0.46.0, 0.46.1, 0.46.2, 0.46.3, 1.0.0, 1.0.1, 1.0.2, 1.1.0, 1.1.1, 1.1.2</t>
        </is>
      </c>
      <c r="D181" s="67" t="n">
        <v>14</v>
      </c>
      <c r="E181" s="67" t="inlineStr">
        <is>
          <t>AttributeError</t>
        </is>
      </c>
      <c r="F181" s="67" t="inlineStr">
        <is>
          <t>AttributeError: 'DAGOpNode' object has no attribute 'type'</t>
        </is>
      </c>
      <c r="G181" s="67"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(checked on 0.45.0 and 2.5.0). The reference uses circ.count_ops().</t>
        </is>
      </c>
      <c r="H181" s="67" t="n">
        <v>4</v>
      </c>
    </row>
    <row r="182">
      <c r="A182" s="70" t="inlineStr">
        <is>
          <t>ERROR</t>
        </is>
      </c>
      <c r="B182" s="67" t="inlineStr">
        <is>
          <t>issue_662</t>
        </is>
      </c>
      <c r="C182" s="67" t="inlineStr">
        <is>
          <t>1.2.0, 1.2.1, 1.2.2, 1.2.4, 2.0.0, 2.2.0, 2.3.0, 2.4.0, 2.5.0</t>
        </is>
      </c>
      <c r="D182" s="67" t="n">
        <v>9</v>
      </c>
      <c r="E182" s="67" t="inlineStr">
        <is>
          <t>AttributeError</t>
        </is>
      </c>
      <c r="F182" s="67" t="inlineStr">
        <is>
          <t>AttributeError: 'qiskit._accelerate.circuit.DAGOpNode' object has no attribute 'type'</t>
        </is>
      </c>
      <c r="G182" s="67"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(checked on 0.45.0 and 2.5.0). The reference uses circ.count_ops().</t>
        </is>
      </c>
      <c r="H182" s="67" t="n">
        <v>4</v>
      </c>
    </row>
    <row r="183">
      <c r="A183" s="68" t="inlineStr">
        <is>
          <t>PASS</t>
        </is>
      </c>
      <c r="B183" s="67" t="inlineStr">
        <is>
          <t>issue_663</t>
        </is>
      </c>
      <c r="C183" s="67" t="inlineStr">
        <is>
          <t>0.45.0, 0.45.1, 0.45.2, 0.45.3, 0.46.0, 0.46.1, 0.46.2, 0.46.3</t>
        </is>
      </c>
      <c r="D183" s="67" t="n">
        <v>8</v>
      </c>
      <c r="E183" s="67" t="n"/>
      <c r="F183" s="67" t="n"/>
      <c r="G183" s="67" t="inlineStr">
        <is>
          <t>The LLM added input_circuit.measure([0, 1, 2], [0, 1, 2]) before execute, the same measurement as the reference's measure(range(3), range(3)).</t>
        </is>
      </c>
      <c r="H183" s="67" t="n">
        <v>5</v>
      </c>
    </row>
    <row r="184">
      <c r="A184" s="68" t="inlineStr">
        <is>
          <t>PASS</t>
        </is>
      </c>
      <c r="B184" s="67" t="inlineStr">
        <is>
          <t>issue_727</t>
        </is>
      </c>
      <c r="C184" s="67" t="inlineStr">
        <is>
          <t>0.25.0, 0.25.1, 0.25.2, 0.25.3, 0.45.0, 0.45.1, 0.45.2, 0.45.3, 0.46.0, 0.46.1, 0.46.2, 0.46.3</t>
        </is>
      </c>
      <c r="D184" s="67" t="n">
        <v>12</v>
      </c>
      <c r="E184" s="67" t="n"/>
      <c r="F184" s="67" t="n"/>
      <c r="G184" s="67" t="inlineStr">
        <is>
          <t>The LLM rewrote 2/2**k as (-k*numpy.log(2)).exp() using ParameterExpression.exp(); the reference uses numpy.exp(numpy.log(0.5)*k). Same angle for every bound k.</t>
        </is>
      </c>
      <c r="H184" s="67" t="n">
        <v>5</v>
      </c>
    </row>
    <row r="185">
      <c r="A185" s="68" t="inlineStr">
        <is>
          <t>PASS</t>
        </is>
      </c>
      <c r="B185" s="67" t="inlineStr">
        <is>
          <t>issue_742</t>
        </is>
      </c>
      <c r="C185" s="67" t="inlineStr">
        <is>
          <t>1.1.0, 1.1.1, 1.1.2, 1.2.0, 1.2.1, 1.2.2, 1.2.4, 2.0.0, 2.2.0, 2.3.0, 2.4.0, 2.5.0</t>
        </is>
      </c>
      <c r="D185" s="67" t="n">
        <v>12</v>
      </c>
      <c r="E185" s="67" t="n"/>
      <c r="F185" s="67" t="n"/>
      <c r="G185" s="67" t="inlineStr">
        <is>
          <t>The LLM converted the Operator with SparsePauliOp.from_operator(O) before passing it to EstimatorV2, the same fix as the reference. (These environments do not ship qiskit-ibm-runtime, so this case runs with a task-local support folder: Runtime 0.30.0 for Qiskit 1.1/1.2 and 0.40.1 for 2.x, as in the team's batch05 validation.)</t>
        </is>
      </c>
      <c r="H185" s="67" t="n">
        <v>5</v>
      </c>
    </row>
    <row r="186">
      <c r="A186" s="68" t="inlineStr">
        <is>
          <t>PASS</t>
        </is>
      </c>
      <c r="B186" s="67" t="inlineStr">
        <is>
          <t>issue_773</t>
        </is>
      </c>
      <c r="C186" s="67" t="inlineStr">
        <is>
          <t>0.45.0, 0.45.1, 0.45.2, 0.45.3, 0.46.0, 0.46.1, 0.46.2, 0.46.3</t>
        </is>
      </c>
      <c r="D186" s="67" t="n">
        <v>8</v>
      </c>
      <c r="E186" s="67" t="n"/>
      <c r="F186" s="67" t="n"/>
      <c r="G186" s="67" t="inlineStr">
        <is>
          <t>The LLM removed the shadowing IBMQ import and kept qiskit.tools.monitor.job_monitor, like the reference (which also passes quiet=True).</t>
        </is>
      </c>
      <c r="H186" s="67" t="n">
        <v>5</v>
      </c>
    </row>
    <row r="187">
      <c r="A187" s="68" t="inlineStr">
        <is>
          <t>PASS</t>
        </is>
      </c>
      <c r="B187" s="67" t="inlineStr">
        <is>
          <t>issue_795</t>
        </is>
      </c>
      <c r="C187" s="67" t="inlineStr">
        <is>
          <t>0.25.0, 0.25.1, 0.25.2, 0.25.3, 0.45.0, 0.45.1, 0.45.2, 0.45.3, 0.46.0, 0.46.1, 0.46.2, 0.46.3</t>
        </is>
      </c>
      <c r="D187" s="67" t="n">
        <v>12</v>
      </c>
      <c r="E187" s="67" t="n"/>
      <c r="F187" s="67" t="n"/>
      <c r="G187" s="67" t="inlineStr">
        <is>
          <t>The LLM appended the operator's matrix with circuit.unitary(...), so to_gate() succeeds, the same fix as the reference.</t>
        </is>
      </c>
      <c r="H187" s="67" t="n">
        <v>5</v>
      </c>
    </row>
    <row r="188">
      <c r="A188" s="69" t="inlineStr">
        <is>
          <t>FAIL</t>
        </is>
      </c>
      <c r="B188" s="67" t="inlineStr">
        <is>
          <t>issue_671</t>
        </is>
      </c>
      <c r="C188" s="67" t="inlineStr">
        <is>
          <t>0.25.0, 0.25.1, 0.25.2, 0.25.3, 0.45.0, 0.45.1, 0.45.2, 0.45.3, 0.46.0, 0.46.1, 0.46.2, 0.46.3, 1.0.0, 1.0.1, 1.0.2, 1.1.0, 1.1.1, 1.1.2, 1.2.0, 1.2.1, 1.2.2, 1.2.4, 2.0.0, 2.2.0, 2.3.0, 2.4.0, 2.5.0</t>
        </is>
      </c>
      <c r="D188" s="67" t="n">
        <v>27</v>
      </c>
      <c r="E188" s="67" t="inlineStr">
        <is>
          <t>AssertionError</t>
        </is>
      </c>
      <c r="F188" s="67" t="inlineStr">
        <is>
          <t>AssertionError: Not equal to tolerance rtol=1e-07, atol=1e-10</t>
        </is>
      </c>
      <c r="G188" s="67" t="inlineStr">
        <is>
          <t>The LLM unpacked the list with QuantumCircuit(a, *v, b), which builds exactly the registers the question asks for, and every register check passes. The test then compares the full 512x512 unitary against the answer's example gates x(v0[0]) and cx(v1[0], a[0]), which are not in the buggy code. Without that unitary check the LLM fix passes (checked on 0.25.0, 0.45.3, 1.0.0, 1.2.4 and 2.5.0) and the buggy code still fails.</t>
        </is>
      </c>
      <c r="H188" s="67" t="n">
        <v>5</v>
      </c>
    </row>
    <row r="189">
      <c r="A189" s="69" t="inlineStr">
        <is>
          <t>FAIL</t>
        </is>
      </c>
      <c r="B189" s="67" t="inlineStr">
        <is>
          <t>issue_747</t>
        </is>
      </c>
      <c r="C189" s="67" t="inlineStr">
        <is>
          <t>0.45.0, 0.45.1, 0.45.2, 0.45.3, 0.46.0, 0.46.1, 0.46.2, 0.46.3</t>
        </is>
      </c>
      <c r="D189" s="67" t="n">
        <v>8</v>
      </c>
      <c r="E189" s="67" t="inlineStr">
        <is>
          <t>AssertionError</t>
        </is>
      </c>
      <c r="F189" s="67" t="inlineStr">
        <is>
          <t>AssertionError: Items in the first set but not the second: '000 000' '111 000' Items in the second set but not the first: '000' '111'</t>
        </is>
      </c>
      <c r="G189" s="67" t="inlineStr">
        <is>
          <t>The LLM added circ.measure_all(), which measures the GHZ state correctly but adds a second 3-bit register instead of using the circuit's existing 3 classical bits, so the counts keys are '000 000' / '111 000' instead of '000' / '111'. The reference measures into the existing bits. A test that ignores the unused register passes the LLM fix (checked on 0.45.0 and 0.46.3).</t>
        </is>
      </c>
      <c r="H189" s="67" t="n">
        <v>5</v>
      </c>
    </row>
    <row r="190">
      <c r="A190" s="70" t="inlineStr">
        <is>
          <t>ERROR</t>
        </is>
      </c>
      <c r="B190" s="67" t="inlineStr">
        <is>
          <t>issue_750</t>
        </is>
      </c>
      <c r="C190" s="67" t="inlineStr">
        <is>
          <t>0.45.0, 0.45.1, 0.45.2, 0.45.3, 0.46.0, 0.46.1, 0.46.2, 0.46.3, 1.0.0, 1.0.1, 1.0.2, 1.1.0, 1.1.1, 1.1.2, 1.2.0, 1.2.1, 1.2.2, 1.2.4, 2.0.0, 2.2.0, 2.3.0, 2.4.0, 2.5.0</t>
        </is>
      </c>
      <c r="D190" s="67" t="n">
        <v>23</v>
      </c>
      <c r="E190" s="67" t="inlineStr">
        <is>
          <t>TypeError</t>
        </is>
      </c>
      <c r="F190" s="67" t="inlineStr">
        <is>
          <t>TypeError: Pauli.__init__() got an unexpected keyword argument 'label'</t>
        </is>
      </c>
      <c r="G190" s="67" t="inlineStr">
        <is>
          <t>The LLM answered NO BUG and kept Pauli(label='XZ'); the math is right, but the label keyword was removed from Pauli in these versions, so the script raises TypeError. The reference builds the operator with Pauli('X')/Pauli('Z') and tensor/expand.</t>
        </is>
      </c>
      <c r="H190" s="67" t="n">
        <v>5</v>
      </c>
    </row>
    <row r="191">
      <c r="A191" s="70" t="inlineStr">
        <is>
          <t>ERROR</t>
        </is>
      </c>
      <c r="B191" s="67" t="inlineStr">
        <is>
          <t>issue_769</t>
        </is>
      </c>
      <c r="C191" s="67" t="inlineStr">
        <is>
          <t>1.0.0, 1.0.1, 1.0.2, 1.1.0, 1.1.1, 1.1.2, 1.2.0, 1.2.1, 1.2.2, 1.2.4, 2.0.0, 2.2.0, 2.3.0, 2.4.0, 2.5.0</t>
        </is>
      </c>
      <c r="D191" s="67" t="n">
        <v>15</v>
      </c>
      <c r="E191" s="67" t="inlineStr">
        <is>
          <t>KeyError</t>
        </is>
      </c>
      <c r="F191" s="67" t="inlineStr">
        <is>
          <t>KeyError: 'get_qiskit_gate'</t>
        </is>
      </c>
      <c r="G191" s="67"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H191" s="67" t="n">
        <v>5</v>
      </c>
    </row>
    <row r="192">
      <c r="A192" s="70" t="inlineStr">
        <is>
          <t>ERROR</t>
        </is>
      </c>
      <c r="B192" s="67" t="inlineStr">
        <is>
          <t>issue_775</t>
        </is>
      </c>
      <c r="C192" s="67" t="inlineStr">
        <is>
          <t>0.25.0, 0.25.1, 0.25.2, 0.25.3, 0.45.0, 0.45.1, 0.45.2, 0.45.3, 0.46.0, 0.46.1, 0.46.2, 0.46.3</t>
        </is>
      </c>
      <c r="D192" s="67" t="n">
        <v>12</v>
      </c>
      <c r="E192" s="67" t="inlineStr">
        <is>
          <t>KeyError</t>
        </is>
      </c>
      <c r="F192" s="67" t="inlineStr">
        <is>
          <t>KeyError: 'qc'</t>
        </is>
      </c>
      <c r="G192" s="67" t="inlineStr">
        <is>
          <t>The LLM parsed the QASM with QuantumCircuit.from_qasm_str and executed it, which is the right fix, but inlined the call inside execute(...) instead of storing it in a variable. The test reads the variable qc, so it raises KeyError. A test that checks the executed result instead passes the LLM fix (checked on 0.25.0, 0.45.0 and 0.46.3) and still fails the buggy code.</t>
        </is>
      </c>
      <c r="H192" s="67" t="n">
        <v>5</v>
      </c>
    </row>
  </sheetData>
  <conditionalFormatting sqref="B80:B129">
    <cfRule type="cellIs" priority="1" operator="equal" dxfId="2">
      <formula>"YES"</formula>
    </cfRule>
    <cfRule type="cellIs" priority="2" operator="equal" dxfId="3">
      <formula>"NO"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4"/>
  <cols>
    <col width="14" customWidth="1" style="35" min="1" max="1"/>
    <col width="18" customWidth="1" style="35" min="2" max="2"/>
    <col width="11" customWidth="1" style="35" min="3" max="3"/>
    <col width="45" customWidth="1" style="35" min="4" max="4"/>
    <col width="50" customWidth="1" style="35" min="5" max="5"/>
    <col width="55" customWidth="1" style="35" min="6" max="6"/>
    <col width="50" customWidth="1" style="35" min="7" max="7"/>
    <col width="14" customWidth="1" style="35" min="8" max="8"/>
    <col width="12" customWidth="1" style="35" min="9" max="9"/>
  </cols>
  <sheetData>
    <row r="1" ht="17.4" customHeight="1" s="35">
      <c r="A1" s="6" t="inlineStr">
        <is>
          <t>Test Review: does the test ask for more than the question / buggy code?</t>
        </is>
      </c>
    </row>
    <row r="2" ht="110" customHeight="1" s="35">
      <c r="A2" s="36" t="inlineStr">
        <is>
          <t>Reviewed against original_question.txt, buggy.py and fixed.py for each case. All 10 tests target the right bug; only the 5 below check more than the question asks. On 1 Oct 2026 the team pushed updated tests for issue_021_se (test-new.py), issue_058_se and issue_061 (test_new.py); results now use those. The other 5 (issue_009, issue_018_se, issue_032_se, issue_036, issue_072) check what the question asks. Batch 2 (issue_155 to issue_315): all 10 tests also target the right bug. issue_189 is over-specific; issue_174, issue_233, issue_295 and issue_315 check extra but fair things (rows 10-14). The other 5 (issue_155, issue_157, issue_225, issue_261, issue_280) check what the question asks. Batch 3 (issue_344 to issue_497, rows 15-19): all 10 tests target the right bug. issue_453 is over-specific and issue_415 is over-specific in its last check; issue_344, issue_369 and issue_436 check extra but fair things. The other 5 (issue_362, issue_396, issue_443, issue_468, issue_497) check what the question asks. Batch 4 (issue_504 to issue_662, rows 20-23): all 10 tests target the right bug. issue_622 is over-specific; issue_565, issue_596 and issue_635 check extra but fair things. The other 6 (issue_504, issue_505, issue_595, issue_600, issue_624, issue_662) check what the question asks. Batch 5 (issue_663 to issue_795, rows 24-27): all 10 tests target the right bug. issue_671 and issue_775 are over-specific; issue_747 is borderline; issue_769 requires the answer's function name. The other 6 (issue_663, issue_727, issue_742, issue_750, issue_773, issue_795) check what the question asks.</t>
        </is>
      </c>
    </row>
    <row r="3"/>
    <row r="4" ht="27.6" customHeight="1" s="35">
      <c r="A4" s="20" t="inlineStr">
        <is>
          <t>Case</t>
        </is>
      </c>
      <c r="B4" s="20" t="inlineStr">
        <is>
          <t>Verdict</t>
        </is>
      </c>
      <c r="C4" s="20" t="inlineStr">
        <is>
          <t>Asks too much?</t>
        </is>
      </c>
      <c r="D4" s="20" t="inlineStr">
        <is>
          <t>What the question / buggy code asks</t>
        </is>
      </c>
      <c r="E4" s="20" t="inlineStr">
        <is>
          <t>What the test checks</t>
        </is>
      </c>
      <c r="F4" s="20" t="inlineStr">
        <is>
          <t>Where the test goes beyond the question</t>
        </is>
      </c>
      <c r="G4" s="20" t="inlineStr">
        <is>
          <t>Effect on the LLM result</t>
        </is>
      </c>
      <c r="H4" s="20" t="inlineStr">
        <is>
          <t>LLM passed (versions)</t>
        </is>
      </c>
      <c r="I4" s="20" t="inlineStr">
        <is>
          <t>LLM outcome</t>
        </is>
      </c>
    </row>
    <row r="5" ht="69" customHeight="1" s="35">
      <c r="A5" s="21" t="inlineStr">
        <is>
          <t>issue_061</t>
        </is>
      </c>
      <c r="B5" s="26" t="inlineStr">
        <is>
          <t>Over-specific in old test.py; fixed in test_new.py</t>
        </is>
      </c>
      <c r="C5" s="27" t="inlineStr">
        <is>
          <t>Old: Yes / New: No</t>
        </is>
      </c>
      <c r="D5" s="24" t="inlineStr">
        <is>
          <t>Replace the deprecated qbit.register / qbit.index with a non-deprecated API so the DeprecationWarning goes away. The buggy code prints the register first, then the index.</t>
        </is>
      </c>
      <c r="E5" s="24" t="inlineStr">
        <is>
          <t>OLD test.py: patched print() and required exactly [(0,), ((qr, 0),), (0,), ((qr, 0),)]. NEW test_new.py (bit_location_oracle): accepts register + register-local index, optionally with the circuit index, in any order or print format; reruns the script with nonzero bits and an extra leading register so hard-coded zeros, wrong registers and circuit/local index mix-ups still fail; still requires no 'Back-references' warning and the original h + cx circuit.</t>
        </is>
      </c>
      <c r="F5" s="24" t="inlineStr">
        <is>
          <t>The old test hard-coded the reference fix's exact print order and values, rejecting any other valid non-deprecated fix. The new test removes that restriction while making the semantic checks stronger, so it no longer asks for more than the question.</t>
        </is>
      </c>
      <c r="G5" s="24" t="inlineStr">
        <is>
          <t>Old test.py: FAIL 0/15, only because of the print format. New test_new.py: PASS 15/15, confirming the LLM's find_bit(...).registers[0] fix was correct.</t>
        </is>
      </c>
      <c r="H5" s="25">
        <f>COUNTIF(Summary!$B$9:$AB$9,"PASS")&amp;" / "&amp;(COUNTIF(Summary!$B$9:$AB$9,"PASS")+COUNTIF(Summary!$B$9:$AB$9,"FAIL")+COUNTIF(Summary!$B$9:$AB$9,"ERROR"))</f>
        <v/>
      </c>
      <c r="I5" s="25">
        <f>IF(COUNTIF(Summary!$B$9:$AB$9,"PASS")=(COUNTIF(Summary!$B$9:$AB$9,"PASS")+COUNTIF(Summary!$B$9:$AB$9,"FAIL")+COUNTIF(Summary!$B$9:$AB$9,"ERROR")),"PASS",IF(COUNTIF(Summary!$B$9:$AB$9,"ERROR")&gt;0,"ERROR","FAIL"))</f>
        <v/>
      </c>
    </row>
    <row r="6" ht="82.8" customHeight="1" s="35">
      <c r="A6" s="21" t="inlineStr">
        <is>
          <t>issue_096</t>
        </is>
      </c>
      <c r="B6" s="22" t="inlineStr">
        <is>
          <t>Over-specific</t>
        </is>
      </c>
      <c r="C6" s="23" t="inlineStr">
        <is>
          <t>Yes</t>
        </is>
      </c>
      <c r="D6" s="24" t="inlineStr">
        <is>
          <t>The question: settings.conf and ipython_kernel_config.py are missing; how do I fix this? The answer: create settings.conf yourself and try 'ipython profile create'. buggy.py only opens ~/.qiskit/settings.conf and never mentions IPython.</t>
        </is>
      </c>
      <c r="E6" s="24" t="inlineStr">
        <is>
          <t>Three scenarios (clean home, existing settings, existing profile folder). Requires settings.conf content to be exactly '[default]\n', ns['contents'] to equal that, os.system to be called with exactly 'ipython profile create', and ipython_kernel_config.py to exist afterwards.</t>
        </is>
      </c>
      <c r="F6" s="24" t="inlineStr">
        <is>
          <t>The exact file content '[default]\n' is never specified (an empty file is also valid). The exact shell command via os.system is never specified (subprocess.run or the IPython API would do the same job and are rejected). IPython profile creation is not in buggy.py at all, so the fix has to add behaviour the code never had.</t>
        </is>
      </c>
      <c r="G6" s="24" t="inlineStr">
        <is>
          <t>The LLM created an empty settings.conf and did not handle IPython, so it fails on all 27 versions. The empty file would pass a fair test for the Qiskit half; the missing IPython step would still fail a fair test, since the question does ask for it.</t>
        </is>
      </c>
      <c r="H6" s="25">
        <f>COUNTIF(Summary!$B$11:$AB$11,"PASS")&amp;" / "&amp;(COUNTIF(Summary!$B$11:$AB$11,"PASS")+COUNTIF(Summary!$B$11:$AB$11,"FAIL")+COUNTIF(Summary!$B$11:$AB$11,"ERROR"))</f>
        <v/>
      </c>
      <c r="I6" s="25">
        <f>IF(COUNTIF(Summary!$B$11:$AB$11,"PASS")=(COUNTIF(Summary!$B$11:$AB$11,"PASS")+COUNTIF(Summary!$B$11:$AB$11,"FAIL")+COUNTIF(Summary!$B$11:$AB$11,"ERROR")),"PASS",IF(COUNTIF(Summary!$B$11:$AB$11,"ERROR")&gt;0,"ERROR","FAIL"))</f>
        <v/>
      </c>
    </row>
    <row r="7" ht="55.2" customHeight="1" s="35">
      <c r="A7" s="21" t="inlineStr">
        <is>
          <t>issue_021_se</t>
        </is>
      </c>
      <c r="B7" s="26" t="inlineStr">
        <is>
          <t>Extra but reasonable</t>
        </is>
      </c>
      <c r="C7" s="27" t="inlineStr">
        <is>
          <t>No</t>
        </is>
      </c>
      <c r="D7" s="24" t="inlineStr">
        <is>
          <t>The custom CNOTNOT gate fails to execute on the simulator ('invalid instructions'); make the circuit run.</t>
        </is>
      </c>
      <c r="E7" s="24" t="inlineStr">
        <is>
          <t>The full 8-amplitude state must equal the GHZ state (|000&gt;+|111&gt;)/sqrt(2), and the cnotnot() gate matrix is checked column by column. NEW test-new.py (simulation_oracle) also watches the real Aer run: every backend execution must succeed and every simulated or exported state (statevector / v / result / job) must match.</t>
        </is>
      </c>
      <c r="F7" s="24" t="inlineStr">
        <is>
          <t>It checks the full state vector and the gate matrix instead of the printed final_state = [result[0], result[1]] slice. That is consistent with what the code actually computes (the slice is not a real one-qubit state), so it is fair.</t>
        </is>
      </c>
      <c r="G7" s="24" t="inlineStr">
        <is>
          <t>Same on old and new tests: ERROR 0/12. The LLM's single decompose() leaves disentangler_dg (0.25.x) or state_preparation (0.45/0.46) in the circuit, so the simulator rejects it before any check runs.</t>
        </is>
      </c>
      <c r="H7" s="25">
        <f>COUNTIF(Summary!$B$4:$AB$4,"PASS")&amp;" / "&amp;(COUNTIF(Summary!$B$4:$AB$4,"PASS")+COUNTIF(Summary!$B$4:$AB$4,"FAIL")+COUNTIF(Summary!$B$4:$AB$4,"ERROR"))</f>
        <v/>
      </c>
      <c r="I7" s="25">
        <f>IF(COUNTIF(Summary!$B$4:$AB$4,"PASS")=(COUNTIF(Summary!$B$4:$AB$4,"PASS")+COUNTIF(Summary!$B$4:$AB$4,"FAIL")+COUNTIF(Summary!$B$4:$AB$4,"ERROR")),"PASS",IF(COUNTIF(Summary!$B$4:$AB$4,"ERROR")&gt;0,"ERROR","FAIL"))</f>
        <v/>
      </c>
    </row>
    <row r="8" ht="41.4" customHeight="1" s="35">
      <c r="A8" s="21" t="inlineStr">
        <is>
          <t>issue_034</t>
        </is>
      </c>
      <c r="B8" s="26" t="inlineStr">
        <is>
          <t>Extra but reasonable</t>
        </is>
      </c>
      <c r="C8" s="27" t="inlineStr">
        <is>
          <t>No</t>
        </is>
      </c>
      <c r="D8" s="24" t="inlineStr">
        <is>
          <t>'from qiskit import Aer' fails (Aer moved to the qiskit_aer package); fix the import.</t>
        </is>
      </c>
      <c r="E8" s="24" t="inlineStr">
        <is>
          <t>Checks the H + measure circuit, the 50/50 probabilities, and actually runs backend.run(qc, shots=2048) expecting roughly 50/50 counts.</t>
        </is>
      </c>
      <c r="F8" s="24" t="inlineStr">
        <is>
          <t>The question is only about the import error, but running the backend proves the imported Aer works. A reasonable extension.</t>
        </is>
      </c>
      <c r="G8" s="24" t="inlineStr">
        <is>
          <t>None. The LLM passed on all 15 versions.</t>
        </is>
      </c>
      <c r="H8" s="25">
        <f>COUNTIF(Summary!$B$6:$AB$6,"PASS")&amp;" / "&amp;(COUNTIF(Summary!$B$6:$AB$6,"PASS")+COUNTIF(Summary!$B$6:$AB$6,"FAIL")+COUNTIF(Summary!$B$6:$AB$6,"ERROR"))</f>
        <v/>
      </c>
      <c r="I8" s="25">
        <f>IF(COUNTIF(Summary!$B$6:$AB$6,"PASS")=(COUNTIF(Summary!$B$6:$AB$6,"PASS")+COUNTIF(Summary!$B$6:$AB$6,"FAIL")+COUNTIF(Summary!$B$6:$AB$6,"ERROR")),"PASS",IF(COUNTIF(Summary!$B$6:$AB$6,"ERROR")&gt;0,"ERROR","FAIL"))</f>
        <v/>
      </c>
    </row>
    <row r="9" ht="41.4" customHeight="1" s="35">
      <c r="A9" s="21" t="inlineStr">
        <is>
          <t>issue_058_se</t>
        </is>
      </c>
      <c r="B9" s="26" t="inlineStr">
        <is>
          <t>Extra but reasonable</t>
        </is>
      </c>
      <c r="C9" s="27" t="inlineStr">
        <is>
          <t>No</t>
        </is>
      </c>
      <c r="D9" s="24" t="inlineStr">
        <is>
          <t>The Grover diffuser gate fails with 'Circuit contains invalid instructions' on the statevector simulator (missing transpile).</t>
        </is>
      </c>
      <c r="E9" s="24" t="inlineStr">
        <is>
          <t>The simulated state must equal [-0.75, 0.25 x 7] (up to global phase), and diffuser(n) must equal 2|s&gt;&lt;s| - I for n = 2, 3 and 4. NEW test_new.py (simulation_oracle) also requires a successful real Aer run whose result matches.</t>
        </is>
      </c>
      <c r="F9" s="24" t="inlineStr">
        <is>
          <t>The original code only uses diffuser(3); the test also checks n = 2 and 4. Still fair, because diffuser(n) is written for any n.</t>
        </is>
      </c>
      <c r="G9" s="24" t="inlineStr">
        <is>
          <t>None. The LLM passed 12/12 on both the old and the new test.</t>
        </is>
      </c>
      <c r="H9" s="25">
        <f>COUNTIF(Summary!$B$8:$AB$8,"PASS")&amp;" / "&amp;(COUNTIF(Summary!$B$8:$AB$8,"PASS")+COUNTIF(Summary!$B$8:$AB$8,"FAIL")+COUNTIF(Summary!$B$8:$AB$8,"ERROR"))</f>
        <v/>
      </c>
      <c r="I9" s="25">
        <f>IF(COUNTIF(Summary!$B$8:$AB$8,"PASS")=(COUNTIF(Summary!$B$8:$AB$8,"PASS")+COUNTIF(Summary!$B$8:$AB$8,"FAIL")+COUNTIF(Summary!$B$8:$AB$8,"ERROR")),"PASS",IF(COUNTIF(Summary!$B$8:$AB$8,"ERROR")&gt;0,"ERROR","FAIL"))</f>
        <v/>
      </c>
    </row>
    <row r="10" ht="82.8" customHeight="1" s="35">
      <c r="A10" s="21" t="inlineStr">
        <is>
          <t>issue_189</t>
        </is>
      </c>
      <c r="B10" s="22" t="inlineStr">
        <is>
          <t>Over-specific</t>
        </is>
      </c>
      <c r="C10" s="23" t="inlineStr">
        <is>
          <t>Yes</t>
        </is>
      </c>
      <c r="D10" s="24" t="inlineStr">
        <is>
          <t>The loop appends a 7-qubit controlled Grover power to a qubit list whose length grows every iteration (7, then 8, then 9 qubits); make each append use one control qubit plus the six target qubits. The question never says which control qubit should get which power.</t>
        </is>
      </c>
      <c r="E10" s="24" t="inlineStr">
        <is>
          <t>qpe must have 9 qubits and 3 instructions; instruction i must act on exactly [i, 3, 4, 5, 6, 7, 8] and equal the controlled Grover operator raised to 2^(2-i).</t>
        </is>
      </c>
      <c r="F10" s="24" t="inlineStr">
        <is>
          <t>It hard-codes the Stack Overflow answer's control order (control i gets power 2^(2-i)). Keeping the asker's own order (first qubit n-1-i, so control k gets 2^k, the usual QPE convention) fixes the qubit-count error just as well, but the test rejects it.</t>
        </is>
      </c>
      <c r="G10" s="24" t="inlineStr">
        <is>
          <t>This is the only reason the LLM fails. Its fix uses [n-1-i, 3, ..., 8] and every gate matrix is correct (checked separately), but the qubit-list check fails first on all 23 versions. A test that accepted either control order would pass it.</t>
        </is>
      </c>
      <c r="H10" s="25">
        <f>COUNTIF(Summary!$B$15:$AB$15,"PASS")&amp;" / "&amp;(COUNTIF(Summary!$B$15:$AB$15,"PASS")+COUNTIF(Summary!$B$15:$AB$15,"FAIL")+COUNTIF(Summary!$B$15:$AB$15,"ERROR"))</f>
        <v/>
      </c>
      <c r="I10" s="25">
        <f>IF(COUNTIF(Summary!$B$15:$AB$15,"PASS")=(COUNTIF(Summary!$B$15:$AB$15,"PASS")+COUNTIF(Summary!$B$15:$AB$15,"FAIL")+COUNTIF(Summary!$B$15:$AB$15,"ERROR")),"PASS",IF(COUNTIF(Summary!$B$15:$AB$15,"ERROR")&gt;0,"ERROR","FAIL"))</f>
        <v/>
      </c>
    </row>
    <row r="11" ht="55.2" customHeight="1" s="35">
      <c r="A11" s="21" t="inlineStr">
        <is>
          <t>issue_174</t>
        </is>
      </c>
      <c r="B11" s="26" t="inlineStr">
        <is>
          <t>Extra but reasonable</t>
        </is>
      </c>
      <c r="C11" s="27" t="inlineStr">
        <is>
          <t>No</t>
        </is>
      </c>
      <c r="D11" s="24" t="inlineStr">
        <is>
          <t>OpenQASM 2.0 rejects if (c[0]==1); how do you condition a gate on the classical register (and run several gates under one if)?</t>
        </is>
      </c>
      <c r="E11" s="24" t="inlineStr">
        <is>
          <t>Parses the QASM and requires 6 CX gates on the original qubit pairs, each conditioned on (c, 1), plus the right counts. It also reruns with an extra X on q0 so the condition is false and the output must be '0'.</t>
        </is>
      </c>
      <c r="F11" s="24" t="inlineStr">
        <is>
          <t>The condition-false run goes beyond the original program, but it only confirms the conditions really work. Fair.</t>
        </is>
      </c>
      <c r="G11" s="24" t="inlineStr">
        <is>
          <t>None. The LLM's QASM change matches the reference, but it put its '# FIX:' comment inside the QASM string, which breaks parsing on all 12 versions. Without that line the fix passes.</t>
        </is>
      </c>
      <c r="H11" s="25">
        <f>COUNTIF(Summary!$B$14:$AB$14,"PASS")&amp;" / "&amp;(COUNTIF(Summary!$B$14:$AB$14,"PASS")+COUNTIF(Summary!$B$14:$AB$14,"FAIL")+COUNTIF(Summary!$B$14:$AB$14,"ERROR"))</f>
        <v/>
      </c>
      <c r="I11" s="25">
        <f>IF(COUNTIF(Summary!$B$14:$AB$14,"PASS")=(COUNTIF(Summary!$B$14:$AB$14,"PASS")+COUNTIF(Summary!$B$14:$AB$14,"FAIL")+COUNTIF(Summary!$B$14:$AB$14,"ERROR")),"PASS",IF(COUNTIF(Summary!$B$14:$AB$14,"ERROR")&gt;0,"ERROR","FAIL"))</f>
        <v/>
      </c>
    </row>
    <row r="12" ht="55.2" customHeight="1" s="35">
      <c r="A12" s="21" t="inlineStr">
        <is>
          <t>issue_233</t>
        </is>
      </c>
      <c r="B12" s="26" t="inlineStr">
        <is>
          <t>Extra but reasonable</t>
        </is>
      </c>
      <c r="C12" s="27" t="inlineStr">
        <is>
          <t>No</t>
        </is>
      </c>
      <c r="D12" s="24" t="inlineStr">
        <is>
          <t>num_parameters_settable() does not report the real parameter count after composing two TwoLocal circuits; print the actual number of free parameters (2, then 4).</t>
        </is>
      </c>
      <c r="E12" s="24" t="inlineStr">
        <is>
          <t>The printed values must be exactly 2 then 4, the composed circuit must have 4 parameters, and binding each parameter to pi in turn must give the expected 2-qubit state.</t>
        </is>
      </c>
      <c r="F12" s="24" t="inlineStr">
        <is>
          <t>The binding check goes beyond the question but only confirms the 4 parameters are real and independent. Fair.</t>
        </is>
      </c>
      <c r="G12" s="24" t="inlineStr">
        <is>
          <t>None. The LLM left the first num_parameters_settable() call in place, which raises TypeError on all 27 versions before any check runs.</t>
        </is>
      </c>
      <c r="H12" s="25">
        <f>COUNTIF(Summary!$B$17:$AB$17,"PASS")&amp;" / "&amp;(COUNTIF(Summary!$B$17:$AB$17,"PASS")+COUNTIF(Summary!$B$17:$AB$17,"FAIL")+COUNTIF(Summary!$B$17:$AB$17,"ERROR"))</f>
        <v/>
      </c>
      <c r="I12" s="25">
        <f>IF(COUNTIF(Summary!$B$17:$AB$17,"PASS")=(COUNTIF(Summary!$B$17:$AB$17,"PASS")+COUNTIF(Summary!$B$17:$AB$17,"FAIL")+COUNTIF(Summary!$B$17:$AB$17,"ERROR")),"PASS",IF(COUNTIF(Summary!$B$17:$AB$17,"ERROR")&gt;0,"ERROR","FAIL"))</f>
        <v/>
      </c>
    </row>
    <row r="13" ht="55.2" customHeight="1" s="35">
      <c r="A13" s="21" t="inlineStr">
        <is>
          <t>issue_295</t>
        </is>
      </c>
      <c r="B13" s="26" t="inlineStr">
        <is>
          <t>Extra but reasonable</t>
        </is>
      </c>
      <c r="C13" s="27" t="inlineStr">
        <is>
          <t>No</t>
        </is>
      </c>
      <c r="D13" s="24" t="inlineStr">
        <is>
          <t>circuit += oracle no longer works in new Qiskit; append the oracle so Deutsch's algorithm runs.</t>
        </is>
      </c>
      <c r="E13" s="24" t="inlineStr">
        <is>
          <t>Runs deutsch_circuit with all four one-bit oracles (the two in the code plus constant-1 and balanced-NOT) and checks each gives the right answer with one measurement on qubit 0.</t>
        </is>
      </c>
      <c r="F13" s="24" t="inlineStr">
        <is>
          <t>Only two oracles appear in the code; testing four checks that deutsch_circuit works for any oracle. Fair.</t>
        </is>
      </c>
      <c r="G13" s="24" t="inlineStr">
        <is>
          <t>None. The LLM passed on all 8 versions.</t>
        </is>
      </c>
      <c r="H13" s="25">
        <f>COUNTIF(Summary!$B$20:$AB$20,"PASS")&amp;" / "&amp;(COUNTIF(Summary!$B$20:$AB$20,"PASS")+COUNTIF(Summary!$B$20:$AB$20,"FAIL")+COUNTIF(Summary!$B$20:$AB$20,"ERROR"))</f>
        <v/>
      </c>
      <c r="I13" s="25">
        <f>IF(COUNTIF(Summary!$B$20:$AB$20,"PASS")=(COUNTIF(Summary!$B$20:$AB$20,"PASS")+COUNTIF(Summary!$B$20:$AB$20,"FAIL")+COUNTIF(Summary!$B$20:$AB$20,"ERROR")),"PASS",IF(COUNTIF(Summary!$B$20:$AB$20,"ERROR")&gt;0,"ERROR","FAIL"))</f>
        <v/>
      </c>
    </row>
    <row r="14" ht="55.2" customHeight="1" s="35">
      <c r="A14" s="21" t="inlineStr">
        <is>
          <t>issue_315</t>
        </is>
      </c>
      <c r="B14" s="26" t="inlineStr">
        <is>
          <t>Extra but reasonable</t>
        </is>
      </c>
      <c r="C14" s="27" t="inlineStr">
        <is>
          <t>No</t>
        </is>
      </c>
      <c r="D14" s="24" t="inlineStr">
        <is>
          <t>BasicSimulator rejects max_parallel_threads and the other parallel options; how do I set them in Qiskit 1.0?</t>
        </is>
      </c>
      <c r="E14" s="24" t="inlineStr">
        <is>
          <t>The backend's options must actually hold the four requested values (max_parallel_threads=0, max_parallel_experiments=0, max_parallel_shots=42, statevector_parallel_threshold=16), the run must succeed and the Bell counts must be about 50/50.</t>
        </is>
      </c>
      <c r="F14" s="24" t="inlineStr">
        <is>
          <t>Checking the options is exactly what the user asked for; the Bell-sampling checks only confirm the run works. Fair.</t>
        </is>
      </c>
      <c r="G14" s="24" t="inlineStr">
        <is>
          <t>None. The LLM deleted the options instead of switching to AerSimulator, so it would fail any test of what the user asked (ERROR on all 23 versions).</t>
        </is>
      </c>
      <c r="H14" s="25">
        <f>COUNTIF(Summary!$B$21:$AB$21,"PASS")&amp;" / "&amp;(COUNTIF(Summary!$B$21:$AB$21,"PASS")+COUNTIF(Summary!$B$21:$AB$21,"FAIL")+COUNTIF(Summary!$B$21:$AB$21,"ERROR"))</f>
        <v/>
      </c>
      <c r="I14" s="25">
        <f>IF(COUNTIF(Summary!$B$21:$AB$21,"PASS")=(COUNTIF(Summary!$B$21:$AB$21,"PASS")+COUNTIF(Summary!$B$21:$AB$21,"FAIL")+COUNTIF(Summary!$B$21:$AB$21,"ERROR")),"PASS",IF(COUNTIF(Summary!$B$21:$AB$21,"ERROR")&gt;0,"ERROR","FAIL"))</f>
        <v/>
      </c>
    </row>
    <row r="15" ht="82.8" customHeight="1" s="35">
      <c r="A15" s="21" t="inlineStr">
        <is>
          <t>issue_453</t>
        </is>
      </c>
      <c r="B15" s="22" t="inlineStr">
        <is>
          <t>Over-specific</t>
        </is>
      </c>
      <c r="C15" s="23" t="inlineStr">
        <is>
          <t>Yes</t>
        </is>
      </c>
      <c r="D15" s="24" t="inlineStr">
        <is>
          <t>Compose a subcircuit that needs extra ancilla qubits onto a smaller circuit, ideally letting the extra qubits be counted as ancillas in some register that can be extended. The question never names a helper method.</t>
        </is>
      </c>
      <c r="E15" s="24" t="inlineStr">
        <is>
          <t>circ must have 6 qubits of which 2 are ancillas, with the right statevector. A second check calls main.compose_with_auto_ancillas(...) on new circuits with 0, 1, 2 and 4 existing ancillas and checks it adds only the ancillas that are missing.</t>
        </is>
      </c>
      <c r="F15" s="24" t="inlineStr">
        <is>
          <t>compose_with_auto_ancillas is the name of the monkey-patched helper in the Stack Overflow answer; the question never mentions it, so any other valid design (a differently named function, or pre-allocating an AncillaRegister) fails the second check.</t>
        </is>
      </c>
      <c r="G15" s="24" t="inlineStr">
        <is>
          <t>Partly. The LLM fails the method-name check, but it also only widened circ to 6 plain qubits: no ancilla register and nothing added automatically, so it would still miss what the question asks for. FAIL on all 23 versions.</t>
        </is>
      </c>
      <c r="H15" s="25">
        <f>COUNTIF(Summary!$B$29:$AB$29,"PASS")&amp;" / "&amp;(COUNTIF(Summary!$B$29:$AB$29,"PASS")+COUNTIF(Summary!$B$29:$AB$29,"FAIL")+COUNTIF(Summary!$B$29:$AB$29,"ERROR"))</f>
        <v/>
      </c>
      <c r="I15" s="25">
        <f>IF(COUNTIF(Summary!$B$29:$AB$29,"PASS")=(COUNTIF(Summary!$B$29:$AB$29,"PASS")+COUNTIF(Summary!$B$29:$AB$29,"FAIL")+COUNTIF(Summary!$B$29:$AB$29,"ERROR")),"PASS",IF(COUNTIF(Summary!$B$29:$AB$29,"ERROR")&gt;0,"ERROR","FAIL"))</f>
        <v/>
      </c>
    </row>
    <row r="16" ht="55.2" customHeight="1" s="35">
      <c r="A16" s="21" t="inlineStr">
        <is>
          <t>issue_415</t>
        </is>
      </c>
      <c r="B16" s="26" t="inlineStr">
        <is>
          <t>Over-specific in its last check only</t>
        </is>
      </c>
      <c r="C16" s="27" t="inlineStr">
        <is>
          <t>Partly</t>
        </is>
      </c>
      <c r="D16" s="24" t="inlineStr">
        <is>
          <t>Prepare the state ((1+i)|0&gt; - i|1&gt;)/sqrt(3) with u3; the angles came out complex and Qiskit rejects them.</t>
        </is>
      </c>
      <c r="E16" s="24" t="inlineStr">
        <is>
          <t>The prepared state must match the target up to global phase, theta and phi must be real, and the printed statevector (decimals=3) must equal target * exp(-i*pi/4).</t>
        </is>
      </c>
      <c r="F16" s="24" t="inlineStr">
        <is>
          <t>The last check pins the printed state's global phase to the one the reference's u3 angles happen to produce. A fix that sets circ.global_phase so the state equals the target exactly would fail it.</t>
        </is>
      </c>
      <c r="G16" s="24" t="inlineStr">
        <is>
          <t>None. The LLM computed the wrong relative phase (phi = -pi/2 instead of 5*pi/4), so it fails the fair up-to-global-phase check first. FAIL on all 4 versions.</t>
        </is>
      </c>
      <c r="H16" s="25">
        <f>COUNTIF(Summary!$B$26:$AB$26,"PASS")&amp;" / "&amp;(COUNTIF(Summary!$B$26:$AB$26,"PASS")+COUNTIF(Summary!$B$26:$AB$26,"FAIL")+COUNTIF(Summary!$B$26:$AB$26,"ERROR"))</f>
        <v/>
      </c>
      <c r="I16" s="25">
        <f>IF(COUNTIF(Summary!$B$26:$AB$26,"PASS")=(COUNTIF(Summary!$B$26:$AB$26,"PASS")+COUNTIF(Summary!$B$26:$AB$26,"FAIL")+COUNTIF(Summary!$B$26:$AB$26,"ERROR")),"PASS",IF(COUNTIF(Summary!$B$26:$AB$26,"ERROR")&gt;0,"ERROR","FAIL"))</f>
        <v/>
      </c>
    </row>
    <row r="17" ht="55.2" customHeight="1" s="35">
      <c r="A17" s="21" t="inlineStr">
        <is>
          <t>issue_344</t>
        </is>
      </c>
      <c r="B17" s="26" t="inlineStr">
        <is>
          <t>Extra but reasonable</t>
        </is>
      </c>
      <c r="C17" s="27" t="inlineStr">
        <is>
          <t>No</t>
        </is>
      </c>
      <c r="D17" s="24" t="inlineStr">
        <is>
          <t>quantum_info.entropy() raises 'Input quantum state is not a valid' for the simulator's statevector.</t>
        </is>
      </c>
      <c r="E17" s="24" t="inlineStr">
        <is>
          <t>outputstate6 must equal the exact normalized state (no rounding), probability must match, outstatevector must be valid and its entropy 0.</t>
        </is>
      </c>
      <c r="F17" s="24" t="inlineStr">
        <is>
          <t>Requiring the unrounded state goes beyond the printed error, but rounding with decimals=3 is exactly what makes the state invalid. Fair.</t>
        </is>
      </c>
      <c r="G17" s="24" t="inlineStr">
        <is>
          <t>None. The LLM kept decimals=3, so the state is still not normalized and entropy() crashes. ERROR on all 12 versions.</t>
        </is>
      </c>
      <c r="H17" s="25">
        <f>COUNTIF(Summary!$B$22:$AB$22,"PASS")&amp;" / "&amp;(COUNTIF(Summary!$B$22:$AB$22,"PASS")+COUNTIF(Summary!$B$22:$AB$22,"FAIL")+COUNTIF(Summary!$B$22:$AB$22,"ERROR"))</f>
        <v/>
      </c>
      <c r="I17" s="25">
        <f>IF(COUNTIF(Summary!$B$22:$AB$22,"PASS")=(COUNTIF(Summary!$B$22:$AB$22,"PASS")+COUNTIF(Summary!$B$22:$AB$22,"FAIL")+COUNTIF(Summary!$B$22:$AB$22,"ERROR")),"PASS",IF(COUNTIF(Summary!$B$22:$AB$22,"ERROR")&gt;0,"ERROR","FAIL"))</f>
        <v/>
      </c>
    </row>
    <row r="18" ht="55.2" customHeight="1" s="35">
      <c r="A18" s="21" t="inlineStr">
        <is>
          <t>issue_369</t>
        </is>
      </c>
      <c r="B18" s="26" t="inlineStr">
        <is>
          <t>Extra but reasonable</t>
        </is>
      </c>
      <c r="C18" s="27" t="inlineStr">
        <is>
          <t>No</t>
        </is>
      </c>
      <c r="D18" s="24" t="inlineStr">
        <is>
          <t>Composing a controlled 16-qubit subcircuit gives a qubit-count error; give compose all 17 qubits.</t>
        </is>
      </c>
      <c r="E18" s="24" t="inlineStr">
        <is>
          <t>circ must hold one 17-qubit instruction on all qubits, and evolving a sparse random 17-qubit state must match an independent model of the ten controlled-X gates.</t>
        </is>
      </c>
      <c r="F18" s="24" t="inlineStr">
        <is>
          <t>The random-state check is stricter than the question, but it only confirms the controlled subcircuit is unchanged. Fair.</t>
        </is>
      </c>
      <c r="G18" s="24" t="inlineStr">
        <is>
          <t>None. The LLM's compose fix is right, but it invented an extra 3-qubit C3XGate line that crashes on all 27 versions. Without that line it passes.</t>
        </is>
      </c>
      <c r="H18" s="25">
        <f>COUNTIF(Summary!$B$24:$AB$24,"PASS")&amp;" / "&amp;(COUNTIF(Summary!$B$24:$AB$24,"PASS")+COUNTIF(Summary!$B$24:$AB$24,"FAIL")+COUNTIF(Summary!$B$24:$AB$24,"ERROR"))</f>
        <v/>
      </c>
      <c r="I18" s="25">
        <f>IF(COUNTIF(Summary!$B$24:$AB$24,"PASS")=(COUNTIF(Summary!$B$24:$AB$24,"PASS")+COUNTIF(Summary!$B$24:$AB$24,"FAIL")+COUNTIF(Summary!$B$24:$AB$24,"ERROR")),"PASS",IF(COUNTIF(Summary!$B$24:$AB$24,"ERROR")&gt;0,"ERROR","FAIL"))</f>
        <v/>
      </c>
    </row>
    <row r="19" ht="55.2" customHeight="1" s="35">
      <c r="A19" s="21" t="inlineStr">
        <is>
          <t>issue_436</t>
        </is>
      </c>
      <c r="B19" s="26" t="inlineStr">
        <is>
          <t>Extra but reasonable</t>
        </is>
      </c>
      <c r="C19" s="27" t="inlineStr">
        <is>
          <t>No</t>
        </is>
      </c>
      <c r="D19" s="24" t="inlineStr">
        <is>
          <t>pulse.set_frequency() is not supported by the PulseSimulator; how do I sweep the drive frequency?</t>
        </is>
      </c>
      <c r="E19" s="24" t="inlineStr">
        <is>
          <t>All 71 schedules must exist with the right frequencies, contain no SetFrequency/ShiftFrequency, and play the envelope modulated by exp(2*pi*i*df*t); the simulation must succeed with 512 shots per experiment.</t>
        </is>
      </c>
      <c r="F19" s="24" t="inlineStr">
        <is>
          <t>Checking every schedule and the run is more than the question's one-line error, but it confirms the whole sweep works. Fair.</t>
        </is>
      </c>
      <c r="G19" s="24" t="inlineStr">
        <is>
          <t>None. The LLM passed on all 4 versions.</t>
        </is>
      </c>
      <c r="H19" s="25">
        <f>COUNTIF(Summary!$B$27:$AB$27,"PASS")&amp;" / "&amp;(COUNTIF(Summary!$B$27:$AB$27,"PASS")+COUNTIF(Summary!$B$27:$AB$27,"FAIL")+COUNTIF(Summary!$B$27:$AB$27,"ERROR"))</f>
        <v/>
      </c>
      <c r="I19" s="25">
        <f>IF(COUNTIF(Summary!$B$27:$AB$27,"PASS")=(COUNTIF(Summary!$B$27:$AB$27,"PASS")+COUNTIF(Summary!$B$27:$AB$27,"FAIL")+COUNTIF(Summary!$B$27:$AB$27,"ERROR")),"PASS",IF(COUNTIF(Summary!$B$27:$AB$27,"ERROR")&gt;0,"ERROR","FAIL"))</f>
        <v/>
      </c>
    </row>
    <row r="20" ht="82.8" customHeight="1" s="35">
      <c r="A20" s="21" t="inlineStr">
        <is>
          <t>issue_622</t>
        </is>
      </c>
      <c r="B20" s="22" t="inlineStr">
        <is>
          <t>Over-specific</t>
        </is>
      </c>
      <c r="C20" s="23" t="inlineStr">
        <is>
          <t>Yes</t>
        </is>
      </c>
      <c r="D20" s="24" t="inlineStr">
        <is>
          <t>execute() fails with 'Number of qubits (2) ... is greater than maximum (1)' because the backend has only 1 qubit; the answer says to use a backend with 2 or more qubits.</t>
        </is>
      </c>
      <c r="E20" s="24" t="inlineStr">
        <is>
          <t>The backend must have at least 2 qubits, the job must succeed with 1024 shots, the counts must contain exactly the outcomes '00' and '11' with '00' within 12% of half, and the circuit without measurements must be the Bell state.</t>
        </is>
      </c>
      <c r="F20" s="24" t="inlineStr">
        <is>
          <t>The exact {'00', '11'} check only holds on a noise-free simulator. The question and the answer only ask for a backend with enough qubits; a fake or real device with 2+ qubits fixes the error but has noise, so it also gives some '01' and '10'.</t>
        </is>
      </c>
      <c r="G20" s="24" t="inlineStr">
        <is>
          <t>This is the only reason the LLM fails. FakeYorktown (5 qubits) fixes the error and gives 933 of 1024 shots as '00'/'11' (91%); every other check passes. A test that allowed a little noise, or only checked the qubit count and the Bell state, would pass it. FAIL on all 12 versions.</t>
        </is>
      </c>
      <c r="H20" s="25">
        <f>COUNTIF(Summary!$B$38:$AB$38,"PASS")&amp;" / "&amp;(COUNTIF(Summary!$B$38:$AB$38,"PASS")+COUNTIF(Summary!$B$38:$AB$38,"FAIL")+COUNTIF(Summary!$B$38:$AB$38,"ERROR"))</f>
        <v/>
      </c>
      <c r="I20" s="25">
        <f>IF(COUNTIF(Summary!$B$38:$AB$38,"PASS")=(COUNTIF(Summary!$B$38:$AB$38,"PASS")+COUNTIF(Summary!$B$38:$AB$38,"FAIL")+COUNTIF(Summary!$B$38:$AB$38,"ERROR")),"PASS",IF(COUNTIF(Summary!$B$38:$AB$38,"ERROR")&gt;0,"ERROR","FAIL"))</f>
        <v/>
      </c>
    </row>
    <row r="21" ht="69" customHeight="1" s="35">
      <c r="A21" s="21" t="inlineStr">
        <is>
          <t>issue_565</t>
        </is>
      </c>
      <c r="B21" s="26" t="inlineStr">
        <is>
          <t>Extra but reasonable</t>
        </is>
      </c>
      <c r="C21" s="27" t="inlineStr">
        <is>
          <t>No</t>
        </is>
      </c>
      <c r="D21" s="24" t="inlineStr">
        <is>
          <t>The custom QAOA mixer built from quantum_info Operators fails with "'Operator' object has no attribute 'primitive_strings'"; make QAOA build its circuits with the paper's mixer (equations 54-58).</t>
        </is>
      </c>
      <c r="E21" s="24" t="inlineStr">
        <is>
          <t>construct_circuit must return bound 9-qubit circuits, and the mixer matrix must be Hermitian and map each of the 6 valid tours only to the tours with two adjacent cities swapped (amplitude 16).</t>
        </is>
      </c>
      <c r="F21" s="24" t="inlineStr">
        <is>
          <t>Checking the mixer's actual matrix goes beyond the error message, and it also requires the s+ / s- operators to be correct (the user's s_plus uses X + Y rather than X + iY). But building the paper's mixer is what the user is trying to do, and 16 is the natural scale for unnormalized X +/- iY terms. Fair.</t>
        </is>
      </c>
      <c r="G21" s="24" t="inlineStr">
        <is>
          <t>None. The LLM kept the *= products, which Aqua treats as scalar multiplication, so building the mixer raises ValueError on all 4 versions before any check runs.</t>
        </is>
      </c>
      <c r="H21" s="25">
        <f>COUNTIF(Summary!$B$34:$AB$34,"PASS")&amp;" / "&amp;(COUNTIF(Summary!$B$34:$AB$34,"PASS")+COUNTIF(Summary!$B$34:$AB$34,"FAIL")+COUNTIF(Summary!$B$34:$AB$34,"ERROR"))</f>
        <v/>
      </c>
      <c r="I21" s="25">
        <f>IF(COUNTIF(Summary!$B$34:$AB$34,"PASS")=(COUNTIF(Summary!$B$34:$AB$34,"PASS")+COUNTIF(Summary!$B$34:$AB$34,"FAIL")+COUNTIF(Summary!$B$34:$AB$34,"ERROR")),"PASS",IF(COUNTIF(Summary!$B$34:$AB$34,"ERROR")&gt;0,"ERROR","FAIL"))</f>
        <v/>
      </c>
    </row>
    <row r="22" ht="69" customHeight="1" s="35">
      <c r="A22" s="21" t="inlineStr">
        <is>
          <t>issue_596</t>
        </is>
      </c>
      <c r="B22" s="26" t="inlineStr">
        <is>
          <t>Extra but reasonable</t>
        </is>
      </c>
      <c r="C22" s="27" t="inlineStr">
        <is>
          <t>No</t>
        </is>
      </c>
      <c r="D22" s="24" t="inlineStr">
        <is>
          <t>assemble() reports a mismatch between parameter_binds and the circuit parameters because assign_parameters() did not change qc; the user wants p bound to inp[0] and th to theta.</t>
        </is>
      </c>
      <c r="E22" s="24" t="inlineStr">
        <is>
          <t>No parameters may remain, the bound circuit must equal RY(0.2+0.3+0.4) x RX(0.1) (so each value goes to its intended parameter), and the Qobj must have 10 shots, 1 experiment and only numeric parameters.</t>
        </is>
      </c>
      <c r="F22" s="24" t="inlineStr">
        <is>
          <t>The answer's fix (inplace=True) alone would still bind every parameter to theta[0], because the user's loop is also wrong, so it would fail the value check. But binding the values the user describes is what the question asks for. Fair.</t>
        </is>
      </c>
      <c r="G22" s="24" t="inlineStr">
        <is>
          <t>None. The LLM rebuilt the binding dictionary and kept the returned circuit, so it passed on all 12 versions.</t>
        </is>
      </c>
      <c r="H22" s="25">
        <f>COUNTIF(Summary!$B$36:$AB$36,"PASS")&amp;" / "&amp;(COUNTIF(Summary!$B$36:$AB$36,"PASS")+COUNTIF(Summary!$B$36:$AB$36,"FAIL")+COUNTIF(Summary!$B$36:$AB$36,"ERROR"))</f>
        <v/>
      </c>
      <c r="I22" s="25">
        <f>IF(COUNTIF(Summary!$B$36:$AB$36,"PASS")=(COUNTIF(Summary!$B$36:$AB$36,"PASS")+COUNTIF(Summary!$B$36:$AB$36,"FAIL")+COUNTIF(Summary!$B$36:$AB$36,"ERROR")),"PASS",IF(COUNTIF(Summary!$B$36:$AB$36,"ERROR")&gt;0,"ERROR","FAIL"))</f>
        <v/>
      </c>
    </row>
    <row r="23" ht="69" customHeight="1" s="35">
      <c r="A23" s="21" t="inlineStr">
        <is>
          <t>issue_635</t>
        </is>
      </c>
      <c r="B23" s="26" t="inlineStr">
        <is>
          <t>Extra but reasonable</t>
        </is>
      </c>
      <c r="C23" s="27" t="inlineStr">
        <is>
          <t>No</t>
        </is>
      </c>
      <c r="D23" s="24" t="inlineStr">
        <is>
          <t>Apply X to q[0] and q[1] only when c[0]==1 and c[1]==1; can c_if do this for several gates?</t>
        </is>
      </c>
      <c r="E23" s="24" t="inlineStr">
        <is>
          <t>Runs the circuit on all 8 basis inputs and checks the output: inputs with bits 0 and 1 both set must have those two bits flipped, every other input must be unchanged (including inputs with c[2]=1).</t>
        </is>
      </c>
      <c r="F23" s="24" t="inlineStr">
        <is>
          <t>Testing all 8 inputs (including c[2]=1) goes beyond the example, but it is exactly the truth table of 'if c[0]==1 and c[1]==1'. Fair.</t>
        </is>
      </c>
      <c r="G23" s="24" t="inlineStr">
        <is>
          <t>None. The LLM conditioned the two X gates on register values 1 and 2 instead of 3, which is wrong already for input 001. FAIL on all 4 versions.</t>
        </is>
      </c>
      <c r="H23" s="25">
        <f>COUNTIF(Summary!$B$40:$AB$40,"PASS")&amp;" / "&amp;(COUNTIF(Summary!$B$40:$AB$40,"PASS")+COUNTIF(Summary!$B$40:$AB$40,"FAIL")+COUNTIF(Summary!$B$40:$AB$40,"ERROR"))</f>
        <v/>
      </c>
      <c r="I23" s="25">
        <f>IF(COUNTIF(Summary!$B$40:$AB$40,"PASS")=(COUNTIF(Summary!$B$40:$AB$40,"PASS")+COUNTIF(Summary!$B$40:$AB$40,"FAIL")+COUNTIF(Summary!$B$40:$AB$40,"ERROR")),"PASS",IF(COUNTIF(Summary!$B$40:$AB$40,"ERROR")&gt;0,"ERROR","FAIL"))</f>
        <v/>
      </c>
    </row>
    <row r="24" ht="96.59999999999999" customHeight="1" s="35">
      <c r="A24" s="21" t="inlineStr">
        <is>
          <t>issue_671</t>
        </is>
      </c>
      <c r="B24" s="22" t="inlineStr">
        <is>
          <t>Over-specific</t>
        </is>
      </c>
      <c r="C24" s="23" t="inlineStr">
        <is>
          <t>Yes</t>
        </is>
      </c>
      <c r="D24" s="24" t="inlineStr">
        <is>
          <t>QuantumCircuit(a, v, b) fails because v is a list of registers; the user wants a circuit with register a, every register in v, and b.</t>
        </is>
      </c>
      <c r="E24" s="24" t="inlineStr">
        <is>
          <t>9 qubits and 1 clbit, qregs == [a] + v, cregs == [b], qubit order a then v0..v3, and the full 512x512 unitary must equal x(v0[0]) followed by cx(v1[0], a[0]).</t>
        </is>
      </c>
      <c r="F24" s="24" t="inlineStr">
        <is>
          <t>The two gates come from the answer's add_register example; they are not in the buggy code and the question never asks for them. Only the register checks follow from the question.</t>
        </is>
      </c>
      <c r="G24" s="24" t="inlineStr">
        <is>
          <t>This is the only reason the LLM fails. QuantumCircuit(a, *v, b) passes every register check; without the unitary check it passes (checked on 5 versions) and the buggy code still fails. FAIL on all 27 versions.</t>
        </is>
      </c>
      <c r="H24" s="25">
        <f>COUNTIF(Summary!$B$43:$AB$43,"PASS")&amp;" / "&amp;(COUNTIF(Summary!$B$43:$AB$43,"PASS")+COUNTIF(Summary!$B$43:$AB$43,"FAIL")+COUNTIF(Summary!$B$43:$AB$43,"ERROR"))</f>
        <v/>
      </c>
      <c r="I24" s="25">
        <f>IF(COUNTIF(Summary!$B$43:$AB$43,"PASS")=(COUNTIF(Summary!$B$43:$AB$43,"PASS")+COUNTIF(Summary!$B$43:$AB$43,"FAIL")+COUNTIF(Summary!$B$43:$AB$43,"ERROR")),"PASS",IF(COUNTIF(Summary!$B$43:$AB$43,"ERROR")&gt;0,"ERROR","FAIL"))</f>
        <v/>
      </c>
    </row>
    <row r="25" ht="96.59999999999999" customHeight="1" s="35">
      <c r="A25" s="21" t="inlineStr">
        <is>
          <t>issue_775</t>
        </is>
      </c>
      <c r="B25" s="22" t="inlineStr">
        <is>
          <t>Over-specific</t>
        </is>
      </c>
      <c r="C25" s="23" t="inlineStr">
        <is>
          <t>Yes</t>
        </is>
      </c>
      <c r="D25" s="24" t="inlineStr">
        <is>
          <t>execute(qasm_str, backend) fails because execute needs a circuit, not QASM text; parse the OpenQASM into a QuantumCircuit and run it.</t>
        </is>
      </c>
      <c r="E25" s="24" t="inlineStr">
        <is>
          <t>Reads the variable qc: 2 qubits, 2 clbits, one h and one cx, Bell-circuit unitary; the result must succeed with 1 experiment.</t>
        </is>
      </c>
      <c r="F25" s="24" t="inlineStr">
        <is>
          <t>It requires the parsed circuit to be stored in a variable named qc (the answer's name). Inlining QuantumCircuit.from_qasm_str(qasm_str) inside execute(...) is an equally valid fix.</t>
        </is>
      </c>
      <c r="G25" s="24" t="inlineStr">
        <is>
          <t>This is the only reason the LLM fails (KeyError: 'qc'). A test that checks the executed result (success, 1 experiment, 2 qubits, 2 memory slots) passes the LLM fix on 0.25.0, 0.45.0 and 0.46.3 and still fails the buggy code. ERROR on all 12 versions.</t>
        </is>
      </c>
      <c r="H25" s="25">
        <f>COUNTIF(Summary!$B$50:$AB$50,"PASS")&amp;" / "&amp;(COUNTIF(Summary!$B$50:$AB$50,"PASS")+COUNTIF(Summary!$B$50:$AB$50,"FAIL")+COUNTIF(Summary!$B$50:$AB$50,"ERROR"))</f>
        <v/>
      </c>
      <c r="I25" s="25">
        <f>IF(COUNTIF(Summary!$B$50:$AB$50,"PASS")=(COUNTIF(Summary!$B$50:$AB$50,"PASS")+COUNTIF(Summary!$B$50:$AB$50,"FAIL")+COUNTIF(Summary!$B$50:$AB$50,"ERROR")),"PASS",IF(COUNTIF(Summary!$B$50:$AB$50,"ERROR")&gt;0,"ERROR","FAIL"))</f>
        <v/>
      </c>
    </row>
    <row r="26" ht="96.59999999999999" customHeight="1" s="35">
      <c r="A26" s="21" t="inlineStr">
        <is>
          <t>issue_747</t>
        </is>
      </c>
      <c r="B26" s="22" t="inlineStr">
        <is>
          <t>Borderline (count format)</t>
        </is>
      </c>
      <c r="C26" s="23" t="inlineStr">
        <is>
          <t>Partly</t>
        </is>
      </c>
      <c r="D26" s="24" t="inlineStr">
        <is>
          <t>The circuit has no measurement, so the counts are always all zeros; add measurements to get GHZ statistics.</t>
        </is>
      </c>
      <c r="E26" s="24" t="inlineStr">
        <is>
          <t>The job succeeds with 100000 shots, the counts keys are exactly {'000', '111'} with '000' within 2% of half, there are 3 measurements, and the state before measurement is GHZ.</t>
        </is>
      </c>
      <c r="F26" s="24" t="inlineStr">
        <is>
          <t>Requiring the exact keys '000'/'111' assumes the 3 existing classical bits are used. measure_all() is a common way to add measurements, but on a QuantumCircuit(3, 3) it adds a second register and leaves the first 3 bits unused, so the keys become '000 000'/'111 000'.</t>
        </is>
      </c>
      <c r="G26" s="24" t="inlineStr">
        <is>
          <t>This is the only reason the LLM fails. Its statistics are correct GHZ statistics; a test that ignores the unused register passes it on 0.45.0 and 0.46.3. Still, leaving 3 unused classical bits is sloppier than the reference. FAIL on all 8 versions.</t>
        </is>
      </c>
      <c r="H26" s="25">
        <f>COUNTIF(Summary!$B$46:$AB$46,"PASS")&amp;" / "&amp;(COUNTIF(Summary!$B$46:$AB$46,"PASS")+COUNTIF(Summary!$B$46:$AB$46,"FAIL")+COUNTIF(Summary!$B$46:$AB$46,"ERROR"))</f>
        <v/>
      </c>
      <c r="I26" s="25">
        <f>IF(COUNTIF(Summary!$B$46:$AB$46,"PASS")=(COUNTIF(Summary!$B$46:$AB$46,"PASS")+COUNTIF(Summary!$B$46:$AB$46,"FAIL")+COUNTIF(Summary!$B$46:$AB$46,"ERROR")),"PASS",IF(COUNTIF(Summary!$B$46:$AB$46,"ERROR")&gt;0,"ERROR","FAIL"))</f>
        <v/>
      </c>
    </row>
    <row r="27" ht="82.8" customHeight="1" s="35">
      <c r="A27" s="21" t="inlineStr">
        <is>
          <t>issue_769</t>
        </is>
      </c>
      <c r="B27" s="26" t="inlineStr">
        <is>
          <t>Over-specific (function name), but not the reason</t>
        </is>
      </c>
      <c r="C27" s="27" t="inlineStr">
        <is>
          <t>Partly</t>
        </is>
      </c>
      <c r="D27" s="24" t="inlineStr">
        <is>
          <t>UnitaryGate(matrix).name is always 'unitary'; the user wants a program that outputs the standard gate name for a given unitary (e.g. XGate for Pauli X).</t>
        </is>
      </c>
      <c r="E27" s="24" t="inlineStr">
        <is>
          <t>Calls get_qiskit_gate (the answer's name) on X and 10 other standard gates, and expects None for an RY(0.12345) matrix and a 3x3 identity.</t>
        </is>
      </c>
      <c r="F27" s="24" t="inlineStr">
        <is>
          <t>It needs the answer's function name get_qiskit_gate. Checking several standard gates and the None case is a fair reading of 'output the name if it is a standard gate'.</t>
        </is>
      </c>
      <c r="G27" s="24" t="inlineStr">
        <is>
          <t>No change. The LLM only hard-codes a check against XGate and prints 'x', so it would fail a fair test that called its code on other gates. ERROR on all 15 versions (KeyError: 'get_qiskit_gate').</t>
        </is>
      </c>
      <c r="H27" s="25">
        <f>COUNTIF(Summary!$B$48:$AB$48,"PASS")&amp;" / "&amp;(COUNTIF(Summary!$B$48:$AB$48,"PASS")+COUNTIF(Summary!$B$48:$AB$48,"FAIL")+COUNTIF(Summary!$B$48:$AB$48,"ERROR"))</f>
        <v/>
      </c>
      <c r="I27" s="25">
        <f>IF(COUNTIF(Summary!$B$48:$AB$48,"PASS")=(COUNTIF(Summary!$B$48:$AB$48,"PASS")+COUNTIF(Summary!$B$48:$AB$48,"FAIL")+COUNTIF(Summary!$B$48:$AB$48,"ERROR")),"PASS",IF(COUNTIF(Summary!$B$48:$AB$48,"ERROR")&gt;0,"ERROR","FAIL"))</f>
        <v/>
      </c>
    </row>
    <row r="28" s="35"/>
    <row r="29" s="35">
      <c r="A29" s="60" t="inlineStr">
        <is>
          <t>Takeaway</t>
        </is>
      </c>
    </row>
    <row r="30" ht="150" customHeight="1" s="35">
      <c r="A30" s="34" t="inlineStr">
        <is>
          <t>issue_061's old test was over-specific; the team's updated test_new.py fixes that and the LLM fix now passes 15/15. issue_096 still asks for more than the question (exact '[default]' content and exact os.system command), but the LLM fix would fail a fair test too because it skips the IPython step. The extra checks in 021_se, 034 and 058_se are fair and did not change any result. Batch 2: issue_189 is over-specific. It only accepts the Stack Overflow answer's control order, and that is the only reason the LLM fix fails. The extra checks in issue_174, issue_233, issue_295 and issue_315 are fair; the LLM failures in 174, 233 and 315 are its own mistakes. Batch 3: issue_453 is over-specific (it requires the answer's compose_with_auto_ancillas helper by name), though the LLM fix also misses the automatic-ancilla part of the question. issue_415's last check pins a global phase, but the LLM fails an earlier fair check. The extra checks in issue_344, issue_369 and issue_436 are fair. Batch 4: issue_622 is over-specific. It requires noise-free counts, and that is the only reason the LLM's FakeYorktown fix fails. The extra checks in issue_565, issue_596 and issue_635 are fair; the LLM failures in 565 and 635 are its own mistakes. Batch 5: issue_671 and issue_775 are over-specific. 671 checks the unitary of the answer's example gates and 775 requires a variable named qc; that is the only reason the LLM fails both, and relaxed tests pass the LLM fixes. issue_747 is borderline: the test requires the exact keys '000'/'111', and the LLM's measure_all() adds a second register. issue_769 needs the answer's function name, but the LLM fix would fail a fair test too.</t>
        </is>
      </c>
    </row>
    <row r="31" s="35"/>
  </sheetData>
  <mergeCells count="2">
    <mergeCell ref="A30:I30"/>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2026-09-28T22:18:15Z</dcterms:created>
  <dcterms:modified xsi:type="dcterms:W3CDTF">2026-10-02T21:37:26Z</dcterms:modified>
  <cp:lastModifiedBy>Saumya Brahmbhatt</cp:lastModifiedBy>
</cp:coreProperties>
</file>