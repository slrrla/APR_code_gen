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1">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ERROR</t>
        </is>
      </c>
      <c r="G2" s="57" t="inlineStr">
        <is>
          <t>ERROR</t>
        </is>
      </c>
      <c r="H2" s="58" t="inlineStr">
        <is>
          <t>FAIL</t>
        </is>
      </c>
      <c r="I2" s="58" t="inlineStr">
        <is>
          <t>FAIL</t>
        </is>
      </c>
      <c r="J2" s="57" t="inlineStr">
        <is>
          <t>ERROR</t>
        </is>
      </c>
      <c r="K2" s="57" t="inlineStr">
        <is>
          <t>ERROR</t>
        </is>
      </c>
      <c r="L2" s="57" t="inlineStr">
        <is>
          <t>ERROR</t>
        </is>
      </c>
      <c r="M2" s="57" t="inlineStr">
        <is>
          <t>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issue_018_se</t>
        </is>
      </c>
      <c r="B3" s="56" t="inlineStr">
        <is>
          <t>NOT_TESTED</t>
        </is>
      </c>
      <c r="C3" s="56" t="inlineStr">
        <is>
          <t>NOT_TESTED</t>
        </is>
      </c>
      <c r="D3" s="56" t="inlineStr">
        <is>
          <t>NOT_TESTED</t>
        </is>
      </c>
      <c r="E3" s="56" t="inlineStr">
        <is>
          <t>NOT_TESTED</t>
        </is>
      </c>
      <c r="F3" s="56" t="inlineStr">
        <is>
          <t>NOT_TESTED</t>
        </is>
      </c>
      <c r="G3" s="56" t="inlineStr">
        <is>
          <t>NOT_TESTED</t>
        </is>
      </c>
      <c r="H3" s="56" t="inlineStr">
        <is>
          <t>NOT_TESTED</t>
        </is>
      </c>
      <c r="I3" s="56" t="inlineStr">
        <is>
          <t>NOT_TESTED</t>
        </is>
      </c>
      <c r="J3" s="56" t="inlineStr">
        <is>
          <t>NOT_TESTED</t>
        </is>
      </c>
      <c r="K3" s="56" t="inlineStr">
        <is>
          <t>NOT_TESTED</t>
        </is>
      </c>
      <c r="L3" s="56" t="inlineStr">
        <is>
          <t>NOT_TESTED</t>
        </is>
      </c>
      <c r="M3" s="56" t="inlineStr">
        <is>
          <t>NOT_TESTED</t>
        </is>
      </c>
      <c r="N3" s="58" t="inlineStr">
        <is>
          <t>FAIL</t>
        </is>
      </c>
      <c r="O3" s="58" t="inlineStr">
        <is>
          <t>FAIL</t>
        </is>
      </c>
      <c r="P3" s="58" t="inlineStr">
        <is>
          <t>FAIL</t>
        </is>
      </c>
      <c r="Q3" s="58" t="inlineStr">
        <is>
          <t>FAIL</t>
        </is>
      </c>
      <c r="R3" s="58" t="inlineStr">
        <is>
          <t>FAIL</t>
        </is>
      </c>
      <c r="S3" s="58" t="inlineStr">
        <is>
          <t>FAIL</t>
        </is>
      </c>
      <c r="T3" s="58" t="inlineStr">
        <is>
          <t>FAIL</t>
        </is>
      </c>
      <c r="U3" s="58" t="inlineStr">
        <is>
          <t>FAIL</t>
        </is>
      </c>
      <c r="V3" s="58" t="inlineStr">
        <is>
          <t>FAIL</t>
        </is>
      </c>
      <c r="W3" s="58" t="inlineStr">
        <is>
          <t>FAIL</t>
        </is>
      </c>
      <c r="X3" s="58" t="inlineStr">
        <is>
          <t>FAIL</t>
        </is>
      </c>
      <c r="Y3" s="58" t="inlineStr">
        <is>
          <t>FAIL</t>
        </is>
      </c>
      <c r="Z3" s="58" t="inlineStr">
        <is>
          <t>FAIL</t>
        </is>
      </c>
      <c r="AA3" s="58" t="inlineStr">
        <is>
          <t>FAIL</t>
        </is>
      </c>
      <c r="AB3" s="58" t="inlineStr">
        <is>
          <t>FAIL</t>
        </is>
      </c>
      <c r="AC3" s="55" t="n"/>
      <c r="AD3" s="55" t="n"/>
      <c r="AE3" s="55" t="n"/>
      <c r="AF3" s="55" t="n"/>
      <c r="AG3" s="55" t="n"/>
      <c r="AH3" s="55" t="n"/>
      <c r="AI3" s="55" t="n"/>
      <c r="AJ3" s="55" t="n"/>
      <c r="AK3" s="55" t="n"/>
      <c r="AL3" s="55" t="n"/>
      <c r="AM3" s="55" t="n"/>
      <c r="AN3" s="55" t="n"/>
      <c r="AO3" s="55" t="n"/>
      <c r="AP3" s="55" t="n"/>
      <c r="AQ3" s="55" t="n"/>
      <c r="AR3" s="55" t="n"/>
      <c r="AS3" s="55" t="n"/>
      <c r="AT3" s="55" t="n"/>
      <c r="AU3" s="55" t="n"/>
      <c r="AV3" s="55" t="n"/>
      <c r="AW3" s="55" t="n"/>
      <c r="AX3" s="55" t="n"/>
      <c r="AY3" s="55" t="n"/>
      <c r="AZ3" s="55" t="n"/>
      <c r="BA3" s="55" t="n"/>
      <c r="BB3" s="55" t="n"/>
      <c r="BC3" s="55" t="n"/>
      <c r="BD3" s="55" t="n"/>
      <c r="BE3" s="55" t="n"/>
      <c r="BF3" s="55" t="n"/>
      <c r="BG3" s="55" t="n"/>
      <c r="BH3" s="55" t="n"/>
      <c r="BI3" s="55" t="n"/>
      <c r="BJ3" s="55" t="n"/>
      <c r="BK3" s="55" t="n"/>
      <c r="BL3" s="55" t="n"/>
      <c r="BM3" s="55" t="inlineStr">
        <is>
          <t>AssertionError</t>
        </is>
      </c>
      <c r="BN3" s="55" t="inlineStr">
        <is>
          <t xml:space="preserve">AssertionError: Not equal to tolerance rtol=0, atol=1e-12 The ideal magic-square strategy must win every input pair. Mismatched elements: 6 / 9 (66.7%) Max absolute difference: 0.5 Max relative difference: inf x: array([0. , 0.5, 0.5, 0.5, 0. , 0.5, </t>
        </is>
      </c>
      <c r="BO3" s="55" t="inlineStr">
        <is>
          <t>The LLM swapped which inputs choose Alice's and Bob's answers, so the strategy still loses 6 of the 9 input pairs half the time instead of always winning (the Aer simulator also crashes natively here, as it does for fixed.py).</t>
        </is>
      </c>
      <c r="BP3" s="55" t="inlineStr">
        <is>
          <t>AssertionError</t>
        </is>
      </c>
      <c r="BQ3" s="55" t="inlineStr">
        <is>
          <t xml:space="preserve">AssertionError: Not equal to tolerance rtol=0, atol=1e-12 The ideal magic-square strategy must win every input pair. Mismatched elements: 6 / 9 (66.7%) Max absolute difference: 0.5 Max relative difference: inf x: array([0. , 0.5, 0.5, 0.5, 0. , 0.5, </t>
        </is>
      </c>
      <c r="BR3" s="55" t="inlineStr">
        <is>
          <t>The LLM swapped which inputs choose Alice's and Bob's answers, so the strategy still loses 6 of the 9 input pairs half the time instead of always winning (the Aer simulator also crashes natively here, as it does for fixed.py).</t>
        </is>
      </c>
      <c r="BS3" s="55" t="inlineStr">
        <is>
          <t>AssertionError</t>
        </is>
      </c>
      <c r="BT3" s="55" t="inlineStr">
        <is>
          <t xml:space="preserve">AssertionError: Not equal to tolerance rtol=0, atol=1e-12 The ideal magic-square strategy must win every input pair. Mismatched elements: 6 / 9 (66.7%) Max absolute difference: 0.5 Max relative difference: inf x: array([0. , 0.5, 0.5, 0.5, 0. , 0.5, </t>
        </is>
      </c>
      <c r="BU3" s="55" t="inlineStr">
        <is>
          <t>The LLM swapped which inputs choose Alice's and Bob's answers, so the strategy still loses 6 of the 9 input pairs half the time instead of always winning (the Aer simulator also crashes natively here, as it does for fixed.py).</t>
        </is>
      </c>
      <c r="BV3" s="55" t="inlineStr">
        <is>
          <t>AssertionError</t>
        </is>
      </c>
      <c r="BW3" s="55" t="inlineStr">
        <is>
          <t>AssertionError: Not equal to tolerance rtol=0, atol=1e-12 The ideal magic-square strategy must win every input pair. Mismatched elements: 6 / 9 (66.7%) First 5 mismatches are at indices: [1]: 0.4999999999999999 (ACTUAL), 0.0 (DESIRED) [2]: 0.49999999</t>
        </is>
      </c>
      <c r="BX3" s="55" t="inlineStr">
        <is>
          <t>The LLM swapped which inputs choose Alice's and Bob's answers, so the strategy still loses 6 of the 9 input pairs half the time instead of always winning (the Aer simulator also crashes natively here, as it does for fixed.py).</t>
        </is>
      </c>
      <c r="BY3" s="55" t="inlineStr">
        <is>
          <t>AssertionError</t>
        </is>
      </c>
      <c r="BZ3" s="55" t="inlineStr">
        <is>
          <t>AssertionError: Not equal to tolerance rtol=0, atol=1e-12 The ideal magic-square strategy must win every input pair. Mismatched elements: 6 / 9 (66.7%) First 5 mismatches are at indices: [1]: 0.4999999999999999 (ACTUAL), 0.0 (DESIRED) [2]: 0.49999999</t>
        </is>
      </c>
      <c r="CA3" s="55" t="inlineStr">
        <is>
          <t>The LLM swapped which inputs choose Alice's and Bob's answers, so the strategy still loses 6 of the 9 input pairs half the time instead of always winning (the Aer simulator also crashes natively here, as it does for fixed.py).</t>
        </is>
      </c>
      <c r="CB3" s="55" t="inlineStr">
        <is>
          <t>AssertionError</t>
        </is>
      </c>
      <c r="CC3" s="55" t="inlineStr">
        <is>
          <t>AssertionError: Not equal to tolerance rtol=0, atol=1e-12 The ideal magic-square strategy must win every input pair. Mismatched elements: 6 / 9 (66.7%) First 5 mismatches are at indices: [1]: 0.4999999999999999 (ACTUAL), 0.0 (DESIRED) [2]: 0.49999999</t>
        </is>
      </c>
      <c r="CD3" s="55" t="inlineStr">
        <is>
          <t>The LLM swapped which inputs choose Alice's and Bob's answers, so the strategy still loses 6 of the 9 input pairs half the time instead of always winning (the Aer simulator also crashes natively here, as it does for fixed.py).</t>
        </is>
      </c>
      <c r="CE3" s="55" t="inlineStr">
        <is>
          <t>AssertionError</t>
        </is>
      </c>
      <c r="CF3" s="55" t="inlineStr">
        <is>
          <t>AssertionError: Not equal to tolerance rtol=0, atol=1e-12 The ideal magic-square strategy must win every input pair. Mismatched elements: 6 / 9 (66.7%) First 5 mismatches are at indices: [1]: 0.4999999999999999 (ACTUAL), 0.0 (DESIRED) [2]: 0.49999999</t>
        </is>
      </c>
      <c r="CG3" s="55" t="inlineStr">
        <is>
          <t>The LLM swapped which inputs choose Alice's and Bob's answers, so the strategy still loses 6 of the 9 input pairs half the time instead of always winning (the Aer simulator also crashes natively here, as it does for fixed.py).</t>
        </is>
      </c>
      <c r="CH3" s="55" t="inlineStr">
        <is>
          <t>AssertionError</t>
        </is>
      </c>
      <c r="CI3" s="55" t="inlineStr">
        <is>
          <t>AssertionError: Not equal to tolerance rtol=0, atol=1e-12 The ideal magic-square strategy must win every input pair. Mismatched elements: 6 / 9 (66.7%) First 5 mismatches are at indices: [1]: 0.4999999999999999 (ACTUAL), 0.0 (DESIRED) [2]: 0.49999999</t>
        </is>
      </c>
      <c r="CJ3" s="55" t="inlineStr">
        <is>
          <t>The LLM swapped which inputs choose Alice's and Bob's answers, so the strategy still loses 6 of the 9 input pairs half the time instead of always winning (the Aer simulator also crashes natively here, as it does for fixed.py).</t>
        </is>
      </c>
      <c r="CK3" s="55" t="inlineStr">
        <is>
          <t>AssertionError</t>
        </is>
      </c>
      <c r="CL3" s="55" t="inlineStr">
        <is>
          <t>AssertionError: Not equal to tolerance rtol=0, atol=1e-12 The ideal magic-square strategy must win every input pair. Mismatched elements: 6 / 9 (66.7%) First 5 mismatches are at indices: [1]: 0.4999999999999999 (ACTUAL), 0.0 (DESIRED) [2]: 0.49999999</t>
        </is>
      </c>
      <c r="CM3" s="55" t="inlineStr">
        <is>
          <t>The LLM swapped which inputs choose Alice's and Bob's answers, so the strategy still loses 6 of the 9 input pairs half the time instead of always winning (the Aer simulator also crashes natively here, as it does for fixed.py).</t>
        </is>
      </c>
      <c r="CN3" s="55" t="inlineStr">
        <is>
          <t>AssertionError</t>
        </is>
      </c>
      <c r="CO3" s="55" t="inlineStr">
        <is>
          <t>AssertionError: Not equal to tolerance rtol=0, atol=1e-12 The ideal magic-square strategy must win every input pair. Mismatched elements: 6 / 9 (66.7%) First 5 mismatches are at indices: [1]: 0.4999999999999999 (ACTUAL), 0.0 (DESIRED) [2]: 0.49999999</t>
        </is>
      </c>
      <c r="CP3" s="55" t="inlineStr">
        <is>
          <t>The LLM swapped which inputs choose Alice's and Bob's answers, so the strategy still loses 6 of the 9 input pairs half the time instead of always winning (the Aer simulator also crashes natively here, as it does for fixed.py).</t>
        </is>
      </c>
      <c r="CQ3" s="55" t="inlineStr">
        <is>
          <t>AssertionError</t>
        </is>
      </c>
      <c r="CR3" s="55" t="inlineStr">
        <is>
          <t>AssertionError: Not equal to tolerance rtol=0, atol=1e-12 The ideal magic-square strategy must win every input pair. Mismatched elements: 6 / 9 (66.7%) First 5 mismatches are at indices: [1]: 0.4999999999999999 (ACTUAL), 0.0 (DESIRED) [2]: 0.49999999</t>
        </is>
      </c>
      <c r="CS3" s="55" t="inlineStr">
        <is>
          <t>The LLM swapped which inputs choose Alice's and Bob's answers, so the strategy still loses 6 of the 9 input pairs half the time instead of always winning (the Aer simulator also crashes natively here, as it does for fixed.py).</t>
        </is>
      </c>
      <c r="CT3" s="55" t="inlineStr">
        <is>
          <t>AssertionError</t>
        </is>
      </c>
      <c r="CU3" s="55" t="inlineStr">
        <is>
          <t>AssertionError: Not equal to tolerance rtol=0, atol=1e-12 The ideal magic-square strategy must win every input pair. Mismatched elements: 6 / 9 (66.7%) First 5 mismatches are at indices: [1]: 0.4999999999999999 (ACTUAL), 0.0 (DESIRED) [2]: 0.49999999</t>
        </is>
      </c>
      <c r="CV3" s="55" t="inlineStr">
        <is>
          <t>The LLM swapped which inputs choose Alice's and Bob's answers, so the strategy still loses 6 of the 9 input pairs half the time instead of always winning (the Aer simulator also crashes natively here, as it does for fixed.py).</t>
        </is>
      </c>
      <c r="CW3" s="55" t="inlineStr">
        <is>
          <t>AssertionError</t>
        </is>
      </c>
      <c r="CX3" s="55" t="inlineStr">
        <is>
          <t>AssertionError: Not equal to tolerance rtol=0, atol=1e-12 The ideal magic-square strategy must win every input pair. Mismatched elements: 6 / 9 (66.7%) First 5 mismatches are at indices: [1]: 0.4999999999999999 (ACTUAL), 0.0 (DESIRED) [2]: 0.49999999</t>
        </is>
      </c>
      <c r="CY3" s="55" t="inlineStr">
        <is>
          <t>The LLM swapped which inputs choose Alice's and Bob's answers, so the strategy still loses 6 of the 9 input pairs half the time instead of always winning (the Aer simulator also crashes natively here, as it does for fixed.py).</t>
        </is>
      </c>
      <c r="CZ3" s="55" t="inlineStr">
        <is>
          <t>AssertionError</t>
        </is>
      </c>
      <c r="DA3" s="55" t="inlineStr">
        <is>
          <t>AssertionError: Not equal to tolerance rtol=0, atol=1e-12 The ideal magic-square strategy must win every input pair. Mismatched elements: 6 / 9 (66.7%) First 5 mismatches are at indices: [1]: 0.4999999999999999 (ACTUAL), 0.0 (DESIRED) [2]: 0.49999999</t>
        </is>
      </c>
      <c r="DB3" s="55" t="inlineStr">
        <is>
          <t>The LLM swapped which inputs choose Alice's and Bob's answers, so the strategy still loses 6 of the 9 input pairs half the time instead of always winning (the Aer simulator also crashes natively here, as it does for fixed.py).</t>
        </is>
      </c>
      <c r="DC3" s="55" t="inlineStr">
        <is>
          <t>AssertionError</t>
        </is>
      </c>
      <c r="DD3" s="55" t="inlineStr">
        <is>
          <t>AssertionError: Not equal to tolerance rtol=0, atol=1e-12 The ideal magic-square strategy must win every input pair. Mismatched elements: 6 / 9 (66.7%) First 5 mismatches are at indices: [1]: 0.4999999999999999 (ACTUAL), 0.0 (DESIRED) [2]: 0.49999999</t>
        </is>
      </c>
      <c r="DE3" s="55" t="inlineStr">
        <is>
          <t>The LLM swapped which inputs choose Alice's and Bob's answers, so the strategy still loses 6 of the 9 input pairs half the time instead of always winning (the Aer simulator also crashes natively here, as it does for fixed.py).</t>
        </is>
      </c>
    </row>
    <row r="4">
      <c r="A4" s="55" t="inlineStr">
        <is>
          <t>issue_021_se</t>
        </is>
      </c>
      <c r="B4" s="57" t="inlineStr">
        <is>
          <t>ERROR</t>
        </is>
      </c>
      <c r="C4" s="57" t="inlineStr">
        <is>
          <t>ERROR</t>
        </is>
      </c>
      <c r="D4" s="57" t="inlineStr">
        <is>
          <t>ERROR</t>
        </is>
      </c>
      <c r="E4" s="57" t="inlineStr">
        <is>
          <t>ERROR</t>
        </is>
      </c>
      <c r="F4" s="57" t="inlineStr">
        <is>
          <t>ERROR</t>
        </is>
      </c>
      <c r="G4" s="57" t="inlineStr">
        <is>
          <t>ERROR</t>
        </is>
      </c>
      <c r="H4" s="57" t="inlineStr">
        <is>
          <t>ERROR</t>
        </is>
      </c>
      <c r="I4" s="57" t="inlineStr">
        <is>
          <t>ERROR</t>
        </is>
      </c>
      <c r="J4" s="57" t="inlineStr">
        <is>
          <t>ERROR</t>
        </is>
      </c>
      <c r="K4" s="57" t="inlineStr">
        <is>
          <t>ERROR</t>
        </is>
      </c>
      <c r="L4" s="57" t="inlineStr">
        <is>
          <t>ERROR</t>
        </is>
      </c>
      <c r="M4" s="57" t="inlineStr">
        <is>
          <t>ERROR</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inlineStr">
        <is>
          <t>QiskitError</t>
        </is>
      </c>
      <c r="AD4" s="55" t="inlineStr">
        <is>
          <t>qiskit.exceptions.QiskitError: 'ERROR: [Experiment 0] Circuit contains invalid instructions {"gates": {disentangler_dg}} for "statevector" method , ERROR: Circuit contains invalid instructions {"gates": {disentangler_dg}} for "statevector" method'</t>
        </is>
      </c>
      <c r="AE4" s="55" t="inlineStr">
        <is>
          <t>Calling circuit.decompose() only unrolls one level, leaving a 'disentangler_dg' instruction that the Aer statevector simulator cannot run, so the simulation fails.</t>
        </is>
      </c>
      <c r="AF4" s="55" t="inlineStr">
        <is>
          <t>QiskitError</t>
        </is>
      </c>
      <c r="AG4" s="55" t="inlineStr">
        <is>
          <t>qiskit.exceptions.QiskitError: 'ERROR: [Experiment 0] Circuit contains invalid instructions {"gates": {disentangler_dg}} for "statevector" method , ERROR: Circuit contains invalid instructions {"gates": {disentangler_dg}} for "statevector" method'</t>
        </is>
      </c>
      <c r="AH4" s="55" t="inlineStr">
        <is>
          <t>Calling circuit.decompose() only unrolls one level, leaving a 'disentangler_dg' instruction that the Aer statevector simulator cannot run, so the simulation fails.</t>
        </is>
      </c>
      <c r="AI4" s="55" t="inlineStr">
        <is>
          <t>QiskitError</t>
        </is>
      </c>
      <c r="AJ4" s="55" t="inlineStr">
        <is>
          <t>qiskit.exceptions.QiskitError: 'ERROR: [Experiment 0] Circuit contains invalid instructions {"gates": {disentangler_dg}} for "statevector" method , ERROR: Circuit contains invalid instructions {"gates": {disentangler_dg}} for "statevector" method'</t>
        </is>
      </c>
      <c r="AK4" s="55" t="inlineStr">
        <is>
          <t>Calling circuit.decompose() only unrolls one level, leaving a 'disentangler_dg' instruction that the Aer statevector simulator cannot run, so the simulation fails.</t>
        </is>
      </c>
      <c r="AL4" s="55" t="inlineStr">
        <is>
          <t>QiskitError</t>
        </is>
      </c>
      <c r="AM4" s="55" t="inlineStr">
        <is>
          <t>qiskit.exceptions.QiskitError: 'ERROR: [Experiment 0] Circuit contains invalid instructions {"gates": {disentangler_dg}} for "statevector" method , ERROR: Circuit contains invalid instructions {"gates": {disentangler_dg}} for "statevector" method'</t>
        </is>
      </c>
      <c r="AN4" s="55" t="inlineStr">
        <is>
          <t>Calling circuit.decompose() only unrolls one level, leaving a 'disentangler_dg' instruction that the Aer statevector simulator cannot run, so the simulation fails.</t>
        </is>
      </c>
      <c r="AO4" s="55" t="inlineStr">
        <is>
          <t>QiskitError</t>
        </is>
      </c>
      <c r="AP4" s="55" t="inlineStr">
        <is>
          <t>qiskit.exceptions.QiskitError: 'You have to select a circuit or schedule when there is more than one available'</t>
        </is>
      </c>
      <c r="AQ4" s="55" t="inlineStr">
        <is>
          <t>Calling circuit.decompose() only unrolls one level, leaving a 'state_preparation' instruction that Aer cannot load, so the simulation fails and no statevector is returned.</t>
        </is>
      </c>
      <c r="AR4" s="55" t="inlineStr">
        <is>
          <t>QiskitError</t>
        </is>
      </c>
      <c r="AS4" s="55" t="inlineStr">
        <is>
          <t>qiskit.exceptions.QiskitError: 'You have to select a circuit or schedule when there is more than one available'</t>
        </is>
      </c>
      <c r="AT4" s="55" t="inlineStr">
        <is>
          <t>Calling circuit.decompose() only unrolls one level, leaving a 'state_preparation' instruction that Aer cannot load, so the simulation fails and no statevector is returned.</t>
        </is>
      </c>
      <c r="AU4" s="55" t="inlineStr">
        <is>
          <t>QiskitError</t>
        </is>
      </c>
      <c r="AV4" s="55" t="inlineStr">
        <is>
          <t>qiskit.exceptions.QiskitError: 'You have to select a circuit or schedule when there is more than one available'</t>
        </is>
      </c>
      <c r="AW4" s="55" t="inlineStr">
        <is>
          <t>Calling circuit.decompose() only unrolls one level, leaving a 'state_preparation' instruction that Aer cannot load, so the simulation fails and no statevector is returned.</t>
        </is>
      </c>
      <c r="AX4" s="55" t="inlineStr">
        <is>
          <t>QiskitError</t>
        </is>
      </c>
      <c r="AY4" s="55" t="inlineStr">
        <is>
          <t>qiskit.exceptions.QiskitError: 'You have to select a circuit or schedule when there is more than one available'</t>
        </is>
      </c>
      <c r="AZ4" s="55" t="inlineStr">
        <is>
          <t>Calling circuit.decompose() only unrolls one level, leaving a 'state_preparation' instruction that Aer cannot load, so the simulation fails and no statevector is returned.</t>
        </is>
      </c>
      <c r="BA4" s="55" t="inlineStr">
        <is>
          <t>QiskitError</t>
        </is>
      </c>
      <c r="BB4" s="55" t="inlineStr">
        <is>
          <t>qiskit.exceptions.QiskitError: 'You have to select a circuit or schedule when there is more than one available'</t>
        </is>
      </c>
      <c r="BC4" s="55" t="inlineStr">
        <is>
          <t>Calling circuit.decompose() only unrolls one level, leaving a 'state_preparation' instruction that Aer cannot load, so the simulation fails and no statevector is returned.</t>
        </is>
      </c>
      <c r="BD4" s="55" t="inlineStr">
        <is>
          <t>QiskitError</t>
        </is>
      </c>
      <c r="BE4" s="55" t="inlineStr">
        <is>
          <t>qiskit.exceptions.QiskitError: 'You have to select a circuit or schedule when there is more than one available'</t>
        </is>
      </c>
      <c r="BF4" s="55" t="inlineStr">
        <is>
          <t>Calling circuit.decompose() only unrolls one level, leaving a 'state_preparation' instruction that Aer cannot load, so the simulation fails and no statevector is returned.</t>
        </is>
      </c>
      <c r="BG4" s="55" t="inlineStr">
        <is>
          <t>QiskitError</t>
        </is>
      </c>
      <c r="BH4" s="55" t="inlineStr">
        <is>
          <t>qiskit.exceptions.QiskitError: 'You have to select a circuit or schedule when there is more than one available'</t>
        </is>
      </c>
      <c r="BI4" s="55" t="inlineStr">
        <is>
          <t>Calling circuit.decompose() only unrolls one level, leaving a 'state_preparation' instruction that Aer cannot load, so the simulation fails and no statevector is returned.</t>
        </is>
      </c>
      <c r="BJ4" s="55" t="inlineStr">
        <is>
          <t>QiskitError</t>
        </is>
      </c>
      <c r="BK4" s="55" t="inlineStr">
        <is>
          <t>qiskit.exceptions.QiskitError: 'You have to select a circuit or schedule when there is more than one available'</t>
        </is>
      </c>
      <c r="BL4" s="55" t="inlineStr">
        <is>
          <t>Calling circuit.decompose() only unrolls one level, leaving a 'state_preparation' instruction that Aer cannot load, so the simulation fails and no statevector is returned.</t>
        </is>
      </c>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issue_032_se</t>
        </is>
      </c>
      <c r="B5" s="59" t="inlineStr">
        <is>
          <t>PASS</t>
        </is>
      </c>
      <c r="C5" s="59" t="inlineStr">
        <is>
          <t>PASS</t>
        </is>
      </c>
      <c r="D5" s="59" t="inlineStr">
        <is>
          <t>PASS</t>
        </is>
      </c>
      <c r="E5" s="59" t="inlineStr">
        <is>
          <t>PASS</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6" t="inlineStr">
        <is>
          <t>NOT_TESTED</t>
        </is>
      </c>
      <c r="O5" s="56" t="inlineStr">
        <is>
          <t>NOT_TESTED</t>
        </is>
      </c>
      <c r="P5" s="56" t="inlineStr">
        <is>
          <t>NOT_TESTED</t>
        </is>
      </c>
      <c r="Q5" s="56" t="inlineStr">
        <is>
          <t>NOT_TESTED</t>
        </is>
      </c>
      <c r="R5" s="56" t="inlineStr">
        <is>
          <t>NOT_TESTED</t>
        </is>
      </c>
      <c r="S5" s="56" t="inlineStr">
        <is>
          <t>NOT_TESTED</t>
        </is>
      </c>
      <c r="T5" s="56" t="inlineStr">
        <is>
          <t>NOT_TESTED</t>
        </is>
      </c>
      <c r="U5" s="56" t="inlineStr">
        <is>
          <t>NOT_TESTED</t>
        </is>
      </c>
      <c r="V5" s="56" t="inlineStr">
        <is>
          <t>NOT_TESTED</t>
        </is>
      </c>
      <c r="W5" s="56" t="inlineStr">
        <is>
          <t>NOT_TESTED</t>
        </is>
      </c>
      <c r="X5" s="56" t="inlineStr">
        <is>
          <t>NOT_TESTED</t>
        </is>
      </c>
      <c r="Y5" s="56" t="inlineStr">
        <is>
          <t>NOT_TESTED</t>
        </is>
      </c>
      <c r="Z5" s="56" t="inlineStr">
        <is>
          <t>NOT_TESTED</t>
        </is>
      </c>
      <c r="AA5" s="56" t="inlineStr">
        <is>
          <t>NOT_TESTED</t>
        </is>
      </c>
      <c r="AB5" s="56" t="inlineStr">
        <is>
          <t>NOT_TESTED</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issue_034</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t>
        </is>
      </c>
      <c r="O6" s="59" t="inlineStr">
        <is>
          <t>PASS</t>
        </is>
      </c>
      <c r="P6" s="59" t="inlineStr">
        <is>
          <t>PASS</t>
        </is>
      </c>
      <c r="Q6" s="59" t="inlineStr">
        <is>
          <t>PASS</t>
        </is>
      </c>
      <c r="R6" s="59" t="inlineStr">
        <is>
          <t>PASS</t>
        </is>
      </c>
      <c r="S6" s="59" t="inlineStr">
        <is>
          <t>PASS</t>
        </is>
      </c>
      <c r="T6" s="59" t="inlineStr">
        <is>
          <t>PASS</t>
        </is>
      </c>
      <c r="U6" s="59" t="inlineStr">
        <is>
          <t>PASS</t>
        </is>
      </c>
      <c r="V6" s="59" t="inlineStr">
        <is>
          <t>PASS</t>
        </is>
      </c>
      <c r="W6" s="59" t="inlineStr">
        <is>
          <t>PASS</t>
        </is>
      </c>
      <c r="X6" s="59" t="inlineStr">
        <is>
          <t>PASS</t>
        </is>
      </c>
      <c r="Y6" s="59" t="inlineStr">
        <is>
          <t>PASS</t>
        </is>
      </c>
      <c r="Z6" s="59" t="inlineStr">
        <is>
          <t>PASS</t>
        </is>
      </c>
      <c r="AA6" s="59" t="inlineStr">
        <is>
          <t>PASS</t>
        </is>
      </c>
      <c r="AB6" s="59" t="inlineStr">
        <is>
          <t>PASS</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issue_036</t>
        </is>
      </c>
      <c r="B7" s="56" t="inlineStr">
        <is>
          <t>NOT_TESTED</t>
        </is>
      </c>
      <c r="C7" s="56" t="inlineStr">
        <is>
          <t>NOT_TESTED</t>
        </is>
      </c>
      <c r="D7" s="56" t="inlineStr">
        <is>
          <t>NOT_TESTED</t>
        </is>
      </c>
      <c r="E7" s="56" t="inlineStr">
        <is>
          <t>NOT_TESTED</t>
        </is>
      </c>
      <c r="F7" s="56" t="inlineStr">
        <is>
          <t>NOT_TESTED</t>
        </is>
      </c>
      <c r="G7" s="56" t="inlineStr">
        <is>
          <t>NOT_TESTED</t>
        </is>
      </c>
      <c r="H7" s="56" t="inlineStr">
        <is>
          <t>NOT_TESTED</t>
        </is>
      </c>
      <c r="I7" s="56" t="inlineStr">
        <is>
          <t>NOT_TESTED</t>
        </is>
      </c>
      <c r="J7" s="56" t="inlineStr">
        <is>
          <t>NOT_TESTED</t>
        </is>
      </c>
      <c r="K7" s="56" t="inlineStr">
        <is>
          <t>NOT_TESTED</t>
        </is>
      </c>
      <c r="L7" s="56" t="inlineStr">
        <is>
          <t>NOT_TESTED</t>
        </is>
      </c>
      <c r="M7" s="56" t="inlineStr">
        <is>
          <t>NOT_TESTED</t>
        </is>
      </c>
      <c r="N7" s="59" t="inlineStr">
        <is>
          <t>PASS</t>
        </is>
      </c>
      <c r="O7" s="59" t="inlineStr">
        <is>
          <t>PASS</t>
        </is>
      </c>
      <c r="P7" s="59" t="inlineStr">
        <is>
          <t>PASS</t>
        </is>
      </c>
      <c r="Q7" s="59" t="inlineStr">
        <is>
          <t>PASS</t>
        </is>
      </c>
      <c r="R7" s="59" t="inlineStr">
        <is>
          <t>PASS</t>
        </is>
      </c>
      <c r="S7" s="59" t="inlineStr">
        <is>
          <t>PASS</t>
        </is>
      </c>
      <c r="T7" s="59" t="inlineStr">
        <is>
          <t>PASS</t>
        </is>
      </c>
      <c r="U7" s="59" t="inlineStr">
        <is>
          <t>PASS</t>
        </is>
      </c>
      <c r="V7" s="59" t="inlineStr">
        <is>
          <t>PASS</t>
        </is>
      </c>
      <c r="W7" s="59" t="inlineStr">
        <is>
          <t>PASS</t>
        </is>
      </c>
      <c r="X7" s="59" t="inlineStr">
        <is>
          <t>PASS</t>
        </is>
      </c>
      <c r="Y7" s="59" t="inlineStr">
        <is>
          <t>PASS</t>
        </is>
      </c>
      <c r="Z7" s="59" t="inlineStr">
        <is>
          <t>PASS</t>
        </is>
      </c>
      <c r="AA7" s="59" t="inlineStr">
        <is>
          <t>PASS</t>
        </is>
      </c>
      <c r="AB7" s="59" t="inlineStr">
        <is>
          <t>PASS</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issue_058_se</t>
        </is>
      </c>
      <c r="B8" s="59" t="inlineStr">
        <is>
          <t>PASS</t>
        </is>
      </c>
      <c r="C8" s="59" t="inlineStr">
        <is>
          <t>PASS</t>
        </is>
      </c>
      <c r="D8" s="59" t="inlineStr">
        <is>
          <t>PASS</t>
        </is>
      </c>
      <c r="E8" s="59" t="inlineStr">
        <is>
          <t>PASS</t>
        </is>
      </c>
      <c r="F8" s="59" t="inlineStr">
        <is>
          <t>PASS</t>
        </is>
      </c>
      <c r="G8" s="59" t="inlineStr">
        <is>
          <t>PASS</t>
        </is>
      </c>
      <c r="H8" s="59" t="inlineStr">
        <is>
          <t>PASS</t>
        </is>
      </c>
      <c r="I8" s="59" t="inlineStr">
        <is>
          <t>PASS</t>
        </is>
      </c>
      <c r="J8" s="59" t="inlineStr">
        <is>
          <t>PASS</t>
        </is>
      </c>
      <c r="K8" s="59" t="inlineStr">
        <is>
          <t>PASS</t>
        </is>
      </c>
      <c r="L8" s="59" t="inlineStr">
        <is>
          <t>PASS</t>
        </is>
      </c>
      <c r="M8" s="59" t="inlineStr">
        <is>
          <t>PASS</t>
        </is>
      </c>
      <c r="N8" s="56" t="inlineStr">
        <is>
          <t>NOT_TESTED</t>
        </is>
      </c>
      <c r="O8" s="56" t="inlineStr">
        <is>
          <t>NOT_TESTED</t>
        </is>
      </c>
      <c r="P8" s="56" t="inlineStr">
        <is>
          <t>NOT_TESTED</t>
        </is>
      </c>
      <c r="Q8" s="56" t="inlineStr">
        <is>
          <t>NOT_TESTED</t>
        </is>
      </c>
      <c r="R8" s="56" t="inlineStr">
        <is>
          <t>NOT_TESTED</t>
        </is>
      </c>
      <c r="S8" s="56" t="inlineStr">
        <is>
          <t>NOT_TESTED</t>
        </is>
      </c>
      <c r="T8" s="56" t="inlineStr">
        <is>
          <t>NOT_TESTED</t>
        </is>
      </c>
      <c r="U8" s="56" t="inlineStr">
        <is>
          <t>NOT_TESTED</t>
        </is>
      </c>
      <c r="V8" s="56" t="inlineStr">
        <is>
          <t>NOT_TESTED</t>
        </is>
      </c>
      <c r="W8" s="56" t="inlineStr">
        <is>
          <t>NOT_TESTED</t>
        </is>
      </c>
      <c r="X8" s="56" t="inlineStr">
        <is>
          <t>NOT_TESTED</t>
        </is>
      </c>
      <c r="Y8" s="56" t="inlineStr">
        <is>
          <t>NOT_TESTED</t>
        </is>
      </c>
      <c r="Z8" s="56" t="inlineStr">
        <is>
          <t>NOT_TESTED</t>
        </is>
      </c>
      <c r="AA8" s="56" t="inlineStr">
        <is>
          <t>NOT_TESTED</t>
        </is>
      </c>
      <c r="AB8" s="56" t="inlineStr">
        <is>
          <t>NOT_TESTED</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issue_061</t>
        </is>
      </c>
      <c r="B9" s="56" t="inlineStr">
        <is>
          <t>NOT_TESTED</t>
        </is>
      </c>
      <c r="C9" s="56" t="inlineStr">
        <is>
          <t>NOT_TESTED</t>
        </is>
      </c>
      <c r="D9" s="56" t="inlineStr">
        <is>
          <t>NOT_TESTED</t>
        </is>
      </c>
      <c r="E9" s="56" t="inlineStr">
        <is>
          <t>NOT_TESTED</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9" t="inlineStr">
        <is>
          <t>PASS</t>
        </is>
      </c>
      <c r="O9" s="59" t="inlineStr">
        <is>
          <t>PASS</t>
        </is>
      </c>
      <c r="P9" s="59" t="inlineStr">
        <is>
          <t>PASS</t>
        </is>
      </c>
      <c r="Q9" s="59" t="inlineStr">
        <is>
          <t>PASS</t>
        </is>
      </c>
      <c r="R9" s="59" t="inlineStr">
        <is>
          <t>PASS</t>
        </is>
      </c>
      <c r="S9" s="59" t="inlineStr">
        <is>
          <t>PASS</t>
        </is>
      </c>
      <c r="T9" s="59" t="inlineStr">
        <is>
          <t>PASS</t>
        </is>
      </c>
      <c r="U9" s="59" t="inlineStr">
        <is>
          <t>PASS</t>
        </is>
      </c>
      <c r="V9" s="59" t="inlineStr">
        <is>
          <t>PASS</t>
        </is>
      </c>
      <c r="W9" s="59" t="inlineStr">
        <is>
          <t>PASS</t>
        </is>
      </c>
      <c r="X9" s="59" t="inlineStr">
        <is>
          <t>PASS</t>
        </is>
      </c>
      <c r="Y9" s="59" t="inlineStr">
        <is>
          <t>PASS</t>
        </is>
      </c>
      <c r="Z9" s="59" t="inlineStr">
        <is>
          <t>PASS</t>
        </is>
      </c>
      <c r="AA9" s="59" t="inlineStr">
        <is>
          <t>PASS</t>
        </is>
      </c>
      <c r="AB9" s="59" t="inlineStr">
        <is>
          <t>PASS</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issue_072</t>
        </is>
      </c>
      <c r="B10" s="59" t="inlineStr">
        <is>
          <t>PASS</t>
        </is>
      </c>
      <c r="C10" s="59" t="inlineStr">
        <is>
          <t>PASS</t>
        </is>
      </c>
      <c r="D10" s="59" t="inlineStr">
        <is>
          <t>PASS</t>
        </is>
      </c>
      <c r="E10" s="59" t="inlineStr">
        <is>
          <t>PASS</t>
        </is>
      </c>
      <c r="F10" s="56" t="inlineStr">
        <is>
          <t>NOT_TESTED</t>
        </is>
      </c>
      <c r="G10" s="56" t="inlineStr">
        <is>
          <t>NOT_TESTED</t>
        </is>
      </c>
      <c r="H10" s="56" t="inlineStr">
        <is>
          <t>NOT_TESTED</t>
        </is>
      </c>
      <c r="I10" s="56" t="inlineStr">
        <is>
          <t>NOT_TESTED</t>
        </is>
      </c>
      <c r="J10" s="56" t="inlineStr">
        <is>
          <t>NOT_TESTED</t>
        </is>
      </c>
      <c r="K10" s="56" t="inlineStr">
        <is>
          <t>NOT_TESTED</t>
        </is>
      </c>
      <c r="L10" s="56" t="inlineStr">
        <is>
          <t>NOT_TESTED</t>
        </is>
      </c>
      <c r="M10" s="56" t="inlineStr">
        <is>
          <t>NOT_TESTED</t>
        </is>
      </c>
      <c r="N10" s="56" t="inlineStr">
        <is>
          <t>NOT_TESTED</t>
        </is>
      </c>
      <c r="O10" s="56" t="inlineStr">
        <is>
          <t>NOT_TESTED</t>
        </is>
      </c>
      <c r="P10" s="56" t="inlineStr">
        <is>
          <t>NOT_TESTED</t>
        </is>
      </c>
      <c r="Q10" s="56" t="inlineStr">
        <is>
          <t>NOT_TESTED</t>
        </is>
      </c>
      <c r="R10" s="56" t="inlineStr">
        <is>
          <t>NOT_TESTED</t>
        </is>
      </c>
      <c r="S10" s="56" t="inlineStr">
        <is>
          <t>NOT_TESTED</t>
        </is>
      </c>
      <c r="T10" s="56" t="inlineStr">
        <is>
          <t>NOT_TESTED</t>
        </is>
      </c>
      <c r="U10" s="56" t="inlineStr">
        <is>
          <t>NOT_TESTED</t>
        </is>
      </c>
      <c r="V10" s="56" t="inlineStr">
        <is>
          <t>NOT_TESTED</t>
        </is>
      </c>
      <c r="W10" s="56" t="inlineStr">
        <is>
          <t>NOT_TESTED</t>
        </is>
      </c>
      <c r="X10" s="56" t="inlineStr">
        <is>
          <t>NOT_TESTED</t>
        </is>
      </c>
      <c r="Y10" s="56" t="inlineStr">
        <is>
          <t>NOT_TESTED</t>
        </is>
      </c>
      <c r="Z10" s="56" t="inlineStr">
        <is>
          <t>NOT_TESTED</t>
        </is>
      </c>
      <c r="AA10" s="56" t="inlineStr">
        <is>
          <t>NOT_TESTED</t>
        </is>
      </c>
      <c r="AB10" s="56" t="inlineStr">
        <is>
          <t>NOT_TESTED</t>
        </is>
      </c>
      <c r="AC10" s="55" t="n"/>
      <c r="AD10" s="55" t="n"/>
      <c r="AE10" s="55" t="n"/>
      <c r="AF10" s="55" t="n"/>
      <c r="AG10" s="55" t="n"/>
      <c r="AH10" s="55" t="n"/>
      <c r="AI10" s="55" t="n"/>
      <c r="AJ10" s="55" t="n"/>
      <c r="AK10" s="55" t="n"/>
      <c r="AL10" s="55" t="n"/>
      <c r="AM10" s="55" t="n"/>
      <c r="AN10" s="55" t="n"/>
      <c r="AO10" s="55" t="n"/>
      <c r="AP10" s="55" t="n"/>
      <c r="AQ10" s="55" t="n"/>
      <c r="AR10" s="55" t="n"/>
      <c r="AS10" s="55" t="n"/>
      <c r="AT10" s="55" t="n"/>
      <c r="AU10" s="55" t="n"/>
      <c r="AV10" s="55" t="n"/>
      <c r="AW10" s="55" t="n"/>
      <c r="AX10" s="55" t="n"/>
      <c r="AY10" s="55" t="n"/>
      <c r="AZ10" s="55" t="n"/>
      <c r="BA10" s="55" t="n"/>
      <c r="BB10" s="55" t="n"/>
      <c r="BC10" s="55" t="n"/>
      <c r="BD10" s="55" t="n"/>
      <c r="BE10" s="55" t="n"/>
      <c r="BF10" s="55" t="n"/>
      <c r="BG10" s="55" t="n"/>
      <c r="BH10" s="55" t="n"/>
      <c r="BI10" s="55" t="n"/>
      <c r="BJ10" s="55" t="n"/>
      <c r="BK10" s="55" t="n"/>
      <c r="BL10" s="55" t="n"/>
      <c r="BM10" s="55" t="n"/>
      <c r="BN10" s="55" t="n"/>
      <c r="BO10" s="55" t="n"/>
      <c r="BP10" s="55" t="n"/>
      <c r="BQ10" s="55" t="n"/>
      <c r="BR10" s="55" t="n"/>
      <c r="BS10" s="55" t="n"/>
      <c r="BT10" s="55" t="n"/>
      <c r="BU10" s="55" t="n"/>
      <c r="BV10" s="55" t="n"/>
      <c r="BW10" s="55" t="n"/>
      <c r="BX10" s="55" t="n"/>
      <c r="BY10" s="55" t="n"/>
      <c r="BZ10" s="55" t="n"/>
      <c r="CA10" s="55" t="n"/>
      <c r="CB10" s="55" t="n"/>
      <c r="CC10" s="55" t="n"/>
      <c r="CD10" s="55" t="n"/>
      <c r="CE10" s="55" t="n"/>
      <c r="CF10" s="55" t="n"/>
      <c r="CG10" s="55" t="n"/>
      <c r="CH10" s="55" t="n"/>
      <c r="CI10" s="55" t="n"/>
      <c r="CJ10" s="55" t="n"/>
      <c r="CK10" s="55" t="n"/>
      <c r="CL10" s="55" t="n"/>
      <c r="CM10" s="55" t="n"/>
      <c r="CN10" s="55" t="n"/>
      <c r="CO10" s="55" t="n"/>
      <c r="CP10" s="55" t="n"/>
      <c r="CQ10" s="55" t="n"/>
      <c r="CR10" s="55" t="n"/>
      <c r="CS10" s="55" t="n"/>
      <c r="CT10" s="55" t="n"/>
      <c r="CU10" s="55" t="n"/>
      <c r="CV10" s="55" t="n"/>
      <c r="CW10" s="55" t="n"/>
      <c r="CX10" s="55" t="n"/>
      <c r="CY10" s="55" t="n"/>
      <c r="CZ10" s="55" t="n"/>
      <c r="DA10" s="55" t="n"/>
      <c r="DB10" s="55" t="n"/>
      <c r="DC10" s="55" t="n"/>
      <c r="DD10" s="55" t="n"/>
      <c r="DE10" s="55" t="n"/>
    </row>
    <row r="11">
      <c r="A11" s="55" t="inlineStr">
        <is>
          <t>issue_096</t>
        </is>
      </c>
      <c r="B11" s="58" t="inlineStr">
        <is>
          <t>FAIL</t>
        </is>
      </c>
      <c r="C11" s="58" t="inlineStr">
        <is>
          <t>FAIL</t>
        </is>
      </c>
      <c r="D11" s="58" t="inlineStr">
        <is>
          <t>FAIL</t>
        </is>
      </c>
      <c r="E11" s="58" t="inlineStr">
        <is>
          <t>FAIL</t>
        </is>
      </c>
      <c r="F11" s="58" t="inlineStr">
        <is>
          <t>FAIL</t>
        </is>
      </c>
      <c r="G11" s="58" t="inlineStr">
        <is>
          <t>FAIL</t>
        </is>
      </c>
      <c r="H11" s="58" t="inlineStr">
        <is>
          <t>FAIL</t>
        </is>
      </c>
      <c r="I11" s="58" t="inlineStr">
        <is>
          <t>FAIL</t>
        </is>
      </c>
      <c r="J11" s="58" t="inlineStr">
        <is>
          <t>FAIL</t>
        </is>
      </c>
      <c r="K11" s="58" t="inlineStr">
        <is>
          <t>FAIL</t>
        </is>
      </c>
      <c r="L11" s="58" t="inlineStr">
        <is>
          <t>FAIL</t>
        </is>
      </c>
      <c r="M11" s="58" t="inlineStr">
        <is>
          <t>FAIL</t>
        </is>
      </c>
      <c r="N11" s="58" t="inlineStr">
        <is>
          <t>FAIL</t>
        </is>
      </c>
      <c r="O11" s="58" t="inlineStr">
        <is>
          <t>FAIL</t>
        </is>
      </c>
      <c r="P11" s="58" t="inlineStr">
        <is>
          <t>FAIL</t>
        </is>
      </c>
      <c r="Q11" s="58" t="inlineStr">
        <is>
          <t>FAIL</t>
        </is>
      </c>
      <c r="R11" s="58" t="inlineStr">
        <is>
          <t>FAIL</t>
        </is>
      </c>
      <c r="S11" s="58" t="inlineStr">
        <is>
          <t>FAIL</t>
        </is>
      </c>
      <c r="T11" s="58" t="inlineStr">
        <is>
          <t>FAIL</t>
        </is>
      </c>
      <c r="U11" s="58" t="inlineStr">
        <is>
          <t>FAIL</t>
        </is>
      </c>
      <c r="V11" s="58" t="inlineStr">
        <is>
          <t>FAIL</t>
        </is>
      </c>
      <c r="W11" s="58" t="inlineStr">
        <is>
          <t>FAIL</t>
        </is>
      </c>
      <c r="X11" s="58" t="inlineStr">
        <is>
          <t>FAIL</t>
        </is>
      </c>
      <c r="Y11" s="58" t="inlineStr">
        <is>
          <t>FAIL</t>
        </is>
      </c>
      <c r="Z11" s="58" t="inlineStr">
        <is>
          <t>FAIL</t>
        </is>
      </c>
      <c r="AA11" s="58" t="inlineStr">
        <is>
          <t>FAIL</t>
        </is>
      </c>
      <c r="AB11" s="58" t="inlineStr">
        <is>
          <t>FAIL</t>
        </is>
      </c>
      <c r="AC11" s="55" t="inlineStr">
        <is>
          <t>AssertionError</t>
        </is>
      </c>
      <c r="AD11" s="55" t="inlineStr">
        <is>
          <t>AssertionError: '' != '[default]\n' + [default] | AssertionError: False is not true : Missing ipython_kernel_config.py (even when the profile directory already exists)</t>
        </is>
      </c>
      <c r="AE11" s="55" t="inlineStr">
        <is>
          <t>The LLM creates an empty Qiskit settings file instead of one containing '[default]', and never creates the ipython_kernel_config.py file the user needed.</t>
        </is>
      </c>
      <c r="AF11" s="55" t="inlineStr">
        <is>
          <t>AssertionError</t>
        </is>
      </c>
      <c r="AG11" s="55" t="inlineStr">
        <is>
          <t>AssertionError: '' != '[default]\n' + [default] | AssertionError: False is not true : Missing ipython_kernel_config.py (even when the profile directory already exists)</t>
        </is>
      </c>
      <c r="AH11" s="55" t="inlineStr">
        <is>
          <t>The LLM creates an empty Qiskit settings file instead of one containing '[default]', and never creates the ipython_kernel_config.py file the user needed.</t>
        </is>
      </c>
      <c r="AI11" s="55" t="inlineStr">
        <is>
          <t>AssertionError</t>
        </is>
      </c>
      <c r="AJ11" s="55" t="inlineStr">
        <is>
          <t>AssertionError: '' != '[default]\n' + [default] | AssertionError: False is not true : Missing ipython_kernel_config.py (even when the profile directory already exists)</t>
        </is>
      </c>
      <c r="AK11" s="55" t="inlineStr">
        <is>
          <t>The LLM creates an empty Qiskit settings file instead of one containing '[default]', and never creates the ipython_kernel_config.py file the user needed.</t>
        </is>
      </c>
      <c r="AL11" s="55" t="inlineStr">
        <is>
          <t>AssertionError</t>
        </is>
      </c>
      <c r="AM11" s="55" t="inlineStr">
        <is>
          <t>AssertionError: '' != '[default]\n' + [default] | AssertionError: False is not true : Missing ipython_kernel_config.py (even when the profile directory already exists)</t>
        </is>
      </c>
      <c r="AN11" s="55" t="inlineStr">
        <is>
          <t>The LLM creates an empty Qiskit settings file instead of one containing '[default]', and never creates the ipython_kernel_config.py file the user needed.</t>
        </is>
      </c>
      <c r="AO11" s="55" t="inlineStr">
        <is>
          <t>AssertionError</t>
        </is>
      </c>
      <c r="AP11" s="55" t="inlineStr">
        <is>
          <t>AssertionError: '' != '[default]\n' + [default] | AssertionError: False is not true : Missing ipython_kernel_config.py (even when the profile directory already exists)</t>
        </is>
      </c>
      <c r="AQ11" s="55" t="inlineStr">
        <is>
          <t>The LLM creates an empty Qiskit settings file instead of one containing '[default]', and never creates the ipython_kernel_config.py file the user needed.</t>
        </is>
      </c>
      <c r="AR11" s="55" t="inlineStr">
        <is>
          <t>AssertionError</t>
        </is>
      </c>
      <c r="AS11" s="55" t="inlineStr">
        <is>
          <t>AssertionError: '' != '[default]\n' + [default] | AssertionError: False is not true : Missing ipython_kernel_config.py (even when the profile directory already exists)</t>
        </is>
      </c>
      <c r="AT11" s="55" t="inlineStr">
        <is>
          <t>The LLM creates an empty Qiskit settings file instead of one containing '[default]', and never creates the ipython_kernel_config.py file the user needed.</t>
        </is>
      </c>
      <c r="AU11" s="55" t="inlineStr">
        <is>
          <t>AssertionError</t>
        </is>
      </c>
      <c r="AV11" s="55" t="inlineStr">
        <is>
          <t>AssertionError: '' != '[default]\n' + [default] | AssertionError: False is not true : Missing ipython_kernel_config.py (even when the profile directory already exists)</t>
        </is>
      </c>
      <c r="AW11" s="55" t="inlineStr">
        <is>
          <t>The LLM creates an empty Qiskit settings file instead of one containing '[default]', and never creates the ipython_kernel_config.py file the user needed.</t>
        </is>
      </c>
      <c r="AX11" s="55" t="inlineStr">
        <is>
          <t>AssertionError</t>
        </is>
      </c>
      <c r="AY11" s="55" t="inlineStr">
        <is>
          <t>AssertionError: '' != '[default]\n' + [default] | AssertionError: False is not true : Missing ipython_kernel_config.py (even when the profile directory already exists)</t>
        </is>
      </c>
      <c r="AZ11" s="55" t="inlineStr">
        <is>
          <t>The LLM creates an empty Qiskit settings file instead of one containing '[default]', and never creates the ipython_kernel_config.py file the user needed.</t>
        </is>
      </c>
      <c r="BA11" s="55" t="inlineStr">
        <is>
          <t>AssertionError</t>
        </is>
      </c>
      <c r="BB11" s="55" t="inlineStr">
        <is>
          <t>AssertionError: '' != '[default]\n' + [default] | AssertionError: False is not true : Missing ipython_kernel_config.py (even when the profile directory already exists)</t>
        </is>
      </c>
      <c r="BC11" s="55" t="inlineStr">
        <is>
          <t>The LLM creates an empty Qiskit settings file instead of one containing '[default]', and never creates the ipython_kernel_config.py file the user needed.</t>
        </is>
      </c>
      <c r="BD11" s="55" t="inlineStr">
        <is>
          <t>AssertionError</t>
        </is>
      </c>
      <c r="BE11" s="55" t="inlineStr">
        <is>
          <t>AssertionError: '' != '[default]\n' + [default] | AssertionError: False is not true : Missing ipython_kernel_config.py (even when the profile directory already exists)</t>
        </is>
      </c>
      <c r="BF11" s="55" t="inlineStr">
        <is>
          <t>The LLM creates an empty Qiskit settings file instead of one containing '[default]', and never creates the ipython_kernel_config.py file the user needed.</t>
        </is>
      </c>
      <c r="BG11" s="55" t="inlineStr">
        <is>
          <t>AssertionError</t>
        </is>
      </c>
      <c r="BH11" s="55" t="inlineStr">
        <is>
          <t>AssertionError: '' != '[default]\n' + [default] | AssertionError: False is not true : Missing ipython_kernel_config.py (even when the profile directory already exists)</t>
        </is>
      </c>
      <c r="BI11" s="55" t="inlineStr">
        <is>
          <t>The LLM creates an empty Qiskit settings file instead of one containing '[default]', and never creates the ipython_kernel_config.py file the user needed.</t>
        </is>
      </c>
      <c r="BJ11" s="55" t="inlineStr">
        <is>
          <t>AssertionError</t>
        </is>
      </c>
      <c r="BK11" s="55" t="inlineStr">
        <is>
          <t>AssertionError: '' != '[default]\n' + [default] | AssertionError: False is not true : Missing ipython_kernel_config.py (even when the profile directory already exists)</t>
        </is>
      </c>
      <c r="BL11" s="55" t="inlineStr">
        <is>
          <t>The LLM creates an empty Qiskit settings file instead of one containing '[default]', and never creates the ipython_kernel_config.py file the user needed.</t>
        </is>
      </c>
      <c r="BM11" s="55" t="inlineStr">
        <is>
          <t>AssertionError</t>
        </is>
      </c>
      <c r="BN11" s="55" t="inlineStr">
        <is>
          <t>AssertionError: '' != '[default]\n' + [default] | AssertionError: False is not true : Missing ipython_kernel_config.py (even when the profile directory already exists)</t>
        </is>
      </c>
      <c r="BO11" s="55" t="inlineStr">
        <is>
          <t>The LLM creates an empty Qiskit settings file instead of one containing '[default]', and never creates the ipython_kernel_config.py file the user needed.</t>
        </is>
      </c>
      <c r="BP11" s="55" t="inlineStr">
        <is>
          <t>AssertionError</t>
        </is>
      </c>
      <c r="BQ11" s="55" t="inlineStr">
        <is>
          <t>AssertionError: '' != '[default]\n' + [default] | AssertionError: False is not true : Missing ipython_kernel_config.py (even when the profile directory already exists)</t>
        </is>
      </c>
      <c r="BR11" s="55" t="inlineStr">
        <is>
          <t>The LLM creates an empty Qiskit settings file instead of one containing '[default]', and never creates the ipython_kernel_config.py file the user needed.</t>
        </is>
      </c>
      <c r="BS11" s="55" t="inlineStr">
        <is>
          <t>AssertionError</t>
        </is>
      </c>
      <c r="BT11" s="55" t="inlineStr">
        <is>
          <t>AssertionError: '' != '[default]\n' + [default] | AssertionError: False is not true : Missing ipython_kernel_config.py (even when the profile directory already exists)</t>
        </is>
      </c>
      <c r="BU11" s="55" t="inlineStr">
        <is>
          <t>The LLM creates an empty Qiskit settings file instead of one containing '[default]', and never creates the ipython_kernel_config.py file the user needed.</t>
        </is>
      </c>
      <c r="BV11" s="55" t="inlineStr">
        <is>
          <t>AssertionError</t>
        </is>
      </c>
      <c r="BW11" s="55" t="inlineStr">
        <is>
          <t>AssertionError: '' != '[default]\n' + [default] | AssertionError: False is not true : Missing ipython_kernel_config.py (even when the profile directory already exists)</t>
        </is>
      </c>
      <c r="BX11" s="55" t="inlineStr">
        <is>
          <t>The LLM creates an empty Qiskit settings file instead of one containing '[default]', and never creates the ipython_kernel_config.py file the user needed.</t>
        </is>
      </c>
      <c r="BY11" s="55" t="inlineStr">
        <is>
          <t>AssertionError</t>
        </is>
      </c>
      <c r="BZ11" s="55" t="inlineStr">
        <is>
          <t>AssertionError: '' != '[default]\n' + [default] | AssertionError: False is not true : Missing ipython_kernel_config.py (even when the profile directory already exists)</t>
        </is>
      </c>
      <c r="CA11" s="55" t="inlineStr">
        <is>
          <t>The LLM creates an empty Qiskit settings file instead of one containing '[default]', and never creates the ipython_kernel_config.py file the user needed.</t>
        </is>
      </c>
      <c r="CB11" s="55" t="inlineStr">
        <is>
          <t>AssertionError</t>
        </is>
      </c>
      <c r="CC11" s="55" t="inlineStr">
        <is>
          <t>AssertionError: '' != '[default]\n' + [default] | AssertionError: False is not true : Missing ipython_kernel_config.py (even when the profile directory already exists)</t>
        </is>
      </c>
      <c r="CD11" s="55" t="inlineStr">
        <is>
          <t>The LLM creates an empty Qiskit settings file instead of one containing '[default]', and never creates the ipython_kernel_config.py file the user needed.</t>
        </is>
      </c>
      <c r="CE11" s="55" t="inlineStr">
        <is>
          <t>AssertionError</t>
        </is>
      </c>
      <c r="CF11" s="55" t="inlineStr">
        <is>
          <t>AssertionError: '' != '[default]\n' + [default] | AssertionError: False is not true : Missing ipython_kernel_config.py (even when the profile directory already exists)</t>
        </is>
      </c>
      <c r="CG11" s="55" t="inlineStr">
        <is>
          <t>The LLM creates an empty Qiskit settings file instead of one containing '[default]', and never creates the ipython_kernel_config.py file the user needed.</t>
        </is>
      </c>
      <c r="CH11" s="55" t="inlineStr">
        <is>
          <t>AssertionError</t>
        </is>
      </c>
      <c r="CI11" s="55" t="inlineStr">
        <is>
          <t>AssertionError: '' != '[default]\n' + [default] | AssertionError: False is not true : Missing ipython_kernel_config.py (even when the profile directory already exists)</t>
        </is>
      </c>
      <c r="CJ11" s="55" t="inlineStr">
        <is>
          <t>The LLM creates an empty Qiskit settings file instead of one containing '[default]', and never creates the ipython_kernel_config.py file the user needed.</t>
        </is>
      </c>
      <c r="CK11" s="55" t="inlineStr">
        <is>
          <t>AssertionError</t>
        </is>
      </c>
      <c r="CL11" s="55" t="inlineStr">
        <is>
          <t>AssertionError: '' != '[default]\n' + [default] | AssertionError: False is not true : Missing ipython_kernel_config.py (even when the profile directory already exists)</t>
        </is>
      </c>
      <c r="CM11" s="55" t="inlineStr">
        <is>
          <t>The LLM creates an empty Qiskit settings file instead of one containing '[default]', and never creates the ipython_kernel_config.py file the user needed.</t>
        </is>
      </c>
      <c r="CN11" s="55" t="inlineStr">
        <is>
          <t>AssertionError</t>
        </is>
      </c>
      <c r="CO11" s="55" t="inlineStr">
        <is>
          <t>AssertionError: '' != '[default]\n' + [default] | AssertionError: False is not true : Missing ipython_kernel_config.py (even when the profile directory already exists)</t>
        </is>
      </c>
      <c r="CP11" s="55" t="inlineStr">
        <is>
          <t>The LLM creates an empty Qiskit settings file instead of one containing '[default]', and never creates the ipython_kernel_config.py file the user needed.</t>
        </is>
      </c>
      <c r="CQ11" s="55" t="inlineStr">
        <is>
          <t>AssertionError</t>
        </is>
      </c>
      <c r="CR11" s="55" t="inlineStr">
        <is>
          <t>AssertionError: '' != '[default]\n' + [default] | AssertionError: False is not true : Missing ipython_kernel_config.py (even when the profile directory already exists)</t>
        </is>
      </c>
      <c r="CS11" s="55" t="inlineStr">
        <is>
          <t>The LLM creates an empty Qiskit settings file instead of one containing '[default]', and never creates the ipython_kernel_config.py file the user needed.</t>
        </is>
      </c>
      <c r="CT11" s="55" t="inlineStr">
        <is>
          <t>AssertionError</t>
        </is>
      </c>
      <c r="CU11" s="55" t="inlineStr">
        <is>
          <t>AssertionError: '' != '[default]\n' + [default] | AssertionError: False is not true : Missing ipython_kernel_config.py (even when the profile directory already exists)</t>
        </is>
      </c>
      <c r="CV11" s="55" t="inlineStr">
        <is>
          <t>The LLM creates an empty Qiskit settings file instead of one containing '[default]', and never creates the ipython_kernel_config.py file the user needed.</t>
        </is>
      </c>
      <c r="CW11" s="55" t="inlineStr">
        <is>
          <t>AssertionError</t>
        </is>
      </c>
      <c r="CX11" s="55" t="inlineStr">
        <is>
          <t>AssertionError: '' != '[default]\n' + [default] | AssertionError: False is not true : Missing ipython_kernel_config.py (even when the profile directory already exists)</t>
        </is>
      </c>
      <c r="CY11" s="55" t="inlineStr">
        <is>
          <t>The LLM creates an empty Qiskit settings file instead of one containing '[default]', and never creates the ipython_kernel_config.py file the user needed.</t>
        </is>
      </c>
      <c r="CZ11" s="55" t="inlineStr">
        <is>
          <t>AssertionError</t>
        </is>
      </c>
      <c r="DA11" s="55" t="inlineStr">
        <is>
          <t>AssertionError: '' != '[default]\n' + [default] | AssertionError: False is not true : Missing ipython_kernel_config.py (even when the profile directory already exists)</t>
        </is>
      </c>
      <c r="DB11" s="55" t="inlineStr">
        <is>
          <t>The LLM creates an empty Qiskit settings file instead of one containing '[default]', and never creates the ipython_kernel_config.py file the user needed.</t>
        </is>
      </c>
      <c r="DC11" s="55" t="inlineStr">
        <is>
          <t>AssertionError</t>
        </is>
      </c>
      <c r="DD11" s="55" t="inlineStr">
        <is>
          <t>AssertionError: '' != '[default]\n' + [default] | AssertionError: False is not true : Missing ipython_kernel_config.py (even when the profile directory already exists)</t>
        </is>
      </c>
      <c r="DE11" s="55" t="inlineStr">
        <is>
          <t>The LLM creates an empty Qiskit settings file instead of one containing '[default]', and never creates the ipython_kernel_config.py file the user needed.</t>
        </is>
      </c>
    </row>
    <row r="12">
      <c r="A12" s="55" t="inlineStr">
        <is>
          <t>issue_155</t>
        </is>
      </c>
      <c r="B12" s="59" t="inlineStr">
        <is>
          <t>PASS</t>
        </is>
      </c>
      <c r="C12" s="59" t="inlineStr">
        <is>
          <t>PASS</t>
        </is>
      </c>
      <c r="D12" s="59" t="inlineStr">
        <is>
          <t>PASS</t>
        </is>
      </c>
      <c r="E12" s="59" t="inlineStr">
        <is>
          <t>PASS</t>
        </is>
      </c>
      <c r="F12" s="59" t="inlineStr">
        <is>
          <t>PASS</t>
        </is>
      </c>
      <c r="G12" s="59" t="inlineStr">
        <is>
          <t>PASS</t>
        </is>
      </c>
      <c r="H12" s="59" t="inlineStr">
        <is>
          <t>PASS</t>
        </is>
      </c>
      <c r="I12" s="59" t="inlineStr">
        <is>
          <t>PASS</t>
        </is>
      </c>
      <c r="J12" s="59" t="inlineStr">
        <is>
          <t>PASS</t>
        </is>
      </c>
      <c r="K12" s="59" t="inlineStr">
        <is>
          <t>PASS</t>
        </is>
      </c>
      <c r="L12" s="59" t="inlineStr">
        <is>
          <t>PASS</t>
        </is>
      </c>
      <c r="M12" s="59" t="inlineStr">
        <is>
          <t>PASS</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n"/>
      <c r="AD12" s="55" t="n"/>
      <c r="AE12" s="55" t="n"/>
      <c r="AF12" s="55" t="n"/>
      <c r="AG12" s="55" t="n"/>
      <c r="AH12" s="55" t="n"/>
      <c r="AI12" s="55" t="n"/>
      <c r="AJ12" s="55" t="n"/>
      <c r="AK12" s="55" t="n"/>
      <c r="AL12" s="55" t="n"/>
      <c r="AM12" s="55" t="n"/>
      <c r="AN12" s="55" t="n"/>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issue_157</t>
        </is>
      </c>
      <c r="B13" s="57" t="inlineStr">
        <is>
          <t>ERROR</t>
        </is>
      </c>
      <c r="C13" s="57" t="inlineStr">
        <is>
          <t>ERROR</t>
        </is>
      </c>
      <c r="D13" s="57" t="inlineStr">
        <is>
          <t>ERROR</t>
        </is>
      </c>
      <c r="E13" s="57" t="inlineStr">
        <is>
          <t>ERROR</t>
        </is>
      </c>
      <c r="F13" s="59" t="inlineStr">
        <is>
          <t>PASS</t>
        </is>
      </c>
      <c r="G13" s="59" t="inlineStr">
        <is>
          <t>PASS</t>
        </is>
      </c>
      <c r="H13" s="59" t="inlineStr">
        <is>
          <t>PASS</t>
        </is>
      </c>
      <c r="I13" s="59" t="inlineStr">
        <is>
          <t>PASS</t>
        </is>
      </c>
      <c r="J13" s="59" t="inlineStr">
        <is>
          <t>PASS</t>
        </is>
      </c>
      <c r="K13" s="59" t="inlineStr">
        <is>
          <t>PASS</t>
        </is>
      </c>
      <c r="L13" s="59" t="inlineStr">
        <is>
          <t>PASS</t>
        </is>
      </c>
      <c r="M13" s="59" t="inlineStr">
        <is>
          <t>PASS</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AttributeError</t>
        </is>
      </c>
      <c r="AD13" s="55" t="inlineStr">
        <is>
          <t>AttributeError: 'QuantumCircuit' object has no attribute 'prepare_state'</t>
        </is>
      </c>
      <c r="AE13" s="55" t="inlineStr">
        <is>
          <t>The LLM replaced initialize() with QuantumCircuit.prepare_state(), which does not exist yet in Qiskit 0.25 (Terra 0.17), so the script crashes with AttributeError before the gate is built.</t>
        </is>
      </c>
      <c r="AF13" s="55" t="inlineStr">
        <is>
          <t>AttributeError</t>
        </is>
      </c>
      <c r="AG13" s="55" t="inlineStr">
        <is>
          <t>AttributeError: 'QuantumCircuit' object has no attribute 'prepare_state'</t>
        </is>
      </c>
      <c r="AH13" s="55" t="inlineStr">
        <is>
          <t>The LLM replaced initialize() with QuantumCircuit.prepare_state(), which does not exist yet in Qiskit 0.25 (Terra 0.17), so the script crashes with AttributeError before the gate is built.</t>
        </is>
      </c>
      <c r="AI13" s="55" t="inlineStr">
        <is>
          <t>AttributeError</t>
        </is>
      </c>
      <c r="AJ13" s="55" t="inlineStr">
        <is>
          <t>AttributeError: 'QuantumCircuit' object has no attribute 'prepare_state'</t>
        </is>
      </c>
      <c r="AK13" s="55" t="inlineStr">
        <is>
          <t>The LLM replaced initialize() with QuantumCircuit.prepare_state(), which does not exist yet in Qiskit 0.25 (Terra 0.17), so the script crashes with AttributeError before the gate is built.</t>
        </is>
      </c>
      <c r="AL13" s="55" t="inlineStr">
        <is>
          <t>AttributeError</t>
        </is>
      </c>
      <c r="AM13" s="55" t="inlineStr">
        <is>
          <t>AttributeError: 'QuantumCircuit' object has no attribute 'prepare_state'</t>
        </is>
      </c>
      <c r="AN13" s="55" t="inlineStr">
        <is>
          <t>The LLM replaced initialize() with QuantumCircuit.prepare_state(), which does not exist yet in Qiskit 0.25 (Terra 0.17), so the script crashes with AttributeError before the gate is built.</t>
        </is>
      </c>
      <c r="AO13" s="55" t="n"/>
      <c r="AP13" s="55" t="n"/>
      <c r="AQ13" s="55" t="n"/>
      <c r="AR13" s="55" t="n"/>
      <c r="AS13" s="55" t="n"/>
      <c r="AT13" s="55" t="n"/>
      <c r="AU13" s="55" t="n"/>
      <c r="AV13" s="55" t="n"/>
      <c r="AW13" s="55" t="n"/>
      <c r="AX13" s="55" t="n"/>
      <c r="AY13" s="55" t="n"/>
      <c r="AZ13" s="55" t="n"/>
      <c r="BA13" s="55" t="n"/>
      <c r="BB13" s="55" t="n"/>
      <c r="BC13" s="55" t="n"/>
      <c r="BD13" s="55" t="n"/>
      <c r="BE13" s="55" t="n"/>
      <c r="BF13" s="55" t="n"/>
      <c r="BG13" s="55" t="n"/>
      <c r="BH13" s="55" t="n"/>
      <c r="BI13" s="55" t="n"/>
      <c r="BJ13" s="55" t="n"/>
      <c r="BK13" s="55" t="n"/>
      <c r="BL13" s="55" t="n"/>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issue_174</t>
        </is>
      </c>
      <c r="B14" s="57" t="inlineStr">
        <is>
          <t>ERROR</t>
        </is>
      </c>
      <c r="C14" s="57" t="inlineStr">
        <is>
          <t>ERROR</t>
        </is>
      </c>
      <c r="D14" s="57" t="inlineStr">
        <is>
          <t>ERROR</t>
        </is>
      </c>
      <c r="E14" s="57" t="inlineStr">
        <is>
          <t>ERROR</t>
        </is>
      </c>
      <c r="F14" s="57" t="inlineStr">
        <is>
          <t>ERROR</t>
        </is>
      </c>
      <c r="G14" s="57" t="inlineStr">
        <is>
          <t>ERROR</t>
        </is>
      </c>
      <c r="H14" s="57" t="inlineStr">
        <is>
          <t>ERROR</t>
        </is>
      </c>
      <c r="I14" s="57" t="inlineStr">
        <is>
          <t>ERROR</t>
        </is>
      </c>
      <c r="J14" s="57" t="inlineStr">
        <is>
          <t>ERROR</t>
        </is>
      </c>
      <c r="K14" s="57" t="inlineStr">
        <is>
          <t>ERROR</t>
        </is>
      </c>
      <c r="L14" s="57" t="inlineStr">
        <is>
          <t>ERROR</t>
        </is>
      </c>
      <c r="M14" s="57" t="inlineStr">
        <is>
          <t>ERROR</t>
        </is>
      </c>
      <c r="N14" s="56" t="inlineStr">
        <is>
          <t>NOT_TESTED</t>
        </is>
      </c>
      <c r="O14" s="56" t="inlineStr">
        <is>
          <t>NOT_TESTED</t>
        </is>
      </c>
      <c r="P14" s="56" t="inlineStr">
        <is>
          <t>NOT_TESTED</t>
        </is>
      </c>
      <c r="Q14" s="56" t="inlineStr">
        <is>
          <t>NOT_TESTED</t>
        </is>
      </c>
      <c r="R14" s="56" t="inlineStr">
        <is>
          <t>NOT_TESTED</t>
        </is>
      </c>
      <c r="S14" s="56" t="inlineStr">
        <is>
          <t>NOT_TESTED</t>
        </is>
      </c>
      <c r="T14" s="56" t="inlineStr">
        <is>
          <t>NOT_TESTED</t>
        </is>
      </c>
      <c r="U14" s="56" t="inlineStr">
        <is>
          <t>NOT_TESTED</t>
        </is>
      </c>
      <c r="V14" s="56" t="inlineStr">
        <is>
          <t>NOT_TESTED</t>
        </is>
      </c>
      <c r="W14" s="56" t="inlineStr">
        <is>
          <t>NOT_TESTED</t>
        </is>
      </c>
      <c r="X14" s="56" t="inlineStr">
        <is>
          <t>NOT_TESTED</t>
        </is>
      </c>
      <c r="Y14" s="56" t="inlineStr">
        <is>
          <t>NOT_TESTED</t>
        </is>
      </c>
      <c r="Z14" s="56" t="inlineStr">
        <is>
          <t>NOT_TESTED</t>
        </is>
      </c>
      <c r="AA14" s="56" t="inlineStr">
        <is>
          <t>NOT_TESTED</t>
        </is>
      </c>
      <c r="AB14" s="56" t="inlineStr">
        <is>
          <t>NOT_TESTED</t>
        </is>
      </c>
      <c r="AC14" s="55" t="inlineStr">
        <is>
          <t>QasmError</t>
        </is>
      </c>
      <c r="AD14" s="55" t="inlineStr">
        <is>
          <t>qiskit.qasm.exceptions.QasmError: 'Unable to match any token rule, got --&gt;#&lt;-- Check your OPENQASM source and any include statements.'</t>
        </is>
      </c>
      <c r="AE14" s="55" t="inlineStr">
        <is>
          <t>The LLM's QASM change (if (c==1) instead of if (c[0]==1)) is the same as the reference, but it put its '# FIX:' comment inside the OpenQASM string, where '#' is not valid syntax, so the QASM parser rejects the program. With that one line removed the fix passes.</t>
        </is>
      </c>
      <c r="AF14" s="55" t="inlineStr">
        <is>
          <t>QasmError</t>
        </is>
      </c>
      <c r="AG14" s="55" t="inlineStr">
        <is>
          <t>qiskit.qasm.exceptions.QasmError: 'Unable to match any token rule, got --&gt;#&lt;-- Check your OPENQASM source and any include statements.'</t>
        </is>
      </c>
      <c r="AH14" s="55" t="inlineStr">
        <is>
          <t>The LLM's QASM change (if (c==1) instead of if (c[0]==1)) is the same as the reference, but it put its '# FIX:' comment inside the OpenQASM string, where '#' is not valid syntax, so the QASM parser rejects the program. With that one line removed the fix passes.</t>
        </is>
      </c>
      <c r="AI14" s="55" t="inlineStr">
        <is>
          <t>QasmError</t>
        </is>
      </c>
      <c r="AJ14" s="55" t="inlineStr">
        <is>
          <t>qiskit.qasm.exceptions.QasmError: 'Unable to match any token rule, got --&gt;#&lt;-- Check your OPENQASM source and any include statements.'</t>
        </is>
      </c>
      <c r="AK14" s="55" t="inlineStr">
        <is>
          <t>The LLM's QASM change (if (c==1) instead of if (c[0]==1)) is the same as the reference, but it put its '# FIX:' comment inside the OpenQASM string, where '#' is not valid syntax, so the QASM parser rejects the program. With that one line removed the fix passes.</t>
        </is>
      </c>
      <c r="AL14" s="55" t="inlineStr">
        <is>
          <t>QasmError</t>
        </is>
      </c>
      <c r="AM14" s="55" t="inlineStr">
        <is>
          <t>qiskit.qasm.exceptions.QasmError: 'Unable to match any token rule, got --&gt;#&lt;-- Check your OPENQASM source and any include statements.'</t>
        </is>
      </c>
      <c r="AN14" s="55" t="inlineStr">
        <is>
          <t>The LLM's QASM change (if (c==1) instead of if (c[0]==1)) is the same as the reference, but it put its '# FIX:' comment inside the OpenQASM string, where '#' is not valid syntax, so the QASM parser rejects the program. With that one line removed the fix passes.</t>
        </is>
      </c>
      <c r="AO14" s="55" t="inlineStr">
        <is>
          <t>QASM2ParseError</t>
        </is>
      </c>
      <c r="AP14" s="55" t="inlineStr">
        <is>
          <t>qiskit.qasm2.exceptions.QASM2ParseError: "&lt;input&gt;:10,0: encountered '#', which doesn't match any valid tokens"</t>
        </is>
      </c>
      <c r="AQ14" s="55" t="inlineStr">
        <is>
          <t>The LLM's QASM change (if (c==1) instead of if (c[0]==1)) is the same as the reference, but it put its '# FIX:' comment inside the OpenQASM string, where '#' is not valid syntax, so the QASM parser rejects the program. With that one line removed the fix passes.</t>
        </is>
      </c>
      <c r="AR14" s="55" t="inlineStr">
        <is>
          <t>QASM2ParseError</t>
        </is>
      </c>
      <c r="AS14" s="55" t="inlineStr">
        <is>
          <t>qiskit.qasm2.exceptions.QASM2ParseError: "&lt;input&gt;:10,0: encountered '#', which doesn't match any valid tokens"</t>
        </is>
      </c>
      <c r="AT14" s="55" t="inlineStr">
        <is>
          <t>The LLM's QASM change (if (c==1) instead of if (c[0]==1)) is the same as the reference, but it put its '# FIX:' comment inside the OpenQASM string, where '#' is not valid syntax, so the QASM parser rejects the program. With that one line removed the fix passes.</t>
        </is>
      </c>
      <c r="AU14" s="55" t="inlineStr">
        <is>
          <t>QASM2ParseError</t>
        </is>
      </c>
      <c r="AV14" s="55" t="inlineStr">
        <is>
          <t>qiskit.qasm2.exceptions.QASM2ParseError: "&lt;input&gt;:10,0: encountered '#', which doesn't match any valid tokens"</t>
        </is>
      </c>
      <c r="AW14" s="55" t="inlineStr">
        <is>
          <t>The LLM's QASM change (if (c==1) instead of if (c[0]==1)) is the same as the reference, but it put its '# FIX:' comment inside the OpenQASM string, where '#' is not valid syntax, so the QASM parser rejects the program. With that one line removed the fix passes.</t>
        </is>
      </c>
      <c r="AX14" s="55" t="inlineStr">
        <is>
          <t>QASM2ParseError</t>
        </is>
      </c>
      <c r="AY14" s="55" t="inlineStr">
        <is>
          <t>qiskit.qasm2.exceptions.QASM2ParseError: "&lt;input&gt;:10,0: encountered '#', which doesn't match any valid tokens"</t>
        </is>
      </c>
      <c r="AZ14" s="55" t="inlineStr">
        <is>
          <t>The LLM's QASM change (if (c==1) instead of if (c[0]==1)) is the same as the reference, but it put its '# FIX:' comment inside the OpenQASM string, where '#' is not valid syntax, so the QASM parser rejects the program. With that one line removed the fix passes.</t>
        </is>
      </c>
      <c r="BA14" s="55" t="inlineStr">
        <is>
          <t>QASM2ParseError</t>
        </is>
      </c>
      <c r="BB14" s="55" t="inlineStr">
        <is>
          <t>qiskit.qasm2.exceptions.QASM2ParseError: "&lt;input&gt;:10,0: encountered '#', which doesn't match any valid tokens"</t>
        </is>
      </c>
      <c r="BC14" s="55" t="inlineStr">
        <is>
          <t>The LLM's QASM change (if (c==1) instead of if (c[0]==1)) is the same as the reference, but it put its '# FIX:' comment inside the OpenQASM string, where '#' is not valid syntax, so the QASM parser rejects the program. With that one line removed the fix passes.</t>
        </is>
      </c>
      <c r="BD14" s="55" t="inlineStr">
        <is>
          <t>QASM2ParseError</t>
        </is>
      </c>
      <c r="BE14" s="55" t="inlineStr">
        <is>
          <t>qiskit.qasm2.exceptions.QASM2ParseError: "&lt;input&gt;:10,0: encountered '#', which doesn't match any valid tokens"</t>
        </is>
      </c>
      <c r="BF14" s="55" t="inlineStr">
        <is>
          <t>The LLM's QASM change (if (c==1) instead of if (c[0]==1)) is the same as the reference, but it put its '# FIX:' comment inside the OpenQASM string, where '#' is not valid syntax, so the QASM parser rejects the program. With that one line removed the fix passes.</t>
        </is>
      </c>
      <c r="BG14" s="55" t="inlineStr">
        <is>
          <t>QASM2ParseError</t>
        </is>
      </c>
      <c r="BH14" s="55" t="inlineStr">
        <is>
          <t>qiskit.qasm2.exceptions.QASM2ParseError: "&lt;input&gt;:10,0: encountered '#', which doesn't match any valid tokens"</t>
        </is>
      </c>
      <c r="BI14" s="55" t="inlineStr">
        <is>
          <t>The LLM's QASM change (if (c==1) instead of if (c[0]==1)) is the same as the reference, but it put its '# FIX:' comment inside the OpenQASM string, where '#' is not valid syntax, so the QASM parser rejects the program. With that one line removed the fix passes.</t>
        </is>
      </c>
      <c r="BJ14" s="55" t="inlineStr">
        <is>
          <t>QASM2ParseError</t>
        </is>
      </c>
      <c r="BK14" s="55" t="inlineStr">
        <is>
          <t>qiskit.qasm2.exceptions.QASM2ParseError: "&lt;input&gt;:10,0: encountered '#', which doesn't match any valid tokens"</t>
        </is>
      </c>
      <c r="BL14" s="55" t="inlineStr">
        <is>
          <t>The LLM's QASM change (if (c==1) instead of if (c[0]==1)) is the same as the reference, but it put its '# FIX:' comment inside the OpenQASM string, where '#' is not valid syntax, so the QASM parser rejects the program. With that one line removed the fix passes.</t>
        </is>
      </c>
      <c r="BM14" s="55" t="n"/>
      <c r="BN14" s="55" t="n"/>
      <c r="BO14" s="55" t="n"/>
      <c r="BP14" s="55" t="n"/>
      <c r="BQ14" s="55" t="n"/>
      <c r="BR14" s="55" t="n"/>
      <c r="BS14" s="55" t="n"/>
      <c r="BT14" s="55" t="n"/>
      <c r="BU14" s="55" t="n"/>
      <c r="BV14" s="55" t="n"/>
      <c r="BW14" s="55" t="n"/>
      <c r="BX14" s="55" t="n"/>
      <c r="BY14" s="55" t="n"/>
      <c r="BZ14" s="55" t="n"/>
      <c r="CA14" s="55" t="n"/>
      <c r="CB14" s="55" t="n"/>
      <c r="CC14" s="55" t="n"/>
      <c r="CD14" s="55" t="n"/>
      <c r="CE14" s="55" t="n"/>
      <c r="CF14" s="55" t="n"/>
      <c r="CG14" s="55" t="n"/>
      <c r="CH14" s="55" t="n"/>
      <c r="CI14" s="55" t="n"/>
      <c r="CJ14" s="55" t="n"/>
      <c r="CK14" s="55" t="n"/>
      <c r="CL14" s="55" t="n"/>
      <c r="CM14" s="55" t="n"/>
      <c r="CN14" s="55" t="n"/>
      <c r="CO14" s="55" t="n"/>
      <c r="CP14" s="55" t="n"/>
      <c r="CQ14" s="55" t="n"/>
      <c r="CR14" s="55" t="n"/>
      <c r="CS14" s="55" t="n"/>
      <c r="CT14" s="55" t="n"/>
      <c r="CU14" s="55" t="n"/>
      <c r="CV14" s="55" t="n"/>
      <c r="CW14" s="55" t="n"/>
      <c r="CX14" s="55" t="n"/>
      <c r="CY14" s="55" t="n"/>
      <c r="CZ14" s="55" t="n"/>
      <c r="DA14" s="55" t="n"/>
      <c r="DB14" s="55" t="n"/>
      <c r="DC14" s="55" t="n"/>
      <c r="DD14" s="55" t="n"/>
      <c r="DE14" s="55" t="n"/>
    </row>
    <row r="15">
      <c r="A15" s="55" t="inlineStr">
        <is>
          <t>issue_189</t>
        </is>
      </c>
      <c r="B15" s="56" t="inlineStr">
        <is>
          <t>NOT_TESTED</t>
        </is>
      </c>
      <c r="C15" s="56" t="inlineStr">
        <is>
          <t>NOT_TESTED</t>
        </is>
      </c>
      <c r="D15" s="56" t="inlineStr">
        <is>
          <t>NOT_TESTED</t>
        </is>
      </c>
      <c r="E15" s="56" t="inlineStr">
        <is>
          <t>NOT_TESTED</t>
        </is>
      </c>
      <c r="F15" s="58" t="inlineStr">
        <is>
          <t>FAIL</t>
        </is>
      </c>
      <c r="G15" s="58" t="inlineStr">
        <is>
          <t>FAIL</t>
        </is>
      </c>
      <c r="H15" s="58" t="inlineStr">
        <is>
          <t>FAIL</t>
        </is>
      </c>
      <c r="I15" s="58" t="inlineStr">
        <is>
          <t>FAIL</t>
        </is>
      </c>
      <c r="J15" s="58" t="inlineStr">
        <is>
          <t>FAIL</t>
        </is>
      </c>
      <c r="K15" s="58" t="inlineStr">
        <is>
          <t>FAIL</t>
        </is>
      </c>
      <c r="L15" s="58" t="inlineStr">
        <is>
          <t>FAIL</t>
        </is>
      </c>
      <c r="M15" s="58" t="inlineStr">
        <is>
          <t>FAIL</t>
        </is>
      </c>
      <c r="N15" s="58" t="inlineStr">
        <is>
          <t>FAIL</t>
        </is>
      </c>
      <c r="O15" s="58" t="inlineStr">
        <is>
          <t>FAIL</t>
        </is>
      </c>
      <c r="P15" s="58" t="inlineStr">
        <is>
          <t>FAIL</t>
        </is>
      </c>
      <c r="Q15" s="58" t="inlineStr">
        <is>
          <t>FAIL</t>
        </is>
      </c>
      <c r="R15" s="58" t="inlineStr">
        <is>
          <t>FAIL</t>
        </is>
      </c>
      <c r="S15" s="58" t="inlineStr">
        <is>
          <t>FAIL</t>
        </is>
      </c>
      <c r="T15" s="58" t="inlineStr">
        <is>
          <t>FAIL</t>
        </is>
      </c>
      <c r="U15" s="58" t="inlineStr">
        <is>
          <t>FAIL</t>
        </is>
      </c>
      <c r="V15" s="58" t="inlineStr">
        <is>
          <t>FAIL</t>
        </is>
      </c>
      <c r="W15" s="58" t="inlineStr">
        <is>
          <t>FAIL</t>
        </is>
      </c>
      <c r="X15" s="58" t="inlineStr">
        <is>
          <t>FAIL</t>
        </is>
      </c>
      <c r="Y15" s="58" t="inlineStr">
        <is>
          <t>FAIL</t>
        </is>
      </c>
      <c r="Z15" s="58" t="inlineStr">
        <is>
          <t>FAIL</t>
        </is>
      </c>
      <c r="AA15" s="58" t="inlineStr">
        <is>
          <t>FAIL</t>
        </is>
      </c>
      <c r="AB15" s="58" t="inlineStr">
        <is>
          <t>FAIL</t>
        </is>
      </c>
      <c r="AC15" s="55" t="n"/>
      <c r="AD15" s="55" t="n"/>
      <c r="AE15" s="55" t="n"/>
      <c r="AF15" s="55" t="n"/>
      <c r="AG15" s="55" t="n"/>
      <c r="AH15" s="55" t="n"/>
      <c r="AI15" s="55" t="n"/>
      <c r="AJ15" s="55" t="n"/>
      <c r="AK15" s="55" t="n"/>
      <c r="AL15" s="55" t="n"/>
      <c r="AM15" s="55" t="n"/>
      <c r="AN15" s="55" t="n"/>
      <c r="AO15" s="55" t="inlineStr">
        <is>
          <t>AssertionError</t>
        </is>
      </c>
      <c r="AP15" s="55" t="inlineStr">
        <is>
          <t>AssertionError: Lists differ: [2, 3, 4, 5, 6, 7, 8] != [0, 3, 4, 5, 6, 7, 8]</t>
        </is>
      </c>
      <c r="AQ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55" t="inlineStr">
        <is>
          <t>AssertionError</t>
        </is>
      </c>
      <c r="AS15" s="55" t="inlineStr">
        <is>
          <t>AssertionError: Lists differ: [2, 3, 4, 5, 6, 7, 8] != [0, 3, 4, 5, 6, 7, 8]</t>
        </is>
      </c>
      <c r="AT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55" t="inlineStr">
        <is>
          <t>AssertionError</t>
        </is>
      </c>
      <c r="AV15" s="55" t="inlineStr">
        <is>
          <t>AssertionError: Lists differ: [2, 3, 4, 5, 6, 7, 8] != [0, 3, 4, 5, 6, 7, 8]</t>
        </is>
      </c>
      <c r="AW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55" t="inlineStr">
        <is>
          <t>AssertionError</t>
        </is>
      </c>
      <c r="AY15" s="55" t="inlineStr">
        <is>
          <t>AssertionError: Lists differ: [2, 3, 4, 5, 6, 7, 8] != [0, 3, 4, 5, 6, 7, 8]</t>
        </is>
      </c>
      <c r="AZ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55" t="inlineStr">
        <is>
          <t>AssertionError</t>
        </is>
      </c>
      <c r="BB15" s="55" t="inlineStr">
        <is>
          <t>AssertionError: Lists differ: [2, 3, 4, 5, 6, 7, 8] != [0, 3, 4, 5, 6, 7, 8]</t>
        </is>
      </c>
      <c r="BC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55" t="inlineStr">
        <is>
          <t>AssertionError</t>
        </is>
      </c>
      <c r="BE15" s="55" t="inlineStr">
        <is>
          <t>AssertionError: Lists differ: [2, 3, 4, 5, 6, 7, 8] != [0, 3, 4, 5, 6, 7, 8]</t>
        </is>
      </c>
      <c r="BF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55" t="inlineStr">
        <is>
          <t>AssertionError</t>
        </is>
      </c>
      <c r="BH15" s="55" t="inlineStr">
        <is>
          <t>AssertionError: Lists differ: [2, 3, 4, 5, 6, 7, 8] != [0, 3, 4, 5, 6, 7, 8]</t>
        </is>
      </c>
      <c r="BI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55" t="inlineStr">
        <is>
          <t>AssertionError</t>
        </is>
      </c>
      <c r="BK15" s="55" t="inlineStr">
        <is>
          <t>AssertionError: Lists differ: [2, 3, 4, 5, 6, 7, 8] != [0, 3, 4, 5, 6, 7, 8]</t>
        </is>
      </c>
      <c r="BL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55" t="inlineStr">
        <is>
          <t>AssertionError</t>
        </is>
      </c>
      <c r="BN15" s="55" t="inlineStr">
        <is>
          <t>AssertionError: Lists differ: [2, 3, 4, 5, 6, 7, 8] != [0, 3, 4, 5, 6, 7, 8]</t>
        </is>
      </c>
      <c r="BO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55" t="inlineStr">
        <is>
          <t>AssertionError</t>
        </is>
      </c>
      <c r="BQ15" s="55" t="inlineStr">
        <is>
          <t>AssertionError: Lists differ: [2, 3, 4, 5, 6, 7, 8] != [0, 3, 4, 5, 6, 7, 8]</t>
        </is>
      </c>
      <c r="BR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55" t="inlineStr">
        <is>
          <t>AssertionError</t>
        </is>
      </c>
      <c r="BT15" s="55" t="inlineStr">
        <is>
          <t>AssertionError: Lists differ: [2, 3, 4, 5, 6, 7, 8] != [0, 3, 4, 5, 6, 7, 8]</t>
        </is>
      </c>
      <c r="BU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55" t="inlineStr">
        <is>
          <t>AssertionError</t>
        </is>
      </c>
      <c r="BW15" s="55" t="inlineStr">
        <is>
          <t>AssertionError: Lists differ: [2, 3, 4, 5, 6, 7, 8] != [0, 3, 4, 5, 6, 7, 8]</t>
        </is>
      </c>
      <c r="BX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55" t="inlineStr">
        <is>
          <t>AssertionError</t>
        </is>
      </c>
      <c r="BZ15" s="55" t="inlineStr">
        <is>
          <t>AssertionError: Lists differ: [2, 3, 4, 5, 6, 7, 8] != [0, 3, 4, 5, 6, 7, 8]</t>
        </is>
      </c>
      <c r="CA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55" t="inlineStr">
        <is>
          <t>AssertionError</t>
        </is>
      </c>
      <c r="CC15" s="55" t="inlineStr">
        <is>
          <t>AssertionError: Lists differ: [2, 3, 4, 5, 6, 7, 8] != [0, 3, 4, 5, 6, 7, 8]</t>
        </is>
      </c>
      <c r="CD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55" t="inlineStr">
        <is>
          <t>AssertionError</t>
        </is>
      </c>
      <c r="CF15" s="55" t="inlineStr">
        <is>
          <t>AssertionError: Lists differ: [2, 3, 4, 5, 6, 7, 8] != [0, 3, 4, 5, 6, 7, 8]</t>
        </is>
      </c>
      <c r="CG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55" t="inlineStr">
        <is>
          <t>AssertionError</t>
        </is>
      </c>
      <c r="CI15" s="55" t="inlineStr">
        <is>
          <t>AssertionError: Lists differ: [2, 3, 4, 5, 6, 7, 8] != [0, 3, 4, 5, 6, 7, 8]</t>
        </is>
      </c>
      <c r="CJ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55" t="inlineStr">
        <is>
          <t>AssertionError</t>
        </is>
      </c>
      <c r="CL15" s="55" t="inlineStr">
        <is>
          <t>AssertionError: Lists differ: [2, 3, 4, 5, 6, 7, 8] != [0, 3, 4, 5, 6, 7, 8]</t>
        </is>
      </c>
      <c r="CM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55" t="inlineStr">
        <is>
          <t>AssertionError</t>
        </is>
      </c>
      <c r="CO15" s="55" t="inlineStr">
        <is>
          <t>AssertionError: Lists differ: [2, 3, 4, 5, 6, 7, 8] != [0, 3, 4, 5, 6, 7, 8]</t>
        </is>
      </c>
      <c r="CP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55" t="inlineStr">
        <is>
          <t>AssertionError</t>
        </is>
      </c>
      <c r="CR15" s="55" t="inlineStr">
        <is>
          <t>AssertionError: Lists differ: [2, 3, 4, 5, 6, 7, 8] != [0, 3, 4, 5, 6, 7, 8]</t>
        </is>
      </c>
      <c r="CS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55" t="inlineStr">
        <is>
          <t>AssertionError</t>
        </is>
      </c>
      <c r="CU15" s="55" t="inlineStr">
        <is>
          <t>AssertionError: Lists differ: [2, 3, 4, 5, 6, 7, 8] != [0, 3, 4, 5, 6, 7, 8]</t>
        </is>
      </c>
      <c r="CV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55" t="inlineStr">
        <is>
          <t>AssertionError</t>
        </is>
      </c>
      <c r="CX15" s="55" t="inlineStr">
        <is>
          <t>AssertionError: Lists differ: [2, 3, 4, 5, 6, 7, 8] != [0, 3, 4, 5, 6, 7, 8]</t>
        </is>
      </c>
      <c r="CY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55" t="inlineStr">
        <is>
          <t>AssertionError</t>
        </is>
      </c>
      <c r="DA15" s="55" t="inlineStr">
        <is>
          <t>AssertionError: Lists differ: [2, 3, 4, 5, 6, 7, 8] != [0, 3, 4, 5, 6, 7, 8]</t>
        </is>
      </c>
      <c r="DB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55" t="inlineStr">
        <is>
          <t>AssertionError</t>
        </is>
      </c>
      <c r="DD15" s="55" t="inlineStr">
        <is>
          <t>AssertionError: Lists differ: [2, 3, 4, 5, 6, 7, 8] != [0, 3, 4, 5, 6, 7, 8]</t>
        </is>
      </c>
      <c r="DE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55" t="inlineStr">
        <is>
          <t>issue_225</t>
        </is>
      </c>
      <c r="B16" s="56" t="inlineStr">
        <is>
          <t>NOT_TESTED</t>
        </is>
      </c>
      <c r="C16" s="56" t="inlineStr">
        <is>
          <t>NOT_TESTED</t>
        </is>
      </c>
      <c r="D16" s="56" t="inlineStr">
        <is>
          <t>NOT_TESTED</t>
        </is>
      </c>
      <c r="E16" s="56" t="inlineStr">
        <is>
          <t>NOT_TESTED</t>
        </is>
      </c>
      <c r="F16" s="59" t="inlineStr">
        <is>
          <t>PASS</t>
        </is>
      </c>
      <c r="G16" s="59" t="inlineStr">
        <is>
          <t>PASS</t>
        </is>
      </c>
      <c r="H16" s="59" t="inlineStr">
        <is>
          <t>PASS</t>
        </is>
      </c>
      <c r="I16" s="59" t="inlineStr">
        <is>
          <t>PASS</t>
        </is>
      </c>
      <c r="J16" s="59" t="inlineStr">
        <is>
          <t>PASS</t>
        </is>
      </c>
      <c r="K16" s="59" t="inlineStr">
        <is>
          <t>PASS</t>
        </is>
      </c>
      <c r="L16" s="59" t="inlineStr">
        <is>
          <t>PASS</t>
        </is>
      </c>
      <c r="M16" s="59" t="inlineStr">
        <is>
          <t>PASS</t>
        </is>
      </c>
      <c r="N16" s="56" t="inlineStr">
        <is>
          <t>NOT_TESTED</t>
        </is>
      </c>
      <c r="O16" s="56" t="inlineStr">
        <is>
          <t>NOT_TESTED</t>
        </is>
      </c>
      <c r="P16" s="56" t="inlineStr">
        <is>
          <t>NOT_TESTED</t>
        </is>
      </c>
      <c r="Q16" s="56" t="inlineStr">
        <is>
          <t>NOT_TESTED</t>
        </is>
      </c>
      <c r="R16" s="56" t="inlineStr">
        <is>
          <t>NOT_TESTED</t>
        </is>
      </c>
      <c r="S16" s="56" t="inlineStr">
        <is>
          <t>NOT_TESTED</t>
        </is>
      </c>
      <c r="T16" s="56" t="inlineStr">
        <is>
          <t>NOT_TESTED</t>
        </is>
      </c>
      <c r="U16" s="56" t="inlineStr">
        <is>
          <t>NOT_TESTED</t>
        </is>
      </c>
      <c r="V16" s="56" t="inlineStr">
        <is>
          <t>NOT_TESTED</t>
        </is>
      </c>
      <c r="W16" s="56" t="inlineStr">
        <is>
          <t>NOT_TESTED</t>
        </is>
      </c>
      <c r="X16" s="56" t="inlineStr">
        <is>
          <t>NOT_TESTED</t>
        </is>
      </c>
      <c r="Y16" s="56" t="inlineStr">
        <is>
          <t>NOT_TESTED</t>
        </is>
      </c>
      <c r="Z16" s="56" t="inlineStr">
        <is>
          <t>NOT_TESTED</t>
        </is>
      </c>
      <c r="AA16" s="56" t="inlineStr">
        <is>
          <t>NOT_TESTED</t>
        </is>
      </c>
      <c r="AB16" s="56" t="inlineStr">
        <is>
          <t>NOT_TESTED</t>
        </is>
      </c>
      <c r="AC16" s="55" t="n"/>
      <c r="AD16" s="55" t="n"/>
      <c r="AE16" s="55" t="n"/>
      <c r="AF16" s="55" t="n"/>
      <c r="AG16" s="55" t="n"/>
      <c r="AH16" s="55" t="n"/>
      <c r="AI16" s="55" t="n"/>
      <c r="AJ16" s="55" t="n"/>
      <c r="AK16" s="55" t="n"/>
      <c r="AL16" s="55" t="n"/>
      <c r="AM16" s="55" t="n"/>
      <c r="AN16" s="55" t="n"/>
      <c r="AO16" s="55" t="n"/>
      <c r="AP16" s="55" t="n"/>
      <c r="AQ16" s="55" t="n"/>
      <c r="AR16" s="55" t="n"/>
      <c r="AS16" s="55" t="n"/>
      <c r="AT16" s="55" t="n"/>
      <c r="AU16" s="55" t="n"/>
      <c r="AV16" s="55" t="n"/>
      <c r="AW16" s="55" t="n"/>
      <c r="AX16" s="55" t="n"/>
      <c r="AY16" s="55" t="n"/>
      <c r="AZ16" s="55" t="n"/>
      <c r="BA16" s="55" t="n"/>
      <c r="BB16" s="55" t="n"/>
      <c r="BC16" s="55" t="n"/>
      <c r="BD16" s="55" t="n"/>
      <c r="BE16" s="55" t="n"/>
      <c r="BF16" s="55" t="n"/>
      <c r="BG16" s="55" t="n"/>
      <c r="BH16" s="55" t="n"/>
      <c r="BI16" s="55" t="n"/>
      <c r="BJ16" s="55" t="n"/>
      <c r="BK16" s="55" t="n"/>
      <c r="BL16" s="55" t="n"/>
      <c r="BM16" s="55" t="n"/>
      <c r="BN16" s="55" t="n"/>
      <c r="BO16" s="55" t="n"/>
      <c r="BP16" s="55" t="n"/>
      <c r="BQ16" s="55" t="n"/>
      <c r="BR16" s="55" t="n"/>
      <c r="BS16" s="55" t="n"/>
      <c r="BT16" s="55" t="n"/>
      <c r="BU16" s="55" t="n"/>
      <c r="BV16" s="55" t="n"/>
      <c r="BW16" s="55" t="n"/>
      <c r="BX16" s="55" t="n"/>
      <c r="BY16" s="55" t="n"/>
      <c r="BZ16" s="55" t="n"/>
      <c r="CA16" s="55" t="n"/>
      <c r="CB16" s="55" t="n"/>
      <c r="CC16" s="55" t="n"/>
      <c r="CD16" s="55" t="n"/>
      <c r="CE16" s="55" t="n"/>
      <c r="CF16" s="55" t="n"/>
      <c r="CG16" s="55" t="n"/>
      <c r="CH16" s="55" t="n"/>
      <c r="CI16" s="55" t="n"/>
      <c r="CJ16" s="55" t="n"/>
      <c r="CK16" s="55" t="n"/>
      <c r="CL16" s="55" t="n"/>
      <c r="CM16" s="55" t="n"/>
      <c r="CN16" s="55" t="n"/>
      <c r="CO16" s="55" t="n"/>
      <c r="CP16" s="55" t="n"/>
      <c r="CQ16" s="55" t="n"/>
      <c r="CR16" s="55" t="n"/>
      <c r="CS16" s="55" t="n"/>
      <c r="CT16" s="55" t="n"/>
      <c r="CU16" s="55" t="n"/>
      <c r="CV16" s="55" t="n"/>
      <c r="CW16" s="55" t="n"/>
      <c r="CX16" s="55" t="n"/>
      <c r="CY16" s="55" t="n"/>
      <c r="CZ16" s="55" t="n"/>
      <c r="DA16" s="55" t="n"/>
      <c r="DB16" s="55" t="n"/>
      <c r="DC16" s="55" t="n"/>
      <c r="DD16" s="55" t="n"/>
      <c r="DE16" s="55" t="n"/>
    </row>
    <row r="17">
      <c r="A17" s="55" t="inlineStr">
        <is>
          <t>issue_233</t>
        </is>
      </c>
      <c r="B17" s="57" t="inlineStr">
        <is>
          <t>ERROR</t>
        </is>
      </c>
      <c r="C17" s="57" t="inlineStr">
        <is>
          <t>ERROR</t>
        </is>
      </c>
      <c r="D17" s="57" t="inlineStr">
        <is>
          <t>ERROR</t>
        </is>
      </c>
      <c r="E17" s="57" t="inlineStr">
        <is>
          <t>ERROR</t>
        </is>
      </c>
      <c r="F17" s="57" t="inlineStr">
        <is>
          <t>ERROR</t>
        </is>
      </c>
      <c r="G17" s="57" t="inlineStr">
        <is>
          <t>ERROR</t>
        </is>
      </c>
      <c r="H17" s="57" t="inlineStr">
        <is>
          <t>ERROR</t>
        </is>
      </c>
      <c r="I17" s="57" t="inlineStr">
        <is>
          <t>ERROR</t>
        </is>
      </c>
      <c r="J17" s="57" t="inlineStr">
        <is>
          <t>ERROR</t>
        </is>
      </c>
      <c r="K17" s="57" t="inlineStr">
        <is>
          <t>ERROR</t>
        </is>
      </c>
      <c r="L17" s="57" t="inlineStr">
        <is>
          <t>ERROR</t>
        </is>
      </c>
      <c r="M17" s="57" t="inlineStr">
        <is>
          <t>ERROR</t>
        </is>
      </c>
      <c r="N17" s="57" t="inlineStr">
        <is>
          <t>ERROR</t>
        </is>
      </c>
      <c r="O17" s="57" t="inlineStr">
        <is>
          <t>ERROR</t>
        </is>
      </c>
      <c r="P17" s="57" t="inlineStr">
        <is>
          <t>ERROR</t>
        </is>
      </c>
      <c r="Q17" s="57" t="inlineStr">
        <is>
          <t>ERROR</t>
        </is>
      </c>
      <c r="R17" s="57" t="inlineStr">
        <is>
          <t>ERROR</t>
        </is>
      </c>
      <c r="S17" s="57" t="inlineStr">
        <is>
          <t>ERROR</t>
        </is>
      </c>
      <c r="T17" s="57" t="inlineStr">
        <is>
          <t>ERROR</t>
        </is>
      </c>
      <c r="U17" s="57" t="inlineStr">
        <is>
          <t>ERROR</t>
        </is>
      </c>
      <c r="V17" s="57" t="inlineStr">
        <is>
          <t>ERROR</t>
        </is>
      </c>
      <c r="W17" s="57" t="inlineStr">
        <is>
          <t>ERROR</t>
        </is>
      </c>
      <c r="X17" s="57" t="inlineStr">
        <is>
          <t>ERROR</t>
        </is>
      </c>
      <c r="Y17" s="57" t="inlineStr">
        <is>
          <t>ERROR</t>
        </is>
      </c>
      <c r="Z17" s="57" t="inlineStr">
        <is>
          <t>ERROR</t>
        </is>
      </c>
      <c r="AA17" s="57" t="inlineStr">
        <is>
          <t>ERROR</t>
        </is>
      </c>
      <c r="AB17" s="57" t="inlineStr">
        <is>
          <t>ERROR</t>
        </is>
      </c>
      <c r="AC17" s="55" t="inlineStr">
        <is>
          <t>TypeError</t>
        </is>
      </c>
      <c r="AD17" s="55" t="inlineStr">
        <is>
          <t>TypeError: 'int' object is not callable</t>
        </is>
      </c>
      <c r="AE17" s="55" t="inlineStr">
        <is>
          <t>The LLM replaced only the second rot.num_parameters_settable() call (with len(rot.parameters)) and left the first one; num_parameters_settable is a property that returns an int, so calling it raises TypeError before anything is printed.</t>
        </is>
      </c>
      <c r="AF17" s="55" t="inlineStr">
        <is>
          <t>TypeError</t>
        </is>
      </c>
      <c r="AG17" s="55" t="inlineStr">
        <is>
          <t>TypeError: 'int' object is not callable</t>
        </is>
      </c>
      <c r="AH17" s="55" t="inlineStr">
        <is>
          <t>The LLM replaced only the second rot.num_parameters_settable() call (with len(rot.parameters)) and left the first one; num_parameters_settable is a property that returns an int, so calling it raises TypeError before anything is printed.</t>
        </is>
      </c>
      <c r="AI17" s="55" t="inlineStr">
        <is>
          <t>TypeError</t>
        </is>
      </c>
      <c r="AJ17" s="55" t="inlineStr">
        <is>
          <t>TypeError: 'int' object is not callable</t>
        </is>
      </c>
      <c r="AK17" s="55" t="inlineStr">
        <is>
          <t>The LLM replaced only the second rot.num_parameters_settable() call (with len(rot.parameters)) and left the first one; num_parameters_settable is a property that returns an int, so calling it raises TypeError before anything is printed.</t>
        </is>
      </c>
      <c r="AL17" s="55" t="inlineStr">
        <is>
          <t>TypeError</t>
        </is>
      </c>
      <c r="AM17" s="55" t="inlineStr">
        <is>
          <t>TypeError: 'int' object is not callable</t>
        </is>
      </c>
      <c r="AN17" s="55" t="inlineStr">
        <is>
          <t>The LLM replaced only the second rot.num_parameters_settable() call (with len(rot.parameters)) and left the first one; num_parameters_settable is a property that returns an int, so calling it raises TypeError before anything is printed.</t>
        </is>
      </c>
      <c r="AO17" s="55" t="inlineStr">
        <is>
          <t>TypeError</t>
        </is>
      </c>
      <c r="AP17" s="55" t="inlineStr">
        <is>
          <t>TypeError: 'int' object is not callable</t>
        </is>
      </c>
      <c r="AQ17" s="55" t="inlineStr">
        <is>
          <t>The LLM replaced only the second rot.num_parameters_settable() call (with len(rot.parameters)) and left the first one; num_parameters_settable is a property that returns an int, so calling it raises TypeError before anything is printed.</t>
        </is>
      </c>
      <c r="AR17" s="55" t="inlineStr">
        <is>
          <t>TypeError</t>
        </is>
      </c>
      <c r="AS17" s="55" t="inlineStr">
        <is>
          <t>TypeError: 'int' object is not callable</t>
        </is>
      </c>
      <c r="AT17" s="55" t="inlineStr">
        <is>
          <t>The LLM replaced only the second rot.num_parameters_settable() call (with len(rot.parameters)) and left the first one; num_parameters_settable is a property that returns an int, so calling it raises TypeError before anything is printed.</t>
        </is>
      </c>
      <c r="AU17" s="55" t="inlineStr">
        <is>
          <t>TypeError</t>
        </is>
      </c>
      <c r="AV17" s="55" t="inlineStr">
        <is>
          <t>TypeError: 'int' object is not callable</t>
        </is>
      </c>
      <c r="AW17" s="55" t="inlineStr">
        <is>
          <t>The LLM replaced only the second rot.num_parameters_settable() call (with len(rot.parameters)) and left the first one; num_parameters_settable is a property that returns an int, so calling it raises TypeError before anything is printed.</t>
        </is>
      </c>
      <c r="AX17" s="55" t="inlineStr">
        <is>
          <t>TypeError</t>
        </is>
      </c>
      <c r="AY17" s="55" t="inlineStr">
        <is>
          <t>TypeError: 'int' object is not callable</t>
        </is>
      </c>
      <c r="AZ17" s="55" t="inlineStr">
        <is>
          <t>The LLM replaced only the second rot.num_parameters_settable() call (with len(rot.parameters)) and left the first one; num_parameters_settable is a property that returns an int, so calling it raises TypeError before anything is printed.</t>
        </is>
      </c>
      <c r="BA17" s="55" t="inlineStr">
        <is>
          <t>TypeError</t>
        </is>
      </c>
      <c r="BB17" s="55" t="inlineStr">
        <is>
          <t>TypeError: 'int' object is not callable</t>
        </is>
      </c>
      <c r="BC17" s="55" t="inlineStr">
        <is>
          <t>The LLM replaced only the second rot.num_parameters_settable() call (with len(rot.parameters)) and left the first one; num_parameters_settable is a property that returns an int, so calling it raises TypeError before anything is printed.</t>
        </is>
      </c>
      <c r="BD17" s="55" t="inlineStr">
        <is>
          <t>TypeError</t>
        </is>
      </c>
      <c r="BE17" s="55" t="inlineStr">
        <is>
          <t>TypeError: 'int' object is not callable</t>
        </is>
      </c>
      <c r="BF17" s="55" t="inlineStr">
        <is>
          <t>The LLM replaced only the second rot.num_parameters_settable() call (with len(rot.parameters)) and left the first one; num_parameters_settable is a property that returns an int, so calling it raises TypeError before anything is printed.</t>
        </is>
      </c>
      <c r="BG17" s="55" t="inlineStr">
        <is>
          <t>TypeError</t>
        </is>
      </c>
      <c r="BH17" s="55" t="inlineStr">
        <is>
          <t>TypeError: 'int' object is not callable</t>
        </is>
      </c>
      <c r="BI17" s="55" t="inlineStr">
        <is>
          <t>The LLM replaced only the second rot.num_parameters_settable() call (with len(rot.parameters)) and left the first one; num_parameters_settable is a property that returns an int, so calling it raises TypeError before anything is printed.</t>
        </is>
      </c>
      <c r="BJ17" s="55" t="inlineStr">
        <is>
          <t>TypeError</t>
        </is>
      </c>
      <c r="BK17" s="55" t="inlineStr">
        <is>
          <t>TypeError: 'int' object is not callable</t>
        </is>
      </c>
      <c r="BL17" s="55" t="inlineStr">
        <is>
          <t>The LLM replaced only the second rot.num_parameters_settable() call (with len(rot.parameters)) and left the first one; num_parameters_settable is a property that returns an int, so calling it raises TypeError before anything is printed.</t>
        </is>
      </c>
      <c r="BM17" s="55" t="inlineStr">
        <is>
          <t>TypeError</t>
        </is>
      </c>
      <c r="BN17" s="55" t="inlineStr">
        <is>
          <t>TypeError: 'int' object is not callable</t>
        </is>
      </c>
      <c r="BO17" s="55" t="inlineStr">
        <is>
          <t>The LLM replaced only the second rot.num_parameters_settable() call (with len(rot.parameters)) and left the first one; num_parameters_settable is a property that returns an int, so calling it raises TypeError before anything is printed.</t>
        </is>
      </c>
      <c r="BP17" s="55" t="inlineStr">
        <is>
          <t>TypeError</t>
        </is>
      </c>
      <c r="BQ17" s="55" t="inlineStr">
        <is>
          <t>TypeError: 'int' object is not callable</t>
        </is>
      </c>
      <c r="BR17" s="55" t="inlineStr">
        <is>
          <t>The LLM replaced only the second rot.num_parameters_settable() call (with len(rot.parameters)) and left the first one; num_parameters_settable is a property that returns an int, so calling it raises TypeError before anything is printed.</t>
        </is>
      </c>
      <c r="BS17" s="55" t="inlineStr">
        <is>
          <t>TypeError</t>
        </is>
      </c>
      <c r="BT17" s="55" t="inlineStr">
        <is>
          <t>TypeError: 'int' object is not callable</t>
        </is>
      </c>
      <c r="BU17" s="55" t="inlineStr">
        <is>
          <t>The LLM replaced only the second rot.num_parameters_settable() call (with len(rot.parameters)) and left the first one; num_parameters_settable is a property that returns an int, so calling it raises TypeError before anything is printed.</t>
        </is>
      </c>
      <c r="BV17" s="55" t="inlineStr">
        <is>
          <t>TypeError</t>
        </is>
      </c>
      <c r="BW17" s="55" t="inlineStr">
        <is>
          <t>TypeError: 'int' object is not callable</t>
        </is>
      </c>
      <c r="BX17" s="55" t="inlineStr">
        <is>
          <t>The LLM replaced only the second rot.num_parameters_settable() call (with len(rot.parameters)) and left the first one; num_parameters_settable is a property that returns an int, so calling it raises TypeError before anything is printed.</t>
        </is>
      </c>
      <c r="BY17" s="55" t="inlineStr">
        <is>
          <t>TypeError</t>
        </is>
      </c>
      <c r="BZ17" s="55" t="inlineStr">
        <is>
          <t>TypeError: 'int' object is not callable</t>
        </is>
      </c>
      <c r="CA17" s="55" t="inlineStr">
        <is>
          <t>The LLM replaced only the second rot.num_parameters_settable() call (with len(rot.parameters)) and left the first one; num_parameters_settable is a property that returns an int, so calling it raises TypeError before anything is printed.</t>
        </is>
      </c>
      <c r="CB17" s="55" t="inlineStr">
        <is>
          <t>TypeError</t>
        </is>
      </c>
      <c r="CC17" s="55" t="inlineStr">
        <is>
          <t>TypeError: 'int' object is not callable</t>
        </is>
      </c>
      <c r="CD17" s="55" t="inlineStr">
        <is>
          <t>The LLM replaced only the second rot.num_parameters_settable() call (with len(rot.parameters)) and left the first one; num_parameters_settable is a property that returns an int, so calling it raises TypeError before anything is printed.</t>
        </is>
      </c>
      <c r="CE17" s="55" t="inlineStr">
        <is>
          <t>TypeError</t>
        </is>
      </c>
      <c r="CF17" s="55" t="inlineStr">
        <is>
          <t>TypeError: 'int' object is not callable</t>
        </is>
      </c>
      <c r="CG17" s="55" t="inlineStr">
        <is>
          <t>The LLM replaced only the second rot.num_parameters_settable() call (with len(rot.parameters)) and left the first one; num_parameters_settable is a property that returns an int, so calling it raises TypeError before anything is printed.</t>
        </is>
      </c>
      <c r="CH17" s="55" t="inlineStr">
        <is>
          <t>TypeError</t>
        </is>
      </c>
      <c r="CI17" s="55" t="inlineStr">
        <is>
          <t>TypeError: 'int' object is not callable</t>
        </is>
      </c>
      <c r="CJ17" s="55" t="inlineStr">
        <is>
          <t>The LLM replaced only the second rot.num_parameters_settable() call (with len(rot.parameters)) and left the first one; num_parameters_settable is a property that returns an int, so calling it raises TypeError before anything is printed.</t>
        </is>
      </c>
      <c r="CK17" s="55" t="inlineStr">
        <is>
          <t>TypeError</t>
        </is>
      </c>
      <c r="CL17" s="55" t="inlineStr">
        <is>
          <t>TypeError: 'int' object is not callable</t>
        </is>
      </c>
      <c r="CM17" s="55" t="inlineStr">
        <is>
          <t>The LLM replaced only the second rot.num_parameters_settable() call (with len(rot.parameters)) and left the first one; num_parameters_settable is a property that returns an int, so calling it raises TypeError before anything is printed.</t>
        </is>
      </c>
      <c r="CN17" s="55" t="inlineStr">
        <is>
          <t>TypeError</t>
        </is>
      </c>
      <c r="CO17" s="55" t="inlineStr">
        <is>
          <t>TypeError: 'int' object is not callable</t>
        </is>
      </c>
      <c r="CP17" s="55" t="inlineStr">
        <is>
          <t>The LLM replaced only the second rot.num_parameters_settable() call (with len(rot.parameters)) and left the first one; num_parameters_settable is a property that returns an int, so calling it raises TypeError before anything is printed.</t>
        </is>
      </c>
      <c r="CQ17" s="55" t="inlineStr">
        <is>
          <t>TypeError</t>
        </is>
      </c>
      <c r="CR17" s="55" t="inlineStr">
        <is>
          <t>TypeError: 'int' object is not callable</t>
        </is>
      </c>
      <c r="CS17" s="55" t="inlineStr">
        <is>
          <t>The LLM replaced only the second rot.num_parameters_settable() call (with len(rot.parameters)) and left the first one; num_parameters_settable is a property that returns an int, so calling it raises TypeError before anything is printed.</t>
        </is>
      </c>
      <c r="CT17" s="55" t="inlineStr">
        <is>
          <t>TypeError</t>
        </is>
      </c>
      <c r="CU17" s="55" t="inlineStr">
        <is>
          <t>TypeError: 'int' object is not callable</t>
        </is>
      </c>
      <c r="CV17" s="55" t="inlineStr">
        <is>
          <t>The LLM replaced only the second rot.num_parameters_settable() call (with len(rot.parameters)) and left the first one; num_parameters_settable is a property that returns an int, so calling it raises TypeError before anything is printed.</t>
        </is>
      </c>
      <c r="CW17" s="55" t="inlineStr">
        <is>
          <t>TypeError</t>
        </is>
      </c>
      <c r="CX17" s="55" t="inlineStr">
        <is>
          <t>TypeError: 'int' object is not callable</t>
        </is>
      </c>
      <c r="CY17" s="55" t="inlineStr">
        <is>
          <t>The LLM replaced only the second rot.num_parameters_settable() call (with len(rot.parameters)) and left the first one; num_parameters_settable is a property that returns an int, so calling it raises TypeError before anything is printed.</t>
        </is>
      </c>
      <c r="CZ17" s="55" t="inlineStr">
        <is>
          <t>TypeError</t>
        </is>
      </c>
      <c r="DA17" s="55" t="inlineStr">
        <is>
          <t>TypeError: 'int' object is not callable</t>
        </is>
      </c>
      <c r="DB17" s="55" t="inlineStr">
        <is>
          <t>The LLM replaced only the second rot.num_parameters_settable() call (with len(rot.parameters)) and left the first one; num_parameters_settable is a property that returns an int, so calling it raises TypeError before anything is printed.</t>
        </is>
      </c>
      <c r="DC17" s="55" t="inlineStr">
        <is>
          <t>TypeError</t>
        </is>
      </c>
      <c r="DD17" s="55" t="inlineStr">
        <is>
          <t>TypeError: 'int' object is not callable</t>
        </is>
      </c>
      <c r="DE17" s="55" t="inlineStr">
        <is>
          <t>The LLM replaced only the second rot.num_parameters_settable() call (with len(rot.parameters)) and left the first one; num_parameters_settable is a property that returns an int, so calling it raises TypeError before anything is printed.</t>
        </is>
      </c>
    </row>
    <row r="18">
      <c r="A18" s="55" t="inlineStr">
        <is>
          <t>issue_261</t>
        </is>
      </c>
      <c r="B18" s="59" t="inlineStr">
        <is>
          <t>PASS</t>
        </is>
      </c>
      <c r="C18" s="59" t="inlineStr">
        <is>
          <t>PASS</t>
        </is>
      </c>
      <c r="D18" s="59" t="inlineStr">
        <is>
          <t>PASS</t>
        </is>
      </c>
      <c r="E18" s="59" t="inlineStr">
        <is>
          <t>PASS</t>
        </is>
      </c>
      <c r="F18" s="59" t="inlineStr">
        <is>
          <t>PASS</t>
        </is>
      </c>
      <c r="G18" s="59" t="inlineStr">
        <is>
          <t>PASS</t>
        </is>
      </c>
      <c r="H18" s="59" t="inlineStr">
        <is>
          <t>PASS</t>
        </is>
      </c>
      <c r="I18" s="59" t="inlineStr">
        <is>
          <t>PASS</t>
        </is>
      </c>
      <c r="J18" s="59" t="inlineStr">
        <is>
          <t>PASS</t>
        </is>
      </c>
      <c r="K18" s="59" t="inlineStr">
        <is>
          <t>PASS</t>
        </is>
      </c>
      <c r="L18" s="59" t="inlineStr">
        <is>
          <t>PASS</t>
        </is>
      </c>
      <c r="M18" s="59" t="inlineStr">
        <is>
          <t>PASS</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issue_280</t>
        </is>
      </c>
      <c r="B19" s="59" t="inlineStr">
        <is>
          <t>PASS</t>
        </is>
      </c>
      <c r="C19" s="59" t="inlineStr">
        <is>
          <t>PASS</t>
        </is>
      </c>
      <c r="D19" s="59" t="inlineStr">
        <is>
          <t>PASS</t>
        </is>
      </c>
      <c r="E19" s="59" t="inlineStr">
        <is>
          <t>PASS</t>
        </is>
      </c>
      <c r="F19" s="59" t="inlineStr">
        <is>
          <t>PASS</t>
        </is>
      </c>
      <c r="G19" s="59" t="inlineStr">
        <is>
          <t>PASS</t>
        </is>
      </c>
      <c r="H19" s="59" t="inlineStr">
        <is>
          <t>PASS</t>
        </is>
      </c>
      <c r="I19" s="59" t="inlineStr">
        <is>
          <t>PASS</t>
        </is>
      </c>
      <c r="J19" s="59" t="inlineStr">
        <is>
          <t>PASS</t>
        </is>
      </c>
      <c r="K19" s="59" t="inlineStr">
        <is>
          <t>PASS</t>
        </is>
      </c>
      <c r="L19" s="59" t="inlineStr">
        <is>
          <t>PASS</t>
        </is>
      </c>
      <c r="M19" s="59" t="inlineStr">
        <is>
          <t>PASS</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issue_295</t>
        </is>
      </c>
      <c r="B20" s="56" t="inlineStr">
        <is>
          <t>NOT_TESTED</t>
        </is>
      </c>
      <c r="C20" s="56" t="inlineStr">
        <is>
          <t>NOT_TESTED</t>
        </is>
      </c>
      <c r="D20" s="56" t="inlineStr">
        <is>
          <t>NOT_TESTED</t>
        </is>
      </c>
      <c r="E20" s="56" t="inlineStr">
        <is>
          <t>NOT_TESTED</t>
        </is>
      </c>
      <c r="F20" s="59" t="inlineStr">
        <is>
          <t>PASS</t>
        </is>
      </c>
      <c r="G20" s="59" t="inlineStr">
        <is>
          <t>PASS</t>
        </is>
      </c>
      <c r="H20" s="59" t="inlineStr">
        <is>
          <t>PASS</t>
        </is>
      </c>
      <c r="I20" s="59" t="inlineStr">
        <is>
          <t>PASS</t>
        </is>
      </c>
      <c r="J20" s="59" t="inlineStr">
        <is>
          <t>PASS</t>
        </is>
      </c>
      <c r="K20" s="59" t="inlineStr">
        <is>
          <t>PASS</t>
        </is>
      </c>
      <c r="L20" s="59" t="inlineStr">
        <is>
          <t>PASS</t>
        </is>
      </c>
      <c r="M20" s="59" t="inlineStr">
        <is>
          <t>PASS</t>
        </is>
      </c>
      <c r="N20" s="56" t="inlineStr">
        <is>
          <t>NOT_TESTED</t>
        </is>
      </c>
      <c r="O20" s="56" t="inlineStr">
        <is>
          <t>NOT_TESTED</t>
        </is>
      </c>
      <c r="P20" s="56" t="inlineStr">
        <is>
          <t>NOT_TESTED</t>
        </is>
      </c>
      <c r="Q20" s="56" t="inlineStr">
        <is>
          <t>NOT_TESTED</t>
        </is>
      </c>
      <c r="R20" s="56" t="inlineStr">
        <is>
          <t>NOT_TESTED</t>
        </is>
      </c>
      <c r="S20" s="56" t="inlineStr">
        <is>
          <t>NOT_TESTED</t>
        </is>
      </c>
      <c r="T20" s="56" t="inlineStr">
        <is>
          <t>NOT_TESTED</t>
        </is>
      </c>
      <c r="U20" s="56" t="inlineStr">
        <is>
          <t>NOT_TESTED</t>
        </is>
      </c>
      <c r="V20" s="56" t="inlineStr">
        <is>
          <t>NOT_TESTED</t>
        </is>
      </c>
      <c r="W20" s="56" t="inlineStr">
        <is>
          <t>NOT_TESTED</t>
        </is>
      </c>
      <c r="X20" s="56" t="inlineStr">
        <is>
          <t>NOT_TESTED</t>
        </is>
      </c>
      <c r="Y20" s="56" t="inlineStr">
        <is>
          <t>NOT_TESTED</t>
        </is>
      </c>
      <c r="Z20" s="56" t="inlineStr">
        <is>
          <t>NOT_TESTED</t>
        </is>
      </c>
      <c r="AA20" s="56" t="inlineStr">
        <is>
          <t>NOT_TESTED</t>
        </is>
      </c>
      <c r="AB20" s="56" t="inlineStr">
        <is>
          <t>NOT_TESTED</t>
        </is>
      </c>
      <c r="AC20" s="55" t="n"/>
      <c r="AD20" s="55" t="n"/>
      <c r="AE20" s="55" t="n"/>
      <c r="AF20" s="55" t="n"/>
      <c r="AG20" s="55" t="n"/>
      <c r="AH20" s="55" t="n"/>
      <c r="AI20" s="55" t="n"/>
      <c r="AJ20" s="55" t="n"/>
      <c r="AK20" s="55" t="n"/>
      <c r="AL20" s="55" t="n"/>
      <c r="AM20" s="55" t="n"/>
      <c r="AN20" s="55" t="n"/>
      <c r="AO20" s="55" t="n"/>
      <c r="AP20" s="55" t="n"/>
      <c r="AQ20" s="55" t="n"/>
      <c r="AR20" s="55" t="n"/>
      <c r="AS20" s="55" t="n"/>
      <c r="AT20" s="55" t="n"/>
      <c r="AU20" s="55" t="n"/>
      <c r="AV20" s="55" t="n"/>
      <c r="AW20" s="55" t="n"/>
      <c r="AX20" s="55" t="n"/>
      <c r="AY20" s="55" t="n"/>
      <c r="AZ20" s="55" t="n"/>
      <c r="BA20" s="55" t="n"/>
      <c r="BB20" s="55" t="n"/>
      <c r="BC20" s="55" t="n"/>
      <c r="BD20" s="55" t="n"/>
      <c r="BE20" s="55" t="n"/>
      <c r="BF20" s="55" t="n"/>
      <c r="BG20" s="55" t="n"/>
      <c r="BH20" s="55" t="n"/>
      <c r="BI20" s="55" t="n"/>
      <c r="BJ20" s="55" t="n"/>
      <c r="BK20" s="55" t="n"/>
      <c r="BL20" s="55" t="n"/>
      <c r="BM20" s="55" t="n"/>
      <c r="BN20" s="55" t="n"/>
      <c r="BO20" s="55" t="n"/>
      <c r="BP20" s="55" t="n"/>
      <c r="BQ20" s="55" t="n"/>
      <c r="BR20" s="55" t="n"/>
      <c r="BS20" s="55" t="n"/>
      <c r="BT20" s="55" t="n"/>
      <c r="BU20" s="55" t="n"/>
      <c r="BV20" s="55" t="n"/>
      <c r="BW20" s="55" t="n"/>
      <c r="BX20" s="55" t="n"/>
      <c r="BY20" s="55" t="n"/>
      <c r="BZ20" s="55" t="n"/>
      <c r="CA20" s="55" t="n"/>
      <c r="CB20" s="55" t="n"/>
      <c r="CC20" s="55" t="n"/>
      <c r="CD20" s="55" t="n"/>
      <c r="CE20" s="55" t="n"/>
      <c r="CF20" s="55" t="n"/>
      <c r="CG20" s="55" t="n"/>
      <c r="CH20" s="55" t="n"/>
      <c r="CI20" s="55" t="n"/>
      <c r="CJ20" s="55" t="n"/>
      <c r="CK20" s="55" t="n"/>
      <c r="CL20" s="55" t="n"/>
      <c r="CM20" s="55" t="n"/>
      <c r="CN20" s="55" t="n"/>
      <c r="CO20" s="55" t="n"/>
      <c r="CP20" s="55" t="n"/>
      <c r="CQ20" s="55" t="n"/>
      <c r="CR20" s="55" t="n"/>
      <c r="CS20" s="55" t="n"/>
      <c r="CT20" s="55" t="n"/>
      <c r="CU20" s="55" t="n"/>
      <c r="CV20" s="55" t="n"/>
      <c r="CW20" s="55" t="n"/>
      <c r="CX20" s="55" t="n"/>
      <c r="CY20" s="55" t="n"/>
      <c r="CZ20" s="55" t="n"/>
      <c r="DA20" s="55" t="n"/>
      <c r="DB20" s="55" t="n"/>
      <c r="DC20" s="55" t="n"/>
      <c r="DD20" s="55" t="n"/>
      <c r="DE20" s="55" t="n"/>
    </row>
    <row r="21">
      <c r="A21" s="55" t="inlineStr">
        <is>
          <t>issue_315</t>
        </is>
      </c>
      <c r="B21" s="56" t="inlineStr">
        <is>
          <t>NOT_TESTED</t>
        </is>
      </c>
      <c r="C21" s="56" t="inlineStr">
        <is>
          <t>NOT_TESTED</t>
        </is>
      </c>
      <c r="D21" s="56" t="inlineStr">
        <is>
          <t>NOT_TESTED</t>
        </is>
      </c>
      <c r="E21" s="56" t="inlineStr">
        <is>
          <t>NOT_TESTED</t>
        </is>
      </c>
      <c r="F21" s="57" t="inlineStr">
        <is>
          <t>ERROR</t>
        </is>
      </c>
      <c r="G21" s="57" t="inlineStr">
        <is>
          <t>ERROR</t>
        </is>
      </c>
      <c r="H21" s="57" t="inlineStr">
        <is>
          <t>ERROR</t>
        </is>
      </c>
      <c r="I21" s="57" t="inlineStr">
        <is>
          <t>ERROR</t>
        </is>
      </c>
      <c r="J21" s="57" t="inlineStr">
        <is>
          <t>ERROR</t>
        </is>
      </c>
      <c r="K21" s="57" t="inlineStr">
        <is>
          <t>ERROR</t>
        </is>
      </c>
      <c r="L21" s="57" t="inlineStr">
        <is>
          <t>ERROR</t>
        </is>
      </c>
      <c r="M21" s="57" t="inlineStr">
        <is>
          <t>ERROR</t>
        </is>
      </c>
      <c r="N21" s="57" t="inlineStr">
        <is>
          <t>ERROR</t>
        </is>
      </c>
      <c r="O21" s="57" t="inlineStr">
        <is>
          <t>ERROR</t>
        </is>
      </c>
      <c r="P21" s="57" t="inlineStr">
        <is>
          <t>ERROR</t>
        </is>
      </c>
      <c r="Q21" s="57" t="inlineStr">
        <is>
          <t>ERROR</t>
        </is>
      </c>
      <c r="R21" s="57" t="inlineStr">
        <is>
          <t>ERROR</t>
        </is>
      </c>
      <c r="S21" s="57" t="inlineStr">
        <is>
          <t>ERROR</t>
        </is>
      </c>
      <c r="T21" s="57" t="inlineStr">
        <is>
          <t>ERROR</t>
        </is>
      </c>
      <c r="U21" s="57" t="inlineStr">
        <is>
          <t>ERROR</t>
        </is>
      </c>
      <c r="V21" s="57" t="inlineStr">
        <is>
          <t>ERROR</t>
        </is>
      </c>
      <c r="W21" s="57" t="inlineStr">
        <is>
          <t>ERROR</t>
        </is>
      </c>
      <c r="X21" s="57" t="inlineStr">
        <is>
          <t>ERROR</t>
        </is>
      </c>
      <c r="Y21" s="57" t="inlineStr">
        <is>
          <t>ERROR</t>
        </is>
      </c>
      <c r="Z21" s="57" t="inlineStr">
        <is>
          <t>ERROR</t>
        </is>
      </c>
      <c r="AA21" s="57" t="inlineStr">
        <is>
          <t>ERROR</t>
        </is>
      </c>
      <c r="AB21" s="57" t="inlineStr">
        <is>
          <t>ERROR</t>
        </is>
      </c>
      <c r="AC21" s="55" t="n"/>
      <c r="AD21" s="55" t="n"/>
      <c r="AE21" s="55" t="n"/>
      <c r="AF21" s="55" t="n"/>
      <c r="AG21" s="55" t="n"/>
      <c r="AH21" s="55" t="n"/>
      <c r="AI21" s="55" t="n"/>
      <c r="AJ21" s="55" t="n"/>
      <c r="AK21" s="55" t="n"/>
      <c r="AL21" s="55" t="n"/>
      <c r="AM21" s="55" t="n"/>
      <c r="AN21" s="55" t="n"/>
      <c r="AO21" s="55" t="inlineStr">
        <is>
          <t>ModuleNotFoundError</t>
        </is>
      </c>
      <c r="AP21" s="55" t="inlineStr">
        <is>
          <t>ModuleNotFoundError: No module named 'qiskit.providers.basic_provider'</t>
        </is>
      </c>
      <c r="AQ21" s="55" t="inlineStr">
        <is>
          <t>The LLM kept the BasicProvider import, and qiskit.providers.basic_provider does not exist before Qiskit 0.46, so the script crashes on import (it also deleted the parallel options the user wanted instead of switching to AerSimulator).</t>
        </is>
      </c>
      <c r="AR21" s="55" t="inlineStr">
        <is>
          <t>ModuleNotFoundError</t>
        </is>
      </c>
      <c r="AS21" s="55" t="inlineStr">
        <is>
          <t>ModuleNotFoundError: No module named 'qiskit.providers.basic_provider'</t>
        </is>
      </c>
      <c r="AT21" s="55" t="inlineStr">
        <is>
          <t>The LLM kept the BasicProvider import, and qiskit.providers.basic_provider does not exist before Qiskit 0.46, so the script crashes on import (it also deleted the parallel options the user wanted instead of switching to AerSimulator).</t>
        </is>
      </c>
      <c r="AU21" s="55" t="inlineStr">
        <is>
          <t>ModuleNotFoundError</t>
        </is>
      </c>
      <c r="AV21" s="55" t="inlineStr">
        <is>
          <t>ModuleNotFoundError: No module named 'qiskit.providers.basic_provider'</t>
        </is>
      </c>
      <c r="AW21" s="55" t="inlineStr">
        <is>
          <t>The LLM kept the BasicProvider import, and qiskit.providers.basic_provider does not exist before Qiskit 0.46, so the script crashes on import (it also deleted the parallel options the user wanted instead of switching to AerSimulator).</t>
        </is>
      </c>
      <c r="AX21" s="55" t="inlineStr">
        <is>
          <t>ModuleNotFoundError</t>
        </is>
      </c>
      <c r="AY21" s="55" t="inlineStr">
        <is>
          <t>ModuleNotFoundError: No module named 'qiskit.providers.basic_provider'</t>
        </is>
      </c>
      <c r="AZ21" s="55" t="inlineStr">
        <is>
          <t>The LLM kept the BasicProvider import, and qiskit.providers.basic_provider does not exist before Qiskit 0.46, so the script crashes on import (it also deleted the parallel options the user wanted instead of switching to AerSimulator).</t>
        </is>
      </c>
      <c r="BA21" s="55" t="inlineStr">
        <is>
          <t>AttributeError</t>
        </is>
      </c>
      <c r="BB21" s="55" t="inlineStr">
        <is>
          <t>AttributeError: Option max_parallel_threads is not defined</t>
        </is>
      </c>
      <c r="BC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55" t="inlineStr">
        <is>
          <t>AttributeError</t>
        </is>
      </c>
      <c r="BE21" s="55" t="inlineStr">
        <is>
          <t>AttributeError: Option max_parallel_threads is not defined</t>
        </is>
      </c>
      <c r="BF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55" t="inlineStr">
        <is>
          <t>AttributeError</t>
        </is>
      </c>
      <c r="BH21" s="55" t="inlineStr">
        <is>
          <t>AttributeError: Option max_parallel_threads is not defined</t>
        </is>
      </c>
      <c r="BI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55" t="inlineStr">
        <is>
          <t>AttributeError</t>
        </is>
      </c>
      <c r="BK21" s="55" t="inlineStr">
        <is>
          <t>AttributeError: Option max_parallel_threads is not defined</t>
        </is>
      </c>
      <c r="BL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55" t="inlineStr">
        <is>
          <t>AttributeError</t>
        </is>
      </c>
      <c r="BN21" s="55" t="inlineStr">
        <is>
          <t>AttributeError: Option max_parallel_threads is not defined</t>
        </is>
      </c>
      <c r="BO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55" t="inlineStr">
        <is>
          <t>AttributeError</t>
        </is>
      </c>
      <c r="BQ21" s="55" t="inlineStr">
        <is>
          <t>AttributeError: Option max_parallel_threads is not defined</t>
        </is>
      </c>
      <c r="BR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55" t="inlineStr">
        <is>
          <t>AttributeError</t>
        </is>
      </c>
      <c r="BT21" s="55" t="inlineStr">
        <is>
          <t>AttributeError: Option max_parallel_threads is not defined</t>
        </is>
      </c>
      <c r="BU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55" t="inlineStr">
        <is>
          <t>AttributeError</t>
        </is>
      </c>
      <c r="BW21" s="55" t="inlineStr">
        <is>
          <t>AttributeError: Option max_parallel_threads is not defined</t>
        </is>
      </c>
      <c r="BX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55" t="inlineStr">
        <is>
          <t>AttributeError</t>
        </is>
      </c>
      <c r="BZ21" s="55" t="inlineStr">
        <is>
          <t>AttributeError: Option max_parallel_threads is not defined</t>
        </is>
      </c>
      <c r="CA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55" t="inlineStr">
        <is>
          <t>AttributeError</t>
        </is>
      </c>
      <c r="CC21" s="55" t="inlineStr">
        <is>
          <t>AttributeError: Option max_parallel_threads is not defined</t>
        </is>
      </c>
      <c r="CD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55" t="inlineStr">
        <is>
          <t>AttributeError</t>
        </is>
      </c>
      <c r="CF21" s="55" t="inlineStr">
        <is>
          <t>AttributeError: Option max_parallel_threads is not defined</t>
        </is>
      </c>
      <c r="CG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55" t="inlineStr">
        <is>
          <t>AttributeError</t>
        </is>
      </c>
      <c r="CI21" s="55" t="inlineStr">
        <is>
          <t>AttributeError: Option max_parallel_threads is not defined</t>
        </is>
      </c>
      <c r="CJ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55" t="inlineStr">
        <is>
          <t>AttributeError</t>
        </is>
      </c>
      <c r="CL21" s="55" t="inlineStr">
        <is>
          <t>AttributeError: Option max_parallel_threads is not defined</t>
        </is>
      </c>
      <c r="CM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55" t="inlineStr">
        <is>
          <t>AttributeError</t>
        </is>
      </c>
      <c r="CO21" s="55" t="inlineStr">
        <is>
          <t>AttributeError: Option max_parallel_threads is not defined</t>
        </is>
      </c>
      <c r="CP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55" t="inlineStr">
        <is>
          <t>AttributeError</t>
        </is>
      </c>
      <c r="CR21" s="55" t="inlineStr">
        <is>
          <t>AttributeError: Option max_parallel_threads is not defined</t>
        </is>
      </c>
      <c r="CS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55" t="inlineStr">
        <is>
          <t>AttributeError</t>
        </is>
      </c>
      <c r="CU21" s="55" t="inlineStr">
        <is>
          <t>AttributeError: Option max_parallel_threads is not defined</t>
        </is>
      </c>
      <c r="CV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55" t="inlineStr">
        <is>
          <t>AttributeError</t>
        </is>
      </c>
      <c r="CX21" s="55" t="inlineStr">
        <is>
          <t>AttributeError: Option max_parallel_threads is not defined</t>
        </is>
      </c>
      <c r="CY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55" t="inlineStr">
        <is>
          <t>AttributeError</t>
        </is>
      </c>
      <c r="DA21" s="55" t="inlineStr">
        <is>
          <t>AttributeError: Option max_parallel_threads is not defined</t>
        </is>
      </c>
      <c r="DB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55" t="inlineStr">
        <is>
          <t>AttributeError</t>
        </is>
      </c>
      <c r="DD21" s="55" t="inlineStr">
        <is>
          <t>AttributeError: Option max_parallel_threads is not defined</t>
        </is>
      </c>
      <c r="DE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2">
      <c r="A22" s="55" t="inlineStr">
        <is>
          <t>issue_344</t>
        </is>
      </c>
      <c r="B22" s="57" t="inlineStr">
        <is>
          <t>ERROR</t>
        </is>
      </c>
      <c r="C22" s="57" t="inlineStr">
        <is>
          <t>ERROR</t>
        </is>
      </c>
      <c r="D22" s="57" t="inlineStr">
        <is>
          <t>ERROR</t>
        </is>
      </c>
      <c r="E22" s="57" t="inlineStr">
        <is>
          <t>ERROR</t>
        </is>
      </c>
      <c r="F22" s="57" t="inlineStr">
        <is>
          <t>ERROR</t>
        </is>
      </c>
      <c r="G22" s="57" t="inlineStr">
        <is>
          <t>ERROR</t>
        </is>
      </c>
      <c r="H22" s="57" t="inlineStr">
        <is>
          <t>ERROR</t>
        </is>
      </c>
      <c r="I22" s="57" t="inlineStr">
        <is>
          <t>ERROR</t>
        </is>
      </c>
      <c r="J22" s="57" t="inlineStr">
        <is>
          <t>ERROR</t>
        </is>
      </c>
      <c r="K22" s="57" t="inlineStr">
        <is>
          <t>ERROR</t>
        </is>
      </c>
      <c r="L22" s="57" t="inlineStr">
        <is>
          <t>ERROR</t>
        </is>
      </c>
      <c r="M22" s="57" t="inlineStr">
        <is>
          <t>ERROR</t>
        </is>
      </c>
      <c r="N22" s="56" t="inlineStr">
        <is>
          <t>NOT_TESTED</t>
        </is>
      </c>
      <c r="O22" s="56" t="inlineStr">
        <is>
          <t>NOT_TESTED</t>
        </is>
      </c>
      <c r="P22" s="56" t="inlineStr">
        <is>
          <t>NOT_TESTED</t>
        </is>
      </c>
      <c r="Q22" s="56" t="inlineStr">
        <is>
          <t>NOT_TESTED</t>
        </is>
      </c>
      <c r="R22" s="56" t="inlineStr">
        <is>
          <t>NOT_TESTED</t>
        </is>
      </c>
      <c r="S22" s="56" t="inlineStr">
        <is>
          <t>NOT_TESTED</t>
        </is>
      </c>
      <c r="T22" s="56" t="inlineStr">
        <is>
          <t>NOT_TESTED</t>
        </is>
      </c>
      <c r="U22" s="56" t="inlineStr">
        <is>
          <t>NOT_TESTED</t>
        </is>
      </c>
      <c r="V22" s="56" t="inlineStr">
        <is>
          <t>NOT_TESTED</t>
        </is>
      </c>
      <c r="W22" s="56" t="inlineStr">
        <is>
          <t>NOT_TESTED</t>
        </is>
      </c>
      <c r="X22" s="56" t="inlineStr">
        <is>
          <t>NOT_TESTED</t>
        </is>
      </c>
      <c r="Y22" s="56" t="inlineStr">
        <is>
          <t>NOT_TESTED</t>
        </is>
      </c>
      <c r="Z22" s="56" t="inlineStr">
        <is>
          <t>NOT_TESTED</t>
        </is>
      </c>
      <c r="AA22" s="56" t="inlineStr">
        <is>
          <t>NOT_TESTED</t>
        </is>
      </c>
      <c r="AB22" s="56" t="inlineStr">
        <is>
          <t>NOT_TESTED</t>
        </is>
      </c>
      <c r="AC22" s="55" t="inlineStr">
        <is>
          <t>QiskitError</t>
        </is>
      </c>
      <c r="AD22" s="55" t="inlineStr">
        <is>
          <t>qiskit.exceptions.QiskitError: 'Input quantum state is not a valid'</t>
        </is>
      </c>
      <c r="AE22" s="55" t="inlineStr">
        <is>
          <t>The LLM passed the Statevector object to entropy() but kept get_statevector(..., decimals=3); the rounded amplitudes are no longer normalized, so Qiskit rejects the state ('Input quantum state is not a valid'). The reference also removes decimals=3.</t>
        </is>
      </c>
      <c r="AF22" s="55" t="inlineStr">
        <is>
          <t>QiskitError</t>
        </is>
      </c>
      <c r="AG22" s="55" t="inlineStr">
        <is>
          <t>qiskit.exceptions.QiskitError: 'Input quantum state is not a valid'</t>
        </is>
      </c>
      <c r="AH22" s="55" t="inlineStr">
        <is>
          <t>The LLM passed the Statevector object to entropy() but kept get_statevector(..., decimals=3); the rounded amplitudes are no longer normalized, so Qiskit rejects the state ('Input quantum state is not a valid'). The reference also removes decimals=3.</t>
        </is>
      </c>
      <c r="AI22" s="55" t="inlineStr">
        <is>
          <t>QiskitError</t>
        </is>
      </c>
      <c r="AJ22" s="55" t="inlineStr">
        <is>
          <t>qiskit.exceptions.QiskitError: 'Input quantum state is not a valid'</t>
        </is>
      </c>
      <c r="AK22" s="55" t="inlineStr">
        <is>
          <t>The LLM passed the Statevector object to entropy() but kept get_statevector(..., decimals=3); the rounded amplitudes are no longer normalized, so Qiskit rejects the state ('Input quantum state is not a valid'). The reference also removes decimals=3.</t>
        </is>
      </c>
      <c r="AL22" s="55" t="inlineStr">
        <is>
          <t>QiskitError</t>
        </is>
      </c>
      <c r="AM22" s="55" t="inlineStr">
        <is>
          <t>qiskit.exceptions.QiskitError: 'Input quantum state is not a valid'</t>
        </is>
      </c>
      <c r="AN22" s="55" t="inlineStr">
        <is>
          <t>The LLM passed the Statevector object to entropy() but kept get_statevector(..., decimals=3); the rounded amplitudes are no longer normalized, so Qiskit rejects the state ('Input quantum state is not a valid'). The reference also removes decimals=3.</t>
        </is>
      </c>
      <c r="AO22" s="55" t="inlineStr">
        <is>
          <t>QiskitError</t>
        </is>
      </c>
      <c r="AP22" s="55" t="inlineStr">
        <is>
          <t>qiskit.exceptions.QiskitError: 'Input quantum state is not a valid'</t>
        </is>
      </c>
      <c r="AQ22" s="55" t="inlineStr">
        <is>
          <t>The LLM passed the Statevector object to entropy() but kept get_statevector(..., decimals=3); the rounded amplitudes are no longer normalized, so Qiskit rejects the state ('Input quantum state is not a valid'). The reference also removes decimals=3.</t>
        </is>
      </c>
      <c r="AR22" s="55" t="inlineStr">
        <is>
          <t>QiskitError</t>
        </is>
      </c>
      <c r="AS22" s="55" t="inlineStr">
        <is>
          <t>qiskit.exceptions.QiskitError: 'Input quantum state is not a valid'</t>
        </is>
      </c>
      <c r="AT22" s="55" t="inlineStr">
        <is>
          <t>The LLM passed the Statevector object to entropy() but kept get_statevector(..., decimals=3); the rounded amplitudes are no longer normalized, so Qiskit rejects the state ('Input quantum state is not a valid'). The reference also removes decimals=3.</t>
        </is>
      </c>
      <c r="AU22" s="55" t="inlineStr">
        <is>
          <t>QiskitError</t>
        </is>
      </c>
      <c r="AV22" s="55" t="inlineStr">
        <is>
          <t>qiskit.exceptions.QiskitError: 'Input quantum state is not a valid'</t>
        </is>
      </c>
      <c r="AW22" s="55" t="inlineStr">
        <is>
          <t>The LLM passed the Statevector object to entropy() but kept get_statevector(..., decimals=3); the rounded amplitudes are no longer normalized, so Qiskit rejects the state ('Input quantum state is not a valid'). The reference also removes decimals=3.</t>
        </is>
      </c>
      <c r="AX22" s="55" t="inlineStr">
        <is>
          <t>QiskitError</t>
        </is>
      </c>
      <c r="AY22" s="55" t="inlineStr">
        <is>
          <t>qiskit.exceptions.QiskitError: 'Input quantum state is not a valid'</t>
        </is>
      </c>
      <c r="AZ22" s="55" t="inlineStr">
        <is>
          <t>The LLM passed the Statevector object to entropy() but kept get_statevector(..., decimals=3); the rounded amplitudes are no longer normalized, so Qiskit rejects the state ('Input quantum state is not a valid'). The reference also removes decimals=3.</t>
        </is>
      </c>
      <c r="BA22" s="55" t="inlineStr">
        <is>
          <t>QiskitError</t>
        </is>
      </c>
      <c r="BB22" s="55" t="inlineStr">
        <is>
          <t>qiskit.exceptions.QiskitError: 'Input quantum state is not a valid'</t>
        </is>
      </c>
      <c r="BC22" s="55" t="inlineStr">
        <is>
          <t>The LLM passed the Statevector object to entropy() but kept get_statevector(..., decimals=3); the rounded amplitudes are no longer normalized, so Qiskit rejects the state ('Input quantum state is not a valid'). The reference also removes decimals=3.</t>
        </is>
      </c>
      <c r="BD22" s="55" t="inlineStr">
        <is>
          <t>QiskitError</t>
        </is>
      </c>
      <c r="BE22" s="55" t="inlineStr">
        <is>
          <t>qiskit.exceptions.QiskitError: 'Input quantum state is not a valid'</t>
        </is>
      </c>
      <c r="BF22" s="55" t="inlineStr">
        <is>
          <t>The LLM passed the Statevector object to entropy() but kept get_statevector(..., decimals=3); the rounded amplitudes are no longer normalized, so Qiskit rejects the state ('Input quantum state is not a valid'). The reference also removes decimals=3.</t>
        </is>
      </c>
      <c r="BG22" s="55" t="inlineStr">
        <is>
          <t>QiskitError</t>
        </is>
      </c>
      <c r="BH22" s="55" t="inlineStr">
        <is>
          <t>qiskit.exceptions.QiskitError: 'Input quantum state is not a valid'</t>
        </is>
      </c>
      <c r="BI22" s="55" t="inlineStr">
        <is>
          <t>The LLM passed the Statevector object to entropy() but kept get_statevector(..., decimals=3); the rounded amplitudes are no longer normalized, so Qiskit rejects the state ('Input quantum state is not a valid'). The reference also removes decimals=3.</t>
        </is>
      </c>
      <c r="BJ22" s="55" t="inlineStr">
        <is>
          <t>QiskitError</t>
        </is>
      </c>
      <c r="BK22" s="55" t="inlineStr">
        <is>
          <t>qiskit.exceptions.QiskitError: 'Input quantum state is not a valid'</t>
        </is>
      </c>
      <c r="BL22" s="55" t="inlineStr">
        <is>
          <t>The LLM passed the Statevector object to entropy() but kept get_statevector(..., decimals=3); the rounded amplitudes are no longer normalized, so Qiskit rejects the state ('Input quantum state is not a valid'). The reference also removes decimals=3.</t>
        </is>
      </c>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issue_362</t>
        </is>
      </c>
      <c r="B23" s="56" t="inlineStr">
        <is>
          <t>NOT_TESTED</t>
        </is>
      </c>
      <c r="C23" s="56" t="inlineStr">
        <is>
          <t>NOT_TESTED</t>
        </is>
      </c>
      <c r="D23" s="56" t="inlineStr">
        <is>
          <t>NOT_TESTED</t>
        </is>
      </c>
      <c r="E23" s="56" t="inlineStr">
        <is>
          <t>NOT_TESTED</t>
        </is>
      </c>
      <c r="F23" s="59" t="inlineStr">
        <is>
          <t>PASS</t>
        </is>
      </c>
      <c r="G23" s="59" t="inlineStr">
        <is>
          <t>PASS</t>
        </is>
      </c>
      <c r="H23" s="59" t="inlineStr">
        <is>
          <t>PASS</t>
        </is>
      </c>
      <c r="I23" s="59" t="inlineStr">
        <is>
          <t>PASS</t>
        </is>
      </c>
      <c r="J23" s="59" t="inlineStr">
        <is>
          <t>PASS</t>
        </is>
      </c>
      <c r="K23" s="59" t="inlineStr">
        <is>
          <t>PASS</t>
        </is>
      </c>
      <c r="L23" s="59" t="inlineStr">
        <is>
          <t>PASS</t>
        </is>
      </c>
      <c r="M23" s="59" t="inlineStr">
        <is>
          <t>PASS</t>
        </is>
      </c>
      <c r="N23" s="59" t="inlineStr">
        <is>
          <t>PASS</t>
        </is>
      </c>
      <c r="O23" s="59" t="inlineStr">
        <is>
          <t>PASS</t>
        </is>
      </c>
      <c r="P23" s="59" t="inlineStr">
        <is>
          <t>PASS</t>
        </is>
      </c>
      <c r="Q23" s="59" t="inlineStr">
        <is>
          <t>PASS</t>
        </is>
      </c>
      <c r="R23" s="59" t="inlineStr">
        <is>
          <t>PASS</t>
        </is>
      </c>
      <c r="S23" s="59" t="inlineStr">
        <is>
          <t>PASS</t>
        </is>
      </c>
      <c r="T23" s="59" t="inlineStr">
        <is>
          <t>PASS</t>
        </is>
      </c>
      <c r="U23" s="59" t="inlineStr">
        <is>
          <t>PASS</t>
        </is>
      </c>
      <c r="V23" s="59" t="inlineStr">
        <is>
          <t>PASS</t>
        </is>
      </c>
      <c r="W23" s="59" t="inlineStr">
        <is>
          <t>PASS</t>
        </is>
      </c>
      <c r="X23" s="59" t="inlineStr">
        <is>
          <t>PASS</t>
        </is>
      </c>
      <c r="Y23" s="59" t="inlineStr">
        <is>
          <t>PASS</t>
        </is>
      </c>
      <c r="Z23" s="59" t="inlineStr">
        <is>
          <t>PASS</t>
        </is>
      </c>
      <c r="AA23" s="59" t="inlineStr">
        <is>
          <t>PASS</t>
        </is>
      </c>
      <c r="AB23" s="59" t="inlineStr">
        <is>
          <t>PASS</t>
        </is>
      </c>
      <c r="AC23" s="55" t="n"/>
      <c r="AD23" s="55" t="n"/>
      <c r="AE23" s="55" t="n"/>
      <c r="AF23" s="55" t="n"/>
      <c r="AG23" s="55" t="n"/>
      <c r="AH23" s="55" t="n"/>
      <c r="AI23" s="55" t="n"/>
      <c r="AJ23" s="55" t="n"/>
      <c r="AK23" s="55" t="n"/>
      <c r="AL23" s="55" t="n"/>
      <c r="AM23" s="55" t="n"/>
      <c r="AN23" s="55" t="n"/>
      <c r="AO23" s="55" t="n"/>
      <c r="AP23" s="55" t="n"/>
      <c r="AQ23" s="55" t="n"/>
      <c r="AR23" s="55" t="n"/>
      <c r="AS23" s="55" t="n"/>
      <c r="AT23" s="55" t="n"/>
      <c r="AU23" s="55" t="n"/>
      <c r="AV23" s="55" t="n"/>
      <c r="AW23" s="55" t="n"/>
      <c r="AX23" s="55" t="n"/>
      <c r="AY23" s="55" t="n"/>
      <c r="AZ23" s="55" t="n"/>
      <c r="BA23" s="55" t="n"/>
      <c r="BB23" s="55" t="n"/>
      <c r="BC23" s="55" t="n"/>
      <c r="BD23" s="55" t="n"/>
      <c r="BE23" s="55" t="n"/>
      <c r="BF23" s="55" t="n"/>
      <c r="BG23" s="55" t="n"/>
      <c r="BH23" s="55" t="n"/>
      <c r="BI23" s="55" t="n"/>
      <c r="BJ23" s="55" t="n"/>
      <c r="BK23" s="55" t="n"/>
      <c r="BL23" s="55" t="n"/>
      <c r="BM23" s="55" t="n"/>
      <c r="BN23" s="55" t="n"/>
      <c r="BO23" s="55" t="n"/>
      <c r="BP23" s="55" t="n"/>
      <c r="BQ23" s="55" t="n"/>
      <c r="BR23" s="55" t="n"/>
      <c r="BS23" s="55" t="n"/>
      <c r="BT23" s="55" t="n"/>
      <c r="BU23" s="55" t="n"/>
      <c r="BV23" s="55" t="n"/>
      <c r="BW23" s="55" t="n"/>
      <c r="BX23" s="55" t="n"/>
      <c r="BY23" s="55" t="n"/>
      <c r="BZ23" s="55" t="n"/>
      <c r="CA23" s="55" t="n"/>
      <c r="CB23" s="55" t="n"/>
      <c r="CC23" s="55" t="n"/>
      <c r="CD23" s="55" t="n"/>
      <c r="CE23" s="55" t="n"/>
      <c r="CF23" s="55" t="n"/>
      <c r="CG23" s="55" t="n"/>
      <c r="CH23" s="55" t="n"/>
      <c r="CI23" s="55" t="n"/>
      <c r="CJ23" s="55" t="n"/>
      <c r="CK23" s="55" t="n"/>
      <c r="CL23" s="55" t="n"/>
      <c r="CM23" s="55" t="n"/>
      <c r="CN23" s="55" t="n"/>
      <c r="CO23" s="55" t="n"/>
      <c r="CP23" s="55" t="n"/>
      <c r="CQ23" s="55" t="n"/>
      <c r="CR23" s="55" t="n"/>
      <c r="CS23" s="55" t="n"/>
      <c r="CT23" s="55" t="n"/>
      <c r="CU23" s="55" t="n"/>
      <c r="CV23" s="55" t="n"/>
      <c r="CW23" s="55" t="n"/>
      <c r="CX23" s="55" t="n"/>
      <c r="CY23" s="55" t="n"/>
      <c r="CZ23" s="55" t="n"/>
      <c r="DA23" s="55" t="n"/>
      <c r="DB23" s="55" t="n"/>
      <c r="DC23" s="55" t="n"/>
      <c r="DD23" s="55" t="n"/>
      <c r="DE23" s="55" t="n"/>
    </row>
    <row r="24">
      <c r="A24" s="55" t="inlineStr">
        <is>
          <t>issue_369</t>
        </is>
      </c>
      <c r="B24" s="57" t="inlineStr">
        <is>
          <t>ERROR</t>
        </is>
      </c>
      <c r="C24" s="57" t="inlineStr">
        <is>
          <t>ERROR</t>
        </is>
      </c>
      <c r="D24" s="57" t="inlineStr">
        <is>
          <t>ERROR</t>
        </is>
      </c>
      <c r="E24" s="57" t="inlineStr">
        <is>
          <t>ERROR</t>
        </is>
      </c>
      <c r="F24" s="57" t="inlineStr">
        <is>
          <t>ERROR</t>
        </is>
      </c>
      <c r="G24" s="57" t="inlineStr">
        <is>
          <t>ERROR</t>
        </is>
      </c>
      <c r="H24" s="57" t="inlineStr">
        <is>
          <t>ERROR</t>
        </is>
      </c>
      <c r="I24" s="57" t="inlineStr">
        <is>
          <t>ERROR</t>
        </is>
      </c>
      <c r="J24" s="57" t="inlineStr">
        <is>
          <t>ERROR</t>
        </is>
      </c>
      <c r="K24" s="57" t="inlineStr">
        <is>
          <t>ERROR</t>
        </is>
      </c>
      <c r="L24" s="57" t="inlineStr">
        <is>
          <t>ERROR</t>
        </is>
      </c>
      <c r="M24" s="57" t="inlineStr">
        <is>
          <t>ERROR</t>
        </is>
      </c>
      <c r="N24" s="57" t="inlineStr">
        <is>
          <t>ERROR</t>
        </is>
      </c>
      <c r="O24" s="57" t="inlineStr">
        <is>
          <t>ERROR</t>
        </is>
      </c>
      <c r="P24" s="57" t="inlineStr">
        <is>
          <t>ERROR</t>
        </is>
      </c>
      <c r="Q24" s="57" t="inlineStr">
        <is>
          <t>ERROR</t>
        </is>
      </c>
      <c r="R24" s="57" t="inlineStr">
        <is>
          <t>ERROR</t>
        </is>
      </c>
      <c r="S24" s="57" t="inlineStr">
        <is>
          <t>ERROR</t>
        </is>
      </c>
      <c r="T24" s="57" t="inlineStr">
        <is>
          <t>ERROR</t>
        </is>
      </c>
      <c r="U24" s="57" t="inlineStr">
        <is>
          <t>ERROR</t>
        </is>
      </c>
      <c r="V24" s="57" t="inlineStr">
        <is>
          <t>ERROR</t>
        </is>
      </c>
      <c r="W24" s="57" t="inlineStr">
        <is>
          <t>ERROR</t>
        </is>
      </c>
      <c r="X24" s="57" t="inlineStr">
        <is>
          <t>ERROR</t>
        </is>
      </c>
      <c r="Y24" s="57" t="inlineStr">
        <is>
          <t>ERROR</t>
        </is>
      </c>
      <c r="Z24" s="57" t="inlineStr">
        <is>
          <t>ERROR</t>
        </is>
      </c>
      <c r="AA24" s="57" t="inlineStr">
        <is>
          <t>ERROR</t>
        </is>
      </c>
      <c r="AB24" s="57" t="inlineStr">
        <is>
          <t>ERROR</t>
        </is>
      </c>
      <c r="AC24" s="55" t="inlineStr">
        <is>
          <t>CircuitError</t>
        </is>
      </c>
      <c r="AD24" s="55" t="inlineStr">
        <is>
          <t>qiskit.circuit.exceptions.CircuitError: 'The amount of qubit(3)/clbit(0) arguments does not match the gate expectation (4).'</t>
        </is>
      </c>
      <c r="A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4" s="55" t="inlineStr">
        <is>
          <t>CircuitError</t>
        </is>
      </c>
      <c r="AG24" s="55" t="inlineStr">
        <is>
          <t>qiskit.circuit.exceptions.CircuitError: 'The amount of qubit(3)/clbit(0) arguments does not match the gate expectation (4).'</t>
        </is>
      </c>
      <c r="AH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4" s="55" t="inlineStr">
        <is>
          <t>CircuitError</t>
        </is>
      </c>
      <c r="AJ24" s="55" t="inlineStr">
        <is>
          <t>qiskit.circuit.exceptions.CircuitError: 'The amount of qubit(3)/clbit(0) arguments does not match the gate expectation (4).'</t>
        </is>
      </c>
      <c r="AK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4" s="55" t="inlineStr">
        <is>
          <t>CircuitError</t>
        </is>
      </c>
      <c r="AM24" s="55" t="inlineStr">
        <is>
          <t>qiskit.circuit.exceptions.CircuitError: 'The amount of qubit(3)/clbit(0) arguments does not match the gate expectation (4).'</t>
        </is>
      </c>
      <c r="AN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4" s="55" t="inlineStr">
        <is>
          <t>CircuitError</t>
        </is>
      </c>
      <c r="AP24" s="55" t="inlineStr">
        <is>
          <t>qiskit.circuit.exceptions.CircuitError: 'The amount of qubit(3)/clbit(0) arguments does not match the gate expectation (4).'</t>
        </is>
      </c>
      <c r="AQ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4" s="55" t="inlineStr">
        <is>
          <t>CircuitError</t>
        </is>
      </c>
      <c r="AS24" s="55" t="inlineStr">
        <is>
          <t>qiskit.circuit.exceptions.CircuitError: 'The amount of qubit(3)/clbit(0) arguments does not match the gate expectation (4).'</t>
        </is>
      </c>
      <c r="AT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4" s="55" t="inlineStr">
        <is>
          <t>CircuitError</t>
        </is>
      </c>
      <c r="AV24" s="55" t="inlineStr">
        <is>
          <t>qiskit.circuit.exceptions.CircuitError: 'The amount of qubit(3)/clbit(0) arguments does not match the gate expectation (4).'</t>
        </is>
      </c>
      <c r="AW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4" s="55" t="inlineStr">
        <is>
          <t>CircuitError</t>
        </is>
      </c>
      <c r="AY24" s="55" t="inlineStr">
        <is>
          <t>qiskit.circuit.exceptions.CircuitError: 'The amount of qubit(3)/clbit(0) arguments does not match the gate expectation (4).'</t>
        </is>
      </c>
      <c r="AZ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4" s="55" t="inlineStr">
        <is>
          <t>CircuitError</t>
        </is>
      </c>
      <c r="BB24" s="55" t="inlineStr">
        <is>
          <t>qiskit.circuit.exceptions.CircuitError: 'The amount of qubit(3)/clbit(0) arguments does not match the gate expectation (4).'</t>
        </is>
      </c>
      <c r="BC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4" s="55" t="inlineStr">
        <is>
          <t>CircuitError</t>
        </is>
      </c>
      <c r="BE24" s="55" t="inlineStr">
        <is>
          <t>qiskit.circuit.exceptions.CircuitError: 'The amount of qubit(3)/clbit(0) arguments does not match the gate expectation (4).'</t>
        </is>
      </c>
      <c r="BF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4" s="55" t="inlineStr">
        <is>
          <t>CircuitError</t>
        </is>
      </c>
      <c r="BH24" s="55" t="inlineStr">
        <is>
          <t>qiskit.circuit.exceptions.CircuitError: 'The amount of qubit(3)/clbit(0) arguments does not match the gate expectation (4).'</t>
        </is>
      </c>
      <c r="BI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4" s="55" t="inlineStr">
        <is>
          <t>CircuitError</t>
        </is>
      </c>
      <c r="BK24" s="55" t="inlineStr">
        <is>
          <t>qiskit.circuit.exceptions.CircuitError: 'The amount of qubit(3)/clbit(0) arguments does not match the gate expectation (4).'</t>
        </is>
      </c>
      <c r="BL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4" s="55" t="inlineStr">
        <is>
          <t>CircuitError</t>
        </is>
      </c>
      <c r="BN24" s="55" t="inlineStr">
        <is>
          <t>qiskit.circuit.exceptions.CircuitError: 'The amount of qubit(3)/clbit(0) arguments does not match the gate expectation (4).'</t>
        </is>
      </c>
      <c r="BO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4" s="55" t="inlineStr">
        <is>
          <t>CircuitError</t>
        </is>
      </c>
      <c r="BQ24" s="55" t="inlineStr">
        <is>
          <t>qiskit.circuit.exceptions.CircuitError: 'The amount of qubit(3)/clbit(0) arguments does not match the gate expectation (4).'</t>
        </is>
      </c>
      <c r="BR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4" s="55" t="inlineStr">
        <is>
          <t>CircuitError</t>
        </is>
      </c>
      <c r="BT24" s="55" t="inlineStr">
        <is>
          <t>qiskit.circuit.exceptions.CircuitError: 'The amount of qubit(3)/clbit(0) arguments does not match the gate expectation (4).'</t>
        </is>
      </c>
      <c r="BU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4" s="55" t="inlineStr">
        <is>
          <t>CircuitError</t>
        </is>
      </c>
      <c r="BW24" s="55" t="inlineStr">
        <is>
          <t>qiskit.circuit.exceptions.CircuitError: 'The amount of qubit(3)/clbit(0) arguments does not match the gate expectation (4).'</t>
        </is>
      </c>
      <c r="BX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4" s="55" t="inlineStr">
        <is>
          <t>CircuitError</t>
        </is>
      </c>
      <c r="BZ24" s="55" t="inlineStr">
        <is>
          <t>qiskit.circuit.exceptions.CircuitError: 'The amount of qubit(3)/clbit(0) arguments does not match the gate expectation (4).'</t>
        </is>
      </c>
      <c r="CA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4" s="55" t="inlineStr">
        <is>
          <t>CircuitError</t>
        </is>
      </c>
      <c r="CC24" s="55" t="inlineStr">
        <is>
          <t>qiskit.circuit.exceptions.CircuitError: 'The amount of qubit(3)/clbit(0) arguments does not match the gate expectation (4).'</t>
        </is>
      </c>
      <c r="CD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4" s="55" t="inlineStr">
        <is>
          <t>CircuitError</t>
        </is>
      </c>
      <c r="CF24" s="55" t="inlineStr">
        <is>
          <t>qiskit.circuit.exceptions.CircuitError: 'The amount of qubit(3)/clbit(0) arguments does not match the gate expectation (4).'</t>
        </is>
      </c>
      <c r="CG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4" s="55" t="inlineStr">
        <is>
          <t>CircuitError</t>
        </is>
      </c>
      <c r="CI24" s="55" t="inlineStr">
        <is>
          <t>qiskit.circuit.exceptions.CircuitError: 'The amount of qubit(3)/clbit(0) arguments does not match the gate expectation (4).'</t>
        </is>
      </c>
      <c r="CJ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4" s="55" t="inlineStr">
        <is>
          <t>CircuitError</t>
        </is>
      </c>
      <c r="CL24" s="55" t="inlineStr">
        <is>
          <t>qiskit.circuit.exceptions.CircuitError: 'The amount of qubit(3)/clbit(0) arguments does not match the gate expectation (4).'</t>
        </is>
      </c>
      <c r="CM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4" s="55" t="inlineStr">
        <is>
          <t>CircuitError</t>
        </is>
      </c>
      <c r="CO24" s="55" t="inlineStr">
        <is>
          <t>qiskit.circuit.exceptions.CircuitError: 'The amount of qubit(3)/clbit(0) arguments does not match the gate expectation (4).'</t>
        </is>
      </c>
      <c r="CP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4" s="55" t="inlineStr">
        <is>
          <t>CircuitError</t>
        </is>
      </c>
      <c r="CR24" s="55" t="inlineStr">
        <is>
          <t>qiskit.circuit.exceptions.CircuitError: 'The amount of qubit(3)/clbit(0) arguments does not match the gate expectation (4).'</t>
        </is>
      </c>
      <c r="CS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4" s="55" t="inlineStr">
        <is>
          <t>CircuitError</t>
        </is>
      </c>
      <c r="CU24" s="55" t="inlineStr">
        <is>
          <t>qiskit.circuit.exceptions.CircuitError: 'The amount of qubit(3)/clbit(0) arguments does not match the gate expectation (4).'</t>
        </is>
      </c>
      <c r="CV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4" s="55" t="inlineStr">
        <is>
          <t>CircuitError</t>
        </is>
      </c>
      <c r="CX24" s="55" t="inlineStr">
        <is>
          <t>qiskit.circuit.exceptions.CircuitError: 'The amount of qubit(3)/clbit(0) arguments does not match the gate expectation (4).'</t>
        </is>
      </c>
      <c r="CY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4" s="55" t="inlineStr">
        <is>
          <t>CircuitError</t>
        </is>
      </c>
      <c r="DA24" s="55" t="inlineStr">
        <is>
          <t>qiskit.circuit.exceptions.CircuitError: 'The amount of qubit(3)/clbit(0) arguments does not match the gate expectation (4).'</t>
        </is>
      </c>
      <c r="DB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4" s="55" t="inlineStr">
        <is>
          <t>CircuitError</t>
        </is>
      </c>
      <c r="DD24" s="55" t="inlineStr">
        <is>
          <t>qiskit.circuit.exceptions.CircuitError: 'The amount of qubit(3)/clbit(0) arguments does not match the gate expectation (4).'</t>
        </is>
      </c>
      <c r="D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5">
      <c r="A25" s="55" t="inlineStr">
        <is>
          <t>issue_396</t>
        </is>
      </c>
      <c r="B25" s="59" t="inlineStr">
        <is>
          <t>PASS</t>
        </is>
      </c>
      <c r="C25" s="59" t="inlineStr">
        <is>
          <t>PASS</t>
        </is>
      </c>
      <c r="D25" s="59" t="inlineStr">
        <is>
          <t>PASS</t>
        </is>
      </c>
      <c r="E25" s="59" t="inlineStr">
        <is>
          <t>PASS</t>
        </is>
      </c>
      <c r="F25" s="59" t="inlineStr">
        <is>
          <t>PASS</t>
        </is>
      </c>
      <c r="G25" s="59" t="inlineStr">
        <is>
          <t>PASS</t>
        </is>
      </c>
      <c r="H25" s="59" t="inlineStr">
        <is>
          <t>PASS</t>
        </is>
      </c>
      <c r="I25" s="59" t="inlineStr">
        <is>
          <t>PASS</t>
        </is>
      </c>
      <c r="J25" s="59" t="inlineStr">
        <is>
          <t>PASS</t>
        </is>
      </c>
      <c r="K25" s="59" t="inlineStr">
        <is>
          <t>PASS</t>
        </is>
      </c>
      <c r="L25" s="59" t="inlineStr">
        <is>
          <t>PASS</t>
        </is>
      </c>
      <c r="M25" s="59" t="inlineStr">
        <is>
          <t>PASS</t>
        </is>
      </c>
      <c r="N25" s="57" t="inlineStr">
        <is>
          <t>ERROR</t>
        </is>
      </c>
      <c r="O25" s="57" t="inlineStr">
        <is>
          <t>ERROR</t>
        </is>
      </c>
      <c r="P25" s="57" t="inlineStr">
        <is>
          <t>ERROR</t>
        </is>
      </c>
      <c r="Q25" s="57" t="inlineStr">
        <is>
          <t>ERROR</t>
        </is>
      </c>
      <c r="R25" s="57" t="inlineStr">
        <is>
          <t>ERROR</t>
        </is>
      </c>
      <c r="S25" s="57" t="inlineStr">
        <is>
          <t>ERROR</t>
        </is>
      </c>
      <c r="T25" s="57" t="inlineStr">
        <is>
          <t>ERROR</t>
        </is>
      </c>
      <c r="U25" s="57" t="inlineStr">
        <is>
          <t>ERROR</t>
        </is>
      </c>
      <c r="V25" s="57" t="inlineStr">
        <is>
          <t>ERROR</t>
        </is>
      </c>
      <c r="W25" s="57" t="inlineStr">
        <is>
          <t>ERROR</t>
        </is>
      </c>
      <c r="X25" s="57" t="inlineStr">
        <is>
          <t>ERROR</t>
        </is>
      </c>
      <c r="Y25" s="57" t="inlineStr">
        <is>
          <t>ERROR</t>
        </is>
      </c>
      <c r="Z25" s="57" t="inlineStr">
        <is>
          <t>ERROR</t>
        </is>
      </c>
      <c r="AA25" s="57" t="inlineStr">
        <is>
          <t>ERROR</t>
        </is>
      </c>
      <c r="AB25" s="57" t="inlineStr">
        <is>
          <t>ERROR</t>
        </is>
      </c>
      <c r="AC25" s="55" t="n"/>
      <c r="AD25" s="55" t="n"/>
      <c r="AE25" s="55" t="n"/>
      <c r="AF25" s="55" t="n"/>
      <c r="AG25" s="55" t="n"/>
      <c r="AH25" s="55" t="n"/>
      <c r="AI25" s="55" t="n"/>
      <c r="AJ25" s="55" t="n"/>
      <c r="AK25" s="55" t="n"/>
      <c r="AL25" s="55" t="n"/>
      <c r="AM25" s="55" t="n"/>
      <c r="AN25" s="55" t="n"/>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inlineStr">
        <is>
          <t>AttributeError</t>
        </is>
      </c>
      <c r="BN25" s="55" t="inlineStr">
        <is>
          <t>AttributeError: 'QuantumCircuit' object has no attribute 'diagonal'</t>
        </is>
      </c>
      <c r="BO25" s="55" t="inlineStr">
        <is>
          <t>The LLM built the oracle with QuantumCircuit.diagonal(), which was removed in Qiskit 1.0, so the script crashes with AttributeError on 1.x and 2.x.</t>
        </is>
      </c>
      <c r="BP25" s="55" t="inlineStr">
        <is>
          <t>AttributeError</t>
        </is>
      </c>
      <c r="BQ25" s="55" t="inlineStr">
        <is>
          <t>AttributeError: 'QuantumCircuit' object has no attribute 'diagonal'</t>
        </is>
      </c>
      <c r="BR25" s="55" t="inlineStr">
        <is>
          <t>The LLM built the oracle with QuantumCircuit.diagonal(), which was removed in Qiskit 1.0, so the script crashes with AttributeError on 1.x and 2.x.</t>
        </is>
      </c>
      <c r="BS25" s="55" t="inlineStr">
        <is>
          <t>AttributeError</t>
        </is>
      </c>
      <c r="BT25" s="55" t="inlineStr">
        <is>
          <t>AttributeError: 'QuantumCircuit' object has no attribute 'diagonal'</t>
        </is>
      </c>
      <c r="BU25" s="55" t="inlineStr">
        <is>
          <t>The LLM built the oracle with QuantumCircuit.diagonal(), which was removed in Qiskit 1.0, so the script crashes with AttributeError on 1.x and 2.x.</t>
        </is>
      </c>
      <c r="BV25" s="55" t="inlineStr">
        <is>
          <t>AttributeError</t>
        </is>
      </c>
      <c r="BW25" s="55" t="inlineStr">
        <is>
          <t>AttributeError: 'QuantumCircuit' object has no attribute 'diagonal'</t>
        </is>
      </c>
      <c r="BX25" s="55" t="inlineStr">
        <is>
          <t>The LLM built the oracle with QuantumCircuit.diagonal(), which was removed in Qiskit 1.0, so the script crashes with AttributeError on 1.x and 2.x.</t>
        </is>
      </c>
      <c r="BY25" s="55" t="inlineStr">
        <is>
          <t>AttributeError</t>
        </is>
      </c>
      <c r="BZ25" s="55" t="inlineStr">
        <is>
          <t>AttributeError: 'QuantumCircuit' object has no attribute 'diagonal'</t>
        </is>
      </c>
      <c r="CA25" s="55" t="inlineStr">
        <is>
          <t>The LLM built the oracle with QuantumCircuit.diagonal(), which was removed in Qiskit 1.0, so the script crashes with AttributeError on 1.x and 2.x.</t>
        </is>
      </c>
      <c r="CB25" s="55" t="inlineStr">
        <is>
          <t>AttributeError</t>
        </is>
      </c>
      <c r="CC25" s="55" t="inlineStr">
        <is>
          <t>AttributeError: 'QuantumCircuit' object has no attribute 'diagonal'</t>
        </is>
      </c>
      <c r="CD25" s="55" t="inlineStr">
        <is>
          <t>The LLM built the oracle with QuantumCircuit.diagonal(), which was removed in Qiskit 1.0, so the script crashes with AttributeError on 1.x and 2.x.</t>
        </is>
      </c>
      <c r="CE25" s="55" t="inlineStr">
        <is>
          <t>AttributeError</t>
        </is>
      </c>
      <c r="CF25" s="55" t="inlineStr">
        <is>
          <t>AttributeError: 'QuantumCircuit' object has no attribute 'diagonal'</t>
        </is>
      </c>
      <c r="CG25" s="55" t="inlineStr">
        <is>
          <t>The LLM built the oracle with QuantumCircuit.diagonal(), which was removed in Qiskit 1.0, so the script crashes with AttributeError on 1.x and 2.x.</t>
        </is>
      </c>
      <c r="CH25" s="55" t="inlineStr">
        <is>
          <t>AttributeError</t>
        </is>
      </c>
      <c r="CI25" s="55" t="inlineStr">
        <is>
          <t>AttributeError: 'QuantumCircuit' object has no attribute 'diagonal'</t>
        </is>
      </c>
      <c r="CJ25" s="55" t="inlineStr">
        <is>
          <t>The LLM built the oracle with QuantumCircuit.diagonal(), which was removed in Qiskit 1.0, so the script crashes with AttributeError on 1.x and 2.x.</t>
        </is>
      </c>
      <c r="CK25" s="55" t="inlineStr">
        <is>
          <t>AttributeError</t>
        </is>
      </c>
      <c r="CL25" s="55" t="inlineStr">
        <is>
          <t>AttributeError: 'QuantumCircuit' object has no attribute 'diagonal'</t>
        </is>
      </c>
      <c r="CM25" s="55" t="inlineStr">
        <is>
          <t>The LLM built the oracle with QuantumCircuit.diagonal(), which was removed in Qiskit 1.0, so the script crashes with AttributeError on 1.x and 2.x.</t>
        </is>
      </c>
      <c r="CN25" s="55" t="inlineStr">
        <is>
          <t>AttributeError</t>
        </is>
      </c>
      <c r="CO25" s="55" t="inlineStr">
        <is>
          <t>AttributeError: 'QuantumCircuit' object has no attribute 'diagonal'</t>
        </is>
      </c>
      <c r="CP25" s="55" t="inlineStr">
        <is>
          <t>The LLM built the oracle with QuantumCircuit.diagonal(), which was removed in Qiskit 1.0, so the script crashes with AttributeError on 1.x and 2.x.</t>
        </is>
      </c>
      <c r="CQ25" s="55" t="inlineStr">
        <is>
          <t>AttributeError</t>
        </is>
      </c>
      <c r="CR25" s="55" t="inlineStr">
        <is>
          <t>AttributeError: 'QuantumCircuit' object has no attribute 'diagonal'</t>
        </is>
      </c>
      <c r="CS25" s="55" t="inlineStr">
        <is>
          <t>The LLM built the oracle with QuantumCircuit.diagonal(), which was removed in Qiskit 1.0, so the script crashes with AttributeError on 1.x and 2.x.</t>
        </is>
      </c>
      <c r="CT25" s="55" t="inlineStr">
        <is>
          <t>AttributeError</t>
        </is>
      </c>
      <c r="CU25" s="55" t="inlineStr">
        <is>
          <t>AttributeError: 'QuantumCircuit' object has no attribute 'diagonal'</t>
        </is>
      </c>
      <c r="CV25" s="55" t="inlineStr">
        <is>
          <t>The LLM built the oracle with QuantumCircuit.diagonal(), which was removed in Qiskit 1.0, so the script crashes with AttributeError on 1.x and 2.x.</t>
        </is>
      </c>
      <c r="CW25" s="55" t="inlineStr">
        <is>
          <t>AttributeError</t>
        </is>
      </c>
      <c r="CX25" s="55" t="inlineStr">
        <is>
          <t>AttributeError: 'QuantumCircuit' object has no attribute 'diagonal'</t>
        </is>
      </c>
      <c r="CY25" s="55" t="inlineStr">
        <is>
          <t>The LLM built the oracle with QuantumCircuit.diagonal(), which was removed in Qiskit 1.0, so the script crashes with AttributeError on 1.x and 2.x.</t>
        </is>
      </c>
      <c r="CZ25" s="55" t="inlineStr">
        <is>
          <t>AttributeError</t>
        </is>
      </c>
      <c r="DA25" s="55" t="inlineStr">
        <is>
          <t>AttributeError: 'QuantumCircuit' object has no attribute 'diagonal'</t>
        </is>
      </c>
      <c r="DB25" s="55" t="inlineStr">
        <is>
          <t>The LLM built the oracle with QuantumCircuit.diagonal(), which was removed in Qiskit 1.0, so the script crashes with AttributeError on 1.x and 2.x.</t>
        </is>
      </c>
      <c r="DC25" s="55" t="inlineStr">
        <is>
          <t>AttributeError</t>
        </is>
      </c>
      <c r="DD25" s="55" t="inlineStr">
        <is>
          <t>AttributeError: 'QuantumCircuit' object has no attribute 'diagonal'</t>
        </is>
      </c>
      <c r="DE25" s="55" t="inlineStr">
        <is>
          <t>The LLM built the oracle with QuantumCircuit.diagonal(), which was removed in Qiskit 1.0, so the script crashes with AttributeError on 1.x and 2.x.</t>
        </is>
      </c>
    </row>
    <row r="26">
      <c r="A26" s="55" t="inlineStr">
        <is>
          <t>issue_415</t>
        </is>
      </c>
      <c r="B26" s="58" t="inlineStr">
        <is>
          <t>FAIL</t>
        </is>
      </c>
      <c r="C26" s="58" t="inlineStr">
        <is>
          <t>FAIL</t>
        </is>
      </c>
      <c r="D26" s="58" t="inlineStr">
        <is>
          <t>FAIL</t>
        </is>
      </c>
      <c r="E26" s="58" t="inlineStr">
        <is>
          <t>FAIL</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inlineStr">
        <is>
          <t>AssertionError</t>
        </is>
      </c>
      <c r="AD26" s="55" t="inlineStr">
        <is>
          <t>AssertionError: Not equal to tolerance rtol=1e-07, atol=1e-12</t>
        </is>
      </c>
      <c r="AE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6" s="55" t="inlineStr">
        <is>
          <t>AssertionError</t>
        </is>
      </c>
      <c r="AG26" s="55" t="inlineStr">
        <is>
          <t>AssertionError: Not equal to tolerance rtol=1e-07, atol=1e-12</t>
        </is>
      </c>
      <c r="AH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6" s="55" t="inlineStr">
        <is>
          <t>AssertionError</t>
        </is>
      </c>
      <c r="AJ26" s="55" t="inlineStr">
        <is>
          <t>AssertionError: Not equal to tolerance rtol=1e-07, atol=1e-12</t>
        </is>
      </c>
      <c r="AK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6" s="55" t="inlineStr">
        <is>
          <t>AssertionError</t>
        </is>
      </c>
      <c r="AM26" s="55" t="inlineStr">
        <is>
          <t>AssertionError: Not equal to tolerance rtol=1e-07, atol=1e-12</t>
        </is>
      </c>
      <c r="AN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issue_436</t>
        </is>
      </c>
      <c r="B27" s="59" t="inlineStr">
        <is>
          <t>PASS</t>
        </is>
      </c>
      <c r="C27" s="59" t="inlineStr">
        <is>
          <t>PASS</t>
        </is>
      </c>
      <c r="D27" s="59" t="inlineStr">
        <is>
          <t>PASS</t>
        </is>
      </c>
      <c r="E27" s="59" t="inlineStr">
        <is>
          <t>PASS</t>
        </is>
      </c>
      <c r="F27" s="56" t="inlineStr">
        <is>
          <t>NOT_TESTED</t>
        </is>
      </c>
      <c r="G27" s="56" t="inlineStr">
        <is>
          <t>NOT_TESTED</t>
        </is>
      </c>
      <c r="H27" s="56" t="inlineStr">
        <is>
          <t>NOT_TESTED</t>
        </is>
      </c>
      <c r="I27" s="56" t="inlineStr">
        <is>
          <t>NOT_TESTED</t>
        </is>
      </c>
      <c r="J27" s="56" t="inlineStr">
        <is>
          <t>NOT_TESTED</t>
        </is>
      </c>
      <c r="K27" s="56" t="inlineStr">
        <is>
          <t>NOT_TESTED</t>
        </is>
      </c>
      <c r="L27" s="56" t="inlineStr">
        <is>
          <t>NOT_TESTED</t>
        </is>
      </c>
      <c r="M27" s="56" t="inlineStr">
        <is>
          <t>NOT_TESTED</t>
        </is>
      </c>
      <c r="N27" s="56" t="inlineStr">
        <is>
          <t>NOT_TESTED</t>
        </is>
      </c>
      <c r="O27" s="56" t="inlineStr">
        <is>
          <t>NOT_TESTED</t>
        </is>
      </c>
      <c r="P27" s="56" t="inlineStr">
        <is>
          <t>NOT_TESTED</t>
        </is>
      </c>
      <c r="Q27" s="56" t="inlineStr">
        <is>
          <t>NOT_TESTED</t>
        </is>
      </c>
      <c r="R27" s="56" t="inlineStr">
        <is>
          <t>NOT_TESTED</t>
        </is>
      </c>
      <c r="S27" s="56" t="inlineStr">
        <is>
          <t>NOT_TESTED</t>
        </is>
      </c>
      <c r="T27" s="56" t="inlineStr">
        <is>
          <t>NOT_TESTED</t>
        </is>
      </c>
      <c r="U27" s="56" t="inlineStr">
        <is>
          <t>NOT_TESTED</t>
        </is>
      </c>
      <c r="V27" s="56" t="inlineStr">
        <is>
          <t>NOT_TESTED</t>
        </is>
      </c>
      <c r="W27" s="56" t="inlineStr">
        <is>
          <t>NOT_TESTED</t>
        </is>
      </c>
      <c r="X27" s="56" t="inlineStr">
        <is>
          <t>NOT_TESTED</t>
        </is>
      </c>
      <c r="Y27" s="56" t="inlineStr">
        <is>
          <t>NOT_TESTED</t>
        </is>
      </c>
      <c r="Z27" s="56" t="inlineStr">
        <is>
          <t>NOT_TESTED</t>
        </is>
      </c>
      <c r="AA27" s="56" t="inlineStr">
        <is>
          <t>NOT_TESTED</t>
        </is>
      </c>
      <c r="AB27" s="56" t="inlineStr">
        <is>
          <t>NOT_TESTED</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issue_443</t>
        </is>
      </c>
      <c r="B28" s="59" t="inlineStr">
        <is>
          <t>PASS</t>
        </is>
      </c>
      <c r="C28" s="59" t="inlineStr">
        <is>
          <t>PASS</t>
        </is>
      </c>
      <c r="D28" s="59" t="inlineStr">
        <is>
          <t>PASS</t>
        </is>
      </c>
      <c r="E28" s="59" t="inlineStr">
        <is>
          <t>PASS</t>
        </is>
      </c>
      <c r="F28" s="59" t="inlineStr">
        <is>
          <t>PASS</t>
        </is>
      </c>
      <c r="G28" s="59" t="inlineStr">
        <is>
          <t>PASS</t>
        </is>
      </c>
      <c r="H28" s="59" t="inlineStr">
        <is>
          <t>PASS</t>
        </is>
      </c>
      <c r="I28" s="59" t="inlineStr">
        <is>
          <t>PASS</t>
        </is>
      </c>
      <c r="J28" s="59" t="inlineStr">
        <is>
          <t>PASS</t>
        </is>
      </c>
      <c r="K28" s="59" t="inlineStr">
        <is>
          <t>PASS</t>
        </is>
      </c>
      <c r="L28" s="59" t="inlineStr">
        <is>
          <t>PASS</t>
        </is>
      </c>
      <c r="M28" s="59" t="inlineStr">
        <is>
          <t>PASS</t>
        </is>
      </c>
      <c r="N28" s="59" t="inlineStr">
        <is>
          <t>PASS</t>
        </is>
      </c>
      <c r="O28" s="59" t="inlineStr">
        <is>
          <t>PASS</t>
        </is>
      </c>
      <c r="P28" s="59" t="inlineStr">
        <is>
          <t>PASS</t>
        </is>
      </c>
      <c r="Q28" s="59" t="inlineStr">
        <is>
          <t>PASS</t>
        </is>
      </c>
      <c r="R28" s="59" t="inlineStr">
        <is>
          <t>PASS</t>
        </is>
      </c>
      <c r="S28" s="59" t="inlineStr">
        <is>
          <t>PASS</t>
        </is>
      </c>
      <c r="T28" s="59" t="inlineStr">
        <is>
          <t>PASS</t>
        </is>
      </c>
      <c r="U28" s="59" t="inlineStr">
        <is>
          <t>PASS</t>
        </is>
      </c>
      <c r="V28" s="59" t="inlineStr">
        <is>
          <t>PASS</t>
        </is>
      </c>
      <c r="W28" s="59" t="inlineStr">
        <is>
          <t>PASS</t>
        </is>
      </c>
      <c r="X28" s="59" t="inlineStr">
        <is>
          <t>PASS</t>
        </is>
      </c>
      <c r="Y28" s="59" t="inlineStr">
        <is>
          <t>PASS</t>
        </is>
      </c>
      <c r="Z28" s="59" t="inlineStr">
        <is>
          <t>PASS</t>
        </is>
      </c>
      <c r="AA28" s="59" t="inlineStr">
        <is>
          <t>PASS</t>
        </is>
      </c>
      <c r="AB28" s="59" t="inlineStr">
        <is>
          <t>PASS</t>
        </is>
      </c>
      <c r="AC28" s="55" t="n"/>
      <c r="AD28" s="55" t="n"/>
      <c r="AE28" s="55" t="n"/>
      <c r="AF28" s="55" t="n"/>
      <c r="AG28" s="55" t="n"/>
      <c r="AH28" s="55" t="n"/>
      <c r="AI28" s="55" t="n"/>
      <c r="AJ28" s="55" t="n"/>
      <c r="AK28" s="55" t="n"/>
      <c r="AL28" s="55" t="n"/>
      <c r="AM28" s="55" t="n"/>
      <c r="AN28" s="55" t="n"/>
      <c r="AO28" s="55" t="n"/>
      <c r="AP28" s="55" t="n"/>
      <c r="AQ28" s="55" t="n"/>
      <c r="AR28" s="55" t="n"/>
      <c r="AS28" s="55" t="n"/>
      <c r="AT28" s="55" t="n"/>
      <c r="AU28" s="55" t="n"/>
      <c r="AV28" s="55" t="n"/>
      <c r="AW28" s="55" t="n"/>
      <c r="AX28" s="55" t="n"/>
      <c r="AY28" s="55" t="n"/>
      <c r="AZ28" s="55" t="n"/>
      <c r="BA28" s="55" t="n"/>
      <c r="BB28" s="55" t="n"/>
      <c r="BC28" s="55" t="n"/>
      <c r="BD28" s="55" t="n"/>
      <c r="BE28" s="55" t="n"/>
      <c r="BF28" s="55" t="n"/>
      <c r="BG28" s="55" t="n"/>
      <c r="BH28" s="55" t="n"/>
      <c r="BI28" s="55" t="n"/>
      <c r="BJ28" s="55" t="n"/>
      <c r="BK28" s="55" t="n"/>
      <c r="BL28" s="55" t="n"/>
      <c r="BM28" s="55" t="n"/>
      <c r="BN28" s="55" t="n"/>
      <c r="BO28" s="55" t="n"/>
      <c r="BP28" s="55" t="n"/>
      <c r="BQ28" s="55" t="n"/>
      <c r="BR28" s="55" t="n"/>
      <c r="BS28" s="55" t="n"/>
      <c r="BT28" s="55" t="n"/>
      <c r="BU28" s="55" t="n"/>
      <c r="BV28" s="55" t="n"/>
      <c r="BW28" s="55" t="n"/>
      <c r="BX28" s="55" t="n"/>
      <c r="BY28" s="55" t="n"/>
      <c r="BZ28" s="55" t="n"/>
      <c r="CA28" s="55" t="n"/>
      <c r="CB28" s="55" t="n"/>
      <c r="CC28" s="55" t="n"/>
      <c r="CD28" s="55" t="n"/>
      <c r="CE28" s="55" t="n"/>
      <c r="CF28" s="55" t="n"/>
      <c r="CG28" s="55" t="n"/>
      <c r="CH28" s="55" t="n"/>
      <c r="CI28" s="55" t="n"/>
      <c r="CJ28" s="55" t="n"/>
      <c r="CK28" s="55" t="n"/>
      <c r="CL28" s="55" t="n"/>
      <c r="CM28" s="55" t="n"/>
      <c r="CN28" s="55" t="n"/>
      <c r="CO28" s="55" t="n"/>
      <c r="CP28" s="55" t="n"/>
      <c r="CQ28" s="55" t="n"/>
      <c r="CR28" s="55" t="n"/>
      <c r="CS28" s="55" t="n"/>
      <c r="CT28" s="55" t="n"/>
      <c r="CU28" s="55" t="n"/>
      <c r="CV28" s="55" t="n"/>
      <c r="CW28" s="55" t="n"/>
      <c r="CX28" s="55" t="n"/>
      <c r="CY28" s="55" t="n"/>
      <c r="CZ28" s="55" t="n"/>
      <c r="DA28" s="55" t="n"/>
      <c r="DB28" s="55" t="n"/>
      <c r="DC28" s="55" t="n"/>
      <c r="DD28" s="55" t="n"/>
      <c r="DE28" s="55" t="n"/>
    </row>
    <row r="29">
      <c r="A29" s="55" t="inlineStr">
        <is>
          <t>issue_453</t>
        </is>
      </c>
      <c r="B29" s="56" t="inlineStr">
        <is>
          <t>NOT_TESTED</t>
        </is>
      </c>
      <c r="C29" s="56" t="inlineStr">
        <is>
          <t>NOT_TESTED</t>
        </is>
      </c>
      <c r="D29" s="56" t="inlineStr">
        <is>
          <t>NOT_TESTED</t>
        </is>
      </c>
      <c r="E29" s="56" t="inlineStr">
        <is>
          <t>NOT_TESTED</t>
        </is>
      </c>
      <c r="F29" s="58" t="inlineStr">
        <is>
          <t>FAIL</t>
        </is>
      </c>
      <c r="G29" s="58" t="inlineStr">
        <is>
          <t>FAIL</t>
        </is>
      </c>
      <c r="H29" s="58" t="inlineStr">
        <is>
          <t>FAIL</t>
        </is>
      </c>
      <c r="I29" s="58" t="inlineStr">
        <is>
          <t>FAIL</t>
        </is>
      </c>
      <c r="J29" s="58" t="inlineStr">
        <is>
          <t>FAIL</t>
        </is>
      </c>
      <c r="K29" s="58" t="inlineStr">
        <is>
          <t>FAIL</t>
        </is>
      </c>
      <c r="L29" s="58" t="inlineStr">
        <is>
          <t>FAIL</t>
        </is>
      </c>
      <c r="M29" s="58" t="inlineStr">
        <is>
          <t>FAIL</t>
        </is>
      </c>
      <c r="N29" s="58" t="inlineStr">
        <is>
          <t>FAIL</t>
        </is>
      </c>
      <c r="O29" s="58" t="inlineStr">
        <is>
          <t>FAIL</t>
        </is>
      </c>
      <c r="P29" s="58" t="inlineStr">
        <is>
          <t>FAIL</t>
        </is>
      </c>
      <c r="Q29" s="58" t="inlineStr">
        <is>
          <t>FAIL</t>
        </is>
      </c>
      <c r="R29" s="58" t="inlineStr">
        <is>
          <t>FAIL</t>
        </is>
      </c>
      <c r="S29" s="58" t="inlineStr">
        <is>
          <t>FAIL</t>
        </is>
      </c>
      <c r="T29" s="58" t="inlineStr">
        <is>
          <t>FAIL</t>
        </is>
      </c>
      <c r="U29" s="58" t="inlineStr">
        <is>
          <t>FAIL</t>
        </is>
      </c>
      <c r="V29" s="58" t="inlineStr">
        <is>
          <t>FAIL</t>
        </is>
      </c>
      <c r="W29" s="58" t="inlineStr">
        <is>
          <t>FAIL</t>
        </is>
      </c>
      <c r="X29" s="58" t="inlineStr">
        <is>
          <t>FAIL</t>
        </is>
      </c>
      <c r="Y29" s="58" t="inlineStr">
        <is>
          <t>FAIL</t>
        </is>
      </c>
      <c r="Z29" s="58" t="inlineStr">
        <is>
          <t>FAIL</t>
        </is>
      </c>
      <c r="AA29" s="58" t="inlineStr">
        <is>
          <t>FAIL</t>
        </is>
      </c>
      <c r="AB29" s="58" t="inlineStr">
        <is>
          <t>FAIL</t>
        </is>
      </c>
      <c r="AC29" s="55" t="n"/>
      <c r="AD29" s="55" t="n"/>
      <c r="AE29" s="55" t="n"/>
      <c r="AF29" s="55" t="n"/>
      <c r="AG29" s="55" t="n"/>
      <c r="AH29" s="55" t="n"/>
      <c r="AI29" s="55" t="n"/>
      <c r="AJ29" s="55" t="n"/>
      <c r="AK29" s="55" t="n"/>
      <c r="AL29" s="55" t="n"/>
      <c r="AM29" s="55" t="n"/>
      <c r="AN29" s="55" t="n"/>
      <c r="AO29" s="55" t="inlineStr">
        <is>
          <t>AssertionError</t>
        </is>
      </c>
      <c r="AP29" s="55" t="inlineStr">
        <is>
          <t>AssertionError: 0 != 2</t>
        </is>
      </c>
      <c r="AQ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9" s="55" t="inlineStr">
        <is>
          <t>AssertionError</t>
        </is>
      </c>
      <c r="AS29" s="55" t="inlineStr">
        <is>
          <t>AssertionError: 0 != 2</t>
        </is>
      </c>
      <c r="AT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9" s="55" t="inlineStr">
        <is>
          <t>AssertionError</t>
        </is>
      </c>
      <c r="AV29" s="55" t="inlineStr">
        <is>
          <t>AssertionError: 0 != 2</t>
        </is>
      </c>
      <c r="AW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9" s="55" t="inlineStr">
        <is>
          <t>AssertionError</t>
        </is>
      </c>
      <c r="AY29" s="55" t="inlineStr">
        <is>
          <t>AssertionError: 0 != 2</t>
        </is>
      </c>
      <c r="AZ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9" s="55" t="inlineStr">
        <is>
          <t>AssertionError</t>
        </is>
      </c>
      <c r="BB29" s="55" t="inlineStr">
        <is>
          <t>AssertionError: 0 != 2</t>
        </is>
      </c>
      <c r="BC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9" s="55" t="inlineStr">
        <is>
          <t>AssertionError</t>
        </is>
      </c>
      <c r="BE29" s="55" t="inlineStr">
        <is>
          <t>AssertionError: 0 != 2</t>
        </is>
      </c>
      <c r="BF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9" s="55" t="inlineStr">
        <is>
          <t>AssertionError</t>
        </is>
      </c>
      <c r="BH29" s="55" t="inlineStr">
        <is>
          <t>AssertionError: 0 != 2</t>
        </is>
      </c>
      <c r="BI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9" s="55" t="inlineStr">
        <is>
          <t>AssertionError</t>
        </is>
      </c>
      <c r="BK29" s="55" t="inlineStr">
        <is>
          <t>AssertionError: 0 != 2</t>
        </is>
      </c>
      <c r="BL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9" s="55" t="inlineStr">
        <is>
          <t>AssertionError</t>
        </is>
      </c>
      <c r="BN29" s="55" t="inlineStr">
        <is>
          <t>AssertionError: 0 != 2</t>
        </is>
      </c>
      <c r="BO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9" s="55" t="inlineStr">
        <is>
          <t>AssertionError</t>
        </is>
      </c>
      <c r="BQ29" s="55" t="inlineStr">
        <is>
          <t>AssertionError: 0 != 2</t>
        </is>
      </c>
      <c r="BR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9" s="55" t="inlineStr">
        <is>
          <t>AssertionError</t>
        </is>
      </c>
      <c r="BT29" s="55" t="inlineStr">
        <is>
          <t>AssertionError: 0 != 2</t>
        </is>
      </c>
      <c r="BU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9" s="55" t="inlineStr">
        <is>
          <t>AssertionError</t>
        </is>
      </c>
      <c r="BW29" s="55" t="inlineStr">
        <is>
          <t>AssertionError: 0 != 2</t>
        </is>
      </c>
      <c r="BX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9" s="55" t="inlineStr">
        <is>
          <t>AssertionError</t>
        </is>
      </c>
      <c r="BZ29" s="55" t="inlineStr">
        <is>
          <t>AssertionError: 0 != 2</t>
        </is>
      </c>
      <c r="CA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9" s="55" t="inlineStr">
        <is>
          <t>AssertionError</t>
        </is>
      </c>
      <c r="CC29" s="55" t="inlineStr">
        <is>
          <t>AssertionError: 0 != 2</t>
        </is>
      </c>
      <c r="CD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9" s="55" t="inlineStr">
        <is>
          <t>AssertionError</t>
        </is>
      </c>
      <c r="CF29" s="55" t="inlineStr">
        <is>
          <t>AssertionError: 0 != 2</t>
        </is>
      </c>
      <c r="CG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9" s="55" t="inlineStr">
        <is>
          <t>AssertionError</t>
        </is>
      </c>
      <c r="CI29" s="55" t="inlineStr">
        <is>
          <t>AssertionError: 0 != 2</t>
        </is>
      </c>
      <c r="CJ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9" s="55" t="inlineStr">
        <is>
          <t>AssertionError</t>
        </is>
      </c>
      <c r="CL29" s="55" t="inlineStr">
        <is>
          <t>AssertionError: 0 != 2</t>
        </is>
      </c>
      <c r="CM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9" s="55" t="inlineStr">
        <is>
          <t>AssertionError</t>
        </is>
      </c>
      <c r="CO29" s="55" t="inlineStr">
        <is>
          <t>AssertionError: 0 != 2</t>
        </is>
      </c>
      <c r="CP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9" s="55" t="inlineStr">
        <is>
          <t>AssertionError</t>
        </is>
      </c>
      <c r="CR29" s="55" t="inlineStr">
        <is>
          <t>AssertionError: 0 != 2</t>
        </is>
      </c>
      <c r="CS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9" s="55" t="inlineStr">
        <is>
          <t>AssertionError</t>
        </is>
      </c>
      <c r="CU29" s="55" t="inlineStr">
        <is>
          <t>AssertionError: 0 != 2</t>
        </is>
      </c>
      <c r="CV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9" s="55" t="inlineStr">
        <is>
          <t>AssertionError</t>
        </is>
      </c>
      <c r="CX29" s="55" t="inlineStr">
        <is>
          <t>AssertionError: 0 != 2</t>
        </is>
      </c>
      <c r="CY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9" s="55" t="inlineStr">
        <is>
          <t>AssertionError</t>
        </is>
      </c>
      <c r="DA29" s="55" t="inlineStr">
        <is>
          <t>AssertionError: 0 != 2</t>
        </is>
      </c>
      <c r="DB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9" s="55" t="inlineStr">
        <is>
          <t>AssertionError</t>
        </is>
      </c>
      <c r="DD29" s="55" t="inlineStr">
        <is>
          <t>AssertionError: 0 != 2</t>
        </is>
      </c>
      <c r="DE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30">
      <c r="A30" s="55" t="inlineStr">
        <is>
          <t>issue_468</t>
        </is>
      </c>
      <c r="B30" s="57" t="inlineStr">
        <is>
          <t>ERROR</t>
        </is>
      </c>
      <c r="C30" s="57" t="inlineStr">
        <is>
          <t>ERROR</t>
        </is>
      </c>
      <c r="D30" s="57" t="inlineStr">
        <is>
          <t>ERROR</t>
        </is>
      </c>
      <c r="E30" s="57" t="inlineStr">
        <is>
          <t>ERROR</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inlineStr">
        <is>
          <t>ValueError</t>
        </is>
      </c>
      <c r="AD30" s="55" t="inlineStr">
        <is>
          <t>ValueError: Operators can only be scalar multiplied by float or complex, not Operator([[1.+0.j, 0.+0.j], [0.+0.j, 0.+0.j]], input_dims=(2,), output_dims=(2,)) of type &lt;class 'qiskit.aqua.operators.primitive_ops.matrix_op.MatrixOp'&gt;.</t>
        </is>
      </c>
      <c r="AE30" s="55" t="inlineStr">
        <is>
          <t>The LLM wrapped the density matrices in MatrixOp, but Aqua's legacy commutator() multiplies its inputs with *, which for MatrixOp means scalar multiplication, so it raises ValueError; the reference rewrites the two operators as WeightedPauliOperators.</t>
        </is>
      </c>
      <c r="AF30" s="55" t="inlineStr">
        <is>
          <t>ValueError</t>
        </is>
      </c>
      <c r="AG30" s="55" t="inlineStr">
        <is>
          <t>ValueError: Operators can only be scalar multiplied by float or complex, not Operator([[1.+0.j, 0.+0.j], [0.+0.j, 0.+0.j]], input_dims=(2,), output_dims=(2,)) of type &lt;class 'qiskit.aqua.operators.primitive_ops.matrix_op.MatrixOp'&gt;.</t>
        </is>
      </c>
      <c r="AH30" s="55" t="inlineStr">
        <is>
          <t>The LLM wrapped the density matrices in MatrixOp, but Aqua's legacy commutator() multiplies its inputs with *, which for MatrixOp means scalar multiplication, so it raises ValueError; the reference rewrites the two operators as WeightedPauliOperators.</t>
        </is>
      </c>
      <c r="AI30" s="55" t="inlineStr">
        <is>
          <t>ValueError</t>
        </is>
      </c>
      <c r="AJ30" s="55" t="inlineStr">
        <is>
          <t>ValueError: Operators can only be scalar multiplied by float or complex, not Operator([[1.+0.j, 0.+0.j], [0.+0.j, 0.+0.j]], input_dims=(2,), output_dims=(2,)) of type &lt;class 'qiskit.aqua.operators.primitive_ops.matrix_op.MatrixOp'&gt;.</t>
        </is>
      </c>
      <c r="AK30" s="55" t="inlineStr">
        <is>
          <t>The LLM wrapped the density matrices in MatrixOp, but Aqua's legacy commutator() multiplies its inputs with *, which for MatrixOp means scalar multiplication, so it raises ValueError; the reference rewrites the two operators as WeightedPauliOperators.</t>
        </is>
      </c>
      <c r="AL30" s="55" t="inlineStr">
        <is>
          <t>ValueError</t>
        </is>
      </c>
      <c r="AM30" s="55" t="inlineStr">
        <is>
          <t>ValueError: Operators can only be scalar multiplied by float or complex, not Operator([[1.+0.j, 0.+0.j], [0.+0.j, 0.+0.j]], input_dims=(2,), output_dims=(2,)) of type &lt;class 'qiskit.aqua.operators.primitive_ops.matrix_op.MatrixOp'&gt;.</t>
        </is>
      </c>
      <c r="AN30" s="55" t="inlineStr">
        <is>
          <t>The LLM wrapped the density matrices in MatrixOp, but Aqua's legacy commutator() multiplies its inputs with *, which for MatrixOp means scalar multiplication, so it raises ValueError; the reference rewrites the two operators as WeightedPauliOperators.</t>
        </is>
      </c>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issue_497</t>
        </is>
      </c>
      <c r="B31" s="59" t="inlineStr">
        <is>
          <t>PASS</t>
        </is>
      </c>
      <c r="C31" s="59" t="inlineStr">
        <is>
          <t>PASS</t>
        </is>
      </c>
      <c r="D31" s="59" t="inlineStr">
        <is>
          <t>PASS</t>
        </is>
      </c>
      <c r="E31" s="59" t="inlineStr">
        <is>
          <t>PASS</t>
        </is>
      </c>
      <c r="F31" s="56" t="inlineStr">
        <is>
          <t>NOT_TESTED</t>
        </is>
      </c>
      <c r="G31" s="56" t="inlineStr">
        <is>
          <t>NOT_TESTED</t>
        </is>
      </c>
      <c r="H31" s="56" t="inlineStr">
        <is>
          <t>NOT_TESTED</t>
        </is>
      </c>
      <c r="I31" s="56" t="inlineStr">
        <is>
          <t>NOT_TESTED</t>
        </is>
      </c>
      <c r="J31" s="56" t="inlineStr">
        <is>
          <t>NOT_TESTED</t>
        </is>
      </c>
      <c r="K31" s="56" t="inlineStr">
        <is>
          <t>NOT_TESTED</t>
        </is>
      </c>
      <c r="L31" s="56" t="inlineStr">
        <is>
          <t>NOT_TESTED</t>
        </is>
      </c>
      <c r="M31" s="56" t="inlineStr">
        <is>
          <t>NOT_TESTED</t>
        </is>
      </c>
      <c r="N31" s="56" t="inlineStr">
        <is>
          <t>NOT_TESTED</t>
        </is>
      </c>
      <c r="O31" s="56" t="inlineStr">
        <is>
          <t>NOT_TESTED</t>
        </is>
      </c>
      <c r="P31" s="56" t="inlineStr">
        <is>
          <t>NOT_TESTED</t>
        </is>
      </c>
      <c r="Q31" s="56" t="inlineStr">
        <is>
          <t>NOT_TESTED</t>
        </is>
      </c>
      <c r="R31" s="56" t="inlineStr">
        <is>
          <t>NOT_TESTED</t>
        </is>
      </c>
      <c r="S31" s="56" t="inlineStr">
        <is>
          <t>NOT_TESTED</t>
        </is>
      </c>
      <c r="T31" s="56" t="inlineStr">
        <is>
          <t>NOT_TESTED</t>
        </is>
      </c>
      <c r="U31" s="56" t="inlineStr">
        <is>
          <t>NOT_TESTED</t>
        </is>
      </c>
      <c r="V31" s="56" t="inlineStr">
        <is>
          <t>NOT_TESTED</t>
        </is>
      </c>
      <c r="W31" s="56" t="inlineStr">
        <is>
          <t>NOT_TESTED</t>
        </is>
      </c>
      <c r="X31" s="56" t="inlineStr">
        <is>
          <t>NOT_TESTED</t>
        </is>
      </c>
      <c r="Y31" s="56" t="inlineStr">
        <is>
          <t>NOT_TESTED</t>
        </is>
      </c>
      <c r="Z31" s="56" t="inlineStr">
        <is>
          <t>NOT_TESTED</t>
        </is>
      </c>
      <c r="AA31" s="56" t="inlineStr">
        <is>
          <t>NOT_TESTED</t>
        </is>
      </c>
      <c r="AB31" s="56" t="inlineStr">
        <is>
          <t>NOT_TESTED</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issue_504</t>
        </is>
      </c>
      <c r="B32" s="56" t="inlineStr">
        <is>
          <t>NOT_TESTED</t>
        </is>
      </c>
      <c r="C32" s="56" t="inlineStr">
        <is>
          <t>NOT_TESTED</t>
        </is>
      </c>
      <c r="D32" s="56" t="inlineStr">
        <is>
          <t>NOT_TESTED</t>
        </is>
      </c>
      <c r="E32" s="56" t="inlineStr">
        <is>
          <t>NOT_TESTED</t>
        </is>
      </c>
      <c r="F32" s="59" t="inlineStr">
        <is>
          <t>PASS</t>
        </is>
      </c>
      <c r="G32" s="59" t="inlineStr">
        <is>
          <t>PASS</t>
        </is>
      </c>
      <c r="H32" s="59" t="inlineStr">
        <is>
          <t>PASS</t>
        </is>
      </c>
      <c r="I32" s="59" t="inlineStr">
        <is>
          <t>PASS</t>
        </is>
      </c>
      <c r="J32" s="59" t="inlineStr">
        <is>
          <t>PASS</t>
        </is>
      </c>
      <c r="K32" s="59" t="inlineStr">
        <is>
          <t>PASS</t>
        </is>
      </c>
      <c r="L32" s="59" t="inlineStr">
        <is>
          <t>PASS</t>
        </is>
      </c>
      <c r="M32" s="59" t="inlineStr">
        <is>
          <t>PASS</t>
        </is>
      </c>
      <c r="N32" s="59" t="inlineStr">
        <is>
          <t>PASS</t>
        </is>
      </c>
      <c r="O32" s="59" t="inlineStr">
        <is>
          <t>PASS</t>
        </is>
      </c>
      <c r="P32" s="59" t="inlineStr">
        <is>
          <t>PASS</t>
        </is>
      </c>
      <c r="Q32" s="59" t="inlineStr">
        <is>
          <t>PASS</t>
        </is>
      </c>
      <c r="R32" s="59" t="inlineStr">
        <is>
          <t>PASS</t>
        </is>
      </c>
      <c r="S32" s="59" t="inlineStr">
        <is>
          <t>PASS</t>
        </is>
      </c>
      <c r="T32" s="59" t="inlineStr">
        <is>
          <t>PASS</t>
        </is>
      </c>
      <c r="U32" s="59" t="inlineStr">
        <is>
          <t>PASS</t>
        </is>
      </c>
      <c r="V32" s="59" t="inlineStr">
        <is>
          <t>PASS</t>
        </is>
      </c>
      <c r="W32" s="59" t="inlineStr">
        <is>
          <t>PASS</t>
        </is>
      </c>
      <c r="X32" s="59" t="inlineStr">
        <is>
          <t>PASS</t>
        </is>
      </c>
      <c r="Y32" s="59" t="inlineStr">
        <is>
          <t>PASS</t>
        </is>
      </c>
      <c r="Z32" s="59" t="inlineStr">
        <is>
          <t>PASS</t>
        </is>
      </c>
      <c r="AA32" s="59" t="inlineStr">
        <is>
          <t>PASS</t>
        </is>
      </c>
      <c r="AB32" s="59" t="inlineStr">
        <is>
          <t>PASS</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issue_505</t>
        </is>
      </c>
      <c r="B33" s="56" t="inlineStr">
        <is>
          <t>NOT_TESTED</t>
        </is>
      </c>
      <c r="C33" s="56" t="inlineStr">
        <is>
          <t>NOT_TESTED</t>
        </is>
      </c>
      <c r="D33" s="56" t="inlineStr">
        <is>
          <t>NOT_TESTED</t>
        </is>
      </c>
      <c r="E33" s="56" t="inlineStr">
        <is>
          <t>NOT_TESTED</t>
        </is>
      </c>
      <c r="F33" s="59" t="inlineStr">
        <is>
          <t>PASS</t>
        </is>
      </c>
      <c r="G33" s="59" t="inlineStr">
        <is>
          <t>PASS</t>
        </is>
      </c>
      <c r="H33" s="59" t="inlineStr">
        <is>
          <t>PASS</t>
        </is>
      </c>
      <c r="I33" s="59" t="inlineStr">
        <is>
          <t>PASS</t>
        </is>
      </c>
      <c r="J33" s="59" t="inlineStr">
        <is>
          <t>PASS</t>
        </is>
      </c>
      <c r="K33" s="59" t="inlineStr">
        <is>
          <t>PASS</t>
        </is>
      </c>
      <c r="L33" s="59" t="inlineStr">
        <is>
          <t>PASS</t>
        </is>
      </c>
      <c r="M33" s="59" t="inlineStr">
        <is>
          <t>PASS</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n"/>
      <c r="AD33" s="55" t="n"/>
      <c r="AE33" s="55" t="n"/>
      <c r="AF33" s="55" t="n"/>
      <c r="AG33" s="55" t="n"/>
      <c r="AH33" s="55" t="n"/>
      <c r="AI33" s="55" t="n"/>
      <c r="AJ33" s="55" t="n"/>
      <c r="AK33" s="55" t="n"/>
      <c r="AL33" s="55" t="n"/>
      <c r="AM33" s="55" t="n"/>
      <c r="AN33" s="55" t="n"/>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issue_565</t>
        </is>
      </c>
      <c r="B34" s="57" t="inlineStr">
        <is>
          <t>ERROR</t>
        </is>
      </c>
      <c r="C34" s="57" t="inlineStr">
        <is>
          <t>ERROR</t>
        </is>
      </c>
      <c r="D34" s="57" t="inlineStr">
        <is>
          <t>ERROR</t>
        </is>
      </c>
      <c r="E34" s="57" t="inlineStr">
        <is>
          <t>ERROR</t>
        </is>
      </c>
      <c r="F34" s="56" t="inlineStr">
        <is>
          <t>NOT_TESTED</t>
        </is>
      </c>
      <c r="G34" s="56" t="inlineStr">
        <is>
          <t>NOT_TESTED</t>
        </is>
      </c>
      <c r="H34" s="56" t="inlineStr">
        <is>
          <t>NOT_TESTED</t>
        </is>
      </c>
      <c r="I34" s="56" t="inlineStr">
        <is>
          <t>NOT_TESTED</t>
        </is>
      </c>
      <c r="J34" s="56" t="inlineStr">
        <is>
          <t>NOT_TESTED</t>
        </is>
      </c>
      <c r="K34" s="56" t="inlineStr">
        <is>
          <t>NOT_TESTED</t>
        </is>
      </c>
      <c r="L34" s="56" t="inlineStr">
        <is>
          <t>NOT_TESTED</t>
        </is>
      </c>
      <c r="M34" s="56" t="inlineStr">
        <is>
          <t>NOT_TESTED</t>
        </is>
      </c>
      <c r="N34" s="56" t="inlineStr">
        <is>
          <t>NOT_TESTED</t>
        </is>
      </c>
      <c r="O34" s="56" t="inlineStr">
        <is>
          <t>NOT_TESTED</t>
        </is>
      </c>
      <c r="P34" s="56" t="inlineStr">
        <is>
          <t>NOT_TESTED</t>
        </is>
      </c>
      <c r="Q34" s="56" t="inlineStr">
        <is>
          <t>NOT_TESTED</t>
        </is>
      </c>
      <c r="R34" s="56" t="inlineStr">
        <is>
          <t>NOT_TESTED</t>
        </is>
      </c>
      <c r="S34" s="56" t="inlineStr">
        <is>
          <t>NOT_TESTED</t>
        </is>
      </c>
      <c r="T34" s="56" t="inlineStr">
        <is>
          <t>NOT_TESTED</t>
        </is>
      </c>
      <c r="U34" s="56" t="inlineStr">
        <is>
          <t>NOT_TESTED</t>
        </is>
      </c>
      <c r="V34" s="56" t="inlineStr">
        <is>
          <t>NOT_TESTED</t>
        </is>
      </c>
      <c r="W34" s="56" t="inlineStr">
        <is>
          <t>NOT_TESTED</t>
        </is>
      </c>
      <c r="X34" s="56" t="inlineStr">
        <is>
          <t>NOT_TESTED</t>
        </is>
      </c>
      <c r="Y34" s="56" t="inlineStr">
        <is>
          <t>NOT_TESTED</t>
        </is>
      </c>
      <c r="Z34" s="56" t="inlineStr">
        <is>
          <t>NOT_TESTED</t>
        </is>
      </c>
      <c r="AA34" s="56" t="inlineStr">
        <is>
          <t>NOT_TESTED</t>
        </is>
      </c>
      <c r="AB34" s="56" t="inlineStr">
        <is>
          <t>NOT_TESTED</t>
        </is>
      </c>
      <c r="AC34" s="55" t="inlineStr">
        <is>
          <t>ValueError</t>
        </is>
      </c>
      <c r="AD34" s="55" t="inlineStr">
        <is>
          <t>ValueError: Operators can only be scalar multiplied by float or complex, not SummedOp([ IIIXIIIII, IIIYIIIII ]) of type &lt;class 'qiskit.aqua.operators.list_ops.summed_op.SummedOp'&gt;.</t>
        </is>
      </c>
      <c r="AE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4" s="55" t="inlineStr">
        <is>
          <t>ValueError</t>
        </is>
      </c>
      <c r="AG34" s="55" t="inlineStr">
        <is>
          <t>ValueError: Operators can only be scalar multiplied by float or complex, not SummedOp([ IIIXIIIII, IIIYIIIII ]) of type &lt;class 'qiskit.aqua.operators.list_ops.summed_op.SummedOp'&gt;.</t>
        </is>
      </c>
      <c r="AH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4" s="55" t="inlineStr">
        <is>
          <t>ValueError</t>
        </is>
      </c>
      <c r="AJ34" s="55" t="inlineStr">
        <is>
          <t>ValueError: Operators can only be scalar multiplied by float or complex, not SummedOp([ IIIXIIIII, IIIYIIIII ]) of type &lt;class 'qiskit.aqua.operators.list_ops.summed_op.SummedOp'&gt;.</t>
        </is>
      </c>
      <c r="AK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4" s="55" t="inlineStr">
        <is>
          <t>ValueError</t>
        </is>
      </c>
      <c r="AM34" s="55" t="inlineStr">
        <is>
          <t>ValueError: Operators can only be scalar multiplied by float or complex, not SummedOp([ IIIXIIIII, IIIYIIIII ]) of type &lt;class 'qiskit.aqua.operators.list_ops.summed_op.SummedOp'&gt;.</t>
        </is>
      </c>
      <c r="AN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issue_595</t>
        </is>
      </c>
      <c r="B35" s="56" t="inlineStr">
        <is>
          <t>NOT_TESTED</t>
        </is>
      </c>
      <c r="C35" s="56" t="inlineStr">
        <is>
          <t>NOT_TESTED</t>
        </is>
      </c>
      <c r="D35" s="56" t="inlineStr">
        <is>
          <t>NOT_TESTED</t>
        </is>
      </c>
      <c r="E35" s="56" t="inlineStr">
        <is>
          <t>NOT_TESTED</t>
        </is>
      </c>
      <c r="F35" s="59" t="inlineStr">
        <is>
          <t>PASS</t>
        </is>
      </c>
      <c r="G35" s="59" t="inlineStr">
        <is>
          <t>PASS</t>
        </is>
      </c>
      <c r="H35" s="59" t="inlineStr">
        <is>
          <t>PASS</t>
        </is>
      </c>
      <c r="I35" s="59" t="inlineStr">
        <is>
          <t>PASS</t>
        </is>
      </c>
      <c r="J35" s="59" t="inlineStr">
        <is>
          <t>PASS</t>
        </is>
      </c>
      <c r="K35" s="59" t="inlineStr">
        <is>
          <t>PASS</t>
        </is>
      </c>
      <c r="L35" s="59" t="inlineStr">
        <is>
          <t>PASS</t>
        </is>
      </c>
      <c r="M35" s="59" t="inlineStr">
        <is>
          <t>PASS</t>
        </is>
      </c>
      <c r="N35" s="59" t="inlineStr">
        <is>
          <t>PASS</t>
        </is>
      </c>
      <c r="O35" s="59" t="inlineStr">
        <is>
          <t>PASS</t>
        </is>
      </c>
      <c r="P35" s="59" t="inlineStr">
        <is>
          <t>PASS</t>
        </is>
      </c>
      <c r="Q35" s="59" t="inlineStr">
        <is>
          <t>PASS</t>
        </is>
      </c>
      <c r="R35" s="59" t="inlineStr">
        <is>
          <t>PASS</t>
        </is>
      </c>
      <c r="S35" s="59" t="inlineStr">
        <is>
          <t>PASS</t>
        </is>
      </c>
      <c r="T35" s="59" t="inlineStr">
        <is>
          <t>PASS</t>
        </is>
      </c>
      <c r="U35" s="59" t="inlineStr">
        <is>
          <t>PASS</t>
        </is>
      </c>
      <c r="V35" s="59" t="inlineStr">
        <is>
          <t>PASS</t>
        </is>
      </c>
      <c r="W35" s="59" t="inlineStr">
        <is>
          <t>PASS</t>
        </is>
      </c>
      <c r="X35" s="59" t="inlineStr">
        <is>
          <t>PASS</t>
        </is>
      </c>
      <c r="Y35" s="59" t="inlineStr">
        <is>
          <t>PASS</t>
        </is>
      </c>
      <c r="Z35" s="59" t="inlineStr">
        <is>
          <t>PASS</t>
        </is>
      </c>
      <c r="AA35" s="59" t="inlineStr">
        <is>
          <t>PASS</t>
        </is>
      </c>
      <c r="AB35" s="59" t="inlineStr">
        <is>
          <t>PASS</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issue_596</t>
        </is>
      </c>
      <c r="B36" s="59" t="inlineStr">
        <is>
          <t>PASS</t>
        </is>
      </c>
      <c r="C36" s="59" t="inlineStr">
        <is>
          <t>PASS</t>
        </is>
      </c>
      <c r="D36" s="59" t="inlineStr">
        <is>
          <t>PASS</t>
        </is>
      </c>
      <c r="E36" s="59" t="inlineStr">
        <is>
          <t>PASS</t>
        </is>
      </c>
      <c r="F36" s="59" t="inlineStr">
        <is>
          <t>PASS</t>
        </is>
      </c>
      <c r="G36" s="59" t="inlineStr">
        <is>
          <t>PASS</t>
        </is>
      </c>
      <c r="H36" s="59" t="inlineStr">
        <is>
          <t>PASS</t>
        </is>
      </c>
      <c r="I36" s="59" t="inlineStr">
        <is>
          <t>PASS</t>
        </is>
      </c>
      <c r="J36" s="59" t="inlineStr">
        <is>
          <t>PASS</t>
        </is>
      </c>
      <c r="K36" s="59" t="inlineStr">
        <is>
          <t>PASS</t>
        </is>
      </c>
      <c r="L36" s="59" t="inlineStr">
        <is>
          <t>PASS</t>
        </is>
      </c>
      <c r="M36" s="59" t="inlineStr">
        <is>
          <t>PASS</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n"/>
      <c r="AD36" s="55" t="n"/>
      <c r="AE36" s="55" t="n"/>
      <c r="AF36" s="55" t="n"/>
      <c r="AG36" s="55" t="n"/>
      <c r="AH36" s="55" t="n"/>
      <c r="AI36" s="55" t="n"/>
      <c r="AJ36" s="55" t="n"/>
      <c r="AK36" s="55" t="n"/>
      <c r="AL36" s="55" t="n"/>
      <c r="AM36" s="55" t="n"/>
      <c r="AN36" s="55" t="n"/>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issue_600</t>
        </is>
      </c>
      <c r="B37" s="57" t="inlineStr">
        <is>
          <t>ERROR</t>
        </is>
      </c>
      <c r="C37" s="57" t="inlineStr">
        <is>
          <t>ERROR</t>
        </is>
      </c>
      <c r="D37" s="57" t="inlineStr">
        <is>
          <t>ERROR</t>
        </is>
      </c>
      <c r="E37" s="57" t="inlineStr">
        <is>
          <t>ERROR</t>
        </is>
      </c>
      <c r="F37" s="59" t="inlineStr">
        <is>
          <t>PASS</t>
        </is>
      </c>
      <c r="G37" s="59" t="inlineStr">
        <is>
          <t>PASS</t>
        </is>
      </c>
      <c r="H37" s="59" t="inlineStr">
        <is>
          <t>PASS</t>
        </is>
      </c>
      <c r="I37" s="59" t="inlineStr">
        <is>
          <t>PASS</t>
        </is>
      </c>
      <c r="J37" s="59" t="inlineStr">
        <is>
          <t>PASS</t>
        </is>
      </c>
      <c r="K37" s="59" t="inlineStr">
        <is>
          <t>PASS</t>
        </is>
      </c>
      <c r="L37" s="59" t="inlineStr">
        <is>
          <t>PASS</t>
        </is>
      </c>
      <c r="M37" s="59" t="inlineStr">
        <is>
          <t>PASS</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inlineStr">
        <is>
          <t>ImportError</t>
        </is>
      </c>
      <c r="AD37" s="55" t="inlineStr">
        <is>
          <t>ImportError: cannot import name 'PauliGate' from 'qiskit.circuit.library' (C:\qiskit_envs\q0250\lib\site-packages\qiskit\circuit\library\__init__.py)</t>
        </is>
      </c>
      <c r="AE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7" s="55" t="inlineStr">
        <is>
          <t>ImportError</t>
        </is>
      </c>
      <c r="AG37" s="55" t="inlineStr">
        <is>
          <t>ImportError: cannot import name 'PauliGate' from 'qiskit.circuit.library' (C:\qiskit_envs\q0251\lib\site-packages\qiskit\circuit\library\__init__.py)</t>
        </is>
      </c>
      <c r="AH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7" s="55" t="inlineStr">
        <is>
          <t>ImportError</t>
        </is>
      </c>
      <c r="AJ37" s="55" t="inlineStr">
        <is>
          <t>ImportError: cannot import name 'PauliGate' from 'qiskit.circuit.library' (C:\qiskit_envs\q0252\lib\site-packages\qiskit\circuit\library\__init__.py)</t>
        </is>
      </c>
      <c r="AK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7" s="55" t="inlineStr">
        <is>
          <t>ImportError</t>
        </is>
      </c>
      <c r="AM37" s="55" t="inlineStr">
        <is>
          <t>ImportError: cannot import name 'PauliGate' from 'qiskit.circuit.library' (C:\qiskit_envs\q0253\lib\site-packages\qiskit\circuit\library\__init__.py)</t>
        </is>
      </c>
      <c r="AN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7" s="55" t="n"/>
      <c r="AP37" s="55" t="n"/>
      <c r="AQ37" s="55" t="n"/>
      <c r="AR37" s="55" t="n"/>
      <c r="AS37" s="55" t="n"/>
      <c r="AT37" s="55" t="n"/>
      <c r="AU37" s="55" t="n"/>
      <c r="AV37" s="55" t="n"/>
      <c r="AW37" s="55" t="n"/>
      <c r="AX37" s="55" t="n"/>
      <c r="AY37" s="55" t="n"/>
      <c r="AZ37" s="55" t="n"/>
      <c r="BA37" s="55" t="n"/>
      <c r="BB37" s="55" t="n"/>
      <c r="BC37" s="55" t="n"/>
      <c r="BD37" s="55" t="n"/>
      <c r="BE37" s="55" t="n"/>
      <c r="BF37" s="55" t="n"/>
      <c r="BG37" s="55" t="n"/>
      <c r="BH37" s="55" t="n"/>
      <c r="BI37" s="55" t="n"/>
      <c r="BJ37" s="55" t="n"/>
      <c r="BK37" s="55" t="n"/>
      <c r="BL37" s="55" t="n"/>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issue_622</t>
        </is>
      </c>
      <c r="B38" s="58" t="inlineStr">
        <is>
          <t>FAIL</t>
        </is>
      </c>
      <c r="C38" s="58" t="inlineStr">
        <is>
          <t>FAIL</t>
        </is>
      </c>
      <c r="D38" s="58" t="inlineStr">
        <is>
          <t>FAIL</t>
        </is>
      </c>
      <c r="E38" s="58" t="inlineStr">
        <is>
          <t>FAIL</t>
        </is>
      </c>
      <c r="F38" s="58" t="inlineStr">
        <is>
          <t>FAIL</t>
        </is>
      </c>
      <c r="G38" s="58" t="inlineStr">
        <is>
          <t>FAIL</t>
        </is>
      </c>
      <c r="H38" s="58" t="inlineStr">
        <is>
          <t>FAIL</t>
        </is>
      </c>
      <c r="I38" s="58" t="inlineStr">
        <is>
          <t>FAIL</t>
        </is>
      </c>
      <c r="J38" s="58" t="inlineStr">
        <is>
          <t>FAIL</t>
        </is>
      </c>
      <c r="K38" s="58" t="inlineStr">
        <is>
          <t>FAIL</t>
        </is>
      </c>
      <c r="L38" s="58" t="inlineStr">
        <is>
          <t>FAIL</t>
        </is>
      </c>
      <c r="M38" s="58" t="inlineStr">
        <is>
          <t>FAIL</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AssertionError</t>
        </is>
      </c>
      <c r="AD38" s="55" t="inlineStr">
        <is>
          <t>AssertionError: Items in the first set but not the second: '01' '10'</t>
        </is>
      </c>
      <c r="AE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8" s="55" t="inlineStr">
        <is>
          <t>AssertionError</t>
        </is>
      </c>
      <c r="AG38" s="55" t="inlineStr">
        <is>
          <t>AssertionError: Items in the first set but not the second: '10' '01'</t>
        </is>
      </c>
      <c r="AH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8" s="55" t="inlineStr">
        <is>
          <t>AssertionError</t>
        </is>
      </c>
      <c r="AJ38" s="55" t="inlineStr">
        <is>
          <t>AssertionError: Items in the first set but not the second: '01' '10'</t>
        </is>
      </c>
      <c r="AK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8" s="55" t="inlineStr">
        <is>
          <t>AssertionError</t>
        </is>
      </c>
      <c r="AM38" s="55" t="inlineStr">
        <is>
          <t>AssertionError: Items in the first set but not the second: '10' '01'</t>
        </is>
      </c>
      <c r="AN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8" s="55" t="inlineStr">
        <is>
          <t>AssertionError</t>
        </is>
      </c>
      <c r="AP38" s="55" t="inlineStr">
        <is>
          <t>AssertionError: Items in the first set but not the second: '10' '01'</t>
        </is>
      </c>
      <c r="AQ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8" s="55" t="inlineStr">
        <is>
          <t>AssertionError</t>
        </is>
      </c>
      <c r="AS38" s="55" t="inlineStr">
        <is>
          <t>AssertionError: Items in the first set but not the second: '10' '01'</t>
        </is>
      </c>
      <c r="AT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8" s="55" t="inlineStr">
        <is>
          <t>AssertionError</t>
        </is>
      </c>
      <c r="AV38" s="55" t="inlineStr">
        <is>
          <t>AssertionError: Items in the first set but not the second: '01' '10'</t>
        </is>
      </c>
      <c r="AW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8" s="55" t="inlineStr">
        <is>
          <t>AssertionError</t>
        </is>
      </c>
      <c r="AY38" s="55" t="inlineStr">
        <is>
          <t>AssertionError: Items in the first set but not the second: '01' '10'</t>
        </is>
      </c>
      <c r="AZ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8" s="55" t="inlineStr">
        <is>
          <t>AssertionError</t>
        </is>
      </c>
      <c r="BB38" s="55" t="inlineStr">
        <is>
          <t>AssertionError: Items in the first set but not the second: '01' '10'</t>
        </is>
      </c>
      <c r="BC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8" s="55" t="inlineStr">
        <is>
          <t>AssertionError</t>
        </is>
      </c>
      <c r="BE38" s="55" t="inlineStr">
        <is>
          <t>AssertionError: Items in the first set but not the second: '10' '01'</t>
        </is>
      </c>
      <c r="BF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8" s="55" t="inlineStr">
        <is>
          <t>AssertionError</t>
        </is>
      </c>
      <c r="BH38" s="55" t="inlineStr">
        <is>
          <t>AssertionError: Items in the first set but not the second: '10' '01'</t>
        </is>
      </c>
      <c r="BI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8" s="55" t="inlineStr">
        <is>
          <t>AssertionError</t>
        </is>
      </c>
      <c r="BK38" s="55" t="inlineStr">
        <is>
          <t>AssertionError: Items in the first set but not the second: '10' '01'</t>
        </is>
      </c>
      <c r="BL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issue_624</t>
        </is>
      </c>
      <c r="B39" s="57" t="inlineStr">
        <is>
          <t>ERROR</t>
        </is>
      </c>
      <c r="C39" s="57" t="inlineStr">
        <is>
          <t>ERROR</t>
        </is>
      </c>
      <c r="D39" s="57" t="inlineStr">
        <is>
          <t>ERROR</t>
        </is>
      </c>
      <c r="E39" s="57" t="inlineStr">
        <is>
          <t>ERROR</t>
        </is>
      </c>
      <c r="F39" s="57" t="inlineStr">
        <is>
          <t>ERROR</t>
        </is>
      </c>
      <c r="G39" s="57" t="inlineStr">
        <is>
          <t>ERROR</t>
        </is>
      </c>
      <c r="H39" s="57" t="inlineStr">
        <is>
          <t>ERROR</t>
        </is>
      </c>
      <c r="I39" s="57" t="inlineStr">
        <is>
          <t>ERROR</t>
        </is>
      </c>
      <c r="J39" s="57" t="inlineStr">
        <is>
          <t>ERROR</t>
        </is>
      </c>
      <c r="K39" s="57" t="inlineStr">
        <is>
          <t>ERROR</t>
        </is>
      </c>
      <c r="L39" s="57" t="inlineStr">
        <is>
          <t>ERROR</t>
        </is>
      </c>
      <c r="M39" s="57" t="inlineStr">
        <is>
          <t>ERROR</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ValueError</t>
        </is>
      </c>
      <c r="AD39" s="55" t="inlineStr">
        <is>
          <t>ValueError: Evolutions of mixed Operators not yet supported.</t>
        </is>
      </c>
      <c r="AE39" s="55" t="inlineStr">
        <is>
          <t>The LLM wrapped the circuit in CircuitOp, which is an OperatorBase with the right matrix, but QAOA cannot build the evolution of a CircuitOp ('Evolutions of mixed Operators not yet supported'). The reference converts it with MatrixOp(Operator(H)).</t>
        </is>
      </c>
      <c r="AF39" s="55" t="inlineStr">
        <is>
          <t>ValueError</t>
        </is>
      </c>
      <c r="AG39" s="55" t="inlineStr">
        <is>
          <t>ValueError: Evolutions of mixed Operators not yet supported.</t>
        </is>
      </c>
      <c r="AH39" s="55" t="inlineStr">
        <is>
          <t>The LLM wrapped the circuit in CircuitOp, which is an OperatorBase with the right matrix, but QAOA cannot build the evolution of a CircuitOp ('Evolutions of mixed Operators not yet supported'). The reference converts it with MatrixOp(Operator(H)).</t>
        </is>
      </c>
      <c r="AI39" s="55" t="inlineStr">
        <is>
          <t>ValueError</t>
        </is>
      </c>
      <c r="AJ39" s="55" t="inlineStr">
        <is>
          <t>ValueError: Evolutions of mixed Operators not yet supported.</t>
        </is>
      </c>
      <c r="AK39" s="55" t="inlineStr">
        <is>
          <t>The LLM wrapped the circuit in CircuitOp, which is an OperatorBase with the right matrix, but QAOA cannot build the evolution of a CircuitOp ('Evolutions of mixed Operators not yet supported'). The reference converts it with MatrixOp(Operator(H)).</t>
        </is>
      </c>
      <c r="AL39" s="55" t="inlineStr">
        <is>
          <t>ValueError</t>
        </is>
      </c>
      <c r="AM39" s="55" t="inlineStr">
        <is>
          <t>ValueError: Evolutions of mixed Operators not yet supported.</t>
        </is>
      </c>
      <c r="AN39" s="55" t="inlineStr">
        <is>
          <t>The LLM wrapped the circuit in CircuitOp, which is an OperatorBase with the right matrix, but QAOA cannot build the evolution of a CircuitOp ('Evolutions of mixed Operators not yet supported'). The reference converts it with MatrixOp(Operator(H)).</t>
        </is>
      </c>
      <c r="AO39" s="55" t="inlineStr">
        <is>
          <t>TypeError</t>
        </is>
      </c>
      <c r="AP39" s="55" t="inlineStr">
        <is>
          <t>TypeError: ParameterExpression with unbound parameters (dict_keys([Parameter(c)])) cannot be cast to a float.</t>
        </is>
      </c>
      <c r="AQ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9" s="55" t="inlineStr">
        <is>
          <t>TypeError</t>
        </is>
      </c>
      <c r="AS39" s="55" t="inlineStr">
        <is>
          <t>TypeError: ParameterExpression with unbound parameters (dict_keys([Parameter(c)])) cannot be cast to a float.</t>
        </is>
      </c>
      <c r="AT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9" s="55" t="inlineStr">
        <is>
          <t>TypeError</t>
        </is>
      </c>
      <c r="AV39" s="55" t="inlineStr">
        <is>
          <t>TypeError: ParameterExpression with unbound parameters (dict_keys([Parameter(c)])) cannot be cast to a float.</t>
        </is>
      </c>
      <c r="AW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9" s="55" t="inlineStr">
        <is>
          <t>TypeError</t>
        </is>
      </c>
      <c r="AY39" s="55" t="inlineStr">
        <is>
          <t>TypeError: ParameterExpression with unbound parameters (dict_keys([Parameter(c)])) cannot be cast to a float.</t>
        </is>
      </c>
      <c r="AZ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9" s="55" t="inlineStr">
        <is>
          <t>TypeError</t>
        </is>
      </c>
      <c r="BB39" s="55" t="inlineStr">
        <is>
          <t>TypeError: ParameterExpression with unbound parameters (dict_keys([Parameter(c)])) cannot be cast to a float.</t>
        </is>
      </c>
      <c r="BC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9" s="55" t="inlineStr">
        <is>
          <t>TypeError</t>
        </is>
      </c>
      <c r="BE39" s="55" t="inlineStr">
        <is>
          <t>TypeError: ParameterExpression with unbound parameters (dict_keys([Parameter(c)])) cannot be cast to a float.</t>
        </is>
      </c>
      <c r="BF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9" s="55" t="inlineStr">
        <is>
          <t>TypeError</t>
        </is>
      </c>
      <c r="BH39" s="55" t="inlineStr">
        <is>
          <t>TypeError: ParameterExpression with unbound parameters (dict_keys([Parameter(c)])) cannot be cast to a float.</t>
        </is>
      </c>
      <c r="BI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9" s="55" t="inlineStr">
        <is>
          <t>TypeError</t>
        </is>
      </c>
      <c r="BK39" s="55" t="inlineStr">
        <is>
          <t>TypeError: ParameterExpression with unbound parameters (dict_keys([Parameter(c)])) cannot be cast to a float.</t>
        </is>
      </c>
      <c r="BL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issue_635</t>
        </is>
      </c>
      <c r="B40" s="58" t="inlineStr">
        <is>
          <t>FAIL</t>
        </is>
      </c>
      <c r="C40" s="58" t="inlineStr">
        <is>
          <t>FAIL</t>
        </is>
      </c>
      <c r="D40" s="58" t="inlineStr">
        <is>
          <t>FAIL</t>
        </is>
      </c>
      <c r="E40" s="58" t="inlineStr">
        <is>
          <t>FAIL</t>
        </is>
      </c>
      <c r="F40" s="56" t="inlineStr">
        <is>
          <t>NOT_TESTED</t>
        </is>
      </c>
      <c r="G40" s="56" t="inlineStr">
        <is>
          <t>NOT_TESTED</t>
        </is>
      </c>
      <c r="H40" s="56" t="inlineStr">
        <is>
          <t>NOT_TESTED</t>
        </is>
      </c>
      <c r="I40" s="56" t="inlineStr">
        <is>
          <t>NOT_TESTED</t>
        </is>
      </c>
      <c r="J40" s="56" t="inlineStr">
        <is>
          <t>NOT_TESTED</t>
        </is>
      </c>
      <c r="K40" s="56" t="inlineStr">
        <is>
          <t>NOT_TESTED</t>
        </is>
      </c>
      <c r="L40" s="56" t="inlineStr">
        <is>
          <t>NOT_TESTED</t>
        </is>
      </c>
      <c r="M40" s="56" t="inlineStr">
        <is>
          <t>NOT_TESTED</t>
        </is>
      </c>
      <c r="N40" s="56" t="inlineStr">
        <is>
          <t>NOT_TESTED</t>
        </is>
      </c>
      <c r="O40" s="56" t="inlineStr">
        <is>
          <t>NOT_TESTED</t>
        </is>
      </c>
      <c r="P40" s="56" t="inlineStr">
        <is>
          <t>NOT_TESTED</t>
        </is>
      </c>
      <c r="Q40" s="56" t="inlineStr">
        <is>
          <t>NOT_TESTED</t>
        </is>
      </c>
      <c r="R40" s="56" t="inlineStr">
        <is>
          <t>NOT_TESTED</t>
        </is>
      </c>
      <c r="S40" s="56" t="inlineStr">
        <is>
          <t>NOT_TESTED</t>
        </is>
      </c>
      <c r="T40" s="56" t="inlineStr">
        <is>
          <t>NOT_TESTED</t>
        </is>
      </c>
      <c r="U40" s="56" t="inlineStr">
        <is>
          <t>NOT_TESTED</t>
        </is>
      </c>
      <c r="V40" s="56" t="inlineStr">
        <is>
          <t>NOT_TESTED</t>
        </is>
      </c>
      <c r="W40" s="56" t="inlineStr">
        <is>
          <t>NOT_TESTED</t>
        </is>
      </c>
      <c r="X40" s="56" t="inlineStr">
        <is>
          <t>NOT_TESTED</t>
        </is>
      </c>
      <c r="Y40" s="56" t="inlineStr">
        <is>
          <t>NOT_TESTED</t>
        </is>
      </c>
      <c r="Z40" s="56" t="inlineStr">
        <is>
          <t>NOT_TESTED</t>
        </is>
      </c>
      <c r="AA40" s="56" t="inlineStr">
        <is>
          <t>NOT_TESTED</t>
        </is>
      </c>
      <c r="AB40" s="56" t="inlineStr">
        <is>
          <t>NOT_TESTED</t>
        </is>
      </c>
      <c r="AC40" s="55" t="inlineStr">
        <is>
          <t>AssertionError</t>
        </is>
      </c>
      <c r="AD40" s="55" t="inlineStr">
        <is>
          <t>AssertionError: Items in the first set but not the second: 0 Items in the second set but not the first: 1 : Conditional AND failed for basis 001</t>
        </is>
      </c>
      <c r="AE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40" s="55" t="inlineStr">
        <is>
          <t>AssertionError</t>
        </is>
      </c>
      <c r="AG40" s="55" t="inlineStr">
        <is>
          <t>AssertionError: Items in the first set but not the second: 0 Items in the second set but not the first: 1 : Conditional AND failed for basis 001</t>
        </is>
      </c>
      <c r="AH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40" s="55" t="inlineStr">
        <is>
          <t>AssertionError</t>
        </is>
      </c>
      <c r="AJ40" s="55" t="inlineStr">
        <is>
          <t>AssertionError: Items in the first set but not the second: 0 Items in the second set but not the first: 1 : Conditional AND failed for basis 001</t>
        </is>
      </c>
      <c r="AK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40" s="55" t="inlineStr">
        <is>
          <t>AssertionError</t>
        </is>
      </c>
      <c r="AM40" s="55" t="inlineStr">
        <is>
          <t>AssertionError: Items in the first set but not the second: 0 Items in the second set but not the first: 1 : Conditional AND failed for basis 001</t>
        </is>
      </c>
      <c r="AN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40" s="55" t="n"/>
      <c r="AP40" s="55" t="n"/>
      <c r="AQ40" s="55" t="n"/>
      <c r="AR40" s="55" t="n"/>
      <c r="AS40" s="55" t="n"/>
      <c r="AT40" s="55" t="n"/>
      <c r="AU40" s="55" t="n"/>
      <c r="AV40" s="55" t="n"/>
      <c r="AW40" s="55" t="n"/>
      <c r="AX40" s="55" t="n"/>
      <c r="AY40" s="55" t="n"/>
      <c r="AZ40" s="55" t="n"/>
      <c r="BA40" s="55" t="n"/>
      <c r="BB40" s="55" t="n"/>
      <c r="BC40" s="55" t="n"/>
      <c r="BD40" s="55" t="n"/>
      <c r="BE40" s="55" t="n"/>
      <c r="BF40" s="55" t="n"/>
      <c r="BG40" s="55" t="n"/>
      <c r="BH40" s="55" t="n"/>
      <c r="BI40" s="55" t="n"/>
      <c r="BJ40" s="55" t="n"/>
      <c r="BK40" s="55" t="n"/>
      <c r="BL40" s="55" t="n"/>
      <c r="BM40" s="55" t="n"/>
      <c r="BN40" s="55" t="n"/>
      <c r="BO40" s="55" t="n"/>
      <c r="BP40" s="55" t="n"/>
      <c r="BQ40" s="55" t="n"/>
      <c r="BR40" s="55" t="n"/>
      <c r="BS40" s="55" t="n"/>
      <c r="BT40" s="55" t="n"/>
      <c r="BU40" s="55" t="n"/>
      <c r="BV40" s="55" t="n"/>
      <c r="BW40" s="55" t="n"/>
      <c r="BX40" s="55" t="n"/>
      <c r="BY40" s="55" t="n"/>
      <c r="BZ40" s="55" t="n"/>
      <c r="CA40" s="55" t="n"/>
      <c r="CB40" s="55" t="n"/>
      <c r="CC40" s="55" t="n"/>
      <c r="CD40" s="55" t="n"/>
      <c r="CE40" s="55" t="n"/>
      <c r="CF40" s="55" t="n"/>
      <c r="CG40" s="55" t="n"/>
      <c r="CH40" s="55" t="n"/>
      <c r="CI40" s="55" t="n"/>
      <c r="CJ40" s="55" t="n"/>
      <c r="CK40" s="55" t="n"/>
      <c r="CL40" s="55" t="n"/>
      <c r="CM40" s="55" t="n"/>
      <c r="CN40" s="55" t="n"/>
      <c r="CO40" s="55" t="n"/>
      <c r="CP40" s="55" t="n"/>
      <c r="CQ40" s="55" t="n"/>
      <c r="CR40" s="55" t="n"/>
      <c r="CS40" s="55" t="n"/>
      <c r="CT40" s="55" t="n"/>
      <c r="CU40" s="55" t="n"/>
      <c r="CV40" s="55" t="n"/>
      <c r="CW40" s="55" t="n"/>
      <c r="CX40" s="55" t="n"/>
      <c r="CY40" s="55" t="n"/>
      <c r="CZ40" s="55" t="n"/>
      <c r="DA40" s="55" t="n"/>
      <c r="DB40" s="55" t="n"/>
      <c r="DC40" s="55" t="n"/>
      <c r="DD40" s="55" t="n"/>
      <c r="DE40" s="55" t="n"/>
    </row>
    <row r="41">
      <c r="A41" s="55" t="inlineStr">
        <is>
          <t>issue_662</t>
        </is>
      </c>
      <c r="B41" s="56" t="inlineStr">
        <is>
          <t>NOT_TESTED</t>
        </is>
      </c>
      <c r="C41" s="56" t="inlineStr">
        <is>
          <t>NOT_TESTED</t>
        </is>
      </c>
      <c r="D41" s="56" t="inlineStr">
        <is>
          <t>NOT_TESTED</t>
        </is>
      </c>
      <c r="E41" s="56" t="inlineStr">
        <is>
          <t>NOT_TESTED</t>
        </is>
      </c>
      <c r="F41" s="57" t="inlineStr">
        <is>
          <t>ERROR</t>
        </is>
      </c>
      <c r="G41" s="57" t="inlineStr">
        <is>
          <t>ERROR</t>
        </is>
      </c>
      <c r="H41" s="57" t="inlineStr">
        <is>
          <t>ERROR</t>
        </is>
      </c>
      <c r="I41" s="57" t="inlineStr">
        <is>
          <t>ERROR</t>
        </is>
      </c>
      <c r="J41" s="57" t="inlineStr">
        <is>
          <t>ERROR</t>
        </is>
      </c>
      <c r="K41" s="57" t="inlineStr">
        <is>
          <t>ERROR</t>
        </is>
      </c>
      <c r="L41" s="57" t="inlineStr">
        <is>
          <t>ERROR</t>
        </is>
      </c>
      <c r="M41" s="57" t="inlineStr">
        <is>
          <t>ERROR</t>
        </is>
      </c>
      <c r="N41" s="57" t="inlineStr">
        <is>
          <t>ERROR</t>
        </is>
      </c>
      <c r="O41" s="57" t="inlineStr">
        <is>
          <t>ERROR</t>
        </is>
      </c>
      <c r="P41" s="57" t="inlineStr">
        <is>
          <t>ERROR</t>
        </is>
      </c>
      <c r="Q41" s="57" t="inlineStr">
        <is>
          <t>ERROR</t>
        </is>
      </c>
      <c r="R41" s="57" t="inlineStr">
        <is>
          <t>ERROR</t>
        </is>
      </c>
      <c r="S41" s="57" t="inlineStr">
        <is>
          <t>ERROR</t>
        </is>
      </c>
      <c r="T41" s="57" t="inlineStr">
        <is>
          <t>ERROR</t>
        </is>
      </c>
      <c r="U41" s="57" t="inlineStr">
        <is>
          <t>ERROR</t>
        </is>
      </c>
      <c r="V41" s="57" t="inlineStr">
        <is>
          <t>ERROR</t>
        </is>
      </c>
      <c r="W41" s="57" t="inlineStr">
        <is>
          <t>ERROR</t>
        </is>
      </c>
      <c r="X41" s="57" t="inlineStr">
        <is>
          <t>ERROR</t>
        </is>
      </c>
      <c r="Y41" s="57" t="inlineStr">
        <is>
          <t>ERROR</t>
        </is>
      </c>
      <c r="Z41" s="57" t="inlineStr">
        <is>
          <t>ERROR</t>
        </is>
      </c>
      <c r="AA41" s="57" t="inlineStr">
        <is>
          <t>ERROR</t>
        </is>
      </c>
      <c r="AB41" s="57" t="inlineStr">
        <is>
          <t>ERROR</t>
        </is>
      </c>
      <c r="AC41" s="55" t="n"/>
      <c r="AD41" s="55" t="n"/>
      <c r="AE41" s="55" t="n"/>
      <c r="AF41" s="55" t="n"/>
      <c r="AG41" s="55" t="n"/>
      <c r="AH41" s="55" t="n"/>
      <c r="AI41" s="55" t="n"/>
      <c r="AJ41" s="55" t="n"/>
      <c r="AK41" s="55" t="n"/>
      <c r="AL41" s="55" t="n"/>
      <c r="AM41" s="55" t="n"/>
      <c r="AN41" s="55" t="n"/>
      <c r="AO41" s="55" t="inlineStr">
        <is>
          <t>AttributeError</t>
        </is>
      </c>
      <c r="AP41" s="55" t="inlineStr">
        <is>
          <t>AttributeError: 'DAGOpNode' object has no attribute 'type'</t>
        </is>
      </c>
      <c r="AQ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1" s="55" t="inlineStr">
        <is>
          <t>AttributeError</t>
        </is>
      </c>
      <c r="AS41" s="55" t="inlineStr">
        <is>
          <t>AttributeError: 'DAGOpNode' object has no attribute 'type'</t>
        </is>
      </c>
      <c r="AT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1" s="55" t="inlineStr">
        <is>
          <t>AttributeError</t>
        </is>
      </c>
      <c r="AV41" s="55" t="inlineStr">
        <is>
          <t>AttributeError: 'DAGOpNode' object has no attribute 'type'</t>
        </is>
      </c>
      <c r="AW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1" s="55" t="inlineStr">
        <is>
          <t>AttributeError</t>
        </is>
      </c>
      <c r="AY41" s="55" t="inlineStr">
        <is>
          <t>AttributeError: 'DAGOpNode' object has no attribute 'type'</t>
        </is>
      </c>
      <c r="AZ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1" s="55" t="inlineStr">
        <is>
          <t>AttributeError</t>
        </is>
      </c>
      <c r="BB41" s="55" t="inlineStr">
        <is>
          <t>AttributeError: 'DAGOpNode' object has no attribute 'type'</t>
        </is>
      </c>
      <c r="BC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1" s="55" t="inlineStr">
        <is>
          <t>AttributeError</t>
        </is>
      </c>
      <c r="BE41" s="55" t="inlineStr">
        <is>
          <t>AttributeError: 'DAGOpNode' object has no attribute 'type'</t>
        </is>
      </c>
      <c r="BF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1" s="55" t="inlineStr">
        <is>
          <t>AttributeError</t>
        </is>
      </c>
      <c r="BH41" s="55" t="inlineStr">
        <is>
          <t>AttributeError: 'DAGOpNode' object has no attribute 'type'</t>
        </is>
      </c>
      <c r="BI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1" s="55" t="inlineStr">
        <is>
          <t>AttributeError</t>
        </is>
      </c>
      <c r="BK41" s="55" t="inlineStr">
        <is>
          <t>AttributeError: 'DAGOpNode' object has no attribute 'type'</t>
        </is>
      </c>
      <c r="BL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1" s="55" t="inlineStr">
        <is>
          <t>AttributeError</t>
        </is>
      </c>
      <c r="BN41" s="55" t="inlineStr">
        <is>
          <t>AttributeError: 'DAGOpNode' object has no attribute 'type'</t>
        </is>
      </c>
      <c r="BO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1" s="55" t="inlineStr">
        <is>
          <t>AttributeError</t>
        </is>
      </c>
      <c r="BQ41" s="55" t="inlineStr">
        <is>
          <t>AttributeError: 'DAGOpNode' object has no attribute 'type'</t>
        </is>
      </c>
      <c r="BR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1" s="55" t="inlineStr">
        <is>
          <t>AttributeError</t>
        </is>
      </c>
      <c r="BT41" s="55" t="inlineStr">
        <is>
          <t>AttributeError: 'DAGOpNode' object has no attribute 'type'</t>
        </is>
      </c>
      <c r="BU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1" s="55" t="inlineStr">
        <is>
          <t>AttributeError</t>
        </is>
      </c>
      <c r="BW41" s="55" t="inlineStr">
        <is>
          <t>AttributeError: 'DAGOpNode' object has no attribute 'type'</t>
        </is>
      </c>
      <c r="BX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1" s="55" t="inlineStr">
        <is>
          <t>AttributeError</t>
        </is>
      </c>
      <c r="BZ41" s="55" t="inlineStr">
        <is>
          <t>AttributeError: 'DAGOpNode' object has no attribute 'type'</t>
        </is>
      </c>
      <c r="CA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1" s="55" t="inlineStr">
        <is>
          <t>AttributeError</t>
        </is>
      </c>
      <c r="CC41" s="55" t="inlineStr">
        <is>
          <t>AttributeError: 'DAGOpNode' object has no attribute 'type'</t>
        </is>
      </c>
      <c r="CD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1" s="55" t="inlineStr">
        <is>
          <t>AttributeError</t>
        </is>
      </c>
      <c r="CF41" s="55" t="inlineStr">
        <is>
          <t>AttributeError: 'qiskit._accelerate.circuit.DAGOpNode' object has no attribute 'type'</t>
        </is>
      </c>
      <c r="CG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1" s="55" t="inlineStr">
        <is>
          <t>AttributeError</t>
        </is>
      </c>
      <c r="CI41" s="55" t="inlineStr">
        <is>
          <t>AttributeError: 'qiskit._accelerate.circuit.DAGOpNode' object has no attribute 'type'</t>
        </is>
      </c>
      <c r="CJ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1" s="55" t="inlineStr">
        <is>
          <t>AttributeError</t>
        </is>
      </c>
      <c r="CL41" s="55" t="inlineStr">
        <is>
          <t>AttributeError: 'qiskit._accelerate.circuit.DAGOpNode' object has no attribute 'type'</t>
        </is>
      </c>
      <c r="CM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1" s="55" t="inlineStr">
        <is>
          <t>AttributeError</t>
        </is>
      </c>
      <c r="CO41" s="55" t="inlineStr">
        <is>
          <t>AttributeError: 'qiskit._accelerate.circuit.DAGOpNode' object has no attribute 'type'</t>
        </is>
      </c>
      <c r="CP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1" s="55" t="inlineStr">
        <is>
          <t>AttributeError</t>
        </is>
      </c>
      <c r="CR41" s="55" t="inlineStr">
        <is>
          <t>AttributeError: 'qiskit._accelerate.circuit.DAGOpNode' object has no attribute 'type'</t>
        </is>
      </c>
      <c r="CS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1" s="55" t="inlineStr">
        <is>
          <t>AttributeError</t>
        </is>
      </c>
      <c r="CU41" s="55" t="inlineStr">
        <is>
          <t>AttributeError: 'qiskit._accelerate.circuit.DAGOpNode' object has no attribute 'type'</t>
        </is>
      </c>
      <c r="CV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1" s="55" t="inlineStr">
        <is>
          <t>AttributeError</t>
        </is>
      </c>
      <c r="CX41" s="55" t="inlineStr">
        <is>
          <t>AttributeError: 'qiskit._accelerate.circuit.DAGOpNode' object has no attribute 'type'</t>
        </is>
      </c>
      <c r="CY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1" s="55" t="inlineStr">
        <is>
          <t>AttributeError</t>
        </is>
      </c>
      <c r="DA41" s="55" t="inlineStr">
        <is>
          <t>AttributeError: 'qiskit._accelerate.circuit.DAGOpNode' object has no attribute 'type'</t>
        </is>
      </c>
      <c r="DB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1" s="55" t="inlineStr">
        <is>
          <t>AttributeError</t>
        </is>
      </c>
      <c r="DD41" s="55" t="inlineStr">
        <is>
          <t>AttributeError: 'qiskit._accelerate.circuit.DAGOpNode' object has no attribute 'type'</t>
        </is>
      </c>
      <c r="DE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2">
      <c r="A42" s="55" t="inlineStr">
        <is>
          <t>issue_663</t>
        </is>
      </c>
      <c r="B42" s="56" t="inlineStr">
        <is>
          <t>NOT_TESTED</t>
        </is>
      </c>
      <c r="C42" s="56" t="inlineStr">
        <is>
          <t>NOT_TESTED</t>
        </is>
      </c>
      <c r="D42" s="56" t="inlineStr">
        <is>
          <t>NOT_TESTED</t>
        </is>
      </c>
      <c r="E42" s="56" t="inlineStr">
        <is>
          <t>NOT_TESTED</t>
        </is>
      </c>
      <c r="F42" s="59" t="inlineStr">
        <is>
          <t>PASS</t>
        </is>
      </c>
      <c r="G42" s="59" t="inlineStr">
        <is>
          <t>PASS</t>
        </is>
      </c>
      <c r="H42" s="59" t="inlineStr">
        <is>
          <t>PASS</t>
        </is>
      </c>
      <c r="I42" s="59" t="inlineStr">
        <is>
          <t>PASS</t>
        </is>
      </c>
      <c r="J42" s="59" t="inlineStr">
        <is>
          <t>PASS</t>
        </is>
      </c>
      <c r="K42" s="59" t="inlineStr">
        <is>
          <t>PASS</t>
        </is>
      </c>
      <c r="L42" s="59" t="inlineStr">
        <is>
          <t>PASS</t>
        </is>
      </c>
      <c r="M42" s="59" t="inlineStr">
        <is>
          <t>PASS</t>
        </is>
      </c>
      <c r="N42" s="56" t="inlineStr">
        <is>
          <t>NOT_TESTED</t>
        </is>
      </c>
      <c r="O42" s="56" t="inlineStr">
        <is>
          <t>NOT_TESTED</t>
        </is>
      </c>
      <c r="P42" s="56" t="inlineStr">
        <is>
          <t>NOT_TESTED</t>
        </is>
      </c>
      <c r="Q42" s="56" t="inlineStr">
        <is>
          <t>NOT_TESTED</t>
        </is>
      </c>
      <c r="R42" s="56" t="inlineStr">
        <is>
          <t>NOT_TESTED</t>
        </is>
      </c>
      <c r="S42" s="56" t="inlineStr">
        <is>
          <t>NOT_TESTED</t>
        </is>
      </c>
      <c r="T42" s="56" t="inlineStr">
        <is>
          <t>NOT_TESTED</t>
        </is>
      </c>
      <c r="U42" s="56" t="inlineStr">
        <is>
          <t>NOT_TESTED</t>
        </is>
      </c>
      <c r="V42" s="56" t="inlineStr">
        <is>
          <t>NOT_TESTED</t>
        </is>
      </c>
      <c r="W42" s="56" t="inlineStr">
        <is>
          <t>NOT_TESTED</t>
        </is>
      </c>
      <c r="X42" s="56" t="inlineStr">
        <is>
          <t>NOT_TESTED</t>
        </is>
      </c>
      <c r="Y42" s="56" t="inlineStr">
        <is>
          <t>NOT_TESTED</t>
        </is>
      </c>
      <c r="Z42" s="56" t="inlineStr">
        <is>
          <t>NOT_TESTED</t>
        </is>
      </c>
      <c r="AA42" s="56" t="inlineStr">
        <is>
          <t>NOT_TESTED</t>
        </is>
      </c>
      <c r="AB42" s="56" t="inlineStr">
        <is>
          <t>NOT_TESTED</t>
        </is>
      </c>
      <c r="AC42" s="55" t="n"/>
      <c r="AD42" s="55" t="n"/>
      <c r="AE42" s="55" t="n"/>
      <c r="AF42" s="55" t="n"/>
      <c r="AG42" s="55" t="n"/>
      <c r="AH42" s="55" t="n"/>
      <c r="AI42" s="55" t="n"/>
      <c r="AJ42" s="55" t="n"/>
      <c r="AK42" s="55" t="n"/>
      <c r="AL42" s="55" t="n"/>
      <c r="AM42" s="55" t="n"/>
      <c r="AN42" s="55" t="n"/>
      <c r="AO42" s="55" t="n"/>
      <c r="AP42" s="55" t="n"/>
      <c r="AQ42" s="55" t="n"/>
      <c r="AR42" s="55" t="n"/>
      <c r="AS42" s="55" t="n"/>
      <c r="AT42" s="55" t="n"/>
      <c r="AU42" s="55" t="n"/>
      <c r="AV42" s="55" t="n"/>
      <c r="AW42" s="55" t="n"/>
      <c r="AX42" s="55" t="n"/>
      <c r="AY42" s="55" t="n"/>
      <c r="AZ42" s="55" t="n"/>
      <c r="BA42" s="55" t="n"/>
      <c r="BB42" s="55" t="n"/>
      <c r="BC42" s="55" t="n"/>
      <c r="BD42" s="55" t="n"/>
      <c r="BE42" s="55" t="n"/>
      <c r="BF42" s="55" t="n"/>
      <c r="BG42" s="55" t="n"/>
      <c r="BH42" s="55" t="n"/>
      <c r="BI42" s="55" t="n"/>
      <c r="BJ42" s="55" t="n"/>
      <c r="BK42" s="55" t="n"/>
      <c r="BL42" s="55" t="n"/>
      <c r="BM42" s="55" t="n"/>
      <c r="BN42" s="55" t="n"/>
      <c r="BO42" s="55" t="n"/>
      <c r="BP42" s="55" t="n"/>
      <c r="BQ42" s="55" t="n"/>
      <c r="BR42" s="55" t="n"/>
      <c r="BS42" s="55" t="n"/>
      <c r="BT42" s="55" t="n"/>
      <c r="BU42" s="55" t="n"/>
      <c r="BV42" s="55" t="n"/>
      <c r="BW42" s="55" t="n"/>
      <c r="BX42" s="55" t="n"/>
      <c r="BY42" s="55" t="n"/>
      <c r="BZ42" s="55" t="n"/>
      <c r="CA42" s="55" t="n"/>
      <c r="CB42" s="55" t="n"/>
      <c r="CC42" s="55" t="n"/>
      <c r="CD42" s="55" t="n"/>
      <c r="CE42" s="55" t="n"/>
      <c r="CF42" s="55" t="n"/>
      <c r="CG42" s="55" t="n"/>
      <c r="CH42" s="55" t="n"/>
      <c r="CI42" s="55" t="n"/>
      <c r="CJ42" s="55" t="n"/>
      <c r="CK42" s="55" t="n"/>
      <c r="CL42" s="55" t="n"/>
      <c r="CM42" s="55" t="n"/>
      <c r="CN42" s="55" t="n"/>
      <c r="CO42" s="55" t="n"/>
      <c r="CP42" s="55" t="n"/>
      <c r="CQ42" s="55" t="n"/>
      <c r="CR42" s="55" t="n"/>
      <c r="CS42" s="55" t="n"/>
      <c r="CT42" s="55" t="n"/>
      <c r="CU42" s="55" t="n"/>
      <c r="CV42" s="55" t="n"/>
      <c r="CW42" s="55" t="n"/>
      <c r="CX42" s="55" t="n"/>
      <c r="CY42" s="55" t="n"/>
      <c r="CZ42" s="55" t="n"/>
      <c r="DA42" s="55" t="n"/>
      <c r="DB42" s="55" t="n"/>
      <c r="DC42" s="55" t="n"/>
      <c r="DD42" s="55" t="n"/>
      <c r="DE42" s="55" t="n"/>
    </row>
    <row r="43">
      <c r="A43" s="55" t="inlineStr">
        <is>
          <t>issue_671</t>
        </is>
      </c>
      <c r="B43" s="58" t="inlineStr">
        <is>
          <t>FAIL</t>
        </is>
      </c>
      <c r="C43" s="58" t="inlineStr">
        <is>
          <t>FAIL</t>
        </is>
      </c>
      <c r="D43" s="58" t="inlineStr">
        <is>
          <t>FAIL</t>
        </is>
      </c>
      <c r="E43" s="58" t="inlineStr">
        <is>
          <t>FAIL</t>
        </is>
      </c>
      <c r="F43" s="58" t="inlineStr">
        <is>
          <t>FAIL</t>
        </is>
      </c>
      <c r="G43" s="58" t="inlineStr">
        <is>
          <t>FAIL</t>
        </is>
      </c>
      <c r="H43" s="58" t="inlineStr">
        <is>
          <t>FAIL</t>
        </is>
      </c>
      <c r="I43" s="58" t="inlineStr">
        <is>
          <t>FAIL</t>
        </is>
      </c>
      <c r="J43" s="58" t="inlineStr">
        <is>
          <t>FAIL</t>
        </is>
      </c>
      <c r="K43" s="58" t="inlineStr">
        <is>
          <t>FAIL</t>
        </is>
      </c>
      <c r="L43" s="58" t="inlineStr">
        <is>
          <t>FAIL</t>
        </is>
      </c>
      <c r="M43" s="58" t="inlineStr">
        <is>
          <t>FAIL</t>
        </is>
      </c>
      <c r="N43" s="58" t="inlineStr">
        <is>
          <t>FAIL</t>
        </is>
      </c>
      <c r="O43" s="58" t="inlineStr">
        <is>
          <t>FAIL</t>
        </is>
      </c>
      <c r="P43" s="58" t="inlineStr">
        <is>
          <t>FAIL</t>
        </is>
      </c>
      <c r="Q43" s="58" t="inlineStr">
        <is>
          <t>FAIL</t>
        </is>
      </c>
      <c r="R43" s="58" t="inlineStr">
        <is>
          <t>FAIL</t>
        </is>
      </c>
      <c r="S43" s="58" t="inlineStr">
        <is>
          <t>FAIL</t>
        </is>
      </c>
      <c r="T43" s="58" t="inlineStr">
        <is>
          <t>FAIL</t>
        </is>
      </c>
      <c r="U43" s="58" t="inlineStr">
        <is>
          <t>FAIL</t>
        </is>
      </c>
      <c r="V43" s="58" t="inlineStr">
        <is>
          <t>FAIL</t>
        </is>
      </c>
      <c r="W43" s="58" t="inlineStr">
        <is>
          <t>FAIL</t>
        </is>
      </c>
      <c r="X43" s="58" t="inlineStr">
        <is>
          <t>FAIL</t>
        </is>
      </c>
      <c r="Y43" s="58" t="inlineStr">
        <is>
          <t>FAIL</t>
        </is>
      </c>
      <c r="Z43" s="58" t="inlineStr">
        <is>
          <t>FAIL</t>
        </is>
      </c>
      <c r="AA43" s="58" t="inlineStr">
        <is>
          <t>FAIL</t>
        </is>
      </c>
      <c r="AB43" s="58" t="inlineStr">
        <is>
          <t>FAIL</t>
        </is>
      </c>
      <c r="AC43" s="55" t="inlineStr">
        <is>
          <t>AssertionError</t>
        </is>
      </c>
      <c r="AD43" s="55" t="inlineStr">
        <is>
          <t>AssertionError: Not equal to tolerance rtol=1e-07, atol=1e-10</t>
        </is>
      </c>
      <c r="A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3" s="55" t="inlineStr">
        <is>
          <t>AssertionError</t>
        </is>
      </c>
      <c r="AG43" s="55" t="inlineStr">
        <is>
          <t>AssertionError: Not equal to tolerance rtol=1e-07, atol=1e-10</t>
        </is>
      </c>
      <c r="AH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3" s="55" t="inlineStr">
        <is>
          <t>AssertionError</t>
        </is>
      </c>
      <c r="AJ43" s="55" t="inlineStr">
        <is>
          <t>AssertionError: Not equal to tolerance rtol=1e-07, atol=1e-10</t>
        </is>
      </c>
      <c r="AK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3" s="55" t="inlineStr">
        <is>
          <t>AssertionError</t>
        </is>
      </c>
      <c r="AM43" s="55" t="inlineStr">
        <is>
          <t>AssertionError: Not equal to tolerance rtol=1e-07, atol=1e-10</t>
        </is>
      </c>
      <c r="AN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3" s="55" t="inlineStr">
        <is>
          <t>AssertionError</t>
        </is>
      </c>
      <c r="AP43" s="55" t="inlineStr">
        <is>
          <t>AssertionError: Not equal to tolerance rtol=1e-07, atol=1e-10</t>
        </is>
      </c>
      <c r="AQ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3" s="55" t="inlineStr">
        <is>
          <t>AssertionError</t>
        </is>
      </c>
      <c r="AS43" s="55" t="inlineStr">
        <is>
          <t>AssertionError: Not equal to tolerance rtol=1e-07, atol=1e-10</t>
        </is>
      </c>
      <c r="AT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3" s="55" t="inlineStr">
        <is>
          <t>AssertionError</t>
        </is>
      </c>
      <c r="AV43" s="55" t="inlineStr">
        <is>
          <t>AssertionError: Not equal to tolerance rtol=1e-07, atol=1e-10</t>
        </is>
      </c>
      <c r="AW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3" s="55" t="inlineStr">
        <is>
          <t>AssertionError</t>
        </is>
      </c>
      <c r="AY43" s="55" t="inlineStr">
        <is>
          <t>AssertionError: Not equal to tolerance rtol=1e-07, atol=1e-10</t>
        </is>
      </c>
      <c r="AZ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3" s="55" t="inlineStr">
        <is>
          <t>AssertionError</t>
        </is>
      </c>
      <c r="BB43" s="55" t="inlineStr">
        <is>
          <t>AssertionError: Not equal to tolerance rtol=1e-07, atol=1e-10</t>
        </is>
      </c>
      <c r="BC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3" s="55" t="inlineStr">
        <is>
          <t>AssertionError</t>
        </is>
      </c>
      <c r="BE43" s="55" t="inlineStr">
        <is>
          <t>AssertionError: Not equal to tolerance rtol=1e-07, atol=1e-10</t>
        </is>
      </c>
      <c r="BF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3" s="55" t="inlineStr">
        <is>
          <t>AssertionError</t>
        </is>
      </c>
      <c r="BH43" s="55" t="inlineStr">
        <is>
          <t>AssertionError: Not equal to tolerance rtol=1e-07, atol=1e-10</t>
        </is>
      </c>
      <c r="BI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3" s="55" t="inlineStr">
        <is>
          <t>AssertionError</t>
        </is>
      </c>
      <c r="BK43" s="55" t="inlineStr">
        <is>
          <t>AssertionError: Not equal to tolerance rtol=1e-07, atol=1e-10</t>
        </is>
      </c>
      <c r="BL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3" s="55" t="inlineStr">
        <is>
          <t>AssertionError</t>
        </is>
      </c>
      <c r="BN43" s="55" t="inlineStr">
        <is>
          <t>AssertionError: Not equal to tolerance rtol=1e-07, atol=1e-10</t>
        </is>
      </c>
      <c r="BO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3" s="55" t="inlineStr">
        <is>
          <t>AssertionError</t>
        </is>
      </c>
      <c r="BQ43" s="55" t="inlineStr">
        <is>
          <t>AssertionError: Not equal to tolerance rtol=1e-07, atol=1e-10</t>
        </is>
      </c>
      <c r="BR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3" s="55" t="inlineStr">
        <is>
          <t>AssertionError</t>
        </is>
      </c>
      <c r="BT43" s="55" t="inlineStr">
        <is>
          <t>AssertionError: Not equal to tolerance rtol=1e-07, atol=1e-10</t>
        </is>
      </c>
      <c r="BU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3" s="55" t="inlineStr">
        <is>
          <t>AssertionError</t>
        </is>
      </c>
      <c r="BW43" s="55" t="inlineStr">
        <is>
          <t>AssertionError: Not equal to tolerance rtol=1e-07, atol=1e-10</t>
        </is>
      </c>
      <c r="BX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3" s="55" t="inlineStr">
        <is>
          <t>AssertionError</t>
        </is>
      </c>
      <c r="BZ43" s="55" t="inlineStr">
        <is>
          <t>AssertionError: Not equal to tolerance rtol=1e-07, atol=1e-10</t>
        </is>
      </c>
      <c r="CA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3" s="55" t="inlineStr">
        <is>
          <t>AssertionError</t>
        </is>
      </c>
      <c r="CC43" s="55" t="inlineStr">
        <is>
          <t>AssertionError: Not equal to tolerance rtol=1e-07, atol=1e-10</t>
        </is>
      </c>
      <c r="CD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3" s="55" t="inlineStr">
        <is>
          <t>AssertionError</t>
        </is>
      </c>
      <c r="CF43" s="55" t="inlineStr">
        <is>
          <t>AssertionError: Not equal to tolerance rtol=1e-07, atol=1e-10</t>
        </is>
      </c>
      <c r="CG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3" s="55" t="inlineStr">
        <is>
          <t>AssertionError</t>
        </is>
      </c>
      <c r="CI43" s="55" t="inlineStr">
        <is>
          <t>AssertionError: Not equal to tolerance rtol=1e-07, atol=1e-10</t>
        </is>
      </c>
      <c r="CJ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3" s="55" t="inlineStr">
        <is>
          <t>AssertionError</t>
        </is>
      </c>
      <c r="CL43" s="55" t="inlineStr">
        <is>
          <t>AssertionError: Not equal to tolerance rtol=1e-07, atol=1e-10</t>
        </is>
      </c>
      <c r="CM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3" s="55" t="inlineStr">
        <is>
          <t>AssertionError</t>
        </is>
      </c>
      <c r="CO43" s="55" t="inlineStr">
        <is>
          <t>AssertionError: Not equal to tolerance rtol=1e-07, atol=1e-10</t>
        </is>
      </c>
      <c r="CP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3" s="55" t="inlineStr">
        <is>
          <t>AssertionError</t>
        </is>
      </c>
      <c r="CR43" s="55" t="inlineStr">
        <is>
          <t>AssertionError: Not equal to tolerance rtol=1e-07, atol=1e-10</t>
        </is>
      </c>
      <c r="CS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3" s="55" t="inlineStr">
        <is>
          <t>AssertionError</t>
        </is>
      </c>
      <c r="CU43" s="55" t="inlineStr">
        <is>
          <t>AssertionError: Not equal to tolerance rtol=1e-07, atol=1e-10</t>
        </is>
      </c>
      <c r="CV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3" s="55" t="inlineStr">
        <is>
          <t>AssertionError</t>
        </is>
      </c>
      <c r="CX43" s="55" t="inlineStr">
        <is>
          <t>AssertionError: Not equal to tolerance rtol=1e-07, atol=1e-10</t>
        </is>
      </c>
      <c r="CY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3" s="55" t="inlineStr">
        <is>
          <t>AssertionError</t>
        </is>
      </c>
      <c r="DA43" s="55" t="inlineStr">
        <is>
          <t>AssertionError: Not equal to tolerance rtol=1e-07, atol=1e-10</t>
        </is>
      </c>
      <c r="DB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3" s="55" t="inlineStr">
        <is>
          <t>AssertionError</t>
        </is>
      </c>
      <c r="DD43" s="55" t="inlineStr">
        <is>
          <t>AssertionError: Not equal to tolerance rtol=1e-07, atol=1e-10</t>
        </is>
      </c>
      <c r="D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4">
      <c r="A44" s="55" t="inlineStr">
        <is>
          <t>issue_727</t>
        </is>
      </c>
      <c r="B44" s="59" t="inlineStr">
        <is>
          <t>PASS</t>
        </is>
      </c>
      <c r="C44" s="59" t="inlineStr">
        <is>
          <t>PASS</t>
        </is>
      </c>
      <c r="D44" s="59" t="inlineStr">
        <is>
          <t>PASS</t>
        </is>
      </c>
      <c r="E44" s="59" t="inlineStr">
        <is>
          <t>PASS</t>
        </is>
      </c>
      <c r="F44" s="59" t="inlineStr">
        <is>
          <t>PASS</t>
        </is>
      </c>
      <c r="G44" s="59" t="inlineStr">
        <is>
          <t>PASS</t>
        </is>
      </c>
      <c r="H44" s="59" t="inlineStr">
        <is>
          <t>PASS</t>
        </is>
      </c>
      <c r="I44" s="59" t="inlineStr">
        <is>
          <t>PASS</t>
        </is>
      </c>
      <c r="J44" s="59" t="inlineStr">
        <is>
          <t>PASS</t>
        </is>
      </c>
      <c r="K44" s="59" t="inlineStr">
        <is>
          <t>PASS</t>
        </is>
      </c>
      <c r="L44" s="59" t="inlineStr">
        <is>
          <t>PASS</t>
        </is>
      </c>
      <c r="M44" s="59" t="inlineStr">
        <is>
          <t>PASS</t>
        </is>
      </c>
      <c r="N44" s="56" t="inlineStr">
        <is>
          <t>NOT_TESTED</t>
        </is>
      </c>
      <c r="O44" s="56" t="inlineStr">
        <is>
          <t>NOT_TESTED</t>
        </is>
      </c>
      <c r="P44" s="56" t="inlineStr">
        <is>
          <t>NOT_TESTED</t>
        </is>
      </c>
      <c r="Q44" s="56" t="inlineStr">
        <is>
          <t>NOT_TESTED</t>
        </is>
      </c>
      <c r="R44" s="56" t="inlineStr">
        <is>
          <t>NOT_TESTED</t>
        </is>
      </c>
      <c r="S44" s="56" t="inlineStr">
        <is>
          <t>NOT_TESTED</t>
        </is>
      </c>
      <c r="T44" s="56" t="inlineStr">
        <is>
          <t>NOT_TESTED</t>
        </is>
      </c>
      <c r="U44" s="56" t="inlineStr">
        <is>
          <t>NOT_TESTED</t>
        </is>
      </c>
      <c r="V44" s="56" t="inlineStr">
        <is>
          <t>NOT_TESTED</t>
        </is>
      </c>
      <c r="W44" s="56" t="inlineStr">
        <is>
          <t>NOT_TESTED</t>
        </is>
      </c>
      <c r="X44" s="56" t="inlineStr">
        <is>
          <t>NOT_TESTED</t>
        </is>
      </c>
      <c r="Y44" s="56" t="inlineStr">
        <is>
          <t>NOT_TESTED</t>
        </is>
      </c>
      <c r="Z44" s="56" t="inlineStr">
        <is>
          <t>NOT_TESTED</t>
        </is>
      </c>
      <c r="AA44" s="56" t="inlineStr">
        <is>
          <t>NOT_TESTED</t>
        </is>
      </c>
      <c r="AB44" s="56" t="inlineStr">
        <is>
          <t>NOT_TESTED</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issue_742</t>
        </is>
      </c>
      <c r="B45" s="56" t="inlineStr">
        <is>
          <t>NOT_TESTED</t>
        </is>
      </c>
      <c r="C45" s="56" t="inlineStr">
        <is>
          <t>NOT_TESTED</t>
        </is>
      </c>
      <c r="D45" s="56" t="inlineStr">
        <is>
          <t>NOT_TESTED</t>
        </is>
      </c>
      <c r="E45" s="56" t="inlineStr">
        <is>
          <t>NOT_TESTED</t>
        </is>
      </c>
      <c r="F45" s="56" t="inlineStr">
        <is>
          <t>NOT_TESTED</t>
        </is>
      </c>
      <c r="G45" s="56" t="inlineStr">
        <is>
          <t>NOT_TESTED</t>
        </is>
      </c>
      <c r="H45" s="56" t="inlineStr">
        <is>
          <t>NOT_TESTED</t>
        </is>
      </c>
      <c r="I45" s="56" t="inlineStr">
        <is>
          <t>NOT_TESTED</t>
        </is>
      </c>
      <c r="J45" s="56" t="inlineStr">
        <is>
          <t>NOT_TESTED</t>
        </is>
      </c>
      <c r="K45" s="56" t="inlineStr">
        <is>
          <t>NOT_TESTED</t>
        </is>
      </c>
      <c r="L45" s="56" t="inlineStr">
        <is>
          <t>NOT_TESTED</t>
        </is>
      </c>
      <c r="M45" s="56" t="inlineStr">
        <is>
          <t>NOT_TESTED</t>
        </is>
      </c>
      <c r="N45" s="56" t="inlineStr">
        <is>
          <t>NOT_TESTED</t>
        </is>
      </c>
      <c r="O45" s="56" t="inlineStr">
        <is>
          <t>NOT_TESTED</t>
        </is>
      </c>
      <c r="P45" s="56" t="inlineStr">
        <is>
          <t>NOT_TESTED</t>
        </is>
      </c>
      <c r="Q45" s="59" t="inlineStr">
        <is>
          <t>PASS</t>
        </is>
      </c>
      <c r="R45" s="59" t="inlineStr">
        <is>
          <t>PASS</t>
        </is>
      </c>
      <c r="S45" s="59" t="inlineStr">
        <is>
          <t>PASS</t>
        </is>
      </c>
      <c r="T45" s="59" t="inlineStr">
        <is>
          <t>PASS</t>
        </is>
      </c>
      <c r="U45" s="59" t="inlineStr">
        <is>
          <t>PASS</t>
        </is>
      </c>
      <c r="V45" s="59" t="inlineStr">
        <is>
          <t>PASS</t>
        </is>
      </c>
      <c r="W45" s="59" t="inlineStr">
        <is>
          <t>PASS</t>
        </is>
      </c>
      <c r="X45" s="59" t="inlineStr">
        <is>
          <t>PASS</t>
        </is>
      </c>
      <c r="Y45" s="59" t="inlineStr">
        <is>
          <t>PASS</t>
        </is>
      </c>
      <c r="Z45" s="59" t="inlineStr">
        <is>
          <t>PASS</t>
        </is>
      </c>
      <c r="AA45" s="59" t="inlineStr">
        <is>
          <t>PASS</t>
        </is>
      </c>
      <c r="AB45" s="59" t="inlineStr">
        <is>
          <t>PASS</t>
        </is>
      </c>
      <c r="AC45" s="55" t="n"/>
      <c r="AD45" s="55" t="n"/>
      <c r="AE45" s="55" t="n"/>
      <c r="AF45" s="55" t="n"/>
      <c r="AG45" s="55" t="n"/>
      <c r="AH45" s="55" t="n"/>
      <c r="AI45" s="55" t="n"/>
      <c r="AJ45" s="55" t="n"/>
      <c r="AK45" s="55" t="n"/>
      <c r="AL45" s="55" t="n"/>
      <c r="AM45" s="55" t="n"/>
      <c r="AN45" s="55" t="n"/>
      <c r="AO45" s="55" t="n"/>
      <c r="AP45" s="55" t="n"/>
      <c r="AQ45" s="55" t="n"/>
      <c r="AR45" s="55" t="n"/>
      <c r="AS45" s="55" t="n"/>
      <c r="AT45" s="55" t="n"/>
      <c r="AU45" s="55" t="n"/>
      <c r="AV45" s="55" t="n"/>
      <c r="AW45" s="55" t="n"/>
      <c r="AX45" s="55" t="n"/>
      <c r="AY45" s="55" t="n"/>
      <c r="AZ45" s="55" t="n"/>
      <c r="BA45" s="55" t="n"/>
      <c r="BB45" s="55" t="n"/>
      <c r="BC45" s="55" t="n"/>
      <c r="BD45" s="55" t="n"/>
      <c r="BE45" s="55" t="n"/>
      <c r="BF45" s="55" t="n"/>
      <c r="BG45" s="55" t="n"/>
      <c r="BH45" s="55" t="n"/>
      <c r="BI45" s="55" t="n"/>
      <c r="BJ45" s="55" t="n"/>
      <c r="BK45" s="55" t="n"/>
      <c r="BL45" s="55" t="n"/>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issue_747</t>
        </is>
      </c>
      <c r="B46" s="56" t="inlineStr">
        <is>
          <t>NOT_TESTED</t>
        </is>
      </c>
      <c r="C46" s="56" t="inlineStr">
        <is>
          <t>NOT_TESTED</t>
        </is>
      </c>
      <c r="D46" s="56" t="inlineStr">
        <is>
          <t>NOT_TESTED</t>
        </is>
      </c>
      <c r="E46" s="56" t="inlineStr">
        <is>
          <t>NOT_TESTED</t>
        </is>
      </c>
      <c r="F46" s="58" t="inlineStr">
        <is>
          <t>FAIL</t>
        </is>
      </c>
      <c r="G46" s="58" t="inlineStr">
        <is>
          <t>FAIL</t>
        </is>
      </c>
      <c r="H46" s="58" t="inlineStr">
        <is>
          <t>FAIL</t>
        </is>
      </c>
      <c r="I46" s="58" t="inlineStr">
        <is>
          <t>FAIL</t>
        </is>
      </c>
      <c r="J46" s="58" t="inlineStr">
        <is>
          <t>FAIL</t>
        </is>
      </c>
      <c r="K46" s="58" t="inlineStr">
        <is>
          <t>FAIL</t>
        </is>
      </c>
      <c r="L46" s="58" t="inlineStr">
        <is>
          <t>FAIL</t>
        </is>
      </c>
      <c r="M46" s="58" t="inlineStr">
        <is>
          <t>FAIL</t>
        </is>
      </c>
      <c r="N46" s="56" t="inlineStr">
        <is>
          <t>NOT_TESTED</t>
        </is>
      </c>
      <c r="O46" s="56" t="inlineStr">
        <is>
          <t>NOT_TESTED</t>
        </is>
      </c>
      <c r="P46" s="56" t="inlineStr">
        <is>
          <t>NOT_TESTED</t>
        </is>
      </c>
      <c r="Q46" s="56" t="inlineStr">
        <is>
          <t>NOT_TESTED</t>
        </is>
      </c>
      <c r="R46" s="56" t="inlineStr">
        <is>
          <t>NOT_TESTED</t>
        </is>
      </c>
      <c r="S46" s="56" t="inlineStr">
        <is>
          <t>NOT_TESTED</t>
        </is>
      </c>
      <c r="T46" s="56" t="inlineStr">
        <is>
          <t>NOT_TESTED</t>
        </is>
      </c>
      <c r="U46" s="56" t="inlineStr">
        <is>
          <t>NOT_TESTED</t>
        </is>
      </c>
      <c r="V46" s="56" t="inlineStr">
        <is>
          <t>NOT_TESTED</t>
        </is>
      </c>
      <c r="W46" s="56" t="inlineStr">
        <is>
          <t>NOT_TESTED</t>
        </is>
      </c>
      <c r="X46" s="56" t="inlineStr">
        <is>
          <t>NOT_TESTED</t>
        </is>
      </c>
      <c r="Y46" s="56" t="inlineStr">
        <is>
          <t>NOT_TESTED</t>
        </is>
      </c>
      <c r="Z46" s="56" t="inlineStr">
        <is>
          <t>NOT_TESTED</t>
        </is>
      </c>
      <c r="AA46" s="56" t="inlineStr">
        <is>
          <t>NOT_TESTED</t>
        </is>
      </c>
      <c r="AB46" s="56" t="inlineStr">
        <is>
          <t>NOT_TESTED</t>
        </is>
      </c>
      <c r="AC46" s="55" t="n"/>
      <c r="AD46" s="55" t="n"/>
      <c r="AE46" s="55" t="n"/>
      <c r="AF46" s="55" t="n"/>
      <c r="AG46" s="55" t="n"/>
      <c r="AH46" s="55" t="n"/>
      <c r="AI46" s="55" t="n"/>
      <c r="AJ46" s="55" t="n"/>
      <c r="AK46" s="55" t="n"/>
      <c r="AL46" s="55" t="n"/>
      <c r="AM46" s="55" t="n"/>
      <c r="AN46" s="55" t="n"/>
      <c r="AO46" s="55" t="inlineStr">
        <is>
          <t>AssertionError</t>
        </is>
      </c>
      <c r="AP46" s="55" t="inlineStr">
        <is>
          <t>AssertionError: Items in the first set but not the second: '000 000' '111 000' Items in the second set but not the first: '000' '111'</t>
        </is>
      </c>
      <c r="AQ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6" s="55" t="inlineStr">
        <is>
          <t>AssertionError</t>
        </is>
      </c>
      <c r="AS46" s="55" t="inlineStr">
        <is>
          <t>AssertionError: Items in the first set but not the second: '000 000' '111 000' Items in the second set but not the first: '000' '111'</t>
        </is>
      </c>
      <c r="AT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6" s="55" t="inlineStr">
        <is>
          <t>AssertionError</t>
        </is>
      </c>
      <c r="AV46" s="55" t="inlineStr">
        <is>
          <t>AssertionError: Items in the first set but not the second: '111 000' '000 000' Items in the second set but not the first: '000' '111'</t>
        </is>
      </c>
      <c r="AW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6" s="55" t="inlineStr">
        <is>
          <t>AssertionError</t>
        </is>
      </c>
      <c r="AY46" s="55" t="inlineStr">
        <is>
          <t>AssertionError: Items in the first set but not the second: '111 000' '000 000' Items in the second set but not the first: '111' '000'</t>
        </is>
      </c>
      <c r="AZ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6" s="55" t="inlineStr">
        <is>
          <t>AssertionError</t>
        </is>
      </c>
      <c r="BB46" s="55" t="inlineStr">
        <is>
          <t>AssertionError: Items in the first set but not the second: '000 000' '111 000' Items in the second set but not the first: '111' '000'</t>
        </is>
      </c>
      <c r="BC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6" s="55" t="inlineStr">
        <is>
          <t>AssertionError</t>
        </is>
      </c>
      <c r="BE46" s="55" t="inlineStr">
        <is>
          <t>AssertionError: Items in the first set but not the second: '000 000' '111 000' Items in the second set but not the first: '000' '111'</t>
        </is>
      </c>
      <c r="BF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6" s="55" t="inlineStr">
        <is>
          <t>AssertionError</t>
        </is>
      </c>
      <c r="BH46" s="55" t="inlineStr">
        <is>
          <t>AssertionError: Items in the first set but not the second: '000 000' '111 000' Items in the second set but not the first: '000' '111'</t>
        </is>
      </c>
      <c r="BI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6" s="55" t="inlineStr">
        <is>
          <t>AssertionError</t>
        </is>
      </c>
      <c r="BK46" s="55" t="inlineStr">
        <is>
          <t>AssertionError: Items in the first set but not the second: '111 000' '000 000' Items in the second set but not the first: '000' '111'</t>
        </is>
      </c>
      <c r="BL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6" s="55" t="n"/>
      <c r="BN46" s="55" t="n"/>
      <c r="BO46" s="55" t="n"/>
      <c r="BP46" s="55" t="n"/>
      <c r="BQ46" s="55" t="n"/>
      <c r="BR46" s="55" t="n"/>
      <c r="BS46" s="55" t="n"/>
      <c r="BT46" s="55" t="n"/>
      <c r="BU46" s="55" t="n"/>
      <c r="BV46" s="55" t="n"/>
      <c r="BW46" s="55" t="n"/>
      <c r="BX46" s="55" t="n"/>
      <c r="BY46" s="55" t="n"/>
      <c r="BZ46" s="55" t="n"/>
      <c r="CA46" s="55" t="n"/>
      <c r="CB46" s="55" t="n"/>
      <c r="CC46" s="55" t="n"/>
      <c r="CD46" s="55" t="n"/>
      <c r="CE46" s="55" t="n"/>
      <c r="CF46" s="55" t="n"/>
      <c r="CG46" s="55" t="n"/>
      <c r="CH46" s="55" t="n"/>
      <c r="CI46" s="55" t="n"/>
      <c r="CJ46" s="55" t="n"/>
      <c r="CK46" s="55" t="n"/>
      <c r="CL46" s="55" t="n"/>
      <c r="CM46" s="55" t="n"/>
      <c r="CN46" s="55" t="n"/>
      <c r="CO46" s="55" t="n"/>
      <c r="CP46" s="55" t="n"/>
      <c r="CQ46" s="55" t="n"/>
      <c r="CR46" s="55" t="n"/>
      <c r="CS46" s="55" t="n"/>
      <c r="CT46" s="55" t="n"/>
      <c r="CU46" s="55" t="n"/>
      <c r="CV46" s="55" t="n"/>
      <c r="CW46" s="55" t="n"/>
      <c r="CX46" s="55" t="n"/>
      <c r="CY46" s="55" t="n"/>
      <c r="CZ46" s="55" t="n"/>
      <c r="DA46" s="55" t="n"/>
      <c r="DB46" s="55" t="n"/>
      <c r="DC46" s="55" t="n"/>
      <c r="DD46" s="55" t="n"/>
      <c r="DE46" s="55" t="n"/>
    </row>
    <row r="47">
      <c r="A47" s="55" t="inlineStr">
        <is>
          <t>issue_750</t>
        </is>
      </c>
      <c r="B47" s="56" t="inlineStr">
        <is>
          <t>NOT_TESTED</t>
        </is>
      </c>
      <c r="C47" s="56" t="inlineStr">
        <is>
          <t>NOT_TESTED</t>
        </is>
      </c>
      <c r="D47" s="56" t="inlineStr">
        <is>
          <t>NOT_TESTED</t>
        </is>
      </c>
      <c r="E47" s="56" t="inlineStr">
        <is>
          <t>NOT_TESTED</t>
        </is>
      </c>
      <c r="F47" s="57" t="inlineStr">
        <is>
          <t>ERROR</t>
        </is>
      </c>
      <c r="G47" s="57" t="inlineStr">
        <is>
          <t>ERROR</t>
        </is>
      </c>
      <c r="H47" s="57" t="inlineStr">
        <is>
          <t>ERROR</t>
        </is>
      </c>
      <c r="I47" s="57" t="inlineStr">
        <is>
          <t>ERROR</t>
        </is>
      </c>
      <c r="J47" s="57" t="inlineStr">
        <is>
          <t>ERROR</t>
        </is>
      </c>
      <c r="K47" s="57" t="inlineStr">
        <is>
          <t>ERROR</t>
        </is>
      </c>
      <c r="L47" s="57" t="inlineStr">
        <is>
          <t>ERROR</t>
        </is>
      </c>
      <c r="M47" s="57" t="inlineStr">
        <is>
          <t>ERROR</t>
        </is>
      </c>
      <c r="N47" s="57" t="inlineStr">
        <is>
          <t>ERROR</t>
        </is>
      </c>
      <c r="O47" s="57" t="inlineStr">
        <is>
          <t>ERROR</t>
        </is>
      </c>
      <c r="P47" s="57" t="inlineStr">
        <is>
          <t>ERROR</t>
        </is>
      </c>
      <c r="Q47" s="57" t="inlineStr">
        <is>
          <t>ERROR</t>
        </is>
      </c>
      <c r="R47" s="57" t="inlineStr">
        <is>
          <t>ERROR</t>
        </is>
      </c>
      <c r="S47" s="57" t="inlineStr">
        <is>
          <t>ERROR</t>
        </is>
      </c>
      <c r="T47" s="57" t="inlineStr">
        <is>
          <t>ERROR</t>
        </is>
      </c>
      <c r="U47" s="57" t="inlineStr">
        <is>
          <t>ERROR</t>
        </is>
      </c>
      <c r="V47" s="57" t="inlineStr">
        <is>
          <t>ERROR</t>
        </is>
      </c>
      <c r="W47" s="57" t="inlineStr">
        <is>
          <t>ERROR</t>
        </is>
      </c>
      <c r="X47" s="57" t="inlineStr">
        <is>
          <t>ERROR</t>
        </is>
      </c>
      <c r="Y47" s="57" t="inlineStr">
        <is>
          <t>ERROR</t>
        </is>
      </c>
      <c r="Z47" s="57" t="inlineStr">
        <is>
          <t>ERROR</t>
        </is>
      </c>
      <c r="AA47" s="57" t="inlineStr">
        <is>
          <t>ERROR</t>
        </is>
      </c>
      <c r="AB47" s="57" t="inlineStr">
        <is>
          <t>ERROR</t>
        </is>
      </c>
      <c r="AC47" s="55" t="n"/>
      <c r="AD47" s="55" t="n"/>
      <c r="AE47" s="55" t="n"/>
      <c r="AF47" s="55" t="n"/>
      <c r="AG47" s="55" t="n"/>
      <c r="AH47" s="55" t="n"/>
      <c r="AI47" s="55" t="n"/>
      <c r="AJ47" s="55" t="n"/>
      <c r="AK47" s="55" t="n"/>
      <c r="AL47" s="55" t="n"/>
      <c r="AM47" s="55" t="n"/>
      <c r="AN47" s="55" t="n"/>
      <c r="AO47" s="55" t="inlineStr">
        <is>
          <t>TypeError</t>
        </is>
      </c>
      <c r="AP47" s="55" t="inlineStr">
        <is>
          <t>TypeError: Pauli.__init__() got an unexpected keyword argument 'label'</t>
        </is>
      </c>
      <c r="AQ47" s="55" t="inlineStr">
        <is>
          <t>The LLM answered NO BUG and kept Pauli(label='XZ'); the math is right, but the label keyword was removed from Pauli in these versions, so the script raises TypeError. The reference builds the operator with Pauli('X')/Pauli('Z') and tensor/expand.</t>
        </is>
      </c>
      <c r="AR47" s="55" t="inlineStr">
        <is>
          <t>TypeError</t>
        </is>
      </c>
      <c r="AS47" s="55" t="inlineStr">
        <is>
          <t>TypeError: Pauli.__init__() got an unexpected keyword argument 'label'</t>
        </is>
      </c>
      <c r="AT47" s="55" t="inlineStr">
        <is>
          <t>The LLM answered NO BUG and kept Pauli(label='XZ'); the math is right, but the label keyword was removed from Pauli in these versions, so the script raises TypeError. The reference builds the operator with Pauli('X')/Pauli('Z') and tensor/expand.</t>
        </is>
      </c>
      <c r="AU47" s="55" t="inlineStr">
        <is>
          <t>TypeError</t>
        </is>
      </c>
      <c r="AV47" s="55" t="inlineStr">
        <is>
          <t>TypeError: Pauli.__init__() got an unexpected keyword argument 'label'</t>
        </is>
      </c>
      <c r="AW47" s="55" t="inlineStr">
        <is>
          <t>The LLM answered NO BUG and kept Pauli(label='XZ'); the math is right, but the label keyword was removed from Pauli in these versions, so the script raises TypeError. The reference builds the operator with Pauli('X')/Pauli('Z') and tensor/expand.</t>
        </is>
      </c>
      <c r="AX47" s="55" t="inlineStr">
        <is>
          <t>TypeError</t>
        </is>
      </c>
      <c r="AY47" s="55" t="inlineStr">
        <is>
          <t>TypeError: Pauli.__init__() got an unexpected keyword argument 'label'</t>
        </is>
      </c>
      <c r="AZ47" s="55" t="inlineStr">
        <is>
          <t>The LLM answered NO BUG and kept Pauli(label='XZ'); the math is right, but the label keyword was removed from Pauli in these versions, so the script raises TypeError. The reference builds the operator with Pauli('X')/Pauli('Z') and tensor/expand.</t>
        </is>
      </c>
      <c r="BA47" s="55" t="inlineStr">
        <is>
          <t>TypeError</t>
        </is>
      </c>
      <c r="BB47" s="55" t="inlineStr">
        <is>
          <t>TypeError: Pauli.__init__() got an unexpected keyword argument 'label'</t>
        </is>
      </c>
      <c r="BC47" s="55" t="inlineStr">
        <is>
          <t>The LLM answered NO BUG and kept Pauli(label='XZ'); the math is right, but the label keyword was removed from Pauli in these versions, so the script raises TypeError. The reference builds the operator with Pauli('X')/Pauli('Z') and tensor/expand.</t>
        </is>
      </c>
      <c r="BD47" s="55" t="inlineStr">
        <is>
          <t>TypeError</t>
        </is>
      </c>
      <c r="BE47" s="55" t="inlineStr">
        <is>
          <t>TypeError: Pauli.__init__() got an unexpected keyword argument 'label'</t>
        </is>
      </c>
      <c r="BF47" s="55" t="inlineStr">
        <is>
          <t>The LLM answered NO BUG and kept Pauli(label='XZ'); the math is right, but the label keyword was removed from Pauli in these versions, so the script raises TypeError. The reference builds the operator with Pauli('X')/Pauli('Z') and tensor/expand.</t>
        </is>
      </c>
      <c r="BG47" s="55" t="inlineStr">
        <is>
          <t>TypeError</t>
        </is>
      </c>
      <c r="BH47" s="55" t="inlineStr">
        <is>
          <t>TypeError: Pauli.__init__() got an unexpected keyword argument 'label'</t>
        </is>
      </c>
      <c r="BI47" s="55" t="inlineStr">
        <is>
          <t>The LLM answered NO BUG and kept Pauli(label='XZ'); the math is right, but the label keyword was removed from Pauli in these versions, so the script raises TypeError. The reference builds the operator with Pauli('X')/Pauli('Z') and tensor/expand.</t>
        </is>
      </c>
      <c r="BJ47" s="55" t="inlineStr">
        <is>
          <t>TypeError</t>
        </is>
      </c>
      <c r="BK47" s="55" t="inlineStr">
        <is>
          <t>TypeError: Pauli.__init__() got an unexpected keyword argument 'label'</t>
        </is>
      </c>
      <c r="BL47" s="55" t="inlineStr">
        <is>
          <t>The LLM answered NO BUG and kept Pauli(label='XZ'); the math is right, but the label keyword was removed from Pauli in these versions, so the script raises TypeError. The reference builds the operator with Pauli('X')/Pauli('Z') and tensor/expand.</t>
        </is>
      </c>
      <c r="BM47" s="55" t="inlineStr">
        <is>
          <t>TypeError</t>
        </is>
      </c>
      <c r="BN47" s="55" t="inlineStr">
        <is>
          <t>TypeError: Pauli.__init__() got an unexpected keyword argument 'label'</t>
        </is>
      </c>
      <c r="BO47" s="55" t="inlineStr">
        <is>
          <t>The LLM answered NO BUG and kept Pauli(label='XZ'); the math is right, but the label keyword was removed from Pauli in these versions, so the script raises TypeError. The reference builds the operator with Pauli('X')/Pauli('Z') and tensor/expand.</t>
        </is>
      </c>
      <c r="BP47" s="55" t="inlineStr">
        <is>
          <t>TypeError</t>
        </is>
      </c>
      <c r="BQ47" s="55" t="inlineStr">
        <is>
          <t>TypeError: Pauli.__init__() got an unexpected keyword argument 'label'</t>
        </is>
      </c>
      <c r="BR47" s="55" t="inlineStr">
        <is>
          <t>The LLM answered NO BUG and kept Pauli(label='XZ'); the math is right, but the label keyword was removed from Pauli in these versions, so the script raises TypeError. The reference builds the operator with Pauli('X')/Pauli('Z') and tensor/expand.</t>
        </is>
      </c>
      <c r="BS47" s="55" t="inlineStr">
        <is>
          <t>TypeError</t>
        </is>
      </c>
      <c r="BT47" s="55" t="inlineStr">
        <is>
          <t>TypeError: Pauli.__init__() got an unexpected keyword argument 'label'</t>
        </is>
      </c>
      <c r="BU47" s="55" t="inlineStr">
        <is>
          <t>The LLM answered NO BUG and kept Pauli(label='XZ'); the math is right, but the label keyword was removed from Pauli in these versions, so the script raises TypeError. The reference builds the operator with Pauli('X')/Pauli('Z') and tensor/expand.</t>
        </is>
      </c>
      <c r="BV47" s="55" t="inlineStr">
        <is>
          <t>TypeError</t>
        </is>
      </c>
      <c r="BW47" s="55" t="inlineStr">
        <is>
          <t>TypeError: Pauli.__init__() got an unexpected keyword argument 'label'</t>
        </is>
      </c>
      <c r="BX47" s="55" t="inlineStr">
        <is>
          <t>The LLM answered NO BUG and kept Pauli(label='XZ'); the math is right, but the label keyword was removed from Pauli in these versions, so the script raises TypeError. The reference builds the operator with Pauli('X')/Pauli('Z') and tensor/expand.</t>
        </is>
      </c>
      <c r="BY47" s="55" t="inlineStr">
        <is>
          <t>TypeError</t>
        </is>
      </c>
      <c r="BZ47" s="55" t="inlineStr">
        <is>
          <t>TypeError: Pauli.__init__() got an unexpected keyword argument 'label'</t>
        </is>
      </c>
      <c r="CA47" s="55" t="inlineStr">
        <is>
          <t>The LLM answered NO BUG and kept Pauli(label='XZ'); the math is right, but the label keyword was removed from Pauli in these versions, so the script raises TypeError. The reference builds the operator with Pauli('X')/Pauli('Z') and tensor/expand.</t>
        </is>
      </c>
      <c r="CB47" s="55" t="inlineStr">
        <is>
          <t>TypeError</t>
        </is>
      </c>
      <c r="CC47" s="55" t="inlineStr">
        <is>
          <t>TypeError: Pauli.__init__() got an unexpected keyword argument 'label'</t>
        </is>
      </c>
      <c r="CD47" s="55" t="inlineStr">
        <is>
          <t>The LLM answered NO BUG and kept Pauli(label='XZ'); the math is right, but the label keyword was removed from Pauli in these versions, so the script raises TypeError. The reference builds the operator with Pauli('X')/Pauli('Z') and tensor/expand.</t>
        </is>
      </c>
      <c r="CE47" s="55" t="inlineStr">
        <is>
          <t>TypeError</t>
        </is>
      </c>
      <c r="CF47" s="55" t="inlineStr">
        <is>
          <t>TypeError: Pauli.__init__() got an unexpected keyword argument 'label'</t>
        </is>
      </c>
      <c r="CG47" s="55" t="inlineStr">
        <is>
          <t>The LLM answered NO BUG and kept Pauli(label='XZ'); the math is right, but the label keyword was removed from Pauli in these versions, so the script raises TypeError. The reference builds the operator with Pauli('X')/Pauli('Z') and tensor/expand.</t>
        </is>
      </c>
      <c r="CH47" s="55" t="inlineStr">
        <is>
          <t>TypeError</t>
        </is>
      </c>
      <c r="CI47" s="55" t="inlineStr">
        <is>
          <t>TypeError: Pauli.__init__() got an unexpected keyword argument 'label'</t>
        </is>
      </c>
      <c r="CJ47" s="55" t="inlineStr">
        <is>
          <t>The LLM answered NO BUG and kept Pauli(label='XZ'); the math is right, but the label keyword was removed from Pauli in these versions, so the script raises TypeError. The reference builds the operator with Pauli('X')/Pauli('Z') and tensor/expand.</t>
        </is>
      </c>
      <c r="CK47" s="55" t="inlineStr">
        <is>
          <t>TypeError</t>
        </is>
      </c>
      <c r="CL47" s="55" t="inlineStr">
        <is>
          <t>TypeError: Pauli.__init__() got an unexpected keyword argument 'label'</t>
        </is>
      </c>
      <c r="CM47" s="55" t="inlineStr">
        <is>
          <t>The LLM answered NO BUG and kept Pauli(label='XZ'); the math is right, but the label keyword was removed from Pauli in these versions, so the script raises TypeError. The reference builds the operator with Pauli('X')/Pauli('Z') and tensor/expand.</t>
        </is>
      </c>
      <c r="CN47" s="55" t="inlineStr">
        <is>
          <t>TypeError</t>
        </is>
      </c>
      <c r="CO47" s="55" t="inlineStr">
        <is>
          <t>TypeError: Pauli.__init__() got an unexpected keyword argument 'label'</t>
        </is>
      </c>
      <c r="CP47" s="55" t="inlineStr">
        <is>
          <t>The LLM answered NO BUG and kept Pauli(label='XZ'); the math is right, but the label keyword was removed from Pauli in these versions, so the script raises TypeError. The reference builds the operator with Pauli('X')/Pauli('Z') and tensor/expand.</t>
        </is>
      </c>
      <c r="CQ47" s="55" t="inlineStr">
        <is>
          <t>TypeError</t>
        </is>
      </c>
      <c r="CR47" s="55" t="inlineStr">
        <is>
          <t>TypeError: Pauli.__init__() got an unexpected keyword argument 'label'</t>
        </is>
      </c>
      <c r="CS47" s="55" t="inlineStr">
        <is>
          <t>The LLM answered NO BUG and kept Pauli(label='XZ'); the math is right, but the label keyword was removed from Pauli in these versions, so the script raises TypeError. The reference builds the operator with Pauli('X')/Pauli('Z') and tensor/expand.</t>
        </is>
      </c>
      <c r="CT47" s="55" t="inlineStr">
        <is>
          <t>TypeError</t>
        </is>
      </c>
      <c r="CU47" s="55" t="inlineStr">
        <is>
          <t>TypeError: Pauli.__init__() got an unexpected keyword argument 'label'</t>
        </is>
      </c>
      <c r="CV47" s="55" t="inlineStr">
        <is>
          <t>The LLM answered NO BUG and kept Pauli(label='XZ'); the math is right, but the label keyword was removed from Pauli in these versions, so the script raises TypeError. The reference builds the operator with Pauli('X')/Pauli('Z') and tensor/expand.</t>
        </is>
      </c>
      <c r="CW47" s="55" t="inlineStr">
        <is>
          <t>TypeError</t>
        </is>
      </c>
      <c r="CX47" s="55" t="inlineStr">
        <is>
          <t>TypeError: Pauli.__init__() got an unexpected keyword argument 'label'</t>
        </is>
      </c>
      <c r="CY47" s="55" t="inlineStr">
        <is>
          <t>The LLM answered NO BUG and kept Pauli(label='XZ'); the math is right, but the label keyword was removed from Pauli in these versions, so the script raises TypeError. The reference builds the operator with Pauli('X')/Pauli('Z') and tensor/expand.</t>
        </is>
      </c>
      <c r="CZ47" s="55" t="inlineStr">
        <is>
          <t>TypeError</t>
        </is>
      </c>
      <c r="DA47" s="55" t="inlineStr">
        <is>
          <t>TypeError: Pauli.__init__() got an unexpected keyword argument 'label'</t>
        </is>
      </c>
      <c r="DB47" s="55" t="inlineStr">
        <is>
          <t>The LLM answered NO BUG and kept Pauli(label='XZ'); the math is right, but the label keyword was removed from Pauli in these versions, so the script raises TypeError. The reference builds the operator with Pauli('X')/Pauli('Z') and tensor/expand.</t>
        </is>
      </c>
      <c r="DC47" s="55" t="inlineStr">
        <is>
          <t>TypeError</t>
        </is>
      </c>
      <c r="DD47" s="55" t="inlineStr">
        <is>
          <t>TypeError: Pauli.__init__() got an unexpected keyword argument 'label'</t>
        </is>
      </c>
      <c r="DE47" s="55" t="inlineStr">
        <is>
          <t>The LLM answered NO BUG and kept Pauli(label='XZ'); the math is right, but the label keyword was removed from Pauli in these versions, so the script raises TypeError. The reference builds the operator with Pauli('X')/Pauli('Z') and tensor/expand.</t>
        </is>
      </c>
    </row>
    <row r="48">
      <c r="A48" s="55" t="inlineStr">
        <is>
          <t>issue_769</t>
        </is>
      </c>
      <c r="B48" s="56" t="inlineStr">
        <is>
          <t>NOT_TESTED</t>
        </is>
      </c>
      <c r="C48" s="56" t="inlineStr">
        <is>
          <t>NOT_TESTED</t>
        </is>
      </c>
      <c r="D48" s="56" t="inlineStr">
        <is>
          <t>NOT_TESTED</t>
        </is>
      </c>
      <c r="E48" s="56" t="inlineStr">
        <is>
          <t>NOT_TESTED</t>
        </is>
      </c>
      <c r="F48" s="56" t="inlineStr">
        <is>
          <t>NOT_TESTED</t>
        </is>
      </c>
      <c r="G48" s="56" t="inlineStr">
        <is>
          <t>NOT_TESTED</t>
        </is>
      </c>
      <c r="H48" s="56" t="inlineStr">
        <is>
          <t>NOT_TESTED</t>
        </is>
      </c>
      <c r="I48" s="56" t="inlineStr">
        <is>
          <t>NOT_TESTED</t>
        </is>
      </c>
      <c r="J48" s="56" t="inlineStr">
        <is>
          <t>NOT_TESTED</t>
        </is>
      </c>
      <c r="K48" s="56" t="inlineStr">
        <is>
          <t>NOT_TESTED</t>
        </is>
      </c>
      <c r="L48" s="56" t="inlineStr">
        <is>
          <t>NOT_TESTED</t>
        </is>
      </c>
      <c r="M48" s="56" t="inlineStr">
        <is>
          <t>NOT_TESTED</t>
        </is>
      </c>
      <c r="N48" s="57" t="inlineStr">
        <is>
          <t>ERROR</t>
        </is>
      </c>
      <c r="O48" s="57" t="inlineStr">
        <is>
          <t>ERROR</t>
        </is>
      </c>
      <c r="P48" s="57" t="inlineStr">
        <is>
          <t>ERROR</t>
        </is>
      </c>
      <c r="Q48" s="57" t="inlineStr">
        <is>
          <t>ERROR</t>
        </is>
      </c>
      <c r="R48" s="57" t="inlineStr">
        <is>
          <t>ERROR</t>
        </is>
      </c>
      <c r="S48" s="57" t="inlineStr">
        <is>
          <t>ERROR</t>
        </is>
      </c>
      <c r="T48" s="57" t="inlineStr">
        <is>
          <t>ERROR</t>
        </is>
      </c>
      <c r="U48" s="57" t="inlineStr">
        <is>
          <t>ERROR</t>
        </is>
      </c>
      <c r="V48" s="57" t="inlineStr">
        <is>
          <t>ERROR</t>
        </is>
      </c>
      <c r="W48" s="57" t="inlineStr">
        <is>
          <t>ERROR</t>
        </is>
      </c>
      <c r="X48" s="57" t="inlineStr">
        <is>
          <t>ERROR</t>
        </is>
      </c>
      <c r="Y48" s="57" t="inlineStr">
        <is>
          <t>ERROR</t>
        </is>
      </c>
      <c r="Z48" s="57" t="inlineStr">
        <is>
          <t>ERROR</t>
        </is>
      </c>
      <c r="AA48" s="57" t="inlineStr">
        <is>
          <t>ERROR</t>
        </is>
      </c>
      <c r="AB48" s="57" t="inlineStr">
        <is>
          <t>ERROR</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inlineStr">
        <is>
          <t>KeyError</t>
        </is>
      </c>
      <c r="BN48" s="55" t="inlineStr">
        <is>
          <t>KeyError: 'get_qiskit_gate'</t>
        </is>
      </c>
      <c r="BO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8" s="55" t="inlineStr">
        <is>
          <t>KeyError</t>
        </is>
      </c>
      <c r="BQ48" s="55" t="inlineStr">
        <is>
          <t>KeyError: 'get_qiskit_gate'</t>
        </is>
      </c>
      <c r="BR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8" s="55" t="inlineStr">
        <is>
          <t>KeyError</t>
        </is>
      </c>
      <c r="BT48" s="55" t="inlineStr">
        <is>
          <t>KeyError: 'get_qiskit_gate'</t>
        </is>
      </c>
      <c r="BU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8" s="55" t="inlineStr">
        <is>
          <t>KeyError</t>
        </is>
      </c>
      <c r="BW48" s="55" t="inlineStr">
        <is>
          <t>KeyError: 'get_qiskit_gate'</t>
        </is>
      </c>
      <c r="BX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8" s="55" t="inlineStr">
        <is>
          <t>KeyError</t>
        </is>
      </c>
      <c r="BZ48" s="55" t="inlineStr">
        <is>
          <t>KeyError: 'get_qiskit_gate'</t>
        </is>
      </c>
      <c r="CA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8" s="55" t="inlineStr">
        <is>
          <t>KeyError</t>
        </is>
      </c>
      <c r="CC48" s="55" t="inlineStr">
        <is>
          <t>KeyError: 'get_qiskit_gate'</t>
        </is>
      </c>
      <c r="CD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8" s="55" t="inlineStr">
        <is>
          <t>KeyError</t>
        </is>
      </c>
      <c r="CF48" s="55" t="inlineStr">
        <is>
          <t>KeyError: 'get_qiskit_gate'</t>
        </is>
      </c>
      <c r="CG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8" s="55" t="inlineStr">
        <is>
          <t>KeyError</t>
        </is>
      </c>
      <c r="CI48" s="55" t="inlineStr">
        <is>
          <t>KeyError: 'get_qiskit_gate'</t>
        </is>
      </c>
      <c r="CJ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8" s="55" t="inlineStr">
        <is>
          <t>KeyError</t>
        </is>
      </c>
      <c r="CL48" s="55" t="inlineStr">
        <is>
          <t>KeyError: 'get_qiskit_gate'</t>
        </is>
      </c>
      <c r="CM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8" s="55" t="inlineStr">
        <is>
          <t>KeyError</t>
        </is>
      </c>
      <c r="CO48" s="55" t="inlineStr">
        <is>
          <t>KeyError: 'get_qiskit_gate'</t>
        </is>
      </c>
      <c r="CP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8" s="55" t="inlineStr">
        <is>
          <t>KeyError</t>
        </is>
      </c>
      <c r="CR48" s="55" t="inlineStr">
        <is>
          <t>KeyError: 'get_qiskit_gate'</t>
        </is>
      </c>
      <c r="CS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8" s="55" t="inlineStr">
        <is>
          <t>KeyError</t>
        </is>
      </c>
      <c r="CU48" s="55" t="inlineStr">
        <is>
          <t>KeyError: 'get_qiskit_gate'</t>
        </is>
      </c>
      <c r="CV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8" s="55" t="inlineStr">
        <is>
          <t>KeyError</t>
        </is>
      </c>
      <c r="CX48" s="55" t="inlineStr">
        <is>
          <t>KeyError: 'get_qiskit_gate'</t>
        </is>
      </c>
      <c r="CY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8" s="55" t="inlineStr">
        <is>
          <t>KeyError</t>
        </is>
      </c>
      <c r="DA48" s="55" t="inlineStr">
        <is>
          <t>KeyError: 'get_qiskit_gate'</t>
        </is>
      </c>
      <c r="DB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8" s="55" t="inlineStr">
        <is>
          <t>KeyError</t>
        </is>
      </c>
      <c r="DD48" s="55" t="inlineStr">
        <is>
          <t>KeyError: 'get_qiskit_gate'</t>
        </is>
      </c>
      <c r="DE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9">
      <c r="A49" s="55" t="inlineStr">
        <is>
          <t>issue_773</t>
        </is>
      </c>
      <c r="B49" s="56" t="inlineStr">
        <is>
          <t>NOT_TESTED</t>
        </is>
      </c>
      <c r="C49" s="56" t="inlineStr">
        <is>
          <t>NOT_TESTED</t>
        </is>
      </c>
      <c r="D49" s="56" t="inlineStr">
        <is>
          <t>NOT_TESTED</t>
        </is>
      </c>
      <c r="E49" s="56" t="inlineStr">
        <is>
          <t>NOT_TESTED</t>
        </is>
      </c>
      <c r="F49" s="59" t="inlineStr">
        <is>
          <t>PASS</t>
        </is>
      </c>
      <c r="G49" s="59" t="inlineStr">
        <is>
          <t>PASS</t>
        </is>
      </c>
      <c r="H49" s="59" t="inlineStr">
        <is>
          <t>PASS</t>
        </is>
      </c>
      <c r="I49" s="59" t="inlineStr">
        <is>
          <t>PASS</t>
        </is>
      </c>
      <c r="J49" s="59" t="inlineStr">
        <is>
          <t>PASS</t>
        </is>
      </c>
      <c r="K49" s="59" t="inlineStr">
        <is>
          <t>PASS</t>
        </is>
      </c>
      <c r="L49" s="59" t="inlineStr">
        <is>
          <t>PASS</t>
        </is>
      </c>
      <c r="M49" s="59" t="inlineStr">
        <is>
          <t>PASS</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n"/>
      <c r="AD49" s="55" t="n"/>
      <c r="AE49" s="55" t="n"/>
      <c r="AF49" s="55" t="n"/>
      <c r="AG49" s="55" t="n"/>
      <c r="AH49" s="55" t="n"/>
      <c r="AI49" s="55" t="n"/>
      <c r="AJ49" s="55" t="n"/>
      <c r="AK49" s="55" t="n"/>
      <c r="AL49" s="55" t="n"/>
      <c r="AM49" s="55" t="n"/>
      <c r="AN49" s="55" t="n"/>
      <c r="AO49" s="55" t="n"/>
      <c r="AP49" s="55" t="n"/>
      <c r="AQ49" s="55" t="n"/>
      <c r="AR49" s="55" t="n"/>
      <c r="AS49" s="55" t="n"/>
      <c r="AT49" s="55" t="n"/>
      <c r="AU49" s="55" t="n"/>
      <c r="AV49" s="55" t="n"/>
      <c r="AW49" s="55" t="n"/>
      <c r="AX49" s="55" t="n"/>
      <c r="AY49" s="55" t="n"/>
      <c r="AZ49" s="55" t="n"/>
      <c r="BA49" s="55" t="n"/>
      <c r="BB49" s="55" t="n"/>
      <c r="BC49" s="55" t="n"/>
      <c r="BD49" s="55" t="n"/>
      <c r="BE49" s="55" t="n"/>
      <c r="BF49" s="55" t="n"/>
      <c r="BG49" s="55" t="n"/>
      <c r="BH49" s="55" t="n"/>
      <c r="BI49" s="55" t="n"/>
      <c r="BJ49" s="55" t="n"/>
      <c r="BK49" s="55" t="n"/>
      <c r="BL49" s="55" t="n"/>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issue_775</t>
        </is>
      </c>
      <c r="B50" s="57" t="inlineStr">
        <is>
          <t>ERROR</t>
        </is>
      </c>
      <c r="C50" s="57" t="inlineStr">
        <is>
          <t>ERROR</t>
        </is>
      </c>
      <c r="D50" s="57" t="inlineStr">
        <is>
          <t>ERROR</t>
        </is>
      </c>
      <c r="E50" s="57" t="inlineStr">
        <is>
          <t>ERROR</t>
        </is>
      </c>
      <c r="F50" s="57" t="inlineStr">
        <is>
          <t>ERROR</t>
        </is>
      </c>
      <c r="G50" s="57" t="inlineStr">
        <is>
          <t>ERROR</t>
        </is>
      </c>
      <c r="H50" s="57" t="inlineStr">
        <is>
          <t>ERROR</t>
        </is>
      </c>
      <c r="I50" s="57" t="inlineStr">
        <is>
          <t>ERROR</t>
        </is>
      </c>
      <c r="J50" s="57" t="inlineStr">
        <is>
          <t>ERROR</t>
        </is>
      </c>
      <c r="K50" s="57" t="inlineStr">
        <is>
          <t>ERROR</t>
        </is>
      </c>
      <c r="L50" s="57" t="inlineStr">
        <is>
          <t>ERROR</t>
        </is>
      </c>
      <c r="M50" s="57" t="inlineStr">
        <is>
          <t>ERROR</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inlineStr">
        <is>
          <t>KeyError</t>
        </is>
      </c>
      <c r="AD50" s="55" t="inlineStr">
        <is>
          <t>KeyError: 'qc'</t>
        </is>
      </c>
      <c r="AE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50" s="55" t="inlineStr">
        <is>
          <t>KeyError</t>
        </is>
      </c>
      <c r="AG50" s="55" t="inlineStr">
        <is>
          <t>KeyError: 'qc'</t>
        </is>
      </c>
      <c r="AH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50" s="55" t="inlineStr">
        <is>
          <t>KeyError</t>
        </is>
      </c>
      <c r="AJ50" s="55" t="inlineStr">
        <is>
          <t>KeyError: 'qc'</t>
        </is>
      </c>
      <c r="AK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50" s="55" t="inlineStr">
        <is>
          <t>KeyError</t>
        </is>
      </c>
      <c r="AM50" s="55" t="inlineStr">
        <is>
          <t>KeyError: 'qc'</t>
        </is>
      </c>
      <c r="AN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50" s="55" t="inlineStr">
        <is>
          <t>KeyError</t>
        </is>
      </c>
      <c r="AP50" s="55" t="inlineStr">
        <is>
          <t>KeyError: 'qc'</t>
        </is>
      </c>
      <c r="AQ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50" s="55" t="inlineStr">
        <is>
          <t>KeyError</t>
        </is>
      </c>
      <c r="AS50" s="55" t="inlineStr">
        <is>
          <t>KeyError: 'qc'</t>
        </is>
      </c>
      <c r="AT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50" s="55" t="inlineStr">
        <is>
          <t>KeyError</t>
        </is>
      </c>
      <c r="AV50" s="55" t="inlineStr">
        <is>
          <t>KeyError: 'qc'</t>
        </is>
      </c>
      <c r="AW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50" s="55" t="inlineStr">
        <is>
          <t>KeyError</t>
        </is>
      </c>
      <c r="AY50" s="55" t="inlineStr">
        <is>
          <t>KeyError: 'qc'</t>
        </is>
      </c>
      <c r="AZ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50" s="55" t="inlineStr">
        <is>
          <t>KeyError</t>
        </is>
      </c>
      <c r="BB50" s="55" t="inlineStr">
        <is>
          <t>KeyError: 'qc'</t>
        </is>
      </c>
      <c r="BC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50" s="55" t="inlineStr">
        <is>
          <t>KeyError</t>
        </is>
      </c>
      <c r="BE50" s="55" t="inlineStr">
        <is>
          <t>KeyError: 'qc'</t>
        </is>
      </c>
      <c r="BF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50" s="55" t="inlineStr">
        <is>
          <t>KeyError</t>
        </is>
      </c>
      <c r="BH50" s="55" t="inlineStr">
        <is>
          <t>KeyError: 'qc'</t>
        </is>
      </c>
      <c r="BI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50" s="55" t="inlineStr">
        <is>
          <t>KeyError</t>
        </is>
      </c>
      <c r="BK50" s="55" t="inlineStr">
        <is>
          <t>KeyError: 'qc'</t>
        </is>
      </c>
      <c r="BL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issue_795</t>
        </is>
      </c>
      <c r="B51" s="59" t="inlineStr">
        <is>
          <t>PASS</t>
        </is>
      </c>
      <c r="C51" s="59" t="inlineStr">
        <is>
          <t>PASS</t>
        </is>
      </c>
      <c r="D51" s="59" t="inlineStr">
        <is>
          <t>PASS</t>
        </is>
      </c>
      <c r="E51" s="59" t="inlineStr">
        <is>
          <t>PASS</t>
        </is>
      </c>
      <c r="F51" s="59" t="inlineStr">
        <is>
          <t>PASS</t>
        </is>
      </c>
      <c r="G51" s="59" t="inlineStr">
        <is>
          <t>PASS</t>
        </is>
      </c>
      <c r="H51" s="59" t="inlineStr">
        <is>
          <t>PASS</t>
        </is>
      </c>
      <c r="I51" s="59" t="inlineStr">
        <is>
          <t>PASS</t>
        </is>
      </c>
      <c r="J51" s="59" t="inlineStr">
        <is>
          <t>PASS</t>
        </is>
      </c>
      <c r="K51" s="59" t="inlineStr">
        <is>
          <t>PASS</t>
        </is>
      </c>
      <c r="L51" s="59" t="inlineStr">
        <is>
          <t>PASS</t>
        </is>
      </c>
      <c r="M51" s="59" t="inlineStr">
        <is>
          <t>PASS</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n"/>
      <c r="AD51" s="55" t="n"/>
      <c r="AE51" s="55" t="n"/>
      <c r="AF51" s="55" t="n"/>
      <c r="AG51" s="55" t="n"/>
      <c r="AH51" s="55" t="n"/>
      <c r="AI51" s="55" t="n"/>
      <c r="AJ51" s="55" t="n"/>
      <c r="AK51" s="55" t="n"/>
      <c r="AL51" s="55" t="n"/>
      <c r="AM51" s="55" t="n"/>
      <c r="AN51" s="55" t="n"/>
      <c r="AO51" s="55" t="n"/>
      <c r="AP51" s="55" t="n"/>
      <c r="AQ51" s="55" t="n"/>
      <c r="AR51" s="55" t="n"/>
      <c r="AS51" s="55" t="n"/>
      <c r="AT51" s="55" t="n"/>
      <c r="AU51" s="55" t="n"/>
      <c r="AV51" s="55" t="n"/>
      <c r="AW51" s="55" t="n"/>
      <c r="AX51" s="55" t="n"/>
      <c r="AY51" s="55" t="n"/>
      <c r="AZ51" s="55" t="n"/>
      <c r="BA51" s="55" t="n"/>
      <c r="BB51" s="55" t="n"/>
      <c r="BC51" s="55" t="n"/>
      <c r="BD51" s="55" t="n"/>
      <c r="BE51" s="55" t="n"/>
      <c r="BF51" s="55" t="n"/>
      <c r="BG51" s="55" t="n"/>
      <c r="BH51" s="55" t="n"/>
      <c r="BI51" s="55" t="n"/>
      <c r="BJ51" s="55" t="n"/>
      <c r="BK51" s="55" t="n"/>
      <c r="BL51" s="55" t="n"/>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row r="52">
      <c r="A52" s="55" t="inlineStr">
        <is>
          <t>issue_803</t>
        </is>
      </c>
      <c r="B52" s="58" t="inlineStr">
        <is>
          <t>FAIL</t>
        </is>
      </c>
      <c r="C52" s="58" t="inlineStr">
        <is>
          <t>FAIL</t>
        </is>
      </c>
      <c r="D52" s="58" t="inlineStr">
        <is>
          <t>FAIL</t>
        </is>
      </c>
      <c r="E52" s="58" t="inlineStr">
        <is>
          <t>FAIL</t>
        </is>
      </c>
      <c r="F52" s="57" t="inlineStr">
        <is>
          <t>ERROR</t>
        </is>
      </c>
      <c r="G52" s="57" t="inlineStr">
        <is>
          <t>ERROR</t>
        </is>
      </c>
      <c r="H52" s="57" t="inlineStr">
        <is>
          <t>ERROR</t>
        </is>
      </c>
      <c r="I52" s="57" t="inlineStr">
        <is>
          <t>ERROR</t>
        </is>
      </c>
      <c r="J52" s="57" t="inlineStr">
        <is>
          <t>ERROR</t>
        </is>
      </c>
      <c r="K52" s="57" t="inlineStr">
        <is>
          <t>ERROR</t>
        </is>
      </c>
      <c r="L52" s="57" t="inlineStr">
        <is>
          <t>ERROR</t>
        </is>
      </c>
      <c r="M52" s="57" t="inlineStr">
        <is>
          <t>ERROR</t>
        </is>
      </c>
      <c r="N52" s="56" t="inlineStr">
        <is>
          <t>NOT_TESTED</t>
        </is>
      </c>
      <c r="O52" s="56" t="inlineStr">
        <is>
          <t>NOT_TESTED</t>
        </is>
      </c>
      <c r="P52" s="56" t="inlineStr">
        <is>
          <t>NOT_TESTED</t>
        </is>
      </c>
      <c r="Q52" s="56" t="inlineStr">
        <is>
          <t>NOT_TESTED</t>
        </is>
      </c>
      <c r="R52" s="56" t="inlineStr">
        <is>
          <t>NOT_TESTED</t>
        </is>
      </c>
      <c r="S52" s="56" t="inlineStr">
        <is>
          <t>NOT_TESTED</t>
        </is>
      </c>
      <c r="T52" s="56" t="inlineStr">
        <is>
          <t>NOT_TESTED</t>
        </is>
      </c>
      <c r="U52" s="56" t="inlineStr">
        <is>
          <t>NOT_TESTED</t>
        </is>
      </c>
      <c r="V52" s="56" t="inlineStr">
        <is>
          <t>NOT_TESTED</t>
        </is>
      </c>
      <c r="W52" s="56" t="inlineStr">
        <is>
          <t>NOT_TESTED</t>
        </is>
      </c>
      <c r="X52" s="56" t="inlineStr">
        <is>
          <t>NOT_TESTED</t>
        </is>
      </c>
      <c r="Y52" s="56" t="inlineStr">
        <is>
          <t>NOT_TESTED</t>
        </is>
      </c>
      <c r="Z52" s="56" t="inlineStr">
        <is>
          <t>NOT_TESTED</t>
        </is>
      </c>
      <c r="AA52" s="56" t="inlineStr">
        <is>
          <t>NOT_TESTED</t>
        </is>
      </c>
      <c r="AB52" s="56" t="inlineStr">
        <is>
          <t>NOT_TESTED</t>
        </is>
      </c>
      <c r="AC52" s="55" t="inlineStr">
        <is>
          <t>AssertionError</t>
        </is>
      </c>
      <c r="AD52" s="55" t="inlineStr">
        <is>
          <t>AssertionError: array([list([52, 48]), list([100]), list([100])], dtype=object) is not an instance of &lt;class 'list'&gt;</t>
        </is>
      </c>
      <c r="AE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F52" s="55" t="inlineStr">
        <is>
          <t>AssertionError</t>
        </is>
      </c>
      <c r="AG52" s="55" t="inlineStr">
        <is>
          <t>AssertionError: array([list([40, 60]), list([100]), list([100])], dtype=object) is not an instance of &lt;class 'list'&gt;</t>
        </is>
      </c>
      <c r="AH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I52" s="55" t="inlineStr">
        <is>
          <t>AssertionError</t>
        </is>
      </c>
      <c r="AJ52" s="55" t="inlineStr">
        <is>
          <t>AssertionError: array([list([47, 53]), list([100]), list([100])], dtype=object) is not an instance of &lt;class 'list'&gt;</t>
        </is>
      </c>
      <c r="AK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L52" s="55" t="inlineStr">
        <is>
          <t>AssertionError</t>
        </is>
      </c>
      <c r="AM52" s="55" t="inlineStr">
        <is>
          <t>AssertionError: array([list([49, 51]), list([100]), list([100])], dtype=object) is not an instance of &lt;class 'list'&gt;</t>
        </is>
      </c>
      <c r="AN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O52" s="55" t="inlineStr">
        <is>
          <t>ValueError</t>
        </is>
      </c>
      <c r="AP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Q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R52" s="55" t="inlineStr">
        <is>
          <t>ValueError</t>
        </is>
      </c>
      <c r="AS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T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U52" s="55" t="inlineStr">
        <is>
          <t>ValueError</t>
        </is>
      </c>
      <c r="AV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W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X52" s="55" t="inlineStr">
        <is>
          <t>ValueError</t>
        </is>
      </c>
      <c r="AY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Z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A52" s="55" t="inlineStr">
        <is>
          <t>ValueError</t>
        </is>
      </c>
      <c r="BB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C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D52" s="55" t="inlineStr">
        <is>
          <t>ValueError</t>
        </is>
      </c>
      <c r="BE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F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G52" s="55" t="inlineStr">
        <is>
          <t>ValueError</t>
        </is>
      </c>
      <c r="BH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I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J52" s="55" t="inlineStr">
        <is>
          <t>ValueError</t>
        </is>
      </c>
      <c r="BK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L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M52" s="55" t="n"/>
      <c r="BN52" s="55" t="n"/>
      <c r="BO52" s="55" t="n"/>
      <c r="BP52" s="55" t="n"/>
      <c r="BQ52" s="55" t="n"/>
      <c r="BR52" s="55" t="n"/>
      <c r="BS52" s="55" t="n"/>
      <c r="BT52" s="55" t="n"/>
      <c r="BU52" s="55" t="n"/>
      <c r="BV52" s="55" t="n"/>
      <c r="BW52" s="55" t="n"/>
      <c r="BX52" s="55" t="n"/>
      <c r="BY52" s="55" t="n"/>
      <c r="BZ52" s="55" t="n"/>
      <c r="CA52" s="55" t="n"/>
      <c r="CB52" s="55" t="n"/>
      <c r="CC52" s="55" t="n"/>
      <c r="CD52" s="55" t="n"/>
      <c r="CE52" s="55" t="n"/>
      <c r="CF52" s="55" t="n"/>
      <c r="CG52" s="55" t="n"/>
      <c r="CH52" s="55" t="n"/>
      <c r="CI52" s="55" t="n"/>
      <c r="CJ52" s="55" t="n"/>
      <c r="CK52" s="55" t="n"/>
      <c r="CL52" s="55" t="n"/>
      <c r="CM52" s="55" t="n"/>
      <c r="CN52" s="55" t="n"/>
      <c r="CO52" s="55" t="n"/>
      <c r="CP52" s="55" t="n"/>
      <c r="CQ52" s="55" t="n"/>
      <c r="CR52" s="55" t="n"/>
      <c r="CS52" s="55" t="n"/>
      <c r="CT52" s="55" t="n"/>
      <c r="CU52" s="55" t="n"/>
      <c r="CV52" s="55" t="n"/>
      <c r="CW52" s="55" t="n"/>
      <c r="CX52" s="55" t="n"/>
      <c r="CY52" s="55" t="n"/>
      <c r="CZ52" s="55" t="n"/>
      <c r="DA52" s="55" t="n"/>
      <c r="DB52" s="55" t="n"/>
      <c r="DC52" s="55" t="n"/>
      <c r="DD52" s="55" t="n"/>
      <c r="DE52" s="55" t="n"/>
    </row>
    <row r="53">
      <c r="A53" s="55" t="inlineStr">
        <is>
          <t>issue_810</t>
        </is>
      </c>
      <c r="B53" s="56" t="inlineStr">
        <is>
          <t>NOT_TESTED</t>
        </is>
      </c>
      <c r="C53" s="56" t="inlineStr">
        <is>
          <t>NOT_TESTED</t>
        </is>
      </c>
      <c r="D53" s="56" t="inlineStr">
        <is>
          <t>NOT_TESTED</t>
        </is>
      </c>
      <c r="E53" s="56" t="inlineStr">
        <is>
          <t>NOT_TESTED</t>
        </is>
      </c>
      <c r="F53" s="56" t="inlineStr">
        <is>
          <t>NOT_TESTED</t>
        </is>
      </c>
      <c r="G53" s="58" t="inlineStr">
        <is>
          <t>FAIL</t>
        </is>
      </c>
      <c r="H53" s="56" t="inlineStr">
        <is>
          <t>NOT_TESTED</t>
        </is>
      </c>
      <c r="I53" s="56" t="inlineStr">
        <is>
          <t>NOT_TESTED</t>
        </is>
      </c>
      <c r="J53" s="56" t="inlineStr">
        <is>
          <t>NOT_TESTED</t>
        </is>
      </c>
      <c r="K53" s="56" t="inlineStr">
        <is>
          <t>NOT_TESTED</t>
        </is>
      </c>
      <c r="L53" s="58" t="inlineStr">
        <is>
          <t>FAIL</t>
        </is>
      </c>
      <c r="M53" s="56" t="inlineStr">
        <is>
          <t>NOT_TESTED</t>
        </is>
      </c>
      <c r="N53" s="56" t="inlineStr">
        <is>
          <t>NOT_TESTED</t>
        </is>
      </c>
      <c r="O53" s="56" t="inlineStr">
        <is>
          <t>NOT_TESTED</t>
        </is>
      </c>
      <c r="P53" s="56" t="inlineStr">
        <is>
          <t>NOT_TESTED</t>
        </is>
      </c>
      <c r="Q53" s="56" t="inlineStr">
        <is>
          <t>NOT_TESTED</t>
        </is>
      </c>
      <c r="R53" s="56" t="inlineStr">
        <is>
          <t>NOT_TESTED</t>
        </is>
      </c>
      <c r="S53" s="56" t="inlineStr">
        <is>
          <t>NOT_TESTED</t>
        </is>
      </c>
      <c r="T53" s="56" t="inlineStr">
        <is>
          <t>NOT_TESTED</t>
        </is>
      </c>
      <c r="U53" s="56" t="inlineStr">
        <is>
          <t>NOT_TESTED</t>
        </is>
      </c>
      <c r="V53" s="56" t="inlineStr">
        <is>
          <t>NOT_TESTED</t>
        </is>
      </c>
      <c r="W53" s="56" t="inlineStr">
        <is>
          <t>NOT_TESTED</t>
        </is>
      </c>
      <c r="X53" s="56" t="inlineStr">
        <is>
          <t>NOT_TESTED</t>
        </is>
      </c>
      <c r="Y53" s="56" t="inlineStr">
        <is>
          <t>NOT_TESTED</t>
        </is>
      </c>
      <c r="Z53" s="56" t="inlineStr">
        <is>
          <t>NOT_TESTED</t>
        </is>
      </c>
      <c r="AA53" s="56" t="inlineStr">
        <is>
          <t>NOT_TESTED</t>
        </is>
      </c>
      <c r="AB53" s="56" t="inlineStr">
        <is>
          <t>NOT_TESTED</t>
        </is>
      </c>
      <c r="AC53" s="55" t="n"/>
      <c r="AD53" s="55" t="n"/>
      <c r="AE53" s="55" t="n"/>
      <c r="AF53" s="55" t="n"/>
      <c r="AG53" s="55" t="n"/>
      <c r="AH53" s="55" t="n"/>
      <c r="AI53" s="55" t="n"/>
      <c r="AJ53" s="55" t="n"/>
      <c r="AK53" s="55" t="n"/>
      <c r="AL53" s="55" t="n"/>
      <c r="AM53" s="55" t="n"/>
      <c r="AN53" s="55" t="n"/>
      <c r="AO53" s="55" t="n"/>
      <c r="AP53" s="55" t="n"/>
      <c r="AQ53" s="55" t="n"/>
      <c r="AR53" s="55" t="inlineStr">
        <is>
          <t>AssertionError</t>
        </is>
      </c>
      <c r="AS53" s="55" t="inlineStr">
        <is>
          <t>AssertionError: None is not an instance of &lt;class 'dict'&gt; : Expose a raw counts dictionary, not the Result object</t>
        </is>
      </c>
      <c r="AT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AU53" s="55" t="n"/>
      <c r="AV53" s="55" t="n"/>
      <c r="AW53" s="55" t="n"/>
      <c r="AX53" s="55" t="n"/>
      <c r="AY53" s="55" t="n"/>
      <c r="AZ53" s="55" t="n"/>
      <c r="BA53" s="55" t="n"/>
      <c r="BB53" s="55" t="n"/>
      <c r="BC53" s="55" t="n"/>
      <c r="BD53" s="55" t="n"/>
      <c r="BE53" s="55" t="n"/>
      <c r="BF53" s="55" t="n"/>
      <c r="BG53" s="55" t="inlineStr">
        <is>
          <t>AssertionError</t>
        </is>
      </c>
      <c r="BH53" s="55" t="inlineStr">
        <is>
          <t>AssertionError: None is not an instance of &lt;class 'dict'&gt; : Expose a raw counts dictionary, not the Result object</t>
        </is>
      </c>
      <c r="BI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BJ53" s="55" t="n"/>
      <c r="BK53" s="55" t="n"/>
      <c r="BL53" s="55" t="n"/>
      <c r="BM53" s="55" t="n"/>
      <c r="BN53" s="55" t="n"/>
      <c r="BO53" s="55" t="n"/>
      <c r="BP53" s="55" t="n"/>
      <c r="BQ53" s="55" t="n"/>
      <c r="BR53" s="55" t="n"/>
      <c r="BS53" s="55" t="n"/>
      <c r="BT53" s="55" t="n"/>
      <c r="BU53" s="55" t="n"/>
      <c r="BV53" s="55" t="n"/>
      <c r="BW53" s="55" t="n"/>
      <c r="BX53" s="55" t="n"/>
      <c r="BY53" s="55" t="n"/>
      <c r="BZ53" s="55" t="n"/>
      <c r="CA53" s="55" t="n"/>
      <c r="CB53" s="55" t="n"/>
      <c r="CC53" s="55" t="n"/>
      <c r="CD53" s="55" t="n"/>
      <c r="CE53" s="55" t="n"/>
      <c r="CF53" s="55" t="n"/>
      <c r="CG53" s="55" t="n"/>
      <c r="CH53" s="55" t="n"/>
      <c r="CI53" s="55" t="n"/>
      <c r="CJ53" s="55" t="n"/>
      <c r="CK53" s="55" t="n"/>
      <c r="CL53" s="55" t="n"/>
      <c r="CM53" s="55" t="n"/>
      <c r="CN53" s="55" t="n"/>
      <c r="CO53" s="55" t="n"/>
      <c r="CP53" s="55" t="n"/>
      <c r="CQ53" s="55" t="n"/>
      <c r="CR53" s="55" t="n"/>
      <c r="CS53" s="55" t="n"/>
      <c r="CT53" s="55" t="n"/>
      <c r="CU53" s="55" t="n"/>
      <c r="CV53" s="55" t="n"/>
      <c r="CW53" s="55" t="n"/>
      <c r="CX53" s="55" t="n"/>
      <c r="CY53" s="55" t="n"/>
      <c r="CZ53" s="55" t="n"/>
      <c r="DA53" s="55" t="n"/>
      <c r="DB53" s="55" t="n"/>
      <c r="DC53" s="55" t="n"/>
      <c r="DD53" s="55" t="n"/>
      <c r="DE53" s="55" t="n"/>
    </row>
    <row r="54">
      <c r="A54" s="55" t="inlineStr">
        <is>
          <t>issue_816</t>
        </is>
      </c>
      <c r="B54" s="56" t="inlineStr">
        <is>
          <t>NOT_TESTED</t>
        </is>
      </c>
      <c r="C54" s="56" t="inlineStr">
        <is>
          <t>NOT_TESTED</t>
        </is>
      </c>
      <c r="D54" s="56" t="inlineStr">
        <is>
          <t>NOT_TESTED</t>
        </is>
      </c>
      <c r="E54" s="56" t="inlineStr">
        <is>
          <t>NOT_TESTED</t>
        </is>
      </c>
      <c r="F54" s="59" t="inlineStr">
        <is>
          <t>PASS</t>
        </is>
      </c>
      <c r="G54" s="59" t="inlineStr">
        <is>
          <t>PASS</t>
        </is>
      </c>
      <c r="H54" s="59" t="inlineStr">
        <is>
          <t>PASS</t>
        </is>
      </c>
      <c r="I54" s="59" t="inlineStr">
        <is>
          <t>PASS</t>
        </is>
      </c>
      <c r="J54" s="59" t="inlineStr">
        <is>
          <t>PASS</t>
        </is>
      </c>
      <c r="K54" s="59" t="inlineStr">
        <is>
          <t>PASS</t>
        </is>
      </c>
      <c r="L54" s="59" t="inlineStr">
        <is>
          <t>PASS</t>
        </is>
      </c>
      <c r="M54" s="59" t="inlineStr">
        <is>
          <t>PASS</t>
        </is>
      </c>
      <c r="N54" s="59" t="inlineStr">
        <is>
          <t>PASS</t>
        </is>
      </c>
      <c r="O54" s="59" t="inlineStr">
        <is>
          <t>PASS</t>
        </is>
      </c>
      <c r="P54" s="59" t="inlineStr">
        <is>
          <t>PASS</t>
        </is>
      </c>
      <c r="Q54" s="59" t="inlineStr">
        <is>
          <t>PASS</t>
        </is>
      </c>
      <c r="R54" s="59" t="inlineStr">
        <is>
          <t>PASS</t>
        </is>
      </c>
      <c r="S54" s="59" t="inlineStr">
        <is>
          <t>PASS</t>
        </is>
      </c>
      <c r="T54" s="59" t="inlineStr">
        <is>
          <t>PASS</t>
        </is>
      </c>
      <c r="U54" s="59" t="inlineStr">
        <is>
          <t>PASS</t>
        </is>
      </c>
      <c r="V54" s="59" t="inlineStr">
        <is>
          <t>PASS</t>
        </is>
      </c>
      <c r="W54" s="59" t="inlineStr">
        <is>
          <t>PASS</t>
        </is>
      </c>
      <c r="X54" s="59" t="inlineStr">
        <is>
          <t>PASS</t>
        </is>
      </c>
      <c r="Y54" s="59" t="inlineStr">
        <is>
          <t>PASS</t>
        </is>
      </c>
      <c r="Z54" s="59" t="inlineStr">
        <is>
          <t>PASS</t>
        </is>
      </c>
      <c r="AA54" s="59" t="inlineStr">
        <is>
          <t>PASS</t>
        </is>
      </c>
      <c r="AB54" s="59" t="inlineStr">
        <is>
          <t>PASS</t>
        </is>
      </c>
      <c r="AC54" s="55" t="n"/>
      <c r="AD54" s="55" t="n"/>
      <c r="AE54" s="55" t="n"/>
      <c r="AF54" s="55" t="n"/>
      <c r="AG54" s="55" t="n"/>
      <c r="AH54" s="55" t="n"/>
      <c r="AI54" s="55" t="n"/>
      <c r="AJ54" s="55" t="n"/>
      <c r="AK54" s="55" t="n"/>
      <c r="AL54" s="55" t="n"/>
      <c r="AM54" s="55" t="n"/>
      <c r="AN54" s="55" t="n"/>
      <c r="AO54" s="55" t="n"/>
      <c r="AP54" s="55" t="n"/>
      <c r="AQ54" s="55" t="n"/>
      <c r="AR54" s="55" t="n"/>
      <c r="AS54" s="55" t="n"/>
      <c r="AT54" s="55" t="n"/>
      <c r="AU54" s="55" t="n"/>
      <c r="AV54" s="55" t="n"/>
      <c r="AW54" s="55" t="n"/>
      <c r="AX54" s="55" t="n"/>
      <c r="AY54" s="55" t="n"/>
      <c r="AZ54" s="55" t="n"/>
      <c r="BA54" s="55" t="n"/>
      <c r="BB54" s="55" t="n"/>
      <c r="BC54" s="55" t="n"/>
      <c r="BD54" s="55" t="n"/>
      <c r="BE54" s="55" t="n"/>
      <c r="BF54" s="55" t="n"/>
      <c r="BG54" s="55" t="n"/>
      <c r="BH54" s="55" t="n"/>
      <c r="BI54" s="55" t="n"/>
      <c r="BJ54" s="55" t="n"/>
      <c r="BK54" s="55" t="n"/>
      <c r="BL54" s="55" t="n"/>
      <c r="BM54" s="55" t="n"/>
      <c r="BN54" s="55" t="n"/>
      <c r="BO54" s="55" t="n"/>
      <c r="BP54" s="55" t="n"/>
      <c r="BQ54" s="55" t="n"/>
      <c r="BR54" s="55" t="n"/>
      <c r="BS54" s="55" t="n"/>
      <c r="BT54" s="55" t="n"/>
      <c r="BU54" s="55" t="n"/>
      <c r="BV54" s="55" t="n"/>
      <c r="BW54" s="55" t="n"/>
      <c r="BX54" s="55" t="n"/>
      <c r="BY54" s="55" t="n"/>
      <c r="BZ54" s="55" t="n"/>
      <c r="CA54" s="55" t="n"/>
      <c r="CB54" s="55" t="n"/>
      <c r="CC54" s="55" t="n"/>
      <c r="CD54" s="55" t="n"/>
      <c r="CE54" s="55" t="n"/>
      <c r="CF54" s="55" t="n"/>
      <c r="CG54" s="55" t="n"/>
      <c r="CH54" s="55" t="n"/>
      <c r="CI54" s="55" t="n"/>
      <c r="CJ54" s="55" t="n"/>
      <c r="CK54" s="55" t="n"/>
      <c r="CL54" s="55" t="n"/>
      <c r="CM54" s="55" t="n"/>
      <c r="CN54" s="55" t="n"/>
      <c r="CO54" s="55" t="n"/>
      <c r="CP54" s="55" t="n"/>
      <c r="CQ54" s="55" t="n"/>
      <c r="CR54" s="55" t="n"/>
      <c r="CS54" s="55" t="n"/>
      <c r="CT54" s="55" t="n"/>
      <c r="CU54" s="55" t="n"/>
      <c r="CV54" s="55" t="n"/>
      <c r="CW54" s="55" t="n"/>
      <c r="CX54" s="55" t="n"/>
      <c r="CY54" s="55" t="n"/>
      <c r="CZ54" s="55" t="n"/>
      <c r="DA54" s="55" t="n"/>
      <c r="DB54" s="55" t="n"/>
      <c r="DC54" s="55" t="n"/>
      <c r="DD54" s="55" t="n"/>
      <c r="DE54" s="55" t="n"/>
    </row>
    <row r="55">
      <c r="A55" s="55" t="inlineStr">
        <is>
          <t>issue_876</t>
        </is>
      </c>
      <c r="B55" s="56" t="inlineStr">
        <is>
          <t>NOT_TESTED</t>
        </is>
      </c>
      <c r="C55" s="56" t="inlineStr">
        <is>
          <t>NOT_TESTED</t>
        </is>
      </c>
      <c r="D55" s="56" t="inlineStr">
        <is>
          <t>NOT_TESTED</t>
        </is>
      </c>
      <c r="E55" s="56" t="inlineStr">
        <is>
          <t>NOT_TESTED</t>
        </is>
      </c>
      <c r="F55" s="56" t="inlineStr">
        <is>
          <t>NOT_TESTED</t>
        </is>
      </c>
      <c r="G55" s="56" t="inlineStr">
        <is>
          <t>NOT_TESTED</t>
        </is>
      </c>
      <c r="H55" s="56" t="inlineStr">
        <is>
          <t>NOT_TESTED</t>
        </is>
      </c>
      <c r="I55" s="56" t="inlineStr">
        <is>
          <t>NOT_TESTED</t>
        </is>
      </c>
      <c r="J55" s="56" t="inlineStr">
        <is>
          <t>NOT_TESTED</t>
        </is>
      </c>
      <c r="K55" s="56" t="inlineStr">
        <is>
          <t>NOT_TESTED</t>
        </is>
      </c>
      <c r="L55" s="56" t="inlineStr">
        <is>
          <t>NOT_TESTED</t>
        </is>
      </c>
      <c r="M55" s="56" t="inlineStr">
        <is>
          <t>NOT_TESTED</t>
        </is>
      </c>
      <c r="N55" s="57" t="inlineStr">
        <is>
          <t>ERROR</t>
        </is>
      </c>
      <c r="O55" s="57" t="inlineStr">
        <is>
          <t>ERROR</t>
        </is>
      </c>
      <c r="P55" s="57" t="inlineStr">
        <is>
          <t>ERROR</t>
        </is>
      </c>
      <c r="Q55" s="57" t="inlineStr">
        <is>
          <t>ERROR</t>
        </is>
      </c>
      <c r="R55" s="57" t="inlineStr">
        <is>
          <t>ERROR</t>
        </is>
      </c>
      <c r="S55" s="57" t="inlineStr">
        <is>
          <t>ERROR</t>
        </is>
      </c>
      <c r="T55" s="57" t="inlineStr">
        <is>
          <t>ERROR</t>
        </is>
      </c>
      <c r="U55" s="57" t="inlineStr">
        <is>
          <t>ERROR</t>
        </is>
      </c>
      <c r="V55" s="57" t="inlineStr">
        <is>
          <t>ERROR</t>
        </is>
      </c>
      <c r="W55" s="57" t="inlineStr">
        <is>
          <t>ERROR</t>
        </is>
      </c>
      <c r="X55" s="57" t="inlineStr">
        <is>
          <t>ERROR</t>
        </is>
      </c>
      <c r="Y55" s="57" t="inlineStr">
        <is>
          <t>ERROR</t>
        </is>
      </c>
      <c r="Z55" s="57" t="inlineStr">
        <is>
          <t>ERROR</t>
        </is>
      </c>
      <c r="AA55" s="57" t="inlineStr">
        <is>
          <t>ERROR</t>
        </is>
      </c>
      <c r="AB55" s="57" t="inlineStr">
        <is>
          <t>ERROR</t>
        </is>
      </c>
      <c r="AC55" s="55" t="n"/>
      <c r="AD55" s="55" t="n"/>
      <c r="AE55" s="55" t="n"/>
      <c r="AF55" s="55" t="n"/>
      <c r="AG55" s="55" t="n"/>
      <c r="AH55" s="55" t="n"/>
      <c r="AI55" s="55" t="n"/>
      <c r="AJ55" s="55" t="n"/>
      <c r="AK55" s="55" t="n"/>
      <c r="AL55" s="55" t="n"/>
      <c r="AM55" s="55" t="n"/>
      <c r="AN55" s="55" t="n"/>
      <c r="AO55" s="55" t="n"/>
      <c r="AP55" s="55" t="n"/>
      <c r="AQ55" s="55" t="n"/>
      <c r="AR55" s="55" t="n"/>
      <c r="AS55" s="55" t="n"/>
      <c r="AT55" s="55" t="n"/>
      <c r="AU55" s="55" t="n"/>
      <c r="AV55" s="55" t="n"/>
      <c r="AW55" s="55" t="n"/>
      <c r="AX55" s="55" t="n"/>
      <c r="AY55" s="55" t="n"/>
      <c r="AZ55" s="55" t="n"/>
      <c r="BA55" s="55" t="n"/>
      <c r="BB55" s="55" t="n"/>
      <c r="BC55" s="55" t="n"/>
      <c r="BD55" s="55" t="n"/>
      <c r="BE55" s="55" t="n"/>
      <c r="BF55" s="55" t="n"/>
      <c r="BG55" s="55" t="n"/>
      <c r="BH55" s="55" t="n"/>
      <c r="BI55" s="55" t="n"/>
      <c r="BJ55" s="55" t="n"/>
      <c r="BK55" s="55" t="n"/>
      <c r="BL55" s="55" t="n"/>
      <c r="BM55" s="55" t="inlineStr">
        <is>
          <t>ModuleNotFoundError</t>
        </is>
      </c>
      <c r="BN55" s="55" t="inlineStr">
        <is>
          <t>ModuleNotFoundError: No module named 'qiskit.ibm_runtime'</t>
        </is>
      </c>
      <c r="BO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P55" s="55" t="inlineStr">
        <is>
          <t>ModuleNotFoundError</t>
        </is>
      </c>
      <c r="BQ55" s="55" t="inlineStr">
        <is>
          <t>ModuleNotFoundError: No module named 'qiskit.ibm_runtime'</t>
        </is>
      </c>
      <c r="BR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S55" s="55" t="inlineStr">
        <is>
          <t>ModuleNotFoundError</t>
        </is>
      </c>
      <c r="BT55" s="55" t="inlineStr">
        <is>
          <t>ModuleNotFoundError: No module named 'qiskit.ibm_runtime'</t>
        </is>
      </c>
      <c r="BU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V55" s="55" t="inlineStr">
        <is>
          <t>ModuleNotFoundError</t>
        </is>
      </c>
      <c r="BW55" s="55" t="inlineStr">
        <is>
          <t>ModuleNotFoundError: No module named 'qiskit.ibm_runtime'</t>
        </is>
      </c>
      <c r="BX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Y55" s="55" t="inlineStr">
        <is>
          <t>ModuleNotFoundError</t>
        </is>
      </c>
      <c r="BZ55" s="55" t="inlineStr">
        <is>
          <t>ModuleNotFoundError: No module named 'qiskit.ibm_runtime'</t>
        </is>
      </c>
      <c r="CA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B55" s="55" t="inlineStr">
        <is>
          <t>ModuleNotFoundError</t>
        </is>
      </c>
      <c r="CC55" s="55" t="inlineStr">
        <is>
          <t>ModuleNotFoundError: No module named 'qiskit.ibm_runtime'</t>
        </is>
      </c>
      <c r="CD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E55" s="55" t="inlineStr">
        <is>
          <t>ModuleNotFoundError</t>
        </is>
      </c>
      <c r="CF55" s="55" t="inlineStr">
        <is>
          <t>ModuleNotFoundError: No module named 'qiskit.ibm_runtime'</t>
        </is>
      </c>
      <c r="CG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H55" s="55" t="inlineStr">
        <is>
          <t>ModuleNotFoundError</t>
        </is>
      </c>
      <c r="CI55" s="55" t="inlineStr">
        <is>
          <t>ModuleNotFoundError: No module named 'qiskit.ibm_runtime'</t>
        </is>
      </c>
      <c r="CJ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K55" s="55" t="inlineStr">
        <is>
          <t>ModuleNotFoundError</t>
        </is>
      </c>
      <c r="CL55" s="55" t="inlineStr">
        <is>
          <t>ModuleNotFoundError: No module named 'qiskit.ibm_runtime'</t>
        </is>
      </c>
      <c r="CM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N55" s="55" t="inlineStr">
        <is>
          <t>ModuleNotFoundError</t>
        </is>
      </c>
      <c r="CO55" s="55" t="inlineStr">
        <is>
          <t>ModuleNotFoundError: No module named 'qiskit.ibm_runtime'</t>
        </is>
      </c>
      <c r="CP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Q55" s="55" t="inlineStr">
        <is>
          <t>ModuleNotFoundError</t>
        </is>
      </c>
      <c r="CR55" s="55" t="inlineStr">
        <is>
          <t>ModuleNotFoundError: No module named 'qiskit.ibm_runtime'</t>
        </is>
      </c>
      <c r="CS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T55" s="55" t="inlineStr">
        <is>
          <t>ModuleNotFoundError</t>
        </is>
      </c>
      <c r="CU55" s="55" t="inlineStr">
        <is>
          <t>ModuleNotFoundError: No module named 'qiskit.ibm_runtime'</t>
        </is>
      </c>
      <c r="CV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W55" s="55" t="inlineStr">
        <is>
          <t>ModuleNotFoundError</t>
        </is>
      </c>
      <c r="CX55" s="55" t="inlineStr">
        <is>
          <t>ModuleNotFoundError: No module named 'qiskit.ibm_runtime'</t>
        </is>
      </c>
      <c r="CY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Z55" s="55" t="inlineStr">
        <is>
          <t>ModuleNotFoundError</t>
        </is>
      </c>
      <c r="DA55" s="55" t="inlineStr">
        <is>
          <t>ModuleNotFoundError: No module named 'qiskit.ibm_runtime'</t>
        </is>
      </c>
      <c r="DB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DC55" s="55" t="inlineStr">
        <is>
          <t>ModuleNotFoundError</t>
        </is>
      </c>
      <c r="DD55" s="55" t="inlineStr">
        <is>
          <t>ModuleNotFoundError: No module named 'qiskit.ibm_runtime'</t>
        </is>
      </c>
      <c r="DE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row>
    <row r="56">
      <c r="A56" s="55" t="inlineStr">
        <is>
          <t>issue_877</t>
        </is>
      </c>
      <c r="B56" s="56" t="inlineStr">
        <is>
          <t>NOT_TESTED</t>
        </is>
      </c>
      <c r="C56" s="56" t="inlineStr">
        <is>
          <t>NOT_TESTED</t>
        </is>
      </c>
      <c r="D56" s="56" t="inlineStr">
        <is>
          <t>NOT_TESTED</t>
        </is>
      </c>
      <c r="E56" s="56" t="inlineStr">
        <is>
          <t>NOT_TESTED</t>
        </is>
      </c>
      <c r="F56" s="57" t="inlineStr">
        <is>
          <t>ERROR</t>
        </is>
      </c>
      <c r="G56" s="57" t="inlineStr">
        <is>
          <t>ERROR</t>
        </is>
      </c>
      <c r="H56" s="57" t="inlineStr">
        <is>
          <t>ERROR</t>
        </is>
      </c>
      <c r="I56" s="57" t="inlineStr">
        <is>
          <t>ERROR</t>
        </is>
      </c>
      <c r="J56" s="57" t="inlineStr">
        <is>
          <t>ERROR</t>
        </is>
      </c>
      <c r="K56" s="57" t="inlineStr">
        <is>
          <t>ERROR</t>
        </is>
      </c>
      <c r="L56" s="57" t="inlineStr">
        <is>
          <t>ERROR</t>
        </is>
      </c>
      <c r="M56" s="57" t="inlineStr">
        <is>
          <t>ERROR</t>
        </is>
      </c>
      <c r="N56" s="56" t="inlineStr">
        <is>
          <t>NOT_TESTED</t>
        </is>
      </c>
      <c r="O56" s="56" t="inlineStr">
        <is>
          <t>NOT_TESTED</t>
        </is>
      </c>
      <c r="P56" s="56" t="inlineStr">
        <is>
          <t>NOT_TESTED</t>
        </is>
      </c>
      <c r="Q56" s="56" t="inlineStr">
        <is>
          <t>NOT_TESTED</t>
        </is>
      </c>
      <c r="R56" s="56" t="inlineStr">
        <is>
          <t>NOT_TESTED</t>
        </is>
      </c>
      <c r="S56" s="56" t="inlineStr">
        <is>
          <t>NOT_TESTED</t>
        </is>
      </c>
      <c r="T56" s="56" t="inlineStr">
        <is>
          <t>NOT_TESTED</t>
        </is>
      </c>
      <c r="U56" s="56" t="inlineStr">
        <is>
          <t>NOT_TESTED</t>
        </is>
      </c>
      <c r="V56" s="56" t="inlineStr">
        <is>
          <t>NOT_TESTED</t>
        </is>
      </c>
      <c r="W56" s="56" t="inlineStr">
        <is>
          <t>NOT_TESTED</t>
        </is>
      </c>
      <c r="X56" s="56" t="inlineStr">
        <is>
          <t>NOT_TESTED</t>
        </is>
      </c>
      <c r="Y56" s="56" t="inlineStr">
        <is>
          <t>NOT_TESTED</t>
        </is>
      </c>
      <c r="Z56" s="56" t="inlineStr">
        <is>
          <t>NOT_TESTED</t>
        </is>
      </c>
      <c r="AA56" s="56" t="inlineStr">
        <is>
          <t>NOT_TESTED</t>
        </is>
      </c>
      <c r="AB56" s="56" t="inlineStr">
        <is>
          <t>NOT_TESTED</t>
        </is>
      </c>
      <c r="AC56" s="55" t="n"/>
      <c r="AD56" s="55" t="n"/>
      <c r="AE56" s="55" t="n"/>
      <c r="AF56" s="55" t="n"/>
      <c r="AG56" s="55" t="n"/>
      <c r="AH56" s="55" t="n"/>
      <c r="AI56" s="55" t="n"/>
      <c r="AJ56" s="55" t="n"/>
      <c r="AK56" s="55" t="n"/>
      <c r="AL56" s="55" t="n"/>
      <c r="AM56" s="55" t="n"/>
      <c r="AN56" s="55" t="n"/>
      <c r="AO56" s="55" t="inlineStr">
        <is>
          <t>KeyError</t>
        </is>
      </c>
      <c r="AP56" s="55" t="inlineStr">
        <is>
          <t>KeyError: 'backend'</t>
        </is>
      </c>
      <c r="AQ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R56" s="55" t="inlineStr">
        <is>
          <t>KeyError</t>
        </is>
      </c>
      <c r="AS56" s="55" t="inlineStr">
        <is>
          <t>KeyError: 'backend'</t>
        </is>
      </c>
      <c r="AT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U56" s="55" t="inlineStr">
        <is>
          <t>KeyError</t>
        </is>
      </c>
      <c r="AV56" s="55" t="inlineStr">
        <is>
          <t>KeyError: 'backend'</t>
        </is>
      </c>
      <c r="AW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X56" s="55" t="inlineStr">
        <is>
          <t>KeyError</t>
        </is>
      </c>
      <c r="AY56" s="55" t="inlineStr">
        <is>
          <t>KeyError: 'backend'</t>
        </is>
      </c>
      <c r="AZ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A56" s="55" t="inlineStr">
        <is>
          <t>KeyError</t>
        </is>
      </c>
      <c r="BB56" s="55" t="inlineStr">
        <is>
          <t>KeyError: 'backend'</t>
        </is>
      </c>
      <c r="BC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D56" s="55" t="inlineStr">
        <is>
          <t>KeyError</t>
        </is>
      </c>
      <c r="BE56" s="55" t="inlineStr">
        <is>
          <t>KeyError: 'backend'</t>
        </is>
      </c>
      <c r="BF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G56" s="55" t="inlineStr">
        <is>
          <t>KeyError</t>
        </is>
      </c>
      <c r="BH56" s="55" t="inlineStr">
        <is>
          <t>KeyError: 'backend'</t>
        </is>
      </c>
      <c r="BI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J56" s="55" t="inlineStr">
        <is>
          <t>KeyError</t>
        </is>
      </c>
      <c r="BK56" s="55" t="inlineStr">
        <is>
          <t>KeyError: 'backend'</t>
        </is>
      </c>
      <c r="BL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M56" s="55" t="n"/>
      <c r="BN56" s="55" t="n"/>
      <c r="BO56" s="55" t="n"/>
      <c r="BP56" s="55" t="n"/>
      <c r="BQ56" s="55" t="n"/>
      <c r="BR56" s="55" t="n"/>
      <c r="BS56" s="55" t="n"/>
      <c r="BT56" s="55" t="n"/>
      <c r="BU56" s="55" t="n"/>
      <c r="BV56" s="55" t="n"/>
      <c r="BW56" s="55" t="n"/>
      <c r="BX56" s="55" t="n"/>
      <c r="BY56" s="55" t="n"/>
      <c r="BZ56" s="55" t="n"/>
      <c r="CA56" s="55" t="n"/>
      <c r="CB56" s="55" t="n"/>
      <c r="CC56" s="55" t="n"/>
      <c r="CD56" s="55" t="n"/>
      <c r="CE56" s="55" t="n"/>
      <c r="CF56" s="55" t="n"/>
      <c r="CG56" s="55" t="n"/>
      <c r="CH56" s="55" t="n"/>
      <c r="CI56" s="55" t="n"/>
      <c r="CJ56" s="55" t="n"/>
      <c r="CK56" s="55" t="n"/>
      <c r="CL56" s="55" t="n"/>
      <c r="CM56" s="55" t="n"/>
      <c r="CN56" s="55" t="n"/>
      <c r="CO56" s="55" t="n"/>
      <c r="CP56" s="55" t="n"/>
      <c r="CQ56" s="55" t="n"/>
      <c r="CR56" s="55" t="n"/>
      <c r="CS56" s="55" t="n"/>
      <c r="CT56" s="55" t="n"/>
      <c r="CU56" s="55" t="n"/>
      <c r="CV56" s="55" t="n"/>
      <c r="CW56" s="55" t="n"/>
      <c r="CX56" s="55" t="n"/>
      <c r="CY56" s="55" t="n"/>
      <c r="CZ56" s="55" t="n"/>
      <c r="DA56" s="55" t="n"/>
      <c r="DB56" s="55" t="n"/>
      <c r="DC56" s="55" t="n"/>
      <c r="DD56" s="55" t="n"/>
      <c r="DE56" s="55" t="n"/>
    </row>
    <row r="57">
      <c r="A57" s="55" t="inlineStr">
        <is>
          <t>issue_886</t>
        </is>
      </c>
      <c r="B57" s="56" t="inlineStr">
        <is>
          <t>NOT_TESTED</t>
        </is>
      </c>
      <c r="C57" s="56" t="inlineStr">
        <is>
          <t>NOT_TESTED</t>
        </is>
      </c>
      <c r="D57" s="56" t="inlineStr">
        <is>
          <t>NOT_TESTED</t>
        </is>
      </c>
      <c r="E57" s="56" t="inlineStr">
        <is>
          <t>NOT_TESTED</t>
        </is>
      </c>
      <c r="F57" s="58" t="inlineStr">
        <is>
          <t>FAIL</t>
        </is>
      </c>
      <c r="G57" s="58" t="inlineStr">
        <is>
          <t>FAIL</t>
        </is>
      </c>
      <c r="H57" s="56" t="inlineStr">
        <is>
          <t>NOT_TESTED</t>
        </is>
      </c>
      <c r="I57" s="56" t="inlineStr">
        <is>
          <t>NOT_TESTED</t>
        </is>
      </c>
      <c r="J57" s="56" t="inlineStr">
        <is>
          <t>NOT_TESTED</t>
        </is>
      </c>
      <c r="K57" s="56" t="inlineStr">
        <is>
          <t>NOT_TESTED</t>
        </is>
      </c>
      <c r="L57" s="56" t="inlineStr">
        <is>
          <t>NOT_TESTED</t>
        </is>
      </c>
      <c r="M57" s="56" t="inlineStr">
        <is>
          <t>NOT_TESTED</t>
        </is>
      </c>
      <c r="N57" s="56" t="inlineStr">
        <is>
          <t>NOT_TESTED</t>
        </is>
      </c>
      <c r="O57" s="56" t="inlineStr">
        <is>
          <t>NOT_TESTED</t>
        </is>
      </c>
      <c r="P57" s="56" t="inlineStr">
        <is>
          <t>NOT_TESTED</t>
        </is>
      </c>
      <c r="Q57" s="56" t="inlineStr">
        <is>
          <t>NOT_TESTED</t>
        </is>
      </c>
      <c r="R57" s="56" t="inlineStr">
        <is>
          <t>NOT_TESTED</t>
        </is>
      </c>
      <c r="S57" s="56" t="inlineStr">
        <is>
          <t>NOT_TESTED</t>
        </is>
      </c>
      <c r="T57" s="56" t="inlineStr">
        <is>
          <t>NOT_TESTED</t>
        </is>
      </c>
      <c r="U57" s="56" t="inlineStr">
        <is>
          <t>NOT_TESTED</t>
        </is>
      </c>
      <c r="V57" s="56" t="inlineStr">
        <is>
          <t>NOT_TESTED</t>
        </is>
      </c>
      <c r="W57" s="56" t="inlineStr">
        <is>
          <t>NOT_TESTED</t>
        </is>
      </c>
      <c r="X57" s="56" t="inlineStr">
        <is>
          <t>NOT_TESTED</t>
        </is>
      </c>
      <c r="Y57" s="56" t="inlineStr">
        <is>
          <t>NOT_TESTED</t>
        </is>
      </c>
      <c r="Z57" s="56" t="inlineStr">
        <is>
          <t>NOT_TESTED</t>
        </is>
      </c>
      <c r="AA57" s="56" t="inlineStr">
        <is>
          <t>NOT_TESTED</t>
        </is>
      </c>
      <c r="AB57" s="56" t="inlineStr">
        <is>
          <t>NOT_TESTED</t>
        </is>
      </c>
      <c r="AC57" s="55" t="n"/>
      <c r="AD57" s="55" t="n"/>
      <c r="AE57" s="55" t="n"/>
      <c r="AF57" s="55" t="n"/>
      <c r="AG57" s="55" t="n"/>
      <c r="AH57" s="55" t="n"/>
      <c r="AI57" s="55" t="n"/>
      <c r="AJ57" s="55" t="n"/>
      <c r="AK57" s="55" t="n"/>
      <c r="AL57" s="55" t="n"/>
      <c r="AM57" s="55" t="n"/>
      <c r="AN57" s="55" t="n"/>
      <c r="AO57" s="55" t="inlineStr">
        <is>
          <t>AssertionError</t>
        </is>
      </c>
      <c r="AP57" s="55" t="inlineStr">
        <is>
          <t>AssertionError: {'00 00': 1024} != {'00': 1024}</t>
        </is>
      </c>
      <c r="AQ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R57" s="55" t="inlineStr">
        <is>
          <t>AssertionError</t>
        </is>
      </c>
      <c r="AS57" s="55" t="inlineStr">
        <is>
          <t>AssertionError: {'00 00': 1024} != {'00': 1024}</t>
        </is>
      </c>
      <c r="AT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U57" s="55" t="n"/>
      <c r="AV57" s="55" t="n"/>
      <c r="AW57" s="55" t="n"/>
      <c r="AX57" s="55" t="n"/>
      <c r="AY57" s="55" t="n"/>
      <c r="AZ57" s="55" t="n"/>
      <c r="BA57" s="55" t="n"/>
      <c r="BB57" s="55" t="n"/>
      <c r="BC57" s="55" t="n"/>
      <c r="BD57" s="55" t="n"/>
      <c r="BE57" s="55" t="n"/>
      <c r="BF57" s="55" t="n"/>
      <c r="BG57" s="55" t="n"/>
      <c r="BH57" s="55" t="n"/>
      <c r="BI57" s="55" t="n"/>
      <c r="BJ57" s="55" t="n"/>
      <c r="BK57" s="55" t="n"/>
      <c r="BL57" s="55" t="n"/>
      <c r="BM57" s="55" t="n"/>
      <c r="BN57" s="55" t="n"/>
      <c r="BO57" s="55" t="n"/>
      <c r="BP57" s="55" t="n"/>
      <c r="BQ57" s="55" t="n"/>
      <c r="BR57" s="55" t="n"/>
      <c r="BS57" s="55" t="n"/>
      <c r="BT57" s="55" t="n"/>
      <c r="BU57" s="55" t="n"/>
      <c r="BV57" s="55" t="n"/>
      <c r="BW57" s="55" t="n"/>
      <c r="BX57" s="55" t="n"/>
      <c r="BY57" s="55" t="n"/>
      <c r="BZ57" s="55" t="n"/>
      <c r="CA57" s="55" t="n"/>
      <c r="CB57" s="55" t="n"/>
      <c r="CC57" s="55" t="n"/>
      <c r="CD57" s="55" t="n"/>
      <c r="CE57" s="55" t="n"/>
      <c r="CF57" s="55" t="n"/>
      <c r="CG57" s="55" t="n"/>
      <c r="CH57" s="55" t="n"/>
      <c r="CI57" s="55" t="n"/>
      <c r="CJ57" s="55" t="n"/>
      <c r="CK57" s="55" t="n"/>
      <c r="CL57" s="55" t="n"/>
      <c r="CM57" s="55" t="n"/>
      <c r="CN57" s="55" t="n"/>
      <c r="CO57" s="55" t="n"/>
      <c r="CP57" s="55" t="n"/>
      <c r="CQ57" s="55" t="n"/>
      <c r="CR57" s="55" t="n"/>
      <c r="CS57" s="55" t="n"/>
      <c r="CT57" s="55" t="n"/>
      <c r="CU57" s="55" t="n"/>
      <c r="CV57" s="55" t="n"/>
      <c r="CW57" s="55" t="n"/>
      <c r="CX57" s="55" t="n"/>
      <c r="CY57" s="55" t="n"/>
      <c r="CZ57" s="55" t="n"/>
      <c r="DA57" s="55" t="n"/>
      <c r="DB57" s="55" t="n"/>
      <c r="DC57" s="55" t="n"/>
      <c r="DD57" s="55" t="n"/>
      <c r="DE57" s="55" t="n"/>
    </row>
    <row r="58">
      <c r="A58" s="55" t="inlineStr">
        <is>
          <t>issue_889</t>
        </is>
      </c>
      <c r="B58" s="57" t="inlineStr">
        <is>
          <t>ERROR</t>
        </is>
      </c>
      <c r="C58" s="57" t="inlineStr">
        <is>
          <t>ERROR</t>
        </is>
      </c>
      <c r="D58" s="57" t="inlineStr">
        <is>
          <t>ERROR</t>
        </is>
      </c>
      <c r="E58" s="57" t="inlineStr">
        <is>
          <t>ERROR</t>
        </is>
      </c>
      <c r="F58" s="58" t="inlineStr">
        <is>
          <t>FAIL</t>
        </is>
      </c>
      <c r="G58" s="58" t="inlineStr">
        <is>
          <t>FAIL</t>
        </is>
      </c>
      <c r="H58" s="58" t="inlineStr">
        <is>
          <t>FAIL</t>
        </is>
      </c>
      <c r="I58" s="58" t="inlineStr">
        <is>
          <t>FAIL</t>
        </is>
      </c>
      <c r="J58" s="58" t="inlineStr">
        <is>
          <t>FAIL</t>
        </is>
      </c>
      <c r="K58" s="58" t="inlineStr">
        <is>
          <t>FAIL</t>
        </is>
      </c>
      <c r="L58" s="58" t="inlineStr">
        <is>
          <t>FAIL</t>
        </is>
      </c>
      <c r="M58" s="58" t="inlineStr">
        <is>
          <t>FAIL</t>
        </is>
      </c>
      <c r="N58" s="56" t="inlineStr">
        <is>
          <t>NOT_TESTED</t>
        </is>
      </c>
      <c r="O58" s="56" t="inlineStr">
        <is>
          <t>NOT_TESTED</t>
        </is>
      </c>
      <c r="P58" s="56" t="inlineStr">
        <is>
          <t>NOT_TESTED</t>
        </is>
      </c>
      <c r="Q58" s="56" t="inlineStr">
        <is>
          <t>NOT_TESTED</t>
        </is>
      </c>
      <c r="R58" s="56" t="inlineStr">
        <is>
          <t>NOT_TESTED</t>
        </is>
      </c>
      <c r="S58" s="56" t="inlineStr">
        <is>
          <t>NOT_TESTED</t>
        </is>
      </c>
      <c r="T58" s="56" t="inlineStr">
        <is>
          <t>NOT_TESTED</t>
        </is>
      </c>
      <c r="U58" s="56" t="inlineStr">
        <is>
          <t>NOT_TESTED</t>
        </is>
      </c>
      <c r="V58" s="56" t="inlineStr">
        <is>
          <t>NOT_TESTED</t>
        </is>
      </c>
      <c r="W58" s="56" t="inlineStr">
        <is>
          <t>NOT_TESTED</t>
        </is>
      </c>
      <c r="X58" s="56" t="inlineStr">
        <is>
          <t>NOT_TESTED</t>
        </is>
      </c>
      <c r="Y58" s="56" t="inlineStr">
        <is>
          <t>NOT_TESTED</t>
        </is>
      </c>
      <c r="Z58" s="56" t="inlineStr">
        <is>
          <t>NOT_TESTED</t>
        </is>
      </c>
      <c r="AA58" s="56" t="inlineStr">
        <is>
          <t>NOT_TESTED</t>
        </is>
      </c>
      <c r="AB58" s="56" t="inlineStr">
        <is>
          <t>NOT_TESTED</t>
        </is>
      </c>
      <c r="AC58" s="55" t="inlineStr">
        <is>
          <t>ExtensionError</t>
        </is>
      </c>
      <c r="AD58" s="55" t="inlineStr">
        <is>
          <t>qiskit.extensions.exceptions.ExtensionError: 'Input matrix is not unitary.'</t>
        </is>
      </c>
      <c r="AE58" s="55" t="inlineStr">
        <is>
          <t>The LLM evolved the Hamiltonian with (-time_ * H).exp_i(), but exp_i() already computes exp(-iX), so this is exp(+iHt), the wrong sign. On Qiskit 0.25 the resulting instruction is rejected as non-unitary. The reference uses circ.hamiltonian(H, time_, ...).</t>
        </is>
      </c>
      <c r="AF58" s="55" t="inlineStr">
        <is>
          <t>ExtensionError</t>
        </is>
      </c>
      <c r="AG58" s="55" t="inlineStr">
        <is>
          <t>qiskit.extensions.exceptions.ExtensionError: 'Input matrix is not unitary.'</t>
        </is>
      </c>
      <c r="AH58" s="55" t="inlineStr">
        <is>
          <t>The LLM evolved the Hamiltonian with (-time_ * H).exp_i(), but exp_i() already computes exp(-iX), so this is exp(+iHt), the wrong sign. On Qiskit 0.25 the resulting instruction is rejected as non-unitary. The reference uses circ.hamiltonian(H, time_, ...).</t>
        </is>
      </c>
      <c r="AI58" s="55" t="inlineStr">
        <is>
          <t>ExtensionError</t>
        </is>
      </c>
      <c r="AJ58" s="55" t="inlineStr">
        <is>
          <t>qiskit.extensions.exceptions.ExtensionError: 'Input matrix is not unitary.'</t>
        </is>
      </c>
      <c r="AK58" s="55" t="inlineStr">
        <is>
          <t>The LLM evolved the Hamiltonian with (-time_ * H).exp_i(), but exp_i() already computes exp(-iX), so this is exp(+iHt), the wrong sign. On Qiskit 0.25 the resulting instruction is rejected as non-unitary. The reference uses circ.hamiltonian(H, time_, ...).</t>
        </is>
      </c>
      <c r="AL58" s="55" t="inlineStr">
        <is>
          <t>ExtensionError</t>
        </is>
      </c>
      <c r="AM58" s="55" t="inlineStr">
        <is>
          <t>qiskit.extensions.exceptions.ExtensionError: 'Input matrix is not unitary.'</t>
        </is>
      </c>
      <c r="AN58" s="55" t="inlineStr">
        <is>
          <t>The LLM evolved the Hamiltonian with (-time_ * H).exp_i(), but exp_i() already computes exp(-iX), so this is exp(+iHt), the wrong sign. On Qiskit 0.25 the resulting instruction is rejected as non-unitary. The reference uses circ.hamiltonian(H, time_, ...).</t>
        </is>
      </c>
      <c r="AO58" s="55" t="inlineStr">
        <is>
          <t>AssertionError</t>
        </is>
      </c>
      <c r="AP58" s="55" t="inlineStr">
        <is>
          <t>AssertionError: Not equal to tolerance rtol=1e-07, atol=1e-09</t>
        </is>
      </c>
      <c r="AQ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R58" s="55" t="inlineStr">
        <is>
          <t>AssertionError</t>
        </is>
      </c>
      <c r="AS58" s="55" t="inlineStr">
        <is>
          <t>AssertionError: Not equal to tolerance rtol=1e-07, atol=1e-09</t>
        </is>
      </c>
      <c r="AT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U58" s="55" t="inlineStr">
        <is>
          <t>AssertionError</t>
        </is>
      </c>
      <c r="AV58" s="55" t="inlineStr">
        <is>
          <t>AssertionError: Not equal to tolerance rtol=1e-07, atol=1e-09</t>
        </is>
      </c>
      <c r="AW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X58" s="55" t="inlineStr">
        <is>
          <t>AssertionError</t>
        </is>
      </c>
      <c r="AY58" s="55" t="inlineStr">
        <is>
          <t>AssertionError: Not equal to tolerance rtol=1e-07, atol=1e-09</t>
        </is>
      </c>
      <c r="AZ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A58" s="55" t="inlineStr">
        <is>
          <t>AssertionError</t>
        </is>
      </c>
      <c r="BB58" s="55" t="inlineStr">
        <is>
          <t>AssertionError: Not equal to tolerance rtol=1e-07, atol=1e-09</t>
        </is>
      </c>
      <c r="BC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D58" s="55" t="inlineStr">
        <is>
          <t>AssertionError</t>
        </is>
      </c>
      <c r="BE58" s="55" t="inlineStr">
        <is>
          <t>AssertionError: Not equal to tolerance rtol=1e-07, atol=1e-09</t>
        </is>
      </c>
      <c r="BF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G58" s="55" t="inlineStr">
        <is>
          <t>AssertionError</t>
        </is>
      </c>
      <c r="BH58" s="55" t="inlineStr">
        <is>
          <t>AssertionError: Not equal to tolerance rtol=1e-07, atol=1e-09</t>
        </is>
      </c>
      <c r="BI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J58" s="55" t="inlineStr">
        <is>
          <t>AssertionError</t>
        </is>
      </c>
      <c r="BK58" s="55" t="inlineStr">
        <is>
          <t>AssertionError: Not equal to tolerance rtol=1e-07, atol=1e-09</t>
        </is>
      </c>
      <c r="BL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M58" s="55" t="n"/>
      <c r="BN58" s="55" t="n"/>
      <c r="BO58" s="55" t="n"/>
      <c r="BP58" s="55" t="n"/>
      <c r="BQ58" s="55" t="n"/>
      <c r="BR58" s="55" t="n"/>
      <c r="BS58" s="55" t="n"/>
      <c r="BT58" s="55" t="n"/>
      <c r="BU58" s="55" t="n"/>
      <c r="BV58" s="55" t="n"/>
      <c r="BW58" s="55" t="n"/>
      <c r="BX58" s="55" t="n"/>
      <c r="BY58" s="55" t="n"/>
      <c r="BZ58" s="55" t="n"/>
      <c r="CA58" s="55" t="n"/>
      <c r="CB58" s="55" t="n"/>
      <c r="CC58" s="55" t="n"/>
      <c r="CD58" s="55" t="n"/>
      <c r="CE58" s="55" t="n"/>
      <c r="CF58" s="55" t="n"/>
      <c r="CG58" s="55" t="n"/>
      <c r="CH58" s="55" t="n"/>
      <c r="CI58" s="55" t="n"/>
      <c r="CJ58" s="55" t="n"/>
      <c r="CK58" s="55" t="n"/>
      <c r="CL58" s="55" t="n"/>
      <c r="CM58" s="55" t="n"/>
      <c r="CN58" s="55" t="n"/>
      <c r="CO58" s="55" t="n"/>
      <c r="CP58" s="55" t="n"/>
      <c r="CQ58" s="55" t="n"/>
      <c r="CR58" s="55" t="n"/>
      <c r="CS58" s="55" t="n"/>
      <c r="CT58" s="55" t="n"/>
      <c r="CU58" s="55" t="n"/>
      <c r="CV58" s="55" t="n"/>
      <c r="CW58" s="55" t="n"/>
      <c r="CX58" s="55" t="n"/>
      <c r="CY58" s="55" t="n"/>
      <c r="CZ58" s="55" t="n"/>
      <c r="DA58" s="55" t="n"/>
      <c r="DB58" s="55" t="n"/>
      <c r="DC58" s="55" t="n"/>
      <c r="DD58" s="55" t="n"/>
      <c r="DE58" s="55" t="n"/>
    </row>
    <row r="59">
      <c r="A59" s="55" t="inlineStr">
        <is>
          <t>issue_911</t>
        </is>
      </c>
      <c r="B59" s="56" t="inlineStr">
        <is>
          <t>NOT_TESTED</t>
        </is>
      </c>
      <c r="C59" s="56" t="inlineStr">
        <is>
          <t>NOT_TESTED</t>
        </is>
      </c>
      <c r="D59" s="56" t="inlineStr">
        <is>
          <t>NOT_TESTED</t>
        </is>
      </c>
      <c r="E59" s="56" t="inlineStr">
        <is>
          <t>NOT_TESTED</t>
        </is>
      </c>
      <c r="F59" s="57" t="inlineStr">
        <is>
          <t>ERROR</t>
        </is>
      </c>
      <c r="G59" s="57" t="inlineStr">
        <is>
          <t>ERROR</t>
        </is>
      </c>
      <c r="H59" s="57" t="inlineStr">
        <is>
          <t>ERROR</t>
        </is>
      </c>
      <c r="I59" s="57" t="inlineStr">
        <is>
          <t>ERROR</t>
        </is>
      </c>
      <c r="J59" s="57" t="inlineStr">
        <is>
          <t>ERROR</t>
        </is>
      </c>
      <c r="K59" s="57" t="inlineStr">
        <is>
          <t>ERROR</t>
        </is>
      </c>
      <c r="L59" s="57" t="inlineStr">
        <is>
          <t>ERROR</t>
        </is>
      </c>
      <c r="M59" s="57" t="inlineStr">
        <is>
          <t>ERROR</t>
        </is>
      </c>
      <c r="N59" s="57" t="inlineStr">
        <is>
          <t>ERROR</t>
        </is>
      </c>
      <c r="O59" s="57" t="inlineStr">
        <is>
          <t>ERROR</t>
        </is>
      </c>
      <c r="P59" s="57" t="inlineStr">
        <is>
          <t>ERROR</t>
        </is>
      </c>
      <c r="Q59" s="57" t="inlineStr">
        <is>
          <t>ERROR</t>
        </is>
      </c>
      <c r="R59" s="57" t="inlineStr">
        <is>
          <t>ERROR</t>
        </is>
      </c>
      <c r="S59" s="57" t="inlineStr">
        <is>
          <t>ERROR</t>
        </is>
      </c>
      <c r="T59" s="57" t="inlineStr">
        <is>
          <t>ERROR</t>
        </is>
      </c>
      <c r="U59" s="57" t="inlineStr">
        <is>
          <t>ERROR</t>
        </is>
      </c>
      <c r="V59" s="57" t="inlineStr">
        <is>
          <t>ERROR</t>
        </is>
      </c>
      <c r="W59" s="57" t="inlineStr">
        <is>
          <t>ERROR</t>
        </is>
      </c>
      <c r="X59" s="57" t="inlineStr">
        <is>
          <t>ERROR</t>
        </is>
      </c>
      <c r="Y59" s="57" t="inlineStr">
        <is>
          <t>ERROR</t>
        </is>
      </c>
      <c r="Z59" s="57" t="inlineStr">
        <is>
          <t>ERROR</t>
        </is>
      </c>
      <c r="AA59" s="57" t="inlineStr">
        <is>
          <t>ERROR</t>
        </is>
      </c>
      <c r="AB59" s="57" t="inlineStr">
        <is>
          <t>ERROR</t>
        </is>
      </c>
      <c r="AC59" s="55" t="n"/>
      <c r="AD59" s="55" t="n"/>
      <c r="AE59" s="55" t="n"/>
      <c r="AF59" s="55" t="n"/>
      <c r="AG59" s="55" t="n"/>
      <c r="AH59" s="55" t="n"/>
      <c r="AI59" s="55" t="n"/>
      <c r="AJ59" s="55" t="n"/>
      <c r="AK59" s="55" t="n"/>
      <c r="AL59" s="55" t="n"/>
      <c r="AM59" s="55" t="n"/>
      <c r="AN59" s="55" t="n"/>
      <c r="AO59" s="55" t="inlineStr">
        <is>
          <t>ValueError</t>
        </is>
      </c>
      <c r="AP59" s="55" t="inlineStr">
        <is>
          <t>ValueError: malformed node or string on line 1: &lt;ast.Call object at 0x000001994F5AB2E0&gt;</t>
        </is>
      </c>
      <c r="AQ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R59" s="55" t="inlineStr">
        <is>
          <t>ValueError</t>
        </is>
      </c>
      <c r="AS59" s="55" t="inlineStr">
        <is>
          <t>ValueError: malformed node or string on line 1: &lt;ast.Call object at 0x0000025AA332CE80&gt;</t>
        </is>
      </c>
      <c r="AT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U59" s="55" t="inlineStr">
        <is>
          <t>ValueError</t>
        </is>
      </c>
      <c r="AV59" s="55" t="inlineStr">
        <is>
          <t>ValueError: malformed node or string on line 1: &lt;ast.Call object at 0x000002710DF9CD30&gt;</t>
        </is>
      </c>
      <c r="AW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X59" s="55" t="inlineStr">
        <is>
          <t>ValueError</t>
        </is>
      </c>
      <c r="AY59" s="55" t="inlineStr">
        <is>
          <t>ValueError: malformed node or string on line 1: &lt;ast.Call object at 0x000001DD14C36050&gt;</t>
        </is>
      </c>
      <c r="AZ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A59" s="55" t="inlineStr">
        <is>
          <t>ValueError</t>
        </is>
      </c>
      <c r="BB59" s="55" t="inlineStr">
        <is>
          <t>ValueError: malformed node or string on line 1: &lt;ast.Call object at 0x000002520C2D23B0&gt;</t>
        </is>
      </c>
      <c r="BC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D59" s="55" t="inlineStr">
        <is>
          <t>ValueError</t>
        </is>
      </c>
      <c r="BE59" s="55" t="inlineStr">
        <is>
          <t>ValueError: malformed node or string on line 1: &lt;ast.Call object at 0x000002412723F100&gt;</t>
        </is>
      </c>
      <c r="BF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G59" s="55" t="inlineStr">
        <is>
          <t>ValueError</t>
        </is>
      </c>
      <c r="BH59" s="55" t="inlineStr">
        <is>
          <t>ValueError: malformed node or string on line 1: &lt;ast.Call object at 0x000001FE96B52110&gt;</t>
        </is>
      </c>
      <c r="BI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J59" s="55" t="inlineStr">
        <is>
          <t>ValueError</t>
        </is>
      </c>
      <c r="BK59" s="55" t="inlineStr">
        <is>
          <t>ValueError: malformed node or string on line 1: &lt;ast.Call object at 0x000002387B54E5F0&gt;</t>
        </is>
      </c>
      <c r="BL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M59" s="55" t="inlineStr">
        <is>
          <t>ValueError</t>
        </is>
      </c>
      <c r="BN59" s="55" t="inlineStr">
        <is>
          <t>ValueError: malformed node or string on line 1: &lt;ast.Call object at 0x0000022DA18A7D60&gt;</t>
        </is>
      </c>
      <c r="BO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P59" s="55" t="inlineStr">
        <is>
          <t>ValueError</t>
        </is>
      </c>
      <c r="BQ59" s="55" t="inlineStr">
        <is>
          <t>ValueError: malformed node or string on line 1: &lt;ast.Call object at 0x00000205D5A030D0&gt;</t>
        </is>
      </c>
      <c r="BR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S59" s="55" t="inlineStr">
        <is>
          <t>ValueError</t>
        </is>
      </c>
      <c r="BT59" s="55" t="inlineStr">
        <is>
          <t>ValueError: malformed node or string on line 1: &lt;ast.Call object at 0x000001CEE0BDBAF0&gt;</t>
        </is>
      </c>
      <c r="BU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V59" s="55" t="inlineStr">
        <is>
          <t>ValueError</t>
        </is>
      </c>
      <c r="BW59" s="55" t="inlineStr">
        <is>
          <t>ValueError: malformed node or string on line 1: &lt;ast.Call object at 0x0000016EA5521C60&gt;</t>
        </is>
      </c>
      <c r="BX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Y59" s="55" t="inlineStr">
        <is>
          <t>ValueError</t>
        </is>
      </c>
      <c r="BZ59" s="55" t="inlineStr">
        <is>
          <t>ValueError: malformed node or string on line 1: &lt;ast.Call object at 0x0000022CCA2251E0&gt;</t>
        </is>
      </c>
      <c r="CA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B59" s="55" t="inlineStr">
        <is>
          <t>ValueError</t>
        </is>
      </c>
      <c r="CC59" s="55" t="inlineStr">
        <is>
          <t>ValueError: malformed node or string on line 1: &lt;ast.Call object at 0x000001E68EF39E40&gt;</t>
        </is>
      </c>
      <c r="CD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E59" s="55" t="inlineStr">
        <is>
          <t>ValueError</t>
        </is>
      </c>
      <c r="CF59" s="55" t="inlineStr">
        <is>
          <t>ValueError: malformed node or string on line 1: &lt;ast.Call object at 0x0000023A7520CD60&gt;</t>
        </is>
      </c>
      <c r="CG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H59" s="55" t="inlineStr">
        <is>
          <t>ValueError</t>
        </is>
      </c>
      <c r="CI59" s="55" t="inlineStr">
        <is>
          <t>ValueError: malformed node or string on line 1: &lt;ast.Call object at 0x000001A97E15B190&gt;</t>
        </is>
      </c>
      <c r="CJ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K59" s="55" t="inlineStr">
        <is>
          <t>ValueError</t>
        </is>
      </c>
      <c r="CL59" s="55" t="inlineStr">
        <is>
          <t>ValueError: malformed node or string on line 1: &lt;ast.Call object at 0x000001FC3AD70760&gt;</t>
        </is>
      </c>
      <c r="CM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N59" s="55" t="inlineStr">
        <is>
          <t>ValueError</t>
        </is>
      </c>
      <c r="CO59" s="55" t="inlineStr">
        <is>
          <t>ValueError: malformed node or string on line 1: &lt;ast.Call object at 0x000001941F168C50&gt;</t>
        </is>
      </c>
      <c r="CP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Q59" s="55" t="inlineStr">
        <is>
          <t>SyntaxError</t>
        </is>
      </c>
      <c r="CR59" s="55" t="inlineStr">
        <is>
          <t>SyntaxError: invalid syntax</t>
        </is>
      </c>
      <c r="CS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T59" s="55" t="inlineStr">
        <is>
          <t>SyntaxError</t>
        </is>
      </c>
      <c r="CU59" s="55" t="inlineStr">
        <is>
          <t>SyntaxError: invalid syntax</t>
        </is>
      </c>
      <c r="CV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W59" s="55" t="inlineStr">
        <is>
          <t>SyntaxError</t>
        </is>
      </c>
      <c r="CX59" s="55" t="inlineStr">
        <is>
          <t>SyntaxError: invalid syntax</t>
        </is>
      </c>
      <c r="CY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Z59" s="55" t="inlineStr">
        <is>
          <t>SyntaxError</t>
        </is>
      </c>
      <c r="DA59" s="55" t="inlineStr">
        <is>
          <t>SyntaxError: invalid syntax</t>
        </is>
      </c>
      <c r="DB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DC59" s="55" t="inlineStr">
        <is>
          <t>SyntaxError</t>
        </is>
      </c>
      <c r="DD59" s="55" t="inlineStr">
        <is>
          <t>SyntaxError: invalid syntax</t>
        </is>
      </c>
      <c r="DE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row>
    <row r="60">
      <c r="A60" s="55" t="inlineStr">
        <is>
          <t>issue_925</t>
        </is>
      </c>
      <c r="B60" s="57" t="inlineStr">
        <is>
          <t>ERROR</t>
        </is>
      </c>
      <c r="C60" s="57" t="inlineStr">
        <is>
          <t>ERROR</t>
        </is>
      </c>
      <c r="D60" s="57" t="inlineStr">
        <is>
          <t>ERROR</t>
        </is>
      </c>
      <c r="E60" s="57" t="inlineStr">
        <is>
          <t>ERROR</t>
        </is>
      </c>
      <c r="F60" s="56" t="inlineStr">
        <is>
          <t>NOT_TESTED</t>
        </is>
      </c>
      <c r="G60" s="56" t="inlineStr">
        <is>
          <t>NOT_TESTED</t>
        </is>
      </c>
      <c r="H60" s="56" t="inlineStr">
        <is>
          <t>NOT_TESTED</t>
        </is>
      </c>
      <c r="I60" s="56" t="inlineStr">
        <is>
          <t>NOT_TESTED</t>
        </is>
      </c>
      <c r="J60" s="56" t="inlineStr">
        <is>
          <t>NOT_TESTED</t>
        </is>
      </c>
      <c r="K60" s="56" t="inlineStr">
        <is>
          <t>NOT_TESTED</t>
        </is>
      </c>
      <c r="L60" s="56" t="inlineStr">
        <is>
          <t>NOT_TESTED</t>
        </is>
      </c>
      <c r="M60" s="56" t="inlineStr">
        <is>
          <t>NOT_TESTED</t>
        </is>
      </c>
      <c r="N60" s="56" t="inlineStr">
        <is>
          <t>NOT_TESTED</t>
        </is>
      </c>
      <c r="O60" s="56" t="inlineStr">
        <is>
          <t>NOT_TESTED</t>
        </is>
      </c>
      <c r="P60" s="56" t="inlineStr">
        <is>
          <t>NOT_TESTED</t>
        </is>
      </c>
      <c r="Q60" s="56" t="inlineStr">
        <is>
          <t>NOT_TESTED</t>
        </is>
      </c>
      <c r="R60" s="56" t="inlineStr">
        <is>
          <t>NOT_TESTED</t>
        </is>
      </c>
      <c r="S60" s="56" t="inlineStr">
        <is>
          <t>NOT_TESTED</t>
        </is>
      </c>
      <c r="T60" s="56" t="inlineStr">
        <is>
          <t>NOT_TESTED</t>
        </is>
      </c>
      <c r="U60" s="56" t="inlineStr">
        <is>
          <t>NOT_TESTED</t>
        </is>
      </c>
      <c r="V60" s="56" t="inlineStr">
        <is>
          <t>NOT_TESTED</t>
        </is>
      </c>
      <c r="W60" s="56" t="inlineStr">
        <is>
          <t>NOT_TESTED</t>
        </is>
      </c>
      <c r="X60" s="56" t="inlineStr">
        <is>
          <t>NOT_TESTED</t>
        </is>
      </c>
      <c r="Y60" s="56" t="inlineStr">
        <is>
          <t>NOT_TESTED</t>
        </is>
      </c>
      <c r="Z60" s="56" t="inlineStr">
        <is>
          <t>NOT_TESTED</t>
        </is>
      </c>
      <c r="AA60" s="56" t="inlineStr">
        <is>
          <t>NOT_TESTED</t>
        </is>
      </c>
      <c r="AB60" s="56" t="inlineStr">
        <is>
          <t>NOT_TESTED</t>
        </is>
      </c>
      <c r="AC60" s="55" t="inlineStr">
        <is>
          <t>TranspilerError</t>
        </is>
      </c>
      <c r="AD60" s="55" t="inlineStr">
        <is>
          <t>qiskit.transpiler.exceptions.TranspilerError: 'Number of qubits (18) in Shor(N=15, a=2) is greater than maximum (14) in the coupling_map'</t>
        </is>
      </c>
      <c r="AE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F60" s="55" t="inlineStr">
        <is>
          <t>TranspilerError</t>
        </is>
      </c>
      <c r="AG60" s="55" t="inlineStr">
        <is>
          <t>qiskit.transpiler.exceptions.TranspilerError: 'Number of qubits (18) in Shor(N=15, a=2) is greater than maximum (14) in the coupling_map'</t>
        </is>
      </c>
      <c r="AH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I60" s="55" t="inlineStr">
        <is>
          <t>TranspilerError</t>
        </is>
      </c>
      <c r="AJ60" s="55" t="inlineStr">
        <is>
          <t>qiskit.transpiler.exceptions.TranspilerError: 'Number of qubits (18) in Shor(N=15, a=2) is greater than maximum (14) in the coupling_map'</t>
        </is>
      </c>
      <c r="AK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L60" s="55" t="inlineStr">
        <is>
          <t>TranspilerError</t>
        </is>
      </c>
      <c r="AM60" s="55" t="inlineStr">
        <is>
          <t>qiskit.transpiler.exceptions.TranspilerError: 'Number of qubits (18) in Shor(N=15, a=2) is greater than maximum (14) in the coupling_map'</t>
        </is>
      </c>
      <c r="AN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O60" s="55" t="n"/>
      <c r="AP60" s="55" t="n"/>
      <c r="AQ60" s="55" t="n"/>
      <c r="AR60" s="55" t="n"/>
      <c r="AS60" s="55" t="n"/>
      <c r="AT60" s="55" t="n"/>
      <c r="AU60" s="55" t="n"/>
      <c r="AV60" s="55" t="n"/>
      <c r="AW60" s="55" t="n"/>
      <c r="AX60" s="55" t="n"/>
      <c r="AY60" s="55" t="n"/>
      <c r="AZ60" s="55" t="n"/>
      <c r="BA60" s="55" t="n"/>
      <c r="BB60" s="55" t="n"/>
      <c r="BC60" s="55" t="n"/>
      <c r="BD60" s="55" t="n"/>
      <c r="BE60" s="55" t="n"/>
      <c r="BF60" s="55" t="n"/>
      <c r="BG60" s="55" t="n"/>
      <c r="BH60" s="55" t="n"/>
      <c r="BI60" s="55" t="n"/>
      <c r="BJ60" s="55" t="n"/>
      <c r="BK60" s="55" t="n"/>
      <c r="BL60" s="55" t="n"/>
      <c r="BM60" s="55" t="n"/>
      <c r="BN60" s="55" t="n"/>
      <c r="BO60" s="55" t="n"/>
      <c r="BP60" s="55" t="n"/>
      <c r="BQ60" s="55" t="n"/>
      <c r="BR60" s="55" t="n"/>
      <c r="BS60" s="55" t="n"/>
      <c r="BT60" s="55" t="n"/>
      <c r="BU60" s="55" t="n"/>
      <c r="BV60" s="55" t="n"/>
      <c r="BW60" s="55" t="n"/>
      <c r="BX60" s="55" t="n"/>
      <c r="BY60" s="55" t="n"/>
      <c r="BZ60" s="55" t="n"/>
      <c r="CA60" s="55" t="n"/>
      <c r="CB60" s="55" t="n"/>
      <c r="CC60" s="55" t="n"/>
      <c r="CD60" s="55" t="n"/>
      <c r="CE60" s="55" t="n"/>
      <c r="CF60" s="55" t="n"/>
      <c r="CG60" s="55" t="n"/>
      <c r="CH60" s="55" t="n"/>
      <c r="CI60" s="55" t="n"/>
      <c r="CJ60" s="55" t="n"/>
      <c r="CK60" s="55" t="n"/>
      <c r="CL60" s="55" t="n"/>
      <c r="CM60" s="55" t="n"/>
      <c r="CN60" s="55" t="n"/>
      <c r="CO60" s="55" t="n"/>
      <c r="CP60" s="55" t="n"/>
      <c r="CQ60" s="55" t="n"/>
      <c r="CR60" s="55" t="n"/>
      <c r="CS60" s="55" t="n"/>
      <c r="CT60" s="55" t="n"/>
      <c r="CU60" s="55" t="n"/>
      <c r="CV60" s="55" t="n"/>
      <c r="CW60" s="55" t="n"/>
      <c r="CX60" s="55" t="n"/>
      <c r="CY60" s="55" t="n"/>
      <c r="CZ60" s="55" t="n"/>
      <c r="DA60" s="55" t="n"/>
      <c r="DB60" s="55" t="n"/>
      <c r="DC60" s="55" t="n"/>
      <c r="DD60" s="55" t="n"/>
      <c r="DE60" s="55" t="n"/>
    </row>
    <row r="61">
      <c r="A61" s="55" t="inlineStr">
        <is>
          <t>issue_944</t>
        </is>
      </c>
      <c r="B61" s="57" t="inlineStr">
        <is>
          <t>ERROR</t>
        </is>
      </c>
      <c r="C61" s="57" t="inlineStr">
        <is>
          <t>ERROR</t>
        </is>
      </c>
      <c r="D61" s="57" t="inlineStr">
        <is>
          <t>ERROR</t>
        </is>
      </c>
      <c r="E61" s="57" t="inlineStr">
        <is>
          <t>ERROR</t>
        </is>
      </c>
      <c r="F61" s="57" t="inlineStr">
        <is>
          <t>ERROR</t>
        </is>
      </c>
      <c r="G61" s="57" t="inlineStr">
        <is>
          <t>ERROR</t>
        </is>
      </c>
      <c r="H61" s="57" t="inlineStr">
        <is>
          <t>ERROR</t>
        </is>
      </c>
      <c r="I61" s="57" t="inlineStr">
        <is>
          <t>ERROR</t>
        </is>
      </c>
      <c r="J61" s="57" t="inlineStr">
        <is>
          <t>ERROR</t>
        </is>
      </c>
      <c r="K61" s="57" t="inlineStr">
        <is>
          <t>ERROR</t>
        </is>
      </c>
      <c r="L61" s="57" t="inlineStr">
        <is>
          <t>ERROR</t>
        </is>
      </c>
      <c r="M61" s="57" t="inlineStr">
        <is>
          <t>ERROR</t>
        </is>
      </c>
      <c r="N61" s="56" t="inlineStr">
        <is>
          <t>NOT_TESTED</t>
        </is>
      </c>
      <c r="O61" s="56" t="inlineStr">
        <is>
          <t>NOT_TESTED</t>
        </is>
      </c>
      <c r="P61" s="56" t="inlineStr">
        <is>
          <t>NOT_TESTED</t>
        </is>
      </c>
      <c r="Q61" s="56" t="inlineStr">
        <is>
          <t>NOT_TESTED</t>
        </is>
      </c>
      <c r="R61" s="56" t="inlineStr">
        <is>
          <t>NOT_TESTED</t>
        </is>
      </c>
      <c r="S61" s="56" t="inlineStr">
        <is>
          <t>NOT_TESTED</t>
        </is>
      </c>
      <c r="T61" s="56" t="inlineStr">
        <is>
          <t>NOT_TESTED</t>
        </is>
      </c>
      <c r="U61" s="56" t="inlineStr">
        <is>
          <t>NOT_TESTED</t>
        </is>
      </c>
      <c r="V61" s="56" t="inlineStr">
        <is>
          <t>NOT_TESTED</t>
        </is>
      </c>
      <c r="W61" s="56" t="inlineStr">
        <is>
          <t>NOT_TESTED</t>
        </is>
      </c>
      <c r="X61" s="56" t="inlineStr">
        <is>
          <t>NOT_TESTED</t>
        </is>
      </c>
      <c r="Y61" s="56" t="inlineStr">
        <is>
          <t>NOT_TESTED</t>
        </is>
      </c>
      <c r="Z61" s="56" t="inlineStr">
        <is>
          <t>NOT_TESTED</t>
        </is>
      </c>
      <c r="AA61" s="56" t="inlineStr">
        <is>
          <t>NOT_TESTED</t>
        </is>
      </c>
      <c r="AB61" s="56" t="inlineStr">
        <is>
          <t>NOT_TESTED</t>
        </is>
      </c>
      <c r="AC61" s="55" t="inlineStr">
        <is>
          <t>AttributeError</t>
        </is>
      </c>
      <c r="AD61" s="55" t="inlineStr">
        <is>
          <t>AttributeError: 'PauliSumOp' object has no attribute 'data'</t>
        </is>
      </c>
      <c r="AE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F61" s="55" t="inlineStr">
        <is>
          <t>AttributeError</t>
        </is>
      </c>
      <c r="AG61" s="55" t="inlineStr">
        <is>
          <t>AttributeError: 'PauliSumOp' object has no attribute 'data'</t>
        </is>
      </c>
      <c r="AH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I61" s="55" t="inlineStr">
        <is>
          <t>AttributeError</t>
        </is>
      </c>
      <c r="AJ61" s="55" t="inlineStr">
        <is>
          <t>AttributeError: 'PauliSumOp' object has no attribute 'data'</t>
        </is>
      </c>
      <c r="AK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L61" s="55" t="inlineStr">
        <is>
          <t>AttributeError</t>
        </is>
      </c>
      <c r="AM61" s="55" t="inlineStr">
        <is>
          <t>AttributeError: 'PauliSumOp' object has no attribute 'data'</t>
        </is>
      </c>
      <c r="AN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O61" s="55" t="inlineStr">
        <is>
          <t>AttributeError</t>
        </is>
      </c>
      <c r="AP61" s="55" t="inlineStr">
        <is>
          <t>AttributeError: 'PauliSumOp' object has no attribute 'data'</t>
        </is>
      </c>
      <c r="AQ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R61" s="55" t="inlineStr">
        <is>
          <t>AttributeError</t>
        </is>
      </c>
      <c r="AS61" s="55" t="inlineStr">
        <is>
          <t>AttributeError: 'PauliSumOp' object has no attribute 'data'</t>
        </is>
      </c>
      <c r="AT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U61" s="55" t="inlineStr">
        <is>
          <t>AttributeError</t>
        </is>
      </c>
      <c r="AV61" s="55" t="inlineStr">
        <is>
          <t>AttributeError: 'PauliSumOp' object has no attribute 'data'</t>
        </is>
      </c>
      <c r="AW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X61" s="55" t="inlineStr">
        <is>
          <t>AttributeError</t>
        </is>
      </c>
      <c r="AY61" s="55" t="inlineStr">
        <is>
          <t>AttributeError: 'PauliSumOp' object has no attribute 'data'</t>
        </is>
      </c>
      <c r="AZ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A61" s="55" t="inlineStr">
        <is>
          <t>AttributeError</t>
        </is>
      </c>
      <c r="BB61" s="55" t="inlineStr">
        <is>
          <t>AttributeError: 'PauliSumOp' object has no attribute 'data'</t>
        </is>
      </c>
      <c r="BC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D61" s="55" t="inlineStr">
        <is>
          <t>AttributeError</t>
        </is>
      </c>
      <c r="BE61" s="55" t="inlineStr">
        <is>
          <t>AttributeError: 'PauliSumOp' object has no attribute 'data'</t>
        </is>
      </c>
      <c r="BF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G61" s="55" t="inlineStr">
        <is>
          <t>AttributeError</t>
        </is>
      </c>
      <c r="BH61" s="55" t="inlineStr">
        <is>
          <t>AttributeError: 'PauliSumOp' object has no attribute 'data'</t>
        </is>
      </c>
      <c r="BI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J61" s="55" t="inlineStr">
        <is>
          <t>AttributeError</t>
        </is>
      </c>
      <c r="BK61" s="55" t="inlineStr">
        <is>
          <t>AttributeError: 'PauliSumOp' object has no attribute 'data'</t>
        </is>
      </c>
      <c r="BL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M61" s="55" t="n"/>
      <c r="BN61" s="55" t="n"/>
      <c r="BO61" s="55" t="n"/>
      <c r="BP61" s="55" t="n"/>
      <c r="BQ61" s="55" t="n"/>
      <c r="BR61" s="55" t="n"/>
      <c r="BS61" s="55" t="n"/>
      <c r="BT61" s="55" t="n"/>
      <c r="BU61" s="55" t="n"/>
      <c r="BV61" s="55" t="n"/>
      <c r="BW61" s="55" t="n"/>
      <c r="BX61" s="55" t="n"/>
      <c r="BY61" s="55" t="n"/>
      <c r="BZ61" s="55" t="n"/>
      <c r="CA61" s="55" t="n"/>
      <c r="CB61" s="55" t="n"/>
      <c r="CC61" s="55" t="n"/>
      <c r="CD61" s="55" t="n"/>
      <c r="CE61" s="55" t="n"/>
      <c r="CF61" s="55" t="n"/>
      <c r="CG61" s="55" t="n"/>
      <c r="CH61" s="55" t="n"/>
      <c r="CI61" s="55" t="n"/>
      <c r="CJ61" s="55" t="n"/>
      <c r="CK61" s="55" t="n"/>
      <c r="CL61" s="55" t="n"/>
      <c r="CM61" s="55" t="n"/>
      <c r="CN61" s="55" t="n"/>
      <c r="CO61" s="55" t="n"/>
      <c r="CP61" s="55" t="n"/>
      <c r="CQ61" s="55" t="n"/>
      <c r="CR61" s="55" t="n"/>
      <c r="CS61" s="55" t="n"/>
      <c r="CT61" s="55" t="n"/>
      <c r="CU61" s="55" t="n"/>
      <c r="CV61" s="55" t="n"/>
      <c r="CW61" s="55" t="n"/>
      <c r="CX61" s="55" t="n"/>
      <c r="CY61" s="55" t="n"/>
      <c r="CZ61" s="55" t="n"/>
      <c r="DA61" s="55" t="n"/>
      <c r="DB61" s="55" t="n"/>
      <c r="DC61" s="55" t="n"/>
      <c r="DD61" s="55" t="n"/>
      <c r="DE61"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25"/>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t>
        </is>
      </c>
    </row>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c r="N5" s="54" t="inlineStr">
        <is>
          <t>Batch 6</t>
        </is>
      </c>
      <c r="O5" s="54" t="inlineStr">
        <is>
          <t>Batch 6 %</t>
        </is>
      </c>
    </row>
    <row r="6">
      <c r="A6" s="61" t="inlineStr">
        <is>
          <t>PASS</t>
        </is>
      </c>
      <c r="B6" s="55">
        <f>COUNTIF(Summary!$B$2:$AB$61,"PASS")</f>
        <v/>
      </c>
      <c r="C6" s="62">
        <f>IF($B$9=0,0,B6/$B$9)</f>
        <v/>
      </c>
      <c r="D6" s="55">
        <f>COUNTIF(Summary!$B$2:$AB$11,"PASS")</f>
        <v/>
      </c>
      <c r="E6" s="62">
        <f>IF(D$9=0,0,D6/D$9)</f>
        <v/>
      </c>
      <c r="F6" s="55">
        <f>COUNTIF(Summary!$B$12:$AB$21,"PASS")</f>
        <v/>
      </c>
      <c r="G6" s="62">
        <f>IF(F$9=0,0,F6/F$9)</f>
        <v/>
      </c>
      <c r="H6" s="55">
        <f>COUNTIF(Summary!$B$22:$AB$31,"PASS")</f>
        <v/>
      </c>
      <c r="I6" s="62">
        <f>IF(H$9=0,0,H6/H$9)</f>
        <v/>
      </c>
      <c r="J6" s="55">
        <f>COUNTIF(Summary!$B$32:$AB$41,"PASS")</f>
        <v/>
      </c>
      <c r="K6" s="62">
        <f>IF(J$9=0,0,J6/J$9)</f>
        <v/>
      </c>
      <c r="L6" s="55">
        <f>COUNTIF(Summary!$B$42:$AB$51,"PASS")</f>
        <v/>
      </c>
      <c r="M6" s="62">
        <f>IF(L$9=0,0,L6/L$9)</f>
        <v/>
      </c>
      <c r="N6" s="55">
        <f>COUNTIF(Summary!$B$52:$AB$61,"PASS")</f>
        <v/>
      </c>
      <c r="O6" s="62">
        <f>IF(N$9=0,0,N6/N$9)</f>
        <v/>
      </c>
    </row>
    <row r="7">
      <c r="A7" s="63" t="inlineStr">
        <is>
          <t>FAIL</t>
        </is>
      </c>
      <c r="B7" s="55">
        <f>COUNTIF(Summary!$B$2:$AB$61,"FAIL")</f>
        <v/>
      </c>
      <c r="C7" s="62">
        <f>IF($B$9=0,0,B7/$B$9)</f>
        <v/>
      </c>
      <c r="D7" s="55">
        <f>COUNTIF(Summary!$B$2:$AB$11,"FAIL")</f>
        <v/>
      </c>
      <c r="E7" s="62">
        <f>IF(D$9=0,0,D7/D$9)</f>
        <v/>
      </c>
      <c r="F7" s="55">
        <f>COUNTIF(Summary!$B$12:$AB$21,"FAIL")</f>
        <v/>
      </c>
      <c r="G7" s="62">
        <f>IF(F$9=0,0,F7/F$9)</f>
        <v/>
      </c>
      <c r="H7" s="55">
        <f>COUNTIF(Summary!$B$22:$AB$31,"FAIL")</f>
        <v/>
      </c>
      <c r="I7" s="62">
        <f>IF(H$9=0,0,H7/H$9)</f>
        <v/>
      </c>
      <c r="J7" s="55">
        <f>COUNTIF(Summary!$B$32:$AB$41,"FAIL")</f>
        <v/>
      </c>
      <c r="K7" s="62">
        <f>IF(J$9=0,0,J7/J$9)</f>
        <v/>
      </c>
      <c r="L7" s="55">
        <f>COUNTIF(Summary!$B$42:$AB$51,"FAIL")</f>
        <v/>
      </c>
      <c r="M7" s="62">
        <f>IF(L$9=0,0,L7/L$9)</f>
        <v/>
      </c>
      <c r="N7" s="55">
        <f>COUNTIF(Summary!$B$52:$AB$61,"FAIL")</f>
        <v/>
      </c>
      <c r="O7" s="62">
        <f>IF(N$9=0,0,N7/N$9)</f>
        <v/>
      </c>
    </row>
    <row r="8">
      <c r="A8" s="64" t="inlineStr">
        <is>
          <t>ERROR</t>
        </is>
      </c>
      <c r="B8" s="55">
        <f>COUNTIF(Summary!$B$2:$AB$61,"ERROR")</f>
        <v/>
      </c>
      <c r="C8" s="62">
        <f>IF($B$9=0,0,B8/$B$9)</f>
        <v/>
      </c>
      <c r="D8" s="55">
        <f>COUNTIF(Summary!$B$2:$AB$11,"ERROR")</f>
        <v/>
      </c>
      <c r="E8" s="62">
        <f>IF(D$9=0,0,D8/D$9)</f>
        <v/>
      </c>
      <c r="F8" s="55">
        <f>COUNTIF(Summary!$B$12:$AB$21,"ERROR")</f>
        <v/>
      </c>
      <c r="G8" s="62">
        <f>IF(F$9=0,0,F8/F$9)</f>
        <v/>
      </c>
      <c r="H8" s="55">
        <f>COUNTIF(Summary!$B$22:$AB$31,"ERROR")</f>
        <v/>
      </c>
      <c r="I8" s="62">
        <f>IF(H$9=0,0,H8/H$9)</f>
        <v/>
      </c>
      <c r="J8" s="55">
        <f>COUNTIF(Summary!$B$32:$AB$41,"ERROR")</f>
        <v/>
      </c>
      <c r="K8" s="62">
        <f>IF(J$9=0,0,J8/J$9)</f>
        <v/>
      </c>
      <c r="L8" s="55">
        <f>COUNTIF(Summary!$B$42:$AB$51,"ERROR")</f>
        <v/>
      </c>
      <c r="M8" s="62">
        <f>IF(L$9=0,0,L8/L$9)</f>
        <v/>
      </c>
      <c r="N8" s="55">
        <f>COUNTIF(Summary!$B$52:$AB$61,"ERROR")</f>
        <v/>
      </c>
      <c r="O8" s="62">
        <f>IF(N$9=0,0,N8/N$9)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c r="N9" s="65">
        <f>SUM(N6:N8)</f>
        <v/>
      </c>
      <c r="O9" s="66">
        <f>SUM(O6:O8)</f>
        <v/>
      </c>
    </row>
    <row r="10">
      <c r="A10" s="55" t="inlineStr">
        <is>
          <t>Not tested (version not listed for that case)</t>
        </is>
      </c>
      <c r="B10" s="55">
        <f>COUNTIF(Summary!$B$2:$AB$61,"NOT_TESTED")</f>
        <v/>
      </c>
      <c r="D10" s="55">
        <f>COUNTIF(Summary!$B$2:$AB$11,"NOT_TESTED")</f>
        <v/>
      </c>
      <c r="F10" s="55">
        <f>COUNTIF(Summary!$B$12:$AB$21,"NOT_TESTED")</f>
        <v/>
      </c>
      <c r="H10" s="55">
        <f>COUNTIF(Summary!$B$22:$AB$31,"NOT_TESTED")</f>
        <v/>
      </c>
      <c r="J10" s="55">
        <f>COUNTIF(Summary!$B$32:$AB$41,"NOT_TESTED")</f>
        <v/>
      </c>
      <c r="L10" s="55">
        <f>COUNTIF(Summary!$B$42:$AB$51,"NOT_TESTED")</f>
        <v/>
      </c>
      <c r="N10" s="55">
        <f>COUNTIF(Summary!$B$52:$AB$61,"NOT_TESTED")</f>
        <v/>
      </c>
    </row>
    <row r="12">
      <c r="A12" s="60" t="inlineStr">
        <is>
          <t>2. Per case</t>
        </is>
      </c>
    </row>
    <row r="13">
      <c r="A13" s="54" t="inlineStr">
        <is>
          <t>Case</t>
        </is>
      </c>
      <c r="B13" s="54" t="inlineStr">
        <is>
          <t>Versions tested</t>
        </is>
      </c>
      <c r="C13" s="54" t="inlineStr">
        <is>
          <t>PASS</t>
        </is>
      </c>
      <c r="D13" s="54" t="inlineStr">
        <is>
          <t>FAIL</t>
        </is>
      </c>
      <c r="E13" s="54" t="inlineStr">
        <is>
          <t>ERROR</t>
        </is>
      </c>
      <c r="F13" s="54" t="inlineStr">
        <is>
          <t>Pass %</t>
        </is>
      </c>
      <c r="G13" s="54" t="inlineStr">
        <is>
          <t>Fail %</t>
        </is>
      </c>
      <c r="H13" s="54" t="inlineStr">
        <is>
          <t>Error %</t>
        </is>
      </c>
      <c r="I13" s="54" t="inlineStr">
        <is>
          <t>Case outcome</t>
        </is>
      </c>
      <c r="J13" s="54" t="inlineStr">
        <is>
          <t>Batch</t>
        </is>
      </c>
    </row>
    <row r="14">
      <c r="A14" s="55">
        <f>Summary!A2</f>
        <v/>
      </c>
      <c r="B14" s="55">
        <f>COUNTIF(Summary!$B$2:$AB$2,"PASS")+COUNTIF(Summary!$B$2:$AB$2,"FAIL")+COUNTIF(Summary!$B$2:$AB$2,"ERROR")</f>
        <v/>
      </c>
      <c r="C14" s="55">
        <f>COUNTIF(Summary!$B$2:$AB$2,"PASS")</f>
        <v/>
      </c>
      <c r="D14" s="55">
        <f>COUNTIF(Summary!$B$2:$AB$2,"FAIL")</f>
        <v/>
      </c>
      <c r="E14" s="55">
        <f>COUNTIF(Summary!$B$2:$AB$2,"ERROR")</f>
        <v/>
      </c>
      <c r="F14" s="62">
        <f>IF($B14=0,0,C14/$B14)</f>
        <v/>
      </c>
      <c r="G14" s="62">
        <f>IF($B14=0,0,D14/$B14)</f>
        <v/>
      </c>
      <c r="H14" s="62">
        <f>IF($B14=0,0,E14/$B14)</f>
        <v/>
      </c>
      <c r="I14" s="55">
        <f>IF(C14=B14,"PASS",IF(E14&gt;0,"ERROR","FAIL"))</f>
        <v/>
      </c>
      <c r="J14" s="55" t="n">
        <v>1</v>
      </c>
    </row>
    <row r="15">
      <c r="A15" s="55">
        <f>Summary!A3</f>
        <v/>
      </c>
      <c r="B15" s="55">
        <f>COUNTIF(Summary!$B$3:$AB$3,"PASS")+COUNTIF(Summary!$B$3:$AB$3,"FAIL")+COUNTIF(Summary!$B$3:$AB$3,"ERROR")</f>
        <v/>
      </c>
      <c r="C15" s="55">
        <f>COUNTIF(Summary!$B$3:$AB$3,"PASS")</f>
        <v/>
      </c>
      <c r="D15" s="55">
        <f>COUNTIF(Summary!$B$3:$AB$3,"FAIL")</f>
        <v/>
      </c>
      <c r="E15" s="55">
        <f>COUNTIF(Summary!$B$3:$AB$3,"ERROR")</f>
        <v/>
      </c>
      <c r="F15" s="62">
        <f>IF($B15=0,0,C15/$B15)</f>
        <v/>
      </c>
      <c r="G15" s="62">
        <f>IF($B15=0,0,D15/$B15)</f>
        <v/>
      </c>
      <c r="H15" s="62">
        <f>IF($B15=0,0,E15/$B15)</f>
        <v/>
      </c>
      <c r="I15" s="55">
        <f>IF(C15=B15,"PASS",IF(E15&gt;0,"ERROR","FAIL"))</f>
        <v/>
      </c>
      <c r="J15" s="55" t="n">
        <v>1</v>
      </c>
    </row>
    <row r="16">
      <c r="A16" s="55">
        <f>Summary!A4</f>
        <v/>
      </c>
      <c r="B16" s="55">
        <f>COUNTIF(Summary!$B$4:$AB$4,"PASS")+COUNTIF(Summary!$B$4:$AB$4,"FAIL")+COUNTIF(Summary!$B$4:$AB$4,"ERROR")</f>
        <v/>
      </c>
      <c r="C16" s="55">
        <f>COUNTIF(Summary!$B$4:$AB$4,"PASS")</f>
        <v/>
      </c>
      <c r="D16" s="55">
        <f>COUNTIF(Summary!$B$4:$AB$4,"FAIL")</f>
        <v/>
      </c>
      <c r="E16" s="55">
        <f>COUNTIF(Summary!$B$4:$AB$4,"ERROR")</f>
        <v/>
      </c>
      <c r="F16" s="62">
        <f>IF($B16=0,0,C16/$B16)</f>
        <v/>
      </c>
      <c r="G16" s="62">
        <f>IF($B16=0,0,D16/$B16)</f>
        <v/>
      </c>
      <c r="H16" s="62">
        <f>IF($B16=0,0,E16/$B16)</f>
        <v/>
      </c>
      <c r="I16" s="55">
        <f>IF(C16=B16,"PASS",IF(E16&gt;0,"ERROR","FAIL"))</f>
        <v/>
      </c>
      <c r="J16" s="55" t="n">
        <v>1</v>
      </c>
    </row>
    <row r="17">
      <c r="A17" s="55">
        <f>Summary!A5</f>
        <v/>
      </c>
      <c r="B17" s="55">
        <f>COUNTIF(Summary!$B$5:$AB$5,"PASS")+COUNTIF(Summary!$B$5:$AB$5,"FAIL")+COUNTIF(Summary!$B$5:$AB$5,"ERROR")</f>
        <v/>
      </c>
      <c r="C17" s="55">
        <f>COUNTIF(Summary!$B$5:$AB$5,"PASS")</f>
        <v/>
      </c>
      <c r="D17" s="55">
        <f>COUNTIF(Summary!$B$5:$AB$5,"FAIL")</f>
        <v/>
      </c>
      <c r="E17" s="55">
        <f>COUNTIF(Summary!$B$5:$AB$5,"ERROR")</f>
        <v/>
      </c>
      <c r="F17" s="62">
        <f>IF($B17=0,0,C17/$B17)</f>
        <v/>
      </c>
      <c r="G17" s="62">
        <f>IF($B17=0,0,D17/$B17)</f>
        <v/>
      </c>
      <c r="H17" s="62">
        <f>IF($B17=0,0,E17/$B17)</f>
        <v/>
      </c>
      <c r="I17" s="55">
        <f>IF(C17=B17,"PASS",IF(E17&gt;0,"ERROR","FAIL"))</f>
        <v/>
      </c>
      <c r="J17" s="55" t="n">
        <v>1</v>
      </c>
    </row>
    <row r="18">
      <c r="A18" s="55">
        <f>Summary!A6</f>
        <v/>
      </c>
      <c r="B18" s="55">
        <f>COUNTIF(Summary!$B$6:$AB$6,"PASS")+COUNTIF(Summary!$B$6:$AB$6,"FAIL")+COUNTIF(Summary!$B$6:$AB$6,"ERROR")</f>
        <v/>
      </c>
      <c r="C18" s="55">
        <f>COUNTIF(Summary!$B$6:$AB$6,"PASS")</f>
        <v/>
      </c>
      <c r="D18" s="55">
        <f>COUNTIF(Summary!$B$6:$AB$6,"FAIL")</f>
        <v/>
      </c>
      <c r="E18" s="55">
        <f>COUNTIF(Summary!$B$6:$AB$6,"ERROR")</f>
        <v/>
      </c>
      <c r="F18" s="62">
        <f>IF($B18=0,0,C18/$B18)</f>
        <v/>
      </c>
      <c r="G18" s="62">
        <f>IF($B18=0,0,D18/$B18)</f>
        <v/>
      </c>
      <c r="H18" s="62">
        <f>IF($B18=0,0,E18/$B18)</f>
        <v/>
      </c>
      <c r="I18" s="55">
        <f>IF(C18=B18,"PASS",IF(E18&gt;0,"ERROR","FAIL"))</f>
        <v/>
      </c>
      <c r="J18" s="55" t="n">
        <v>1</v>
      </c>
    </row>
    <row r="19">
      <c r="A19" s="55">
        <f>Summary!A7</f>
        <v/>
      </c>
      <c r="B19" s="55">
        <f>COUNTIF(Summary!$B$7:$AB$7,"PASS")+COUNTIF(Summary!$B$7:$AB$7,"FAIL")+COUNTIF(Summary!$B$7:$AB$7,"ERROR")</f>
        <v/>
      </c>
      <c r="C19" s="55">
        <f>COUNTIF(Summary!$B$7:$AB$7,"PASS")</f>
        <v/>
      </c>
      <c r="D19" s="55">
        <f>COUNTIF(Summary!$B$7:$AB$7,"FAIL")</f>
        <v/>
      </c>
      <c r="E19" s="55">
        <f>COUNTIF(Summary!$B$7:$AB$7,"ERROR")</f>
        <v/>
      </c>
      <c r="F19" s="62">
        <f>IF($B19=0,0,C19/$B19)</f>
        <v/>
      </c>
      <c r="G19" s="62">
        <f>IF($B19=0,0,D19/$B19)</f>
        <v/>
      </c>
      <c r="H19" s="62">
        <f>IF($B19=0,0,E19/$B19)</f>
        <v/>
      </c>
      <c r="I19" s="55">
        <f>IF(C19=B19,"PASS",IF(E19&gt;0,"ERROR","FAIL"))</f>
        <v/>
      </c>
      <c r="J19" s="55" t="n">
        <v>1</v>
      </c>
    </row>
    <row r="20">
      <c r="A20" s="55">
        <f>Summary!A8</f>
        <v/>
      </c>
      <c r="B20" s="55">
        <f>COUNTIF(Summary!$B$8:$AB$8,"PASS")+COUNTIF(Summary!$B$8:$AB$8,"FAIL")+COUNTIF(Summary!$B$8:$AB$8,"ERROR")</f>
        <v/>
      </c>
      <c r="C20" s="55">
        <f>COUNTIF(Summary!$B$8:$AB$8,"PASS")</f>
        <v/>
      </c>
      <c r="D20" s="55">
        <f>COUNTIF(Summary!$B$8:$AB$8,"FAIL")</f>
        <v/>
      </c>
      <c r="E20" s="55">
        <f>COUNTIF(Summary!$B$8:$AB$8,"ERROR")</f>
        <v/>
      </c>
      <c r="F20" s="62">
        <f>IF($B20=0,0,C20/$B20)</f>
        <v/>
      </c>
      <c r="G20" s="62">
        <f>IF($B20=0,0,D20/$B20)</f>
        <v/>
      </c>
      <c r="H20" s="62">
        <f>IF($B20=0,0,E20/$B20)</f>
        <v/>
      </c>
      <c r="I20" s="55">
        <f>IF(C20=B20,"PASS",IF(E20&gt;0,"ERROR","FAIL"))</f>
        <v/>
      </c>
      <c r="J20" s="55" t="n">
        <v>1</v>
      </c>
    </row>
    <row r="21">
      <c r="A21" s="55">
        <f>Summary!A9</f>
        <v/>
      </c>
      <c r="B21" s="55">
        <f>COUNTIF(Summary!$B$9:$AB$9,"PASS")+COUNTIF(Summary!$B$9:$AB$9,"FAIL")+COUNTIF(Summary!$B$9:$AB$9,"ERROR")</f>
        <v/>
      </c>
      <c r="C21" s="55">
        <f>COUNTIF(Summary!$B$9:$AB$9,"PASS")</f>
        <v/>
      </c>
      <c r="D21" s="55">
        <f>COUNTIF(Summary!$B$9:$AB$9,"FAIL")</f>
        <v/>
      </c>
      <c r="E21" s="55">
        <f>COUNTIF(Summary!$B$9:$AB$9,"ERROR")</f>
        <v/>
      </c>
      <c r="F21" s="62">
        <f>IF($B21=0,0,C21/$B21)</f>
        <v/>
      </c>
      <c r="G21" s="62">
        <f>IF($B21=0,0,D21/$B21)</f>
        <v/>
      </c>
      <c r="H21" s="62">
        <f>IF($B21=0,0,E21/$B21)</f>
        <v/>
      </c>
      <c r="I21" s="55">
        <f>IF(C21=B21,"PASS",IF(E21&gt;0,"ERROR","FAIL"))</f>
        <v/>
      </c>
      <c r="J21" s="55" t="n">
        <v>1</v>
      </c>
    </row>
    <row r="22">
      <c r="A22" s="55">
        <f>Summary!A10</f>
        <v/>
      </c>
      <c r="B22" s="55">
        <f>COUNTIF(Summary!$B$10:$AB$10,"PASS")+COUNTIF(Summary!$B$10:$AB$10,"FAIL")+COUNTIF(Summary!$B$10:$AB$10,"ERROR")</f>
        <v/>
      </c>
      <c r="C22" s="55">
        <f>COUNTIF(Summary!$B$10:$AB$10,"PASS")</f>
        <v/>
      </c>
      <c r="D22" s="55">
        <f>COUNTIF(Summary!$B$10:$AB$10,"FAIL")</f>
        <v/>
      </c>
      <c r="E22" s="55">
        <f>COUNTIF(Summary!$B$10:$AB$10,"ERROR")</f>
        <v/>
      </c>
      <c r="F22" s="62">
        <f>IF($B22=0,0,C22/$B22)</f>
        <v/>
      </c>
      <c r="G22" s="62">
        <f>IF($B22=0,0,D22/$B22)</f>
        <v/>
      </c>
      <c r="H22" s="62">
        <f>IF($B22=0,0,E22/$B22)</f>
        <v/>
      </c>
      <c r="I22" s="55">
        <f>IF(C22=B22,"PASS",IF(E22&gt;0,"ERROR","FAIL"))</f>
        <v/>
      </c>
      <c r="J22" s="55" t="n">
        <v>1</v>
      </c>
    </row>
    <row r="23">
      <c r="A23" s="55">
        <f>Summary!A11</f>
        <v/>
      </c>
      <c r="B23" s="55">
        <f>COUNTIF(Summary!$B$11:$AB$11,"PASS")+COUNTIF(Summary!$B$11:$AB$11,"FAIL")+COUNTIF(Summary!$B$11:$AB$11,"ERROR")</f>
        <v/>
      </c>
      <c r="C23" s="55">
        <f>COUNTIF(Summary!$B$11:$AB$11,"PASS")</f>
        <v/>
      </c>
      <c r="D23" s="55">
        <f>COUNTIF(Summary!$B$11:$AB$11,"FAIL")</f>
        <v/>
      </c>
      <c r="E23" s="55">
        <f>COUNTIF(Summary!$B$11:$AB$11,"ERROR")</f>
        <v/>
      </c>
      <c r="F23" s="62">
        <f>IF($B23=0,0,C23/$B23)</f>
        <v/>
      </c>
      <c r="G23" s="62">
        <f>IF($B23=0,0,D23/$B23)</f>
        <v/>
      </c>
      <c r="H23" s="62">
        <f>IF($B23=0,0,E23/$B23)</f>
        <v/>
      </c>
      <c r="I23" s="55">
        <f>IF(C23=B23,"PASS",IF(E23&gt;0,"ERROR","FAIL"))</f>
        <v/>
      </c>
      <c r="J23" s="55" t="n">
        <v>1</v>
      </c>
    </row>
    <row r="24">
      <c r="A24" s="55">
        <f>Summary!A12</f>
        <v/>
      </c>
      <c r="B24" s="55">
        <f>COUNTIF(Summary!$B$12:$AB$12,"PASS")+COUNTIF(Summary!$B$12:$AB$12,"FAIL")+COUNTIF(Summary!$B$12:$AB$12,"ERROR")</f>
        <v/>
      </c>
      <c r="C24" s="55">
        <f>COUNTIF(Summary!$B$12:$AB$12,"PASS")</f>
        <v/>
      </c>
      <c r="D24" s="55">
        <f>COUNTIF(Summary!$B$12:$AB$12,"FAIL")</f>
        <v/>
      </c>
      <c r="E24" s="55">
        <f>COUNTIF(Summary!$B$12:$AB$12,"ERROR")</f>
        <v/>
      </c>
      <c r="F24" s="62">
        <f>IF($B24=0,0,C24/$B24)</f>
        <v/>
      </c>
      <c r="G24" s="62">
        <f>IF($B24=0,0,D24/$B24)</f>
        <v/>
      </c>
      <c r="H24" s="62">
        <f>IF($B24=0,0,E24/$B24)</f>
        <v/>
      </c>
      <c r="I24" s="55">
        <f>IF(C24=B24,"PASS",IF(E24&gt;0,"ERROR","FAIL"))</f>
        <v/>
      </c>
      <c r="J24" s="55" t="n">
        <v>2</v>
      </c>
    </row>
    <row r="25">
      <c r="A25" s="55">
        <f>Summary!A13</f>
        <v/>
      </c>
      <c r="B25" s="55">
        <f>COUNTIF(Summary!$B$13:$AB$13,"PASS")+COUNTIF(Summary!$B$13:$AB$13,"FAIL")+COUNTIF(Summary!$B$13:$AB$13,"ERROR")</f>
        <v/>
      </c>
      <c r="C25" s="55">
        <f>COUNTIF(Summary!$B$13:$AB$13,"PASS")</f>
        <v/>
      </c>
      <c r="D25" s="55">
        <f>COUNTIF(Summary!$B$13:$AB$13,"FAIL")</f>
        <v/>
      </c>
      <c r="E25" s="55">
        <f>COUNTIF(Summary!$B$13:$AB$13,"ERROR")</f>
        <v/>
      </c>
      <c r="F25" s="62">
        <f>IF($B25=0,0,C25/$B25)</f>
        <v/>
      </c>
      <c r="G25" s="62">
        <f>IF($B25=0,0,D25/$B25)</f>
        <v/>
      </c>
      <c r="H25" s="62">
        <f>IF($B25=0,0,E25/$B25)</f>
        <v/>
      </c>
      <c r="I25" s="55">
        <f>IF(C25=B25,"PASS",IF(E25&gt;0,"ERROR","FAIL"))</f>
        <v/>
      </c>
      <c r="J25" s="55" t="n">
        <v>2</v>
      </c>
    </row>
    <row r="26">
      <c r="A26" s="55">
        <f>Summary!A14</f>
        <v/>
      </c>
      <c r="B26" s="55">
        <f>COUNTIF(Summary!$B$14:$AB$14,"PASS")+COUNTIF(Summary!$B$14:$AB$14,"FAIL")+COUNTIF(Summary!$B$14:$AB$14,"ERROR")</f>
        <v/>
      </c>
      <c r="C26" s="55">
        <f>COUNTIF(Summary!$B$14:$AB$14,"PASS")</f>
        <v/>
      </c>
      <c r="D26" s="55">
        <f>COUNTIF(Summary!$B$14:$AB$14,"FAIL")</f>
        <v/>
      </c>
      <c r="E26" s="55">
        <f>COUNTIF(Summary!$B$14:$AB$14,"ERROR")</f>
        <v/>
      </c>
      <c r="F26" s="62">
        <f>IF($B26=0,0,C26/$B26)</f>
        <v/>
      </c>
      <c r="G26" s="62">
        <f>IF($B26=0,0,D26/$B26)</f>
        <v/>
      </c>
      <c r="H26" s="62">
        <f>IF($B26=0,0,E26/$B26)</f>
        <v/>
      </c>
      <c r="I26" s="55">
        <f>IF(C26=B26,"PASS",IF(E26&gt;0,"ERROR","FAIL"))</f>
        <v/>
      </c>
      <c r="J26" s="55" t="n">
        <v>2</v>
      </c>
    </row>
    <row r="27">
      <c r="A27" s="55">
        <f>Summary!A15</f>
        <v/>
      </c>
      <c r="B27" s="55">
        <f>COUNTIF(Summary!$B$15:$AB$15,"PASS")+COUNTIF(Summary!$B$15:$AB$15,"FAIL")+COUNTIF(Summary!$B$15:$AB$15,"ERROR")</f>
        <v/>
      </c>
      <c r="C27" s="55">
        <f>COUNTIF(Summary!$B$15:$AB$15,"PASS")</f>
        <v/>
      </c>
      <c r="D27" s="55">
        <f>COUNTIF(Summary!$B$15:$AB$15,"FAIL")</f>
        <v/>
      </c>
      <c r="E27" s="55">
        <f>COUNTIF(Summary!$B$15:$AB$15,"ERROR")</f>
        <v/>
      </c>
      <c r="F27" s="62">
        <f>IF($B27=0,0,C27/$B27)</f>
        <v/>
      </c>
      <c r="G27" s="62">
        <f>IF($B27=0,0,D27/$B27)</f>
        <v/>
      </c>
      <c r="H27" s="62">
        <f>IF($B27=0,0,E27/$B27)</f>
        <v/>
      </c>
      <c r="I27" s="55">
        <f>IF(C27=B27,"PASS",IF(E27&gt;0,"ERROR","FAIL"))</f>
        <v/>
      </c>
      <c r="J27" s="55" t="n">
        <v>2</v>
      </c>
    </row>
    <row r="28">
      <c r="A28" s="55">
        <f>Summary!A16</f>
        <v/>
      </c>
      <c r="B28" s="55">
        <f>COUNTIF(Summary!$B$16:$AB$16,"PASS")+COUNTIF(Summary!$B$16:$AB$16,"FAIL")+COUNTIF(Summary!$B$16:$AB$16,"ERROR")</f>
        <v/>
      </c>
      <c r="C28" s="55">
        <f>COUNTIF(Summary!$B$16:$AB$16,"PASS")</f>
        <v/>
      </c>
      <c r="D28" s="55">
        <f>COUNTIF(Summary!$B$16:$AB$16,"FAIL")</f>
        <v/>
      </c>
      <c r="E28" s="55">
        <f>COUNTIF(Summary!$B$16:$AB$16,"ERROR")</f>
        <v/>
      </c>
      <c r="F28" s="62">
        <f>IF($B28=0,0,C28/$B28)</f>
        <v/>
      </c>
      <c r="G28" s="62">
        <f>IF($B28=0,0,D28/$B28)</f>
        <v/>
      </c>
      <c r="H28" s="62">
        <f>IF($B28=0,0,E28/$B28)</f>
        <v/>
      </c>
      <c r="I28" s="55">
        <f>IF(C28=B28,"PASS",IF(E28&gt;0,"ERROR","FAIL"))</f>
        <v/>
      </c>
      <c r="J28" s="55" t="n">
        <v>2</v>
      </c>
    </row>
    <row r="29">
      <c r="A29" s="55">
        <f>Summary!A17</f>
        <v/>
      </c>
      <c r="B29" s="55">
        <f>COUNTIF(Summary!$B$17:$AB$17,"PASS")+COUNTIF(Summary!$B$17:$AB$17,"FAIL")+COUNTIF(Summary!$B$17:$AB$17,"ERROR")</f>
        <v/>
      </c>
      <c r="C29" s="55">
        <f>COUNTIF(Summary!$B$17:$AB$17,"PASS")</f>
        <v/>
      </c>
      <c r="D29" s="55">
        <f>COUNTIF(Summary!$B$17:$AB$17,"FAIL")</f>
        <v/>
      </c>
      <c r="E29" s="55">
        <f>COUNTIF(Summary!$B$17:$AB$17,"ERROR")</f>
        <v/>
      </c>
      <c r="F29" s="62">
        <f>IF($B29=0,0,C29/$B29)</f>
        <v/>
      </c>
      <c r="G29" s="62">
        <f>IF($B29=0,0,D29/$B29)</f>
        <v/>
      </c>
      <c r="H29" s="62">
        <f>IF($B29=0,0,E29/$B29)</f>
        <v/>
      </c>
      <c r="I29" s="55">
        <f>IF(C29=B29,"PASS",IF(E29&gt;0,"ERROR","FAIL"))</f>
        <v/>
      </c>
      <c r="J29" s="55" t="n">
        <v>2</v>
      </c>
    </row>
    <row r="30">
      <c r="A30" s="55">
        <f>Summary!A18</f>
        <v/>
      </c>
      <c r="B30" s="55">
        <f>COUNTIF(Summary!$B$18:$AB$18,"PASS")+COUNTIF(Summary!$B$18:$AB$18,"FAIL")+COUNTIF(Summary!$B$18:$AB$18,"ERROR")</f>
        <v/>
      </c>
      <c r="C30" s="55">
        <f>COUNTIF(Summary!$B$18:$AB$18,"PASS")</f>
        <v/>
      </c>
      <c r="D30" s="55">
        <f>COUNTIF(Summary!$B$18:$AB$18,"FAIL")</f>
        <v/>
      </c>
      <c r="E30" s="55">
        <f>COUNTIF(Summary!$B$18:$AB$18,"ERROR")</f>
        <v/>
      </c>
      <c r="F30" s="62">
        <f>IF($B30=0,0,C30/$B30)</f>
        <v/>
      </c>
      <c r="G30" s="62">
        <f>IF($B30=0,0,D30/$B30)</f>
        <v/>
      </c>
      <c r="H30" s="62">
        <f>IF($B30=0,0,E30/$B30)</f>
        <v/>
      </c>
      <c r="I30" s="55">
        <f>IF(C30=B30,"PASS",IF(E30&gt;0,"ERROR","FAIL"))</f>
        <v/>
      </c>
      <c r="J30" s="55" t="n">
        <v>2</v>
      </c>
    </row>
    <row r="31">
      <c r="A31" s="55">
        <f>Summary!A19</f>
        <v/>
      </c>
      <c r="B31" s="55">
        <f>COUNTIF(Summary!$B$19:$AB$19,"PASS")+COUNTIF(Summary!$B$19:$AB$19,"FAIL")+COUNTIF(Summary!$B$19:$AB$19,"ERROR")</f>
        <v/>
      </c>
      <c r="C31" s="55">
        <f>COUNTIF(Summary!$B$19:$AB$19,"PASS")</f>
        <v/>
      </c>
      <c r="D31" s="55">
        <f>COUNTIF(Summary!$B$19:$AB$19,"FAIL")</f>
        <v/>
      </c>
      <c r="E31" s="55">
        <f>COUNTIF(Summary!$B$19:$AB$19,"ERROR")</f>
        <v/>
      </c>
      <c r="F31" s="62">
        <f>IF($B31=0,0,C31/$B31)</f>
        <v/>
      </c>
      <c r="G31" s="62">
        <f>IF($B31=0,0,D31/$B31)</f>
        <v/>
      </c>
      <c r="H31" s="62">
        <f>IF($B31=0,0,E31/$B31)</f>
        <v/>
      </c>
      <c r="I31" s="55">
        <f>IF(C31=B31,"PASS",IF(E31&gt;0,"ERROR","FAIL"))</f>
        <v/>
      </c>
      <c r="J31" s="55" t="n">
        <v>2</v>
      </c>
    </row>
    <row r="32">
      <c r="A32" s="55">
        <f>Summary!A20</f>
        <v/>
      </c>
      <c r="B32" s="55">
        <f>COUNTIF(Summary!$B$20:$AB$20,"PASS")+COUNTIF(Summary!$B$20:$AB$20,"FAIL")+COUNTIF(Summary!$B$20:$AB$20,"ERROR")</f>
        <v/>
      </c>
      <c r="C32" s="55">
        <f>COUNTIF(Summary!$B$20:$AB$20,"PASS")</f>
        <v/>
      </c>
      <c r="D32" s="55">
        <f>COUNTIF(Summary!$B$20:$AB$20,"FAIL")</f>
        <v/>
      </c>
      <c r="E32" s="55">
        <f>COUNTIF(Summary!$B$20:$AB$20,"ERROR")</f>
        <v/>
      </c>
      <c r="F32" s="62">
        <f>IF($B32=0,0,C32/$B32)</f>
        <v/>
      </c>
      <c r="G32" s="62">
        <f>IF($B32=0,0,D32/$B32)</f>
        <v/>
      </c>
      <c r="H32" s="62">
        <f>IF($B32=0,0,E32/$B32)</f>
        <v/>
      </c>
      <c r="I32" s="55">
        <f>IF(C32=B32,"PASS",IF(E32&gt;0,"ERROR","FAIL"))</f>
        <v/>
      </c>
      <c r="J32" s="55" t="n">
        <v>2</v>
      </c>
    </row>
    <row r="33">
      <c r="A33" s="55">
        <f>Summary!A21</f>
        <v/>
      </c>
      <c r="B33" s="55">
        <f>COUNTIF(Summary!$B$21:$AB$21,"PASS")+COUNTIF(Summary!$B$21:$AB$21,"FAIL")+COUNTIF(Summary!$B$21:$AB$21,"ERROR")</f>
        <v/>
      </c>
      <c r="C33" s="55">
        <f>COUNTIF(Summary!$B$21:$AB$21,"PASS")</f>
        <v/>
      </c>
      <c r="D33" s="55">
        <f>COUNTIF(Summary!$B$21:$AB$21,"FAIL")</f>
        <v/>
      </c>
      <c r="E33" s="55">
        <f>COUNTIF(Summary!$B$21:$AB$21,"ERROR")</f>
        <v/>
      </c>
      <c r="F33" s="62">
        <f>IF($B33=0,0,C33/$B33)</f>
        <v/>
      </c>
      <c r="G33" s="62">
        <f>IF($B33=0,0,D33/$B33)</f>
        <v/>
      </c>
      <c r="H33" s="62">
        <f>IF($B33=0,0,E33/$B33)</f>
        <v/>
      </c>
      <c r="I33" s="55">
        <f>IF(C33=B33,"PASS",IF(E33&gt;0,"ERROR","FAIL"))</f>
        <v/>
      </c>
      <c r="J33" s="55" t="n">
        <v>2</v>
      </c>
    </row>
    <row r="34">
      <c r="A34" s="55">
        <f>Summary!A22</f>
        <v/>
      </c>
      <c r="B34" s="55">
        <f>COUNTIF(Summary!$B$22:$AB$22,"PASS")+COUNTIF(Summary!$B$22:$AB$22,"FAIL")+COUNTIF(Summary!$B$22:$AB$22,"ERROR")</f>
        <v/>
      </c>
      <c r="C34" s="55">
        <f>COUNTIF(Summary!$B$22:$AB$22,"PASS")</f>
        <v/>
      </c>
      <c r="D34" s="55">
        <f>COUNTIF(Summary!$B$22:$AB$22,"FAIL")</f>
        <v/>
      </c>
      <c r="E34" s="55">
        <f>COUNTIF(Summary!$B$22:$AB$22,"ERROR")</f>
        <v/>
      </c>
      <c r="F34" s="62">
        <f>IF($B34=0,0,C34/$B34)</f>
        <v/>
      </c>
      <c r="G34" s="62">
        <f>IF($B34=0,0,D34/$B34)</f>
        <v/>
      </c>
      <c r="H34" s="62">
        <f>IF($B34=0,0,E34/$B34)</f>
        <v/>
      </c>
      <c r="I34" s="55">
        <f>IF(C34=B34,"PASS",IF(E34&gt;0,"ERROR","FAIL"))</f>
        <v/>
      </c>
      <c r="J34" s="55" t="n">
        <v>3</v>
      </c>
    </row>
    <row r="35">
      <c r="A35" s="55">
        <f>Summary!A23</f>
        <v/>
      </c>
      <c r="B35" s="55">
        <f>COUNTIF(Summary!$B$23:$AB$23,"PASS")+COUNTIF(Summary!$B$23:$AB$23,"FAIL")+COUNTIF(Summary!$B$23:$AB$23,"ERROR")</f>
        <v/>
      </c>
      <c r="C35" s="55">
        <f>COUNTIF(Summary!$B$23:$AB$23,"PASS")</f>
        <v/>
      </c>
      <c r="D35" s="55">
        <f>COUNTIF(Summary!$B$23:$AB$23,"FAIL")</f>
        <v/>
      </c>
      <c r="E35" s="55">
        <f>COUNTIF(Summary!$B$23:$AB$23,"ERROR")</f>
        <v/>
      </c>
      <c r="F35" s="62">
        <f>IF($B35=0,0,C35/$B35)</f>
        <v/>
      </c>
      <c r="G35" s="62">
        <f>IF($B35=0,0,D35/$B35)</f>
        <v/>
      </c>
      <c r="H35" s="62">
        <f>IF($B35=0,0,E35/$B35)</f>
        <v/>
      </c>
      <c r="I35" s="55">
        <f>IF(C35=B35,"PASS",IF(E35&gt;0,"ERROR","FAIL"))</f>
        <v/>
      </c>
      <c r="J35" s="55" t="n">
        <v>3</v>
      </c>
    </row>
    <row r="36">
      <c r="A36" s="55">
        <f>Summary!A24</f>
        <v/>
      </c>
      <c r="B36" s="55">
        <f>COUNTIF(Summary!$B$24:$AB$24,"PASS")+COUNTIF(Summary!$B$24:$AB$24,"FAIL")+COUNTIF(Summary!$B$24:$AB$24,"ERROR")</f>
        <v/>
      </c>
      <c r="C36" s="55">
        <f>COUNTIF(Summary!$B$24:$AB$24,"PASS")</f>
        <v/>
      </c>
      <c r="D36" s="55">
        <f>COUNTIF(Summary!$B$24:$AB$24,"FAIL")</f>
        <v/>
      </c>
      <c r="E36" s="55">
        <f>COUNTIF(Summary!$B$24:$AB$24,"ERROR")</f>
        <v/>
      </c>
      <c r="F36" s="62">
        <f>IF($B36=0,0,C36/$B36)</f>
        <v/>
      </c>
      <c r="G36" s="62">
        <f>IF($B36=0,0,D36/$B36)</f>
        <v/>
      </c>
      <c r="H36" s="62">
        <f>IF($B36=0,0,E36/$B36)</f>
        <v/>
      </c>
      <c r="I36" s="55">
        <f>IF(C36=B36,"PASS",IF(E36&gt;0,"ERROR","FAIL"))</f>
        <v/>
      </c>
      <c r="J36" s="55" t="n">
        <v>3</v>
      </c>
    </row>
    <row r="37">
      <c r="A37" s="55">
        <f>Summary!A25</f>
        <v/>
      </c>
      <c r="B37" s="55">
        <f>COUNTIF(Summary!$B$25:$AB$25,"PASS")+COUNTIF(Summary!$B$25:$AB$25,"FAIL")+COUNTIF(Summary!$B$25:$AB$25,"ERROR")</f>
        <v/>
      </c>
      <c r="C37" s="55">
        <f>COUNTIF(Summary!$B$25:$AB$25,"PASS")</f>
        <v/>
      </c>
      <c r="D37" s="55">
        <f>COUNTIF(Summary!$B$25:$AB$25,"FAIL")</f>
        <v/>
      </c>
      <c r="E37" s="55">
        <f>COUNTIF(Summary!$B$25:$AB$25,"ERROR")</f>
        <v/>
      </c>
      <c r="F37" s="62">
        <f>IF($B37=0,0,C37/$B37)</f>
        <v/>
      </c>
      <c r="G37" s="62">
        <f>IF($B37=0,0,D37/$B37)</f>
        <v/>
      </c>
      <c r="H37" s="62">
        <f>IF($B37=0,0,E37/$B37)</f>
        <v/>
      </c>
      <c r="I37" s="55">
        <f>IF(C37=B37,"PASS",IF(E37&gt;0,"ERROR","FAIL"))</f>
        <v/>
      </c>
      <c r="J37" s="55" t="n">
        <v>3</v>
      </c>
    </row>
    <row r="38">
      <c r="A38" s="55">
        <f>Summary!A26</f>
        <v/>
      </c>
      <c r="B38" s="55">
        <f>COUNTIF(Summary!$B$26:$AB$26,"PASS")+COUNTIF(Summary!$B$26:$AB$26,"FAIL")+COUNTIF(Summary!$B$26:$AB$26,"ERROR")</f>
        <v/>
      </c>
      <c r="C38" s="55">
        <f>COUNTIF(Summary!$B$26:$AB$26,"PASS")</f>
        <v/>
      </c>
      <c r="D38" s="55">
        <f>COUNTIF(Summary!$B$26:$AB$26,"FAIL")</f>
        <v/>
      </c>
      <c r="E38" s="55">
        <f>COUNTIF(Summary!$B$26:$AB$26,"ERROR")</f>
        <v/>
      </c>
      <c r="F38" s="62">
        <f>IF($B38=0,0,C38/$B38)</f>
        <v/>
      </c>
      <c r="G38" s="62">
        <f>IF($B38=0,0,D38/$B38)</f>
        <v/>
      </c>
      <c r="H38" s="62">
        <f>IF($B38=0,0,E38/$B38)</f>
        <v/>
      </c>
      <c r="I38" s="55">
        <f>IF(C38=B38,"PASS",IF(E38&gt;0,"ERROR","FAIL"))</f>
        <v/>
      </c>
      <c r="J38" s="55" t="n">
        <v>3</v>
      </c>
    </row>
    <row r="39">
      <c r="A39" s="55">
        <f>Summary!A27</f>
        <v/>
      </c>
      <c r="B39" s="55">
        <f>COUNTIF(Summary!$B$27:$AB$27,"PASS")+COUNTIF(Summary!$B$27:$AB$27,"FAIL")+COUNTIF(Summary!$B$27:$AB$27,"ERROR")</f>
        <v/>
      </c>
      <c r="C39" s="55">
        <f>COUNTIF(Summary!$B$27:$AB$27,"PASS")</f>
        <v/>
      </c>
      <c r="D39" s="55">
        <f>COUNTIF(Summary!$B$27:$AB$27,"FAIL")</f>
        <v/>
      </c>
      <c r="E39" s="55">
        <f>COUNTIF(Summary!$B$27:$AB$27,"ERROR")</f>
        <v/>
      </c>
      <c r="F39" s="62">
        <f>IF($B39=0,0,C39/$B39)</f>
        <v/>
      </c>
      <c r="G39" s="62">
        <f>IF($B39=0,0,D39/$B39)</f>
        <v/>
      </c>
      <c r="H39" s="62">
        <f>IF($B39=0,0,E39/$B39)</f>
        <v/>
      </c>
      <c r="I39" s="55">
        <f>IF(C39=B39,"PASS",IF(E39&gt;0,"ERROR","FAIL"))</f>
        <v/>
      </c>
      <c r="J39" s="55" t="n">
        <v>3</v>
      </c>
    </row>
    <row r="40">
      <c r="A40" s="55">
        <f>Summary!A28</f>
        <v/>
      </c>
      <c r="B40" s="55">
        <f>COUNTIF(Summary!$B$28:$AB$28,"PASS")+COUNTIF(Summary!$B$28:$AB$28,"FAIL")+COUNTIF(Summary!$B$28:$AB$28,"ERROR")</f>
        <v/>
      </c>
      <c r="C40" s="55">
        <f>COUNTIF(Summary!$B$28:$AB$28,"PASS")</f>
        <v/>
      </c>
      <c r="D40" s="55">
        <f>COUNTIF(Summary!$B$28:$AB$28,"FAIL")</f>
        <v/>
      </c>
      <c r="E40" s="55">
        <f>COUNTIF(Summary!$B$28:$AB$28,"ERROR")</f>
        <v/>
      </c>
      <c r="F40" s="62">
        <f>IF($B40=0,0,C40/$B40)</f>
        <v/>
      </c>
      <c r="G40" s="62">
        <f>IF($B40=0,0,D40/$B40)</f>
        <v/>
      </c>
      <c r="H40" s="62">
        <f>IF($B40=0,0,E40/$B40)</f>
        <v/>
      </c>
      <c r="I40" s="55">
        <f>IF(C40=B40,"PASS",IF(E40&gt;0,"ERROR","FAIL"))</f>
        <v/>
      </c>
      <c r="J40" s="55" t="n">
        <v>3</v>
      </c>
    </row>
    <row r="41">
      <c r="A41" s="55">
        <f>Summary!A29</f>
        <v/>
      </c>
      <c r="B41" s="55">
        <f>COUNTIF(Summary!$B$29:$AB$29,"PASS")+COUNTIF(Summary!$B$29:$AB$29,"FAIL")+COUNTIF(Summary!$B$29:$AB$29,"ERROR")</f>
        <v/>
      </c>
      <c r="C41" s="55">
        <f>COUNTIF(Summary!$B$29:$AB$29,"PASS")</f>
        <v/>
      </c>
      <c r="D41" s="55">
        <f>COUNTIF(Summary!$B$29:$AB$29,"FAIL")</f>
        <v/>
      </c>
      <c r="E41" s="55">
        <f>COUNTIF(Summary!$B$29:$AB$29,"ERROR")</f>
        <v/>
      </c>
      <c r="F41" s="62">
        <f>IF($B41=0,0,C41/$B41)</f>
        <v/>
      </c>
      <c r="G41" s="62">
        <f>IF($B41=0,0,D41/$B41)</f>
        <v/>
      </c>
      <c r="H41" s="62">
        <f>IF($B41=0,0,E41/$B41)</f>
        <v/>
      </c>
      <c r="I41" s="55">
        <f>IF(C41=B41,"PASS",IF(E41&gt;0,"ERROR","FAIL"))</f>
        <v/>
      </c>
      <c r="J41" s="55" t="n">
        <v>3</v>
      </c>
    </row>
    <row r="42">
      <c r="A42" s="55">
        <f>Summary!A30</f>
        <v/>
      </c>
      <c r="B42" s="55">
        <f>COUNTIF(Summary!$B$30:$AB$30,"PASS")+COUNTIF(Summary!$B$30:$AB$30,"FAIL")+COUNTIF(Summary!$B$30:$AB$30,"ERROR")</f>
        <v/>
      </c>
      <c r="C42" s="55">
        <f>COUNTIF(Summary!$B$30:$AB$30,"PASS")</f>
        <v/>
      </c>
      <c r="D42" s="55">
        <f>COUNTIF(Summary!$B$30:$AB$30,"FAIL")</f>
        <v/>
      </c>
      <c r="E42" s="55">
        <f>COUNTIF(Summary!$B$30:$AB$30,"ERROR")</f>
        <v/>
      </c>
      <c r="F42" s="62">
        <f>IF($B42=0,0,C42/$B42)</f>
        <v/>
      </c>
      <c r="G42" s="62">
        <f>IF($B42=0,0,D42/$B42)</f>
        <v/>
      </c>
      <c r="H42" s="62">
        <f>IF($B42=0,0,E42/$B42)</f>
        <v/>
      </c>
      <c r="I42" s="55">
        <f>IF(C42=B42,"PASS",IF(E42&gt;0,"ERROR","FAIL"))</f>
        <v/>
      </c>
      <c r="J42" s="55" t="n">
        <v>3</v>
      </c>
    </row>
    <row r="43">
      <c r="A43" s="55">
        <f>Summary!A31</f>
        <v/>
      </c>
      <c r="B43" s="55">
        <f>COUNTIF(Summary!$B$31:$AB$31,"PASS")+COUNTIF(Summary!$B$31:$AB$31,"FAIL")+COUNTIF(Summary!$B$31:$AB$31,"ERROR")</f>
        <v/>
      </c>
      <c r="C43" s="55">
        <f>COUNTIF(Summary!$B$31:$AB$31,"PASS")</f>
        <v/>
      </c>
      <c r="D43" s="55">
        <f>COUNTIF(Summary!$B$31:$AB$31,"FAIL")</f>
        <v/>
      </c>
      <c r="E43" s="55">
        <f>COUNTIF(Summary!$B$31:$AB$31,"ERROR")</f>
        <v/>
      </c>
      <c r="F43" s="62">
        <f>IF($B43=0,0,C43/$B43)</f>
        <v/>
      </c>
      <c r="G43" s="62">
        <f>IF($B43=0,0,D43/$B43)</f>
        <v/>
      </c>
      <c r="H43" s="62">
        <f>IF($B43=0,0,E43/$B43)</f>
        <v/>
      </c>
      <c r="I43" s="55">
        <f>IF(C43=B43,"PASS",IF(E43&gt;0,"ERROR","FAIL"))</f>
        <v/>
      </c>
      <c r="J43" s="55" t="n">
        <v>3</v>
      </c>
    </row>
    <row r="44">
      <c r="A44" s="55">
        <f>Summary!A32</f>
        <v/>
      </c>
      <c r="B44" s="55">
        <f>COUNTIF(Summary!$B$32:$AB$32,"PASS")+COUNTIF(Summary!$B$32:$AB$32,"FAIL")+COUNTIF(Summary!$B$32:$AB$32,"ERROR")</f>
        <v/>
      </c>
      <c r="C44" s="55">
        <f>COUNTIF(Summary!$B$32:$AB$32,"PASS")</f>
        <v/>
      </c>
      <c r="D44" s="55">
        <f>COUNTIF(Summary!$B$32:$AB$32,"FAIL")</f>
        <v/>
      </c>
      <c r="E44" s="55">
        <f>COUNTIF(Summary!$B$32:$AB$32,"ERROR")</f>
        <v/>
      </c>
      <c r="F44" s="62">
        <f>IF($B44=0,0,C44/$B44)</f>
        <v/>
      </c>
      <c r="G44" s="62">
        <f>IF($B44=0,0,D44/$B44)</f>
        <v/>
      </c>
      <c r="H44" s="62">
        <f>IF($B44=0,0,E44/$B44)</f>
        <v/>
      </c>
      <c r="I44" s="55">
        <f>IF(C44=B44,"PASS",IF(E44&gt;0,"ERROR","FAIL"))</f>
        <v/>
      </c>
      <c r="J44" s="55" t="n">
        <v>4</v>
      </c>
    </row>
    <row r="45">
      <c r="A45" s="55">
        <f>Summary!A33</f>
        <v/>
      </c>
      <c r="B45" s="55">
        <f>COUNTIF(Summary!$B$33:$AB$33,"PASS")+COUNTIF(Summary!$B$33:$AB$33,"FAIL")+COUNTIF(Summary!$B$33:$AB$33,"ERROR")</f>
        <v/>
      </c>
      <c r="C45" s="55">
        <f>COUNTIF(Summary!$B$33:$AB$33,"PASS")</f>
        <v/>
      </c>
      <c r="D45" s="55">
        <f>COUNTIF(Summary!$B$33:$AB$33,"FAIL")</f>
        <v/>
      </c>
      <c r="E45" s="55">
        <f>COUNTIF(Summary!$B$33:$AB$33,"ERROR")</f>
        <v/>
      </c>
      <c r="F45" s="62">
        <f>IF($B45=0,0,C45/$B45)</f>
        <v/>
      </c>
      <c r="G45" s="62">
        <f>IF($B45=0,0,D45/$B45)</f>
        <v/>
      </c>
      <c r="H45" s="62">
        <f>IF($B45=0,0,E45/$B45)</f>
        <v/>
      </c>
      <c r="I45" s="55">
        <f>IF(C45=B45,"PASS",IF(E45&gt;0,"ERROR","FAIL"))</f>
        <v/>
      </c>
      <c r="J45" s="55" t="n">
        <v>4</v>
      </c>
    </row>
    <row r="46">
      <c r="A46" s="55">
        <f>Summary!A34</f>
        <v/>
      </c>
      <c r="B46" s="55">
        <f>COUNTIF(Summary!$B$34:$AB$34,"PASS")+COUNTIF(Summary!$B$34:$AB$34,"FAIL")+COUNTIF(Summary!$B$34:$AB$34,"ERROR")</f>
        <v/>
      </c>
      <c r="C46" s="55">
        <f>COUNTIF(Summary!$B$34:$AB$34,"PASS")</f>
        <v/>
      </c>
      <c r="D46" s="55">
        <f>COUNTIF(Summary!$B$34:$AB$34,"FAIL")</f>
        <v/>
      </c>
      <c r="E46" s="55">
        <f>COUNTIF(Summary!$B$34:$AB$34,"ERROR")</f>
        <v/>
      </c>
      <c r="F46" s="62">
        <f>IF($B46=0,0,C46/$B46)</f>
        <v/>
      </c>
      <c r="G46" s="62">
        <f>IF($B46=0,0,D46/$B46)</f>
        <v/>
      </c>
      <c r="H46" s="62">
        <f>IF($B46=0,0,E46/$B46)</f>
        <v/>
      </c>
      <c r="I46" s="55">
        <f>IF(C46=B46,"PASS",IF(E46&gt;0,"ERROR","FAIL"))</f>
        <v/>
      </c>
      <c r="J46" s="55" t="n">
        <v>4</v>
      </c>
    </row>
    <row r="47">
      <c r="A47" s="55">
        <f>Summary!A35</f>
        <v/>
      </c>
      <c r="B47" s="55">
        <f>COUNTIF(Summary!$B$35:$AB$35,"PASS")+COUNTIF(Summary!$B$35:$AB$35,"FAIL")+COUNTIF(Summary!$B$35:$AB$35,"ERROR")</f>
        <v/>
      </c>
      <c r="C47" s="55">
        <f>COUNTIF(Summary!$B$35:$AB$35,"PASS")</f>
        <v/>
      </c>
      <c r="D47" s="55">
        <f>COUNTIF(Summary!$B$35:$AB$35,"FAIL")</f>
        <v/>
      </c>
      <c r="E47" s="55">
        <f>COUNTIF(Summary!$B$35:$AB$35,"ERROR")</f>
        <v/>
      </c>
      <c r="F47" s="62">
        <f>IF($B47=0,0,C47/$B47)</f>
        <v/>
      </c>
      <c r="G47" s="62">
        <f>IF($B47=0,0,D47/$B47)</f>
        <v/>
      </c>
      <c r="H47" s="62">
        <f>IF($B47=0,0,E47/$B47)</f>
        <v/>
      </c>
      <c r="I47" s="55">
        <f>IF(C47=B47,"PASS",IF(E47&gt;0,"ERROR","FAIL"))</f>
        <v/>
      </c>
      <c r="J47" s="55" t="n">
        <v>4</v>
      </c>
    </row>
    <row r="48">
      <c r="A48" s="55">
        <f>Summary!A36</f>
        <v/>
      </c>
      <c r="B48" s="55">
        <f>COUNTIF(Summary!$B$36:$AB$36,"PASS")+COUNTIF(Summary!$B$36:$AB$36,"FAIL")+COUNTIF(Summary!$B$36:$AB$36,"ERROR")</f>
        <v/>
      </c>
      <c r="C48" s="55">
        <f>COUNTIF(Summary!$B$36:$AB$36,"PASS")</f>
        <v/>
      </c>
      <c r="D48" s="55">
        <f>COUNTIF(Summary!$B$36:$AB$36,"FAIL")</f>
        <v/>
      </c>
      <c r="E48" s="55">
        <f>COUNTIF(Summary!$B$36:$AB$36,"ERROR")</f>
        <v/>
      </c>
      <c r="F48" s="62">
        <f>IF($B48=0,0,C48/$B48)</f>
        <v/>
      </c>
      <c r="G48" s="62">
        <f>IF($B48=0,0,D48/$B48)</f>
        <v/>
      </c>
      <c r="H48" s="62">
        <f>IF($B48=0,0,E48/$B48)</f>
        <v/>
      </c>
      <c r="I48" s="55">
        <f>IF(C48=B48,"PASS",IF(E48&gt;0,"ERROR","FAIL"))</f>
        <v/>
      </c>
      <c r="J48" s="55" t="n">
        <v>4</v>
      </c>
    </row>
    <row r="49">
      <c r="A49" s="55">
        <f>Summary!A37</f>
        <v/>
      </c>
      <c r="B49" s="55">
        <f>COUNTIF(Summary!$B$37:$AB$37,"PASS")+COUNTIF(Summary!$B$37:$AB$37,"FAIL")+COUNTIF(Summary!$B$37:$AB$37,"ERROR")</f>
        <v/>
      </c>
      <c r="C49" s="55">
        <f>COUNTIF(Summary!$B$37:$AB$37,"PASS")</f>
        <v/>
      </c>
      <c r="D49" s="55">
        <f>COUNTIF(Summary!$B$37:$AB$37,"FAIL")</f>
        <v/>
      </c>
      <c r="E49" s="55">
        <f>COUNTIF(Summary!$B$37:$AB$37,"ERROR")</f>
        <v/>
      </c>
      <c r="F49" s="62">
        <f>IF($B49=0,0,C49/$B49)</f>
        <v/>
      </c>
      <c r="G49" s="62">
        <f>IF($B49=0,0,D49/$B49)</f>
        <v/>
      </c>
      <c r="H49" s="62">
        <f>IF($B49=0,0,E49/$B49)</f>
        <v/>
      </c>
      <c r="I49" s="55">
        <f>IF(C49=B49,"PASS",IF(E49&gt;0,"ERROR","FAIL"))</f>
        <v/>
      </c>
      <c r="J49" s="55" t="n">
        <v>4</v>
      </c>
    </row>
    <row r="50">
      <c r="A50" s="55">
        <f>Summary!A38</f>
        <v/>
      </c>
      <c r="B50" s="55">
        <f>COUNTIF(Summary!$B$38:$AB$38,"PASS")+COUNTIF(Summary!$B$38:$AB$38,"FAIL")+COUNTIF(Summary!$B$38:$AB$38,"ERROR")</f>
        <v/>
      </c>
      <c r="C50" s="55">
        <f>COUNTIF(Summary!$B$38:$AB$38,"PASS")</f>
        <v/>
      </c>
      <c r="D50" s="55">
        <f>COUNTIF(Summary!$B$38:$AB$38,"FAIL")</f>
        <v/>
      </c>
      <c r="E50" s="55">
        <f>COUNTIF(Summary!$B$38:$AB$38,"ERROR")</f>
        <v/>
      </c>
      <c r="F50" s="62">
        <f>IF($B50=0,0,C50/$B50)</f>
        <v/>
      </c>
      <c r="G50" s="62">
        <f>IF($B50=0,0,D50/$B50)</f>
        <v/>
      </c>
      <c r="H50" s="62">
        <f>IF($B50=0,0,E50/$B50)</f>
        <v/>
      </c>
      <c r="I50" s="55">
        <f>IF(C50=B50,"PASS",IF(E50&gt;0,"ERROR","FAIL"))</f>
        <v/>
      </c>
      <c r="J50" s="55" t="n">
        <v>4</v>
      </c>
    </row>
    <row r="51">
      <c r="A51" s="55">
        <f>Summary!A39</f>
        <v/>
      </c>
      <c r="B51" s="55">
        <f>COUNTIF(Summary!$B$39:$AB$39,"PASS")+COUNTIF(Summary!$B$39:$AB$39,"FAIL")+COUNTIF(Summary!$B$39:$AB$39,"ERROR")</f>
        <v/>
      </c>
      <c r="C51" s="55">
        <f>COUNTIF(Summary!$B$39:$AB$39,"PASS")</f>
        <v/>
      </c>
      <c r="D51" s="55">
        <f>COUNTIF(Summary!$B$39:$AB$39,"FAIL")</f>
        <v/>
      </c>
      <c r="E51" s="55">
        <f>COUNTIF(Summary!$B$39:$AB$39,"ERROR")</f>
        <v/>
      </c>
      <c r="F51" s="62">
        <f>IF($B51=0,0,C51/$B51)</f>
        <v/>
      </c>
      <c r="G51" s="62">
        <f>IF($B51=0,0,D51/$B51)</f>
        <v/>
      </c>
      <c r="H51" s="62">
        <f>IF($B51=0,0,E51/$B51)</f>
        <v/>
      </c>
      <c r="I51" s="55">
        <f>IF(C51=B51,"PASS",IF(E51&gt;0,"ERROR","FAIL"))</f>
        <v/>
      </c>
      <c r="J51" s="55" t="n">
        <v>4</v>
      </c>
    </row>
    <row r="52">
      <c r="A52" s="55">
        <f>Summary!A40</f>
        <v/>
      </c>
      <c r="B52" s="55">
        <f>COUNTIF(Summary!$B$40:$AB$40,"PASS")+COUNTIF(Summary!$B$40:$AB$40,"FAIL")+COUNTIF(Summary!$B$40:$AB$40,"ERROR")</f>
        <v/>
      </c>
      <c r="C52" s="55">
        <f>COUNTIF(Summary!$B$40:$AB$40,"PASS")</f>
        <v/>
      </c>
      <c r="D52" s="55">
        <f>COUNTIF(Summary!$B$40:$AB$40,"FAIL")</f>
        <v/>
      </c>
      <c r="E52" s="55">
        <f>COUNTIF(Summary!$B$40:$AB$40,"ERROR")</f>
        <v/>
      </c>
      <c r="F52" s="62">
        <f>IF($B52=0,0,C52/$B52)</f>
        <v/>
      </c>
      <c r="G52" s="62">
        <f>IF($B52=0,0,D52/$B52)</f>
        <v/>
      </c>
      <c r="H52" s="62">
        <f>IF($B52=0,0,E52/$B52)</f>
        <v/>
      </c>
      <c r="I52" s="55">
        <f>IF(C52=B52,"PASS",IF(E52&gt;0,"ERROR","FAIL"))</f>
        <v/>
      </c>
      <c r="J52" s="55" t="n">
        <v>4</v>
      </c>
    </row>
    <row r="53">
      <c r="A53" s="55">
        <f>Summary!A41</f>
        <v/>
      </c>
      <c r="B53" s="55">
        <f>COUNTIF(Summary!$B$41:$AB$41,"PASS")+COUNTIF(Summary!$B$41:$AB$41,"FAIL")+COUNTIF(Summary!$B$41:$AB$41,"ERROR")</f>
        <v/>
      </c>
      <c r="C53" s="55">
        <f>COUNTIF(Summary!$B$41:$AB$41,"PASS")</f>
        <v/>
      </c>
      <c r="D53" s="55">
        <f>COUNTIF(Summary!$B$41:$AB$41,"FAIL")</f>
        <v/>
      </c>
      <c r="E53" s="55">
        <f>COUNTIF(Summary!$B$41:$AB$41,"ERROR")</f>
        <v/>
      </c>
      <c r="F53" s="62">
        <f>IF($B53=0,0,C53/$B53)</f>
        <v/>
      </c>
      <c r="G53" s="62">
        <f>IF($B53=0,0,D53/$B53)</f>
        <v/>
      </c>
      <c r="H53" s="62">
        <f>IF($B53=0,0,E53/$B53)</f>
        <v/>
      </c>
      <c r="I53" s="55">
        <f>IF(C53=B53,"PASS",IF(E53&gt;0,"ERROR","FAIL"))</f>
        <v/>
      </c>
      <c r="J53" s="55" t="n">
        <v>4</v>
      </c>
    </row>
    <row r="54">
      <c r="A54" s="55">
        <f>Summary!A42</f>
        <v/>
      </c>
      <c r="B54" s="55">
        <f>COUNTIF(Summary!$B$42:$AB$42,"PASS")+COUNTIF(Summary!$B$42:$AB$42,"FAIL")+COUNTIF(Summary!$B$42:$AB$42,"ERROR")</f>
        <v/>
      </c>
      <c r="C54" s="55">
        <f>COUNTIF(Summary!$B$42:$AB$42,"PASS")</f>
        <v/>
      </c>
      <c r="D54" s="55">
        <f>COUNTIF(Summary!$B$42:$AB$42,"FAIL")</f>
        <v/>
      </c>
      <c r="E54" s="55">
        <f>COUNTIF(Summary!$B$42:$AB$42,"ERROR")</f>
        <v/>
      </c>
      <c r="F54" s="62">
        <f>IF($B54=0,0,C54/$B54)</f>
        <v/>
      </c>
      <c r="G54" s="62">
        <f>IF($B54=0,0,D54/$B54)</f>
        <v/>
      </c>
      <c r="H54" s="62">
        <f>IF($B54=0,0,E54/$B54)</f>
        <v/>
      </c>
      <c r="I54" s="55">
        <f>IF(C54=B54,"PASS",IF(E54&gt;0,"ERROR","FAIL"))</f>
        <v/>
      </c>
      <c r="J54" s="55" t="n">
        <v>5</v>
      </c>
    </row>
    <row r="55">
      <c r="A55" s="55">
        <f>Summary!A43</f>
        <v/>
      </c>
      <c r="B55" s="55">
        <f>COUNTIF(Summary!$B$43:$AB$43,"PASS")+COUNTIF(Summary!$B$43:$AB$43,"FAIL")+COUNTIF(Summary!$B$43:$AB$43,"ERROR")</f>
        <v/>
      </c>
      <c r="C55" s="55">
        <f>COUNTIF(Summary!$B$43:$AB$43,"PASS")</f>
        <v/>
      </c>
      <c r="D55" s="55">
        <f>COUNTIF(Summary!$B$43:$AB$43,"FAIL")</f>
        <v/>
      </c>
      <c r="E55" s="55">
        <f>COUNTIF(Summary!$B$43:$AB$43,"ERROR")</f>
        <v/>
      </c>
      <c r="F55" s="62">
        <f>IF($B55=0,0,C55/$B55)</f>
        <v/>
      </c>
      <c r="G55" s="62">
        <f>IF($B55=0,0,D55/$B55)</f>
        <v/>
      </c>
      <c r="H55" s="62">
        <f>IF($B55=0,0,E55/$B55)</f>
        <v/>
      </c>
      <c r="I55" s="55">
        <f>IF(C55=B55,"PASS",IF(E55&gt;0,"ERROR","FAIL"))</f>
        <v/>
      </c>
      <c r="J55" s="55" t="n">
        <v>5</v>
      </c>
    </row>
    <row r="56">
      <c r="A56" s="55">
        <f>Summary!A44</f>
        <v/>
      </c>
      <c r="B56" s="55">
        <f>COUNTIF(Summary!$B$44:$AB$44,"PASS")+COUNTIF(Summary!$B$44:$AB$44,"FAIL")+COUNTIF(Summary!$B$44:$AB$44,"ERROR")</f>
        <v/>
      </c>
      <c r="C56" s="55">
        <f>COUNTIF(Summary!$B$44:$AB$44,"PASS")</f>
        <v/>
      </c>
      <c r="D56" s="55">
        <f>COUNTIF(Summary!$B$44:$AB$44,"FAIL")</f>
        <v/>
      </c>
      <c r="E56" s="55">
        <f>COUNTIF(Summary!$B$44:$AB$44,"ERROR")</f>
        <v/>
      </c>
      <c r="F56" s="62">
        <f>IF($B56=0,0,C56/$B56)</f>
        <v/>
      </c>
      <c r="G56" s="62">
        <f>IF($B56=0,0,D56/$B56)</f>
        <v/>
      </c>
      <c r="H56" s="62">
        <f>IF($B56=0,0,E56/$B56)</f>
        <v/>
      </c>
      <c r="I56" s="55">
        <f>IF(C56=B56,"PASS",IF(E56&gt;0,"ERROR","FAIL"))</f>
        <v/>
      </c>
      <c r="J56" s="55" t="n">
        <v>5</v>
      </c>
    </row>
    <row r="57">
      <c r="A57" s="55">
        <f>Summary!A45</f>
        <v/>
      </c>
      <c r="B57" s="55">
        <f>COUNTIF(Summary!$B$45:$AB$45,"PASS")+COUNTIF(Summary!$B$45:$AB$45,"FAIL")+COUNTIF(Summary!$B$45:$AB$45,"ERROR")</f>
        <v/>
      </c>
      <c r="C57" s="55">
        <f>COUNTIF(Summary!$B$45:$AB$45,"PASS")</f>
        <v/>
      </c>
      <c r="D57" s="55">
        <f>COUNTIF(Summary!$B$45:$AB$45,"FAIL")</f>
        <v/>
      </c>
      <c r="E57" s="55">
        <f>COUNTIF(Summary!$B$45:$AB$45,"ERROR")</f>
        <v/>
      </c>
      <c r="F57" s="62">
        <f>IF($B57=0,0,C57/$B57)</f>
        <v/>
      </c>
      <c r="G57" s="62">
        <f>IF($B57=0,0,D57/$B57)</f>
        <v/>
      </c>
      <c r="H57" s="62">
        <f>IF($B57=0,0,E57/$B57)</f>
        <v/>
      </c>
      <c r="I57" s="55">
        <f>IF(C57=B57,"PASS",IF(E57&gt;0,"ERROR","FAIL"))</f>
        <v/>
      </c>
      <c r="J57" s="55" t="n">
        <v>5</v>
      </c>
    </row>
    <row r="58">
      <c r="A58" s="55">
        <f>Summary!A46</f>
        <v/>
      </c>
      <c r="B58" s="55">
        <f>COUNTIF(Summary!$B$46:$AB$46,"PASS")+COUNTIF(Summary!$B$46:$AB$46,"FAIL")+COUNTIF(Summary!$B$46:$AB$46,"ERROR")</f>
        <v/>
      </c>
      <c r="C58" s="55">
        <f>COUNTIF(Summary!$B$46:$AB$46,"PASS")</f>
        <v/>
      </c>
      <c r="D58" s="55">
        <f>COUNTIF(Summary!$B$46:$AB$46,"FAIL")</f>
        <v/>
      </c>
      <c r="E58" s="55">
        <f>COUNTIF(Summary!$B$46:$AB$46,"ERROR")</f>
        <v/>
      </c>
      <c r="F58" s="62">
        <f>IF($B58=0,0,C58/$B58)</f>
        <v/>
      </c>
      <c r="G58" s="62">
        <f>IF($B58=0,0,D58/$B58)</f>
        <v/>
      </c>
      <c r="H58" s="62">
        <f>IF($B58=0,0,E58/$B58)</f>
        <v/>
      </c>
      <c r="I58" s="55">
        <f>IF(C58=B58,"PASS",IF(E58&gt;0,"ERROR","FAIL"))</f>
        <v/>
      </c>
      <c r="J58" s="55" t="n">
        <v>5</v>
      </c>
    </row>
    <row r="59">
      <c r="A59" s="55">
        <f>Summary!A47</f>
        <v/>
      </c>
      <c r="B59" s="55">
        <f>COUNTIF(Summary!$B$47:$AB$47,"PASS")+COUNTIF(Summary!$B$47:$AB$47,"FAIL")+COUNTIF(Summary!$B$47:$AB$47,"ERROR")</f>
        <v/>
      </c>
      <c r="C59" s="55">
        <f>COUNTIF(Summary!$B$47:$AB$47,"PASS")</f>
        <v/>
      </c>
      <c r="D59" s="55">
        <f>COUNTIF(Summary!$B$47:$AB$47,"FAIL")</f>
        <v/>
      </c>
      <c r="E59" s="55">
        <f>COUNTIF(Summary!$B$47:$AB$47,"ERROR")</f>
        <v/>
      </c>
      <c r="F59" s="62">
        <f>IF($B59=0,0,C59/$B59)</f>
        <v/>
      </c>
      <c r="G59" s="62">
        <f>IF($B59=0,0,D59/$B59)</f>
        <v/>
      </c>
      <c r="H59" s="62">
        <f>IF($B59=0,0,E59/$B59)</f>
        <v/>
      </c>
      <c r="I59" s="55">
        <f>IF(C59=B59,"PASS",IF(E59&gt;0,"ERROR","FAIL"))</f>
        <v/>
      </c>
      <c r="J59" s="55" t="n">
        <v>5</v>
      </c>
    </row>
    <row r="60">
      <c r="A60" s="55">
        <f>Summary!A48</f>
        <v/>
      </c>
      <c r="B60" s="55">
        <f>COUNTIF(Summary!$B$48:$AB$48,"PASS")+COUNTIF(Summary!$B$48:$AB$48,"FAIL")+COUNTIF(Summary!$B$48:$AB$48,"ERROR")</f>
        <v/>
      </c>
      <c r="C60" s="55">
        <f>COUNTIF(Summary!$B$48:$AB$48,"PASS")</f>
        <v/>
      </c>
      <c r="D60" s="55">
        <f>COUNTIF(Summary!$B$48:$AB$48,"FAIL")</f>
        <v/>
      </c>
      <c r="E60" s="55">
        <f>COUNTIF(Summary!$B$48:$AB$48,"ERROR")</f>
        <v/>
      </c>
      <c r="F60" s="62">
        <f>IF($B60=0,0,C60/$B60)</f>
        <v/>
      </c>
      <c r="G60" s="62">
        <f>IF($B60=0,0,D60/$B60)</f>
        <v/>
      </c>
      <c r="H60" s="62">
        <f>IF($B60=0,0,E60/$B60)</f>
        <v/>
      </c>
      <c r="I60" s="55">
        <f>IF(C60=B60,"PASS",IF(E60&gt;0,"ERROR","FAIL"))</f>
        <v/>
      </c>
      <c r="J60" s="55" t="n">
        <v>5</v>
      </c>
    </row>
    <row r="61">
      <c r="A61" s="55">
        <f>Summary!A49</f>
        <v/>
      </c>
      <c r="B61" s="55">
        <f>COUNTIF(Summary!$B$49:$AB$49,"PASS")+COUNTIF(Summary!$B$49:$AB$49,"FAIL")+COUNTIF(Summary!$B$49:$AB$49,"ERROR")</f>
        <v/>
      </c>
      <c r="C61" s="55">
        <f>COUNTIF(Summary!$B$49:$AB$49,"PASS")</f>
        <v/>
      </c>
      <c r="D61" s="55">
        <f>COUNTIF(Summary!$B$49:$AB$49,"FAIL")</f>
        <v/>
      </c>
      <c r="E61" s="55">
        <f>COUNTIF(Summary!$B$49:$AB$49,"ERROR")</f>
        <v/>
      </c>
      <c r="F61" s="62">
        <f>IF($B61=0,0,C61/$B61)</f>
        <v/>
      </c>
      <c r="G61" s="62">
        <f>IF($B61=0,0,D61/$B61)</f>
        <v/>
      </c>
      <c r="H61" s="62">
        <f>IF($B61=0,0,E61/$B61)</f>
        <v/>
      </c>
      <c r="I61" s="55">
        <f>IF(C61=B61,"PASS",IF(E61&gt;0,"ERROR","FAIL"))</f>
        <v/>
      </c>
      <c r="J61" s="55" t="n">
        <v>5</v>
      </c>
    </row>
    <row r="62">
      <c r="A62" s="55">
        <f>Summary!A50</f>
        <v/>
      </c>
      <c r="B62" s="55">
        <f>COUNTIF(Summary!$B$50:$AB$50,"PASS")+COUNTIF(Summary!$B$50:$AB$50,"FAIL")+COUNTIF(Summary!$B$50:$AB$50,"ERROR")</f>
        <v/>
      </c>
      <c r="C62" s="55">
        <f>COUNTIF(Summary!$B$50:$AB$50,"PASS")</f>
        <v/>
      </c>
      <c r="D62" s="55">
        <f>COUNTIF(Summary!$B$50:$AB$50,"FAIL")</f>
        <v/>
      </c>
      <c r="E62" s="55">
        <f>COUNTIF(Summary!$B$50:$AB$50,"ERROR")</f>
        <v/>
      </c>
      <c r="F62" s="62">
        <f>IF($B62=0,0,C62/$B62)</f>
        <v/>
      </c>
      <c r="G62" s="62">
        <f>IF($B62=0,0,D62/$B62)</f>
        <v/>
      </c>
      <c r="H62" s="62">
        <f>IF($B62=0,0,E62/$B62)</f>
        <v/>
      </c>
      <c r="I62" s="55">
        <f>IF(C62=B62,"PASS",IF(E62&gt;0,"ERROR","FAIL"))</f>
        <v/>
      </c>
      <c r="J62" s="55" t="n">
        <v>5</v>
      </c>
    </row>
    <row r="63">
      <c r="A63" s="55">
        <f>Summary!A51</f>
        <v/>
      </c>
      <c r="B63" s="55">
        <f>COUNTIF(Summary!$B$51:$AB$51,"PASS")+COUNTIF(Summary!$B$51:$AB$51,"FAIL")+COUNTIF(Summary!$B$51:$AB$51,"ERROR")</f>
        <v/>
      </c>
      <c r="C63" s="55">
        <f>COUNTIF(Summary!$B$51:$AB$51,"PASS")</f>
        <v/>
      </c>
      <c r="D63" s="55">
        <f>COUNTIF(Summary!$B$51:$AB$51,"FAIL")</f>
        <v/>
      </c>
      <c r="E63" s="55">
        <f>COUNTIF(Summary!$B$51:$AB$51,"ERROR")</f>
        <v/>
      </c>
      <c r="F63" s="62">
        <f>IF($B63=0,0,C63/$B63)</f>
        <v/>
      </c>
      <c r="G63" s="62">
        <f>IF($B63=0,0,D63/$B63)</f>
        <v/>
      </c>
      <c r="H63" s="62">
        <f>IF($B63=0,0,E63/$B63)</f>
        <v/>
      </c>
      <c r="I63" s="55">
        <f>IF(C63=B63,"PASS",IF(E63&gt;0,"ERROR","FAIL"))</f>
        <v/>
      </c>
      <c r="J63" s="55" t="n">
        <v>5</v>
      </c>
    </row>
    <row r="64">
      <c r="A64" s="55">
        <f>Summary!A52</f>
        <v/>
      </c>
      <c r="B64" s="55">
        <f>COUNTIF(Summary!$B$52:$AB$52,"PASS")+COUNTIF(Summary!$B$52:$AB$52,"FAIL")+COUNTIF(Summary!$B$52:$AB$52,"ERROR")</f>
        <v/>
      </c>
      <c r="C64" s="55">
        <f>COUNTIF(Summary!$B$52:$AB$52,"PASS")</f>
        <v/>
      </c>
      <c r="D64" s="55">
        <f>COUNTIF(Summary!$B$52:$AB$52,"FAIL")</f>
        <v/>
      </c>
      <c r="E64" s="55">
        <f>COUNTIF(Summary!$B$52:$AB$52,"ERROR")</f>
        <v/>
      </c>
      <c r="F64" s="62">
        <f>IF($B64=0,0,C64/$B64)</f>
        <v/>
      </c>
      <c r="G64" s="62">
        <f>IF($B64=0,0,D64/$B64)</f>
        <v/>
      </c>
      <c r="H64" s="62">
        <f>IF($B64=0,0,E64/$B64)</f>
        <v/>
      </c>
      <c r="I64" s="55">
        <f>IF(C64=B64,"PASS",IF(E64&gt;0,"ERROR","FAIL"))</f>
        <v/>
      </c>
      <c r="J64" s="55" t="n">
        <v>6</v>
      </c>
    </row>
    <row r="65">
      <c r="A65" s="55">
        <f>Summary!A53</f>
        <v/>
      </c>
      <c r="B65" s="55">
        <f>COUNTIF(Summary!$B$53:$AB$53,"PASS")+COUNTIF(Summary!$B$53:$AB$53,"FAIL")+COUNTIF(Summary!$B$53:$AB$53,"ERROR")</f>
        <v/>
      </c>
      <c r="C65" s="55">
        <f>COUNTIF(Summary!$B$53:$AB$53,"PASS")</f>
        <v/>
      </c>
      <c r="D65" s="55">
        <f>COUNTIF(Summary!$B$53:$AB$53,"FAIL")</f>
        <v/>
      </c>
      <c r="E65" s="55">
        <f>COUNTIF(Summary!$B$53:$AB$53,"ERROR")</f>
        <v/>
      </c>
      <c r="F65" s="62">
        <f>IF($B65=0,0,C65/$B65)</f>
        <v/>
      </c>
      <c r="G65" s="62">
        <f>IF($B65=0,0,D65/$B65)</f>
        <v/>
      </c>
      <c r="H65" s="62">
        <f>IF($B65=0,0,E65/$B65)</f>
        <v/>
      </c>
      <c r="I65" s="55">
        <f>IF(C65=B65,"PASS",IF(E65&gt;0,"ERROR","FAIL"))</f>
        <v/>
      </c>
      <c r="J65" s="55" t="n">
        <v>6</v>
      </c>
    </row>
    <row r="66">
      <c r="A66" s="55">
        <f>Summary!A54</f>
        <v/>
      </c>
      <c r="B66" s="55">
        <f>COUNTIF(Summary!$B$54:$AB$54,"PASS")+COUNTIF(Summary!$B$54:$AB$54,"FAIL")+COUNTIF(Summary!$B$54:$AB$54,"ERROR")</f>
        <v/>
      </c>
      <c r="C66" s="55">
        <f>COUNTIF(Summary!$B$54:$AB$54,"PASS")</f>
        <v/>
      </c>
      <c r="D66" s="55">
        <f>COUNTIF(Summary!$B$54:$AB$54,"FAIL")</f>
        <v/>
      </c>
      <c r="E66" s="55">
        <f>COUNTIF(Summary!$B$54:$AB$54,"ERROR")</f>
        <v/>
      </c>
      <c r="F66" s="62">
        <f>IF($B66=0,0,C66/$B66)</f>
        <v/>
      </c>
      <c r="G66" s="62">
        <f>IF($B66=0,0,D66/$B66)</f>
        <v/>
      </c>
      <c r="H66" s="62">
        <f>IF($B66=0,0,E66/$B66)</f>
        <v/>
      </c>
      <c r="I66" s="55">
        <f>IF(C66=B66,"PASS",IF(E66&gt;0,"ERROR","FAIL"))</f>
        <v/>
      </c>
      <c r="J66" s="55" t="n">
        <v>6</v>
      </c>
    </row>
    <row r="67">
      <c r="A67" s="55">
        <f>Summary!A55</f>
        <v/>
      </c>
      <c r="B67" s="55">
        <f>COUNTIF(Summary!$B$55:$AB$55,"PASS")+COUNTIF(Summary!$B$55:$AB$55,"FAIL")+COUNTIF(Summary!$B$55:$AB$55,"ERROR")</f>
        <v/>
      </c>
      <c r="C67" s="55">
        <f>COUNTIF(Summary!$B$55:$AB$55,"PASS")</f>
        <v/>
      </c>
      <c r="D67" s="55">
        <f>COUNTIF(Summary!$B$55:$AB$55,"FAIL")</f>
        <v/>
      </c>
      <c r="E67" s="55">
        <f>COUNTIF(Summary!$B$55:$AB$55,"ERROR")</f>
        <v/>
      </c>
      <c r="F67" s="62">
        <f>IF($B67=0,0,C67/$B67)</f>
        <v/>
      </c>
      <c r="G67" s="62">
        <f>IF($B67=0,0,D67/$B67)</f>
        <v/>
      </c>
      <c r="H67" s="62">
        <f>IF($B67=0,0,E67/$B67)</f>
        <v/>
      </c>
      <c r="I67" s="55">
        <f>IF(C67=B67,"PASS",IF(E67&gt;0,"ERROR","FAIL"))</f>
        <v/>
      </c>
      <c r="J67" s="55" t="n">
        <v>6</v>
      </c>
    </row>
    <row r="68">
      <c r="A68" s="55">
        <f>Summary!A56</f>
        <v/>
      </c>
      <c r="B68" s="55">
        <f>COUNTIF(Summary!$B$56:$AB$56,"PASS")+COUNTIF(Summary!$B$56:$AB$56,"FAIL")+COUNTIF(Summary!$B$56:$AB$56,"ERROR")</f>
        <v/>
      </c>
      <c r="C68" s="55">
        <f>COUNTIF(Summary!$B$56:$AB$56,"PASS")</f>
        <v/>
      </c>
      <c r="D68" s="55">
        <f>COUNTIF(Summary!$B$56:$AB$56,"FAIL")</f>
        <v/>
      </c>
      <c r="E68" s="55">
        <f>COUNTIF(Summary!$B$56:$AB$56,"ERROR")</f>
        <v/>
      </c>
      <c r="F68" s="62">
        <f>IF($B68=0,0,C68/$B68)</f>
        <v/>
      </c>
      <c r="G68" s="62">
        <f>IF($B68=0,0,D68/$B68)</f>
        <v/>
      </c>
      <c r="H68" s="62">
        <f>IF($B68=0,0,E68/$B68)</f>
        <v/>
      </c>
      <c r="I68" s="55">
        <f>IF(C68=B68,"PASS",IF(E68&gt;0,"ERROR","FAIL"))</f>
        <v/>
      </c>
      <c r="J68" s="55" t="n">
        <v>6</v>
      </c>
    </row>
    <row r="69">
      <c r="A69" s="55">
        <f>Summary!A57</f>
        <v/>
      </c>
      <c r="B69" s="55">
        <f>COUNTIF(Summary!$B$57:$AB$57,"PASS")+COUNTIF(Summary!$B$57:$AB$57,"FAIL")+COUNTIF(Summary!$B$57:$AB$57,"ERROR")</f>
        <v/>
      </c>
      <c r="C69" s="55">
        <f>COUNTIF(Summary!$B$57:$AB$57,"PASS")</f>
        <v/>
      </c>
      <c r="D69" s="55">
        <f>COUNTIF(Summary!$B$57:$AB$57,"FAIL")</f>
        <v/>
      </c>
      <c r="E69" s="55">
        <f>COUNTIF(Summary!$B$57:$AB$57,"ERROR")</f>
        <v/>
      </c>
      <c r="F69" s="62">
        <f>IF($B69=0,0,C69/$B69)</f>
        <v/>
      </c>
      <c r="G69" s="62">
        <f>IF($B69=0,0,D69/$B69)</f>
        <v/>
      </c>
      <c r="H69" s="62">
        <f>IF($B69=0,0,E69/$B69)</f>
        <v/>
      </c>
      <c r="I69" s="55">
        <f>IF(C69=B69,"PASS",IF(E69&gt;0,"ERROR","FAIL"))</f>
        <v/>
      </c>
      <c r="J69" s="55" t="n">
        <v>6</v>
      </c>
    </row>
    <row r="70">
      <c r="A70" s="55">
        <f>Summary!A58</f>
        <v/>
      </c>
      <c r="B70" s="55">
        <f>COUNTIF(Summary!$B$58:$AB$58,"PASS")+COUNTIF(Summary!$B$58:$AB$58,"FAIL")+COUNTIF(Summary!$B$58:$AB$58,"ERROR")</f>
        <v/>
      </c>
      <c r="C70" s="55">
        <f>COUNTIF(Summary!$B$58:$AB$58,"PASS")</f>
        <v/>
      </c>
      <c r="D70" s="55">
        <f>COUNTIF(Summary!$B$58:$AB$58,"FAIL")</f>
        <v/>
      </c>
      <c r="E70" s="55">
        <f>COUNTIF(Summary!$B$58:$AB$58,"ERROR")</f>
        <v/>
      </c>
      <c r="F70" s="62">
        <f>IF($B70=0,0,C70/$B70)</f>
        <v/>
      </c>
      <c r="G70" s="62">
        <f>IF($B70=0,0,D70/$B70)</f>
        <v/>
      </c>
      <c r="H70" s="62">
        <f>IF($B70=0,0,E70/$B70)</f>
        <v/>
      </c>
      <c r="I70" s="55">
        <f>IF(C70=B70,"PASS",IF(E70&gt;0,"ERROR","FAIL"))</f>
        <v/>
      </c>
      <c r="J70" s="55" t="n">
        <v>6</v>
      </c>
    </row>
    <row r="71">
      <c r="A71" s="55">
        <f>Summary!A59</f>
        <v/>
      </c>
      <c r="B71" s="55">
        <f>COUNTIF(Summary!$B$59:$AB$59,"PASS")+COUNTIF(Summary!$B$59:$AB$59,"FAIL")+COUNTIF(Summary!$B$59:$AB$59,"ERROR")</f>
        <v/>
      </c>
      <c r="C71" s="55">
        <f>COUNTIF(Summary!$B$59:$AB$59,"PASS")</f>
        <v/>
      </c>
      <c r="D71" s="55">
        <f>COUNTIF(Summary!$B$59:$AB$59,"FAIL")</f>
        <v/>
      </c>
      <c r="E71" s="55">
        <f>COUNTIF(Summary!$B$59:$AB$59,"ERROR")</f>
        <v/>
      </c>
      <c r="F71" s="62">
        <f>IF($B71=0,0,C71/$B71)</f>
        <v/>
      </c>
      <c r="G71" s="62">
        <f>IF($B71=0,0,D71/$B71)</f>
        <v/>
      </c>
      <c r="H71" s="62">
        <f>IF($B71=0,0,E71/$B71)</f>
        <v/>
      </c>
      <c r="I71" s="55">
        <f>IF(C71=B71,"PASS",IF(E71&gt;0,"ERROR","FAIL"))</f>
        <v/>
      </c>
      <c r="J71" s="55" t="n">
        <v>6</v>
      </c>
    </row>
    <row r="72">
      <c r="A72" s="55">
        <f>Summary!A60</f>
        <v/>
      </c>
      <c r="B72" s="55">
        <f>COUNTIF(Summary!$B$60:$AB$60,"PASS")+COUNTIF(Summary!$B$60:$AB$60,"FAIL")+COUNTIF(Summary!$B$60:$AB$60,"ERROR")</f>
        <v/>
      </c>
      <c r="C72" s="55">
        <f>COUNTIF(Summary!$B$60:$AB$60,"PASS")</f>
        <v/>
      </c>
      <c r="D72" s="55">
        <f>COUNTIF(Summary!$B$60:$AB$60,"FAIL")</f>
        <v/>
      </c>
      <c r="E72" s="55">
        <f>COUNTIF(Summary!$B$60:$AB$60,"ERROR")</f>
        <v/>
      </c>
      <c r="F72" s="62">
        <f>IF($B72=0,0,C72/$B72)</f>
        <v/>
      </c>
      <c r="G72" s="62">
        <f>IF($B72=0,0,D72/$B72)</f>
        <v/>
      </c>
      <c r="H72" s="62">
        <f>IF($B72=0,0,E72/$B72)</f>
        <v/>
      </c>
      <c r="I72" s="55">
        <f>IF(C72=B72,"PASS",IF(E72&gt;0,"ERROR","FAIL"))</f>
        <v/>
      </c>
      <c r="J72" s="55" t="n">
        <v>6</v>
      </c>
    </row>
    <row r="73">
      <c r="A73" s="55">
        <f>Summary!A61</f>
        <v/>
      </c>
      <c r="B73" s="55">
        <f>COUNTIF(Summary!$B$61:$AB$61,"PASS")+COUNTIF(Summary!$B$61:$AB$61,"FAIL")+COUNTIF(Summary!$B$61:$AB$61,"ERROR")</f>
        <v/>
      </c>
      <c r="C73" s="55">
        <f>COUNTIF(Summary!$B$61:$AB$61,"PASS")</f>
        <v/>
      </c>
      <c r="D73" s="55">
        <f>COUNTIF(Summary!$B$61:$AB$61,"FAIL")</f>
        <v/>
      </c>
      <c r="E73" s="55">
        <f>COUNTIF(Summary!$B$61:$AB$61,"ERROR")</f>
        <v/>
      </c>
      <c r="F73" s="62">
        <f>IF($B73=0,0,C73/$B73)</f>
        <v/>
      </c>
      <c r="G73" s="62">
        <f>IF($B73=0,0,D73/$B73)</f>
        <v/>
      </c>
      <c r="H73" s="62">
        <f>IF($B73=0,0,E73/$B73)</f>
        <v/>
      </c>
      <c r="I73" s="55">
        <f>IF(C73=B73,"PASS",IF(E73&gt;0,"ERROR","FAIL"))</f>
        <v/>
      </c>
      <c r="J73" s="55" t="n">
        <v>6</v>
      </c>
    </row>
    <row r="75">
      <c r="A75" s="60" t="inlineStr">
        <is>
          <t>3. Cases by outcome</t>
        </is>
      </c>
    </row>
    <row r="76">
      <c r="A76" s="54" t="inlineStr">
        <is>
          <t>Outcome</t>
        </is>
      </c>
      <c r="B76" s="54" t="inlineStr">
        <is>
          <t>Cases</t>
        </is>
      </c>
      <c r="C76" s="54" t="inlineStr">
        <is>
          <t>% of cases</t>
        </is>
      </c>
      <c r="D76" s="54" t="inlineStr">
        <is>
          <t>Batch 1</t>
        </is>
      </c>
      <c r="E76" s="54" t="inlineStr">
        <is>
          <t>Batch 1 %</t>
        </is>
      </c>
      <c r="F76" s="54" t="inlineStr">
        <is>
          <t>Batch 2</t>
        </is>
      </c>
      <c r="G76" s="54" t="inlineStr">
        <is>
          <t>Batch 2 %</t>
        </is>
      </c>
      <c r="H76" s="54" t="inlineStr">
        <is>
          <t>Batch 3</t>
        </is>
      </c>
      <c r="I76" s="54" t="inlineStr">
        <is>
          <t>Batch 3 %</t>
        </is>
      </c>
      <c r="J76" s="54" t="inlineStr">
        <is>
          <t>Batch 4</t>
        </is>
      </c>
      <c r="K76" s="54" t="inlineStr">
        <is>
          <t>Batch 4 %</t>
        </is>
      </c>
      <c r="L76" s="54" t="inlineStr">
        <is>
          <t>Batch 5</t>
        </is>
      </c>
      <c r="M76" s="54" t="inlineStr">
        <is>
          <t>Batch 5 %</t>
        </is>
      </c>
      <c r="N76" s="54" t="inlineStr">
        <is>
          <t>Batch 6</t>
        </is>
      </c>
      <c r="O76" s="54" t="inlineStr">
        <is>
          <t>Batch 6 %</t>
        </is>
      </c>
    </row>
    <row r="77">
      <c r="A77" s="61" t="inlineStr">
        <is>
          <t>PASS</t>
        </is>
      </c>
      <c r="B77" s="55">
        <f>COUNTIF($I$14:$I$73,"PASS")</f>
        <v/>
      </c>
      <c r="C77" s="62">
        <f>IF($B$80=0,0,B77/$B$80)</f>
        <v/>
      </c>
      <c r="D77" s="55">
        <f>COUNTIFS($I$14:$I$73,"PASS",$J$14:$J$73,1)</f>
        <v/>
      </c>
      <c r="E77" s="62">
        <f>IF(D$80=0,0,D77/D$80)</f>
        <v/>
      </c>
      <c r="F77" s="55">
        <f>COUNTIFS($I$14:$I$73,"PASS",$J$14:$J$73,2)</f>
        <v/>
      </c>
      <c r="G77" s="62">
        <f>IF(F$80=0,0,F77/F$80)</f>
        <v/>
      </c>
      <c r="H77" s="55">
        <f>COUNTIFS($I$14:$I$73,"PASS",$J$14:$J$73,3)</f>
        <v/>
      </c>
      <c r="I77" s="62">
        <f>IF(H$80=0,0,H77/H$80)</f>
        <v/>
      </c>
      <c r="J77" s="55">
        <f>COUNTIFS($I$14:$I$73,"PASS",$J$14:$J$73,4)</f>
        <v/>
      </c>
      <c r="K77" s="62">
        <f>IF(J$80=0,0,J77/J$80)</f>
        <v/>
      </c>
      <c r="L77" s="55">
        <f>COUNTIFS($I$14:$I$73,"PASS",$J$14:$J$73,5)</f>
        <v/>
      </c>
      <c r="M77" s="62">
        <f>IF(L$80=0,0,L77/L$80)</f>
        <v/>
      </c>
      <c r="N77" s="55">
        <f>COUNTIFS($I$14:$I$73,"PASS",$J$14:$J$73,6)</f>
        <v/>
      </c>
      <c r="O77" s="62">
        <f>IF(N$80=0,0,N77/N$80)</f>
        <v/>
      </c>
    </row>
    <row r="78">
      <c r="A78" s="63" t="inlineStr">
        <is>
          <t>FAIL</t>
        </is>
      </c>
      <c r="B78" s="55">
        <f>COUNTIF($I$14:$I$73,"FAIL")</f>
        <v/>
      </c>
      <c r="C78" s="62">
        <f>IF($B$80=0,0,B78/$B$80)</f>
        <v/>
      </c>
      <c r="D78" s="55">
        <f>COUNTIFS($I$14:$I$73,"FAIL",$J$14:$J$73,1)</f>
        <v/>
      </c>
      <c r="E78" s="62">
        <f>IF(D$80=0,0,D78/D$80)</f>
        <v/>
      </c>
      <c r="F78" s="55">
        <f>COUNTIFS($I$14:$I$73,"FAIL",$J$14:$J$73,2)</f>
        <v/>
      </c>
      <c r="G78" s="62">
        <f>IF(F$80=0,0,F78/F$80)</f>
        <v/>
      </c>
      <c r="H78" s="55">
        <f>COUNTIFS($I$14:$I$73,"FAIL",$J$14:$J$73,3)</f>
        <v/>
      </c>
      <c r="I78" s="62">
        <f>IF(H$80=0,0,H78/H$80)</f>
        <v/>
      </c>
      <c r="J78" s="55">
        <f>COUNTIFS($I$14:$I$73,"FAIL",$J$14:$J$73,4)</f>
        <v/>
      </c>
      <c r="K78" s="62">
        <f>IF(J$80=0,0,J78/J$80)</f>
        <v/>
      </c>
      <c r="L78" s="55">
        <f>COUNTIFS($I$14:$I$73,"FAIL",$J$14:$J$73,5)</f>
        <v/>
      </c>
      <c r="M78" s="62">
        <f>IF(L$80=0,0,L78/L$80)</f>
        <v/>
      </c>
      <c r="N78" s="55">
        <f>COUNTIFS($I$14:$I$73,"FAIL",$J$14:$J$73,6)</f>
        <v/>
      </c>
      <c r="O78" s="62">
        <f>IF(N$80=0,0,N78/N$80)</f>
        <v/>
      </c>
    </row>
    <row r="79">
      <c r="A79" s="64" t="inlineStr">
        <is>
          <t>ERROR</t>
        </is>
      </c>
      <c r="B79" s="55">
        <f>COUNTIF($I$14:$I$73,"ERROR")</f>
        <v/>
      </c>
      <c r="C79" s="62">
        <f>IF($B$80=0,0,B79/$B$80)</f>
        <v/>
      </c>
      <c r="D79" s="55">
        <f>COUNTIFS($I$14:$I$73,"ERROR",$J$14:$J$73,1)</f>
        <v/>
      </c>
      <c r="E79" s="62">
        <f>IF(D$80=0,0,D79/D$80)</f>
        <v/>
      </c>
      <c r="F79" s="55">
        <f>COUNTIFS($I$14:$I$73,"ERROR",$J$14:$J$73,2)</f>
        <v/>
      </c>
      <c r="G79" s="62">
        <f>IF(F$80=0,0,F79/F$80)</f>
        <v/>
      </c>
      <c r="H79" s="55">
        <f>COUNTIFS($I$14:$I$73,"ERROR",$J$14:$J$73,3)</f>
        <v/>
      </c>
      <c r="I79" s="62">
        <f>IF(H$80=0,0,H79/H$80)</f>
        <v/>
      </c>
      <c r="J79" s="55">
        <f>COUNTIFS($I$14:$I$73,"ERROR",$J$14:$J$73,4)</f>
        <v/>
      </c>
      <c r="K79" s="62">
        <f>IF(J$80=0,0,J79/J$80)</f>
        <v/>
      </c>
      <c r="L79" s="55">
        <f>COUNTIFS($I$14:$I$73,"ERROR",$J$14:$J$73,5)</f>
        <v/>
      </c>
      <c r="M79" s="62">
        <f>IF(L$80=0,0,L79/L$80)</f>
        <v/>
      </c>
      <c r="N79" s="55">
        <f>COUNTIFS($I$14:$I$73,"ERROR",$J$14:$J$73,6)</f>
        <v/>
      </c>
      <c r="O79" s="62">
        <f>IF(N$80=0,0,N79/N$80)</f>
        <v/>
      </c>
    </row>
    <row r="80">
      <c r="A80" s="65" t="inlineStr">
        <is>
          <t>Total cases</t>
        </is>
      </c>
      <c r="B80" s="65">
        <f>SUM(B77:B79)</f>
        <v/>
      </c>
      <c r="C80" s="66">
        <f>SUM(C77:C79)</f>
        <v/>
      </c>
      <c r="D80" s="65">
        <f>SUM(D77:D79)</f>
        <v/>
      </c>
      <c r="E80" s="66">
        <f>SUM(E77:E79)</f>
        <v/>
      </c>
      <c r="F80" s="65">
        <f>SUM(F77:F79)</f>
        <v/>
      </c>
      <c r="G80" s="66">
        <f>SUM(G77:G79)</f>
        <v/>
      </c>
      <c r="H80" s="65">
        <f>SUM(H77:H79)</f>
        <v/>
      </c>
      <c r="I80" s="66">
        <f>SUM(I77:I79)</f>
        <v/>
      </c>
      <c r="J80" s="65">
        <f>SUM(J77:J79)</f>
        <v/>
      </c>
      <c r="K80" s="66">
        <f>SUM(K77:K79)</f>
        <v/>
      </c>
      <c r="L80" s="65">
        <f>SUM(L77:L79)</f>
        <v/>
      </c>
      <c r="M80" s="66">
        <f>SUM(M77:M79)</f>
        <v/>
      </c>
      <c r="N80" s="65">
        <f>SUM(N77:N79)</f>
        <v/>
      </c>
      <c r="O80" s="66">
        <f>SUM(O77:O79)</f>
        <v/>
      </c>
    </row>
    <row r="81">
      <c r="A81" t="inlineStr">
        <is>
          <t>A case is PASS only if it passed on every version it was tested on; ERROR if any version crashed; otherwise FAIL.</t>
        </is>
      </c>
    </row>
    <row r="83">
      <c r="A83" s="60" t="inlineStr">
        <is>
          <t>4. Cases that passed on at least one version</t>
        </is>
      </c>
    </row>
    <row r="84">
      <c r="A84" s="54" t="inlineStr">
        <is>
          <t>Measure</t>
        </is>
      </c>
      <c r="B84" s="54" t="inlineStr">
        <is>
          <t>Cases</t>
        </is>
      </c>
      <c r="C84" s="54" t="inlineStr">
        <is>
          <t>% of cases</t>
        </is>
      </c>
      <c r="D84" s="54" t="inlineStr">
        <is>
          <t>Batch 1</t>
        </is>
      </c>
      <c r="E84" s="54" t="inlineStr">
        <is>
          <t>Batch 1 %</t>
        </is>
      </c>
      <c r="F84" s="54" t="inlineStr">
        <is>
          <t>Batch 2</t>
        </is>
      </c>
      <c r="G84" s="54" t="inlineStr">
        <is>
          <t>Batch 2 %</t>
        </is>
      </c>
      <c r="H84" s="54" t="inlineStr">
        <is>
          <t>Batch 3</t>
        </is>
      </c>
      <c r="I84" s="54" t="inlineStr">
        <is>
          <t>Batch 3 %</t>
        </is>
      </c>
      <c r="J84" s="54" t="inlineStr">
        <is>
          <t>Batch 4</t>
        </is>
      </c>
      <c r="K84" s="54" t="inlineStr">
        <is>
          <t>Batch 4 %</t>
        </is>
      </c>
      <c r="L84" s="54" t="inlineStr">
        <is>
          <t>Batch 5</t>
        </is>
      </c>
      <c r="M84" s="54" t="inlineStr">
        <is>
          <t>Batch 5 %</t>
        </is>
      </c>
      <c r="N84" s="54" t="inlineStr">
        <is>
          <t>Batch 6</t>
        </is>
      </c>
      <c r="O84" s="54" t="inlineStr">
        <is>
          <t>Batch 6 %</t>
        </is>
      </c>
    </row>
    <row r="85">
      <c r="A85" s="55" t="inlineStr">
        <is>
          <t>Passed on at least one version</t>
        </is>
      </c>
      <c r="B85" s="55">
        <f>COUNTIF($B$90:$B$149,"YES")</f>
        <v/>
      </c>
      <c r="C85" s="62">
        <f>IF(COUNTA($A$90:$A$149)=0,0,B85/COUNTA($A$90:$A$149))</f>
        <v/>
      </c>
      <c r="D85" s="55">
        <f>COUNTIFS($B$90:$B$149,"YES",$F$90:$F$149,1)</f>
        <v/>
      </c>
      <c r="E85" s="62">
        <f>IF(COUNTIF($F$90:$F$149,1)=0,0,D85/COUNTIF($F$90:$F$149,1))</f>
        <v/>
      </c>
      <c r="F85" s="55">
        <f>COUNTIFS($B$90:$B$149,"YES",$F$90:$F$149,2)</f>
        <v/>
      </c>
      <c r="G85" s="62">
        <f>IF(COUNTIF($F$90:$F$149,2)=0,0,F85/COUNTIF($F$90:$F$149,2))</f>
        <v/>
      </c>
      <c r="H85" s="55">
        <f>COUNTIFS($B$90:$B$149,"YES",$F$90:$F$149,3)</f>
        <v/>
      </c>
      <c r="I85" s="62">
        <f>IF(COUNTIF($F$90:$F$149,3)=0,0,H85/COUNTIF($F$90:$F$149,3))</f>
        <v/>
      </c>
      <c r="J85" s="55">
        <f>COUNTIFS($B$90:$B$149,"YES",$F$90:$F$149,4)</f>
        <v/>
      </c>
      <c r="K85" s="62">
        <f>IF(COUNTIF($F$90:$F$149,4)=0,0,J85/COUNTIF($F$90:$F$149,4))</f>
        <v/>
      </c>
      <c r="L85" s="55">
        <f>COUNTIFS($B$90:$B$149,"YES",$F$90:$F$149,5)</f>
        <v/>
      </c>
      <c r="M85" s="62">
        <f>IF(COUNTIF($F$90:$F$149,5)=0,0,L85/COUNTIF($F$90:$F$149,5))</f>
        <v/>
      </c>
      <c r="N85" s="55">
        <f>COUNTIFS($B$90:$B$149,"YES",$F$90:$F$149,6)</f>
        <v/>
      </c>
      <c r="O85" s="62">
        <f>IF(COUNTIF($F$90:$F$149,6)=0,0,N85/COUNTIF($F$90:$F$149,6))</f>
        <v/>
      </c>
    </row>
    <row r="86">
      <c r="A86" s="55" t="inlineStr">
        <is>
          <t>Passed on every version (strict, as in section 3)</t>
        </is>
      </c>
      <c r="B86" s="55">
        <f>B77</f>
        <v/>
      </c>
      <c r="C86" s="62">
        <f>IF(COUNTA($A$90:$A$149)=0,0,B86/COUNTA($A$90:$A$149))</f>
        <v/>
      </c>
      <c r="D86" s="55">
        <f>D77</f>
        <v/>
      </c>
      <c r="E86" s="62">
        <f>IF(COUNTIF($F$90:$F$149,1)=0,0,D86/COUNTIF($F$90:$F$149,1))</f>
        <v/>
      </c>
      <c r="F86" s="55">
        <f>F77</f>
        <v/>
      </c>
      <c r="G86" s="62">
        <f>IF(COUNTIF($F$90:$F$149,2)=0,0,F86/COUNTIF($F$90:$F$149,2))</f>
        <v/>
      </c>
      <c r="H86" s="55">
        <f>H77</f>
        <v/>
      </c>
      <c r="I86" s="62">
        <f>IF(COUNTIF($F$90:$F$149,3)=0,0,H86/COUNTIF($F$90:$F$149,3))</f>
        <v/>
      </c>
      <c r="J86" s="55">
        <f>J77</f>
        <v/>
      </c>
      <c r="K86" s="62">
        <f>IF(COUNTIF($F$90:$F$149,4)=0,0,J86/COUNTIF($F$90:$F$149,4))</f>
        <v/>
      </c>
      <c r="L86" s="55">
        <f>L77</f>
        <v/>
      </c>
      <c r="M86" s="62">
        <f>IF(COUNTIF($F$90:$F$149,5)=0,0,L86/COUNTIF($F$90:$F$149,5))</f>
        <v/>
      </c>
      <c r="N86" s="55">
        <f>N77</f>
        <v/>
      </c>
      <c r="O86" s="62">
        <f>IF(COUNTIF($F$90:$F$149,6)=0,0,N86/COUNTIF($F$90:$F$149,6))</f>
        <v/>
      </c>
    </row>
    <row r="87">
      <c r="A87" s="55" t="inlineStr">
        <is>
          <t>Passed on some but not all versions</t>
        </is>
      </c>
      <c r="B87" s="55">
        <f>B85-B86</f>
        <v/>
      </c>
      <c r="C87" s="62">
        <f>IF(COUNTA($A$90:$A$149)=0,0,B87/COUNTA($A$90:$A$149))</f>
        <v/>
      </c>
      <c r="D87" s="55">
        <f>D85-D86</f>
        <v/>
      </c>
      <c r="E87" s="62">
        <f>IF(COUNTIF($F$90:$F$149,1)=0,0,D87/COUNTIF($F$90:$F$149,1))</f>
        <v/>
      </c>
      <c r="F87" s="55">
        <f>F85-F86</f>
        <v/>
      </c>
      <c r="G87" s="62">
        <f>IF(COUNTIF($F$90:$F$149,2)=0,0,F87/COUNTIF($F$90:$F$149,2))</f>
        <v/>
      </c>
      <c r="H87" s="55">
        <f>H85-H86</f>
        <v/>
      </c>
      <c r="I87" s="62">
        <f>IF(COUNTIF($F$90:$F$149,3)=0,0,H87/COUNTIF($F$90:$F$149,3))</f>
        <v/>
      </c>
      <c r="J87" s="55">
        <f>J85-J86</f>
        <v/>
      </c>
      <c r="K87" s="62">
        <f>IF(COUNTIF($F$90:$F$149,4)=0,0,J87/COUNTIF($F$90:$F$149,4))</f>
        <v/>
      </c>
      <c r="L87" s="55">
        <f>L85-L86</f>
        <v/>
      </c>
      <c r="M87" s="62">
        <f>IF(COUNTIF($F$90:$F$149,5)=0,0,L87/COUNTIF($F$90:$F$149,5))</f>
        <v/>
      </c>
      <c r="N87" s="55">
        <f>N85-N86</f>
        <v/>
      </c>
      <c r="O87" s="62">
        <f>IF(COUNTIF($F$90:$F$149,6)=0,0,N87/COUNTIF($F$90:$F$149,6))</f>
        <v/>
      </c>
    </row>
    <row r="88">
      <c r="A88" s="55" t="inlineStr">
        <is>
          <t>Passed on no version</t>
        </is>
      </c>
      <c r="B88" s="55">
        <f>COUNTIF($B$90:$B$149,"NO")</f>
        <v/>
      </c>
      <c r="C88" s="62">
        <f>IF(COUNTA($A$90:$A$149)=0,0,B88/COUNTA($A$90:$A$149))</f>
        <v/>
      </c>
      <c r="D88" s="55">
        <f>COUNTIFS($B$90:$B$149,"NO",$F$90:$F$149,1)</f>
        <v/>
      </c>
      <c r="E88" s="62">
        <f>IF(COUNTIF($F$90:$F$149,1)=0,0,D88/COUNTIF($F$90:$F$149,1))</f>
        <v/>
      </c>
      <c r="F88" s="55">
        <f>COUNTIFS($B$90:$B$149,"NO",$F$90:$F$149,2)</f>
        <v/>
      </c>
      <c r="G88" s="62">
        <f>IF(COUNTIF($F$90:$F$149,2)=0,0,F88/COUNTIF($F$90:$F$149,2))</f>
        <v/>
      </c>
      <c r="H88" s="55">
        <f>COUNTIFS($B$90:$B$149,"NO",$F$90:$F$149,3)</f>
        <v/>
      </c>
      <c r="I88" s="62">
        <f>IF(COUNTIF($F$90:$F$149,3)=0,0,H88/COUNTIF($F$90:$F$149,3))</f>
        <v/>
      </c>
      <c r="J88" s="55">
        <f>COUNTIFS($B$90:$B$149,"NO",$F$90:$F$149,4)</f>
        <v/>
      </c>
      <c r="K88" s="62">
        <f>IF(COUNTIF($F$90:$F$149,4)=0,0,J88/COUNTIF($F$90:$F$149,4))</f>
        <v/>
      </c>
      <c r="L88" s="55">
        <f>COUNTIFS($B$90:$B$149,"NO",$F$90:$F$149,5)</f>
        <v/>
      </c>
      <c r="M88" s="62">
        <f>IF(COUNTIF($F$90:$F$149,5)=0,0,L88/COUNTIF($F$90:$F$149,5))</f>
        <v/>
      </c>
      <c r="N88" s="55">
        <f>COUNTIFS($B$90:$B$149,"NO",$F$90:$F$149,6)</f>
        <v/>
      </c>
      <c r="O88" s="62">
        <f>IF(COUNTIF($F$90:$F$149,6)=0,0,N88/COUNTIF($F$90:$F$149,6))</f>
        <v/>
      </c>
    </row>
    <row r="89">
      <c r="A89" s="54" t="inlineStr">
        <is>
          <t>Case</t>
        </is>
      </c>
      <c r="B89" s="54" t="inlineStr">
        <is>
          <t>Passed on ≥1 version?</t>
        </is>
      </c>
      <c r="C89" s="54" t="inlineStr">
        <is>
          <t>Versions it passed on</t>
        </is>
      </c>
      <c r="D89" s="54" t="inlineStr">
        <is>
          <t># passed</t>
        </is>
      </c>
      <c r="E89" s="54" t="inlineStr">
        <is>
          <t># tested</t>
        </is>
      </c>
      <c r="F89" s="54" t="inlineStr">
        <is>
          <t>Batch</t>
        </is>
      </c>
    </row>
    <row r="90">
      <c r="A90" s="55">
        <f>Summary!A2</f>
        <v/>
      </c>
      <c r="B90" s="55">
        <f>IF(C14&gt;0,"YES","NO")</f>
        <v/>
      </c>
      <c r="C90" s="67">
        <f t="array" ref="C90">IF(C14=0,"-",_xlfn.TEXTJOIN(", ",TRUE,IF(Summary!$B$2:$AB$2="PASS",Summary!$B$1:$AB$1,"")))</f>
        <v/>
      </c>
      <c r="D90" s="55">
        <f>C14</f>
        <v/>
      </c>
      <c r="E90" s="55">
        <f>B14</f>
        <v/>
      </c>
      <c r="F90" s="55" t="n">
        <v>1</v>
      </c>
    </row>
    <row r="91">
      <c r="A91" s="55">
        <f>Summary!A3</f>
        <v/>
      </c>
      <c r="B91" s="55">
        <f>IF(C15&gt;0,"YES","NO")</f>
        <v/>
      </c>
      <c r="C91" s="67">
        <f t="array" ref="C91">IF(C15=0,"-",_xlfn.TEXTJOIN(", ",TRUE,IF(Summary!$B$3:$AB$3="PASS",Summary!$B$1:$AB$1,"")))</f>
        <v/>
      </c>
      <c r="D91" s="55">
        <f>C15</f>
        <v/>
      </c>
      <c r="E91" s="55">
        <f>B15</f>
        <v/>
      </c>
      <c r="F91" s="55" t="n">
        <v>1</v>
      </c>
    </row>
    <row r="92">
      <c r="A92" s="55">
        <f>Summary!A4</f>
        <v/>
      </c>
      <c r="B92" s="55">
        <f>IF(C16&gt;0,"YES","NO")</f>
        <v/>
      </c>
      <c r="C92" s="67">
        <f t="array" ref="C92">IF(C16=0,"-",_xlfn.TEXTJOIN(", ",TRUE,IF(Summary!$B$4:$AB$4="PASS",Summary!$B$1:$AB$1,"")))</f>
        <v/>
      </c>
      <c r="D92" s="55">
        <f>C16</f>
        <v/>
      </c>
      <c r="E92" s="55">
        <f>B16</f>
        <v/>
      </c>
      <c r="F92" s="55" t="n">
        <v>1</v>
      </c>
    </row>
    <row r="93">
      <c r="A93" s="55">
        <f>Summary!A5</f>
        <v/>
      </c>
      <c r="B93" s="55">
        <f>IF(C17&gt;0,"YES","NO")</f>
        <v/>
      </c>
      <c r="C93" s="67">
        <f t="array" ref="C93">IF(C17=0,"-",_xlfn.TEXTJOIN(", ",TRUE,IF(Summary!$B$5:$AB$5="PASS",Summary!$B$1:$AB$1,"")))</f>
        <v/>
      </c>
      <c r="D93" s="55">
        <f>C17</f>
        <v/>
      </c>
      <c r="E93" s="55">
        <f>B17</f>
        <v/>
      </c>
      <c r="F93" s="55" t="n">
        <v>1</v>
      </c>
    </row>
    <row r="94">
      <c r="A94" s="55">
        <f>Summary!A6</f>
        <v/>
      </c>
      <c r="B94" s="55">
        <f>IF(C18&gt;0,"YES","NO")</f>
        <v/>
      </c>
      <c r="C94" s="67">
        <f t="array" ref="C94">IF(C18=0,"-",_xlfn.TEXTJOIN(", ",TRUE,IF(Summary!$B$6:$AB$6="PASS",Summary!$B$1:$AB$1,"")))</f>
        <v/>
      </c>
      <c r="D94" s="55">
        <f>C18</f>
        <v/>
      </c>
      <c r="E94" s="55">
        <f>B18</f>
        <v/>
      </c>
      <c r="F94" s="55" t="n">
        <v>1</v>
      </c>
    </row>
    <row r="95">
      <c r="A95" s="55">
        <f>Summary!A7</f>
        <v/>
      </c>
      <c r="B95" s="55">
        <f>IF(C19&gt;0,"YES","NO")</f>
        <v/>
      </c>
      <c r="C95" s="67">
        <f t="array" ref="C95">IF(C19=0,"-",_xlfn.TEXTJOIN(", ",TRUE,IF(Summary!$B$7:$AB$7="PASS",Summary!$B$1:$AB$1,"")))</f>
        <v/>
      </c>
      <c r="D95" s="55">
        <f>C19</f>
        <v/>
      </c>
      <c r="E95" s="55">
        <f>B19</f>
        <v/>
      </c>
      <c r="F95" s="55" t="n">
        <v>1</v>
      </c>
    </row>
    <row r="96">
      <c r="A96" s="55">
        <f>Summary!A8</f>
        <v/>
      </c>
      <c r="B96" s="55">
        <f>IF(C20&gt;0,"YES","NO")</f>
        <v/>
      </c>
      <c r="C96" s="67">
        <f t="array" ref="C96">IF(C20=0,"-",_xlfn.TEXTJOIN(", ",TRUE,IF(Summary!$B$8:$AB$8="PASS",Summary!$B$1:$AB$1,"")))</f>
        <v/>
      </c>
      <c r="D96" s="55">
        <f>C20</f>
        <v/>
      </c>
      <c r="E96" s="55">
        <f>B20</f>
        <v/>
      </c>
      <c r="F96" s="55" t="n">
        <v>1</v>
      </c>
    </row>
    <row r="97">
      <c r="A97" s="55">
        <f>Summary!A9</f>
        <v/>
      </c>
      <c r="B97" s="55">
        <f>IF(C21&gt;0,"YES","NO")</f>
        <v/>
      </c>
      <c r="C97" s="67">
        <f t="array" ref="C97">IF(C21=0,"-",_xlfn.TEXTJOIN(", ",TRUE,IF(Summary!$B$9:$AB$9="PASS",Summary!$B$1:$AB$1,"")))</f>
        <v/>
      </c>
      <c r="D97" s="55">
        <f>C21</f>
        <v/>
      </c>
      <c r="E97" s="55">
        <f>B21</f>
        <v/>
      </c>
      <c r="F97" s="55" t="n">
        <v>1</v>
      </c>
    </row>
    <row r="98">
      <c r="A98" s="55">
        <f>Summary!A10</f>
        <v/>
      </c>
      <c r="B98" s="55">
        <f>IF(C22&gt;0,"YES","NO")</f>
        <v/>
      </c>
      <c r="C98" s="67">
        <f t="array" ref="C98">IF(C22=0,"-",_xlfn.TEXTJOIN(", ",TRUE,IF(Summary!$B$10:$AB$10="PASS",Summary!$B$1:$AB$1,"")))</f>
        <v/>
      </c>
      <c r="D98" s="55">
        <f>C22</f>
        <v/>
      </c>
      <c r="E98" s="55">
        <f>B22</f>
        <v/>
      </c>
      <c r="F98" s="55" t="n">
        <v>1</v>
      </c>
    </row>
    <row r="99">
      <c r="A99" s="55">
        <f>Summary!A11</f>
        <v/>
      </c>
      <c r="B99" s="55">
        <f>IF(C23&gt;0,"YES","NO")</f>
        <v/>
      </c>
      <c r="C99" s="67">
        <f t="array" ref="C99">IF(C23=0,"-",_xlfn.TEXTJOIN(", ",TRUE,IF(Summary!$B$11:$AB$11="PASS",Summary!$B$1:$AB$1,"")))</f>
        <v/>
      </c>
      <c r="D99" s="55">
        <f>C23</f>
        <v/>
      </c>
      <c r="E99" s="55">
        <f>B23</f>
        <v/>
      </c>
      <c r="F99" s="55" t="n">
        <v>1</v>
      </c>
    </row>
    <row r="100">
      <c r="A100" s="55">
        <f>Summary!A12</f>
        <v/>
      </c>
      <c r="B100" s="55">
        <f>IF(C24&gt;0,"YES","NO")</f>
        <v/>
      </c>
      <c r="C100" s="67">
        <f t="array" ref="C100">IF(C24=0,"-",_xlfn.TEXTJOIN(", ",TRUE,IF(Summary!$B$12:$AB$12="PASS",Summary!$B$1:$AB$1,"")))</f>
        <v/>
      </c>
      <c r="D100" s="55">
        <f>C24</f>
        <v/>
      </c>
      <c r="E100" s="55">
        <f>B24</f>
        <v/>
      </c>
      <c r="F100" s="55" t="n">
        <v>2</v>
      </c>
    </row>
    <row r="101">
      <c r="A101" s="55">
        <f>Summary!A13</f>
        <v/>
      </c>
      <c r="B101" s="55">
        <f>IF(C25&gt;0,"YES","NO")</f>
        <v/>
      </c>
      <c r="C101" s="67">
        <f t="array" ref="C101">IF(C25=0,"-",_xlfn.TEXTJOIN(", ",TRUE,IF(Summary!$B$13:$AB$13="PASS",Summary!$B$1:$AB$1,"")))</f>
        <v/>
      </c>
      <c r="D101" s="55">
        <f>C25</f>
        <v/>
      </c>
      <c r="E101" s="55">
        <f>B25</f>
        <v/>
      </c>
      <c r="F101" s="55" t="n">
        <v>2</v>
      </c>
    </row>
    <row r="102">
      <c r="A102" s="55">
        <f>Summary!A14</f>
        <v/>
      </c>
      <c r="B102" s="55">
        <f>IF(C26&gt;0,"YES","NO")</f>
        <v/>
      </c>
      <c r="C102" s="67">
        <f t="array" ref="C102">IF(C26=0,"-",_xlfn.TEXTJOIN(", ",TRUE,IF(Summary!$B$14:$AB$14="PASS",Summary!$B$1:$AB$1,"")))</f>
        <v/>
      </c>
      <c r="D102" s="55">
        <f>C26</f>
        <v/>
      </c>
      <c r="E102" s="55">
        <f>B26</f>
        <v/>
      </c>
      <c r="F102" s="55" t="n">
        <v>2</v>
      </c>
    </row>
    <row r="103">
      <c r="A103" s="55">
        <f>Summary!A15</f>
        <v/>
      </c>
      <c r="B103" s="55">
        <f>IF(C27&gt;0,"YES","NO")</f>
        <v/>
      </c>
      <c r="C103" s="67">
        <f t="array" ref="C103">IF(C27=0,"-",_xlfn.TEXTJOIN(", ",TRUE,IF(Summary!$B$15:$AB$15="PASS",Summary!$B$1:$AB$1,"")))</f>
        <v/>
      </c>
      <c r="D103" s="55">
        <f>C27</f>
        <v/>
      </c>
      <c r="E103" s="55">
        <f>B27</f>
        <v/>
      </c>
      <c r="F103" s="55" t="n">
        <v>2</v>
      </c>
    </row>
    <row r="104">
      <c r="A104" s="55">
        <f>Summary!A16</f>
        <v/>
      </c>
      <c r="B104" s="55">
        <f>IF(C28&gt;0,"YES","NO")</f>
        <v/>
      </c>
      <c r="C104" s="67">
        <f t="array" ref="C104">IF(C28=0,"-",_xlfn.TEXTJOIN(", ",TRUE,IF(Summary!$B$16:$AB$16="PASS",Summary!$B$1:$AB$1,"")))</f>
        <v/>
      </c>
      <c r="D104" s="55">
        <f>C28</f>
        <v/>
      </c>
      <c r="E104" s="55">
        <f>B28</f>
        <v/>
      </c>
      <c r="F104" s="55" t="n">
        <v>2</v>
      </c>
    </row>
    <row r="105">
      <c r="A105" s="55">
        <f>Summary!A17</f>
        <v/>
      </c>
      <c r="B105" s="55">
        <f>IF(C29&gt;0,"YES","NO")</f>
        <v/>
      </c>
      <c r="C105" s="67">
        <f t="array" ref="C105">IF(C29=0,"-",_xlfn.TEXTJOIN(", ",TRUE,IF(Summary!$B$17:$AB$17="PASS",Summary!$B$1:$AB$1,"")))</f>
        <v/>
      </c>
      <c r="D105" s="55">
        <f>C29</f>
        <v/>
      </c>
      <c r="E105" s="55">
        <f>B29</f>
        <v/>
      </c>
      <c r="F105" s="55" t="n">
        <v>2</v>
      </c>
    </row>
    <row r="106">
      <c r="A106" s="55">
        <f>Summary!A18</f>
        <v/>
      </c>
      <c r="B106" s="55">
        <f>IF(C30&gt;0,"YES","NO")</f>
        <v/>
      </c>
      <c r="C106" s="67">
        <f t="array" ref="C106">IF(C30=0,"-",_xlfn.TEXTJOIN(", ",TRUE,IF(Summary!$B$18:$AB$18="PASS",Summary!$B$1:$AB$1,"")))</f>
        <v/>
      </c>
      <c r="D106" s="55">
        <f>C30</f>
        <v/>
      </c>
      <c r="E106" s="55">
        <f>B30</f>
        <v/>
      </c>
      <c r="F106" s="55" t="n">
        <v>2</v>
      </c>
    </row>
    <row r="107">
      <c r="A107" s="55">
        <f>Summary!A19</f>
        <v/>
      </c>
      <c r="B107" s="55">
        <f>IF(C31&gt;0,"YES","NO")</f>
        <v/>
      </c>
      <c r="C107" s="67">
        <f t="array" ref="C107">IF(C31=0,"-",_xlfn.TEXTJOIN(", ",TRUE,IF(Summary!$B$19:$AB$19="PASS",Summary!$B$1:$AB$1,"")))</f>
        <v/>
      </c>
      <c r="D107" s="55">
        <f>C31</f>
        <v/>
      </c>
      <c r="E107" s="55">
        <f>B31</f>
        <v/>
      </c>
      <c r="F107" s="55" t="n">
        <v>2</v>
      </c>
    </row>
    <row r="108">
      <c r="A108" s="55">
        <f>Summary!A20</f>
        <v/>
      </c>
      <c r="B108" s="55">
        <f>IF(C32&gt;0,"YES","NO")</f>
        <v/>
      </c>
      <c r="C108" s="67">
        <f t="array" ref="C108">IF(C32=0,"-",_xlfn.TEXTJOIN(", ",TRUE,IF(Summary!$B$20:$AB$20="PASS",Summary!$B$1:$AB$1,"")))</f>
        <v/>
      </c>
      <c r="D108" s="55">
        <f>C32</f>
        <v/>
      </c>
      <c r="E108" s="55">
        <f>B32</f>
        <v/>
      </c>
      <c r="F108" s="55" t="n">
        <v>2</v>
      </c>
    </row>
    <row r="109">
      <c r="A109" s="55">
        <f>Summary!A21</f>
        <v/>
      </c>
      <c r="B109" s="55">
        <f>IF(C33&gt;0,"YES","NO")</f>
        <v/>
      </c>
      <c r="C109" s="67">
        <f t="array" ref="C109">IF(C33=0,"-",_xlfn.TEXTJOIN(", ",TRUE,IF(Summary!$B$21:$AB$21="PASS",Summary!$B$1:$AB$1,"")))</f>
        <v/>
      </c>
      <c r="D109" s="55">
        <f>C33</f>
        <v/>
      </c>
      <c r="E109" s="55">
        <f>B33</f>
        <v/>
      </c>
      <c r="F109" s="55" t="n">
        <v>2</v>
      </c>
    </row>
    <row r="110">
      <c r="A110" s="55">
        <f>Summary!A22</f>
        <v/>
      </c>
      <c r="B110" s="55">
        <f>IF(C34&gt;0,"YES","NO")</f>
        <v/>
      </c>
      <c r="C110" s="67">
        <f t="array" ref="C110">IF(C34=0,"-",_xlfn.TEXTJOIN(", ",TRUE,IF(Summary!$B$22:$AB$22="PASS",Summary!$B$1:$AB$1,"")))</f>
        <v/>
      </c>
      <c r="D110" s="55">
        <f>C34</f>
        <v/>
      </c>
      <c r="E110" s="55">
        <f>B34</f>
        <v/>
      </c>
      <c r="F110" s="55" t="n">
        <v>3</v>
      </c>
    </row>
    <row r="111">
      <c r="A111" s="55">
        <f>Summary!A23</f>
        <v/>
      </c>
      <c r="B111" s="55">
        <f>IF(C35&gt;0,"YES","NO")</f>
        <v/>
      </c>
      <c r="C111" s="67">
        <f t="array" ref="C111">IF(C35=0,"-",_xlfn.TEXTJOIN(", ",TRUE,IF(Summary!$B$23:$AB$23="PASS",Summary!$B$1:$AB$1,"")))</f>
        <v/>
      </c>
      <c r="D111" s="55">
        <f>C35</f>
        <v/>
      </c>
      <c r="E111" s="55">
        <f>B35</f>
        <v/>
      </c>
      <c r="F111" s="55" t="n">
        <v>3</v>
      </c>
    </row>
    <row r="112">
      <c r="A112" s="55">
        <f>Summary!A24</f>
        <v/>
      </c>
      <c r="B112" s="55">
        <f>IF(C36&gt;0,"YES","NO")</f>
        <v/>
      </c>
      <c r="C112" s="67">
        <f t="array" ref="C112">IF(C36=0,"-",_xlfn.TEXTJOIN(", ",TRUE,IF(Summary!$B$24:$AB$24="PASS",Summary!$B$1:$AB$1,"")))</f>
        <v/>
      </c>
      <c r="D112" s="55">
        <f>C36</f>
        <v/>
      </c>
      <c r="E112" s="55">
        <f>B36</f>
        <v/>
      </c>
      <c r="F112" s="55" t="n">
        <v>3</v>
      </c>
    </row>
    <row r="113">
      <c r="A113" s="55">
        <f>Summary!A25</f>
        <v/>
      </c>
      <c r="B113" s="55">
        <f>IF(C37&gt;0,"YES","NO")</f>
        <v/>
      </c>
      <c r="C113" s="67">
        <f t="array" ref="C113">IF(C37=0,"-",_xlfn.TEXTJOIN(", ",TRUE,IF(Summary!$B$25:$AB$25="PASS",Summary!$B$1:$AB$1,"")))</f>
        <v/>
      </c>
      <c r="D113" s="55">
        <f>C37</f>
        <v/>
      </c>
      <c r="E113" s="55">
        <f>B37</f>
        <v/>
      </c>
      <c r="F113" s="55" t="n">
        <v>3</v>
      </c>
    </row>
    <row r="114">
      <c r="A114" s="55">
        <f>Summary!A26</f>
        <v/>
      </c>
      <c r="B114" s="55">
        <f>IF(C38&gt;0,"YES","NO")</f>
        <v/>
      </c>
      <c r="C114" s="67">
        <f t="array" ref="C114">IF(C38=0,"-",_xlfn.TEXTJOIN(", ",TRUE,IF(Summary!$B$26:$AB$26="PASS",Summary!$B$1:$AB$1,"")))</f>
        <v/>
      </c>
      <c r="D114" s="55">
        <f>C38</f>
        <v/>
      </c>
      <c r="E114" s="55">
        <f>B38</f>
        <v/>
      </c>
      <c r="F114" s="55" t="n">
        <v>3</v>
      </c>
    </row>
    <row r="115">
      <c r="A115" s="55">
        <f>Summary!A27</f>
        <v/>
      </c>
      <c r="B115" s="55">
        <f>IF(C39&gt;0,"YES","NO")</f>
        <v/>
      </c>
      <c r="C115" s="67">
        <f t="array" ref="C115">IF(C39=0,"-",_xlfn.TEXTJOIN(", ",TRUE,IF(Summary!$B$27:$AB$27="PASS",Summary!$B$1:$AB$1,"")))</f>
        <v/>
      </c>
      <c r="D115" s="55">
        <f>C39</f>
        <v/>
      </c>
      <c r="E115" s="55">
        <f>B39</f>
        <v/>
      </c>
      <c r="F115" s="55" t="n">
        <v>3</v>
      </c>
    </row>
    <row r="116">
      <c r="A116" s="55">
        <f>Summary!A28</f>
        <v/>
      </c>
      <c r="B116" s="55">
        <f>IF(C40&gt;0,"YES","NO")</f>
        <v/>
      </c>
      <c r="C116" s="67">
        <f t="array" ref="C116">IF(C40=0,"-",_xlfn.TEXTJOIN(", ",TRUE,IF(Summary!$B$28:$AB$28="PASS",Summary!$B$1:$AB$1,"")))</f>
        <v/>
      </c>
      <c r="D116" s="55">
        <f>C40</f>
        <v/>
      </c>
      <c r="E116" s="55">
        <f>B40</f>
        <v/>
      </c>
      <c r="F116" s="55" t="n">
        <v>3</v>
      </c>
    </row>
    <row r="117">
      <c r="A117" s="55">
        <f>Summary!A29</f>
        <v/>
      </c>
      <c r="B117" s="55">
        <f>IF(C41&gt;0,"YES","NO")</f>
        <v/>
      </c>
      <c r="C117" s="67">
        <f t="array" ref="C117">IF(C41=0,"-",_xlfn.TEXTJOIN(", ",TRUE,IF(Summary!$B$29:$AB$29="PASS",Summary!$B$1:$AB$1,"")))</f>
        <v/>
      </c>
      <c r="D117" s="55">
        <f>C41</f>
        <v/>
      </c>
      <c r="E117" s="55">
        <f>B41</f>
        <v/>
      </c>
      <c r="F117" s="55" t="n">
        <v>3</v>
      </c>
    </row>
    <row r="118">
      <c r="A118" s="55">
        <f>Summary!A30</f>
        <v/>
      </c>
      <c r="B118" s="55">
        <f>IF(C42&gt;0,"YES","NO")</f>
        <v/>
      </c>
      <c r="C118" s="67">
        <f t="array" ref="C118">IF(C42=0,"-",_xlfn.TEXTJOIN(", ",TRUE,IF(Summary!$B$30:$AB$30="PASS",Summary!$B$1:$AB$1,"")))</f>
        <v/>
      </c>
      <c r="D118" s="55">
        <f>C42</f>
        <v/>
      </c>
      <c r="E118" s="55">
        <f>B42</f>
        <v/>
      </c>
      <c r="F118" s="55" t="n">
        <v>3</v>
      </c>
    </row>
    <row r="119">
      <c r="A119" s="55">
        <f>Summary!A31</f>
        <v/>
      </c>
      <c r="B119" s="55">
        <f>IF(C43&gt;0,"YES","NO")</f>
        <v/>
      </c>
      <c r="C119" s="67">
        <f t="array" ref="C119">IF(C43=0,"-",_xlfn.TEXTJOIN(", ",TRUE,IF(Summary!$B$31:$AB$31="PASS",Summary!$B$1:$AB$1,"")))</f>
        <v/>
      </c>
      <c r="D119" s="55">
        <f>C43</f>
        <v/>
      </c>
      <c r="E119" s="55">
        <f>B43</f>
        <v/>
      </c>
      <c r="F119" s="55" t="n">
        <v>3</v>
      </c>
    </row>
    <row r="120">
      <c r="A120" s="55">
        <f>Summary!A32</f>
        <v/>
      </c>
      <c r="B120" s="55">
        <f>IF(C44&gt;0,"YES","NO")</f>
        <v/>
      </c>
      <c r="C120" s="67">
        <f t="array" ref="C120">IF(C44=0,"-",_xlfn.TEXTJOIN(", ",TRUE,IF(Summary!$B$32:$AB$32="PASS",Summary!$B$1:$AB$1,"")))</f>
        <v/>
      </c>
      <c r="D120" s="55">
        <f>C44</f>
        <v/>
      </c>
      <c r="E120" s="55">
        <f>B44</f>
        <v/>
      </c>
      <c r="F120" s="55" t="n">
        <v>4</v>
      </c>
    </row>
    <row r="121">
      <c r="A121" s="55">
        <f>Summary!A33</f>
        <v/>
      </c>
      <c r="B121" s="55">
        <f>IF(C45&gt;0,"YES","NO")</f>
        <v/>
      </c>
      <c r="C121" s="67">
        <f t="array" ref="C121">IF(C45=0,"-",_xlfn.TEXTJOIN(", ",TRUE,IF(Summary!$B$33:$AB$33="PASS",Summary!$B$1:$AB$1,"")))</f>
        <v/>
      </c>
      <c r="D121" s="55">
        <f>C45</f>
        <v/>
      </c>
      <c r="E121" s="55">
        <f>B45</f>
        <v/>
      </c>
      <c r="F121" s="55" t="n">
        <v>4</v>
      </c>
    </row>
    <row r="122">
      <c r="A122" s="55">
        <f>Summary!A34</f>
        <v/>
      </c>
      <c r="B122" s="55">
        <f>IF(C46&gt;0,"YES","NO")</f>
        <v/>
      </c>
      <c r="C122" s="67">
        <f t="array" ref="C122">IF(C46=0,"-",_xlfn.TEXTJOIN(", ",TRUE,IF(Summary!$B$34:$AB$34="PASS",Summary!$B$1:$AB$1,"")))</f>
        <v/>
      </c>
      <c r="D122" s="55">
        <f>C46</f>
        <v/>
      </c>
      <c r="E122" s="55">
        <f>B46</f>
        <v/>
      </c>
      <c r="F122" s="55" t="n">
        <v>4</v>
      </c>
    </row>
    <row r="123">
      <c r="A123" s="55">
        <f>Summary!A35</f>
        <v/>
      </c>
      <c r="B123" s="55">
        <f>IF(C47&gt;0,"YES","NO")</f>
        <v/>
      </c>
      <c r="C123" s="67">
        <f t="array" ref="C123">IF(C47=0,"-",_xlfn.TEXTJOIN(", ",TRUE,IF(Summary!$B$35:$AB$35="PASS",Summary!$B$1:$AB$1,"")))</f>
        <v/>
      </c>
      <c r="D123" s="55">
        <f>C47</f>
        <v/>
      </c>
      <c r="E123" s="55">
        <f>B47</f>
        <v/>
      </c>
      <c r="F123" s="55" t="n">
        <v>4</v>
      </c>
    </row>
    <row r="124">
      <c r="A124" s="55">
        <f>Summary!A36</f>
        <v/>
      </c>
      <c r="B124" s="55">
        <f>IF(C48&gt;0,"YES","NO")</f>
        <v/>
      </c>
      <c r="C124" s="67">
        <f t="array" ref="C124">IF(C48=0,"-",_xlfn.TEXTJOIN(", ",TRUE,IF(Summary!$B$36:$AB$36="PASS",Summary!$B$1:$AB$1,"")))</f>
        <v/>
      </c>
      <c r="D124" s="55">
        <f>C48</f>
        <v/>
      </c>
      <c r="E124" s="55">
        <f>B48</f>
        <v/>
      </c>
      <c r="F124" s="55" t="n">
        <v>4</v>
      </c>
    </row>
    <row r="125">
      <c r="A125" s="55">
        <f>Summary!A37</f>
        <v/>
      </c>
      <c r="B125" s="55">
        <f>IF(C49&gt;0,"YES","NO")</f>
        <v/>
      </c>
      <c r="C125" s="67">
        <f t="array" ref="C125">IF(C49=0,"-",_xlfn.TEXTJOIN(", ",TRUE,IF(Summary!$B$37:$AB$37="PASS",Summary!$B$1:$AB$1,"")))</f>
        <v/>
      </c>
      <c r="D125" s="55">
        <f>C49</f>
        <v/>
      </c>
      <c r="E125" s="55">
        <f>B49</f>
        <v/>
      </c>
      <c r="F125" s="55" t="n">
        <v>4</v>
      </c>
    </row>
    <row r="126">
      <c r="A126" s="55">
        <f>Summary!A38</f>
        <v/>
      </c>
      <c r="B126" s="55">
        <f>IF(C50&gt;0,"YES","NO")</f>
        <v/>
      </c>
      <c r="C126" s="67">
        <f t="array" ref="C126">IF(C50=0,"-",_xlfn.TEXTJOIN(", ",TRUE,IF(Summary!$B$38:$AB$38="PASS",Summary!$B$1:$AB$1,"")))</f>
        <v/>
      </c>
      <c r="D126" s="55">
        <f>C50</f>
        <v/>
      </c>
      <c r="E126" s="55">
        <f>B50</f>
        <v/>
      </c>
      <c r="F126" s="55" t="n">
        <v>4</v>
      </c>
    </row>
    <row r="127">
      <c r="A127" s="55">
        <f>Summary!A39</f>
        <v/>
      </c>
      <c r="B127" s="55">
        <f>IF(C51&gt;0,"YES","NO")</f>
        <v/>
      </c>
      <c r="C127" s="67">
        <f t="array" ref="C127">IF(C51=0,"-",_xlfn.TEXTJOIN(", ",TRUE,IF(Summary!$B$39:$AB$39="PASS",Summary!$B$1:$AB$1,"")))</f>
        <v/>
      </c>
      <c r="D127" s="55">
        <f>C51</f>
        <v/>
      </c>
      <c r="E127" s="55">
        <f>B51</f>
        <v/>
      </c>
      <c r="F127" s="55" t="n">
        <v>4</v>
      </c>
    </row>
    <row r="128">
      <c r="A128" s="55">
        <f>Summary!A40</f>
        <v/>
      </c>
      <c r="B128" s="55">
        <f>IF(C52&gt;0,"YES","NO")</f>
        <v/>
      </c>
      <c r="C128" s="67">
        <f t="array" ref="C128">IF(C52=0,"-",_xlfn.TEXTJOIN(", ",TRUE,IF(Summary!$B$40:$AB$40="PASS",Summary!$B$1:$AB$1,"")))</f>
        <v/>
      </c>
      <c r="D128" s="55">
        <f>C52</f>
        <v/>
      </c>
      <c r="E128" s="55">
        <f>B52</f>
        <v/>
      </c>
      <c r="F128" s="55" t="n">
        <v>4</v>
      </c>
    </row>
    <row r="129">
      <c r="A129" s="55">
        <f>Summary!A41</f>
        <v/>
      </c>
      <c r="B129" s="55">
        <f>IF(C53&gt;0,"YES","NO")</f>
        <v/>
      </c>
      <c r="C129" s="67">
        <f t="array" ref="C129">IF(C53=0,"-",_xlfn.TEXTJOIN(", ",TRUE,IF(Summary!$B$41:$AB$41="PASS",Summary!$B$1:$AB$1,"")))</f>
        <v/>
      </c>
      <c r="D129" s="55">
        <f>C53</f>
        <v/>
      </c>
      <c r="E129" s="55">
        <f>B53</f>
        <v/>
      </c>
      <c r="F129" s="55" t="n">
        <v>4</v>
      </c>
    </row>
    <row r="130">
      <c r="A130" s="55">
        <f>Summary!A42</f>
        <v/>
      </c>
      <c r="B130" s="55">
        <f>IF(C54&gt;0,"YES","NO")</f>
        <v/>
      </c>
      <c r="C130" s="67">
        <f t="array" ref="C130">IF(C54=0,"-",_xlfn.TEXTJOIN(", ",TRUE,IF(Summary!$B$42:$AB$42="PASS",Summary!$B$1:$AB$1,"")))</f>
        <v/>
      </c>
      <c r="D130" s="55">
        <f>C54</f>
        <v/>
      </c>
      <c r="E130" s="55">
        <f>B54</f>
        <v/>
      </c>
      <c r="F130" s="55" t="n">
        <v>5</v>
      </c>
    </row>
    <row r="131">
      <c r="A131" s="55">
        <f>Summary!A43</f>
        <v/>
      </c>
      <c r="B131" s="55">
        <f>IF(C55&gt;0,"YES","NO")</f>
        <v/>
      </c>
      <c r="C131" s="67">
        <f t="array" ref="C131">IF(C55=0,"-",_xlfn.TEXTJOIN(", ",TRUE,IF(Summary!$B$43:$AB$43="PASS",Summary!$B$1:$AB$1,"")))</f>
        <v/>
      </c>
      <c r="D131" s="55">
        <f>C55</f>
        <v/>
      </c>
      <c r="E131" s="55">
        <f>B55</f>
        <v/>
      </c>
      <c r="F131" s="55" t="n">
        <v>5</v>
      </c>
    </row>
    <row r="132">
      <c r="A132" s="55">
        <f>Summary!A44</f>
        <v/>
      </c>
      <c r="B132" s="55">
        <f>IF(C56&gt;0,"YES","NO")</f>
        <v/>
      </c>
      <c r="C132" s="67">
        <f t="array" ref="C132">IF(C56=0,"-",_xlfn.TEXTJOIN(", ",TRUE,IF(Summary!$B$44:$AB$44="PASS",Summary!$B$1:$AB$1,"")))</f>
        <v/>
      </c>
      <c r="D132" s="55">
        <f>C56</f>
        <v/>
      </c>
      <c r="E132" s="55">
        <f>B56</f>
        <v/>
      </c>
      <c r="F132" s="55" t="n">
        <v>5</v>
      </c>
    </row>
    <row r="133">
      <c r="A133" s="55">
        <f>Summary!A45</f>
        <v/>
      </c>
      <c r="B133" s="55">
        <f>IF(C57&gt;0,"YES","NO")</f>
        <v/>
      </c>
      <c r="C133" s="67">
        <f t="array" ref="C133">IF(C57=0,"-",_xlfn.TEXTJOIN(", ",TRUE,IF(Summary!$B$45:$AB$45="PASS",Summary!$B$1:$AB$1,"")))</f>
        <v/>
      </c>
      <c r="D133" s="55">
        <f>C57</f>
        <v/>
      </c>
      <c r="E133" s="55">
        <f>B57</f>
        <v/>
      </c>
      <c r="F133" s="55" t="n">
        <v>5</v>
      </c>
    </row>
    <row r="134">
      <c r="A134" s="55">
        <f>Summary!A46</f>
        <v/>
      </c>
      <c r="B134" s="55">
        <f>IF(C58&gt;0,"YES","NO")</f>
        <v/>
      </c>
      <c r="C134" s="67">
        <f t="array" ref="C134">IF(C58=0,"-",_xlfn.TEXTJOIN(", ",TRUE,IF(Summary!$B$46:$AB$46="PASS",Summary!$B$1:$AB$1,"")))</f>
        <v/>
      </c>
      <c r="D134" s="55">
        <f>C58</f>
        <v/>
      </c>
      <c r="E134" s="55">
        <f>B58</f>
        <v/>
      </c>
      <c r="F134" s="55" t="n">
        <v>5</v>
      </c>
    </row>
    <row r="135">
      <c r="A135" s="55">
        <f>Summary!A47</f>
        <v/>
      </c>
      <c r="B135" s="55">
        <f>IF(C59&gt;0,"YES","NO")</f>
        <v/>
      </c>
      <c r="C135" s="67">
        <f t="array" ref="C135">IF(C59=0,"-",_xlfn.TEXTJOIN(", ",TRUE,IF(Summary!$B$47:$AB$47="PASS",Summary!$B$1:$AB$1,"")))</f>
        <v/>
      </c>
      <c r="D135" s="55">
        <f>C59</f>
        <v/>
      </c>
      <c r="E135" s="55">
        <f>B59</f>
        <v/>
      </c>
      <c r="F135" s="55" t="n">
        <v>5</v>
      </c>
    </row>
    <row r="136">
      <c r="A136" s="55">
        <f>Summary!A48</f>
        <v/>
      </c>
      <c r="B136" s="55">
        <f>IF(C60&gt;0,"YES","NO")</f>
        <v/>
      </c>
      <c r="C136" s="67">
        <f t="array" ref="C136">IF(C60=0,"-",_xlfn.TEXTJOIN(", ",TRUE,IF(Summary!$B$48:$AB$48="PASS",Summary!$B$1:$AB$1,"")))</f>
        <v/>
      </c>
      <c r="D136" s="55">
        <f>C60</f>
        <v/>
      </c>
      <c r="E136" s="55">
        <f>B60</f>
        <v/>
      </c>
      <c r="F136" s="55" t="n">
        <v>5</v>
      </c>
    </row>
    <row r="137">
      <c r="A137" s="55">
        <f>Summary!A49</f>
        <v/>
      </c>
      <c r="B137" s="55">
        <f>IF(C61&gt;0,"YES","NO")</f>
        <v/>
      </c>
      <c r="C137" s="67">
        <f t="array" ref="C137">IF(C61=0,"-",_xlfn.TEXTJOIN(", ",TRUE,IF(Summary!$B$49:$AB$49="PASS",Summary!$B$1:$AB$1,"")))</f>
        <v/>
      </c>
      <c r="D137" s="55">
        <f>C61</f>
        <v/>
      </c>
      <c r="E137" s="55">
        <f>B61</f>
        <v/>
      </c>
      <c r="F137" s="55" t="n">
        <v>5</v>
      </c>
    </row>
    <row r="138">
      <c r="A138" s="55">
        <f>Summary!A50</f>
        <v/>
      </c>
      <c r="B138" s="55">
        <f>IF(C62&gt;0,"YES","NO")</f>
        <v/>
      </c>
      <c r="C138" s="67">
        <f t="array" ref="C138">IF(C62=0,"-",_xlfn.TEXTJOIN(", ",TRUE,IF(Summary!$B$50:$AB$50="PASS",Summary!$B$1:$AB$1,"")))</f>
        <v/>
      </c>
      <c r="D138" s="55">
        <f>C62</f>
        <v/>
      </c>
      <c r="E138" s="55">
        <f>B62</f>
        <v/>
      </c>
      <c r="F138" s="55" t="n">
        <v>5</v>
      </c>
    </row>
    <row r="139">
      <c r="A139" s="55">
        <f>Summary!A51</f>
        <v/>
      </c>
      <c r="B139" s="55">
        <f>IF(C63&gt;0,"YES","NO")</f>
        <v/>
      </c>
      <c r="C139" s="67">
        <f t="array" ref="C139">IF(C63=0,"-",_xlfn.TEXTJOIN(", ",TRUE,IF(Summary!$B$51:$AB$51="PASS",Summary!$B$1:$AB$1,"")))</f>
        <v/>
      </c>
      <c r="D139" s="55">
        <f>C63</f>
        <v/>
      </c>
      <c r="E139" s="55">
        <f>B63</f>
        <v/>
      </c>
      <c r="F139" s="55" t="n">
        <v>5</v>
      </c>
    </row>
    <row r="140">
      <c r="A140" s="55">
        <f>Summary!A52</f>
        <v/>
      </c>
      <c r="B140" s="55">
        <f>IF(C64&gt;0,"YES","NO")</f>
        <v/>
      </c>
      <c r="C140" s="67">
        <f t="array" ref="C140">IF(C64=0,"-",_xlfn.TEXTJOIN(", ",TRUE,IF(Summary!$B$52:$AB$52="PASS",Summary!$B$1:$AB$1,"")))</f>
        <v/>
      </c>
      <c r="D140" s="55">
        <f>C64</f>
        <v/>
      </c>
      <c r="E140" s="55">
        <f>B64</f>
        <v/>
      </c>
      <c r="F140" s="55" t="n">
        <v>6</v>
      </c>
    </row>
    <row r="141">
      <c r="A141" s="55">
        <f>Summary!A53</f>
        <v/>
      </c>
      <c r="B141" s="55">
        <f>IF(C65&gt;0,"YES","NO")</f>
        <v/>
      </c>
      <c r="C141" s="67">
        <f t="array" ref="C141">IF(C65=0,"-",_xlfn.TEXTJOIN(", ",TRUE,IF(Summary!$B$53:$AB$53="PASS",Summary!$B$1:$AB$1,"")))</f>
        <v/>
      </c>
      <c r="D141" s="55">
        <f>C65</f>
        <v/>
      </c>
      <c r="E141" s="55">
        <f>B65</f>
        <v/>
      </c>
      <c r="F141" s="55" t="n">
        <v>6</v>
      </c>
    </row>
    <row r="142">
      <c r="A142" s="55">
        <f>Summary!A54</f>
        <v/>
      </c>
      <c r="B142" s="55">
        <f>IF(C66&gt;0,"YES","NO")</f>
        <v/>
      </c>
      <c r="C142" s="67">
        <f t="array" ref="C142">IF(C66=0,"-",_xlfn.TEXTJOIN(", ",TRUE,IF(Summary!$B$54:$AB$54="PASS",Summary!$B$1:$AB$1,"")))</f>
        <v/>
      </c>
      <c r="D142" s="55">
        <f>C66</f>
        <v/>
      </c>
      <c r="E142" s="55">
        <f>B66</f>
        <v/>
      </c>
      <c r="F142" s="55" t="n">
        <v>6</v>
      </c>
    </row>
    <row r="143">
      <c r="A143" s="55">
        <f>Summary!A55</f>
        <v/>
      </c>
      <c r="B143" s="55">
        <f>IF(C67&gt;0,"YES","NO")</f>
        <v/>
      </c>
      <c r="C143" s="67">
        <f t="array" ref="C143">IF(C67=0,"-",_xlfn.TEXTJOIN(", ",TRUE,IF(Summary!$B$55:$AB$55="PASS",Summary!$B$1:$AB$1,"")))</f>
        <v/>
      </c>
      <c r="D143" s="55">
        <f>C67</f>
        <v/>
      </c>
      <c r="E143" s="55">
        <f>B67</f>
        <v/>
      </c>
      <c r="F143" s="55" t="n">
        <v>6</v>
      </c>
    </row>
    <row r="144">
      <c r="A144" s="55">
        <f>Summary!A56</f>
        <v/>
      </c>
      <c r="B144" s="55">
        <f>IF(C68&gt;0,"YES","NO")</f>
        <v/>
      </c>
      <c r="C144" s="67">
        <f t="array" ref="C144">IF(C68=0,"-",_xlfn.TEXTJOIN(", ",TRUE,IF(Summary!$B$56:$AB$56="PASS",Summary!$B$1:$AB$1,"")))</f>
        <v/>
      </c>
      <c r="D144" s="55">
        <f>C68</f>
        <v/>
      </c>
      <c r="E144" s="55">
        <f>B68</f>
        <v/>
      </c>
      <c r="F144" s="55" t="n">
        <v>6</v>
      </c>
    </row>
    <row r="145">
      <c r="A145" s="55">
        <f>Summary!A57</f>
        <v/>
      </c>
      <c r="B145" s="55">
        <f>IF(C69&gt;0,"YES","NO")</f>
        <v/>
      </c>
      <c r="C145" s="67">
        <f t="array" ref="C145">IF(C69=0,"-",_xlfn.TEXTJOIN(", ",TRUE,IF(Summary!$B$57:$AB$57="PASS",Summary!$B$1:$AB$1,"")))</f>
        <v/>
      </c>
      <c r="D145" s="55">
        <f>C69</f>
        <v/>
      </c>
      <c r="E145" s="55">
        <f>B69</f>
        <v/>
      </c>
      <c r="F145" s="55" t="n">
        <v>6</v>
      </c>
    </row>
    <row r="146">
      <c r="A146" s="55">
        <f>Summary!A58</f>
        <v/>
      </c>
      <c r="B146" s="55">
        <f>IF(C70&gt;0,"YES","NO")</f>
        <v/>
      </c>
      <c r="C146" s="67">
        <f t="array" ref="C146">IF(C70=0,"-",_xlfn.TEXTJOIN(", ",TRUE,IF(Summary!$B$58:$AB$58="PASS",Summary!$B$1:$AB$1,"")))</f>
        <v/>
      </c>
      <c r="D146" s="55">
        <f>C70</f>
        <v/>
      </c>
      <c r="E146" s="55">
        <f>B70</f>
        <v/>
      </c>
      <c r="F146" s="55" t="n">
        <v>6</v>
      </c>
    </row>
    <row r="147">
      <c r="A147" s="55">
        <f>Summary!A59</f>
        <v/>
      </c>
      <c r="B147" s="55">
        <f>IF(C71&gt;0,"YES","NO")</f>
        <v/>
      </c>
      <c r="C147" s="67">
        <f t="array" ref="C147">IF(C71=0,"-",_xlfn.TEXTJOIN(", ",TRUE,IF(Summary!$B$59:$AB$59="PASS",Summary!$B$1:$AB$1,"")))</f>
        <v/>
      </c>
      <c r="D147" s="55">
        <f>C71</f>
        <v/>
      </c>
      <c r="E147" s="55">
        <f>B71</f>
        <v/>
      </c>
      <c r="F147" s="55" t="n">
        <v>6</v>
      </c>
    </row>
    <row r="148">
      <c r="A148" s="55">
        <f>Summary!A60</f>
        <v/>
      </c>
      <c r="B148" s="55">
        <f>IF(C72&gt;0,"YES","NO")</f>
        <v/>
      </c>
      <c r="C148" s="67">
        <f t="array" ref="C148">IF(C72=0,"-",_xlfn.TEXTJOIN(", ",TRUE,IF(Summary!$B$60:$AB$60="PASS",Summary!$B$1:$AB$1,"")))</f>
        <v/>
      </c>
      <c r="D148" s="55">
        <f>C72</f>
        <v/>
      </c>
      <c r="E148" s="55">
        <f>B72</f>
        <v/>
      </c>
      <c r="F148" s="55" t="n">
        <v>6</v>
      </c>
    </row>
    <row r="149">
      <c r="A149" s="55">
        <f>Summary!A61</f>
        <v/>
      </c>
      <c r="B149" s="55">
        <f>IF(C73&gt;0,"YES","NO")</f>
        <v/>
      </c>
      <c r="C149" s="67">
        <f t="array" ref="C149">IF(C73=0,"-",_xlfn.TEXTJOIN(", ",TRUE,IF(Summary!$B$61:$AB$61="PASS",Summary!$B$1:$AB$1,"")))</f>
        <v/>
      </c>
      <c r="D149" s="55">
        <f>C73</f>
        <v/>
      </c>
      <c r="E149" s="55">
        <f>B73</f>
        <v/>
      </c>
      <c r="F149" s="55" t="n">
        <v>6</v>
      </c>
    </row>
    <row r="150">
      <c r="A150">
        <f>IF(B87=0,"Every case passed on either all or none of its versions, so the at-least-one count equals the strict count.","Some cases passed on only part of their versions; see the table above.")</f>
        <v/>
      </c>
    </row>
    <row r="152">
      <c r="A152" s="60" t="inlineStr">
        <is>
          <t>5. Notes: every case, its versions and what happened</t>
        </is>
      </c>
    </row>
    <row r="153">
      <c r="A153" s="54" t="inlineStr">
        <is>
          <t>Result</t>
        </is>
      </c>
      <c r="B153" s="54" t="inlineStr">
        <is>
          <t>Case</t>
        </is>
      </c>
      <c r="C153" s="54" t="inlineStr">
        <is>
          <t>Versions</t>
        </is>
      </c>
      <c r="D153" s="54" t="inlineStr">
        <is>
          <t># versions</t>
        </is>
      </c>
      <c r="E153" s="54" t="inlineStr">
        <is>
          <t>Error type</t>
        </is>
      </c>
      <c r="F153" s="54" t="inlineStr">
        <is>
          <t>Error message (last traceback line)</t>
        </is>
      </c>
      <c r="G153" s="54" t="inlineStr">
        <is>
          <t>What happened (plain English)</t>
        </is>
      </c>
      <c r="H153" s="54" t="inlineStr">
        <is>
          <t>Batch</t>
        </is>
      </c>
    </row>
    <row r="154">
      <c r="A154" s="68" t="inlineStr">
        <is>
          <t>PASS</t>
        </is>
      </c>
      <c r="B154" s="67" t="inlineStr">
        <is>
          <t>issue_032_se</t>
        </is>
      </c>
      <c r="C154" s="67" t="inlineStr">
        <is>
          <t>0.25.0, 0.25.1, 0.25.2, 0.25.3</t>
        </is>
      </c>
      <c r="D154" s="67" t="n">
        <v>4</v>
      </c>
      <c r="E154" s="67" t="n"/>
      <c r="F154" s="67" t="n"/>
      <c r="G154" s="67" t="inlineStr">
        <is>
          <t>The LLM passed an iSwapGate() object instead of the unrecognised 'iswap' string, the same fix as the reference.</t>
        </is>
      </c>
      <c r="H154" s="67" t="n">
        <v>1</v>
      </c>
    </row>
    <row r="155">
      <c r="A155" s="68" t="inlineStr">
        <is>
          <t>PASS</t>
        </is>
      </c>
      <c r="B155" s="67" t="inlineStr">
        <is>
          <t>issue_034</t>
        </is>
      </c>
      <c r="C155" s="67" t="inlineStr">
        <is>
          <t>1.0.0, 1.0.1, 1.0.2, 1.1.0, 1.1.1, 1.1.2, 1.2.0, 1.2.1, 1.2.2, 1.2.4, 2.0.0, 2.2.0, 2.3.0, 2.4.0, 2.5.0</t>
        </is>
      </c>
      <c r="D155" s="67" t="n">
        <v>15</v>
      </c>
      <c r="E155" s="67" t="n"/>
      <c r="F155" s="67" t="n"/>
      <c r="G155" s="67" t="inlineStr">
        <is>
          <t>The LLM imported Aer from qiskit_aer instead of qiskit, the same fix as the reference.</t>
        </is>
      </c>
      <c r="H155" s="67" t="n">
        <v>1</v>
      </c>
    </row>
    <row r="156">
      <c r="A156" s="68" t="inlineStr">
        <is>
          <t>PASS</t>
        </is>
      </c>
      <c r="B156" s="67" t="inlineStr">
        <is>
          <t>issue_036</t>
        </is>
      </c>
      <c r="C156" s="67" t="inlineStr">
        <is>
          <t>1.0.0, 1.0.1, 1.0.2, 1.1.0, 1.1.1, 1.1.2, 1.2.0, 1.2.1, 1.2.2, 1.2.4, 2.0.0, 2.2.0, 2.3.0, 2.4.0, 2.5.0</t>
        </is>
      </c>
      <c r="D156" s="67" t="n">
        <v>15</v>
      </c>
      <c r="E156" s="67" t="n"/>
      <c r="F156" s="67" t="n"/>
      <c r="G156" s="67" t="inlineStr">
        <is>
          <t>The LLM replaced the removed c.qasm() with qasm2.dumps(c), the same fix as the reference.</t>
        </is>
      </c>
      <c r="H156" s="67" t="n">
        <v>1</v>
      </c>
    </row>
    <row r="157">
      <c r="A157" s="68" t="inlineStr">
        <is>
          <t>PASS</t>
        </is>
      </c>
      <c r="B157" s="67" t="inlineStr">
        <is>
          <t>issue_058_se</t>
        </is>
      </c>
      <c r="C157" s="67" t="inlineStr">
        <is>
          <t>0.25.0, 0.25.1, 0.25.2, 0.25.3, 0.45.0, 0.45.1, 0.45.2, 0.45.3, 0.46.0, 0.46.1, 0.46.2, 0.46.3</t>
        </is>
      </c>
      <c r="D157" s="67" t="n">
        <v>12</v>
      </c>
      <c r="E157" s="67" t="n"/>
      <c r="F157" s="67" t="n"/>
      <c r="G157" s="67" t="inlineStr">
        <is>
          <t>The LLM decomposed the custom diffuser gate before running it (the reference transpiles instead), and the simulator produced the correct state.</t>
        </is>
      </c>
      <c r="H157" s="67" t="n">
        <v>1</v>
      </c>
    </row>
    <row r="158">
      <c r="A158" s="68" t="inlineStr">
        <is>
          <t>PASS</t>
        </is>
      </c>
      <c r="B158" s="67" t="inlineStr">
        <is>
          <t>issue_061</t>
        </is>
      </c>
      <c r="C158" s="67" t="inlineStr">
        <is>
          <t>1.0.0, 1.0.1, 1.0.2, 1.1.0, 1.1.1, 1.1.2, 1.2.0, 1.2.1, 1.2.2, 1.2.4, 2.0.0, 2.2.0, 2.3.0, 2.4.0, 2.5.0</t>
        </is>
      </c>
      <c r="D158" s="67" t="n">
        <v>15</v>
      </c>
      <c r="E158" s="67" t="n"/>
      <c r="F158" s="67" t="n"/>
      <c r="G158" s="67" t="inlineStr">
        <is>
          <t>The LLM read the register and register-local index via qc.find_bit(qbit).registers[0], removing the deprecated back-references. The team's updated test_new.py accepts this output (the old test.py only accepted the reference's exact print format).</t>
        </is>
      </c>
      <c r="H158" s="67" t="n">
        <v>1</v>
      </c>
    </row>
    <row r="159">
      <c r="A159" s="68" t="inlineStr">
        <is>
          <t>PASS</t>
        </is>
      </c>
      <c r="B159" s="67" t="inlineStr">
        <is>
          <t>issue_072</t>
        </is>
      </c>
      <c r="C159" s="67" t="inlineStr">
        <is>
          <t>0.25.0, 0.25.1, 0.25.2, 0.25.3</t>
        </is>
      </c>
      <c r="D159" s="67" t="n">
        <v>4</v>
      </c>
      <c r="E159" s="67" t="n"/>
      <c r="F159" s="67" t="n"/>
      <c r="G159" s="67" t="inlineStr">
        <is>
          <t>The LLM remapped the duplicated qreg[5] to the unused physical qubit 15 (the reference used 16), so every virtual qubit gets its own physical qubit.</t>
        </is>
      </c>
      <c r="H159" s="67" t="n">
        <v>1</v>
      </c>
    </row>
    <row r="160">
      <c r="A160" s="69" t="inlineStr">
        <is>
          <t>FAIL</t>
        </is>
      </c>
      <c r="B160" s="67" t="inlineStr">
        <is>
          <t>issue_018_se</t>
        </is>
      </c>
      <c r="C160" s="67" t="inlineStr">
        <is>
          <t>1.0.0, 1.0.1, 1.0.2, 1.1.0, 1.1.1, 1.1.2, 1.2.0, 1.2.1, 1.2.2, 1.2.4, 2.0.0, 2.2.0, 2.3.0, 2.4.0, 2.5.0</t>
        </is>
      </c>
      <c r="D160" s="67" t="n">
        <v>15</v>
      </c>
      <c r="E160" s="67" t="inlineStr">
        <is>
          <t>AssertionError</t>
        </is>
      </c>
      <c r="F160" s="67" t="inlineStr">
        <is>
          <t xml:space="preserve">AssertionError: Not equal to tolerance rtol=0, atol=1e-12 The ideal magic-square strategy must win every input pair. Mismatched elements: 6 / 9 (66.7%) Max absolute difference: 0.5 Max relative difference: inf x: array([0. , 0.5, 0.5, 0.5, 0. , 0.5, </t>
        </is>
      </c>
      <c r="G160" s="67" t="inlineStr">
        <is>
          <t>The LLM swapped which inputs choose Alice's and Bob's answers, so the strategy still loses 6 of the 9 input pairs half the time instead of always winning (the Aer simulator also crashes natively here, as it does for fixed.py).</t>
        </is>
      </c>
      <c r="H160" s="67" t="n">
        <v>1</v>
      </c>
    </row>
    <row r="161">
      <c r="A161" s="69" t="inlineStr">
        <is>
          <t>FAIL</t>
        </is>
      </c>
      <c r="B161" s="67" t="inlineStr">
        <is>
          <t>issue_096</t>
        </is>
      </c>
      <c r="C161" s="67" t="inlineStr">
        <is>
          <t>0.25.0, 0.25.1, 0.25.2, 0.25.3, 0.45.0, 0.45.1, 0.45.2, 0.45.3, 0.46.0, 0.46.1, 0.46.2, 0.46.3, 1.0.0, 1.0.1, 1.0.2, 1.1.0, 1.1.1, 1.1.2, 1.2.0, 1.2.1, 1.2.2, 1.2.4, 2.0.0, 2.2.0, 2.3.0, 2.4.0, 2.5.0</t>
        </is>
      </c>
      <c r="D161" s="67" t="n">
        <v>27</v>
      </c>
      <c r="E161" s="67" t="inlineStr">
        <is>
          <t>AssertionError</t>
        </is>
      </c>
      <c r="F161" s="67" t="inlineStr">
        <is>
          <t>AssertionError: '' != '[default]\n' + [default] | AssertionError: False is not true : Missing ipython_kernel_config.py (even when the profile directory already exists)</t>
        </is>
      </c>
      <c r="G161" s="67" t="inlineStr">
        <is>
          <t>The LLM creates an empty Qiskit settings file instead of one containing '[default]', and never creates the ipython_kernel_config.py file the user needed.</t>
        </is>
      </c>
      <c r="H161" s="67" t="n">
        <v>1</v>
      </c>
    </row>
    <row r="162">
      <c r="A162" s="69" t="inlineStr">
        <is>
          <t>FAIL</t>
        </is>
      </c>
      <c r="B162" s="67" t="inlineStr">
        <is>
          <t>issue_009</t>
        </is>
      </c>
      <c r="C162" s="67" t="inlineStr">
        <is>
          <t>0.45.2, 0.45.3</t>
        </is>
      </c>
      <c r="D162" s="67" t="n">
        <v>2</v>
      </c>
      <c r="E162" s="67" t="inlineStr">
        <is>
          <t>AssertionError</t>
        </is>
      </c>
      <c r="F162" s="67" t="inlineStr">
        <is>
          <t>AssertionError: 3 != 5</t>
        </is>
      </c>
      <c r="G162"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62" s="67" t="n">
        <v>1</v>
      </c>
    </row>
    <row r="163">
      <c r="A163" s="70" t="inlineStr">
        <is>
          <t>ERROR</t>
        </is>
      </c>
      <c r="B163" s="67" t="inlineStr">
        <is>
          <t>issue_009</t>
        </is>
      </c>
      <c r="C163" s="67" t="inlineStr">
        <is>
          <t>0.45.0, 0.45.1, 0.46.0, 0.46.1, 0.46.2, 0.46.3</t>
        </is>
      </c>
      <c r="D163" s="67" t="n">
        <v>6</v>
      </c>
      <c r="E163" s="67" t="inlineStr">
        <is>
          <t>TranspilerError</t>
        </is>
      </c>
      <c r="F163" s="67" t="inlineStr">
        <is>
          <t>qiskit.transpiler.exceptions.TranspilerError: "The 'layout' must be full (with ancilla)."</t>
        </is>
      </c>
      <c r="G163" s="67" t="inlineStr">
        <is>
          <t>The LLM ran CSPLayout and ApplyLayout by hand in a PassManager but never added the passes that extend the 3-qubit layout to the backend's 5 qubits (FullAncillaAllocation / EnlargeWithAncilla), so ApplyLayout rejects the partial layout.</t>
        </is>
      </c>
      <c r="H163" s="67" t="n">
        <v>1</v>
      </c>
    </row>
    <row r="164">
      <c r="A164" s="70" t="inlineStr">
        <is>
          <t>ERROR</t>
        </is>
      </c>
      <c r="B164" s="67" t="inlineStr">
        <is>
          <t>issue_021_se</t>
        </is>
      </c>
      <c r="C164" s="67" t="inlineStr">
        <is>
          <t>0.25.0, 0.25.1, 0.25.2, 0.25.3</t>
        </is>
      </c>
      <c r="D164" s="67" t="n">
        <v>4</v>
      </c>
      <c r="E164" s="67" t="inlineStr">
        <is>
          <t>QiskitError</t>
        </is>
      </c>
      <c r="F164" s="67" t="inlineStr">
        <is>
          <t>qiskit.exceptions.QiskitError: 'ERROR: [Experiment 0] Circuit contains invalid instructions {"gates": {disentangler_dg}} for "statevector" method , ERROR: Circuit contains invalid instructions {"gates": {disentangler_dg}} for "statevector" method'</t>
        </is>
      </c>
      <c r="G164" s="67" t="inlineStr">
        <is>
          <t>Calling circuit.decompose() only unrolls one level, leaving a 'disentangler_dg' instruction that the Aer statevector simulator cannot run, so the simulation fails.</t>
        </is>
      </c>
      <c r="H164" s="67" t="n">
        <v>1</v>
      </c>
    </row>
    <row r="165">
      <c r="A165" s="70" t="inlineStr">
        <is>
          <t>ERROR</t>
        </is>
      </c>
      <c r="B165" s="67" t="inlineStr">
        <is>
          <t>issue_021_se</t>
        </is>
      </c>
      <c r="C165" s="67" t="inlineStr">
        <is>
          <t>0.45.0, 0.45.1, 0.45.2, 0.45.3, 0.46.0, 0.46.1, 0.46.2, 0.46.3</t>
        </is>
      </c>
      <c r="D165" s="67" t="n">
        <v>8</v>
      </c>
      <c r="E165" s="67" t="inlineStr">
        <is>
          <t>QiskitError</t>
        </is>
      </c>
      <c r="F165" s="67" t="inlineStr">
        <is>
          <t>qiskit.exceptions.QiskitError: 'You have to select a circuit or schedule when there is more than one available'</t>
        </is>
      </c>
      <c r="G165" s="67" t="inlineStr">
        <is>
          <t>Calling circuit.decompose() only unrolls one level, leaving a 'state_preparation' instruction that Aer cannot load, so the simulation fails and no statevector is returned.</t>
        </is>
      </c>
      <c r="H165" s="67" t="n">
        <v>1</v>
      </c>
    </row>
    <row r="166">
      <c r="A166" s="68" t="inlineStr">
        <is>
          <t>PASS</t>
        </is>
      </c>
      <c r="B166" s="67" t="inlineStr">
        <is>
          <t>issue_155</t>
        </is>
      </c>
      <c r="C166" s="67" t="inlineStr">
        <is>
          <t>0.25.0, 0.25.1, 0.25.2, 0.25.3, 0.45.0, 0.45.1, 0.45.2, 0.45.3, 0.46.0, 0.46.1, 0.46.2, 0.46.3</t>
        </is>
      </c>
      <c r="D166" s="67" t="n">
        <v>12</v>
      </c>
      <c r="E166" s="67" t="n"/>
      <c r="F166" s="67" t="n"/>
      <c r="G166" s="67" t="inlineStr">
        <is>
          <t>The LLM turned the two traced-out registers into their qubit indices with qc.qubits.index(...), the same fix as the reference.</t>
        </is>
      </c>
      <c r="H166" s="67" t="n">
        <v>2</v>
      </c>
    </row>
    <row r="167">
      <c r="A167" s="68" t="inlineStr">
        <is>
          <t>PASS</t>
        </is>
      </c>
      <c r="B167" s="67" t="inlineStr">
        <is>
          <t>issue_157</t>
        </is>
      </c>
      <c r="C167" s="67" t="inlineStr">
        <is>
          <t>0.45.0, 0.45.1, 0.45.2, 0.45.3, 0.46.0, 0.46.1, 0.46.2, 0.46.3</t>
        </is>
      </c>
      <c r="D167" s="67" t="n">
        <v>8</v>
      </c>
      <c r="E167" s="67" t="n"/>
      <c r="F167" s="67" t="n"/>
      <c r="G167" s="67" t="inlineStr">
        <is>
          <t>The LLM replaced the non-unitary initialize() with prepare_state(), which builds a unitary state-preparation gate that can be controlled (the reference builds an isometry and wraps it in a UnitaryGate instead).</t>
        </is>
      </c>
      <c r="H167" s="67" t="n">
        <v>2</v>
      </c>
    </row>
    <row r="168">
      <c r="A168" s="68" t="inlineStr">
        <is>
          <t>PASS</t>
        </is>
      </c>
      <c r="B168" s="67" t="inlineStr">
        <is>
          <t>issue_225</t>
        </is>
      </c>
      <c r="C168" s="67" t="inlineStr">
        <is>
          <t>0.45.0, 0.45.1, 0.45.2, 0.45.3, 0.46.0, 0.46.1, 0.46.2, 0.46.3</t>
        </is>
      </c>
      <c r="D168" s="67" t="n">
        <v>8</v>
      </c>
      <c r="E168" s="67" t="n"/>
      <c r="F168" s="67" t="n"/>
      <c r="G168" s="67" t="inlineStr">
        <is>
          <t>The LLM took the Statevector's NumPy array via .data before calling reshape(), equivalent to the reference's np.asarray(...).</t>
        </is>
      </c>
      <c r="H168" s="67" t="n">
        <v>2</v>
      </c>
    </row>
    <row r="169">
      <c r="A169" s="68" t="inlineStr">
        <is>
          <t>PASS</t>
        </is>
      </c>
      <c r="B169" s="67" t="inlineStr">
        <is>
          <t>issue_261</t>
        </is>
      </c>
      <c r="C169" s="67" t="inlineStr">
        <is>
          <t>0.25.0, 0.25.1, 0.25.2, 0.25.3, 0.45.0, 0.45.1, 0.45.2, 0.45.3, 0.46.0, 0.46.1, 0.46.2, 0.46.3</t>
        </is>
      </c>
      <c r="D169" s="67" t="n">
        <v>12</v>
      </c>
      <c r="E169" s="67" t="n"/>
      <c r="F169" s="67" t="n"/>
      <c r="G169" s="67" t="inlineStr">
        <is>
          <t>The LLM replaced PauliOp(hamiltonian_string) with eval(hamiltonian_string), the same fix as the reference.</t>
        </is>
      </c>
      <c r="H169" s="67" t="n">
        <v>2</v>
      </c>
    </row>
    <row r="170">
      <c r="A170" s="68" t="inlineStr">
        <is>
          <t>PASS</t>
        </is>
      </c>
      <c r="B170" s="67" t="inlineStr">
        <is>
          <t>issue_280</t>
        </is>
      </c>
      <c r="C170" s="67" t="inlineStr">
        <is>
          <t>0.25.0, 0.25.1, 0.25.2, 0.25.3, 0.45.0, 0.45.1, 0.45.2, 0.45.3, 0.46.0, 0.46.1, 0.46.2, 0.46.3</t>
        </is>
      </c>
      <c r="D170" s="67" t="n">
        <v>12</v>
      </c>
      <c r="E170" s="67" t="n"/>
      <c r="F170" s="67" t="n"/>
      <c r="G170" s="67" t="inlineStr">
        <is>
          <t>The LLM made the depolarizing error act on 2 qubits so it matches the two-qubit 'cx' instruction, the same fix as the reference.</t>
        </is>
      </c>
      <c r="H170" s="67" t="n">
        <v>2</v>
      </c>
    </row>
    <row r="171">
      <c r="A171" s="68" t="inlineStr">
        <is>
          <t>PASS</t>
        </is>
      </c>
      <c r="B171" s="67" t="inlineStr">
        <is>
          <t>issue_295</t>
        </is>
      </c>
      <c r="C171" s="67" t="inlineStr">
        <is>
          <t>0.45.0, 0.45.1, 0.45.2, 0.45.3, 0.46.0, 0.46.1, 0.46.2, 0.46.3</t>
        </is>
      </c>
      <c r="D171" s="67" t="n">
        <v>8</v>
      </c>
      <c r="E171" s="67" t="n"/>
      <c r="F171" s="67" t="n"/>
      <c r="G171" s="67" t="inlineStr">
        <is>
          <t>The LLM replaced the unsupported circuit += oracle with circuit.compose(oracle, inplace=True); the reference reassigns circuit = circuit.compose(oracle), which does the same thing.</t>
        </is>
      </c>
      <c r="H171" s="67" t="n">
        <v>2</v>
      </c>
    </row>
    <row r="172">
      <c r="A172" s="69" t="inlineStr">
        <is>
          <t>FAIL</t>
        </is>
      </c>
      <c r="B172" s="67" t="inlineStr">
        <is>
          <t>issue_189</t>
        </is>
      </c>
      <c r="C172" s="67" t="inlineStr">
        <is>
          <t>0.45.0, 0.45.1, 0.45.2, 0.45.3, 0.46.0, 0.46.1, 0.46.2, 0.46.3, 1.0.0, 1.0.1, 1.0.2, 1.1.0, 1.1.1, 1.1.2, 1.2.0, 1.2.1, 1.2.2, 1.2.4, 2.0.0, 2.2.0, 2.3.0, 2.4.0, 2.5.0</t>
        </is>
      </c>
      <c r="D172" s="67" t="n">
        <v>23</v>
      </c>
      <c r="E172" s="67" t="inlineStr">
        <is>
          <t>AssertionError</t>
        </is>
      </c>
      <c r="F172" s="67" t="inlineStr">
        <is>
          <t>AssertionError: Lists differ: [2, 3, 4, 5, 6, 7, 8] != [0, 3, 4, 5, 6, 7, 8]</t>
        </is>
      </c>
      <c r="G172" s="67"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H172" s="67" t="n">
        <v>2</v>
      </c>
    </row>
    <row r="173">
      <c r="A173" s="70" t="inlineStr">
        <is>
          <t>ERROR</t>
        </is>
      </c>
      <c r="B173" s="67" t="inlineStr">
        <is>
          <t>issue_157</t>
        </is>
      </c>
      <c r="C173" s="67" t="inlineStr">
        <is>
          <t>0.25.0, 0.25.1, 0.25.2, 0.25.3</t>
        </is>
      </c>
      <c r="D173" s="67" t="n">
        <v>4</v>
      </c>
      <c r="E173" s="67" t="inlineStr">
        <is>
          <t>AttributeError</t>
        </is>
      </c>
      <c r="F173" s="67" t="inlineStr">
        <is>
          <t>AttributeError: 'QuantumCircuit' object has no attribute 'prepare_state'</t>
        </is>
      </c>
      <c r="G173" s="67" t="inlineStr">
        <is>
          <t>The LLM replaced initialize() with QuantumCircuit.prepare_state(), which does not exist yet in Qiskit 0.25 (Terra 0.17), so the script crashes with AttributeError before the gate is built.</t>
        </is>
      </c>
      <c r="H173" s="67" t="n">
        <v>2</v>
      </c>
    </row>
    <row r="174">
      <c r="A174" s="70" t="inlineStr">
        <is>
          <t>ERROR</t>
        </is>
      </c>
      <c r="B174" s="67" t="inlineStr">
        <is>
          <t>issue_174</t>
        </is>
      </c>
      <c r="C174" s="67" t="inlineStr">
        <is>
          <t>0.25.0, 0.25.1, 0.25.2, 0.25.3</t>
        </is>
      </c>
      <c r="D174" s="67" t="n">
        <v>4</v>
      </c>
      <c r="E174" s="67" t="inlineStr">
        <is>
          <t>QasmError</t>
        </is>
      </c>
      <c r="F174" s="67" t="inlineStr">
        <is>
          <t>qiskit.qasm.exceptions.QasmError: 'Unable to match any token rule, got --&gt;#&lt;-- Check your OPENQASM source and any include statements.'</t>
        </is>
      </c>
      <c r="G174" s="67" t="inlineStr">
        <is>
          <t>The LLM's QASM change (if (c==1) instead of if (c[0]==1)) is the same as the reference, but it put its '# FIX:' comment inside the OpenQASM string, where '#' is not valid syntax, so the QASM parser rejects the program. With that one line removed the fix passes.</t>
        </is>
      </c>
      <c r="H174" s="67" t="n">
        <v>2</v>
      </c>
    </row>
    <row r="175">
      <c r="A175" s="70" t="inlineStr">
        <is>
          <t>ERROR</t>
        </is>
      </c>
      <c r="B175" s="67" t="inlineStr">
        <is>
          <t>issue_174</t>
        </is>
      </c>
      <c r="C175" s="67" t="inlineStr">
        <is>
          <t>0.45.0, 0.45.1, 0.45.2, 0.45.3, 0.46.0, 0.46.1, 0.46.2, 0.46.3</t>
        </is>
      </c>
      <c r="D175" s="67" t="n">
        <v>8</v>
      </c>
      <c r="E175" s="67" t="inlineStr">
        <is>
          <t>QASM2ParseError</t>
        </is>
      </c>
      <c r="F175" s="67" t="inlineStr">
        <is>
          <t>qiskit.qasm2.exceptions.QASM2ParseError: "&lt;input&gt;:10,0: encountered '#', which doesn't match any valid tokens"</t>
        </is>
      </c>
      <c r="G175" s="67" t="inlineStr">
        <is>
          <t>The LLM's QASM change (if (c==1) instead of if (c[0]==1)) is the same as the reference, but it put its '# FIX:' comment inside the OpenQASM string, where '#' is not valid syntax, so the QASM parser rejects the program. With that one line removed the fix passes.</t>
        </is>
      </c>
      <c r="H175" s="67" t="n">
        <v>2</v>
      </c>
    </row>
    <row r="176">
      <c r="A176" s="70" t="inlineStr">
        <is>
          <t>ERROR</t>
        </is>
      </c>
      <c r="B176" s="67" t="inlineStr">
        <is>
          <t>issue_233</t>
        </is>
      </c>
      <c r="C176" s="67" t="inlineStr">
        <is>
          <t>0.25.0, 0.25.1, 0.25.2, 0.25.3, 0.45.0, 0.45.1, 0.45.2, 0.45.3, 0.46.0, 0.46.1, 0.46.2, 0.46.3, 1.0.0, 1.0.1, 1.0.2, 1.1.0, 1.1.1, 1.1.2, 1.2.0, 1.2.1, 1.2.2, 1.2.4, 2.0.0, 2.2.0, 2.3.0, 2.4.0, 2.5.0</t>
        </is>
      </c>
      <c r="D176" s="67" t="n">
        <v>27</v>
      </c>
      <c r="E176" s="67" t="inlineStr">
        <is>
          <t>TypeError</t>
        </is>
      </c>
      <c r="F176" s="67" t="inlineStr">
        <is>
          <t>TypeError: 'int' object is not callable</t>
        </is>
      </c>
      <c r="G176" s="67" t="inlineStr">
        <is>
          <t>The LLM replaced only the second rot.num_parameters_settable() call (with len(rot.parameters)) and left the first one; num_parameters_settable is a property that returns an int, so calling it raises TypeError before anything is printed.</t>
        </is>
      </c>
      <c r="H176" s="67" t="n">
        <v>2</v>
      </c>
    </row>
    <row r="177">
      <c r="A177" s="70" t="inlineStr">
        <is>
          <t>ERROR</t>
        </is>
      </c>
      <c r="B177" s="67" t="inlineStr">
        <is>
          <t>issue_315</t>
        </is>
      </c>
      <c r="C177" s="67" t="inlineStr">
        <is>
          <t>0.45.0, 0.45.1, 0.45.2, 0.45.3</t>
        </is>
      </c>
      <c r="D177" s="67" t="n">
        <v>4</v>
      </c>
      <c r="E177" s="67" t="inlineStr">
        <is>
          <t>ModuleNotFoundError</t>
        </is>
      </c>
      <c r="F177" s="67" t="inlineStr">
        <is>
          <t>ModuleNotFoundError: No module named 'qiskit.providers.basic_provider'</t>
        </is>
      </c>
      <c r="G177" s="67" t="inlineStr">
        <is>
          <t>The LLM kept the BasicProvider import, and qiskit.providers.basic_provider does not exist before Qiskit 0.46, so the script crashes on import (it also deleted the parallel options the user wanted instead of switching to AerSimulator).</t>
        </is>
      </c>
      <c r="H177" s="67" t="n">
        <v>2</v>
      </c>
    </row>
    <row r="178">
      <c r="A178" s="70" t="inlineStr">
        <is>
          <t>ERROR</t>
        </is>
      </c>
      <c r="B178" s="67" t="inlineStr">
        <is>
          <t>issue_315</t>
        </is>
      </c>
      <c r="C178" s="67" t="inlineStr">
        <is>
          <t>0.46.0, 0.46.1, 0.46.2, 0.46.3, 1.0.0, 1.0.1, 1.0.2, 1.1.0, 1.1.1, 1.1.2, 1.2.0, 1.2.1, 1.2.2, 1.2.4, 2.0.0, 2.2.0, 2.3.0, 2.4.0, 2.5.0</t>
        </is>
      </c>
      <c r="D178" s="67" t="n">
        <v>19</v>
      </c>
      <c r="E178" s="67" t="inlineStr">
        <is>
          <t>AttributeError</t>
        </is>
      </c>
      <c r="F178" s="67" t="inlineStr">
        <is>
          <t>AttributeError: Option max_parallel_threads is not defined</t>
        </is>
      </c>
      <c r="G178"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178" s="67" t="n">
        <v>2</v>
      </c>
    </row>
    <row r="179">
      <c r="A179" s="68" t="inlineStr">
        <is>
          <t>PASS</t>
        </is>
      </c>
      <c r="B179" s="67" t="inlineStr">
        <is>
          <t>issue_362</t>
        </is>
      </c>
      <c r="C179" s="67" t="inlineStr">
        <is>
          <t>0.45.0, 0.45.1, 0.45.2, 0.45.3, 0.46.0, 0.46.1, 0.46.2, 0.46.3, 1.0.0, 1.0.1, 1.0.2, 1.1.0, 1.1.1, 1.1.2, 1.2.0, 1.2.1, 1.2.2, 1.2.4, 2.0.0, 2.2.0, 2.3.0, 2.4.0, 2.5.0</t>
        </is>
      </c>
      <c r="D179" s="67" t="n">
        <v>23</v>
      </c>
      <c r="E179" s="67" t="n"/>
      <c r="F179" s="67" t="n"/>
      <c r="G179" s="67" t="inlineStr">
        <is>
          <t>The LLM added circuit.save_unitary() so AerSimulator returns the unitary, the same key fix as the reference.</t>
        </is>
      </c>
      <c r="H179" s="67" t="n">
        <v>3</v>
      </c>
    </row>
    <row r="180">
      <c r="A180" s="68" t="inlineStr">
        <is>
          <t>PASS</t>
        </is>
      </c>
      <c r="B180" s="67" t="inlineStr">
        <is>
          <t>issue_396</t>
        </is>
      </c>
      <c r="C180" s="67" t="inlineStr">
        <is>
          <t>0.25.0, 0.25.1, 0.25.2, 0.25.3, 0.45.0, 0.45.1, 0.45.2, 0.45.3, 0.46.0, 0.46.1, 0.46.2, 0.46.3</t>
        </is>
      </c>
      <c r="D180" s="67" t="n">
        <v>12</v>
      </c>
      <c r="E180" s="67" t="n"/>
      <c r="F180" s="67" t="n"/>
      <c r="G180" s="67" t="inlineStr">
        <is>
          <t>The LLM built the oracle as a QuantumCircuit with one diagonal gate (-1 on |101&gt; and |110&gt;); the reference builds it from X, H and MCX gates. Both give the same oracle.</t>
        </is>
      </c>
      <c r="H180" s="67" t="n">
        <v>3</v>
      </c>
    </row>
    <row r="181">
      <c r="A181" s="68" t="inlineStr">
        <is>
          <t>PASS</t>
        </is>
      </c>
      <c r="B181" s="67" t="inlineStr">
        <is>
          <t>issue_436</t>
        </is>
      </c>
      <c r="C181" s="67" t="inlineStr">
        <is>
          <t>0.25.0, 0.25.1, 0.25.2, 0.25.3</t>
        </is>
      </c>
      <c r="D181" s="67" t="n">
        <v>4</v>
      </c>
      <c r="E181" s="67" t="n"/>
      <c r="F181" s="67" t="n"/>
      <c r="G181" s="67" t="inlineStr">
        <is>
          <t>The LLM replaced the unsupported set_frequency() with the envelope modulated by exp(2*pi*i*df*t), the same approach as the reference.</t>
        </is>
      </c>
      <c r="H181" s="67" t="n">
        <v>3</v>
      </c>
    </row>
    <row r="182">
      <c r="A182" s="68" t="inlineStr">
        <is>
          <t>PASS</t>
        </is>
      </c>
      <c r="B182" s="67" t="inlineStr">
        <is>
          <t>issue_443</t>
        </is>
      </c>
      <c r="C182" s="67" t="inlineStr">
        <is>
          <t>0.25.0, 0.25.1, 0.25.2, 0.25.3, 0.45.0, 0.45.1, 0.45.2, 0.45.3, 0.46.0, 0.46.1, 0.46.2, 0.46.3, 1.0.0, 1.0.1, 1.0.2, 1.1.0, 1.1.1, 1.1.2, 1.2.0, 1.2.1, 1.2.2, 1.2.4, 2.0.0, 2.2.0, 2.3.0, 2.4.0, 2.5.0</t>
        </is>
      </c>
      <c r="D182" s="67" t="n">
        <v>27</v>
      </c>
      <c r="E182" s="67" t="n"/>
      <c r="F182" s="67" t="n"/>
      <c r="G182" s="67" t="inlineStr">
        <is>
          <t>The LLM flattened the registers into a list of qubits (list(train_register) + list(control)), equivalent to the reference's train_register[:] + control[:].</t>
        </is>
      </c>
      <c r="H182" s="67" t="n">
        <v>3</v>
      </c>
    </row>
    <row r="183">
      <c r="A183" s="68" t="inlineStr">
        <is>
          <t>PASS</t>
        </is>
      </c>
      <c r="B183" s="67" t="inlineStr">
        <is>
          <t>issue_497</t>
        </is>
      </c>
      <c r="C183" s="67" t="inlineStr">
        <is>
          <t>0.25.0, 0.25.1, 0.25.2, 0.25.3</t>
        </is>
      </c>
      <c r="D183" s="67" t="n">
        <v>4</v>
      </c>
      <c r="E183" s="67" t="n"/>
      <c r="F183" s="67" t="n"/>
      <c r="G183" s="67" t="inlineStr">
        <is>
          <t>The LLM combined both expectation values in a ListOp evaluated by one CircuitSampler call (one backend submission) and removed the undefined IBMQJobManager(), like the reference; it also widened psi from 1 to 2 qubits to match the operators.</t>
        </is>
      </c>
      <c r="H183" s="67" t="n">
        <v>3</v>
      </c>
    </row>
    <row r="184">
      <c r="A184" s="69" t="inlineStr">
        <is>
          <t>FAIL</t>
        </is>
      </c>
      <c r="B184" s="67" t="inlineStr">
        <is>
          <t>issue_415</t>
        </is>
      </c>
      <c r="C184" s="67" t="inlineStr">
        <is>
          <t>0.25.0, 0.25.1, 0.25.2, 0.25.3</t>
        </is>
      </c>
      <c r="D184" s="67" t="n">
        <v>4</v>
      </c>
      <c r="E184" s="67" t="inlineStr">
        <is>
          <t>AssertionError</t>
        </is>
      </c>
      <c r="F184" s="67" t="inlineStr">
        <is>
          <t>AssertionError: Not equal to tolerance rtol=1e-07, atol=1e-12</t>
        </is>
      </c>
      <c r="G184"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184" s="67" t="n">
        <v>3</v>
      </c>
    </row>
    <row r="185">
      <c r="A185" s="69" t="inlineStr">
        <is>
          <t>FAIL</t>
        </is>
      </c>
      <c r="B185" s="67" t="inlineStr">
        <is>
          <t>issue_453</t>
        </is>
      </c>
      <c r="C185" s="67" t="inlineStr">
        <is>
          <t>0.45.0, 0.45.1, 0.45.2, 0.45.3, 0.46.0, 0.46.1, 0.46.2, 0.46.3, 1.0.0, 1.0.1, 1.0.2, 1.1.0, 1.1.1, 1.1.2, 1.2.0, 1.2.1, 1.2.2, 1.2.4, 2.0.0, 2.2.0, 2.3.0, 2.4.0, 2.5.0</t>
        </is>
      </c>
      <c r="D185" s="67" t="n">
        <v>23</v>
      </c>
      <c r="E185" s="67" t="inlineStr">
        <is>
          <t>AssertionError</t>
        </is>
      </c>
      <c r="F185" s="67" t="inlineStr">
        <is>
          <t>AssertionError: 0 != 2</t>
        </is>
      </c>
      <c r="G185"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185" s="67" t="n">
        <v>3</v>
      </c>
    </row>
    <row r="186">
      <c r="A186" s="70" t="inlineStr">
        <is>
          <t>ERROR</t>
        </is>
      </c>
      <c r="B186" s="67" t="inlineStr">
        <is>
          <t>issue_344</t>
        </is>
      </c>
      <c r="C186" s="67" t="inlineStr">
        <is>
          <t>0.25.0, 0.25.1, 0.25.2, 0.25.3, 0.45.0, 0.45.1, 0.45.2, 0.45.3, 0.46.0, 0.46.1, 0.46.2, 0.46.3</t>
        </is>
      </c>
      <c r="D186" s="67" t="n">
        <v>12</v>
      </c>
      <c r="E186" s="67" t="inlineStr">
        <is>
          <t>QiskitError</t>
        </is>
      </c>
      <c r="F186" s="67" t="inlineStr">
        <is>
          <t>qiskit.exceptions.QiskitError: 'Input quantum state is not a valid'</t>
        </is>
      </c>
      <c r="G186" s="67" t="inlineStr">
        <is>
          <t>The LLM passed the Statevector object to entropy() but kept get_statevector(..., decimals=3); the rounded amplitudes are no longer normalized, so Qiskit rejects the state ('Input quantum state is not a valid'). The reference also removes decimals=3.</t>
        </is>
      </c>
      <c r="H186" s="67" t="n">
        <v>3</v>
      </c>
    </row>
    <row r="187">
      <c r="A187" s="70" t="inlineStr">
        <is>
          <t>ERROR</t>
        </is>
      </c>
      <c r="B187" s="67" t="inlineStr">
        <is>
          <t>issue_369</t>
        </is>
      </c>
      <c r="C187" s="67" t="inlineStr">
        <is>
          <t>0.25.0, 0.25.1, 0.25.2, 0.25.3, 0.45.0, 0.45.1, 0.45.2, 0.45.3, 0.46.0, 0.46.1, 0.46.2, 0.46.3, 1.0.0, 1.0.1, 1.0.2, 1.1.0, 1.1.1, 1.1.2, 1.2.0, 1.2.1, 1.2.2, 1.2.4, 2.0.0, 2.2.0, 2.3.0, 2.4.0, 2.5.0</t>
        </is>
      </c>
      <c r="D187" s="67" t="n">
        <v>27</v>
      </c>
      <c r="E187" s="67" t="inlineStr">
        <is>
          <t>CircuitError</t>
        </is>
      </c>
      <c r="F187" s="67" t="inlineStr">
        <is>
          <t>qiskit.circuit.exceptions.CircuitError: 'The amount of qubit(3)/clbit(0) arguments does not match the gate expectation (4).'</t>
        </is>
      </c>
      <c r="G187"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187" s="67" t="n">
        <v>3</v>
      </c>
    </row>
    <row r="188">
      <c r="A188" s="70" t="inlineStr">
        <is>
          <t>ERROR</t>
        </is>
      </c>
      <c r="B188" s="67" t="inlineStr">
        <is>
          <t>issue_396</t>
        </is>
      </c>
      <c r="C188" s="67" t="inlineStr">
        <is>
          <t>1.0.0, 1.0.1, 1.0.2, 1.1.0, 1.1.1, 1.1.2, 1.2.0, 1.2.1, 1.2.2, 1.2.4, 2.0.0, 2.2.0, 2.3.0, 2.4.0, 2.5.0</t>
        </is>
      </c>
      <c r="D188" s="67" t="n">
        <v>15</v>
      </c>
      <c r="E188" s="67" t="inlineStr">
        <is>
          <t>AttributeError</t>
        </is>
      </c>
      <c r="F188" s="67" t="inlineStr">
        <is>
          <t>AttributeError: 'QuantumCircuit' object has no attribute 'diagonal'</t>
        </is>
      </c>
      <c r="G188" s="67" t="inlineStr">
        <is>
          <t>The LLM built the oracle with QuantumCircuit.diagonal(), which was removed in Qiskit 1.0, so the script crashes with AttributeError on 1.x and 2.x.</t>
        </is>
      </c>
      <c r="H188" s="67" t="n">
        <v>3</v>
      </c>
    </row>
    <row r="189">
      <c r="A189" s="70" t="inlineStr">
        <is>
          <t>ERROR</t>
        </is>
      </c>
      <c r="B189" s="67" t="inlineStr">
        <is>
          <t>issue_468</t>
        </is>
      </c>
      <c r="C189" s="67" t="inlineStr">
        <is>
          <t>0.25.0, 0.25.1, 0.25.2, 0.25.3</t>
        </is>
      </c>
      <c r="D189" s="67" t="n">
        <v>4</v>
      </c>
      <c r="E189" s="67" t="inlineStr">
        <is>
          <t>ValueError</t>
        </is>
      </c>
      <c r="F189" s="67" t="inlineStr">
        <is>
          <t>ValueError: Operators can only be scalar multiplied by float or complex, not Operator([[1.+0.j, 0.+0.j], [0.+0.j, 0.+0.j]], input_dims=(2,), output_dims=(2,)) of type &lt;class 'qiskit.aqua.operators.primitive_ops.matrix_op.MatrixOp'&gt;.</t>
        </is>
      </c>
      <c r="G189" s="67" t="inlineStr">
        <is>
          <t>The LLM wrapped the density matrices in MatrixOp, but Aqua's legacy commutator() multiplies its inputs with *, which for MatrixOp means scalar multiplication, so it raises ValueError; the reference rewrites the two operators as WeightedPauliOperators.</t>
        </is>
      </c>
      <c r="H189" s="67" t="n">
        <v>3</v>
      </c>
    </row>
    <row r="190">
      <c r="A190" s="68" t="inlineStr">
        <is>
          <t>PASS</t>
        </is>
      </c>
      <c r="B190" s="67" t="inlineStr">
        <is>
          <t>issue_504</t>
        </is>
      </c>
      <c r="C190" s="67" t="inlineStr">
        <is>
          <t>0.45.0, 0.45.1, 0.45.2, 0.45.3, 0.46.0, 0.46.1, 0.46.2, 0.46.3, 1.0.0, 1.0.1, 1.0.2, 1.1.0, 1.1.1, 1.1.2, 1.2.0, 1.2.1, 1.2.2, 1.2.4, 2.0.0, 2.2.0, 2.3.0, 2.4.0, 2.5.0</t>
        </is>
      </c>
      <c r="D190" s="67" t="n">
        <v>23</v>
      </c>
      <c r="E190" s="67" t="n"/>
      <c r="F190" s="67" t="n"/>
      <c r="G190" s="67" t="inlineStr">
        <is>
          <t>The LLM pointed the Hadamards, the oracle, the diffusion and the measurement at circuit.qubits instead of a new QuantumRegister(n) each time, and ran the transpiled circuit with backend.run(); the reference creates one register and reuses it. Same effect.</t>
        </is>
      </c>
      <c r="H190" s="67" t="n">
        <v>4</v>
      </c>
    </row>
    <row r="191">
      <c r="A191" s="68" t="inlineStr">
        <is>
          <t>PASS</t>
        </is>
      </c>
      <c r="B191" s="67" t="inlineStr">
        <is>
          <t>issue_505</t>
        </is>
      </c>
      <c r="C191" s="67" t="inlineStr">
        <is>
          <t>0.45.0, 0.45.1, 0.45.2, 0.45.3, 0.46.0, 0.46.1, 0.46.2, 0.46.3</t>
        </is>
      </c>
      <c r="D191" s="67" t="n">
        <v>8</v>
      </c>
      <c r="E191" s="67" t="n"/>
      <c r="F191" s="67" t="n"/>
      <c r="G191" s="67" t="inlineStr">
        <is>
          <t>The LLM cast x to a Python float, so PauliSumOp handles the scalar multiplication instead of NumPy, the same cast as the reference (which also swaps the operand order).</t>
        </is>
      </c>
      <c r="H191" s="67" t="n">
        <v>4</v>
      </c>
    </row>
    <row r="192">
      <c r="A192" s="68" t="inlineStr">
        <is>
          <t>PASS</t>
        </is>
      </c>
      <c r="B192" s="67" t="inlineStr">
        <is>
          <t>issue_595</t>
        </is>
      </c>
      <c r="C192" s="67" t="inlineStr">
        <is>
          <t>0.45.0, 0.45.1, 0.45.2, 0.45.3, 0.46.0, 0.46.1, 0.46.2, 0.46.3, 1.0.0, 1.0.1, 1.0.2, 1.1.0, 1.1.1, 1.1.2, 1.2.0, 1.2.1, 1.2.2, 1.2.4, 2.0.0, 2.2.0, 2.3.0, 2.4.0, 2.5.0</t>
        </is>
      </c>
      <c r="D192" s="67" t="n">
        <v>23</v>
      </c>
      <c r="E192" s="67" t="n"/>
      <c r="F192" s="67" t="n"/>
      <c r="G192" s="67" t="inlineStr">
        <is>
          <t>The LLM added circ.save_unitary() so AerSimulator returns the unitary, the same key fix as the reference.</t>
        </is>
      </c>
      <c r="H192" s="67" t="n">
        <v>4</v>
      </c>
    </row>
    <row r="193">
      <c r="A193" s="68" t="inlineStr">
        <is>
          <t>PASS</t>
        </is>
      </c>
      <c r="B193" s="67" t="inlineStr">
        <is>
          <t>issue_596</t>
        </is>
      </c>
      <c r="C193" s="67" t="inlineStr">
        <is>
          <t>0.25.0, 0.25.1, 0.25.2, 0.25.3, 0.45.0, 0.45.1, 0.45.2, 0.45.3, 0.46.0, 0.46.1, 0.46.2, 0.46.3</t>
        </is>
      </c>
      <c r="D193" s="67" t="n">
        <v>12</v>
      </c>
      <c r="E193" s="67" t="n"/>
      <c r="F193" s="67" t="n"/>
      <c r="G193" s="67" t="inlineStr">
        <is>
          <t>The LLM bound each parameter explicitly (p to inp[0], th to theta) and kept the circuit returned by assign_parameters, like the reference.</t>
        </is>
      </c>
      <c r="H193" s="67" t="n">
        <v>4</v>
      </c>
    </row>
    <row r="194">
      <c r="A194" s="68" t="inlineStr">
        <is>
          <t>PASS</t>
        </is>
      </c>
      <c r="B194" s="67" t="inlineStr">
        <is>
          <t>issue_600</t>
        </is>
      </c>
      <c r="C194" s="67" t="inlineStr">
        <is>
          <t>0.45.0, 0.45.1, 0.45.2, 0.45.3, 0.46.0, 0.46.1, 0.46.2, 0.46.3</t>
        </is>
      </c>
      <c r="D194" s="67" t="n">
        <v>8</v>
      </c>
      <c r="E194" s="67" t="n"/>
      <c r="F194" s="67" t="n"/>
      <c r="G194" s="67" t="inlineStr">
        <is>
          <t>The LLM replaced PauliGate(...).power(param) with PauliEvolutionGate(Pauli('XX'), time=pi*param/2), which equals (XX)^param up to a global phase; the reference uses rxx/ryy/rzz(pi*param), the same gates.</t>
        </is>
      </c>
      <c r="H194" s="67" t="n">
        <v>4</v>
      </c>
    </row>
    <row r="195">
      <c r="A195" s="69" t="inlineStr">
        <is>
          <t>FAIL</t>
        </is>
      </c>
      <c r="B195" s="67" t="inlineStr">
        <is>
          <t>issue_622</t>
        </is>
      </c>
      <c r="C195" s="67" t="inlineStr">
        <is>
          <t>0.25.0, 0.25.1, 0.25.2, 0.25.3, 0.45.0, 0.45.1, 0.45.2, 0.45.3, 0.46.0, 0.46.1, 0.46.2, 0.46.3</t>
        </is>
      </c>
      <c r="D195" s="67" t="n">
        <v>12</v>
      </c>
      <c r="E195" s="67" t="inlineStr">
        <is>
          <t>AssertionError</t>
        </is>
      </c>
      <c r="F195" s="67" t="inlineStr">
        <is>
          <t>AssertionError: Items in the first set but not the second: '01' '10'</t>
        </is>
      </c>
      <c r="G195" s="67"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H195" s="67" t="n">
        <v>4</v>
      </c>
    </row>
    <row r="196">
      <c r="A196" s="69" t="inlineStr">
        <is>
          <t>FAIL</t>
        </is>
      </c>
      <c r="B196" s="67" t="inlineStr">
        <is>
          <t>issue_635</t>
        </is>
      </c>
      <c r="C196" s="67" t="inlineStr">
        <is>
          <t>0.25.0, 0.25.1, 0.25.2, 0.25.3</t>
        </is>
      </c>
      <c r="D196" s="67" t="n">
        <v>4</v>
      </c>
      <c r="E196" s="67" t="inlineStr">
        <is>
          <t>AssertionError</t>
        </is>
      </c>
      <c r="F196" s="67" t="inlineStr">
        <is>
          <t>AssertionError: Items in the first set but not the second: 0 Items in the second set but not the first: 1 : Conditional AND failed for basis 001</t>
        </is>
      </c>
      <c r="G196"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196" s="67" t="n">
        <v>4</v>
      </c>
    </row>
    <row r="197">
      <c r="A197" s="70" t="inlineStr">
        <is>
          <t>ERROR</t>
        </is>
      </c>
      <c r="B197" s="67" t="inlineStr">
        <is>
          <t>issue_565</t>
        </is>
      </c>
      <c r="C197" s="67" t="inlineStr">
        <is>
          <t>0.25.0, 0.25.1, 0.25.2, 0.25.3</t>
        </is>
      </c>
      <c r="D197" s="67" t="n">
        <v>4</v>
      </c>
      <c r="E197" s="67" t="inlineStr">
        <is>
          <t>ValueError</t>
        </is>
      </c>
      <c r="F197" s="67" t="inlineStr">
        <is>
          <t>ValueError: Operators can only be scalar multiplied by float or complex, not SummedOp([ IIIXIIIII, IIIYIIIII ]) of type &lt;class 'qiskit.aqua.operators.list_ops.summed_op.SummedOp'&gt;.</t>
        </is>
      </c>
      <c r="G197"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197" s="67" t="n">
        <v>4</v>
      </c>
    </row>
    <row r="198">
      <c r="A198" s="70" t="inlineStr">
        <is>
          <t>ERROR</t>
        </is>
      </c>
      <c r="B198" s="67" t="inlineStr">
        <is>
          <t>issue_600</t>
        </is>
      </c>
      <c r="C198" s="67" t="inlineStr">
        <is>
          <t>0.25.0, 0.25.1, 0.25.2, 0.25.3</t>
        </is>
      </c>
      <c r="D198" s="67" t="n">
        <v>4</v>
      </c>
      <c r="E198" s="67" t="inlineStr">
        <is>
          <t>ImportError</t>
        </is>
      </c>
      <c r="F198" s="67" t="inlineStr">
        <is>
          <t>ImportError: cannot import name 'PauliGate' from 'qiskit.circuit.library'</t>
        </is>
      </c>
      <c r="G198"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198" s="67" t="n">
        <v>4</v>
      </c>
    </row>
    <row r="199">
      <c r="A199" s="70" t="inlineStr">
        <is>
          <t>ERROR</t>
        </is>
      </c>
      <c r="B199" s="67" t="inlineStr">
        <is>
          <t>issue_624</t>
        </is>
      </c>
      <c r="C199" s="67" t="inlineStr">
        <is>
          <t>0.25.0, 0.25.1, 0.25.2, 0.25.3</t>
        </is>
      </c>
      <c r="D199" s="67" t="n">
        <v>4</v>
      </c>
      <c r="E199" s="67" t="inlineStr">
        <is>
          <t>ValueError</t>
        </is>
      </c>
      <c r="F199" s="67" t="inlineStr">
        <is>
          <t>ValueError: Evolutions of mixed Operators not yet supported.</t>
        </is>
      </c>
      <c r="G199" s="67" t="inlineStr">
        <is>
          <t>The LLM wrapped the circuit in CircuitOp, which is an OperatorBase with the right matrix, but QAOA cannot build the evolution of a CircuitOp ('Evolutions of mixed Operators not yet supported'). The reference converts it with MatrixOp(Operator(H)).</t>
        </is>
      </c>
      <c r="H199" s="67" t="n">
        <v>4</v>
      </c>
    </row>
    <row r="200">
      <c r="A200" s="70" t="inlineStr">
        <is>
          <t>ERROR</t>
        </is>
      </c>
      <c r="B200" s="67" t="inlineStr">
        <is>
          <t>issue_624</t>
        </is>
      </c>
      <c r="C200" s="67" t="inlineStr">
        <is>
          <t>0.45.0, 0.45.1, 0.45.2, 0.45.3, 0.46.0, 0.46.1, 0.46.2, 0.46.3</t>
        </is>
      </c>
      <c r="D200" s="67" t="n">
        <v>8</v>
      </c>
      <c r="E200" s="67" t="inlineStr">
        <is>
          <t>TypeError</t>
        </is>
      </c>
      <c r="F200" s="67" t="inlineStr">
        <is>
          <t>TypeError: ParameterExpression with unbound parameters (dict_keys([Parameter(c)])) cannot be cast to a float.</t>
        </is>
      </c>
      <c r="G200"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200" s="67" t="n">
        <v>4</v>
      </c>
    </row>
    <row r="201">
      <c r="A201" s="70" t="inlineStr">
        <is>
          <t>ERROR</t>
        </is>
      </c>
      <c r="B201" s="67" t="inlineStr">
        <is>
          <t>issue_662</t>
        </is>
      </c>
      <c r="C201" s="67" t="inlineStr">
        <is>
          <t>0.45.0, 0.45.1, 0.45.2, 0.45.3, 0.46.0, 0.46.1, 0.46.2, 0.46.3, 1.0.0, 1.0.1, 1.0.2, 1.1.0, 1.1.1, 1.1.2</t>
        </is>
      </c>
      <c r="D201" s="67" t="n">
        <v>14</v>
      </c>
      <c r="E201" s="67" t="inlineStr">
        <is>
          <t>AttributeError</t>
        </is>
      </c>
      <c r="F201" s="67" t="inlineStr">
        <is>
          <t>AttributeError: 'DAGOpNode' object has no attribute 'type'</t>
        </is>
      </c>
      <c r="G201"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01" s="67" t="n">
        <v>4</v>
      </c>
    </row>
    <row r="202">
      <c r="A202" s="70" t="inlineStr">
        <is>
          <t>ERROR</t>
        </is>
      </c>
      <c r="B202" s="67" t="inlineStr">
        <is>
          <t>issue_662</t>
        </is>
      </c>
      <c r="C202" s="67" t="inlineStr">
        <is>
          <t>1.2.0, 1.2.1, 1.2.2, 1.2.4, 2.0.0, 2.2.0, 2.3.0, 2.4.0, 2.5.0</t>
        </is>
      </c>
      <c r="D202" s="67" t="n">
        <v>9</v>
      </c>
      <c r="E202" s="67" t="inlineStr">
        <is>
          <t>AttributeError</t>
        </is>
      </c>
      <c r="F202" s="67" t="inlineStr">
        <is>
          <t>AttributeError: 'qiskit._accelerate.circuit.DAGOpNode' object has no attribute 'type'</t>
        </is>
      </c>
      <c r="G202"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02" s="67" t="n">
        <v>4</v>
      </c>
    </row>
    <row r="203">
      <c r="A203" s="68" t="inlineStr">
        <is>
          <t>PASS</t>
        </is>
      </c>
      <c r="B203" s="67" t="inlineStr">
        <is>
          <t>issue_663</t>
        </is>
      </c>
      <c r="C203" s="67" t="inlineStr">
        <is>
          <t>0.45.0, 0.45.1, 0.45.2, 0.45.3, 0.46.0, 0.46.1, 0.46.2, 0.46.3</t>
        </is>
      </c>
      <c r="D203" s="67" t="n">
        <v>8</v>
      </c>
      <c r="E203" s="67" t="n"/>
      <c r="F203" s="67" t="n"/>
      <c r="G203" s="67" t="inlineStr">
        <is>
          <t>The LLM added input_circuit.measure([0, 1, 2], [0, 1, 2]) before execute, the same measurement as the reference's measure(range(3), range(3)).</t>
        </is>
      </c>
      <c r="H203" s="67" t="n">
        <v>5</v>
      </c>
    </row>
    <row r="204">
      <c r="A204" s="68" t="inlineStr">
        <is>
          <t>PASS</t>
        </is>
      </c>
      <c r="B204" s="67" t="inlineStr">
        <is>
          <t>issue_727</t>
        </is>
      </c>
      <c r="C204" s="67" t="inlineStr">
        <is>
          <t>0.25.0, 0.25.1, 0.25.2, 0.25.3, 0.45.0, 0.45.1, 0.45.2, 0.45.3, 0.46.0, 0.46.1, 0.46.2, 0.46.3</t>
        </is>
      </c>
      <c r="D204" s="67" t="n">
        <v>12</v>
      </c>
      <c r="E204" s="67" t="n"/>
      <c r="F204" s="67" t="n"/>
      <c r="G204" s="67" t="inlineStr">
        <is>
          <t>The LLM rewrote 2/2**k as (-k*numpy.log(2)).exp() using ParameterExpression.exp(); the reference uses numpy.exp(numpy.log(0.5)*k). Same angle for every bound k.</t>
        </is>
      </c>
      <c r="H204" s="67" t="n">
        <v>5</v>
      </c>
    </row>
    <row r="205">
      <c r="A205" s="68" t="inlineStr">
        <is>
          <t>PASS</t>
        </is>
      </c>
      <c r="B205" s="67" t="inlineStr">
        <is>
          <t>issue_742</t>
        </is>
      </c>
      <c r="C205" s="67" t="inlineStr">
        <is>
          <t>1.1.0, 1.1.1, 1.1.2, 1.2.0, 1.2.1, 1.2.2, 1.2.4, 2.0.0, 2.2.0, 2.3.0, 2.4.0, 2.5.0</t>
        </is>
      </c>
      <c r="D205" s="67" t="n">
        <v>12</v>
      </c>
      <c r="E205" s="67" t="n"/>
      <c r="F205" s="67" t="n"/>
      <c r="G205"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205" s="67" t="n">
        <v>5</v>
      </c>
    </row>
    <row r="206">
      <c r="A206" s="68" t="inlineStr">
        <is>
          <t>PASS</t>
        </is>
      </c>
      <c r="B206" s="67" t="inlineStr">
        <is>
          <t>issue_773</t>
        </is>
      </c>
      <c r="C206" s="67" t="inlineStr">
        <is>
          <t>0.45.0, 0.45.1, 0.45.2, 0.45.3, 0.46.0, 0.46.1, 0.46.2, 0.46.3</t>
        </is>
      </c>
      <c r="D206" s="67" t="n">
        <v>8</v>
      </c>
      <c r="E206" s="67" t="n"/>
      <c r="F206" s="67" t="n"/>
      <c r="G206" s="67" t="inlineStr">
        <is>
          <t>The LLM removed the shadowing IBMQ import and kept qiskit.tools.monitor.job_monitor, like the reference (which also passes quiet=True).</t>
        </is>
      </c>
      <c r="H206" s="67" t="n">
        <v>5</v>
      </c>
    </row>
    <row r="207">
      <c r="A207" s="68" t="inlineStr">
        <is>
          <t>PASS</t>
        </is>
      </c>
      <c r="B207" s="67" t="inlineStr">
        <is>
          <t>issue_795</t>
        </is>
      </c>
      <c r="C207" s="67" t="inlineStr">
        <is>
          <t>0.25.0, 0.25.1, 0.25.2, 0.25.3, 0.45.0, 0.45.1, 0.45.2, 0.45.3, 0.46.0, 0.46.1, 0.46.2, 0.46.3</t>
        </is>
      </c>
      <c r="D207" s="67" t="n">
        <v>12</v>
      </c>
      <c r="E207" s="67" t="n"/>
      <c r="F207" s="67" t="n"/>
      <c r="G207" s="67" t="inlineStr">
        <is>
          <t>The LLM appended the operator's matrix with circuit.unitary(...), so to_gate() succeeds, the same fix as the reference.</t>
        </is>
      </c>
      <c r="H207" s="67" t="n">
        <v>5</v>
      </c>
    </row>
    <row r="208">
      <c r="A208" s="69" t="inlineStr">
        <is>
          <t>FAIL</t>
        </is>
      </c>
      <c r="B208" s="67" t="inlineStr">
        <is>
          <t>issue_671</t>
        </is>
      </c>
      <c r="C208" s="67" t="inlineStr">
        <is>
          <t>0.25.0, 0.25.1, 0.25.2, 0.25.3, 0.45.0, 0.45.1, 0.45.2, 0.45.3, 0.46.0, 0.46.1, 0.46.2, 0.46.3, 1.0.0, 1.0.1, 1.0.2, 1.1.0, 1.1.1, 1.1.2, 1.2.0, 1.2.1, 1.2.2, 1.2.4, 2.0.0, 2.2.0, 2.3.0, 2.4.0, 2.5.0</t>
        </is>
      </c>
      <c r="D208" s="67" t="n">
        <v>27</v>
      </c>
      <c r="E208" s="67" t="inlineStr">
        <is>
          <t>AssertionError</t>
        </is>
      </c>
      <c r="F208" s="67" t="inlineStr">
        <is>
          <t>AssertionError: Not equal to tolerance rtol=1e-07, atol=1e-10</t>
        </is>
      </c>
      <c r="G208" s="67" t="inlineStr">
        <is>
          <t>The LLM unpacked the list with QuantumCircuit(a, *v, b), which builds exactly the registers the question asks for, and every register check passes. The test then compares the full 512x512 unitary against the answer's example gates x(v0[0]) and cx(v1[0], a[0]), which are not in the buggy code. Without that unitary check the LLM fix passes (checked on 0.25.0, 0.45.3, 1.0.0, 1.2.4 and 2.5.0) and the buggy code still fails.</t>
        </is>
      </c>
      <c r="H208" s="67" t="n">
        <v>5</v>
      </c>
    </row>
    <row r="209">
      <c r="A209" s="69" t="inlineStr">
        <is>
          <t>FAIL</t>
        </is>
      </c>
      <c r="B209" s="67" t="inlineStr">
        <is>
          <t>issue_747</t>
        </is>
      </c>
      <c r="C209" s="67" t="inlineStr">
        <is>
          <t>0.45.0, 0.45.1, 0.45.2, 0.45.3, 0.46.0, 0.46.1, 0.46.2, 0.46.3</t>
        </is>
      </c>
      <c r="D209" s="67" t="n">
        <v>8</v>
      </c>
      <c r="E209" s="67" t="inlineStr">
        <is>
          <t>AssertionError</t>
        </is>
      </c>
      <c r="F209" s="67" t="inlineStr">
        <is>
          <t>AssertionError: Items in the first set but not the second: '000 000' '111 000' Items in the second set but not the first: '000' '111'</t>
        </is>
      </c>
      <c r="G209" s="67" t="inlineStr">
        <is>
          <t>The LLM added circ.measure_all(), which measures the GHZ state correctly but adds a second 3-bit register instead of using the circuit's existing 3 classical bits, so the counts keys are '000 000' / '111 000' instead of '000' / '111'. The reference measures into the existing bits. A test that ignores the unused register passes the LLM fix (checked on 0.45.0 and 0.46.3).</t>
        </is>
      </c>
      <c r="H209" s="67" t="n">
        <v>5</v>
      </c>
    </row>
    <row r="210">
      <c r="A210" s="70" t="inlineStr">
        <is>
          <t>ERROR</t>
        </is>
      </c>
      <c r="B210" s="67" t="inlineStr">
        <is>
          <t>issue_750</t>
        </is>
      </c>
      <c r="C210" s="67" t="inlineStr">
        <is>
          <t>0.45.0, 0.45.1, 0.45.2, 0.45.3, 0.46.0, 0.46.1, 0.46.2, 0.46.3, 1.0.0, 1.0.1, 1.0.2, 1.1.0, 1.1.1, 1.1.2, 1.2.0, 1.2.1, 1.2.2, 1.2.4, 2.0.0, 2.2.0, 2.3.0, 2.4.0, 2.5.0</t>
        </is>
      </c>
      <c r="D210" s="67" t="n">
        <v>23</v>
      </c>
      <c r="E210" s="67" t="inlineStr">
        <is>
          <t>TypeError</t>
        </is>
      </c>
      <c r="F210" s="67" t="inlineStr">
        <is>
          <t>TypeError: Pauli.__init__() got an unexpected keyword argument 'label'</t>
        </is>
      </c>
      <c r="G210" s="67" t="inlineStr">
        <is>
          <t>The LLM answered NO BUG and kept Pauli(label='XZ'); the math is right, but the label keyword was removed from Pauli in these versions, so the script raises TypeError. The reference builds the operator with Pauli('X')/Pauli('Z') and tensor/expand.</t>
        </is>
      </c>
      <c r="H210" s="67" t="n">
        <v>5</v>
      </c>
    </row>
    <row r="211">
      <c r="A211" s="70" t="inlineStr">
        <is>
          <t>ERROR</t>
        </is>
      </c>
      <c r="B211" s="67" t="inlineStr">
        <is>
          <t>issue_769</t>
        </is>
      </c>
      <c r="C211" s="67" t="inlineStr">
        <is>
          <t>1.0.0, 1.0.1, 1.0.2, 1.1.0, 1.1.1, 1.1.2, 1.2.0, 1.2.1, 1.2.2, 1.2.4, 2.0.0, 2.2.0, 2.3.0, 2.4.0, 2.5.0</t>
        </is>
      </c>
      <c r="D211" s="67" t="n">
        <v>15</v>
      </c>
      <c r="E211" s="67" t="inlineStr">
        <is>
          <t>KeyError</t>
        </is>
      </c>
      <c r="F211" s="67" t="inlineStr">
        <is>
          <t>KeyError: 'get_qiskit_gate'</t>
        </is>
      </c>
      <c r="G211"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211" s="67" t="n">
        <v>5</v>
      </c>
    </row>
    <row r="212">
      <c r="A212" s="70" t="inlineStr">
        <is>
          <t>ERROR</t>
        </is>
      </c>
      <c r="B212" s="67" t="inlineStr">
        <is>
          <t>issue_775</t>
        </is>
      </c>
      <c r="C212" s="67" t="inlineStr">
        <is>
          <t>0.25.0, 0.25.1, 0.25.2, 0.25.3, 0.45.0, 0.45.1, 0.45.2, 0.45.3, 0.46.0, 0.46.1, 0.46.2, 0.46.3</t>
        </is>
      </c>
      <c r="D212" s="67" t="n">
        <v>12</v>
      </c>
      <c r="E212" s="67" t="inlineStr">
        <is>
          <t>KeyError</t>
        </is>
      </c>
      <c r="F212" s="67" t="inlineStr">
        <is>
          <t>KeyError: 'qc'</t>
        </is>
      </c>
      <c r="G212" s="67" t="inlineStr">
        <is>
          <t>The LLM parsed the QASM with QuantumCircuit.from_qasm_str and executed it, which is the right fix, but inlined the call inside execute(...) instead of storing it in a variable. The test reads the variable qc, so it raises KeyError. A test that checks the executed result instead passes the LLM fix (checked on 0.25.0, 0.45.0 and 0.46.3) and still fails the buggy code.</t>
        </is>
      </c>
      <c r="H212" s="67" t="n">
        <v>5</v>
      </c>
    </row>
    <row r="213">
      <c r="A213" s="68" t="inlineStr">
        <is>
          <t>PASS</t>
        </is>
      </c>
      <c r="B213" s="67" t="inlineStr">
        <is>
          <t>issue_816</t>
        </is>
      </c>
      <c r="C213" s="67" t="inlineStr">
        <is>
          <t>0.45.0, 0.45.1, 0.45.2, 0.45.3, 0.46.0, 0.46.1, 0.46.2, 0.46.3, 1.0.0, 1.0.1, 1.0.2, 1.1.0, 1.1.1, 1.1.2, 1.2.0, 1.2.1, 1.2.2, 1.2.4, 2.0.0, 2.2.0, 2.3.0, 2.4.0, 2.5.0</t>
        </is>
      </c>
      <c r="D213" s="67" t="n">
        <v>23</v>
      </c>
      <c r="E213" s="67" t="n"/>
      <c r="F213" s="67" t="n"/>
      <c r="G213" s="67" t="inlineStr">
        <is>
          <t>The LLM passed memory=True to simulator.run(), so get_memory() returns the per-shot results, the same fix as the reference.</t>
        </is>
      </c>
      <c r="H213" s="67" t="n">
        <v>6</v>
      </c>
    </row>
    <row r="214">
      <c r="A214" s="69" t="inlineStr">
        <is>
          <t>FAIL</t>
        </is>
      </c>
      <c r="B214" s="67" t="inlineStr">
        <is>
          <t>issue_803</t>
        </is>
      </c>
      <c r="C214" s="67" t="inlineStr">
        <is>
          <t>0.25.0, 0.25.1, 0.25.2, 0.25.3</t>
        </is>
      </c>
      <c r="D214" s="67" t="n">
        <v>4</v>
      </c>
      <c r="E214" s="67" t="inlineStr">
        <is>
          <t>AssertionError</t>
        </is>
      </c>
      <c r="F214" s="67" t="inlineStr">
        <is>
          <t>AssertionError: array([list([52, 48]), list([100]), list([100])], dtype=object) is not an instance of &lt;class 'list'&gt;</t>
        </is>
      </c>
      <c r="G214" s="67" t="inlineStr">
        <is>
          <t>The LLM turned the list of count dictionaries into a NumPy array of their values, which throws away which outcome each count belongs to. On this NumPy version the uneven lists become an object array, so the check that run() returns a list of count dictionaries fails. The reference returns the list of dictionaries.</t>
        </is>
      </c>
      <c r="H214" s="67" t="n">
        <v>6</v>
      </c>
    </row>
    <row r="215">
      <c r="A215" s="69" t="inlineStr">
        <is>
          <t>FAIL</t>
        </is>
      </c>
      <c r="B215" s="67" t="inlineStr">
        <is>
          <t>issue_810</t>
        </is>
      </c>
      <c r="C215" s="67" t="inlineStr">
        <is>
          <t>0.45.1, 0.46.2</t>
        </is>
      </c>
      <c r="D215" s="67" t="n">
        <v>2</v>
      </c>
      <c r="E215" s="67" t="inlineStr">
        <is>
          <t>AssertionError</t>
        </is>
      </c>
      <c r="F215" s="67" t="inlineStr">
        <is>
          <t>AssertionError: None is not an instance of &lt;class 'dict'&gt; : Expose a raw counts dictionary, not the Result object</t>
        </is>
      </c>
      <c r="G215" s="67" t="inlineStr">
        <is>
          <t>The LLM replaced job.result(job) with job.result().get_counts(), the same call as the reference. The test reads the reference's variable name counts_dict and expects exactly 100 shots (the reference changed 1024 to 100), so it finds None. A test that accepts any variable name and the script's own shot count passes the LLM fix (checked on 0.45.1 and 0.46.2) and still fails the buggy code.</t>
        </is>
      </c>
      <c r="H215" s="67" t="n">
        <v>6</v>
      </c>
    </row>
    <row r="216">
      <c r="A216" s="69" t="inlineStr">
        <is>
          <t>FAIL</t>
        </is>
      </c>
      <c r="B216" s="67" t="inlineStr">
        <is>
          <t>issue_886</t>
        </is>
      </c>
      <c r="C216" s="67" t="inlineStr">
        <is>
          <t>0.45.0, 0.45.1</t>
        </is>
      </c>
      <c r="D216" s="67" t="n">
        <v>2</v>
      </c>
      <c r="E216" s="67" t="inlineStr">
        <is>
          <t>AssertionError</t>
        </is>
      </c>
      <c r="F216" s="67" t="inlineStr">
        <is>
          <t>AssertionError: {'00 00': 1024} != {'00': 1024}</t>
        </is>
      </c>
      <c r="G216" s="67" t="inlineStr">
        <is>
          <t>The LLM transpiled the circuit before running it, which is the answer's fix. It kept the buggy code's QuantumCircuit(2, 2) plus measure_all(), so the keys are '00 00' instead of '00' (the reference also removed the classical register), and it did not store the transpiled circuit in transpile_circ. A test that ignores the unused register and the variable name passes the LLM fix (checked on 0.45.0 and 0.45.1).</t>
        </is>
      </c>
      <c r="H216" s="67" t="n">
        <v>6</v>
      </c>
    </row>
    <row r="217">
      <c r="A217" s="69" t="inlineStr">
        <is>
          <t>FAIL</t>
        </is>
      </c>
      <c r="B217" s="67" t="inlineStr">
        <is>
          <t>issue_889</t>
        </is>
      </c>
      <c r="C217" s="67" t="inlineStr">
        <is>
          <t>0.45.0, 0.45.1, 0.45.2, 0.45.3, 0.46.0, 0.46.1, 0.46.2, 0.46.3</t>
        </is>
      </c>
      <c r="D217" s="67" t="n">
        <v>8</v>
      </c>
      <c r="E217" s="67" t="inlineStr">
        <is>
          <t>AssertionError</t>
        </is>
      </c>
      <c r="F217" s="67" t="inlineStr">
        <is>
          <t>AssertionError: Not equal to tolerance rtol=1e-07, atol=1e-09</t>
        </is>
      </c>
      <c r="G217" s="67" t="inlineStr">
        <is>
          <t>The LLM evolved the Hamiltonian with (-time_ * H).exp_i(), but exp_i() already computes exp(-iX), so the circuit implements exp(+iHt), the wrong sign, and the unitary check fails. With the sign flipped the same fix passes on 0.45.0 and 0.46.3. The reference uses circ.hamiltonian(H, time_, ...).</t>
        </is>
      </c>
      <c r="H217" s="67" t="n">
        <v>6</v>
      </c>
    </row>
    <row r="218">
      <c r="A218" s="70" t="inlineStr">
        <is>
          <t>ERROR</t>
        </is>
      </c>
      <c r="B218" s="67" t="inlineStr">
        <is>
          <t>issue_803</t>
        </is>
      </c>
      <c r="C218" s="67" t="inlineStr">
        <is>
          <t>0.45.0, 0.45.1, 0.45.2, 0.45.3, 0.46.0, 0.46.1, 0.46.2, 0.46.3</t>
        </is>
      </c>
      <c r="D218" s="67" t="n">
        <v>8</v>
      </c>
      <c r="E218" s="67" t="inlineStr">
        <is>
          <t>ValueError</t>
        </is>
      </c>
      <c r="F218" s="67"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G218" s="67"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H218" s="67" t="n">
        <v>6</v>
      </c>
    </row>
    <row r="219">
      <c r="A219" s="70" t="inlineStr">
        <is>
          <t>ERROR</t>
        </is>
      </c>
      <c r="B219" s="67" t="inlineStr">
        <is>
          <t>issue_876</t>
        </is>
      </c>
      <c r="C219" s="67" t="inlineStr">
        <is>
          <t>1.0.0, 1.0.1, 1.0.2, 1.1.0, 1.1.1, 1.1.2, 1.2.0, 1.2.1, 1.2.2, 1.2.4, 2.0.0, 2.2.0, 2.3.0, 2.4.0, 2.5.0</t>
        </is>
      </c>
      <c r="D219" s="67" t="n">
        <v>15</v>
      </c>
      <c r="E219" s="67" t="inlineStr">
        <is>
          <t>ModuleNotFoundError</t>
        </is>
      </c>
      <c r="F219" s="67" t="inlineStr">
        <is>
          <t>ModuleNotFoundError: No module named 'qiskit.ibm_runtime'</t>
        </is>
      </c>
      <c r="G219" s="67" t="inlineStr">
        <is>
          <t>The LLM changed the import from qiskit_ibm_runtime to qiskit.ibm_runtime, which does not exist. With the import corrected it still crashes: it simulates the 127-qubit FakeBrisbane layout on an ideal statevector simulator (out of memory) and never adds the noise model the question is about. (These environments do not ship qiskit-ibm-runtime, so this case runs with task-local Runtime 0.23.0 / 0.30.0 / 0.40.1 as in the team's batch06 validation.)</t>
        </is>
      </c>
      <c r="H219" s="67" t="n">
        <v>6</v>
      </c>
    </row>
    <row r="220">
      <c r="A220" s="70" t="inlineStr">
        <is>
          <t>ERROR</t>
        </is>
      </c>
      <c r="B220" s="67" t="inlineStr">
        <is>
          <t>issue_877</t>
        </is>
      </c>
      <c r="C220" s="67" t="inlineStr">
        <is>
          <t>0.45.0, 0.45.1, 0.45.2, 0.45.3, 0.46.0, 0.46.1, 0.46.2, 0.46.3</t>
        </is>
      </c>
      <c r="D220" s="67" t="n">
        <v>8</v>
      </c>
      <c r="E220" s="67" t="inlineStr">
        <is>
          <t>KeyError</t>
        </is>
      </c>
      <c r="F220" s="67" t="inlineStr">
        <is>
          <t>KeyError: 'backend'</t>
        </is>
      </c>
      <c r="G220" s="67"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H220" s="67" t="n">
        <v>6</v>
      </c>
    </row>
    <row r="221">
      <c r="A221" s="70" t="inlineStr">
        <is>
          <t>ERROR</t>
        </is>
      </c>
      <c r="B221" s="67" t="inlineStr">
        <is>
          <t>issue_889</t>
        </is>
      </c>
      <c r="C221" s="67" t="inlineStr">
        <is>
          <t>0.25.0, 0.25.1, 0.25.2, 0.25.3</t>
        </is>
      </c>
      <c r="D221" s="67" t="n">
        <v>4</v>
      </c>
      <c r="E221" s="67" t="inlineStr">
        <is>
          <t>ExtensionError</t>
        </is>
      </c>
      <c r="F221" s="67" t="inlineStr">
        <is>
          <t>qiskit.extensions.exceptions.ExtensionError: 'Input matrix is not unitary.'</t>
        </is>
      </c>
      <c r="G221" s="67" t="inlineStr">
        <is>
          <t>The LLM evolved the Hamiltonian with (-time_ * H).exp_i(), which has the wrong sign (exp(+iHt)); on Qiskit 0.25 the resulting instruction is rejected as non-unitary. The reference uses circ.hamiltonian(H, time_, ...).</t>
        </is>
      </c>
      <c r="H221" s="67" t="n">
        <v>6</v>
      </c>
    </row>
    <row r="222">
      <c r="A222" s="70" t="inlineStr">
        <is>
          <t>ERROR</t>
        </is>
      </c>
      <c r="B222" s="67" t="inlineStr">
        <is>
          <t>issue_911</t>
        </is>
      </c>
      <c r="C222" s="67" t="inlineStr">
        <is>
          <t>0.45.0, 0.45.1, 0.45.2, 0.45.3, 0.46.0, 0.46.1, 0.46.2, 0.46.3, 1.0.0, 1.0.1, 1.0.2, 1.1.0, 1.1.1, 1.1.2, 1.2.0, 1.2.1, 1.2.2, 1.2.4</t>
        </is>
      </c>
      <c r="D222" s="67" t="n">
        <v>18</v>
      </c>
      <c r="E222" s="67" t="inlineStr">
        <is>
          <t>ValueError</t>
        </is>
      </c>
      <c r="F222" s="67" t="inlineStr">
        <is>
          <t>ValueError: malformed node or string on line 1: &lt;ast.Call object at 0x000001994F5AB2E0&gt;</t>
        </is>
      </c>
      <c r="G222" s="67" t="inlineStr">
        <is>
          <t>The LLM printed each qubit's register and index with qc.find_bit(), the information the question asks for. The test parses the reference's exact print format ('qargs : [0, 1]'), and the LLM's 'qargs :' line still prints Qubit objects, so ast.literal_eval raises ValueError. A test that reads the printed indices in either format passes the LLM fix (checked on 0.45.0, 1.0.0, 1.2.4 and 2.5.0).</t>
        </is>
      </c>
      <c r="H222" s="67" t="n">
        <v>6</v>
      </c>
    </row>
    <row r="223">
      <c r="A223" s="70" t="inlineStr">
        <is>
          <t>ERROR</t>
        </is>
      </c>
      <c r="B223" s="67" t="inlineStr">
        <is>
          <t>issue_911</t>
        </is>
      </c>
      <c r="C223" s="67" t="inlineStr">
        <is>
          <t>2.0.0, 2.2.0, 2.3.0, 2.4.0, 2.5.0</t>
        </is>
      </c>
      <c r="D223" s="67" t="n">
        <v>5</v>
      </c>
      <c r="E223" s="67" t="inlineStr">
        <is>
          <t>SyntaxError</t>
        </is>
      </c>
      <c r="F223" s="67" t="inlineStr">
        <is>
          <t>SyntaxError: invalid syntax</t>
        </is>
      </c>
      <c r="G223" s="67" t="inlineStr">
        <is>
          <t>Same fix and same test problem as on the older versions; in Qiskit 2.x the Qubit objects print in a form ast.literal_eval cannot read, so it raises SyntaxError instead.</t>
        </is>
      </c>
      <c r="H223" s="67" t="n">
        <v>6</v>
      </c>
    </row>
    <row r="224">
      <c r="A224" s="70" t="inlineStr">
        <is>
          <t>ERROR</t>
        </is>
      </c>
      <c r="B224" s="67" t="inlineStr">
        <is>
          <t>issue_925</t>
        </is>
      </c>
      <c r="C224" s="67" t="inlineStr">
        <is>
          <t>0.25.0, 0.25.1, 0.25.2, 0.25.3</t>
        </is>
      </c>
      <c r="D224" s="67" t="n">
        <v>4</v>
      </c>
      <c r="E224" s="67" t="inlineStr">
        <is>
          <t>TranspilerError</t>
        </is>
      </c>
      <c r="F224" s="67" t="inlineStr">
        <is>
          <t>qiskit.transpiler.exceptions.TranspilerError: 'Number of qubits (18) in Shor(N=15, a=2) is greater than maximum (14) in the coupling_map'</t>
        </is>
      </c>
      <c r="G224" s="67" t="inlineStr">
        <is>
          <t>The LLM only added a comment saying to use a simulator with enough qubits; the code still runs Shor on FakeMelbourne, so the 18-qubit circuit does not fit its 14-qubit coupling map, exactly like the buggy code. The reference switches to Aer's qasm_simulator.</t>
        </is>
      </c>
      <c r="H224" s="67" t="n">
        <v>6</v>
      </c>
    </row>
    <row r="225">
      <c r="A225" s="70" t="inlineStr">
        <is>
          <t>ERROR</t>
        </is>
      </c>
      <c r="B225" s="67" t="inlineStr">
        <is>
          <t>issue_944</t>
        </is>
      </c>
      <c r="C225" s="67" t="inlineStr">
        <is>
          <t>0.25.0, 0.25.1, 0.25.2, 0.25.3, 0.45.0, 0.45.1, 0.45.2, 0.45.3, 0.46.0, 0.46.1, 0.46.2, 0.46.3</t>
        </is>
      </c>
      <c r="D225" s="67" t="n">
        <v>12</v>
      </c>
      <c r="E225" s="67" t="inlineStr">
        <is>
          <t>AttributeError</t>
        </is>
      </c>
      <c r="F225" s="67" t="inlineStr">
        <is>
          <t>AttributeError: 'PauliSumOp' object has no attribute 'data'</t>
        </is>
      </c>
      <c r="G225" s="67" t="inlineStr">
        <is>
          <t>The LLM built |+&gt;&lt;+| as the opflow operator (I + X) / 2 and passed it to NumPyEigensolver, which gives the right projector and eigenvalues. The test reads proj.data, which only the reference's quantum_info Operator has (and a variable named op). A test that accepts either operator type passes the LLM fix (checked on 0.25.0, 0.45.0 and 0.46.3) and still fails the buggy code.</t>
        </is>
      </c>
      <c r="H225" s="67" t="n">
        <v>6</v>
      </c>
    </row>
  </sheetData>
  <conditionalFormatting sqref="B90:B149">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25"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 Batch 6 (issue_803 to issue_944, rows 28-32): all 10 tests target the right bug. issue_810, issue_886, issue_911 and issue_944 are over-specific; issue_877 pins the reference's backend size. The other 5 (issue_803, issue_816, issue_876, issue_889, issue_925)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This is the only reason the LLM fails. Its fix uses [n-1-i, 3, ..., 8] and every gate matrix is correct (checked separately), but the qubit-list check fails first on all 23 versions. A test that accepted either control order would pass it.</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 on all 23 versions.</t>
        </is>
      </c>
      <c r="H15" s="25">
        <f>COUNTIF(Summary!$B$29:$AB$29,"PASS")&amp;" / "&amp;(COUNTIF(Summary!$B$29:$AB$29,"PASS")+COUNTIF(Summary!$B$29:$AB$29,"FAIL")+COUNTIF(Summary!$B$29:$AB$29,"ERROR"))</f>
        <v/>
      </c>
      <c r="I15" s="25">
        <f>IF(COUNTIF(Summary!$B$29:$AB$29,"PASS")=(COUNTIF(Summary!$B$29:$AB$29,"PASS")+COUNTIF(Summary!$B$29:$AB$29,"FAIL")+COUNTIF(Summary!$B$29:$AB$29,"ERROR")),"PASS",IF(COUNTIF(Summary!$B$29:$AB$29,"ERROR")&gt;0,"ERROR","FAIL"))</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 on all 4 versions.</t>
        </is>
      </c>
      <c r="H16" s="25">
        <f>COUNTIF(Summary!$B$26:$AB$26,"PASS")&amp;" / "&amp;(COUNTIF(Summary!$B$26:$AB$26,"PASS")+COUNTIF(Summary!$B$26:$AB$26,"FAIL")+COUNTIF(Summary!$B$26:$AB$26,"ERROR"))</f>
        <v/>
      </c>
      <c r="I16" s="25">
        <f>IF(COUNTIF(Summary!$B$26:$AB$26,"PASS")=(COUNTIF(Summary!$B$26:$AB$26,"PASS")+COUNTIF(Summary!$B$26:$AB$26,"FAIL")+COUNTIF(Summary!$B$26:$AB$26,"ERROR")),"PASS",IF(COUNTIF(Summary!$B$26:$AB$26,"ERROR")&gt;0,"ERROR","FAIL"))</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ERROR on all 12 versions.</t>
        </is>
      </c>
      <c r="H17" s="25">
        <f>COUNTIF(Summary!$B$22:$AB$22,"PASS")&amp;" / "&amp;(COUNTIF(Summary!$B$22:$AB$22,"PASS")+COUNTIF(Summary!$B$22:$AB$22,"FAIL")+COUNTIF(Summary!$B$22:$AB$22,"ERROR"))</f>
        <v/>
      </c>
      <c r="I17" s="25">
        <f>IF(COUNTIF(Summary!$B$22:$AB$22,"PASS")=(COUNTIF(Summary!$B$22:$AB$22,"PASS")+COUNTIF(Summary!$B$22:$AB$22,"FAIL")+COUNTIF(Summary!$B$22:$AB$22,"ERROR")),"PASS",IF(COUNTIF(Summary!$B$22:$AB$22,"ERROR")&gt;0,"ERROR","FAIL"))</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COUNTIF(Summary!$B$24:$AB$24,"PASS")&amp;" / "&amp;(COUNTIF(Summary!$B$24:$AB$24,"PASS")+COUNTIF(Summary!$B$24:$AB$24,"FAIL")+COUNTIF(Summary!$B$24:$AB$24,"ERROR"))</f>
        <v/>
      </c>
      <c r="I18" s="25">
        <f>IF(COUNTIF(Summary!$B$24:$AB$24,"PASS")=(COUNTIF(Summary!$B$24:$AB$24,"PASS")+COUNTIF(Summary!$B$24:$AB$24,"FAIL")+COUNTIF(Summary!$B$24:$AB$24,"ERROR")),"PASS",IF(COUNTIF(Summary!$B$24:$AB$24,"ERROR")&gt;0,"ERROR","FAIL"))</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COUNTIF(Summary!$B$27:$AB$27,"PASS")&amp;" / "&amp;(COUNTIF(Summary!$B$27:$AB$27,"PASS")+COUNTIF(Summary!$B$27:$AB$27,"FAIL")+COUNTIF(Summary!$B$27:$AB$27,"ERROR"))</f>
        <v/>
      </c>
      <c r="I19" s="25">
        <f>IF(COUNTIF(Summary!$B$27:$AB$27,"PASS")=(COUNTIF(Summary!$B$27:$AB$27,"PASS")+COUNTIF(Summary!$B$27:$AB$27,"FAIL")+COUNTIF(Summary!$B$27:$AB$27,"ERROR")),"PASS",IF(COUNTIF(Summary!$B$27:$AB$27,"ERROR")&gt;0,"ERROR","FAIL"))</f>
        <v/>
      </c>
    </row>
    <row r="20" ht="82.8" customHeight="1" s="35">
      <c r="A20" s="21" t="inlineStr">
        <is>
          <t>issue_622</t>
        </is>
      </c>
      <c r="B20" s="22" t="inlineStr">
        <is>
          <t>Over-specific</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This is the only reason the LLM fails. FakeYorktown (5 qubits) fixes the error and gives 933 of 1024 shots as '00'/'11' (91%); every other check passes. A test that allowed a little noise, or only checked the qubit count and the Bell state, would pass it. FAIL on all 12 versions.</t>
        </is>
      </c>
      <c r="H20" s="25">
        <f>COUNTIF(Summary!$B$38:$AB$38,"PASS")&amp;" / "&amp;(COUNTIF(Summary!$B$38:$AB$38,"PASS")+COUNTIF(Summary!$B$38:$AB$38,"FAIL")+COUNTIF(Summary!$B$38:$AB$38,"ERROR"))</f>
        <v/>
      </c>
      <c r="I20" s="25">
        <f>IF(COUNTIF(Summary!$B$38:$AB$38,"PASS")=(COUNTIF(Summary!$B$38:$AB$38,"PASS")+COUNTIF(Summary!$B$38:$AB$38,"FAIL")+COUNTIF(Summary!$B$38:$AB$38,"ERROR")),"PASS",IF(COUNTIF(Summary!$B$38:$AB$38,"ERROR")&gt;0,"ERROR","FAIL"))</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COUNTIF(Summary!$B$34:$AB$34,"PASS")&amp;" / "&amp;(COUNTIF(Summary!$B$34:$AB$34,"PASS")+COUNTIF(Summary!$B$34:$AB$34,"FAIL")+COUNTIF(Summary!$B$34:$AB$34,"ERROR"))</f>
        <v/>
      </c>
      <c r="I21" s="25">
        <f>IF(COUNTIF(Summary!$B$34:$AB$34,"PASS")=(COUNTIF(Summary!$B$34:$AB$34,"PASS")+COUNTIF(Summary!$B$34:$AB$34,"FAIL")+COUNTIF(Summary!$B$34:$AB$34,"ERROR")),"PASS",IF(COUNTIF(Summary!$B$34:$AB$34,"ERROR")&gt;0,"ERROR","FAIL"))</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COUNTIF(Summary!$B$36:$AB$36,"PASS")&amp;" / "&amp;(COUNTIF(Summary!$B$36:$AB$36,"PASS")+COUNTIF(Summary!$B$36:$AB$36,"FAIL")+COUNTIF(Summary!$B$36:$AB$36,"ERROR"))</f>
        <v/>
      </c>
      <c r="I22" s="25">
        <f>IF(COUNTIF(Summary!$B$36:$AB$36,"PASS")=(COUNTIF(Summary!$B$36:$AB$36,"PASS")+COUNTIF(Summary!$B$36:$AB$36,"FAIL")+COUNTIF(Summary!$B$36:$AB$36,"ERROR")),"PASS",IF(COUNTIF(Summary!$B$36:$AB$36,"ERROR")&gt;0,"ERROR","FAIL"))</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 on all 4 versions.</t>
        </is>
      </c>
      <c r="H23" s="25">
        <f>COUNTIF(Summary!$B$40:$AB$40,"PASS")&amp;" / "&amp;(COUNTIF(Summary!$B$40:$AB$40,"PASS")+COUNTIF(Summary!$B$40:$AB$40,"FAIL")+COUNTIF(Summary!$B$40:$AB$40,"ERROR"))</f>
        <v/>
      </c>
      <c r="I23" s="25">
        <f>IF(COUNTIF(Summary!$B$40:$AB$40,"PASS")=(COUNTIF(Summary!$B$40:$AB$40,"PASS")+COUNTIF(Summary!$B$40:$AB$40,"FAIL")+COUNTIF(Summary!$B$40:$AB$40,"ERROR")),"PASS",IF(COUNTIF(Summary!$B$40:$AB$40,"ERROR")&gt;0,"ERROR","FAIL"))</f>
        <v/>
      </c>
    </row>
    <row r="24" ht="96.59999999999999" customHeight="1" s="35">
      <c r="A24" s="21" t="inlineStr">
        <is>
          <t>issue_671</t>
        </is>
      </c>
      <c r="B24" s="22" t="inlineStr">
        <is>
          <t>Over-specific</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This is the only reason the LLM fails. QuantumCircuit(a, *v, b) passes every register check; without the unitary check it passes (checked on 5 versions) and the buggy code still fails. FAIL on all 27 versions.</t>
        </is>
      </c>
      <c r="H24" s="25">
        <f>COUNTIF(Summary!$B$43:$AB$43,"PASS")&amp;" / "&amp;(COUNTIF(Summary!$B$43:$AB$43,"PASS")+COUNTIF(Summary!$B$43:$AB$43,"FAIL")+COUNTIF(Summary!$B$43:$AB$43,"ERROR"))</f>
        <v/>
      </c>
      <c r="I24" s="25">
        <f>IF(COUNTIF(Summary!$B$43:$AB$43,"PASS")=(COUNTIF(Summary!$B$43:$AB$43,"PASS")+COUNTIF(Summary!$B$43:$AB$43,"FAIL")+COUNTIF(Summary!$B$43:$AB$43,"ERROR")),"PASS",IF(COUNTIF(Summary!$B$43:$AB$43,"ERROR")&gt;0,"ERROR","FAIL"))</f>
        <v/>
      </c>
    </row>
    <row r="25" ht="96.59999999999999" customHeight="1" s="35">
      <c r="A25" s="21" t="inlineStr">
        <is>
          <t>issue_775</t>
        </is>
      </c>
      <c r="B25" s="22" t="inlineStr">
        <is>
          <t>Over-specific</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This is the only reason the LLM fails (KeyError: 'qc'). A test that checks the executed result (success, 1 experiment, 2 qubits, 2 memory slots) passes the LLM fix on 0.25.0, 0.45.0 and 0.46.3 and still fails the buggy code. ERROR on all 12 versions.</t>
        </is>
      </c>
      <c r="H25" s="25">
        <f>COUNTIF(Summary!$B$50:$AB$50,"PASS")&amp;" / "&amp;(COUNTIF(Summary!$B$50:$AB$50,"PASS")+COUNTIF(Summary!$B$50:$AB$50,"FAIL")+COUNTIF(Summary!$B$50:$AB$50,"ERROR"))</f>
        <v/>
      </c>
      <c r="I25" s="25">
        <f>IF(COUNTIF(Summary!$B$50:$AB$50,"PASS")=(COUNTIF(Summary!$B$50:$AB$50,"PASS")+COUNTIF(Summary!$B$50:$AB$50,"FAIL")+COUNTIF(Summary!$B$50:$AB$50,"ERROR")),"PASS",IF(COUNTIF(Summary!$B$50:$AB$50,"ERROR")&gt;0,"ERROR","FAIL"))</f>
        <v/>
      </c>
    </row>
    <row r="26" ht="96.59999999999999" customHeight="1" s="35">
      <c r="A26" s="21" t="inlineStr">
        <is>
          <t>issue_747</t>
        </is>
      </c>
      <c r="B26" s="22" t="inlineStr">
        <is>
          <t>Borderline (count format)</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This is the only reason the LLM fails. Its statistics are correct GHZ statistics; a test that ignores the unused register passes it on 0.45.0 and 0.46.3. Still, leaving 3 unused classical bits is sloppier than the reference. FAIL on all 8 versions.</t>
        </is>
      </c>
      <c r="H26" s="25">
        <f>COUNTIF(Summary!$B$46:$AB$46,"PASS")&amp;" / "&amp;(COUNTIF(Summary!$B$46:$AB$46,"PASS")+COUNTIF(Summary!$B$46:$AB$46,"FAIL")+COUNTIF(Summary!$B$46:$AB$46,"ERROR"))</f>
        <v/>
      </c>
      <c r="I26" s="25">
        <f>IF(COUNTIF(Summary!$B$46:$AB$46,"PASS")=(COUNTIF(Summary!$B$46:$AB$46,"PASS")+COUNTIF(Summary!$B$46:$AB$46,"FAIL")+COUNTIF(Summary!$B$46:$AB$46,"ERROR")),"PASS",IF(COUNTIF(Summary!$B$46:$AB$46,"ERROR")&gt;0,"ERROR","FAIL"))</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ERROR on all 15 versions (KeyError: 'get_qiskit_gate').</t>
        </is>
      </c>
      <c r="H27" s="25">
        <f>COUNTIF(Summary!$B$48:$AB$48,"PASS")&amp;" / "&amp;(COUNTIF(Summary!$B$48:$AB$48,"PASS")+COUNTIF(Summary!$B$48:$AB$48,"FAIL")+COUNTIF(Summary!$B$48:$AB$48,"ERROR"))</f>
        <v/>
      </c>
      <c r="I27" s="25">
        <f>IF(COUNTIF(Summary!$B$48:$AB$48,"PASS")=(COUNTIF(Summary!$B$48:$AB$48,"PASS")+COUNTIF(Summary!$B$48:$AB$48,"FAIL")+COUNTIF(Summary!$B$48:$AB$48,"ERROR")),"PASS",IF(COUNTIF(Summary!$B$48:$AB$48,"ERROR")&gt;0,"ERROR","FAIL"))</f>
        <v/>
      </c>
    </row>
    <row r="28" ht="96.59999999999999" customHeight="1" s="35">
      <c r="A28" s="21" t="inlineStr">
        <is>
          <t>issue_810</t>
        </is>
      </c>
      <c r="B28" s="22" t="inlineStr">
        <is>
          <t>Over-specific</t>
        </is>
      </c>
      <c r="C28" s="23" t="inlineStr">
        <is>
          <t>Yes</t>
        </is>
      </c>
      <c r="D28" s="24" t="inlineStr">
        <is>
          <t>job.result(job) passes the job as a timeout and the code prints the whole Result; the user wants the raw measurement data (the counts).</t>
        </is>
      </c>
      <c r="E28" s="24" t="inlineStr">
        <is>
          <t>Reads the variable counts_dict: a dict with exactly 100 shots, outcomes {'0', '1'} near 50/50, equal to job.result().get_counts().</t>
        </is>
      </c>
      <c r="F28" s="24" t="inlineStr">
        <is>
          <t>It requires the reference's variable name counts_dict and exactly 100 shots, although the buggy code (and the question) uses 1024 shots; the reference changed the shot count.</t>
        </is>
      </c>
      <c r="G28" s="24" t="inlineStr">
        <is>
          <t>This is the only reason the LLM fails. a = job.result().get_counts() is the same call as the reference; a test that accepts any variable name and the script's own shot count passes it on 0.45.1 and 0.46.2. FAIL on both versions.</t>
        </is>
      </c>
      <c r="H28" s="25">
        <f>COUNTIF(Summary!$B$53:$AB$53,"PASS")&amp;" / "&amp;(COUNTIF(Summary!$B$53:$AB$53,"PASS")+COUNTIF(Summary!$B$53:$AB$53,"FAIL")+COUNTIF(Summary!$B$53:$AB$53,"ERROR"))</f>
        <v/>
      </c>
      <c r="I28" s="25">
        <f>IF(COUNTIF(Summary!$B$53:$AB$53,"PASS")=(COUNTIF(Summary!$B$53:$AB$53,"PASS")+COUNTIF(Summary!$B$53:$AB$53,"FAIL")+COUNTIF(Summary!$B$53:$AB$53,"ERROR")),"PASS",IF(COUNTIF(Summary!$B$53:$AB$53,"ERROR")&gt;0,"ERROR","FAIL"))</f>
        <v/>
      </c>
    </row>
    <row r="29" ht="96.59999999999999" customHeight="1" s="35">
      <c r="A29" s="21" t="inlineStr">
        <is>
          <t>issue_886</t>
        </is>
      </c>
      <c r="B29" s="22" t="inlineStr">
        <is>
          <t>Over-specific</t>
        </is>
      </c>
      <c r="C29" s="23" t="inlineStr">
        <is>
          <t>Yes</t>
        </is>
      </c>
      <c r="D29" s="24" t="inlineStr">
        <is>
          <t>Running a circuit with crx on qasm_simulator fails with 'unknown instruction: crx'; transpile the circuit for the backend first.</t>
        </is>
      </c>
      <c r="E29" s="24" t="inlineStr">
        <is>
          <t>The counts must be exactly {'00': 1024}, and the variable transpile_circ (without measurements) must have the exact controlled-RX unitary.</t>
        </is>
      </c>
      <c r="F29" s="24" t="inlineStr">
        <is>
          <t>The exact key '00' assumes the classical register from QuantumCircuit(2, 2) was removed, which the reference did but the question never asks for; the buggy code's measure_all() adds a second register. It also needs the variable name transpile_circ.</t>
        </is>
      </c>
      <c r="G29" s="24" t="inlineStr">
        <is>
          <t>This is the only reason the LLM fails. It transpiles exactly like the answer; a test that ignores the unused register and the variable name passes it on 0.45.0 and 0.45.1. FAIL on both versions.</t>
        </is>
      </c>
      <c r="H29" s="25">
        <f>COUNTIF(Summary!$B$57:$AB$57,"PASS")&amp;" / "&amp;(COUNTIF(Summary!$B$57:$AB$57,"PASS")+COUNTIF(Summary!$B$57:$AB$57,"FAIL")+COUNTIF(Summary!$B$57:$AB$57,"ERROR"))</f>
        <v/>
      </c>
      <c r="I29" s="25">
        <f>IF(COUNTIF(Summary!$B$57:$AB$57,"PASS")=(COUNTIF(Summary!$B$57:$AB$57,"PASS")+COUNTIF(Summary!$B$57:$AB$57,"FAIL")+COUNTIF(Summary!$B$57:$AB$57,"ERROR")),"PASS",IF(COUNTIF(Summary!$B$57:$AB$57,"ERROR")&gt;0,"ERROR","FAIL"))</f>
        <v/>
      </c>
    </row>
    <row r="30" ht="96.59999999999999" customHeight="1" s="35">
      <c r="A30" s="21" t="inlineStr">
        <is>
          <t>issue_911</t>
        </is>
      </c>
      <c r="B30" s="22" t="inlineStr">
        <is>
          <t>Over-specific (print format)</t>
        </is>
      </c>
      <c r="C30" s="23" t="inlineStr">
        <is>
          <t>Yes</t>
        </is>
      </c>
      <c r="D30" s="24" t="inlineStr">
        <is>
          <t>Print which qubits each gate acts on; qargs[1] fails on one-qubit gates, and Qubit no longer has .register / .index.</t>
        </is>
      </c>
      <c r="E30" s="24" t="inlineStr">
        <is>
          <t>Parses every printed line that starts with 'qargs :' as a Python list of integers and compares it with the gates' qubit indices.</t>
        </is>
      </c>
      <c r="F30" s="24" t="inlineStr">
        <is>
          <t>It requires the reference's exact print format, a list of ints on the 'qargs :' line. Printing the register and index of each qubit on separate lines carries the same information.</t>
        </is>
      </c>
      <c r="G30" s="24" t="inlineStr">
        <is>
          <t>This is the only reason the LLM fails. It prints each qubit's index with find_bit (and keeps the original 'qargs :' line with Qubit objects); a test that reads the indices in either format passes it on 0.45.0, 1.0.0, 1.2.4 and 2.5.0. ERROR on all 23 versions.</t>
        </is>
      </c>
      <c r="H30" s="25">
        <f>COUNTIF(Summary!$B$59:$AB$59,"PASS")&amp;" / "&amp;(COUNTIF(Summary!$B$59:$AB$59,"PASS")+COUNTIF(Summary!$B$59:$AB$59,"FAIL")+COUNTIF(Summary!$B$59:$AB$59,"ERROR"))</f>
        <v/>
      </c>
      <c r="I30" s="25">
        <f>IF(COUNTIF(Summary!$B$59:$AB$59,"PASS")=(COUNTIF(Summary!$B$59:$AB$59,"PASS")+COUNTIF(Summary!$B$59:$AB$59,"FAIL")+COUNTIF(Summary!$B$59:$AB$59,"ERROR")),"PASS",IF(COUNTIF(Summary!$B$59:$AB$59,"ERROR")&gt;0,"ERROR","FAIL"))</f>
        <v/>
      </c>
    </row>
    <row r="31" ht="96.59999999999999" customHeight="1" s="35">
      <c r="A31" s="21" t="inlineStr">
        <is>
          <t>issue_944</t>
        </is>
      </c>
      <c r="B31" s="22" t="inlineStr">
        <is>
          <t>Over-specific (operator type)</t>
        </is>
      </c>
      <c r="C31" s="23" t="inlineStr">
        <is>
          <t>Yes</t>
        </is>
      </c>
      <c r="D31" s="24" t="inlineStr">
        <is>
          <t>Plus @ ~Plus is not allowed in opflow, and a quantum_info Operator cannot go into NumPyEigensolver; build the projector |+&gt;&lt;+| as an operator the solver accepts.</t>
        </is>
      </c>
      <c r="E31" s="24" t="inlineStr">
        <is>
          <t>proj.data and op.to_matrix() must equal [[.5, .5], [.5, .5]], the smallest eigenvalue must be 0 and the full spectrum {0, 1}.</t>
        </is>
      </c>
      <c r="F31" s="24" t="inlineStr">
        <is>
          <t>proj.data only exists on the reference's quantum_info Operator, and op is the reference's variable name. The question is about opflow, and (I + X) / 2 is the same projector there.</t>
        </is>
      </c>
      <c r="G31" s="24" t="inlineStr">
        <is>
          <t>This is the only reason the LLM fails. Its opflow projector has the right matrix and eigenvalues; a test that accepts either operator type passes it on 0.25.0, 0.45.0 and 0.46.3. ERROR on all 12 versions.</t>
        </is>
      </c>
      <c r="H31" s="25">
        <f>COUNTIF(Summary!$B$61:$AB$61,"PASS")&amp;" / "&amp;(COUNTIF(Summary!$B$61:$AB$61,"PASS")+COUNTIF(Summary!$B$61:$AB$61,"FAIL")+COUNTIF(Summary!$B$61:$AB$61,"ERROR"))</f>
        <v/>
      </c>
      <c r="I31" s="25">
        <f>IF(COUNTIF(Summary!$B$61:$AB$61,"PASS")=(COUNTIF(Summary!$B$61:$AB$61,"PASS")+COUNTIF(Summary!$B$61:$AB$61,"FAIL")+COUNTIF(Summary!$B$61:$AB$61,"ERROR")),"PASS",IF(COUNTIF(Summary!$B$61:$AB$61,"ERROR")&gt;0,"ERROR","FAIL"))</f>
        <v/>
      </c>
    </row>
    <row r="32" ht="82.8" customHeight="1" s="35">
      <c r="A32" s="21" t="inlineStr">
        <is>
          <t>issue_877</t>
        </is>
      </c>
      <c r="B32" s="26" t="inlineStr">
        <is>
          <t>Over-specific (27 qubits), but not the reason</t>
        </is>
      </c>
      <c r="C32" s="27" t="inlineStr">
        <is>
          <t>Partly</t>
        </is>
      </c>
      <c r="D32" s="24" t="inlineStr">
        <is>
          <t>The user has no access to a large real backend, so backend is undefined; they want a noise model like a real device's.</t>
        </is>
      </c>
      <c r="E32" s="24" t="inlineStr">
        <is>
          <t>backend must have exactly 27 qubits, the noise model must not be ideal and must contain readout and gate errors, and it must run on a local AerSimulator.</t>
        </is>
      </c>
      <c r="F32" s="24" t="inlineStr">
        <is>
          <t>Exactly 27 qubits pins the reference's FakeKolkata; any large fake device would do. The non-ideal noise checks are fair.</t>
        </is>
      </c>
      <c r="G32" s="24" t="inlineStr">
        <is>
          <t>No change. The LLM's empty NoiseModel() has no noise at all, so it would fail a fair test too. ERROR on all 8 versions (KeyError: 'backend').</t>
        </is>
      </c>
      <c r="H32" s="25">
        <f>COUNTIF(Summary!$B$56:$AB$56,"PASS")&amp;" / "&amp;(COUNTIF(Summary!$B$56:$AB$56,"PASS")+COUNTIF(Summary!$B$56:$AB$56,"FAIL")+COUNTIF(Summary!$B$56:$AB$56,"ERROR"))</f>
        <v/>
      </c>
      <c r="I32" s="25">
        <f>IF(COUNTIF(Summary!$B$56:$AB$56,"PASS")=(COUNTIF(Summary!$B$56:$AB$56,"PASS")+COUNTIF(Summary!$B$56:$AB$56,"FAIL")+COUNTIF(Summary!$B$56:$AB$56,"ERROR")),"PASS",IF(COUNTIF(Summary!$B$56:$AB$56,"ERROR")&gt;0,"ERROR","FAIL"))</f>
        <v/>
      </c>
    </row>
    <row r="33" s="35"/>
    <row r="34" s="35">
      <c r="A34" s="60" t="inlineStr">
        <is>
          <t>Takeaway</t>
        </is>
      </c>
    </row>
    <row r="35" ht="175" customHeight="1" s="35">
      <c r="A35"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fails both, and relaxed tests pass the LLM fixes. issue_747 is borderline: the test requires the exact keys '000'/'111', and the LLM's measure_all() adds a second register. issue_769 needs the answer's function name, but the LLM fix would fail a fair test too. Batch 6: issue_810, issue_886, issue_911 and issue_944 are over-specific (a variable name and shot count, an exact count key and variable name, an exact print format, and an attribute only the reference's operator type has); in all four, relaxed tests pass the LLM fix and still fail the buggy code. issue_877 pins 27 qubits, but the LLM's empty noise model would fail a fair test too.</t>
        </is>
      </c>
    </row>
    <row r="36" s="35"/>
  </sheetData>
  <mergeCells count="2">
    <mergeCell ref="A35:I35"/>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2026-10-03T12:59:29Z</dcterms:modified>
  <cp:lastModifiedBy>Saumya Brahmbhatt</cp:lastModifiedBy>
</cp:coreProperties>
</file>