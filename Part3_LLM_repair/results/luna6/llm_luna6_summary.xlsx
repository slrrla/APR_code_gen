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ats &amp; Note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7">
    <fill>
      <patternFill/>
    </fill>
    <fill>
      <patternFill patternType="gray125"/>
    </fill>
    <fill>
      <patternFill patternType="solid">
        <fgColor rgb="001F4E78"/>
      </patternFill>
    </fill>
    <fill>
      <patternFill patternType="solid">
        <fgColor rgb="00EDEDED"/>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0" fillId="0" borderId="1" pivotButton="0" quotePrefix="0" xfId="0"/>
    <xf numFmtId="0" fontId="0" fillId="3"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horizontal="center"/>
    </xf>
    <xf numFmtId="0" fontId="0" fillId="6" borderId="1" applyAlignment="1" pivotButton="0" quotePrefix="0" xfId="0">
      <alignment horizontal="center"/>
    </xf>
    <xf numFmtId="0" fontId="2" fillId="0" borderId="0" pivotButton="0" quotePrefix="0" xfId="0"/>
    <xf numFmtId="0" fontId="0" fillId="4" borderId="1" pivotButton="0" quotePrefix="0" xfId="0"/>
    <xf numFmtId="164" fontId="0" fillId="0" borderId="1" pivotButton="0" quotePrefix="0" xfId="0"/>
    <xf numFmtId="0" fontId="0" fillId="5" borderId="1" pivotButton="0" quotePrefix="0" xfId="0"/>
    <xf numFmtId="0" fontId="0" fillId="6" borderId="1" pivotButton="0" quotePrefix="0" xfId="0"/>
    <xf numFmtId="0" fontId="2" fillId="0" borderId="1" pivotButton="0" quotePrefix="0" xfId="0"/>
    <xf numFmtId="164" fontId="2"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7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 width="28" customWidth="1" min="48" max="48"/>
    <col width="28" customWidth="1" min="49" max="49"/>
    <col width="28" customWidth="1" min="50" max="50"/>
    <col width="28" customWidth="1" min="51" max="51"/>
    <col width="28" customWidth="1" min="52" max="52"/>
    <col width="28" customWidth="1" min="53" max="53"/>
    <col width="28" customWidth="1" min="54" max="54"/>
    <col width="28" customWidth="1" min="55" max="55"/>
    <col width="28" customWidth="1" min="56" max="56"/>
    <col width="28" customWidth="1" min="57" max="57"/>
    <col width="28" customWidth="1" min="58" max="58"/>
    <col width="28" customWidth="1" min="59" max="59"/>
    <col width="28" customWidth="1" min="60" max="60"/>
    <col width="28" customWidth="1" min="61" max="61"/>
    <col width="28" customWidth="1" min="62" max="62"/>
    <col width="28" customWidth="1" min="63" max="63"/>
    <col width="28" customWidth="1" min="64" max="64"/>
    <col width="28" customWidth="1" min="65" max="65"/>
    <col width="28" customWidth="1" min="66" max="66"/>
    <col width="28" customWidth="1" min="67" max="67"/>
    <col width="28" customWidth="1" min="68" max="68"/>
    <col width="28" customWidth="1" min="69" max="69"/>
    <col width="28" customWidth="1" min="70" max="70"/>
    <col width="28" customWidth="1" min="71" max="71"/>
    <col width="28" customWidth="1" min="72" max="72"/>
    <col width="28" customWidth="1" min="73" max="73"/>
    <col width="28" customWidth="1" min="74" max="74"/>
    <col width="28" customWidth="1" min="75" max="75"/>
    <col width="28" customWidth="1" min="76" max="76"/>
    <col width="28" customWidth="1" min="77" max="77"/>
    <col width="28" customWidth="1" min="78" max="78"/>
    <col width="28" customWidth="1" min="79" max="79"/>
    <col width="28" customWidth="1" min="80" max="80"/>
    <col width="28" customWidth="1" min="81" max="81"/>
    <col width="28" customWidth="1" min="82" max="82"/>
    <col width="28" customWidth="1" min="83" max="83"/>
    <col width="28" customWidth="1" min="84" max="84"/>
    <col width="28" customWidth="1" min="85" max="85"/>
    <col width="28" customWidth="1" min="86" max="86"/>
    <col width="28" customWidth="1" min="87" max="87"/>
    <col width="28" customWidth="1" min="88" max="88"/>
    <col width="28" customWidth="1" min="89" max="89"/>
    <col width="28" customWidth="1" min="90" max="90"/>
    <col width="28" customWidth="1" min="91" max="91"/>
    <col width="28" customWidth="1" min="92" max="92"/>
    <col width="28" customWidth="1" min="93" max="93"/>
    <col width="28" customWidth="1" min="94" max="94"/>
    <col width="28" customWidth="1" min="95" max="95"/>
    <col width="28" customWidth="1" min="96" max="96"/>
    <col width="28" customWidth="1" min="97" max="97"/>
    <col width="28" customWidth="1" min="98" max="98"/>
    <col width="28" customWidth="1" min="99" max="99"/>
    <col width="28" customWidth="1" min="100" max="100"/>
    <col width="28" customWidth="1" min="101" max="101"/>
    <col width="28" customWidth="1" min="102" max="102"/>
    <col width="28" customWidth="1" min="103" max="103"/>
    <col width="28" customWidth="1" min="104" max="104"/>
    <col width="28" customWidth="1" min="105" max="105"/>
    <col width="28" customWidth="1" min="106" max="106"/>
    <col width="28" customWidth="1" min="107" max="107"/>
    <col width="28" customWidth="1" min="108" max="108"/>
    <col width="28" customWidth="1" min="109" max="109"/>
  </cols>
  <sheetData>
    <row r="1">
      <c r="A1" s="1" t="inlineStr">
        <is>
          <t>case_id</t>
        </is>
      </c>
      <c r="B1" s="1" t="inlineStr">
        <is>
          <t>0.25.0</t>
        </is>
      </c>
      <c r="C1" s="1" t="inlineStr">
        <is>
          <t>0.25.1</t>
        </is>
      </c>
      <c r="D1" s="1" t="inlineStr">
        <is>
          <t>0.25.2</t>
        </is>
      </c>
      <c r="E1" s="1" t="inlineStr">
        <is>
          <t>0.25.3</t>
        </is>
      </c>
      <c r="F1" s="1" t="inlineStr">
        <is>
          <t>0.45.0</t>
        </is>
      </c>
      <c r="G1" s="1" t="inlineStr">
        <is>
          <t>0.45.1</t>
        </is>
      </c>
      <c r="H1" s="1" t="inlineStr">
        <is>
          <t>0.45.2</t>
        </is>
      </c>
      <c r="I1" s="1" t="inlineStr">
        <is>
          <t>0.45.3</t>
        </is>
      </c>
      <c r="J1" s="1" t="inlineStr">
        <is>
          <t>0.46.0</t>
        </is>
      </c>
      <c r="K1" s="1" t="inlineStr">
        <is>
          <t>0.46.1</t>
        </is>
      </c>
      <c r="L1" s="1" t="inlineStr">
        <is>
          <t>0.46.2</t>
        </is>
      </c>
      <c r="M1" s="1" t="inlineStr">
        <is>
          <t>0.46.3</t>
        </is>
      </c>
      <c r="N1" s="1" t="inlineStr">
        <is>
          <t>1.0.0</t>
        </is>
      </c>
      <c r="O1" s="1" t="inlineStr">
        <is>
          <t>1.0.1</t>
        </is>
      </c>
      <c r="P1" s="1" t="inlineStr">
        <is>
          <t>1.0.2</t>
        </is>
      </c>
      <c r="Q1" s="1" t="inlineStr">
        <is>
          <t>1.1.0</t>
        </is>
      </c>
      <c r="R1" s="1" t="inlineStr">
        <is>
          <t>1.1.1</t>
        </is>
      </c>
      <c r="S1" s="1" t="inlineStr">
        <is>
          <t>1.1.2</t>
        </is>
      </c>
      <c r="T1" s="1" t="inlineStr">
        <is>
          <t>1.2.0</t>
        </is>
      </c>
      <c r="U1" s="1" t="inlineStr">
        <is>
          <t>1.2.1</t>
        </is>
      </c>
      <c r="V1" s="1" t="inlineStr">
        <is>
          <t>1.2.2</t>
        </is>
      </c>
      <c r="W1" s="1" t="inlineStr">
        <is>
          <t>1.2.4</t>
        </is>
      </c>
      <c r="X1" s="1" t="inlineStr">
        <is>
          <t>2.0.0</t>
        </is>
      </c>
      <c r="Y1" s="1" t="inlineStr">
        <is>
          <t>2.2.0</t>
        </is>
      </c>
      <c r="Z1" s="1" t="inlineStr">
        <is>
          <t>2.3.0</t>
        </is>
      </c>
      <c r="AA1" s="1" t="inlineStr">
        <is>
          <t>2.4.0</t>
        </is>
      </c>
      <c r="AB1" s="1" t="inlineStr">
        <is>
          <t>2.5.0</t>
        </is>
      </c>
      <c r="AC1" s="1" t="inlineStr">
        <is>
          <t>error_type_0.25.0</t>
        </is>
      </c>
      <c r="AD1" s="1" t="inlineStr">
        <is>
          <t>error_message_0.25.0</t>
        </is>
      </c>
      <c r="AE1" s="1" t="inlineStr">
        <is>
          <t>error_description_0.25.0</t>
        </is>
      </c>
      <c r="AF1" s="1" t="inlineStr">
        <is>
          <t>error_type_0.25.1</t>
        </is>
      </c>
      <c r="AG1" s="1" t="inlineStr">
        <is>
          <t>error_message_0.25.1</t>
        </is>
      </c>
      <c r="AH1" s="1" t="inlineStr">
        <is>
          <t>error_description_0.25.1</t>
        </is>
      </c>
      <c r="AI1" s="1" t="inlineStr">
        <is>
          <t>error_type_0.25.2</t>
        </is>
      </c>
      <c r="AJ1" s="1" t="inlineStr">
        <is>
          <t>error_message_0.25.2</t>
        </is>
      </c>
      <c r="AK1" s="1" t="inlineStr">
        <is>
          <t>error_description_0.25.2</t>
        </is>
      </c>
      <c r="AL1" s="1" t="inlineStr">
        <is>
          <t>error_type_0.25.3</t>
        </is>
      </c>
      <c r="AM1" s="1" t="inlineStr">
        <is>
          <t>error_message_0.25.3</t>
        </is>
      </c>
      <c r="AN1" s="1" t="inlineStr">
        <is>
          <t>error_description_0.25.3</t>
        </is>
      </c>
      <c r="AO1" s="1" t="inlineStr">
        <is>
          <t>error_type_0.45.0</t>
        </is>
      </c>
      <c r="AP1" s="1" t="inlineStr">
        <is>
          <t>error_message_0.45.0</t>
        </is>
      </c>
      <c r="AQ1" s="1" t="inlineStr">
        <is>
          <t>error_description_0.45.0</t>
        </is>
      </c>
      <c r="AR1" s="1" t="inlineStr">
        <is>
          <t>error_type_0.45.1</t>
        </is>
      </c>
      <c r="AS1" s="1" t="inlineStr">
        <is>
          <t>error_message_0.45.1</t>
        </is>
      </c>
      <c r="AT1" s="1" t="inlineStr">
        <is>
          <t>error_description_0.45.1</t>
        </is>
      </c>
      <c r="AU1" s="1" t="inlineStr">
        <is>
          <t>error_type_0.45.2</t>
        </is>
      </c>
      <c r="AV1" s="1" t="inlineStr">
        <is>
          <t>error_message_0.45.2</t>
        </is>
      </c>
      <c r="AW1" s="1" t="inlineStr">
        <is>
          <t>error_description_0.45.2</t>
        </is>
      </c>
      <c r="AX1" s="1" t="inlineStr">
        <is>
          <t>error_type_0.45.3</t>
        </is>
      </c>
      <c r="AY1" s="1" t="inlineStr">
        <is>
          <t>error_message_0.45.3</t>
        </is>
      </c>
      <c r="AZ1" s="1" t="inlineStr">
        <is>
          <t>error_description_0.45.3</t>
        </is>
      </c>
      <c r="BA1" s="1" t="inlineStr">
        <is>
          <t>error_type_0.46.0</t>
        </is>
      </c>
      <c r="BB1" s="1" t="inlineStr">
        <is>
          <t>error_message_0.46.0</t>
        </is>
      </c>
      <c r="BC1" s="1" t="inlineStr">
        <is>
          <t>error_description_0.46.0</t>
        </is>
      </c>
      <c r="BD1" s="1" t="inlineStr">
        <is>
          <t>error_type_0.46.1</t>
        </is>
      </c>
      <c r="BE1" s="1" t="inlineStr">
        <is>
          <t>error_message_0.46.1</t>
        </is>
      </c>
      <c r="BF1" s="1" t="inlineStr">
        <is>
          <t>error_description_0.46.1</t>
        </is>
      </c>
      <c r="BG1" s="1" t="inlineStr">
        <is>
          <t>error_type_0.46.2</t>
        </is>
      </c>
      <c r="BH1" s="1" t="inlineStr">
        <is>
          <t>error_message_0.46.2</t>
        </is>
      </c>
      <c r="BI1" s="1" t="inlineStr">
        <is>
          <t>error_description_0.46.2</t>
        </is>
      </c>
      <c r="BJ1" s="1" t="inlineStr">
        <is>
          <t>error_type_0.46.3</t>
        </is>
      </c>
      <c r="BK1" s="1" t="inlineStr">
        <is>
          <t>error_message_0.46.3</t>
        </is>
      </c>
      <c r="BL1" s="1" t="inlineStr">
        <is>
          <t>error_description_0.46.3</t>
        </is>
      </c>
      <c r="BM1" s="1" t="inlineStr">
        <is>
          <t>error_type_1.0.0</t>
        </is>
      </c>
      <c r="BN1" s="1" t="inlineStr">
        <is>
          <t>error_message_1.0.0</t>
        </is>
      </c>
      <c r="BO1" s="1" t="inlineStr">
        <is>
          <t>error_description_1.0.0</t>
        </is>
      </c>
      <c r="BP1" s="1" t="inlineStr">
        <is>
          <t>error_type_1.0.1</t>
        </is>
      </c>
      <c r="BQ1" s="1" t="inlineStr">
        <is>
          <t>error_message_1.0.1</t>
        </is>
      </c>
      <c r="BR1" s="1" t="inlineStr">
        <is>
          <t>error_description_1.0.1</t>
        </is>
      </c>
      <c r="BS1" s="1" t="inlineStr">
        <is>
          <t>error_type_1.0.2</t>
        </is>
      </c>
      <c r="BT1" s="1" t="inlineStr">
        <is>
          <t>error_message_1.0.2</t>
        </is>
      </c>
      <c r="BU1" s="1" t="inlineStr">
        <is>
          <t>error_description_1.0.2</t>
        </is>
      </c>
      <c r="BV1" s="1" t="inlineStr">
        <is>
          <t>error_type_1.1.0</t>
        </is>
      </c>
      <c r="BW1" s="1" t="inlineStr">
        <is>
          <t>error_message_1.1.0</t>
        </is>
      </c>
      <c r="BX1" s="1" t="inlineStr">
        <is>
          <t>error_description_1.1.0</t>
        </is>
      </c>
      <c r="BY1" s="1" t="inlineStr">
        <is>
          <t>error_type_1.1.1</t>
        </is>
      </c>
      <c r="BZ1" s="1" t="inlineStr">
        <is>
          <t>error_message_1.1.1</t>
        </is>
      </c>
      <c r="CA1" s="1" t="inlineStr">
        <is>
          <t>error_description_1.1.1</t>
        </is>
      </c>
      <c r="CB1" s="1" t="inlineStr">
        <is>
          <t>error_type_1.1.2</t>
        </is>
      </c>
      <c r="CC1" s="1" t="inlineStr">
        <is>
          <t>error_message_1.1.2</t>
        </is>
      </c>
      <c r="CD1" s="1" t="inlineStr">
        <is>
          <t>error_description_1.1.2</t>
        </is>
      </c>
      <c r="CE1" s="1" t="inlineStr">
        <is>
          <t>error_type_1.2.0</t>
        </is>
      </c>
      <c r="CF1" s="1" t="inlineStr">
        <is>
          <t>error_message_1.2.0</t>
        </is>
      </c>
      <c r="CG1" s="1" t="inlineStr">
        <is>
          <t>error_description_1.2.0</t>
        </is>
      </c>
      <c r="CH1" s="1" t="inlineStr">
        <is>
          <t>error_type_1.2.1</t>
        </is>
      </c>
      <c r="CI1" s="1" t="inlineStr">
        <is>
          <t>error_message_1.2.1</t>
        </is>
      </c>
      <c r="CJ1" s="1" t="inlineStr">
        <is>
          <t>error_description_1.2.1</t>
        </is>
      </c>
      <c r="CK1" s="1" t="inlineStr">
        <is>
          <t>error_type_1.2.2</t>
        </is>
      </c>
      <c r="CL1" s="1" t="inlineStr">
        <is>
          <t>error_message_1.2.2</t>
        </is>
      </c>
      <c r="CM1" s="1" t="inlineStr">
        <is>
          <t>error_description_1.2.2</t>
        </is>
      </c>
      <c r="CN1" s="1" t="inlineStr">
        <is>
          <t>error_type_1.2.4</t>
        </is>
      </c>
      <c r="CO1" s="1" t="inlineStr">
        <is>
          <t>error_message_1.2.4</t>
        </is>
      </c>
      <c r="CP1" s="1" t="inlineStr">
        <is>
          <t>error_description_1.2.4</t>
        </is>
      </c>
      <c r="CQ1" s="1" t="inlineStr">
        <is>
          <t>error_type_2.0.0</t>
        </is>
      </c>
      <c r="CR1" s="1" t="inlineStr">
        <is>
          <t>error_message_2.0.0</t>
        </is>
      </c>
      <c r="CS1" s="1" t="inlineStr">
        <is>
          <t>error_description_2.0.0</t>
        </is>
      </c>
      <c r="CT1" s="1" t="inlineStr">
        <is>
          <t>error_type_2.2.0</t>
        </is>
      </c>
      <c r="CU1" s="1" t="inlineStr">
        <is>
          <t>error_message_2.2.0</t>
        </is>
      </c>
      <c r="CV1" s="1" t="inlineStr">
        <is>
          <t>error_description_2.2.0</t>
        </is>
      </c>
      <c r="CW1" s="1" t="inlineStr">
        <is>
          <t>error_type_2.3.0</t>
        </is>
      </c>
      <c r="CX1" s="1" t="inlineStr">
        <is>
          <t>error_message_2.3.0</t>
        </is>
      </c>
      <c r="CY1" s="1" t="inlineStr">
        <is>
          <t>error_description_2.3.0</t>
        </is>
      </c>
      <c r="CZ1" s="1" t="inlineStr">
        <is>
          <t>error_type_2.4.0</t>
        </is>
      </c>
      <c r="DA1" s="1" t="inlineStr">
        <is>
          <t>error_message_2.4.0</t>
        </is>
      </c>
      <c r="DB1" s="1" t="inlineStr">
        <is>
          <t>error_description_2.4.0</t>
        </is>
      </c>
      <c r="DC1" s="1" t="inlineStr">
        <is>
          <t>error_type_2.5.0</t>
        </is>
      </c>
      <c r="DD1" s="1" t="inlineStr">
        <is>
          <t>error_message_2.5.0</t>
        </is>
      </c>
      <c r="DE1" s="1" t="inlineStr">
        <is>
          <t>error_description_2.5.0</t>
        </is>
      </c>
    </row>
    <row r="2">
      <c r="A2" s="2" t="inlineStr">
        <is>
          <t>issue_009</t>
        </is>
      </c>
      <c r="B2" s="3" t="inlineStr">
        <is>
          <t>NOT_TESTED</t>
        </is>
      </c>
      <c r="C2" s="3" t="inlineStr">
        <is>
          <t>NOT_TESTED</t>
        </is>
      </c>
      <c r="D2" s="3" t="inlineStr">
        <is>
          <t>NOT_TESTED</t>
        </is>
      </c>
      <c r="E2" s="3" t="inlineStr">
        <is>
          <t>NOT_TESTED</t>
        </is>
      </c>
      <c r="F2" s="4" t="inlineStr">
        <is>
          <t>Passed on test</t>
        </is>
      </c>
      <c r="G2" s="4" t="inlineStr">
        <is>
          <t>Passed on test</t>
        </is>
      </c>
      <c r="H2" s="4" t="inlineStr">
        <is>
          <t>Passed on test</t>
        </is>
      </c>
      <c r="I2" s="4" t="inlineStr">
        <is>
          <t>Passed on test</t>
        </is>
      </c>
      <c r="J2" s="4" t="inlineStr">
        <is>
          <t>Passed on test</t>
        </is>
      </c>
      <c r="K2" s="4" t="inlineStr">
        <is>
          <t>Passed on test</t>
        </is>
      </c>
      <c r="L2" s="4" t="inlineStr">
        <is>
          <t>Passed on test</t>
        </is>
      </c>
      <c r="M2" s="4" t="inlineStr">
        <is>
          <t>Passed on test</t>
        </is>
      </c>
      <c r="N2" s="3" t="inlineStr">
        <is>
          <t>NOT_TESTED</t>
        </is>
      </c>
      <c r="O2" s="3" t="inlineStr">
        <is>
          <t>NOT_TESTED</t>
        </is>
      </c>
      <c r="P2" s="3" t="inlineStr">
        <is>
          <t>NOT_TESTED</t>
        </is>
      </c>
      <c r="Q2" s="3" t="inlineStr">
        <is>
          <t>NOT_TESTED</t>
        </is>
      </c>
      <c r="R2" s="3" t="inlineStr">
        <is>
          <t>NOT_TESTED</t>
        </is>
      </c>
      <c r="S2" s="3" t="inlineStr">
        <is>
          <t>NOT_TESTED</t>
        </is>
      </c>
      <c r="T2" s="3" t="inlineStr">
        <is>
          <t>NOT_TESTED</t>
        </is>
      </c>
      <c r="U2" s="3" t="inlineStr">
        <is>
          <t>NOT_TESTED</t>
        </is>
      </c>
      <c r="V2" s="3" t="inlineStr">
        <is>
          <t>NOT_TESTED</t>
        </is>
      </c>
      <c r="W2" s="3" t="inlineStr">
        <is>
          <t>NOT_TESTED</t>
        </is>
      </c>
      <c r="X2" s="3" t="inlineStr">
        <is>
          <t>NOT_TESTED</t>
        </is>
      </c>
      <c r="Y2" s="3" t="inlineStr">
        <is>
          <t>NOT_TESTED</t>
        </is>
      </c>
      <c r="Z2" s="3" t="inlineStr">
        <is>
          <t>NOT_TESTED</t>
        </is>
      </c>
      <c r="AA2" s="3" t="inlineStr">
        <is>
          <t>NOT_TESTED</t>
        </is>
      </c>
      <c r="AB2" s="3" t="inlineStr">
        <is>
          <t>NOT_TESTED</t>
        </is>
      </c>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row>
    <row r="3">
      <c r="A3" s="2" t="inlineStr">
        <is>
          <t>issue_018_se</t>
        </is>
      </c>
      <c r="B3" s="3" t="inlineStr">
        <is>
          <t>NOT_TESTED</t>
        </is>
      </c>
      <c r="C3" s="3" t="inlineStr">
        <is>
          <t>NOT_TESTED</t>
        </is>
      </c>
      <c r="D3" s="3" t="inlineStr">
        <is>
          <t>NOT_TESTED</t>
        </is>
      </c>
      <c r="E3" s="3" t="inlineStr">
        <is>
          <t>NOT_TESTED</t>
        </is>
      </c>
      <c r="F3" s="3" t="inlineStr">
        <is>
          <t>NOT_TESTED</t>
        </is>
      </c>
      <c r="G3" s="3" t="inlineStr">
        <is>
          <t>NOT_TESTED</t>
        </is>
      </c>
      <c r="H3" s="3" t="inlineStr">
        <is>
          <t>NOT_TESTED</t>
        </is>
      </c>
      <c r="I3" s="3" t="inlineStr">
        <is>
          <t>NOT_TESTED</t>
        </is>
      </c>
      <c r="J3" s="3" t="inlineStr">
        <is>
          <t>NOT_TESTED</t>
        </is>
      </c>
      <c r="K3" s="3" t="inlineStr">
        <is>
          <t>NOT_TESTED</t>
        </is>
      </c>
      <c r="L3" s="3" t="inlineStr">
        <is>
          <t>NOT_TESTED</t>
        </is>
      </c>
      <c r="M3" s="3" t="inlineStr">
        <is>
          <t>NOT_TESTED</t>
        </is>
      </c>
      <c r="N3" s="5" t="inlineStr">
        <is>
          <t>Failed on test</t>
        </is>
      </c>
      <c r="O3" s="5" t="inlineStr">
        <is>
          <t>Failed on test</t>
        </is>
      </c>
      <c r="P3" s="5" t="inlineStr">
        <is>
          <t>Failed on test</t>
        </is>
      </c>
      <c r="Q3" s="5" t="inlineStr">
        <is>
          <t>Failed on test</t>
        </is>
      </c>
      <c r="R3" s="5" t="inlineStr">
        <is>
          <t>Failed on test</t>
        </is>
      </c>
      <c r="S3" s="5" t="inlineStr">
        <is>
          <t>Failed on test</t>
        </is>
      </c>
      <c r="T3" s="5" t="inlineStr">
        <is>
          <t>Failed on test</t>
        </is>
      </c>
      <c r="U3" s="5" t="inlineStr">
        <is>
          <t>Failed on test</t>
        </is>
      </c>
      <c r="V3" s="5" t="inlineStr">
        <is>
          <t>Failed on test</t>
        </is>
      </c>
      <c r="W3" s="5" t="inlineStr">
        <is>
          <t>Failed on test</t>
        </is>
      </c>
      <c r="X3" s="5" t="inlineStr">
        <is>
          <t>Failed on test</t>
        </is>
      </c>
      <c r="Y3" s="5" t="inlineStr">
        <is>
          <t>Failed on test</t>
        </is>
      </c>
      <c r="Z3" s="5" t="inlineStr">
        <is>
          <t>Failed on test</t>
        </is>
      </c>
      <c r="AA3" s="5" t="inlineStr">
        <is>
          <t>Failed on test</t>
        </is>
      </c>
      <c r="AB3" s="5" t="inlineStr">
        <is>
          <t>Failed on test</t>
        </is>
      </c>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c r="BK3" s="2" t="n"/>
      <c r="BL3" s="2" t="n"/>
      <c r="BM3" s="2" t="inlineStr">
        <is>
          <t>AssertionError</t>
        </is>
      </c>
      <c r="BN3" s="2" t="inlineStr">
        <is>
          <t>RuntimeError: SIMULATOR_PROCESS_ERROR: exit=3221226356 (0xC0000374); AssertionError:</t>
        </is>
      </c>
      <c r="BO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BP3" s="2" t="inlineStr">
        <is>
          <t>AssertionError</t>
        </is>
      </c>
      <c r="BQ3" s="2" t="inlineStr">
        <is>
          <t>RuntimeError: SIMULATOR_PROCESS_ERROR: exit=3221226356 (0xC0000374); AssertionError:</t>
        </is>
      </c>
      <c r="BR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BS3" s="2" t="inlineStr">
        <is>
          <t>AssertionError</t>
        </is>
      </c>
      <c r="BT3" s="2" t="inlineStr">
        <is>
          <t>RuntimeError: SIMULATOR_PROCESS_ERROR: exit=3221225477 (0xC0000005); AssertionError:</t>
        </is>
      </c>
      <c r="BU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BV3" s="2" t="inlineStr">
        <is>
          <t>AssertionError</t>
        </is>
      </c>
      <c r="BW3" s="2" t="inlineStr">
        <is>
          <t>RuntimeError: SIMULATOR_PROCESS_ERROR: exit=3221226356 (0xC0000374); AssertionError:</t>
        </is>
      </c>
      <c r="BX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BY3" s="2" t="inlineStr">
        <is>
          <t>AssertionError</t>
        </is>
      </c>
      <c r="BZ3" s="2" t="inlineStr">
        <is>
          <t>RuntimeError: SIMULATOR_PROCESS_ERROR: exit=3221226356 (0xC0000374); AssertionError:</t>
        </is>
      </c>
      <c r="CA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CB3" s="2" t="inlineStr">
        <is>
          <t>AssertionError</t>
        </is>
      </c>
      <c r="CC3" s="2" t="inlineStr">
        <is>
          <t>RuntimeError: SIMULATOR_PROCESS_ERROR: exit=3221226356 (0xC0000374); AssertionError:</t>
        </is>
      </c>
      <c r="CD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CE3" s="2" t="inlineStr">
        <is>
          <t>AssertionError</t>
        </is>
      </c>
      <c r="CF3" s="2" t="inlineStr">
        <is>
          <t>RuntimeError: SIMULATOR_PROCESS_ERROR: exit=3221226356 (0xC0000374); AssertionError:</t>
        </is>
      </c>
      <c r="CG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CH3" s="2" t="inlineStr">
        <is>
          <t>AssertionError</t>
        </is>
      </c>
      <c r="CI3" s="2" t="inlineStr">
        <is>
          <t>RuntimeError: SIMULATOR_PROCESS_ERROR: exit=3221226356 (0xC0000374); AssertionError:</t>
        </is>
      </c>
      <c r="CJ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CK3" s="2" t="inlineStr">
        <is>
          <t>AssertionError</t>
        </is>
      </c>
      <c r="CL3" s="2" t="inlineStr">
        <is>
          <t>RuntimeError: SIMULATOR_PROCESS_ERROR: exit=3221225477 (0xC0000005); AssertionError:</t>
        </is>
      </c>
      <c r="CM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CN3" s="2" t="inlineStr">
        <is>
          <t>AssertionError</t>
        </is>
      </c>
      <c r="CO3" s="2" t="inlineStr">
        <is>
          <t>RuntimeError: SIMULATOR_PROCESS_ERROR: exit=3221225477 (0xC0000005); AssertionError:</t>
        </is>
      </c>
      <c r="CP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CQ3" s="2" t="inlineStr">
        <is>
          <t>AssertionError</t>
        </is>
      </c>
      <c r="CR3" s="2" t="inlineStr">
        <is>
          <t>RuntimeError: SIMULATOR_PROCESS_ERROR: exit=3221226356 (0xC0000374); AssertionError:</t>
        </is>
      </c>
      <c r="CS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CT3" s="2" t="inlineStr">
        <is>
          <t>AssertionError</t>
        </is>
      </c>
      <c r="CU3" s="2" t="inlineStr">
        <is>
          <t>RuntimeError: SIMULATOR_PROCESS_ERROR: exit=3221225477 (0xC0000005); AssertionError:</t>
        </is>
      </c>
      <c r="CV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CW3" s="2" t="inlineStr">
        <is>
          <t>AssertionError</t>
        </is>
      </c>
      <c r="CX3" s="2" t="inlineStr">
        <is>
          <t>RuntimeError: SIMULATOR_PROCESS_ERROR: exit=3221226356 (0xC0000374); AssertionError:</t>
        </is>
      </c>
      <c r="CY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CZ3" s="2" t="inlineStr">
        <is>
          <t>AssertionError</t>
        </is>
      </c>
      <c r="DA3" s="2" t="inlineStr">
        <is>
          <t>RuntimeError: SIMULATOR_PROCESS_ERROR: exit=3221226356 (0xC0000374); AssertionError:</t>
        </is>
      </c>
      <c r="DB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DC3" s="2" t="inlineStr">
        <is>
          <t>AssertionError</t>
        </is>
      </c>
      <c r="DD3" s="2" t="inlineStr">
        <is>
          <t>RuntimeError: SIMULATOR_PROCESS_ERROR: exit=3221226356 (0xC0000374); AssertionError:</t>
        </is>
      </c>
      <c r="DE3" s="2"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row>
    <row r="4">
      <c r="A4" s="2" t="inlineStr">
        <is>
          <t>issue_021_se</t>
        </is>
      </c>
      <c r="B4" s="6" t="inlineStr">
        <is>
          <t>Runtime error</t>
        </is>
      </c>
      <c r="C4" s="6" t="inlineStr">
        <is>
          <t>Runtime error</t>
        </is>
      </c>
      <c r="D4" s="6" t="inlineStr">
        <is>
          <t>Runtime error</t>
        </is>
      </c>
      <c r="E4" s="6" t="inlineStr">
        <is>
          <t>Runtime error</t>
        </is>
      </c>
      <c r="F4" s="6" t="inlineStr">
        <is>
          <t>Runtime error</t>
        </is>
      </c>
      <c r="G4" s="6" t="inlineStr">
        <is>
          <t>Runtime error</t>
        </is>
      </c>
      <c r="H4" s="6" t="inlineStr">
        <is>
          <t>Runtime error</t>
        </is>
      </c>
      <c r="I4" s="6" t="inlineStr">
        <is>
          <t>Runtime error</t>
        </is>
      </c>
      <c r="J4" s="6" t="inlineStr">
        <is>
          <t>Runtime error</t>
        </is>
      </c>
      <c r="K4" s="6" t="inlineStr">
        <is>
          <t>Runtime error</t>
        </is>
      </c>
      <c r="L4" s="6" t="inlineStr">
        <is>
          <t>Runtime error</t>
        </is>
      </c>
      <c r="M4" s="6" t="inlineStr">
        <is>
          <t>Runtime error</t>
        </is>
      </c>
      <c r="N4" s="3" t="inlineStr">
        <is>
          <t>NOT_TESTED</t>
        </is>
      </c>
      <c r="O4" s="3" t="inlineStr">
        <is>
          <t>NOT_TESTED</t>
        </is>
      </c>
      <c r="P4" s="3" t="inlineStr">
        <is>
          <t>NOT_TESTED</t>
        </is>
      </c>
      <c r="Q4" s="3" t="inlineStr">
        <is>
          <t>NOT_TESTED</t>
        </is>
      </c>
      <c r="R4" s="3" t="inlineStr">
        <is>
          <t>NOT_TESTED</t>
        </is>
      </c>
      <c r="S4" s="3" t="inlineStr">
        <is>
          <t>NOT_TESTED</t>
        </is>
      </c>
      <c r="T4" s="3" t="inlineStr">
        <is>
          <t>NOT_TESTED</t>
        </is>
      </c>
      <c r="U4" s="3" t="inlineStr">
        <is>
          <t>NOT_TESTED</t>
        </is>
      </c>
      <c r="V4" s="3" t="inlineStr">
        <is>
          <t>NOT_TESTED</t>
        </is>
      </c>
      <c r="W4" s="3" t="inlineStr">
        <is>
          <t>NOT_TESTED</t>
        </is>
      </c>
      <c r="X4" s="3" t="inlineStr">
        <is>
          <t>NOT_TESTED</t>
        </is>
      </c>
      <c r="Y4" s="3" t="inlineStr">
        <is>
          <t>NOT_TESTED</t>
        </is>
      </c>
      <c r="Z4" s="3" t="inlineStr">
        <is>
          <t>NOT_TESTED</t>
        </is>
      </c>
      <c r="AA4" s="3" t="inlineStr">
        <is>
          <t>NOT_TESTED</t>
        </is>
      </c>
      <c r="AB4" s="3" t="inlineStr">
        <is>
          <t>NOT_TESTED</t>
        </is>
      </c>
      <c r="AC4" s="2" t="inlineStr">
        <is>
          <t>QiskitError</t>
        </is>
      </c>
      <c r="AD4" s="2" t="inlineStr">
        <is>
          <t>qiskit.exceptions.QiskitError: 'ERROR:  [Experiment 0] Circuit contains invalid instructions {"gates": {disentangler_dg}} for "statevector" method ,  ERROR: Circuit contains invalid instructions {"gates": {disentangler_dg}} for "statevector" method'</t>
        </is>
      </c>
      <c r="AE4" s="2" t="inlineStr">
        <is>
          <t>The LLM passed circuit.decompose() to assemble(), but decompose() only goes one level deep, so what initialize() expands into is still not a basic gate and Aer rejects the circuit: disentangler_dg on 0.25.x ('Circuit contains invalid instructions') and state_preparation on 0.45.x / 0.46.x ('Invalid gate name', after which get_statevector() raises 'You have to select a circuit or schedule'). The reference uses execute(), which fully transpiles the circuit.</t>
        </is>
      </c>
      <c r="AF4" s="2" t="inlineStr">
        <is>
          <t>QiskitError</t>
        </is>
      </c>
      <c r="AG4" s="2" t="inlineStr">
        <is>
          <t>qiskit.exceptions.QiskitError: 'ERROR:  [Experiment 0] Circuit contains invalid instructions {"gates": {disentangler_dg}} for "statevector" method ,  ERROR: Circuit contains invalid instructions {"gates": {disentangler_dg}} for "statevector" method'</t>
        </is>
      </c>
      <c r="AH4" s="2" t="inlineStr">
        <is>
          <t>The LLM passed circuit.decompose() to assemble(), but decompose() only goes one level deep, so what initialize() expands into is still not a basic gate and Aer rejects the circuit: disentangler_dg on 0.25.x ('Circuit contains invalid instructions') and state_preparation on 0.45.x / 0.46.x ('Invalid gate name', after which get_statevector() raises 'You have to select a circuit or schedule'). The reference uses execute(), which fully transpiles the circuit.</t>
        </is>
      </c>
      <c r="AI4" s="2" t="inlineStr">
        <is>
          <t>QiskitError</t>
        </is>
      </c>
      <c r="AJ4" s="2" t="inlineStr">
        <is>
          <t>qiskit.exceptions.QiskitError: 'ERROR:  [Experiment 0] Circuit contains invalid instructions {"gates": {disentangler_dg}} for "statevector" method ,  ERROR: Circuit contains invalid instructions {"gates": {disentangler_dg}} for "statevector" method'</t>
        </is>
      </c>
      <c r="AK4" s="2" t="inlineStr">
        <is>
          <t>The LLM passed circuit.decompose() to assemble(), but decompose() only goes one level deep, so what initialize() expands into is still not a basic gate and Aer rejects the circuit: disentangler_dg on 0.25.x ('Circuit contains invalid instructions') and state_preparation on 0.45.x / 0.46.x ('Invalid gate name', after which get_statevector() raises 'You have to select a circuit or schedule'). The reference uses execute(), which fully transpiles the circuit.</t>
        </is>
      </c>
      <c r="AL4" s="2" t="inlineStr">
        <is>
          <t>QiskitError</t>
        </is>
      </c>
      <c r="AM4" s="2" t="inlineStr">
        <is>
          <t>qiskit.exceptions.QiskitError: 'ERROR:  [Experiment 0] Circuit contains invalid instructions {"gates": {disentangler_dg}} for "statevector" method ,  ERROR: Circuit contains invalid instructions {"gates": {disentangler_dg}} for "statevector" method'</t>
        </is>
      </c>
      <c r="AN4" s="2" t="inlineStr">
        <is>
          <t>The LLM passed circuit.decompose() to assemble(), but decompose() only goes one level deep, so what initialize() expands into is still not a basic gate and Aer rejects the circuit: disentangler_dg on 0.25.x ('Circuit contains invalid instructions') and state_preparation on 0.45.x / 0.46.x ('Invalid gate name', after which get_statevector() raises 'You have to select a circuit or schedule'). The reference uses execute(), which fully transpiles the circuit.</t>
        </is>
      </c>
      <c r="AO4" s="2" t="inlineStr">
        <is>
          <t>QiskitError</t>
        </is>
      </c>
      <c r="AP4" s="2" t="inlineStr">
        <is>
          <t>qiskit.exceptions.QiskitError: 'You have to select a circuit or schedule when there is more than one available'</t>
        </is>
      </c>
      <c r="AQ4" s="2" t="inlineStr">
        <is>
          <t>The LLM passed circuit.decompose() to assemble(), but decompose() only goes one level deep, so what initialize() expands into is still not a basic gate and Aer rejects the circuit: disentangler_dg on 0.25.x ('Circuit contains invalid instructions') and state_preparation on 0.45.x / 0.46.x ('Invalid gate name', after which get_statevector() raises 'You have to select a circuit or schedule'). The reference uses execute(), which fully transpiles the circuit.</t>
        </is>
      </c>
      <c r="AR4" s="2" t="inlineStr">
        <is>
          <t>QiskitError</t>
        </is>
      </c>
      <c r="AS4" s="2" t="inlineStr">
        <is>
          <t>qiskit.exceptions.QiskitError: 'You have to select a circuit or schedule when there is more than one available'</t>
        </is>
      </c>
      <c r="AT4" s="2" t="inlineStr">
        <is>
          <t>The LLM passed circuit.decompose() to assemble(), but decompose() only goes one level deep, so what initialize() expands into is still not a basic gate and Aer rejects the circuit: disentangler_dg on 0.25.x ('Circuit contains invalid instructions') and state_preparation on 0.45.x / 0.46.x ('Invalid gate name', after which get_statevector() raises 'You have to select a circuit or schedule'). The reference uses execute(), which fully transpiles the circuit.</t>
        </is>
      </c>
      <c r="AU4" s="2" t="inlineStr">
        <is>
          <t>QiskitError</t>
        </is>
      </c>
      <c r="AV4" s="2" t="inlineStr">
        <is>
          <t>qiskit.exceptions.QiskitError: 'You have to select a circuit or schedule when there is more than one available'</t>
        </is>
      </c>
      <c r="AW4" s="2" t="inlineStr">
        <is>
          <t>The LLM passed circuit.decompose() to assemble(), but decompose() only goes one level deep, so what initialize() expands into is still not a basic gate and Aer rejects the circuit: disentangler_dg on 0.25.x ('Circuit contains invalid instructions') and state_preparation on 0.45.x / 0.46.x ('Invalid gate name', after which get_statevector() raises 'You have to select a circuit or schedule'). The reference uses execute(), which fully transpiles the circuit.</t>
        </is>
      </c>
      <c r="AX4" s="2" t="inlineStr">
        <is>
          <t>QiskitError</t>
        </is>
      </c>
      <c r="AY4" s="2" t="inlineStr">
        <is>
          <t>qiskit.exceptions.QiskitError: 'You have to select a circuit or schedule when there is more than one available'</t>
        </is>
      </c>
      <c r="AZ4" s="2" t="inlineStr">
        <is>
          <t>The LLM passed circuit.decompose() to assemble(), but decompose() only goes one level deep, so what initialize() expands into is still not a basic gate and Aer rejects the circuit: disentangler_dg on 0.25.x ('Circuit contains invalid instructions') and state_preparation on 0.45.x / 0.46.x ('Invalid gate name', after which get_statevector() raises 'You have to select a circuit or schedule'). The reference uses execute(), which fully transpiles the circuit.</t>
        </is>
      </c>
      <c r="BA4" s="2" t="inlineStr">
        <is>
          <t>QiskitError</t>
        </is>
      </c>
      <c r="BB4" s="2" t="inlineStr">
        <is>
          <t>qiskit.exceptions.QiskitError: 'You have to select a circuit or schedule when there is more than one available'</t>
        </is>
      </c>
      <c r="BC4" s="2" t="inlineStr">
        <is>
          <t>The LLM passed circuit.decompose() to assemble(), but decompose() only goes one level deep, so what initialize() expands into is still not a basic gate and Aer rejects the circuit: disentangler_dg on 0.25.x ('Circuit contains invalid instructions') and state_preparation on 0.45.x / 0.46.x ('Invalid gate name', after which get_statevector() raises 'You have to select a circuit or schedule'). The reference uses execute(), which fully transpiles the circuit.</t>
        </is>
      </c>
      <c r="BD4" s="2" t="inlineStr">
        <is>
          <t>QiskitError</t>
        </is>
      </c>
      <c r="BE4" s="2" t="inlineStr">
        <is>
          <t>qiskit.exceptions.QiskitError: 'You have to select a circuit or schedule when there is more than one available'</t>
        </is>
      </c>
      <c r="BF4" s="2" t="inlineStr">
        <is>
          <t>The LLM passed circuit.decompose() to assemble(), but decompose() only goes one level deep, so what initialize() expands into is still not a basic gate and Aer rejects the circuit: disentangler_dg on 0.25.x ('Circuit contains invalid instructions') and state_preparation on 0.45.x / 0.46.x ('Invalid gate name', after which get_statevector() raises 'You have to select a circuit or schedule'). The reference uses execute(), which fully transpiles the circuit.</t>
        </is>
      </c>
      <c r="BG4" s="2" t="inlineStr">
        <is>
          <t>QiskitError</t>
        </is>
      </c>
      <c r="BH4" s="2" t="inlineStr">
        <is>
          <t>qiskit.exceptions.QiskitError: 'You have to select a circuit or schedule when there is more than one available'</t>
        </is>
      </c>
      <c r="BI4" s="2" t="inlineStr">
        <is>
          <t>The LLM passed circuit.decompose() to assemble(), but decompose() only goes one level deep, so what initialize() expands into is still not a basic gate and Aer rejects the circuit: disentangler_dg on 0.25.x ('Circuit contains invalid instructions') and state_preparation on 0.45.x / 0.46.x ('Invalid gate name', after which get_statevector() raises 'You have to select a circuit or schedule'). The reference uses execute(), which fully transpiles the circuit.</t>
        </is>
      </c>
      <c r="BJ4" s="2" t="inlineStr">
        <is>
          <t>QiskitError</t>
        </is>
      </c>
      <c r="BK4" s="2" t="inlineStr">
        <is>
          <t>qiskit.exceptions.QiskitError: 'You have to select a circuit or schedule when there is more than one available'</t>
        </is>
      </c>
      <c r="BL4" s="2" t="inlineStr">
        <is>
          <t>The LLM passed circuit.decompose() to assemble(), but decompose() only goes one level deep, so what initialize() expands into is still not a basic gate and Aer rejects the circuit: disentangler_dg on 0.25.x ('Circuit contains invalid instructions') and state_preparation on 0.45.x / 0.46.x ('Invalid gate name', after which get_statevector() raises 'You have to select a circuit or schedule'). The reference uses execute(), which fully transpiles the circuit.</t>
        </is>
      </c>
      <c r="BM4" s="2" t="n"/>
      <c r="BN4" s="2" t="n"/>
      <c r="BO4" s="2" t="n"/>
      <c r="BP4" s="2" t="n"/>
      <c r="BQ4" s="2" t="n"/>
      <c r="BR4" s="2" t="n"/>
      <c r="BS4" s="2" t="n"/>
      <c r="BT4" s="2" t="n"/>
      <c r="BU4" s="2" t="n"/>
      <c r="BV4" s="2" t="n"/>
      <c r="BW4" s="2" t="n"/>
      <c r="BX4" s="2" t="n"/>
      <c r="BY4" s="2" t="n"/>
      <c r="BZ4" s="2" t="n"/>
      <c r="CA4" s="2" t="n"/>
      <c r="CB4" s="2" t="n"/>
      <c r="CC4" s="2" t="n"/>
      <c r="CD4" s="2" t="n"/>
      <c r="CE4" s="2" t="n"/>
      <c r="CF4" s="2" t="n"/>
      <c r="CG4" s="2" t="n"/>
      <c r="CH4" s="2" t="n"/>
      <c r="CI4" s="2" t="n"/>
      <c r="CJ4" s="2" t="n"/>
      <c r="CK4" s="2" t="n"/>
      <c r="CL4" s="2" t="n"/>
      <c r="CM4" s="2" t="n"/>
      <c r="CN4" s="2" t="n"/>
      <c r="CO4" s="2" t="n"/>
      <c r="CP4" s="2" t="n"/>
      <c r="CQ4" s="2" t="n"/>
      <c r="CR4" s="2" t="n"/>
      <c r="CS4" s="2" t="n"/>
      <c r="CT4" s="2" t="n"/>
      <c r="CU4" s="2" t="n"/>
      <c r="CV4" s="2" t="n"/>
      <c r="CW4" s="2" t="n"/>
      <c r="CX4" s="2" t="n"/>
      <c r="CY4" s="2" t="n"/>
      <c r="CZ4" s="2" t="n"/>
      <c r="DA4" s="2" t="n"/>
      <c r="DB4" s="2" t="n"/>
      <c r="DC4" s="2" t="n"/>
      <c r="DD4" s="2" t="n"/>
      <c r="DE4" s="2" t="n"/>
    </row>
    <row r="5">
      <c r="A5" s="2" t="inlineStr">
        <is>
          <t>issue_032_se</t>
        </is>
      </c>
      <c r="B5" s="4" t="inlineStr">
        <is>
          <t>Passed on test</t>
        </is>
      </c>
      <c r="C5" s="4" t="inlineStr">
        <is>
          <t>Passed on test</t>
        </is>
      </c>
      <c r="D5" s="4" t="inlineStr">
        <is>
          <t>Passed on test</t>
        </is>
      </c>
      <c r="E5" s="4" t="inlineStr">
        <is>
          <t>Passed on test</t>
        </is>
      </c>
      <c r="F5" s="3" t="inlineStr">
        <is>
          <t>NOT_TESTED</t>
        </is>
      </c>
      <c r="G5" s="3" t="inlineStr">
        <is>
          <t>NOT_TESTED</t>
        </is>
      </c>
      <c r="H5" s="3" t="inlineStr">
        <is>
          <t>NOT_TESTED</t>
        </is>
      </c>
      <c r="I5" s="3" t="inlineStr">
        <is>
          <t>NOT_TESTED</t>
        </is>
      </c>
      <c r="J5" s="3" t="inlineStr">
        <is>
          <t>NOT_TESTED</t>
        </is>
      </c>
      <c r="K5" s="3" t="inlineStr">
        <is>
          <t>NOT_TESTED</t>
        </is>
      </c>
      <c r="L5" s="3" t="inlineStr">
        <is>
          <t>NOT_TESTED</t>
        </is>
      </c>
      <c r="M5" s="3" t="inlineStr">
        <is>
          <t>NOT_TESTED</t>
        </is>
      </c>
      <c r="N5" s="3" t="inlineStr">
        <is>
          <t>NOT_TESTED</t>
        </is>
      </c>
      <c r="O5" s="3" t="inlineStr">
        <is>
          <t>NOT_TESTED</t>
        </is>
      </c>
      <c r="P5" s="3" t="inlineStr">
        <is>
          <t>NOT_TESTED</t>
        </is>
      </c>
      <c r="Q5" s="3" t="inlineStr">
        <is>
          <t>NOT_TESTED</t>
        </is>
      </c>
      <c r="R5" s="3" t="inlineStr">
        <is>
          <t>NOT_TESTED</t>
        </is>
      </c>
      <c r="S5" s="3" t="inlineStr">
        <is>
          <t>NOT_TESTED</t>
        </is>
      </c>
      <c r="T5" s="3" t="inlineStr">
        <is>
          <t>NOT_TESTED</t>
        </is>
      </c>
      <c r="U5" s="3" t="inlineStr">
        <is>
          <t>NOT_TESTED</t>
        </is>
      </c>
      <c r="V5" s="3" t="inlineStr">
        <is>
          <t>NOT_TESTED</t>
        </is>
      </c>
      <c r="W5" s="3" t="inlineStr">
        <is>
          <t>NOT_TESTED</t>
        </is>
      </c>
      <c r="X5" s="3" t="inlineStr">
        <is>
          <t>NOT_TESTED</t>
        </is>
      </c>
      <c r="Y5" s="3" t="inlineStr">
        <is>
          <t>NOT_TESTED</t>
        </is>
      </c>
      <c r="Z5" s="3" t="inlineStr">
        <is>
          <t>NOT_TESTED</t>
        </is>
      </c>
      <c r="AA5" s="3" t="inlineStr">
        <is>
          <t>NOT_TESTED</t>
        </is>
      </c>
      <c r="AB5" s="3" t="inlineStr">
        <is>
          <t>NOT_TESTED</t>
        </is>
      </c>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2" t="n"/>
      <c r="BJ5" s="2" t="n"/>
      <c r="BK5" s="2" t="n"/>
      <c r="BL5" s="2" t="n"/>
      <c r="BM5" s="2" t="n"/>
      <c r="BN5" s="2" t="n"/>
      <c r="BO5" s="2" t="n"/>
      <c r="BP5" s="2" t="n"/>
      <c r="BQ5" s="2" t="n"/>
      <c r="BR5" s="2" t="n"/>
      <c r="BS5" s="2" t="n"/>
      <c r="BT5" s="2" t="n"/>
      <c r="BU5" s="2" t="n"/>
      <c r="BV5" s="2" t="n"/>
      <c r="BW5" s="2" t="n"/>
      <c r="BX5" s="2" t="n"/>
      <c r="BY5" s="2" t="n"/>
      <c r="BZ5" s="2" t="n"/>
      <c r="CA5" s="2" t="n"/>
      <c r="CB5" s="2" t="n"/>
      <c r="CC5" s="2" t="n"/>
      <c r="CD5" s="2" t="n"/>
      <c r="CE5" s="2" t="n"/>
      <c r="CF5" s="2" t="n"/>
      <c r="CG5" s="2" t="n"/>
      <c r="CH5" s="2" t="n"/>
      <c r="CI5" s="2" t="n"/>
      <c r="CJ5" s="2" t="n"/>
      <c r="CK5" s="2" t="n"/>
      <c r="CL5" s="2" t="n"/>
      <c r="CM5" s="2" t="n"/>
      <c r="CN5" s="2" t="n"/>
      <c r="CO5" s="2" t="n"/>
      <c r="CP5" s="2" t="n"/>
      <c r="CQ5" s="2" t="n"/>
      <c r="CR5" s="2" t="n"/>
      <c r="CS5" s="2" t="n"/>
      <c r="CT5" s="2" t="n"/>
      <c r="CU5" s="2" t="n"/>
      <c r="CV5" s="2" t="n"/>
      <c r="CW5" s="2" t="n"/>
      <c r="CX5" s="2" t="n"/>
      <c r="CY5" s="2" t="n"/>
      <c r="CZ5" s="2" t="n"/>
      <c r="DA5" s="2" t="n"/>
      <c r="DB5" s="2" t="n"/>
      <c r="DC5" s="2" t="n"/>
      <c r="DD5" s="2" t="n"/>
      <c r="DE5" s="2" t="n"/>
    </row>
    <row r="6">
      <c r="A6" s="2" t="inlineStr">
        <is>
          <t>issue_034</t>
        </is>
      </c>
      <c r="B6" s="3" t="inlineStr">
        <is>
          <t>NOT_TESTED</t>
        </is>
      </c>
      <c r="C6" s="3" t="inlineStr">
        <is>
          <t>NOT_TESTED</t>
        </is>
      </c>
      <c r="D6" s="3" t="inlineStr">
        <is>
          <t>NOT_TESTED</t>
        </is>
      </c>
      <c r="E6" s="3" t="inlineStr">
        <is>
          <t>NOT_TESTED</t>
        </is>
      </c>
      <c r="F6" s="3" t="inlineStr">
        <is>
          <t>NOT_TESTED</t>
        </is>
      </c>
      <c r="G6" s="3" t="inlineStr">
        <is>
          <t>NOT_TESTED</t>
        </is>
      </c>
      <c r="H6" s="3" t="inlineStr">
        <is>
          <t>NOT_TESTED</t>
        </is>
      </c>
      <c r="I6" s="3" t="inlineStr">
        <is>
          <t>NOT_TESTED</t>
        </is>
      </c>
      <c r="J6" s="3" t="inlineStr">
        <is>
          <t>NOT_TESTED</t>
        </is>
      </c>
      <c r="K6" s="3" t="inlineStr">
        <is>
          <t>NOT_TESTED</t>
        </is>
      </c>
      <c r="L6" s="3" t="inlineStr">
        <is>
          <t>NOT_TESTED</t>
        </is>
      </c>
      <c r="M6" s="3" t="inlineStr">
        <is>
          <t>NOT_TESTED</t>
        </is>
      </c>
      <c r="N6" s="4" t="inlineStr">
        <is>
          <t>Passed on test</t>
        </is>
      </c>
      <c r="O6" s="4" t="inlineStr">
        <is>
          <t>Passed on test</t>
        </is>
      </c>
      <c r="P6" s="4" t="inlineStr">
        <is>
          <t>Passed on test</t>
        </is>
      </c>
      <c r="Q6" s="4" t="inlineStr">
        <is>
          <t>Passed on test</t>
        </is>
      </c>
      <c r="R6" s="4" t="inlineStr">
        <is>
          <t>Passed on test</t>
        </is>
      </c>
      <c r="S6" s="4" t="inlineStr">
        <is>
          <t>Passed on test</t>
        </is>
      </c>
      <c r="T6" s="4" t="inlineStr">
        <is>
          <t>Passed on test</t>
        </is>
      </c>
      <c r="U6" s="4" t="inlineStr">
        <is>
          <t>Passed on test</t>
        </is>
      </c>
      <c r="V6" s="4" t="inlineStr">
        <is>
          <t>Passed on test</t>
        </is>
      </c>
      <c r="W6" s="4" t="inlineStr">
        <is>
          <t>Passed on test</t>
        </is>
      </c>
      <c r="X6" s="4" t="inlineStr">
        <is>
          <t>Passed on test</t>
        </is>
      </c>
      <c r="Y6" s="4" t="inlineStr">
        <is>
          <t>Passed on test</t>
        </is>
      </c>
      <c r="Z6" s="4" t="inlineStr">
        <is>
          <t>Passed on test</t>
        </is>
      </c>
      <c r="AA6" s="4" t="inlineStr">
        <is>
          <t>Passed on test</t>
        </is>
      </c>
      <c r="AB6" s="4" t="inlineStr">
        <is>
          <t>Passed on test</t>
        </is>
      </c>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2" t="n"/>
      <c r="BJ6" s="2" t="n"/>
      <c r="BK6" s="2" t="n"/>
      <c r="BL6" s="2" t="n"/>
      <c r="BM6" s="2" t="n"/>
      <c r="BN6" s="2" t="n"/>
      <c r="BO6" s="2" t="n"/>
      <c r="BP6" s="2" t="n"/>
      <c r="BQ6" s="2" t="n"/>
      <c r="BR6" s="2" t="n"/>
      <c r="BS6" s="2" t="n"/>
      <c r="BT6" s="2" t="n"/>
      <c r="BU6" s="2" t="n"/>
      <c r="BV6" s="2" t="n"/>
      <c r="BW6" s="2" t="n"/>
      <c r="BX6" s="2" t="n"/>
      <c r="BY6" s="2" t="n"/>
      <c r="BZ6" s="2" t="n"/>
      <c r="CA6" s="2" t="n"/>
      <c r="CB6" s="2" t="n"/>
      <c r="CC6" s="2" t="n"/>
      <c r="CD6" s="2" t="n"/>
      <c r="CE6" s="2" t="n"/>
      <c r="CF6" s="2" t="n"/>
      <c r="CG6" s="2" t="n"/>
      <c r="CH6" s="2" t="n"/>
      <c r="CI6" s="2" t="n"/>
      <c r="CJ6" s="2" t="n"/>
      <c r="CK6" s="2" t="n"/>
      <c r="CL6" s="2" t="n"/>
      <c r="CM6" s="2" t="n"/>
      <c r="CN6" s="2" t="n"/>
      <c r="CO6" s="2" t="n"/>
      <c r="CP6" s="2" t="n"/>
      <c r="CQ6" s="2" t="n"/>
      <c r="CR6" s="2" t="n"/>
      <c r="CS6" s="2" t="n"/>
      <c r="CT6" s="2" t="n"/>
      <c r="CU6" s="2" t="n"/>
      <c r="CV6" s="2" t="n"/>
      <c r="CW6" s="2" t="n"/>
      <c r="CX6" s="2" t="n"/>
      <c r="CY6" s="2" t="n"/>
      <c r="CZ6" s="2" t="n"/>
      <c r="DA6" s="2" t="n"/>
      <c r="DB6" s="2" t="n"/>
      <c r="DC6" s="2" t="n"/>
      <c r="DD6" s="2" t="n"/>
      <c r="DE6" s="2" t="n"/>
    </row>
    <row r="7">
      <c r="A7" s="2" t="inlineStr">
        <is>
          <t>issue_036</t>
        </is>
      </c>
      <c r="B7" s="3" t="inlineStr">
        <is>
          <t>NOT_TESTED</t>
        </is>
      </c>
      <c r="C7" s="3" t="inlineStr">
        <is>
          <t>NOT_TESTED</t>
        </is>
      </c>
      <c r="D7" s="3" t="inlineStr">
        <is>
          <t>NOT_TESTED</t>
        </is>
      </c>
      <c r="E7" s="3" t="inlineStr">
        <is>
          <t>NOT_TESTED</t>
        </is>
      </c>
      <c r="F7" s="3" t="inlineStr">
        <is>
          <t>NOT_TESTED</t>
        </is>
      </c>
      <c r="G7" s="3" t="inlineStr">
        <is>
          <t>NOT_TESTED</t>
        </is>
      </c>
      <c r="H7" s="3" t="inlineStr">
        <is>
          <t>NOT_TESTED</t>
        </is>
      </c>
      <c r="I7" s="3" t="inlineStr">
        <is>
          <t>NOT_TESTED</t>
        </is>
      </c>
      <c r="J7" s="3" t="inlineStr">
        <is>
          <t>NOT_TESTED</t>
        </is>
      </c>
      <c r="K7" s="3" t="inlineStr">
        <is>
          <t>NOT_TESTED</t>
        </is>
      </c>
      <c r="L7" s="3" t="inlineStr">
        <is>
          <t>NOT_TESTED</t>
        </is>
      </c>
      <c r="M7" s="3" t="inlineStr">
        <is>
          <t>NOT_TESTED</t>
        </is>
      </c>
      <c r="N7" s="4" t="inlineStr">
        <is>
          <t>Passed on test</t>
        </is>
      </c>
      <c r="O7" s="4" t="inlineStr">
        <is>
          <t>Passed on test</t>
        </is>
      </c>
      <c r="P7" s="4" t="inlineStr">
        <is>
          <t>Passed on test</t>
        </is>
      </c>
      <c r="Q7" s="4" t="inlineStr">
        <is>
          <t>Passed on test</t>
        </is>
      </c>
      <c r="R7" s="4" t="inlineStr">
        <is>
          <t>Passed on test</t>
        </is>
      </c>
      <c r="S7" s="4" t="inlineStr">
        <is>
          <t>Passed on test</t>
        </is>
      </c>
      <c r="T7" s="4" t="inlineStr">
        <is>
          <t>Passed on test</t>
        </is>
      </c>
      <c r="U7" s="4" t="inlineStr">
        <is>
          <t>Passed on test</t>
        </is>
      </c>
      <c r="V7" s="4" t="inlineStr">
        <is>
          <t>Passed on test</t>
        </is>
      </c>
      <c r="W7" s="4" t="inlineStr">
        <is>
          <t>Passed on test</t>
        </is>
      </c>
      <c r="X7" s="4" t="inlineStr">
        <is>
          <t>Passed on test</t>
        </is>
      </c>
      <c r="Y7" s="4" t="inlineStr">
        <is>
          <t>Passed on test</t>
        </is>
      </c>
      <c r="Z7" s="4" t="inlineStr">
        <is>
          <t>Passed on test</t>
        </is>
      </c>
      <c r="AA7" s="4" t="inlineStr">
        <is>
          <t>Passed on test</t>
        </is>
      </c>
      <c r="AB7" s="4" t="inlineStr">
        <is>
          <t>Passed on test</t>
        </is>
      </c>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2" t="n"/>
      <c r="CX7" s="2" t="n"/>
      <c r="CY7" s="2" t="n"/>
      <c r="CZ7" s="2" t="n"/>
      <c r="DA7" s="2" t="n"/>
      <c r="DB7" s="2" t="n"/>
      <c r="DC7" s="2" t="n"/>
      <c r="DD7" s="2" t="n"/>
      <c r="DE7" s="2" t="n"/>
    </row>
    <row r="8">
      <c r="A8" s="2" t="inlineStr">
        <is>
          <t>issue_058_se</t>
        </is>
      </c>
      <c r="B8" s="4" t="inlineStr">
        <is>
          <t>Passed on test</t>
        </is>
      </c>
      <c r="C8" s="4" t="inlineStr">
        <is>
          <t>Passed on test</t>
        </is>
      </c>
      <c r="D8" s="4" t="inlineStr">
        <is>
          <t>Passed on test</t>
        </is>
      </c>
      <c r="E8" s="4" t="inlineStr">
        <is>
          <t>Passed on test</t>
        </is>
      </c>
      <c r="F8" s="4" t="inlineStr">
        <is>
          <t>Passed on test</t>
        </is>
      </c>
      <c r="G8" s="4" t="inlineStr">
        <is>
          <t>Passed on test</t>
        </is>
      </c>
      <c r="H8" s="4" t="inlineStr">
        <is>
          <t>Passed on test</t>
        </is>
      </c>
      <c r="I8" s="4" t="inlineStr">
        <is>
          <t>Passed on test</t>
        </is>
      </c>
      <c r="J8" s="4" t="inlineStr">
        <is>
          <t>Passed on test</t>
        </is>
      </c>
      <c r="K8" s="4" t="inlineStr">
        <is>
          <t>Passed on test</t>
        </is>
      </c>
      <c r="L8" s="4" t="inlineStr">
        <is>
          <t>Passed on test</t>
        </is>
      </c>
      <c r="M8" s="4" t="inlineStr">
        <is>
          <t>Passed on test</t>
        </is>
      </c>
      <c r="N8" s="3" t="inlineStr">
        <is>
          <t>NOT_TESTED</t>
        </is>
      </c>
      <c r="O8" s="3" t="inlineStr">
        <is>
          <t>NOT_TESTED</t>
        </is>
      </c>
      <c r="P8" s="3" t="inlineStr">
        <is>
          <t>NOT_TESTED</t>
        </is>
      </c>
      <c r="Q8" s="3" t="inlineStr">
        <is>
          <t>NOT_TESTED</t>
        </is>
      </c>
      <c r="R8" s="3" t="inlineStr">
        <is>
          <t>NOT_TESTED</t>
        </is>
      </c>
      <c r="S8" s="3" t="inlineStr">
        <is>
          <t>NOT_TESTED</t>
        </is>
      </c>
      <c r="T8" s="3" t="inlineStr">
        <is>
          <t>NOT_TESTED</t>
        </is>
      </c>
      <c r="U8" s="3" t="inlineStr">
        <is>
          <t>NOT_TESTED</t>
        </is>
      </c>
      <c r="V8" s="3" t="inlineStr">
        <is>
          <t>NOT_TESTED</t>
        </is>
      </c>
      <c r="W8" s="3" t="inlineStr">
        <is>
          <t>NOT_TESTED</t>
        </is>
      </c>
      <c r="X8" s="3" t="inlineStr">
        <is>
          <t>NOT_TESTED</t>
        </is>
      </c>
      <c r="Y8" s="3" t="inlineStr">
        <is>
          <t>NOT_TESTED</t>
        </is>
      </c>
      <c r="Z8" s="3" t="inlineStr">
        <is>
          <t>NOT_TESTED</t>
        </is>
      </c>
      <c r="AA8" s="3" t="inlineStr">
        <is>
          <t>NOT_TESTED</t>
        </is>
      </c>
      <c r="AB8" s="3" t="inlineStr">
        <is>
          <t>NOT_TESTED</t>
        </is>
      </c>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2" t="n"/>
      <c r="CH8" s="2" t="n"/>
      <c r="CI8" s="2" t="n"/>
      <c r="CJ8" s="2" t="n"/>
      <c r="CK8" s="2" t="n"/>
      <c r="CL8" s="2" t="n"/>
      <c r="CM8" s="2" t="n"/>
      <c r="CN8" s="2" t="n"/>
      <c r="CO8" s="2" t="n"/>
      <c r="CP8" s="2" t="n"/>
      <c r="CQ8" s="2" t="n"/>
      <c r="CR8" s="2" t="n"/>
      <c r="CS8" s="2" t="n"/>
      <c r="CT8" s="2" t="n"/>
      <c r="CU8" s="2" t="n"/>
      <c r="CV8" s="2" t="n"/>
      <c r="CW8" s="2" t="n"/>
      <c r="CX8" s="2" t="n"/>
      <c r="CY8" s="2" t="n"/>
      <c r="CZ8" s="2" t="n"/>
      <c r="DA8" s="2" t="n"/>
      <c r="DB8" s="2" t="n"/>
      <c r="DC8" s="2" t="n"/>
      <c r="DD8" s="2" t="n"/>
      <c r="DE8" s="2" t="n"/>
    </row>
    <row r="9">
      <c r="A9" s="2" t="inlineStr">
        <is>
          <t>issue_061</t>
        </is>
      </c>
      <c r="B9" s="3" t="inlineStr">
        <is>
          <t>NOT_TESTED</t>
        </is>
      </c>
      <c r="C9" s="3" t="inlineStr">
        <is>
          <t>NOT_TESTED</t>
        </is>
      </c>
      <c r="D9" s="3" t="inlineStr">
        <is>
          <t>NOT_TESTED</t>
        </is>
      </c>
      <c r="E9" s="3" t="inlineStr">
        <is>
          <t>NOT_TESTED</t>
        </is>
      </c>
      <c r="F9" s="3" t="inlineStr">
        <is>
          <t>NOT_TESTED</t>
        </is>
      </c>
      <c r="G9" s="3" t="inlineStr">
        <is>
          <t>NOT_TESTED</t>
        </is>
      </c>
      <c r="H9" s="3" t="inlineStr">
        <is>
          <t>NOT_TESTED</t>
        </is>
      </c>
      <c r="I9" s="3" t="inlineStr">
        <is>
          <t>NOT_TESTED</t>
        </is>
      </c>
      <c r="J9" s="3" t="inlineStr">
        <is>
          <t>NOT_TESTED</t>
        </is>
      </c>
      <c r="K9" s="3" t="inlineStr">
        <is>
          <t>NOT_TESTED</t>
        </is>
      </c>
      <c r="L9" s="3" t="inlineStr">
        <is>
          <t>NOT_TESTED</t>
        </is>
      </c>
      <c r="M9" s="3" t="inlineStr">
        <is>
          <t>NOT_TESTED</t>
        </is>
      </c>
      <c r="N9" s="4" t="inlineStr">
        <is>
          <t>Passed on test</t>
        </is>
      </c>
      <c r="O9" s="4" t="inlineStr">
        <is>
          <t>Passed on test</t>
        </is>
      </c>
      <c r="P9" s="4" t="inlineStr">
        <is>
          <t>Passed on test</t>
        </is>
      </c>
      <c r="Q9" s="4" t="inlineStr">
        <is>
          <t>Passed on test</t>
        </is>
      </c>
      <c r="R9" s="4" t="inlineStr">
        <is>
          <t>Passed on test</t>
        </is>
      </c>
      <c r="S9" s="4" t="inlineStr">
        <is>
          <t>Passed on test</t>
        </is>
      </c>
      <c r="T9" s="4" t="inlineStr">
        <is>
          <t>Passed on test</t>
        </is>
      </c>
      <c r="U9" s="4" t="inlineStr">
        <is>
          <t>Passed on test</t>
        </is>
      </c>
      <c r="V9" s="4" t="inlineStr">
        <is>
          <t>Passed on test</t>
        </is>
      </c>
      <c r="W9" s="4" t="inlineStr">
        <is>
          <t>Passed on test</t>
        </is>
      </c>
      <c r="X9" s="4" t="inlineStr">
        <is>
          <t>Passed on test</t>
        </is>
      </c>
      <c r="Y9" s="4" t="inlineStr">
        <is>
          <t>Passed on test</t>
        </is>
      </c>
      <c r="Z9" s="4" t="inlineStr">
        <is>
          <t>Passed on test</t>
        </is>
      </c>
      <c r="AA9" s="4" t="inlineStr">
        <is>
          <t>Passed on test</t>
        </is>
      </c>
      <c r="AB9" s="4" t="inlineStr">
        <is>
          <t>Passed on test</t>
        </is>
      </c>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2" t="n"/>
      <c r="CH9" s="2" t="n"/>
      <c r="CI9" s="2" t="n"/>
      <c r="CJ9" s="2" t="n"/>
      <c r="CK9" s="2" t="n"/>
      <c r="CL9" s="2" t="n"/>
      <c r="CM9" s="2" t="n"/>
      <c r="CN9" s="2" t="n"/>
      <c r="CO9" s="2" t="n"/>
      <c r="CP9" s="2" t="n"/>
      <c r="CQ9" s="2" t="n"/>
      <c r="CR9" s="2" t="n"/>
      <c r="CS9" s="2" t="n"/>
      <c r="CT9" s="2" t="n"/>
      <c r="CU9" s="2" t="n"/>
      <c r="CV9" s="2" t="n"/>
      <c r="CW9" s="2" t="n"/>
      <c r="CX9" s="2" t="n"/>
      <c r="CY9" s="2" t="n"/>
      <c r="CZ9" s="2" t="n"/>
      <c r="DA9" s="2" t="n"/>
      <c r="DB9" s="2" t="n"/>
      <c r="DC9" s="2" t="n"/>
      <c r="DD9" s="2" t="n"/>
      <c r="DE9" s="2" t="n"/>
    </row>
    <row r="10">
      <c r="A10" s="2" t="inlineStr">
        <is>
          <t>issue_072</t>
        </is>
      </c>
      <c r="B10" s="4" t="inlineStr">
        <is>
          <t>Passed on test</t>
        </is>
      </c>
      <c r="C10" s="4" t="inlineStr">
        <is>
          <t>Passed on test</t>
        </is>
      </c>
      <c r="D10" s="4" t="inlineStr">
        <is>
          <t>Passed on test</t>
        </is>
      </c>
      <c r="E10" s="4" t="inlineStr">
        <is>
          <t>Passed on test</t>
        </is>
      </c>
      <c r="F10" s="3" t="inlineStr">
        <is>
          <t>NOT_TESTED</t>
        </is>
      </c>
      <c r="G10" s="3" t="inlineStr">
        <is>
          <t>NOT_TESTED</t>
        </is>
      </c>
      <c r="H10" s="3" t="inlineStr">
        <is>
          <t>NOT_TESTED</t>
        </is>
      </c>
      <c r="I10" s="3" t="inlineStr">
        <is>
          <t>NOT_TESTED</t>
        </is>
      </c>
      <c r="J10" s="3" t="inlineStr">
        <is>
          <t>NOT_TESTED</t>
        </is>
      </c>
      <c r="K10" s="3" t="inlineStr">
        <is>
          <t>NOT_TESTED</t>
        </is>
      </c>
      <c r="L10" s="3" t="inlineStr">
        <is>
          <t>NOT_TESTED</t>
        </is>
      </c>
      <c r="M10" s="3" t="inlineStr">
        <is>
          <t>NOT_TESTED</t>
        </is>
      </c>
      <c r="N10" s="3" t="inlineStr">
        <is>
          <t>NOT_TESTED</t>
        </is>
      </c>
      <c r="O10" s="3" t="inlineStr">
        <is>
          <t>NOT_TESTED</t>
        </is>
      </c>
      <c r="P10" s="3" t="inlineStr">
        <is>
          <t>NOT_TESTED</t>
        </is>
      </c>
      <c r="Q10" s="3" t="inlineStr">
        <is>
          <t>NOT_TESTED</t>
        </is>
      </c>
      <c r="R10" s="3" t="inlineStr">
        <is>
          <t>NOT_TESTED</t>
        </is>
      </c>
      <c r="S10" s="3" t="inlineStr">
        <is>
          <t>NOT_TESTED</t>
        </is>
      </c>
      <c r="T10" s="3" t="inlineStr">
        <is>
          <t>NOT_TESTED</t>
        </is>
      </c>
      <c r="U10" s="3" t="inlineStr">
        <is>
          <t>NOT_TESTED</t>
        </is>
      </c>
      <c r="V10" s="3" t="inlineStr">
        <is>
          <t>NOT_TESTED</t>
        </is>
      </c>
      <c r="W10" s="3" t="inlineStr">
        <is>
          <t>NOT_TESTED</t>
        </is>
      </c>
      <c r="X10" s="3" t="inlineStr">
        <is>
          <t>NOT_TESTED</t>
        </is>
      </c>
      <c r="Y10" s="3" t="inlineStr">
        <is>
          <t>NOT_TESTED</t>
        </is>
      </c>
      <c r="Z10" s="3" t="inlineStr">
        <is>
          <t>NOT_TESTED</t>
        </is>
      </c>
      <c r="AA10" s="3" t="inlineStr">
        <is>
          <t>NOT_TESTED</t>
        </is>
      </c>
      <c r="AB10" s="3" t="inlineStr">
        <is>
          <t>NOT_TESTED</t>
        </is>
      </c>
      <c r="AC10" s="2" t="n"/>
      <c r="AD10" s="2" t="n"/>
      <c r="AE10" s="2" t="n"/>
      <c r="AF10" s="2" t="n"/>
      <c r="AG10" s="2" t="n"/>
      <c r="AH10" s="2" t="n"/>
      <c r="AI10" s="2" t="n"/>
      <c r="AJ10" s="2" t="n"/>
      <c r="AK10" s="2"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n"/>
      <c r="CA10" s="2" t="n"/>
      <c r="CB10" s="2" t="n"/>
      <c r="CC10" s="2" t="n"/>
      <c r="CD10" s="2" t="n"/>
      <c r="CE10" s="2" t="n"/>
      <c r="CF10" s="2" t="n"/>
      <c r="CG10" s="2" t="n"/>
      <c r="CH10" s="2" t="n"/>
      <c r="CI10" s="2" t="n"/>
      <c r="CJ10" s="2" t="n"/>
      <c r="CK10" s="2" t="n"/>
      <c r="CL10" s="2" t="n"/>
      <c r="CM10" s="2" t="n"/>
      <c r="CN10" s="2" t="n"/>
      <c r="CO10" s="2" t="n"/>
      <c r="CP10" s="2" t="n"/>
      <c r="CQ10" s="2" t="n"/>
      <c r="CR10" s="2" t="n"/>
      <c r="CS10" s="2" t="n"/>
      <c r="CT10" s="2" t="n"/>
      <c r="CU10" s="2" t="n"/>
      <c r="CV10" s="2" t="n"/>
      <c r="CW10" s="2" t="n"/>
      <c r="CX10" s="2" t="n"/>
      <c r="CY10" s="2" t="n"/>
      <c r="CZ10" s="2" t="n"/>
      <c r="DA10" s="2" t="n"/>
      <c r="DB10" s="2" t="n"/>
      <c r="DC10" s="2" t="n"/>
      <c r="DD10" s="2" t="n"/>
      <c r="DE10" s="2" t="n"/>
    </row>
    <row r="11">
      <c r="A11" s="2" t="inlineStr">
        <is>
          <t>issue_096</t>
        </is>
      </c>
      <c r="B11" s="5" t="inlineStr">
        <is>
          <t>Failed on test</t>
        </is>
      </c>
      <c r="C11" s="5" t="inlineStr">
        <is>
          <t>Failed on test</t>
        </is>
      </c>
      <c r="D11" s="5" t="inlineStr">
        <is>
          <t>Failed on test</t>
        </is>
      </c>
      <c r="E11" s="5" t="inlineStr">
        <is>
          <t>Failed on test</t>
        </is>
      </c>
      <c r="F11" s="5" t="inlineStr">
        <is>
          <t>Failed on test</t>
        </is>
      </c>
      <c r="G11" s="5" t="inlineStr">
        <is>
          <t>Failed on test</t>
        </is>
      </c>
      <c r="H11" s="5" t="inlineStr">
        <is>
          <t>Failed on test</t>
        </is>
      </c>
      <c r="I11" s="5" t="inlineStr">
        <is>
          <t>Failed on test</t>
        </is>
      </c>
      <c r="J11" s="5" t="inlineStr">
        <is>
          <t>Failed on test</t>
        </is>
      </c>
      <c r="K11" s="5" t="inlineStr">
        <is>
          <t>Failed on test</t>
        </is>
      </c>
      <c r="L11" s="5" t="inlineStr">
        <is>
          <t>Failed on test</t>
        </is>
      </c>
      <c r="M11" s="5" t="inlineStr">
        <is>
          <t>Failed on test</t>
        </is>
      </c>
      <c r="N11" s="5" t="inlineStr">
        <is>
          <t>Failed on test</t>
        </is>
      </c>
      <c r="O11" s="5" t="inlineStr">
        <is>
          <t>Failed on test</t>
        </is>
      </c>
      <c r="P11" s="5" t="inlineStr">
        <is>
          <t>Failed on test</t>
        </is>
      </c>
      <c r="Q11" s="5" t="inlineStr">
        <is>
          <t>Failed on test</t>
        </is>
      </c>
      <c r="R11" s="5" t="inlineStr">
        <is>
          <t>Failed on test</t>
        </is>
      </c>
      <c r="S11" s="5" t="inlineStr">
        <is>
          <t>Failed on test</t>
        </is>
      </c>
      <c r="T11" s="5" t="inlineStr">
        <is>
          <t>Failed on test</t>
        </is>
      </c>
      <c r="U11" s="5" t="inlineStr">
        <is>
          <t>Failed on test</t>
        </is>
      </c>
      <c r="V11" s="5" t="inlineStr">
        <is>
          <t>Failed on test</t>
        </is>
      </c>
      <c r="W11" s="5" t="inlineStr">
        <is>
          <t>Failed on test</t>
        </is>
      </c>
      <c r="X11" s="5" t="inlineStr">
        <is>
          <t>Failed on test</t>
        </is>
      </c>
      <c r="Y11" s="5" t="inlineStr">
        <is>
          <t>Failed on test</t>
        </is>
      </c>
      <c r="Z11" s="5" t="inlineStr">
        <is>
          <t>Failed on test</t>
        </is>
      </c>
      <c r="AA11" s="5" t="inlineStr">
        <is>
          <t>Failed on test</t>
        </is>
      </c>
      <c r="AB11" s="5" t="inlineStr">
        <is>
          <t>Failed on test</t>
        </is>
      </c>
      <c r="AC11" s="2" t="inlineStr">
        <is>
          <t>AssertionError</t>
        </is>
      </c>
      <c r="AD11" s="2" t="inlineStr">
        <is>
          <t>AssertionError: '' != '[default]\n'; AssertionError: False is not true : Missing ipython_kernel_config.py (even when the profile directory already exists)</t>
        </is>
      </c>
      <c r="AE11" s="2" t="inlineStr">
        <is>
          <t>The LLM creates ~/.qiskit and an empty settings.conf before reading it, which stops the crash, but the test expects the file to contain a [default] section and the IPython profile's ipython_kernel_config.py to be created, which the fix does not do.</t>
        </is>
      </c>
      <c r="AF11" s="2" t="inlineStr">
        <is>
          <t>AssertionError</t>
        </is>
      </c>
      <c r="AG11" s="2" t="inlineStr">
        <is>
          <t>AssertionError: '' != '[default]\n'; AssertionError: False is not true : Missing ipython_kernel_config.py (even when the profile directory already exists)</t>
        </is>
      </c>
      <c r="AH11" s="2" t="inlineStr">
        <is>
          <t>The LLM creates ~/.qiskit and an empty settings.conf before reading it, which stops the crash, but the test expects the file to contain a [default] section and the IPython profile's ipython_kernel_config.py to be created, which the fix does not do.</t>
        </is>
      </c>
      <c r="AI11" s="2" t="inlineStr">
        <is>
          <t>AssertionError</t>
        </is>
      </c>
      <c r="AJ11" s="2" t="inlineStr">
        <is>
          <t>AssertionError: '' != '[default]\n'; AssertionError: False is not true : Missing ipython_kernel_config.py (even when the profile directory already exists)</t>
        </is>
      </c>
      <c r="AK11" s="2" t="inlineStr">
        <is>
          <t>The LLM creates ~/.qiskit and an empty settings.conf before reading it, which stops the crash, but the test expects the file to contain a [default] section and the IPython profile's ipython_kernel_config.py to be created, which the fix does not do.</t>
        </is>
      </c>
      <c r="AL11" s="2" t="inlineStr">
        <is>
          <t>AssertionError</t>
        </is>
      </c>
      <c r="AM11" s="2" t="inlineStr">
        <is>
          <t>AssertionError: '' != '[default]\n'; AssertionError: False is not true : Missing ipython_kernel_config.py (even when the profile directory already exists)</t>
        </is>
      </c>
      <c r="AN11" s="2" t="inlineStr">
        <is>
          <t>The LLM creates ~/.qiskit and an empty settings.conf before reading it, which stops the crash, but the test expects the file to contain a [default] section and the IPython profile's ipython_kernel_config.py to be created, which the fix does not do.</t>
        </is>
      </c>
      <c r="AO11" s="2" t="inlineStr">
        <is>
          <t>AssertionError</t>
        </is>
      </c>
      <c r="AP11" s="2" t="inlineStr">
        <is>
          <t>AssertionError: '' != '[default]\n'; AssertionError: False is not true : Missing ipython_kernel_config.py (even when the profile directory already exists)</t>
        </is>
      </c>
      <c r="AQ11" s="2" t="inlineStr">
        <is>
          <t>The LLM creates ~/.qiskit and an empty settings.conf before reading it, which stops the crash, but the test expects the file to contain a [default] section and the IPython profile's ipython_kernel_config.py to be created, which the fix does not do.</t>
        </is>
      </c>
      <c r="AR11" s="2" t="inlineStr">
        <is>
          <t>AssertionError</t>
        </is>
      </c>
      <c r="AS11" s="2" t="inlineStr">
        <is>
          <t>AssertionError: '' != '[default]\n'; AssertionError: False is not true : Missing ipython_kernel_config.py (even when the profile directory already exists)</t>
        </is>
      </c>
      <c r="AT11" s="2" t="inlineStr">
        <is>
          <t>The LLM creates ~/.qiskit and an empty settings.conf before reading it, which stops the crash, but the test expects the file to contain a [default] section and the IPython profile's ipython_kernel_config.py to be created, which the fix does not do.</t>
        </is>
      </c>
      <c r="AU11" s="2" t="inlineStr">
        <is>
          <t>AssertionError</t>
        </is>
      </c>
      <c r="AV11" s="2" t="inlineStr">
        <is>
          <t>AssertionError: '' != '[default]\n'; AssertionError: False is not true : Missing ipython_kernel_config.py (even when the profile directory already exists)</t>
        </is>
      </c>
      <c r="AW11" s="2" t="inlineStr">
        <is>
          <t>The LLM creates ~/.qiskit and an empty settings.conf before reading it, which stops the crash, but the test expects the file to contain a [default] section and the IPython profile's ipython_kernel_config.py to be created, which the fix does not do.</t>
        </is>
      </c>
      <c r="AX11" s="2" t="inlineStr">
        <is>
          <t>AssertionError</t>
        </is>
      </c>
      <c r="AY11" s="2" t="inlineStr">
        <is>
          <t>AssertionError: '' != '[default]\n'; AssertionError: False is not true : Missing ipython_kernel_config.py (even when the profile directory already exists)</t>
        </is>
      </c>
      <c r="AZ11" s="2" t="inlineStr">
        <is>
          <t>The LLM creates ~/.qiskit and an empty settings.conf before reading it, which stops the crash, but the test expects the file to contain a [default] section and the IPython profile's ipython_kernel_config.py to be created, which the fix does not do.</t>
        </is>
      </c>
      <c r="BA11" s="2" t="inlineStr">
        <is>
          <t>AssertionError</t>
        </is>
      </c>
      <c r="BB11" s="2" t="inlineStr">
        <is>
          <t>AssertionError: '' != '[default]\n'; AssertionError: False is not true : Missing ipython_kernel_config.py (even when the profile directory already exists)</t>
        </is>
      </c>
      <c r="BC11" s="2" t="inlineStr">
        <is>
          <t>The LLM creates ~/.qiskit and an empty settings.conf before reading it, which stops the crash, but the test expects the file to contain a [default] section and the IPython profile's ipython_kernel_config.py to be created, which the fix does not do.</t>
        </is>
      </c>
      <c r="BD11" s="2" t="inlineStr">
        <is>
          <t>AssertionError</t>
        </is>
      </c>
      <c r="BE11" s="2" t="inlineStr">
        <is>
          <t>AssertionError: '' != '[default]\n'; AssertionError: False is not true : Missing ipython_kernel_config.py (even when the profile directory already exists)</t>
        </is>
      </c>
      <c r="BF11" s="2" t="inlineStr">
        <is>
          <t>The LLM creates ~/.qiskit and an empty settings.conf before reading it, which stops the crash, but the test expects the file to contain a [default] section and the IPython profile's ipython_kernel_config.py to be created, which the fix does not do.</t>
        </is>
      </c>
      <c r="BG11" s="2" t="inlineStr">
        <is>
          <t>AssertionError</t>
        </is>
      </c>
      <c r="BH11" s="2" t="inlineStr">
        <is>
          <t>AssertionError: '' != '[default]\n'; AssertionError: False is not true : Missing ipython_kernel_config.py (even when the profile directory already exists)</t>
        </is>
      </c>
      <c r="BI11" s="2" t="inlineStr">
        <is>
          <t>The LLM creates ~/.qiskit and an empty settings.conf before reading it, which stops the crash, but the test expects the file to contain a [default] section and the IPython profile's ipython_kernel_config.py to be created, which the fix does not do.</t>
        </is>
      </c>
      <c r="BJ11" s="2" t="inlineStr">
        <is>
          <t>AssertionError</t>
        </is>
      </c>
      <c r="BK11" s="2" t="inlineStr">
        <is>
          <t>AssertionError: '' != '[default]\n'; AssertionError: False is not true : Missing ipython_kernel_config.py (even when the profile directory already exists)</t>
        </is>
      </c>
      <c r="BL11" s="2" t="inlineStr">
        <is>
          <t>The LLM creates ~/.qiskit and an empty settings.conf before reading it, which stops the crash, but the test expects the file to contain a [default] section and the IPython profile's ipython_kernel_config.py to be created, which the fix does not do.</t>
        </is>
      </c>
      <c r="BM11" s="2" t="inlineStr">
        <is>
          <t>AssertionError</t>
        </is>
      </c>
      <c r="BN11" s="2" t="inlineStr">
        <is>
          <t>AssertionError: '' != '[default]\n'; AssertionError: False is not true : Missing ipython_kernel_config.py (even when the profile directory already exists)</t>
        </is>
      </c>
      <c r="BO11" s="2" t="inlineStr">
        <is>
          <t>The LLM creates ~/.qiskit and an empty settings.conf before reading it, which stops the crash, but the test expects the file to contain a [default] section and the IPython profile's ipython_kernel_config.py to be created, which the fix does not do.</t>
        </is>
      </c>
      <c r="BP11" s="2" t="inlineStr">
        <is>
          <t>AssertionError</t>
        </is>
      </c>
      <c r="BQ11" s="2" t="inlineStr">
        <is>
          <t>AssertionError: '' != '[default]\n'; AssertionError: False is not true : Missing ipython_kernel_config.py (even when the profile directory already exists)</t>
        </is>
      </c>
      <c r="BR11" s="2" t="inlineStr">
        <is>
          <t>The LLM creates ~/.qiskit and an empty settings.conf before reading it, which stops the crash, but the test expects the file to contain a [default] section and the IPython profile's ipython_kernel_config.py to be created, which the fix does not do.</t>
        </is>
      </c>
      <c r="BS11" s="2" t="inlineStr">
        <is>
          <t>AssertionError</t>
        </is>
      </c>
      <c r="BT11" s="2" t="inlineStr">
        <is>
          <t>AssertionError: '' != '[default]\n'; AssertionError: False is not true : Missing ipython_kernel_config.py (even when the profile directory already exists)</t>
        </is>
      </c>
      <c r="BU11" s="2" t="inlineStr">
        <is>
          <t>The LLM creates ~/.qiskit and an empty settings.conf before reading it, which stops the crash, but the test expects the file to contain a [default] section and the IPython profile's ipython_kernel_config.py to be created, which the fix does not do.</t>
        </is>
      </c>
      <c r="BV11" s="2" t="inlineStr">
        <is>
          <t>AssertionError</t>
        </is>
      </c>
      <c r="BW11" s="2" t="inlineStr">
        <is>
          <t>AssertionError: '' != '[default]\n'; AssertionError: False is not true : Missing ipython_kernel_config.py (even when the profile directory already exists)</t>
        </is>
      </c>
      <c r="BX11" s="2" t="inlineStr">
        <is>
          <t>The LLM creates ~/.qiskit and an empty settings.conf before reading it, which stops the crash, but the test expects the file to contain a [default] section and the IPython profile's ipython_kernel_config.py to be created, which the fix does not do.</t>
        </is>
      </c>
      <c r="BY11" s="2" t="inlineStr">
        <is>
          <t>AssertionError</t>
        </is>
      </c>
      <c r="BZ11" s="2" t="inlineStr">
        <is>
          <t>AssertionError: '' != '[default]\n'; AssertionError: False is not true : Missing ipython_kernel_config.py (even when the profile directory already exists)</t>
        </is>
      </c>
      <c r="CA11" s="2" t="inlineStr">
        <is>
          <t>The LLM creates ~/.qiskit and an empty settings.conf before reading it, which stops the crash, but the test expects the file to contain a [default] section and the IPython profile's ipython_kernel_config.py to be created, which the fix does not do.</t>
        </is>
      </c>
      <c r="CB11" s="2" t="inlineStr">
        <is>
          <t>AssertionError</t>
        </is>
      </c>
      <c r="CC11" s="2" t="inlineStr">
        <is>
          <t>AssertionError: '' != '[default]\n'; AssertionError: False is not true : Missing ipython_kernel_config.py (even when the profile directory already exists)</t>
        </is>
      </c>
      <c r="CD11" s="2" t="inlineStr">
        <is>
          <t>The LLM creates ~/.qiskit and an empty settings.conf before reading it, which stops the crash, but the test expects the file to contain a [default] section and the IPython profile's ipython_kernel_config.py to be created, which the fix does not do.</t>
        </is>
      </c>
      <c r="CE11" s="2" t="inlineStr">
        <is>
          <t>AssertionError</t>
        </is>
      </c>
      <c r="CF11" s="2" t="inlineStr">
        <is>
          <t>AssertionError: '' != '[default]\n'; AssertionError: False is not true : Missing ipython_kernel_config.py (even when the profile directory already exists)</t>
        </is>
      </c>
      <c r="CG11" s="2" t="inlineStr">
        <is>
          <t>The LLM creates ~/.qiskit and an empty settings.conf before reading it, which stops the crash, but the test expects the file to contain a [default] section and the IPython profile's ipython_kernel_config.py to be created, which the fix does not do.</t>
        </is>
      </c>
      <c r="CH11" s="2" t="inlineStr">
        <is>
          <t>AssertionError</t>
        </is>
      </c>
      <c r="CI11" s="2" t="inlineStr">
        <is>
          <t>AssertionError: '' != '[default]\n'; AssertionError: False is not true : Missing ipython_kernel_config.py (even when the profile directory already exists)</t>
        </is>
      </c>
      <c r="CJ11" s="2" t="inlineStr">
        <is>
          <t>The LLM creates ~/.qiskit and an empty settings.conf before reading it, which stops the crash, but the test expects the file to contain a [default] section and the IPython profile's ipython_kernel_config.py to be created, which the fix does not do.</t>
        </is>
      </c>
      <c r="CK11" s="2" t="inlineStr">
        <is>
          <t>AssertionError</t>
        </is>
      </c>
      <c r="CL11" s="2" t="inlineStr">
        <is>
          <t>AssertionError: '' != '[default]\n'; AssertionError: False is not true : Missing ipython_kernel_config.py (even when the profile directory already exists)</t>
        </is>
      </c>
      <c r="CM11" s="2" t="inlineStr">
        <is>
          <t>The LLM creates ~/.qiskit and an empty settings.conf before reading it, which stops the crash, but the test expects the file to contain a [default] section and the IPython profile's ipython_kernel_config.py to be created, which the fix does not do.</t>
        </is>
      </c>
      <c r="CN11" s="2" t="inlineStr">
        <is>
          <t>AssertionError</t>
        </is>
      </c>
      <c r="CO11" s="2" t="inlineStr">
        <is>
          <t>AssertionError: '' != '[default]\n'; AssertionError: False is not true : Missing ipython_kernel_config.py (even when the profile directory already exists)</t>
        </is>
      </c>
      <c r="CP11" s="2" t="inlineStr">
        <is>
          <t>The LLM creates ~/.qiskit and an empty settings.conf before reading it, which stops the crash, but the test expects the file to contain a [default] section and the IPython profile's ipython_kernel_config.py to be created, which the fix does not do.</t>
        </is>
      </c>
      <c r="CQ11" s="2" t="inlineStr">
        <is>
          <t>AssertionError</t>
        </is>
      </c>
      <c r="CR11" s="2" t="inlineStr">
        <is>
          <t>AssertionError: '' != '[default]\n'; AssertionError: False is not true : Missing ipython_kernel_config.py (even when the profile directory already exists)</t>
        </is>
      </c>
      <c r="CS11" s="2" t="inlineStr">
        <is>
          <t>The LLM creates ~/.qiskit and an empty settings.conf before reading it, which stops the crash, but the test expects the file to contain a [default] section and the IPython profile's ipython_kernel_config.py to be created, which the fix does not do.</t>
        </is>
      </c>
      <c r="CT11" s="2" t="inlineStr">
        <is>
          <t>AssertionError</t>
        </is>
      </c>
      <c r="CU11" s="2" t="inlineStr">
        <is>
          <t>AssertionError: '' != '[default]\n'; AssertionError: False is not true : Missing ipython_kernel_config.py (even when the profile directory already exists)</t>
        </is>
      </c>
      <c r="CV11" s="2" t="inlineStr">
        <is>
          <t>The LLM creates ~/.qiskit and an empty settings.conf before reading it, which stops the crash, but the test expects the file to contain a [default] section and the IPython profile's ipython_kernel_config.py to be created, which the fix does not do.</t>
        </is>
      </c>
      <c r="CW11" s="2" t="inlineStr">
        <is>
          <t>AssertionError</t>
        </is>
      </c>
      <c r="CX11" s="2" t="inlineStr">
        <is>
          <t>AssertionError: '' != '[default]\n'; AssertionError: False is not true : Missing ipython_kernel_config.py (even when the profile directory already exists)</t>
        </is>
      </c>
      <c r="CY11" s="2" t="inlineStr">
        <is>
          <t>The LLM creates ~/.qiskit and an empty settings.conf before reading it, which stops the crash, but the test expects the file to contain a [default] section and the IPython profile's ipython_kernel_config.py to be created, which the fix does not do.</t>
        </is>
      </c>
      <c r="CZ11" s="2" t="inlineStr">
        <is>
          <t>AssertionError</t>
        </is>
      </c>
      <c r="DA11" s="2" t="inlineStr">
        <is>
          <t>AssertionError: '' != '[default]\n'; AssertionError: False is not true : Missing ipython_kernel_config.py (even when the profile directory already exists)</t>
        </is>
      </c>
      <c r="DB11" s="2" t="inlineStr">
        <is>
          <t>The LLM creates ~/.qiskit and an empty settings.conf before reading it, which stops the crash, but the test expects the file to contain a [default] section and the IPython profile's ipython_kernel_config.py to be created, which the fix does not do.</t>
        </is>
      </c>
      <c r="DC11" s="2" t="inlineStr">
        <is>
          <t>AssertionError</t>
        </is>
      </c>
      <c r="DD11" s="2" t="inlineStr">
        <is>
          <t>AssertionError: '' != '[default]\n'; AssertionError: False is not true : Missing ipython_kernel_config.py (even when the profile directory already exists)</t>
        </is>
      </c>
      <c r="DE11" s="2" t="inlineStr">
        <is>
          <t>The LLM creates ~/.qiskit and an empty settings.conf before reading it, which stops the crash, but the test expects the file to contain a [default] section and the IPython profile's ipython_kernel_config.py to be created, which the fix does not do.</t>
        </is>
      </c>
    </row>
    <row r="12">
      <c r="A12" s="2" t="inlineStr">
        <is>
          <t>issue_155</t>
        </is>
      </c>
      <c r="B12" s="6" t="inlineStr">
        <is>
          <t>Runtime error</t>
        </is>
      </c>
      <c r="C12" s="6" t="inlineStr">
        <is>
          <t>Runtime error</t>
        </is>
      </c>
      <c r="D12" s="6" t="inlineStr">
        <is>
          <t>Runtime error</t>
        </is>
      </c>
      <c r="E12" s="6" t="inlineStr">
        <is>
          <t>Runtime error</t>
        </is>
      </c>
      <c r="F12" s="4" t="inlineStr">
        <is>
          <t>Passed on test</t>
        </is>
      </c>
      <c r="G12" s="4" t="inlineStr">
        <is>
          <t>Passed on test</t>
        </is>
      </c>
      <c r="H12" s="4" t="inlineStr">
        <is>
          <t>Passed on test</t>
        </is>
      </c>
      <c r="I12" s="4" t="inlineStr">
        <is>
          <t>Passed on test</t>
        </is>
      </c>
      <c r="J12" s="4" t="inlineStr">
        <is>
          <t>Passed on test</t>
        </is>
      </c>
      <c r="K12" s="4" t="inlineStr">
        <is>
          <t>Passed on test</t>
        </is>
      </c>
      <c r="L12" s="4" t="inlineStr">
        <is>
          <t>Passed on test</t>
        </is>
      </c>
      <c r="M12" s="4" t="inlineStr">
        <is>
          <t>Passed on test</t>
        </is>
      </c>
      <c r="N12" s="3" t="inlineStr">
        <is>
          <t>NOT_TESTED</t>
        </is>
      </c>
      <c r="O12" s="3" t="inlineStr">
        <is>
          <t>NOT_TESTED</t>
        </is>
      </c>
      <c r="P12" s="3" t="inlineStr">
        <is>
          <t>NOT_TESTED</t>
        </is>
      </c>
      <c r="Q12" s="3" t="inlineStr">
        <is>
          <t>NOT_TESTED</t>
        </is>
      </c>
      <c r="R12" s="3" t="inlineStr">
        <is>
          <t>NOT_TESTED</t>
        </is>
      </c>
      <c r="S12" s="3" t="inlineStr">
        <is>
          <t>NOT_TESTED</t>
        </is>
      </c>
      <c r="T12" s="3" t="inlineStr">
        <is>
          <t>NOT_TESTED</t>
        </is>
      </c>
      <c r="U12" s="3" t="inlineStr">
        <is>
          <t>NOT_TESTED</t>
        </is>
      </c>
      <c r="V12" s="3" t="inlineStr">
        <is>
          <t>NOT_TESTED</t>
        </is>
      </c>
      <c r="W12" s="3" t="inlineStr">
        <is>
          <t>NOT_TESTED</t>
        </is>
      </c>
      <c r="X12" s="3" t="inlineStr">
        <is>
          <t>NOT_TESTED</t>
        </is>
      </c>
      <c r="Y12" s="3" t="inlineStr">
        <is>
          <t>NOT_TESTED</t>
        </is>
      </c>
      <c r="Z12" s="3" t="inlineStr">
        <is>
          <t>NOT_TESTED</t>
        </is>
      </c>
      <c r="AA12" s="3" t="inlineStr">
        <is>
          <t>NOT_TESTED</t>
        </is>
      </c>
      <c r="AB12" s="3" t="inlineStr">
        <is>
          <t>NOT_TESTED</t>
        </is>
      </c>
      <c r="AC12" s="2" t="inlineStr">
        <is>
          <t>AttributeError</t>
        </is>
      </c>
      <c r="AD12" s="2" t="inlineStr">
        <is>
          <t>AttributeError: 'QuantumCircuit' object has no attribute 'find_bit'</t>
        </is>
      </c>
      <c r="AE12" s="2" t="inlineStr">
        <is>
          <t>Error on 0.25.x, passed on 0.45.x / 0.46.x: the LLM turned the traced-out registers into qubit indices with qc.find_bit(bit).index, which is correct but QuantumCircuit.find_bit() doesn't exist yet in Qiskit 0.25 (AttributeError).</t>
        </is>
      </c>
      <c r="AF12" s="2" t="inlineStr">
        <is>
          <t>AttributeError</t>
        </is>
      </c>
      <c r="AG12" s="2" t="inlineStr">
        <is>
          <t>AttributeError: 'QuantumCircuit' object has no attribute 'find_bit'</t>
        </is>
      </c>
      <c r="AH12" s="2" t="inlineStr">
        <is>
          <t>Error on 0.25.x, passed on 0.45.x / 0.46.x: the LLM turned the traced-out registers into qubit indices with qc.find_bit(bit).index, which is correct but QuantumCircuit.find_bit() doesn't exist yet in Qiskit 0.25 (AttributeError).</t>
        </is>
      </c>
      <c r="AI12" s="2" t="inlineStr">
        <is>
          <t>AttributeError</t>
        </is>
      </c>
      <c r="AJ12" s="2" t="inlineStr">
        <is>
          <t>AttributeError: 'QuantumCircuit' object has no attribute 'find_bit'</t>
        </is>
      </c>
      <c r="AK12" s="2" t="inlineStr">
        <is>
          <t>Error on 0.25.x, passed on 0.45.x / 0.46.x: the LLM turned the traced-out registers into qubit indices with qc.find_bit(bit).index, which is correct but QuantumCircuit.find_bit() doesn't exist yet in Qiskit 0.25 (AttributeError).</t>
        </is>
      </c>
      <c r="AL12" s="2" t="inlineStr">
        <is>
          <t>AttributeError</t>
        </is>
      </c>
      <c r="AM12" s="2" t="inlineStr">
        <is>
          <t>AttributeError: 'QuantumCircuit' object has no attribute 'find_bit'</t>
        </is>
      </c>
      <c r="AN12" s="2" t="inlineStr">
        <is>
          <t>Error on 0.25.x, passed on 0.45.x / 0.46.x: the LLM turned the traced-out registers into qubit indices with qc.find_bit(bit).index, which is correct but QuantumCircuit.find_bit() doesn't exist yet in Qiskit 0.25 (AttributeError).</t>
        </is>
      </c>
      <c r="AO12" s="2" t="n"/>
      <c r="AP12" s="2" t="n"/>
      <c r="AQ12" s="2"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2" t="n"/>
      <c r="CN12" s="2" t="n"/>
      <c r="CO12" s="2" t="n"/>
      <c r="CP12" s="2" t="n"/>
      <c r="CQ12" s="2" t="n"/>
      <c r="CR12" s="2" t="n"/>
      <c r="CS12" s="2" t="n"/>
      <c r="CT12" s="2" t="n"/>
      <c r="CU12" s="2" t="n"/>
      <c r="CV12" s="2" t="n"/>
      <c r="CW12" s="2" t="n"/>
      <c r="CX12" s="2" t="n"/>
      <c r="CY12" s="2" t="n"/>
      <c r="CZ12" s="2" t="n"/>
      <c r="DA12" s="2" t="n"/>
      <c r="DB12" s="2" t="n"/>
      <c r="DC12" s="2" t="n"/>
      <c r="DD12" s="2" t="n"/>
      <c r="DE12" s="2" t="n"/>
    </row>
    <row r="13">
      <c r="A13" s="2" t="inlineStr">
        <is>
          <t>issue_157</t>
        </is>
      </c>
      <c r="B13" s="6" t="inlineStr">
        <is>
          <t>Runtime error</t>
        </is>
      </c>
      <c r="C13" s="6" t="inlineStr">
        <is>
          <t>Runtime error</t>
        </is>
      </c>
      <c r="D13" s="6" t="inlineStr">
        <is>
          <t>Runtime error</t>
        </is>
      </c>
      <c r="E13" s="6" t="inlineStr">
        <is>
          <t>Runtime error</t>
        </is>
      </c>
      <c r="F13" s="4" t="inlineStr">
        <is>
          <t>Passed on test</t>
        </is>
      </c>
      <c r="G13" s="4" t="inlineStr">
        <is>
          <t>Passed on test</t>
        </is>
      </c>
      <c r="H13" s="4" t="inlineStr">
        <is>
          <t>Passed on test</t>
        </is>
      </c>
      <c r="I13" s="4" t="inlineStr">
        <is>
          <t>Passed on test</t>
        </is>
      </c>
      <c r="J13" s="4" t="inlineStr">
        <is>
          <t>Passed on test</t>
        </is>
      </c>
      <c r="K13" s="4" t="inlineStr">
        <is>
          <t>Passed on test</t>
        </is>
      </c>
      <c r="L13" s="4" t="inlineStr">
        <is>
          <t>Passed on test</t>
        </is>
      </c>
      <c r="M13" s="4" t="inlineStr">
        <is>
          <t>Passed on test</t>
        </is>
      </c>
      <c r="N13" s="3" t="inlineStr">
        <is>
          <t>NOT_TESTED</t>
        </is>
      </c>
      <c r="O13" s="3" t="inlineStr">
        <is>
          <t>NOT_TESTED</t>
        </is>
      </c>
      <c r="P13" s="3" t="inlineStr">
        <is>
          <t>NOT_TESTED</t>
        </is>
      </c>
      <c r="Q13" s="3" t="inlineStr">
        <is>
          <t>NOT_TESTED</t>
        </is>
      </c>
      <c r="R13" s="3" t="inlineStr">
        <is>
          <t>NOT_TESTED</t>
        </is>
      </c>
      <c r="S13" s="3" t="inlineStr">
        <is>
          <t>NOT_TESTED</t>
        </is>
      </c>
      <c r="T13" s="3" t="inlineStr">
        <is>
          <t>NOT_TESTED</t>
        </is>
      </c>
      <c r="U13" s="3" t="inlineStr">
        <is>
          <t>NOT_TESTED</t>
        </is>
      </c>
      <c r="V13" s="3" t="inlineStr">
        <is>
          <t>NOT_TESTED</t>
        </is>
      </c>
      <c r="W13" s="3" t="inlineStr">
        <is>
          <t>NOT_TESTED</t>
        </is>
      </c>
      <c r="X13" s="3" t="inlineStr">
        <is>
          <t>NOT_TESTED</t>
        </is>
      </c>
      <c r="Y13" s="3" t="inlineStr">
        <is>
          <t>NOT_TESTED</t>
        </is>
      </c>
      <c r="Z13" s="3" t="inlineStr">
        <is>
          <t>NOT_TESTED</t>
        </is>
      </c>
      <c r="AA13" s="3" t="inlineStr">
        <is>
          <t>NOT_TESTED</t>
        </is>
      </c>
      <c r="AB13" s="3" t="inlineStr">
        <is>
          <t>NOT_TESTED</t>
        </is>
      </c>
      <c r="AC13" s="2" t="inlineStr">
        <is>
          <t>AttributeError</t>
        </is>
      </c>
      <c r="AD13" s="2" t="inlineStr">
        <is>
          <t>AttributeError: 'QuantumCircuit' object has no attribute 'prepare_state'</t>
        </is>
      </c>
      <c r="AE13" s="2" t="inlineStr">
        <is>
          <t>Error on 0.25.x, passed on 0.45.x / 0.46.x: the LLM replaced initialize() (which contains a non-unitary reset and can't be controlled) with prepare_state(), which is correct but doesn't exist yet in Qiskit 0.25 (AttributeError).</t>
        </is>
      </c>
      <c r="AF13" s="2" t="inlineStr">
        <is>
          <t>AttributeError</t>
        </is>
      </c>
      <c r="AG13" s="2" t="inlineStr">
        <is>
          <t>AttributeError: 'QuantumCircuit' object has no attribute 'prepare_state'</t>
        </is>
      </c>
      <c r="AH13" s="2" t="inlineStr">
        <is>
          <t>Error on 0.25.x, passed on 0.45.x / 0.46.x: the LLM replaced initialize() (which contains a non-unitary reset and can't be controlled) with prepare_state(), which is correct but doesn't exist yet in Qiskit 0.25 (AttributeError).</t>
        </is>
      </c>
      <c r="AI13" s="2" t="inlineStr">
        <is>
          <t>AttributeError</t>
        </is>
      </c>
      <c r="AJ13" s="2" t="inlineStr">
        <is>
          <t>AttributeError: 'QuantumCircuit' object has no attribute 'prepare_state'</t>
        </is>
      </c>
      <c r="AK13" s="2" t="inlineStr">
        <is>
          <t>Error on 0.25.x, passed on 0.45.x / 0.46.x: the LLM replaced initialize() (which contains a non-unitary reset and can't be controlled) with prepare_state(), which is correct but doesn't exist yet in Qiskit 0.25 (AttributeError).</t>
        </is>
      </c>
      <c r="AL13" s="2" t="inlineStr">
        <is>
          <t>AttributeError</t>
        </is>
      </c>
      <c r="AM13" s="2" t="inlineStr">
        <is>
          <t>AttributeError: 'QuantumCircuit' object has no attribute 'prepare_state'</t>
        </is>
      </c>
      <c r="AN13" s="2" t="inlineStr">
        <is>
          <t>Error on 0.25.x, passed on 0.45.x / 0.46.x: the LLM replaced initialize() (which contains a non-unitary reset and can't be controlled) with prepare_state(), which is correct but doesn't exist yet in Qiskit 0.25 (AttributeError).</t>
        </is>
      </c>
      <c r="AO13" s="2" t="n"/>
      <c r="AP13" s="2" t="n"/>
      <c r="AQ13" s="2" t="n"/>
      <c r="AR13" s="2" t="n"/>
      <c r="AS13" s="2" t="n"/>
      <c r="AT13" s="2" t="n"/>
      <c r="AU13" s="2" t="n"/>
      <c r="AV13" s="2"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2" t="n"/>
      <c r="CS13" s="2" t="n"/>
      <c r="CT13" s="2" t="n"/>
      <c r="CU13" s="2" t="n"/>
      <c r="CV13" s="2" t="n"/>
      <c r="CW13" s="2" t="n"/>
      <c r="CX13" s="2" t="n"/>
      <c r="CY13" s="2" t="n"/>
      <c r="CZ13" s="2" t="n"/>
      <c r="DA13" s="2" t="n"/>
      <c r="DB13" s="2" t="n"/>
      <c r="DC13" s="2" t="n"/>
      <c r="DD13" s="2" t="n"/>
      <c r="DE13" s="2" t="n"/>
    </row>
    <row r="14">
      <c r="A14" s="2" t="inlineStr">
        <is>
          <t>issue_174</t>
        </is>
      </c>
      <c r="B14" s="6" t="inlineStr">
        <is>
          <t>Runtime error</t>
        </is>
      </c>
      <c r="C14" s="6" t="inlineStr">
        <is>
          <t>Runtime error</t>
        </is>
      </c>
      <c r="D14" s="6" t="inlineStr">
        <is>
          <t>Runtime error</t>
        </is>
      </c>
      <c r="E14" s="6" t="inlineStr">
        <is>
          <t>Runtime error</t>
        </is>
      </c>
      <c r="F14" s="6" t="inlineStr">
        <is>
          <t>Runtime error</t>
        </is>
      </c>
      <c r="G14" s="6" t="inlineStr">
        <is>
          <t>Runtime error</t>
        </is>
      </c>
      <c r="H14" s="6" t="inlineStr">
        <is>
          <t>Runtime error</t>
        </is>
      </c>
      <c r="I14" s="6" t="inlineStr">
        <is>
          <t>Runtime error</t>
        </is>
      </c>
      <c r="J14" s="6" t="inlineStr">
        <is>
          <t>Runtime error</t>
        </is>
      </c>
      <c r="K14" s="6" t="inlineStr">
        <is>
          <t>Runtime error</t>
        </is>
      </c>
      <c r="L14" s="6" t="inlineStr">
        <is>
          <t>Runtime error</t>
        </is>
      </c>
      <c r="M14" s="6" t="inlineStr">
        <is>
          <t>Runtime error</t>
        </is>
      </c>
      <c r="N14" s="3" t="inlineStr">
        <is>
          <t>NOT_TESTED</t>
        </is>
      </c>
      <c r="O14" s="3" t="inlineStr">
        <is>
          <t>NOT_TESTED</t>
        </is>
      </c>
      <c r="P14" s="3" t="inlineStr">
        <is>
          <t>NOT_TESTED</t>
        </is>
      </c>
      <c r="Q14" s="3" t="inlineStr">
        <is>
          <t>NOT_TESTED</t>
        </is>
      </c>
      <c r="R14" s="3" t="inlineStr">
        <is>
          <t>NOT_TESTED</t>
        </is>
      </c>
      <c r="S14" s="3" t="inlineStr">
        <is>
          <t>NOT_TESTED</t>
        </is>
      </c>
      <c r="T14" s="3" t="inlineStr">
        <is>
          <t>NOT_TESTED</t>
        </is>
      </c>
      <c r="U14" s="3" t="inlineStr">
        <is>
          <t>NOT_TESTED</t>
        </is>
      </c>
      <c r="V14" s="3" t="inlineStr">
        <is>
          <t>NOT_TESTED</t>
        </is>
      </c>
      <c r="W14" s="3" t="inlineStr">
        <is>
          <t>NOT_TESTED</t>
        </is>
      </c>
      <c r="X14" s="3" t="inlineStr">
        <is>
          <t>NOT_TESTED</t>
        </is>
      </c>
      <c r="Y14" s="3" t="inlineStr">
        <is>
          <t>NOT_TESTED</t>
        </is>
      </c>
      <c r="Z14" s="3" t="inlineStr">
        <is>
          <t>NOT_TESTED</t>
        </is>
      </c>
      <c r="AA14" s="3" t="inlineStr">
        <is>
          <t>NOT_TESTED</t>
        </is>
      </c>
      <c r="AB14" s="3" t="inlineStr">
        <is>
          <t>NOT_TESTED</t>
        </is>
      </c>
      <c r="AC14" s="2" t="inlineStr">
        <is>
          <t>QasmError</t>
        </is>
      </c>
      <c r="AD14" s="2" t="inlineStr">
        <is>
          <t>qiskit.qasm.exceptions.QasmError: 'Unable to match any token rule, got --&gt;#&lt;-- Check your OPENQASM source and any include statements.'</t>
        </is>
      </c>
      <c r="AE14" s="2" t="inlineStr">
        <is>
          <t>The LLM changed all six conditions to if (c==1), exactly like the reference, but put its '# FIX:' comment inside the QASM string; '#' is not a comment in OpenQASM, so the parser rejects the program (QasmError on 0.25.x, QASM2ParseError on 0.45.x / 0.46.x).</t>
        </is>
      </c>
      <c r="AF14" s="2" t="inlineStr">
        <is>
          <t>QasmError</t>
        </is>
      </c>
      <c r="AG14" s="2" t="inlineStr">
        <is>
          <t>qiskit.qasm.exceptions.QasmError: 'Unable to match any token rule, got --&gt;#&lt;-- Check your OPENQASM source and any include statements.'</t>
        </is>
      </c>
      <c r="AH14" s="2" t="inlineStr">
        <is>
          <t>The LLM changed all six conditions to if (c==1), exactly like the reference, but put its '# FIX:' comment inside the QASM string; '#' is not a comment in OpenQASM, so the parser rejects the program (QasmError on 0.25.x, QASM2ParseError on 0.45.x / 0.46.x).</t>
        </is>
      </c>
      <c r="AI14" s="2" t="inlineStr">
        <is>
          <t>QasmError</t>
        </is>
      </c>
      <c r="AJ14" s="2" t="inlineStr">
        <is>
          <t>qiskit.qasm.exceptions.QasmError: 'Unable to match any token rule, got --&gt;#&lt;-- Check your OPENQASM source and any include statements.'</t>
        </is>
      </c>
      <c r="AK14" s="2" t="inlineStr">
        <is>
          <t>The LLM changed all six conditions to if (c==1), exactly like the reference, but put its '# FIX:' comment inside the QASM string; '#' is not a comment in OpenQASM, so the parser rejects the program (QasmError on 0.25.x, QASM2ParseError on 0.45.x / 0.46.x).</t>
        </is>
      </c>
      <c r="AL14" s="2" t="inlineStr">
        <is>
          <t>QasmError</t>
        </is>
      </c>
      <c r="AM14" s="2" t="inlineStr">
        <is>
          <t>qiskit.qasm.exceptions.QasmError: 'Unable to match any token rule, got --&gt;#&lt;-- Check your OPENQASM source and any include statements.'</t>
        </is>
      </c>
      <c r="AN14" s="2" t="inlineStr">
        <is>
          <t>The LLM changed all six conditions to if (c==1), exactly like the reference, but put its '# FIX:' comment inside the QASM string; '#' is not a comment in OpenQASM, so the parser rejects the program (QasmError on 0.25.x, QASM2ParseError on 0.45.x / 0.46.x).</t>
        </is>
      </c>
      <c r="AO14" s="2" t="inlineStr">
        <is>
          <t>QASM2ParseError</t>
        </is>
      </c>
      <c r="AP14" s="2" t="inlineStr">
        <is>
          <t>qiskit.qasm2.exceptions.QASM2ParseError: "&lt;input&gt;:10,0: encountered '#', which doesn't match any valid tokens"</t>
        </is>
      </c>
      <c r="AQ14" s="2" t="inlineStr">
        <is>
          <t>The LLM changed all six conditions to if (c==1), exactly like the reference, but put its '# FIX:' comment inside the QASM string; '#' is not a comment in OpenQASM, so the parser rejects the program (QasmError on 0.25.x, QASM2ParseError on 0.45.x / 0.46.x).</t>
        </is>
      </c>
      <c r="AR14" s="2" t="inlineStr">
        <is>
          <t>QASM2ParseError</t>
        </is>
      </c>
      <c r="AS14" s="2" t="inlineStr">
        <is>
          <t>qiskit.qasm2.exceptions.QASM2ParseError: "&lt;input&gt;:10,0: encountered '#', which doesn't match any valid tokens"</t>
        </is>
      </c>
      <c r="AT14" s="2" t="inlineStr">
        <is>
          <t>The LLM changed all six conditions to if (c==1), exactly like the reference, but put its '# FIX:' comment inside the QASM string; '#' is not a comment in OpenQASM, so the parser rejects the program (QasmError on 0.25.x, QASM2ParseError on 0.45.x / 0.46.x).</t>
        </is>
      </c>
      <c r="AU14" s="2" t="inlineStr">
        <is>
          <t>QASM2ParseError</t>
        </is>
      </c>
      <c r="AV14" s="2" t="inlineStr">
        <is>
          <t>qiskit.qasm2.exceptions.QASM2ParseError: "&lt;input&gt;:10,0: encountered '#', which doesn't match any valid tokens"</t>
        </is>
      </c>
      <c r="AW14" s="2" t="inlineStr">
        <is>
          <t>The LLM changed all six conditions to if (c==1), exactly like the reference, but put its '# FIX:' comment inside the QASM string; '#' is not a comment in OpenQASM, so the parser rejects the program (QasmError on 0.25.x, QASM2ParseError on 0.45.x / 0.46.x).</t>
        </is>
      </c>
      <c r="AX14" s="2" t="inlineStr">
        <is>
          <t>QASM2ParseError</t>
        </is>
      </c>
      <c r="AY14" s="2" t="inlineStr">
        <is>
          <t>qiskit.qasm2.exceptions.QASM2ParseError: "&lt;input&gt;:10,0: encountered '#', which doesn't match any valid tokens"</t>
        </is>
      </c>
      <c r="AZ14" s="2" t="inlineStr">
        <is>
          <t>The LLM changed all six conditions to if (c==1), exactly like the reference, but put its '# FIX:' comment inside the QASM string; '#' is not a comment in OpenQASM, so the parser rejects the program (QasmError on 0.25.x, QASM2ParseError on 0.45.x / 0.46.x).</t>
        </is>
      </c>
      <c r="BA14" s="2" t="inlineStr">
        <is>
          <t>QASM2ParseError</t>
        </is>
      </c>
      <c r="BB14" s="2" t="inlineStr">
        <is>
          <t>qiskit.qasm2.exceptions.QASM2ParseError: "&lt;input&gt;:10,0: encountered '#', which doesn't match any valid tokens"</t>
        </is>
      </c>
      <c r="BC14" s="2" t="inlineStr">
        <is>
          <t>The LLM changed all six conditions to if (c==1), exactly like the reference, but put its '# FIX:' comment inside the QASM string; '#' is not a comment in OpenQASM, so the parser rejects the program (QasmError on 0.25.x, QASM2ParseError on 0.45.x / 0.46.x).</t>
        </is>
      </c>
      <c r="BD14" s="2" t="inlineStr">
        <is>
          <t>QASM2ParseError</t>
        </is>
      </c>
      <c r="BE14" s="2" t="inlineStr">
        <is>
          <t>qiskit.qasm2.exceptions.QASM2ParseError: "&lt;input&gt;:10,0: encountered '#', which doesn't match any valid tokens"</t>
        </is>
      </c>
      <c r="BF14" s="2" t="inlineStr">
        <is>
          <t>The LLM changed all six conditions to if (c==1), exactly like the reference, but put its '# FIX:' comment inside the QASM string; '#' is not a comment in OpenQASM, so the parser rejects the program (QasmError on 0.25.x, QASM2ParseError on 0.45.x / 0.46.x).</t>
        </is>
      </c>
      <c r="BG14" s="2" t="inlineStr">
        <is>
          <t>QASM2ParseError</t>
        </is>
      </c>
      <c r="BH14" s="2" t="inlineStr">
        <is>
          <t>qiskit.qasm2.exceptions.QASM2ParseError: "&lt;input&gt;:10,0: encountered '#', which doesn't match any valid tokens"</t>
        </is>
      </c>
      <c r="BI14" s="2" t="inlineStr">
        <is>
          <t>The LLM changed all six conditions to if (c==1), exactly like the reference, but put its '# FIX:' comment inside the QASM string; '#' is not a comment in OpenQASM, so the parser rejects the program (QasmError on 0.25.x, QASM2ParseError on 0.45.x / 0.46.x).</t>
        </is>
      </c>
      <c r="BJ14" s="2" t="inlineStr">
        <is>
          <t>QASM2ParseError</t>
        </is>
      </c>
      <c r="BK14" s="2" t="inlineStr">
        <is>
          <t>qiskit.qasm2.exceptions.QASM2ParseError: "&lt;input&gt;:10,0: encountered '#', which doesn't match any valid tokens"</t>
        </is>
      </c>
      <c r="BL14" s="2" t="inlineStr">
        <is>
          <t>The LLM changed all six conditions to if (c==1), exactly like the reference, but put its '# FIX:' comment inside the QASM string; '#' is not a comment in OpenQASM, so the parser rejects the program (QasmError on 0.25.x, QASM2ParseError on 0.45.x / 0.46.x).</t>
        </is>
      </c>
      <c r="BM14" s="2" t="n"/>
      <c r="BN14" s="2" t="n"/>
      <c r="BO14" s="2" t="n"/>
      <c r="BP14" s="2" t="n"/>
      <c r="BQ14" s="2" t="n"/>
      <c r="BR14" s="2" t="n"/>
      <c r="BS14" s="2" t="n"/>
      <c r="BT14" s="2" t="n"/>
      <c r="BU14" s="2" t="n"/>
      <c r="BV14" s="2" t="n"/>
      <c r="BW14" s="2" t="n"/>
      <c r="BX14" s="2" t="n"/>
      <c r="BY14" s="2" t="n"/>
      <c r="BZ14" s="2" t="n"/>
      <c r="CA14" s="2" t="n"/>
      <c r="CB14" s="2" t="n"/>
      <c r="CC14" s="2" t="n"/>
      <c r="CD14" s="2" t="n"/>
      <c r="CE14" s="2" t="n"/>
      <c r="CF14" s="2" t="n"/>
      <c r="CG14" s="2" t="n"/>
      <c r="CH14" s="2" t="n"/>
      <c r="CI14" s="2" t="n"/>
      <c r="CJ14" s="2" t="n"/>
      <c r="CK14" s="2" t="n"/>
      <c r="CL14" s="2" t="n"/>
      <c r="CM14" s="2" t="n"/>
      <c r="CN14" s="2" t="n"/>
      <c r="CO14" s="2" t="n"/>
      <c r="CP14" s="2" t="n"/>
      <c r="CQ14" s="2" t="n"/>
      <c r="CR14" s="2" t="n"/>
      <c r="CS14" s="2" t="n"/>
      <c r="CT14" s="2" t="n"/>
      <c r="CU14" s="2" t="n"/>
      <c r="CV14" s="2" t="n"/>
      <c r="CW14" s="2" t="n"/>
      <c r="CX14" s="2" t="n"/>
      <c r="CY14" s="2" t="n"/>
      <c r="CZ14" s="2" t="n"/>
      <c r="DA14" s="2" t="n"/>
      <c r="DB14" s="2" t="n"/>
      <c r="DC14" s="2" t="n"/>
      <c r="DD14" s="2" t="n"/>
      <c r="DE14" s="2" t="n"/>
    </row>
    <row r="15">
      <c r="A15" s="2" t="inlineStr">
        <is>
          <t>issue_189</t>
        </is>
      </c>
      <c r="B15" s="3" t="inlineStr">
        <is>
          <t>NOT_TESTED</t>
        </is>
      </c>
      <c r="C15" s="3" t="inlineStr">
        <is>
          <t>NOT_TESTED</t>
        </is>
      </c>
      <c r="D15" s="3" t="inlineStr">
        <is>
          <t>NOT_TESTED</t>
        </is>
      </c>
      <c r="E15" s="3" t="inlineStr">
        <is>
          <t>NOT_TESTED</t>
        </is>
      </c>
      <c r="F15" s="4" t="inlineStr">
        <is>
          <t>Passed on test</t>
        </is>
      </c>
      <c r="G15" s="4" t="inlineStr">
        <is>
          <t>Passed on test</t>
        </is>
      </c>
      <c r="H15" s="4" t="inlineStr">
        <is>
          <t>Passed on test</t>
        </is>
      </c>
      <c r="I15" s="4" t="inlineStr">
        <is>
          <t>Passed on test</t>
        </is>
      </c>
      <c r="J15" s="4" t="inlineStr">
        <is>
          <t>Passed on test</t>
        </is>
      </c>
      <c r="K15" s="4" t="inlineStr">
        <is>
          <t>Passed on test</t>
        </is>
      </c>
      <c r="L15" s="4" t="inlineStr">
        <is>
          <t>Passed on test</t>
        </is>
      </c>
      <c r="M15" s="4" t="inlineStr">
        <is>
          <t>Passed on test</t>
        </is>
      </c>
      <c r="N15" s="4" t="inlineStr">
        <is>
          <t>Passed on test</t>
        </is>
      </c>
      <c r="O15" s="4" t="inlineStr">
        <is>
          <t>Passed on test</t>
        </is>
      </c>
      <c r="P15" s="4" t="inlineStr">
        <is>
          <t>Passed on test</t>
        </is>
      </c>
      <c r="Q15" s="4" t="inlineStr">
        <is>
          <t>Passed on test</t>
        </is>
      </c>
      <c r="R15" s="4" t="inlineStr">
        <is>
          <t>Passed on test</t>
        </is>
      </c>
      <c r="S15" s="4" t="inlineStr">
        <is>
          <t>Passed on test</t>
        </is>
      </c>
      <c r="T15" s="4" t="inlineStr">
        <is>
          <t>Passed on test</t>
        </is>
      </c>
      <c r="U15" s="4" t="inlineStr">
        <is>
          <t>Passed on test</t>
        </is>
      </c>
      <c r="V15" s="4" t="inlineStr">
        <is>
          <t>Passed on test</t>
        </is>
      </c>
      <c r="W15" s="4" t="inlineStr">
        <is>
          <t>Passed on test</t>
        </is>
      </c>
      <c r="X15" s="4" t="inlineStr">
        <is>
          <t>Passed on test</t>
        </is>
      </c>
      <c r="Y15" s="4" t="inlineStr">
        <is>
          <t>Passed on test</t>
        </is>
      </c>
      <c r="Z15" s="4" t="inlineStr">
        <is>
          <t>Passed on test</t>
        </is>
      </c>
      <c r="AA15" s="4" t="inlineStr">
        <is>
          <t>Passed on test</t>
        </is>
      </c>
      <c r="AB15" s="4" t="inlineStr">
        <is>
          <t>Passed on test</t>
        </is>
      </c>
      <c r="AC15" s="2" t="n"/>
      <c r="AD15" s="2" t="n"/>
      <c r="AE15" s="2" t="n"/>
      <c r="AF15" s="2" t="n"/>
      <c r="AG15" s="2" t="n"/>
      <c r="AH15" s="2" t="n"/>
      <c r="AI15" s="2" t="n"/>
      <c r="AJ15" s="2" t="n"/>
      <c r="AK15" s="2" t="n"/>
      <c r="AL15" s="2" t="n"/>
      <c r="AM15" s="2" t="n"/>
      <c r="AN15" s="2" t="n"/>
      <c r="AO15" s="2" t="n"/>
      <c r="AP15" s="2" t="n"/>
      <c r="AQ15" s="2" t="n"/>
      <c r="AR15" s="2" t="n"/>
      <c r="AS15" s="2" t="n"/>
      <c r="AT15" s="2" t="n"/>
      <c r="AU15" s="2" t="n"/>
      <c r="AV15" s="2"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2" t="n"/>
      <c r="CS15" s="2" t="n"/>
      <c r="CT15" s="2" t="n"/>
      <c r="CU15" s="2" t="n"/>
      <c r="CV15" s="2" t="n"/>
      <c r="CW15" s="2" t="n"/>
      <c r="CX15" s="2" t="n"/>
      <c r="CY15" s="2" t="n"/>
      <c r="CZ15" s="2" t="n"/>
      <c r="DA15" s="2" t="n"/>
      <c r="DB15" s="2" t="n"/>
      <c r="DC15" s="2" t="n"/>
      <c r="DD15" s="2" t="n"/>
      <c r="DE15" s="2" t="n"/>
    </row>
    <row r="16">
      <c r="A16" s="2" t="inlineStr">
        <is>
          <t>issue_225</t>
        </is>
      </c>
      <c r="B16" s="3" t="inlineStr">
        <is>
          <t>NOT_TESTED</t>
        </is>
      </c>
      <c r="C16" s="3" t="inlineStr">
        <is>
          <t>NOT_TESTED</t>
        </is>
      </c>
      <c r="D16" s="3" t="inlineStr">
        <is>
          <t>NOT_TESTED</t>
        </is>
      </c>
      <c r="E16" s="3" t="inlineStr">
        <is>
          <t>NOT_TESTED</t>
        </is>
      </c>
      <c r="F16" s="4" t="inlineStr">
        <is>
          <t>Passed on test</t>
        </is>
      </c>
      <c r="G16" s="4" t="inlineStr">
        <is>
          <t>Passed on test</t>
        </is>
      </c>
      <c r="H16" s="4" t="inlineStr">
        <is>
          <t>Passed on test</t>
        </is>
      </c>
      <c r="I16" s="4" t="inlineStr">
        <is>
          <t>Passed on test</t>
        </is>
      </c>
      <c r="J16" s="4" t="inlineStr">
        <is>
          <t>Passed on test</t>
        </is>
      </c>
      <c r="K16" s="4" t="inlineStr">
        <is>
          <t>Passed on test</t>
        </is>
      </c>
      <c r="L16" s="4" t="inlineStr">
        <is>
          <t>Passed on test</t>
        </is>
      </c>
      <c r="M16" s="4" t="inlineStr">
        <is>
          <t>Passed on test</t>
        </is>
      </c>
      <c r="N16" s="3" t="inlineStr">
        <is>
          <t>NOT_TESTED</t>
        </is>
      </c>
      <c r="O16" s="3" t="inlineStr">
        <is>
          <t>NOT_TESTED</t>
        </is>
      </c>
      <c r="P16" s="3" t="inlineStr">
        <is>
          <t>NOT_TESTED</t>
        </is>
      </c>
      <c r="Q16" s="3" t="inlineStr">
        <is>
          <t>NOT_TESTED</t>
        </is>
      </c>
      <c r="R16" s="3" t="inlineStr">
        <is>
          <t>NOT_TESTED</t>
        </is>
      </c>
      <c r="S16" s="3" t="inlineStr">
        <is>
          <t>NOT_TESTED</t>
        </is>
      </c>
      <c r="T16" s="3" t="inlineStr">
        <is>
          <t>NOT_TESTED</t>
        </is>
      </c>
      <c r="U16" s="3" t="inlineStr">
        <is>
          <t>NOT_TESTED</t>
        </is>
      </c>
      <c r="V16" s="3" t="inlineStr">
        <is>
          <t>NOT_TESTED</t>
        </is>
      </c>
      <c r="W16" s="3" t="inlineStr">
        <is>
          <t>NOT_TESTED</t>
        </is>
      </c>
      <c r="X16" s="3" t="inlineStr">
        <is>
          <t>NOT_TESTED</t>
        </is>
      </c>
      <c r="Y16" s="3" t="inlineStr">
        <is>
          <t>NOT_TESTED</t>
        </is>
      </c>
      <c r="Z16" s="3" t="inlineStr">
        <is>
          <t>NOT_TESTED</t>
        </is>
      </c>
      <c r="AA16" s="3" t="inlineStr">
        <is>
          <t>NOT_TESTED</t>
        </is>
      </c>
      <c r="AB16" s="3" t="inlineStr">
        <is>
          <t>NOT_TESTED</t>
        </is>
      </c>
      <c r="AC16" s="2" t="n"/>
      <c r="AD16" s="2" t="n"/>
      <c r="AE16" s="2" t="n"/>
      <c r="AF16" s="2" t="n"/>
      <c r="AG16" s="2" t="n"/>
      <c r="AH16" s="2" t="n"/>
      <c r="AI16" s="2" t="n"/>
      <c r="AJ16" s="2" t="n"/>
      <c r="AK16" s="2" t="n"/>
      <c r="AL16" s="2" t="n"/>
      <c r="AM16" s="2" t="n"/>
      <c r="AN16" s="2" t="n"/>
      <c r="AO16" s="2" t="n"/>
      <c r="AP16" s="2" t="n"/>
      <c r="AQ16" s="2" t="n"/>
      <c r="AR16" s="2" t="n"/>
      <c r="AS16" s="2" t="n"/>
      <c r="AT16" s="2" t="n"/>
      <c r="AU16" s="2" t="n"/>
      <c r="AV16" s="2"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2" t="n"/>
      <c r="CS16" s="2" t="n"/>
      <c r="CT16" s="2" t="n"/>
      <c r="CU16" s="2" t="n"/>
      <c r="CV16" s="2" t="n"/>
      <c r="CW16" s="2" t="n"/>
      <c r="CX16" s="2" t="n"/>
      <c r="CY16" s="2" t="n"/>
      <c r="CZ16" s="2" t="n"/>
      <c r="DA16" s="2" t="n"/>
      <c r="DB16" s="2" t="n"/>
      <c r="DC16" s="2" t="n"/>
      <c r="DD16" s="2" t="n"/>
      <c r="DE16" s="2" t="n"/>
    </row>
    <row r="17">
      <c r="A17" s="2" t="inlineStr">
        <is>
          <t>issue_233</t>
        </is>
      </c>
      <c r="B17" s="6" t="inlineStr">
        <is>
          <t>Runtime error</t>
        </is>
      </c>
      <c r="C17" s="6" t="inlineStr">
        <is>
          <t>Runtime error</t>
        </is>
      </c>
      <c r="D17" s="6" t="inlineStr">
        <is>
          <t>Runtime error</t>
        </is>
      </c>
      <c r="E17" s="6" t="inlineStr">
        <is>
          <t>Runtime error</t>
        </is>
      </c>
      <c r="F17" s="6" t="inlineStr">
        <is>
          <t>Runtime error</t>
        </is>
      </c>
      <c r="G17" s="6" t="inlineStr">
        <is>
          <t>Runtime error</t>
        </is>
      </c>
      <c r="H17" s="6" t="inlineStr">
        <is>
          <t>Runtime error</t>
        </is>
      </c>
      <c r="I17" s="6" t="inlineStr">
        <is>
          <t>Runtime error</t>
        </is>
      </c>
      <c r="J17" s="6" t="inlineStr">
        <is>
          <t>Runtime error</t>
        </is>
      </c>
      <c r="K17" s="6" t="inlineStr">
        <is>
          <t>Runtime error</t>
        </is>
      </c>
      <c r="L17" s="6" t="inlineStr">
        <is>
          <t>Runtime error</t>
        </is>
      </c>
      <c r="M17" s="6" t="inlineStr">
        <is>
          <t>Runtime error</t>
        </is>
      </c>
      <c r="N17" s="6" t="inlineStr">
        <is>
          <t>Runtime error</t>
        </is>
      </c>
      <c r="O17" s="6" t="inlineStr">
        <is>
          <t>Runtime error</t>
        </is>
      </c>
      <c r="P17" s="6" t="inlineStr">
        <is>
          <t>Runtime error</t>
        </is>
      </c>
      <c r="Q17" s="6" t="inlineStr">
        <is>
          <t>Runtime error</t>
        </is>
      </c>
      <c r="R17" s="6" t="inlineStr">
        <is>
          <t>Runtime error</t>
        </is>
      </c>
      <c r="S17" s="6" t="inlineStr">
        <is>
          <t>Runtime error</t>
        </is>
      </c>
      <c r="T17" s="6" t="inlineStr">
        <is>
          <t>Runtime error</t>
        </is>
      </c>
      <c r="U17" s="6" t="inlineStr">
        <is>
          <t>Runtime error</t>
        </is>
      </c>
      <c r="V17" s="6" t="inlineStr">
        <is>
          <t>Runtime error</t>
        </is>
      </c>
      <c r="W17" s="6" t="inlineStr">
        <is>
          <t>Runtime error</t>
        </is>
      </c>
      <c r="X17" s="6" t="inlineStr">
        <is>
          <t>Runtime error</t>
        </is>
      </c>
      <c r="Y17" s="6" t="inlineStr">
        <is>
          <t>Runtime error</t>
        </is>
      </c>
      <c r="Z17" s="6" t="inlineStr">
        <is>
          <t>Runtime error</t>
        </is>
      </c>
      <c r="AA17" s="6" t="inlineStr">
        <is>
          <t>Runtime error</t>
        </is>
      </c>
      <c r="AB17" s="6" t="inlineStr">
        <is>
          <t>Runtime error</t>
        </is>
      </c>
      <c r="AC17" s="2" t="inlineStr">
        <is>
          <t>TypeError</t>
        </is>
      </c>
      <c r="AD17" s="2" t="inlineStr">
        <is>
          <t>TypeError: 'int' object is not callable</t>
        </is>
      </c>
      <c r="AE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AF17" s="2" t="inlineStr">
        <is>
          <t>TypeError</t>
        </is>
      </c>
      <c r="AG17" s="2" t="inlineStr">
        <is>
          <t>TypeError: 'int' object is not callable</t>
        </is>
      </c>
      <c r="AH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AI17" s="2" t="inlineStr">
        <is>
          <t>TypeError</t>
        </is>
      </c>
      <c r="AJ17" s="2" t="inlineStr">
        <is>
          <t>TypeError: 'int' object is not callable</t>
        </is>
      </c>
      <c r="AK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AL17" s="2" t="inlineStr">
        <is>
          <t>TypeError</t>
        </is>
      </c>
      <c r="AM17" s="2" t="inlineStr">
        <is>
          <t>TypeError: 'int' object is not callable</t>
        </is>
      </c>
      <c r="AN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AO17" s="2" t="inlineStr">
        <is>
          <t>TypeError</t>
        </is>
      </c>
      <c r="AP17" s="2" t="inlineStr">
        <is>
          <t>TypeError: 'int' object is not callable</t>
        </is>
      </c>
      <c r="AQ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AR17" s="2" t="inlineStr">
        <is>
          <t>TypeError</t>
        </is>
      </c>
      <c r="AS17" s="2" t="inlineStr">
        <is>
          <t>TypeError: 'int' object is not callable</t>
        </is>
      </c>
      <c r="AT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AU17" s="2" t="inlineStr">
        <is>
          <t>TypeError</t>
        </is>
      </c>
      <c r="AV17" s="2" t="inlineStr">
        <is>
          <t>TypeError: 'int' object is not callable</t>
        </is>
      </c>
      <c r="AW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AX17" s="2" t="inlineStr">
        <is>
          <t>TypeError</t>
        </is>
      </c>
      <c r="AY17" s="2" t="inlineStr">
        <is>
          <t>TypeError: 'int' object is not callable</t>
        </is>
      </c>
      <c r="AZ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BA17" s="2" t="inlineStr">
        <is>
          <t>TypeError</t>
        </is>
      </c>
      <c r="BB17" s="2" t="inlineStr">
        <is>
          <t>TypeError: 'int' object is not callable</t>
        </is>
      </c>
      <c r="BC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BD17" s="2" t="inlineStr">
        <is>
          <t>TypeError</t>
        </is>
      </c>
      <c r="BE17" s="2" t="inlineStr">
        <is>
          <t>TypeError: 'int' object is not callable</t>
        </is>
      </c>
      <c r="BF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BG17" s="2" t="inlineStr">
        <is>
          <t>TypeError</t>
        </is>
      </c>
      <c r="BH17" s="2" t="inlineStr">
        <is>
          <t>TypeError: 'int' object is not callable</t>
        </is>
      </c>
      <c r="BI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BJ17" s="2" t="inlineStr">
        <is>
          <t>TypeError</t>
        </is>
      </c>
      <c r="BK17" s="2" t="inlineStr">
        <is>
          <t>TypeError: 'int' object is not callable</t>
        </is>
      </c>
      <c r="BL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BM17" s="2" t="inlineStr">
        <is>
          <t>TypeError</t>
        </is>
      </c>
      <c r="BN17" s="2" t="inlineStr">
        <is>
          <t>TypeError: 'int' object is not callable</t>
        </is>
      </c>
      <c r="BO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BP17" s="2" t="inlineStr">
        <is>
          <t>TypeError</t>
        </is>
      </c>
      <c r="BQ17" s="2" t="inlineStr">
        <is>
          <t>TypeError: 'int' object is not callable</t>
        </is>
      </c>
      <c r="BR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BS17" s="2" t="inlineStr">
        <is>
          <t>TypeError</t>
        </is>
      </c>
      <c r="BT17" s="2" t="inlineStr">
        <is>
          <t>TypeError: 'int' object is not callable</t>
        </is>
      </c>
      <c r="BU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BV17" s="2" t="inlineStr">
        <is>
          <t>TypeError</t>
        </is>
      </c>
      <c r="BW17" s="2" t="inlineStr">
        <is>
          <t>TypeError: 'int' object is not callable</t>
        </is>
      </c>
      <c r="BX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BY17" s="2" t="inlineStr">
        <is>
          <t>TypeError</t>
        </is>
      </c>
      <c r="BZ17" s="2" t="inlineStr">
        <is>
          <t>TypeError: 'int' object is not callable</t>
        </is>
      </c>
      <c r="CA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CB17" s="2" t="inlineStr">
        <is>
          <t>TypeError</t>
        </is>
      </c>
      <c r="CC17" s="2" t="inlineStr">
        <is>
          <t>TypeError: 'int' object is not callable</t>
        </is>
      </c>
      <c r="CD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CE17" s="2" t="inlineStr">
        <is>
          <t>TypeError</t>
        </is>
      </c>
      <c r="CF17" s="2" t="inlineStr">
        <is>
          <t>TypeError: 'int' object is not callable</t>
        </is>
      </c>
      <c r="CG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CH17" s="2" t="inlineStr">
        <is>
          <t>TypeError</t>
        </is>
      </c>
      <c r="CI17" s="2" t="inlineStr">
        <is>
          <t>TypeError: 'int' object is not callable</t>
        </is>
      </c>
      <c r="CJ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CK17" s="2" t="inlineStr">
        <is>
          <t>TypeError</t>
        </is>
      </c>
      <c r="CL17" s="2" t="inlineStr">
        <is>
          <t>TypeError: 'int' object is not callable</t>
        </is>
      </c>
      <c r="CM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CN17" s="2" t="inlineStr">
        <is>
          <t>TypeError</t>
        </is>
      </c>
      <c r="CO17" s="2" t="inlineStr">
        <is>
          <t>TypeError: 'int' object is not callable</t>
        </is>
      </c>
      <c r="CP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CQ17" s="2" t="inlineStr">
        <is>
          <t>TypeError</t>
        </is>
      </c>
      <c r="CR17" s="2" t="inlineStr">
        <is>
          <t>TypeError: 'int' object is not callable</t>
        </is>
      </c>
      <c r="CS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CT17" s="2" t="inlineStr">
        <is>
          <t>TypeError</t>
        </is>
      </c>
      <c r="CU17" s="2" t="inlineStr">
        <is>
          <t>TypeError: 'int' object is not callable</t>
        </is>
      </c>
      <c r="CV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CW17" s="2" t="inlineStr">
        <is>
          <t>TypeError</t>
        </is>
      </c>
      <c r="CX17" s="2" t="inlineStr">
        <is>
          <t>TypeError: 'int' object is not callable</t>
        </is>
      </c>
      <c r="CY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CZ17" s="2" t="inlineStr">
        <is>
          <t>TypeError</t>
        </is>
      </c>
      <c r="DA17" s="2" t="inlineStr">
        <is>
          <t>TypeError: 'int' object is not callable</t>
        </is>
      </c>
      <c r="DB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DC17" s="2" t="inlineStr">
        <is>
          <t>TypeError</t>
        </is>
      </c>
      <c r="DD17" s="2" t="inlineStr">
        <is>
          <t>TypeError: 'int' object is not callable</t>
        </is>
      </c>
      <c r="DE17" s="2" t="inlineStr">
        <is>
          <t>The LLM replaced the second print(rot.num_parameters_settable()) with print(rot.num_parameters), but left the identical first call before compose(); num_parameters_settable is an int property in these versions, so calling it raises TypeError: 'int' object is not callable.</t>
        </is>
      </c>
    </row>
    <row r="18">
      <c r="A18" s="2" t="inlineStr">
        <is>
          <t>issue_261</t>
        </is>
      </c>
      <c r="B18" s="4" t="inlineStr">
        <is>
          <t>Passed on test</t>
        </is>
      </c>
      <c r="C18" s="4" t="inlineStr">
        <is>
          <t>Passed on test</t>
        </is>
      </c>
      <c r="D18" s="4" t="inlineStr">
        <is>
          <t>Passed on test</t>
        </is>
      </c>
      <c r="E18" s="4" t="inlineStr">
        <is>
          <t>Passed on test</t>
        </is>
      </c>
      <c r="F18" s="4" t="inlineStr">
        <is>
          <t>Passed on test</t>
        </is>
      </c>
      <c r="G18" s="4" t="inlineStr">
        <is>
          <t>Passed on test</t>
        </is>
      </c>
      <c r="H18" s="4" t="inlineStr">
        <is>
          <t>Passed on test</t>
        </is>
      </c>
      <c r="I18" s="4" t="inlineStr">
        <is>
          <t>Passed on test</t>
        </is>
      </c>
      <c r="J18" s="4" t="inlineStr">
        <is>
          <t>Passed on test</t>
        </is>
      </c>
      <c r="K18" s="4" t="inlineStr">
        <is>
          <t>Passed on test</t>
        </is>
      </c>
      <c r="L18" s="4" t="inlineStr">
        <is>
          <t>Passed on test</t>
        </is>
      </c>
      <c r="M18" s="4" t="inlineStr">
        <is>
          <t>Passed on test</t>
        </is>
      </c>
      <c r="N18" s="3" t="inlineStr">
        <is>
          <t>NOT_TESTED</t>
        </is>
      </c>
      <c r="O18" s="3" t="inlineStr">
        <is>
          <t>NOT_TESTED</t>
        </is>
      </c>
      <c r="P18" s="3" t="inlineStr">
        <is>
          <t>NOT_TESTED</t>
        </is>
      </c>
      <c r="Q18" s="3" t="inlineStr">
        <is>
          <t>NOT_TESTED</t>
        </is>
      </c>
      <c r="R18" s="3" t="inlineStr">
        <is>
          <t>NOT_TESTED</t>
        </is>
      </c>
      <c r="S18" s="3" t="inlineStr">
        <is>
          <t>NOT_TESTED</t>
        </is>
      </c>
      <c r="T18" s="3" t="inlineStr">
        <is>
          <t>NOT_TESTED</t>
        </is>
      </c>
      <c r="U18" s="3" t="inlineStr">
        <is>
          <t>NOT_TESTED</t>
        </is>
      </c>
      <c r="V18" s="3" t="inlineStr">
        <is>
          <t>NOT_TESTED</t>
        </is>
      </c>
      <c r="W18" s="3" t="inlineStr">
        <is>
          <t>NOT_TESTED</t>
        </is>
      </c>
      <c r="X18" s="3" t="inlineStr">
        <is>
          <t>NOT_TESTED</t>
        </is>
      </c>
      <c r="Y18" s="3" t="inlineStr">
        <is>
          <t>NOT_TESTED</t>
        </is>
      </c>
      <c r="Z18" s="3" t="inlineStr">
        <is>
          <t>NOT_TESTED</t>
        </is>
      </c>
      <c r="AA18" s="3" t="inlineStr">
        <is>
          <t>NOT_TESTED</t>
        </is>
      </c>
      <c r="AB18" s="3" t="inlineStr">
        <is>
          <t>NOT_TESTED</t>
        </is>
      </c>
      <c r="AC18" s="2" t="n"/>
      <c r="AD18" s="2" t="n"/>
      <c r="AE18" s="2" t="n"/>
      <c r="AF18" s="2" t="n"/>
      <c r="AG18" s="2" t="n"/>
      <c r="AH18" s="2" t="n"/>
      <c r="AI18" s="2" t="n"/>
      <c r="AJ18" s="2" t="n"/>
      <c r="AK18" s="2" t="n"/>
      <c r="AL18" s="2" t="n"/>
      <c r="AM18" s="2" t="n"/>
      <c r="AN18" s="2" t="n"/>
      <c r="AO18" s="2" t="n"/>
      <c r="AP18" s="2" t="n"/>
      <c r="AQ18" s="2" t="n"/>
      <c r="AR18" s="2" t="n"/>
      <c r="AS18" s="2" t="n"/>
      <c r="AT18" s="2" t="n"/>
      <c r="AU18" s="2" t="n"/>
      <c r="AV18" s="2"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2" t="n"/>
      <c r="CS18" s="2" t="n"/>
      <c r="CT18" s="2" t="n"/>
      <c r="CU18" s="2" t="n"/>
      <c r="CV18" s="2" t="n"/>
      <c r="CW18" s="2" t="n"/>
      <c r="CX18" s="2" t="n"/>
      <c r="CY18" s="2" t="n"/>
      <c r="CZ18" s="2" t="n"/>
      <c r="DA18" s="2" t="n"/>
      <c r="DB18" s="2" t="n"/>
      <c r="DC18" s="2" t="n"/>
      <c r="DD18" s="2" t="n"/>
      <c r="DE18" s="2" t="n"/>
    </row>
    <row r="19">
      <c r="A19" s="2" t="inlineStr">
        <is>
          <t>issue_280</t>
        </is>
      </c>
      <c r="B19" s="4" t="inlineStr">
        <is>
          <t>Passed on test</t>
        </is>
      </c>
      <c r="C19" s="4" t="inlineStr">
        <is>
          <t>Passed on test</t>
        </is>
      </c>
      <c r="D19" s="4" t="inlineStr">
        <is>
          <t>Passed on test</t>
        </is>
      </c>
      <c r="E19" s="4" t="inlineStr">
        <is>
          <t>Passed on test</t>
        </is>
      </c>
      <c r="F19" s="4" t="inlineStr">
        <is>
          <t>Passed on test</t>
        </is>
      </c>
      <c r="G19" s="4" t="inlineStr">
        <is>
          <t>Passed on test</t>
        </is>
      </c>
      <c r="H19" s="4" t="inlineStr">
        <is>
          <t>Passed on test</t>
        </is>
      </c>
      <c r="I19" s="4" t="inlineStr">
        <is>
          <t>Passed on test</t>
        </is>
      </c>
      <c r="J19" s="4" t="inlineStr">
        <is>
          <t>Passed on test</t>
        </is>
      </c>
      <c r="K19" s="4" t="inlineStr">
        <is>
          <t>Passed on test</t>
        </is>
      </c>
      <c r="L19" s="4" t="inlineStr">
        <is>
          <t>Passed on test</t>
        </is>
      </c>
      <c r="M19" s="4" t="inlineStr">
        <is>
          <t>Passed on test</t>
        </is>
      </c>
      <c r="N19" s="3" t="inlineStr">
        <is>
          <t>NOT_TESTED</t>
        </is>
      </c>
      <c r="O19" s="3" t="inlineStr">
        <is>
          <t>NOT_TESTED</t>
        </is>
      </c>
      <c r="P19" s="3" t="inlineStr">
        <is>
          <t>NOT_TESTED</t>
        </is>
      </c>
      <c r="Q19" s="3" t="inlineStr">
        <is>
          <t>NOT_TESTED</t>
        </is>
      </c>
      <c r="R19" s="3" t="inlineStr">
        <is>
          <t>NOT_TESTED</t>
        </is>
      </c>
      <c r="S19" s="3" t="inlineStr">
        <is>
          <t>NOT_TESTED</t>
        </is>
      </c>
      <c r="T19" s="3" t="inlineStr">
        <is>
          <t>NOT_TESTED</t>
        </is>
      </c>
      <c r="U19" s="3" t="inlineStr">
        <is>
          <t>NOT_TESTED</t>
        </is>
      </c>
      <c r="V19" s="3" t="inlineStr">
        <is>
          <t>NOT_TESTED</t>
        </is>
      </c>
      <c r="W19" s="3" t="inlineStr">
        <is>
          <t>NOT_TESTED</t>
        </is>
      </c>
      <c r="X19" s="3" t="inlineStr">
        <is>
          <t>NOT_TESTED</t>
        </is>
      </c>
      <c r="Y19" s="3" t="inlineStr">
        <is>
          <t>NOT_TESTED</t>
        </is>
      </c>
      <c r="Z19" s="3" t="inlineStr">
        <is>
          <t>NOT_TESTED</t>
        </is>
      </c>
      <c r="AA19" s="3" t="inlineStr">
        <is>
          <t>NOT_TESTED</t>
        </is>
      </c>
      <c r="AB19" s="3" t="inlineStr">
        <is>
          <t>NOT_TESTED</t>
        </is>
      </c>
      <c r="AC19" s="2" t="n"/>
      <c r="AD19" s="2" t="n"/>
      <c r="AE19" s="2" t="n"/>
      <c r="AF19" s="2" t="n"/>
      <c r="AG19" s="2" t="n"/>
      <c r="AH19" s="2" t="n"/>
      <c r="AI19" s="2" t="n"/>
      <c r="AJ19" s="2" t="n"/>
      <c r="AK19" s="2" t="n"/>
      <c r="AL19" s="2" t="n"/>
      <c r="AM19" s="2" t="n"/>
      <c r="AN19" s="2" t="n"/>
      <c r="AO19" s="2" t="n"/>
      <c r="AP19" s="2" t="n"/>
      <c r="AQ19" s="2"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2" t="n"/>
      <c r="CN19" s="2" t="n"/>
      <c r="CO19" s="2" t="n"/>
      <c r="CP19" s="2" t="n"/>
      <c r="CQ19" s="2" t="n"/>
      <c r="CR19" s="2" t="n"/>
      <c r="CS19" s="2" t="n"/>
      <c r="CT19" s="2" t="n"/>
      <c r="CU19" s="2" t="n"/>
      <c r="CV19" s="2" t="n"/>
      <c r="CW19" s="2" t="n"/>
      <c r="CX19" s="2" t="n"/>
      <c r="CY19" s="2" t="n"/>
      <c r="CZ19" s="2" t="n"/>
      <c r="DA19" s="2" t="n"/>
      <c r="DB19" s="2" t="n"/>
      <c r="DC19" s="2" t="n"/>
      <c r="DD19" s="2" t="n"/>
      <c r="DE19" s="2" t="n"/>
    </row>
    <row r="20">
      <c r="A20" s="2" t="inlineStr">
        <is>
          <t>issue_295</t>
        </is>
      </c>
      <c r="B20" s="3" t="inlineStr">
        <is>
          <t>NOT_TESTED</t>
        </is>
      </c>
      <c r="C20" s="3" t="inlineStr">
        <is>
          <t>NOT_TESTED</t>
        </is>
      </c>
      <c r="D20" s="3" t="inlineStr">
        <is>
          <t>NOT_TESTED</t>
        </is>
      </c>
      <c r="E20" s="3" t="inlineStr">
        <is>
          <t>NOT_TESTED</t>
        </is>
      </c>
      <c r="F20" s="4" t="inlineStr">
        <is>
          <t>Passed on test</t>
        </is>
      </c>
      <c r="G20" s="4" t="inlineStr">
        <is>
          <t>Passed on test</t>
        </is>
      </c>
      <c r="H20" s="4" t="inlineStr">
        <is>
          <t>Passed on test</t>
        </is>
      </c>
      <c r="I20" s="4" t="inlineStr">
        <is>
          <t>Passed on test</t>
        </is>
      </c>
      <c r="J20" s="4" t="inlineStr">
        <is>
          <t>Passed on test</t>
        </is>
      </c>
      <c r="K20" s="4" t="inlineStr">
        <is>
          <t>Passed on test</t>
        </is>
      </c>
      <c r="L20" s="4" t="inlineStr">
        <is>
          <t>Passed on test</t>
        </is>
      </c>
      <c r="M20" s="4" t="inlineStr">
        <is>
          <t>Passed on test</t>
        </is>
      </c>
      <c r="N20" s="3" t="inlineStr">
        <is>
          <t>NOT_TESTED</t>
        </is>
      </c>
      <c r="O20" s="3" t="inlineStr">
        <is>
          <t>NOT_TESTED</t>
        </is>
      </c>
      <c r="P20" s="3" t="inlineStr">
        <is>
          <t>NOT_TESTED</t>
        </is>
      </c>
      <c r="Q20" s="3" t="inlineStr">
        <is>
          <t>NOT_TESTED</t>
        </is>
      </c>
      <c r="R20" s="3" t="inlineStr">
        <is>
          <t>NOT_TESTED</t>
        </is>
      </c>
      <c r="S20" s="3" t="inlineStr">
        <is>
          <t>NOT_TESTED</t>
        </is>
      </c>
      <c r="T20" s="3" t="inlineStr">
        <is>
          <t>NOT_TESTED</t>
        </is>
      </c>
      <c r="U20" s="3" t="inlineStr">
        <is>
          <t>NOT_TESTED</t>
        </is>
      </c>
      <c r="V20" s="3" t="inlineStr">
        <is>
          <t>NOT_TESTED</t>
        </is>
      </c>
      <c r="W20" s="3" t="inlineStr">
        <is>
          <t>NOT_TESTED</t>
        </is>
      </c>
      <c r="X20" s="3" t="inlineStr">
        <is>
          <t>NOT_TESTED</t>
        </is>
      </c>
      <c r="Y20" s="3" t="inlineStr">
        <is>
          <t>NOT_TESTED</t>
        </is>
      </c>
      <c r="Z20" s="3" t="inlineStr">
        <is>
          <t>NOT_TESTED</t>
        </is>
      </c>
      <c r="AA20" s="3" t="inlineStr">
        <is>
          <t>NOT_TESTED</t>
        </is>
      </c>
      <c r="AB20" s="3" t="inlineStr">
        <is>
          <t>NOT_TESTED</t>
        </is>
      </c>
      <c r="AC20" s="2" t="n"/>
      <c r="AD20" s="2" t="n"/>
      <c r="AE20" s="2" t="n"/>
      <c r="AF20" s="2" t="n"/>
      <c r="AG20" s="2" t="n"/>
      <c r="AH20" s="2" t="n"/>
      <c r="AI20" s="2" t="n"/>
      <c r="AJ20" s="2" t="n"/>
      <c r="AK20" s="2" t="n"/>
      <c r="AL20" s="2" t="n"/>
      <c r="AM20" s="2" t="n"/>
      <c r="AN20" s="2" t="n"/>
      <c r="AO20" s="2" t="n"/>
      <c r="AP20" s="2" t="n"/>
      <c r="AQ20" s="2" t="n"/>
      <c r="AR20" s="2"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2" t="n"/>
      <c r="BO20" s="2" t="n"/>
      <c r="BP20" s="2" t="n"/>
      <c r="BQ20" s="2" t="n"/>
      <c r="BR20" s="2" t="n"/>
      <c r="BS20" s="2" t="n"/>
      <c r="BT20" s="2" t="n"/>
      <c r="BU20" s="2" t="n"/>
      <c r="BV20" s="2" t="n"/>
      <c r="BW20" s="2" t="n"/>
      <c r="BX20" s="2" t="n"/>
      <c r="BY20" s="2" t="n"/>
      <c r="BZ20" s="2" t="n"/>
      <c r="CA20" s="2" t="n"/>
      <c r="CB20" s="2" t="n"/>
      <c r="CC20" s="2" t="n"/>
      <c r="CD20" s="2" t="n"/>
      <c r="CE20" s="2" t="n"/>
      <c r="CF20" s="2" t="n"/>
      <c r="CG20" s="2" t="n"/>
      <c r="CH20" s="2" t="n"/>
      <c r="CI20" s="2" t="n"/>
      <c r="CJ20" s="2" t="n"/>
      <c r="CK20" s="2" t="n"/>
      <c r="CL20" s="2" t="n"/>
      <c r="CM20" s="2" t="n"/>
      <c r="CN20" s="2" t="n"/>
      <c r="CO20" s="2" t="n"/>
      <c r="CP20" s="2" t="n"/>
      <c r="CQ20" s="2" t="n"/>
      <c r="CR20" s="2" t="n"/>
      <c r="CS20" s="2" t="n"/>
      <c r="CT20" s="2" t="n"/>
      <c r="CU20" s="2" t="n"/>
      <c r="CV20" s="2" t="n"/>
      <c r="CW20" s="2" t="n"/>
      <c r="CX20" s="2" t="n"/>
      <c r="CY20" s="2" t="n"/>
      <c r="CZ20" s="2" t="n"/>
      <c r="DA20" s="2" t="n"/>
      <c r="DB20" s="2" t="n"/>
      <c r="DC20" s="2" t="n"/>
      <c r="DD20" s="2" t="n"/>
      <c r="DE20" s="2" t="n"/>
    </row>
    <row r="21">
      <c r="A21" s="2" t="inlineStr">
        <is>
          <t>issue_315</t>
        </is>
      </c>
      <c r="B21" s="3" t="inlineStr">
        <is>
          <t>NOT_TESTED</t>
        </is>
      </c>
      <c r="C21" s="3" t="inlineStr">
        <is>
          <t>NOT_TESTED</t>
        </is>
      </c>
      <c r="D21" s="3" t="inlineStr">
        <is>
          <t>NOT_TESTED</t>
        </is>
      </c>
      <c r="E21" s="3" t="inlineStr">
        <is>
          <t>NOT_TESTED</t>
        </is>
      </c>
      <c r="F21" s="4" t="inlineStr">
        <is>
          <t>Passed on test</t>
        </is>
      </c>
      <c r="G21" s="4" t="inlineStr">
        <is>
          <t>Passed on test</t>
        </is>
      </c>
      <c r="H21" s="4" t="inlineStr">
        <is>
          <t>Passed on test</t>
        </is>
      </c>
      <c r="I21" s="4" t="inlineStr">
        <is>
          <t>Passed on test</t>
        </is>
      </c>
      <c r="J21" s="4" t="inlineStr">
        <is>
          <t>Passed on test</t>
        </is>
      </c>
      <c r="K21" s="4" t="inlineStr">
        <is>
          <t>Passed on test</t>
        </is>
      </c>
      <c r="L21" s="4" t="inlineStr">
        <is>
          <t>Passed on test</t>
        </is>
      </c>
      <c r="M21" s="4" t="inlineStr">
        <is>
          <t>Passed on test</t>
        </is>
      </c>
      <c r="N21" s="4" t="inlineStr">
        <is>
          <t>Passed on test</t>
        </is>
      </c>
      <c r="O21" s="4" t="inlineStr">
        <is>
          <t>Passed on test</t>
        </is>
      </c>
      <c r="P21" s="4" t="inlineStr">
        <is>
          <t>Passed on test</t>
        </is>
      </c>
      <c r="Q21" s="4" t="inlineStr">
        <is>
          <t>Passed on test</t>
        </is>
      </c>
      <c r="R21" s="4" t="inlineStr">
        <is>
          <t>Passed on test</t>
        </is>
      </c>
      <c r="S21" s="4" t="inlineStr">
        <is>
          <t>Passed on test</t>
        </is>
      </c>
      <c r="T21" s="4" t="inlineStr">
        <is>
          <t>Passed on test</t>
        </is>
      </c>
      <c r="U21" s="4" t="inlineStr">
        <is>
          <t>Passed on test</t>
        </is>
      </c>
      <c r="V21" s="4" t="inlineStr">
        <is>
          <t>Passed on test</t>
        </is>
      </c>
      <c r="W21" s="4" t="inlineStr">
        <is>
          <t>Passed on test</t>
        </is>
      </c>
      <c r="X21" s="4" t="inlineStr">
        <is>
          <t>Passed on test</t>
        </is>
      </c>
      <c r="Y21" s="4" t="inlineStr">
        <is>
          <t>Passed on test</t>
        </is>
      </c>
      <c r="Z21" s="4" t="inlineStr">
        <is>
          <t>Passed on test</t>
        </is>
      </c>
      <c r="AA21" s="4" t="inlineStr">
        <is>
          <t>Passed on test</t>
        </is>
      </c>
      <c r="AB21" s="4" t="inlineStr">
        <is>
          <t>Passed on test</t>
        </is>
      </c>
      <c r="AC21" s="2" t="n"/>
      <c r="AD21" s="2" t="n"/>
      <c r="AE21" s="2" t="n"/>
      <c r="AF21" s="2" t="n"/>
      <c r="AG21" s="2" t="n"/>
      <c r="AH21" s="2" t="n"/>
      <c r="AI21" s="2" t="n"/>
      <c r="AJ21" s="2" t="n"/>
      <c r="AK21" s="2" t="n"/>
      <c r="AL21" s="2" t="n"/>
      <c r="AM21" s="2" t="n"/>
      <c r="AN21" s="2" t="n"/>
      <c r="AO21" s="2" t="n"/>
      <c r="AP21" s="2" t="n"/>
      <c r="AQ21" s="2" t="n"/>
      <c r="AR21" s="2"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c r="BM21" s="2" t="n"/>
      <c r="BN21" s="2" t="n"/>
      <c r="BO21" s="2" t="n"/>
      <c r="BP21" s="2" t="n"/>
      <c r="BQ21" s="2" t="n"/>
      <c r="BR21" s="2" t="n"/>
      <c r="BS21" s="2" t="n"/>
      <c r="BT21" s="2" t="n"/>
      <c r="BU21" s="2" t="n"/>
      <c r="BV21" s="2" t="n"/>
      <c r="BW21" s="2" t="n"/>
      <c r="BX21" s="2" t="n"/>
      <c r="BY21" s="2" t="n"/>
      <c r="BZ21" s="2" t="n"/>
      <c r="CA21" s="2" t="n"/>
      <c r="CB21" s="2" t="n"/>
      <c r="CC21" s="2" t="n"/>
      <c r="CD21" s="2" t="n"/>
      <c r="CE21" s="2" t="n"/>
      <c r="CF21" s="2" t="n"/>
      <c r="CG21" s="2" t="n"/>
      <c r="CH21" s="2" t="n"/>
      <c r="CI21" s="2" t="n"/>
      <c r="CJ21" s="2" t="n"/>
      <c r="CK21" s="2" t="n"/>
      <c r="CL21" s="2" t="n"/>
      <c r="CM21" s="2" t="n"/>
      <c r="CN21" s="2" t="n"/>
      <c r="CO21" s="2" t="n"/>
      <c r="CP21" s="2" t="n"/>
      <c r="CQ21" s="2" t="n"/>
      <c r="CR21" s="2" t="n"/>
      <c r="CS21" s="2" t="n"/>
      <c r="CT21" s="2" t="n"/>
      <c r="CU21" s="2" t="n"/>
      <c r="CV21" s="2" t="n"/>
      <c r="CW21" s="2" t="n"/>
      <c r="CX21" s="2" t="n"/>
      <c r="CY21" s="2" t="n"/>
      <c r="CZ21" s="2" t="n"/>
      <c r="DA21" s="2" t="n"/>
      <c r="DB21" s="2" t="n"/>
      <c r="DC21" s="2" t="n"/>
      <c r="DD21" s="2" t="n"/>
      <c r="DE21" s="2" t="n"/>
    </row>
    <row r="22">
      <c r="A22" s="2" t="inlineStr">
        <is>
          <t>issue_344</t>
        </is>
      </c>
      <c r="B22" s="4" t="inlineStr">
        <is>
          <t>Passed on test</t>
        </is>
      </c>
      <c r="C22" s="4" t="inlineStr">
        <is>
          <t>Passed on test</t>
        </is>
      </c>
      <c r="D22" s="4" t="inlineStr">
        <is>
          <t>Passed on test</t>
        </is>
      </c>
      <c r="E22" s="4" t="inlineStr">
        <is>
          <t>Passed on test</t>
        </is>
      </c>
      <c r="F22" s="4" t="inlineStr">
        <is>
          <t>Passed on test</t>
        </is>
      </c>
      <c r="G22" s="4" t="inlineStr">
        <is>
          <t>Passed on test</t>
        </is>
      </c>
      <c r="H22" s="4" t="inlineStr">
        <is>
          <t>Passed on test</t>
        </is>
      </c>
      <c r="I22" s="4" t="inlineStr">
        <is>
          <t>Passed on test</t>
        </is>
      </c>
      <c r="J22" s="4" t="inlineStr">
        <is>
          <t>Passed on test</t>
        </is>
      </c>
      <c r="K22" s="4" t="inlineStr">
        <is>
          <t>Passed on test</t>
        </is>
      </c>
      <c r="L22" s="4" t="inlineStr">
        <is>
          <t>Passed on test</t>
        </is>
      </c>
      <c r="M22" s="4" t="inlineStr">
        <is>
          <t>Passed on test</t>
        </is>
      </c>
      <c r="N22" s="3" t="inlineStr">
        <is>
          <t>NOT_TESTED</t>
        </is>
      </c>
      <c r="O22" s="3" t="inlineStr">
        <is>
          <t>NOT_TESTED</t>
        </is>
      </c>
      <c r="P22" s="3" t="inlineStr">
        <is>
          <t>NOT_TESTED</t>
        </is>
      </c>
      <c r="Q22" s="3" t="inlineStr">
        <is>
          <t>NOT_TESTED</t>
        </is>
      </c>
      <c r="R22" s="3" t="inlineStr">
        <is>
          <t>NOT_TESTED</t>
        </is>
      </c>
      <c r="S22" s="3" t="inlineStr">
        <is>
          <t>NOT_TESTED</t>
        </is>
      </c>
      <c r="T22" s="3" t="inlineStr">
        <is>
          <t>NOT_TESTED</t>
        </is>
      </c>
      <c r="U22" s="3" t="inlineStr">
        <is>
          <t>NOT_TESTED</t>
        </is>
      </c>
      <c r="V22" s="3" t="inlineStr">
        <is>
          <t>NOT_TESTED</t>
        </is>
      </c>
      <c r="W22" s="3" t="inlineStr">
        <is>
          <t>NOT_TESTED</t>
        </is>
      </c>
      <c r="X22" s="3" t="inlineStr">
        <is>
          <t>NOT_TESTED</t>
        </is>
      </c>
      <c r="Y22" s="3" t="inlineStr">
        <is>
          <t>NOT_TESTED</t>
        </is>
      </c>
      <c r="Z22" s="3" t="inlineStr">
        <is>
          <t>NOT_TESTED</t>
        </is>
      </c>
      <c r="AA22" s="3" t="inlineStr">
        <is>
          <t>NOT_TESTED</t>
        </is>
      </c>
      <c r="AB22" s="3" t="inlineStr">
        <is>
          <t>NOT_TESTED</t>
        </is>
      </c>
      <c r="AC22" s="2" t="n"/>
      <c r="AD22" s="2" t="n"/>
      <c r="AE22" s="2" t="n"/>
      <c r="AF22" s="2" t="n"/>
      <c r="AG22" s="2" t="n"/>
      <c r="AH22" s="2" t="n"/>
      <c r="AI22" s="2" t="n"/>
      <c r="AJ22" s="2" t="n"/>
      <c r="AK22" s="2" t="n"/>
      <c r="AL22" s="2" t="n"/>
      <c r="AM22" s="2" t="n"/>
      <c r="AN22" s="2" t="n"/>
      <c r="AO22" s="2" t="n"/>
      <c r="AP22" s="2" t="n"/>
      <c r="AQ22" s="2" t="n"/>
      <c r="AR22" s="2"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2" t="n"/>
      <c r="CO22" s="2" t="n"/>
      <c r="CP22" s="2" t="n"/>
      <c r="CQ22" s="2" t="n"/>
      <c r="CR22" s="2" t="n"/>
      <c r="CS22" s="2" t="n"/>
      <c r="CT22" s="2" t="n"/>
      <c r="CU22" s="2" t="n"/>
      <c r="CV22" s="2" t="n"/>
      <c r="CW22" s="2" t="n"/>
      <c r="CX22" s="2" t="n"/>
      <c r="CY22" s="2" t="n"/>
      <c r="CZ22" s="2" t="n"/>
      <c r="DA22" s="2" t="n"/>
      <c r="DB22" s="2" t="n"/>
      <c r="DC22" s="2" t="n"/>
      <c r="DD22" s="2" t="n"/>
      <c r="DE22" s="2" t="n"/>
    </row>
    <row r="23">
      <c r="A23" s="2" t="inlineStr">
        <is>
          <t>issue_362</t>
        </is>
      </c>
      <c r="B23" s="3" t="inlineStr">
        <is>
          <t>NOT_TESTED</t>
        </is>
      </c>
      <c r="C23" s="3" t="inlineStr">
        <is>
          <t>NOT_TESTED</t>
        </is>
      </c>
      <c r="D23" s="3" t="inlineStr">
        <is>
          <t>NOT_TESTED</t>
        </is>
      </c>
      <c r="E23" s="3" t="inlineStr">
        <is>
          <t>NOT_TESTED</t>
        </is>
      </c>
      <c r="F23" s="4" t="inlineStr">
        <is>
          <t>Passed on test</t>
        </is>
      </c>
      <c r="G23" s="4" t="inlineStr">
        <is>
          <t>Passed on test</t>
        </is>
      </c>
      <c r="H23" s="4" t="inlineStr">
        <is>
          <t>Passed on test</t>
        </is>
      </c>
      <c r="I23" s="4" t="inlineStr">
        <is>
          <t>Passed on test</t>
        </is>
      </c>
      <c r="J23" s="4" t="inlineStr">
        <is>
          <t>Passed on test</t>
        </is>
      </c>
      <c r="K23" s="4" t="inlineStr">
        <is>
          <t>Passed on test</t>
        </is>
      </c>
      <c r="L23" s="4" t="inlineStr">
        <is>
          <t>Passed on test</t>
        </is>
      </c>
      <c r="M23" s="4" t="inlineStr">
        <is>
          <t>Passed on test</t>
        </is>
      </c>
      <c r="N23" s="4" t="inlineStr">
        <is>
          <t>Passed on test</t>
        </is>
      </c>
      <c r="O23" s="4" t="inlineStr">
        <is>
          <t>Passed on test</t>
        </is>
      </c>
      <c r="P23" s="4" t="inlineStr">
        <is>
          <t>Passed on test</t>
        </is>
      </c>
      <c r="Q23" s="4" t="inlineStr">
        <is>
          <t>Passed on test</t>
        </is>
      </c>
      <c r="R23" s="4" t="inlineStr">
        <is>
          <t>Passed on test</t>
        </is>
      </c>
      <c r="S23" s="4" t="inlineStr">
        <is>
          <t>Passed on test</t>
        </is>
      </c>
      <c r="T23" s="4" t="inlineStr">
        <is>
          <t>Passed on test</t>
        </is>
      </c>
      <c r="U23" s="4" t="inlineStr">
        <is>
          <t>Passed on test</t>
        </is>
      </c>
      <c r="V23" s="4" t="inlineStr">
        <is>
          <t>Passed on test</t>
        </is>
      </c>
      <c r="W23" s="4" t="inlineStr">
        <is>
          <t>Passed on test</t>
        </is>
      </c>
      <c r="X23" s="4" t="inlineStr">
        <is>
          <t>Passed on test</t>
        </is>
      </c>
      <c r="Y23" s="4" t="inlineStr">
        <is>
          <t>Passed on test</t>
        </is>
      </c>
      <c r="Z23" s="4" t="inlineStr">
        <is>
          <t>Passed on test</t>
        </is>
      </c>
      <c r="AA23" s="4" t="inlineStr">
        <is>
          <t>Passed on test</t>
        </is>
      </c>
      <c r="AB23" s="4" t="inlineStr">
        <is>
          <t>Passed on test</t>
        </is>
      </c>
      <c r="AC23" s="2" t="n"/>
      <c r="AD23" s="2"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c r="AY23" s="2" t="n"/>
      <c r="AZ23" s="2" t="n"/>
      <c r="BA23" s="2" t="n"/>
      <c r="BB23" s="2" t="n"/>
      <c r="BC23" s="2" t="n"/>
      <c r="BD23" s="2" t="n"/>
      <c r="BE23" s="2" t="n"/>
      <c r="BF23" s="2" t="n"/>
      <c r="BG23" s="2" t="n"/>
      <c r="BH23" s="2" t="n"/>
      <c r="BI23" s="2" t="n"/>
      <c r="BJ23" s="2" t="n"/>
      <c r="BK23" s="2" t="n"/>
      <c r="BL23" s="2" t="n"/>
      <c r="BM23" s="2" t="n"/>
      <c r="BN23" s="2" t="n"/>
      <c r="BO23" s="2" t="n"/>
      <c r="BP23" s="2" t="n"/>
      <c r="BQ23" s="2" t="n"/>
      <c r="BR23" s="2" t="n"/>
      <c r="BS23" s="2" t="n"/>
      <c r="BT23" s="2" t="n"/>
      <c r="BU23" s="2" t="n"/>
      <c r="BV23" s="2" t="n"/>
      <c r="BW23" s="2" t="n"/>
      <c r="BX23" s="2" t="n"/>
      <c r="BY23" s="2" t="n"/>
      <c r="BZ23" s="2" t="n"/>
      <c r="CA23" s="2" t="n"/>
      <c r="CB23" s="2" t="n"/>
      <c r="CC23" s="2" t="n"/>
      <c r="CD23" s="2" t="n"/>
      <c r="CE23" s="2" t="n"/>
      <c r="CF23" s="2" t="n"/>
      <c r="CG23" s="2" t="n"/>
      <c r="CH23" s="2" t="n"/>
      <c r="CI23" s="2" t="n"/>
      <c r="CJ23" s="2" t="n"/>
      <c r="CK23" s="2" t="n"/>
      <c r="CL23" s="2" t="n"/>
      <c r="CM23" s="2" t="n"/>
      <c r="CN23" s="2" t="n"/>
      <c r="CO23" s="2" t="n"/>
      <c r="CP23" s="2" t="n"/>
      <c r="CQ23" s="2" t="n"/>
      <c r="CR23" s="2" t="n"/>
      <c r="CS23" s="2" t="n"/>
      <c r="CT23" s="2" t="n"/>
      <c r="CU23" s="2" t="n"/>
      <c r="CV23" s="2" t="n"/>
      <c r="CW23" s="2" t="n"/>
      <c r="CX23" s="2" t="n"/>
      <c r="CY23" s="2" t="n"/>
      <c r="CZ23" s="2" t="n"/>
      <c r="DA23" s="2" t="n"/>
      <c r="DB23" s="2" t="n"/>
      <c r="DC23" s="2" t="n"/>
      <c r="DD23" s="2" t="n"/>
      <c r="DE23" s="2" t="n"/>
    </row>
    <row r="24">
      <c r="A24" s="2" t="inlineStr">
        <is>
          <t>issue_369</t>
        </is>
      </c>
      <c r="B24" s="4" t="inlineStr">
        <is>
          <t>Passed on test</t>
        </is>
      </c>
      <c r="C24" s="4" t="inlineStr">
        <is>
          <t>Passed on test</t>
        </is>
      </c>
      <c r="D24" s="4" t="inlineStr">
        <is>
          <t>Passed on test</t>
        </is>
      </c>
      <c r="E24" s="4" t="inlineStr">
        <is>
          <t>Passed on test</t>
        </is>
      </c>
      <c r="F24" s="4" t="inlineStr">
        <is>
          <t>Passed on test</t>
        </is>
      </c>
      <c r="G24" s="4" t="inlineStr">
        <is>
          <t>Passed on test</t>
        </is>
      </c>
      <c r="H24" s="4" t="inlineStr">
        <is>
          <t>Passed on test</t>
        </is>
      </c>
      <c r="I24" s="4" t="inlineStr">
        <is>
          <t>Passed on test</t>
        </is>
      </c>
      <c r="J24" s="4" t="inlineStr">
        <is>
          <t>Passed on test</t>
        </is>
      </c>
      <c r="K24" s="4" t="inlineStr">
        <is>
          <t>Passed on test</t>
        </is>
      </c>
      <c r="L24" s="4" t="inlineStr">
        <is>
          <t>Passed on test</t>
        </is>
      </c>
      <c r="M24" s="4" t="inlineStr">
        <is>
          <t>Passed on test</t>
        </is>
      </c>
      <c r="N24" s="4" t="inlineStr">
        <is>
          <t>Passed on test</t>
        </is>
      </c>
      <c r="O24" s="4" t="inlineStr">
        <is>
          <t>Passed on test</t>
        </is>
      </c>
      <c r="P24" s="4" t="inlineStr">
        <is>
          <t>Passed on test</t>
        </is>
      </c>
      <c r="Q24" s="4" t="inlineStr">
        <is>
          <t>Passed on test</t>
        </is>
      </c>
      <c r="R24" s="4" t="inlineStr">
        <is>
          <t>Passed on test</t>
        </is>
      </c>
      <c r="S24" s="4" t="inlineStr">
        <is>
          <t>Passed on test</t>
        </is>
      </c>
      <c r="T24" s="4" t="inlineStr">
        <is>
          <t>Passed on test</t>
        </is>
      </c>
      <c r="U24" s="4" t="inlineStr">
        <is>
          <t>Passed on test</t>
        </is>
      </c>
      <c r="V24" s="4" t="inlineStr">
        <is>
          <t>Passed on test</t>
        </is>
      </c>
      <c r="W24" s="4" t="inlineStr">
        <is>
          <t>Passed on test</t>
        </is>
      </c>
      <c r="X24" s="4" t="inlineStr">
        <is>
          <t>Passed on test</t>
        </is>
      </c>
      <c r="Y24" s="4" t="inlineStr">
        <is>
          <t>Passed on test</t>
        </is>
      </c>
      <c r="Z24" s="4" t="inlineStr">
        <is>
          <t>Passed on test</t>
        </is>
      </c>
      <c r="AA24" s="4" t="inlineStr">
        <is>
          <t>Passed on test</t>
        </is>
      </c>
      <c r="AB24" s="4" t="inlineStr">
        <is>
          <t>Passed on test</t>
        </is>
      </c>
      <c r="AC24" s="2" t="n"/>
      <c r="AD24" s="2" t="n"/>
      <c r="AE24" s="2" t="n"/>
      <c r="AF24" s="2" t="n"/>
      <c r="AG24" s="2" t="n"/>
      <c r="AH24" s="2" t="n"/>
      <c r="AI24" s="2" t="n"/>
      <c r="AJ24" s="2" t="n"/>
      <c r="AK24" s="2" t="n"/>
      <c r="AL24" s="2" t="n"/>
      <c r="AM24" s="2" t="n"/>
      <c r="AN24" s="2" t="n"/>
      <c r="AO24" s="2" t="n"/>
      <c r="AP24" s="2" t="n"/>
      <c r="AQ24" s="2" t="n"/>
      <c r="AR24" s="2" t="n"/>
      <c r="AS24" s="2" t="n"/>
      <c r="AT24" s="2" t="n"/>
      <c r="AU24" s="2" t="n"/>
      <c r="AV24" s="2" t="n"/>
      <c r="AW24" s="2" t="n"/>
      <c r="AX24" s="2" t="n"/>
      <c r="AY24" s="2" t="n"/>
      <c r="AZ24" s="2" t="n"/>
      <c r="BA24" s="2" t="n"/>
      <c r="BB24" s="2" t="n"/>
      <c r="BC24" s="2" t="n"/>
      <c r="BD24" s="2" t="n"/>
      <c r="BE24" s="2" t="n"/>
      <c r="BF24" s="2" t="n"/>
      <c r="BG24" s="2" t="n"/>
      <c r="BH24" s="2" t="n"/>
      <c r="BI24" s="2" t="n"/>
      <c r="BJ24" s="2" t="n"/>
      <c r="BK24" s="2" t="n"/>
      <c r="BL24" s="2" t="n"/>
      <c r="BM24" s="2" t="n"/>
      <c r="BN24" s="2" t="n"/>
      <c r="BO24" s="2" t="n"/>
      <c r="BP24" s="2" t="n"/>
      <c r="BQ24" s="2" t="n"/>
      <c r="BR24" s="2" t="n"/>
      <c r="BS24" s="2" t="n"/>
      <c r="BT24" s="2" t="n"/>
      <c r="BU24" s="2" t="n"/>
      <c r="BV24" s="2" t="n"/>
      <c r="BW24" s="2" t="n"/>
      <c r="BX24" s="2" t="n"/>
      <c r="BY24" s="2" t="n"/>
      <c r="BZ24" s="2" t="n"/>
      <c r="CA24" s="2" t="n"/>
      <c r="CB24" s="2" t="n"/>
      <c r="CC24" s="2" t="n"/>
      <c r="CD24" s="2" t="n"/>
      <c r="CE24" s="2" t="n"/>
      <c r="CF24" s="2" t="n"/>
      <c r="CG24" s="2" t="n"/>
      <c r="CH24" s="2" t="n"/>
      <c r="CI24" s="2" t="n"/>
      <c r="CJ24" s="2" t="n"/>
      <c r="CK24" s="2" t="n"/>
      <c r="CL24" s="2" t="n"/>
      <c r="CM24" s="2" t="n"/>
      <c r="CN24" s="2" t="n"/>
      <c r="CO24" s="2" t="n"/>
      <c r="CP24" s="2" t="n"/>
      <c r="CQ24" s="2" t="n"/>
      <c r="CR24" s="2" t="n"/>
      <c r="CS24" s="2" t="n"/>
      <c r="CT24" s="2" t="n"/>
      <c r="CU24" s="2" t="n"/>
      <c r="CV24" s="2" t="n"/>
      <c r="CW24" s="2" t="n"/>
      <c r="CX24" s="2" t="n"/>
      <c r="CY24" s="2" t="n"/>
      <c r="CZ24" s="2" t="n"/>
      <c r="DA24" s="2" t="n"/>
      <c r="DB24" s="2" t="n"/>
      <c r="DC24" s="2" t="n"/>
      <c r="DD24" s="2" t="n"/>
      <c r="DE24" s="2" t="n"/>
    </row>
    <row r="25">
      <c r="A25" s="2" t="inlineStr">
        <is>
          <t>issue_396</t>
        </is>
      </c>
      <c r="B25" s="4" t="inlineStr">
        <is>
          <t>Passed on test</t>
        </is>
      </c>
      <c r="C25" s="4" t="inlineStr">
        <is>
          <t>Passed on test</t>
        </is>
      </c>
      <c r="D25" s="4" t="inlineStr">
        <is>
          <t>Passed on test</t>
        </is>
      </c>
      <c r="E25" s="4" t="inlineStr">
        <is>
          <t>Passed on test</t>
        </is>
      </c>
      <c r="F25" s="4" t="inlineStr">
        <is>
          <t>Passed on test</t>
        </is>
      </c>
      <c r="G25" s="4" t="inlineStr">
        <is>
          <t>Passed on test</t>
        </is>
      </c>
      <c r="H25" s="4" t="inlineStr">
        <is>
          <t>Passed on test</t>
        </is>
      </c>
      <c r="I25" s="4" t="inlineStr">
        <is>
          <t>Passed on test</t>
        </is>
      </c>
      <c r="J25" s="4" t="inlineStr">
        <is>
          <t>Passed on test</t>
        </is>
      </c>
      <c r="K25" s="4" t="inlineStr">
        <is>
          <t>Passed on test</t>
        </is>
      </c>
      <c r="L25" s="4" t="inlineStr">
        <is>
          <t>Passed on test</t>
        </is>
      </c>
      <c r="M25" s="4" t="inlineStr">
        <is>
          <t>Passed on test</t>
        </is>
      </c>
      <c r="N25" s="6" t="inlineStr">
        <is>
          <t>Runtime error</t>
        </is>
      </c>
      <c r="O25" s="6" t="inlineStr">
        <is>
          <t>Runtime error</t>
        </is>
      </c>
      <c r="P25" s="6" t="inlineStr">
        <is>
          <t>Runtime error</t>
        </is>
      </c>
      <c r="Q25" s="6" t="inlineStr">
        <is>
          <t>Runtime error</t>
        </is>
      </c>
      <c r="R25" s="6" t="inlineStr">
        <is>
          <t>Runtime error</t>
        </is>
      </c>
      <c r="S25" s="6" t="inlineStr">
        <is>
          <t>Runtime error</t>
        </is>
      </c>
      <c r="T25" s="6" t="inlineStr">
        <is>
          <t>Runtime error</t>
        </is>
      </c>
      <c r="U25" s="6" t="inlineStr">
        <is>
          <t>Runtime error</t>
        </is>
      </c>
      <c r="V25" s="6" t="inlineStr">
        <is>
          <t>Runtime error</t>
        </is>
      </c>
      <c r="W25" s="6" t="inlineStr">
        <is>
          <t>Runtime error</t>
        </is>
      </c>
      <c r="X25" s="6" t="inlineStr">
        <is>
          <t>Runtime error</t>
        </is>
      </c>
      <c r="Y25" s="6" t="inlineStr">
        <is>
          <t>Runtime error</t>
        </is>
      </c>
      <c r="Z25" s="6" t="inlineStr">
        <is>
          <t>Runtime error</t>
        </is>
      </c>
      <c r="AA25" s="6" t="inlineStr">
        <is>
          <t>Runtime error</t>
        </is>
      </c>
      <c r="AB25" s="6" t="inlineStr">
        <is>
          <t>Runtime error</t>
        </is>
      </c>
      <c r="AC25" s="2" t="n"/>
      <c r="AD25" s="2" t="n"/>
      <c r="AE25" s="2" t="n"/>
      <c r="AF25" s="2" t="n"/>
      <c r="AG25" s="2" t="n"/>
      <c r="AH25" s="2" t="n"/>
      <c r="AI25" s="2" t="n"/>
      <c r="AJ25" s="2" t="n"/>
      <c r="AK25" s="2" t="n"/>
      <c r="AL25" s="2" t="n"/>
      <c r="AM25" s="2"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inlineStr">
        <is>
          <t>AttributeError</t>
        </is>
      </c>
      <c r="BN25" s="2" t="inlineStr">
        <is>
          <t>AttributeError: 'QuantumCircuit' object has no attribute 'diagonal'</t>
        </is>
      </c>
      <c r="BO25" s="2" t="inlineStr">
        <is>
          <t>Error on 1.x / 2.x, passed on 0.25.x / 0.45.x / 0.46.x: the LLM built the phase oracle for the two targets with QuantumCircuit.diagonal(), which is correct but was removed in Qiskit 1.0 (AttributeError).</t>
        </is>
      </c>
      <c r="BP25" s="2" t="inlineStr">
        <is>
          <t>AttributeError</t>
        </is>
      </c>
      <c r="BQ25" s="2" t="inlineStr">
        <is>
          <t>AttributeError: 'QuantumCircuit' object has no attribute 'diagonal'</t>
        </is>
      </c>
      <c r="BR25" s="2" t="inlineStr">
        <is>
          <t>Error on 1.x / 2.x, passed on 0.25.x / 0.45.x / 0.46.x: the LLM built the phase oracle for the two targets with QuantumCircuit.diagonal(), which is correct but was removed in Qiskit 1.0 (AttributeError).</t>
        </is>
      </c>
      <c r="BS25" s="2" t="inlineStr">
        <is>
          <t>AttributeError</t>
        </is>
      </c>
      <c r="BT25" s="2" t="inlineStr">
        <is>
          <t>AttributeError: 'QuantumCircuit' object has no attribute 'diagonal'</t>
        </is>
      </c>
      <c r="BU25" s="2" t="inlineStr">
        <is>
          <t>Error on 1.x / 2.x, passed on 0.25.x / 0.45.x / 0.46.x: the LLM built the phase oracle for the two targets with QuantumCircuit.diagonal(), which is correct but was removed in Qiskit 1.0 (AttributeError).</t>
        </is>
      </c>
      <c r="BV25" s="2" t="inlineStr">
        <is>
          <t>AttributeError</t>
        </is>
      </c>
      <c r="BW25" s="2" t="inlineStr">
        <is>
          <t>AttributeError: 'QuantumCircuit' object has no attribute 'diagonal'</t>
        </is>
      </c>
      <c r="BX25" s="2" t="inlineStr">
        <is>
          <t>Error on 1.x / 2.x, passed on 0.25.x / 0.45.x / 0.46.x: the LLM built the phase oracle for the two targets with QuantumCircuit.diagonal(), which is correct but was removed in Qiskit 1.0 (AttributeError).</t>
        </is>
      </c>
      <c r="BY25" s="2" t="inlineStr">
        <is>
          <t>AttributeError</t>
        </is>
      </c>
      <c r="BZ25" s="2" t="inlineStr">
        <is>
          <t>AttributeError: 'QuantumCircuit' object has no attribute 'diagonal'</t>
        </is>
      </c>
      <c r="CA25" s="2" t="inlineStr">
        <is>
          <t>Error on 1.x / 2.x, passed on 0.25.x / 0.45.x / 0.46.x: the LLM built the phase oracle for the two targets with QuantumCircuit.diagonal(), which is correct but was removed in Qiskit 1.0 (AttributeError).</t>
        </is>
      </c>
      <c r="CB25" s="2" t="inlineStr">
        <is>
          <t>AttributeError</t>
        </is>
      </c>
      <c r="CC25" s="2" t="inlineStr">
        <is>
          <t>AttributeError: 'QuantumCircuit' object has no attribute 'diagonal'</t>
        </is>
      </c>
      <c r="CD25" s="2" t="inlineStr">
        <is>
          <t>Error on 1.x / 2.x, passed on 0.25.x / 0.45.x / 0.46.x: the LLM built the phase oracle for the two targets with QuantumCircuit.diagonal(), which is correct but was removed in Qiskit 1.0 (AttributeError).</t>
        </is>
      </c>
      <c r="CE25" s="2" t="inlineStr">
        <is>
          <t>AttributeError</t>
        </is>
      </c>
      <c r="CF25" s="2" t="inlineStr">
        <is>
          <t>AttributeError: 'QuantumCircuit' object has no attribute 'diagonal'</t>
        </is>
      </c>
      <c r="CG25" s="2" t="inlineStr">
        <is>
          <t>Error on 1.x / 2.x, passed on 0.25.x / 0.45.x / 0.46.x: the LLM built the phase oracle for the two targets with QuantumCircuit.diagonal(), which is correct but was removed in Qiskit 1.0 (AttributeError).</t>
        </is>
      </c>
      <c r="CH25" s="2" t="inlineStr">
        <is>
          <t>AttributeError</t>
        </is>
      </c>
      <c r="CI25" s="2" t="inlineStr">
        <is>
          <t>AttributeError: 'QuantumCircuit' object has no attribute 'diagonal'</t>
        </is>
      </c>
      <c r="CJ25" s="2" t="inlineStr">
        <is>
          <t>Error on 1.x / 2.x, passed on 0.25.x / 0.45.x / 0.46.x: the LLM built the phase oracle for the two targets with QuantumCircuit.diagonal(), which is correct but was removed in Qiskit 1.0 (AttributeError).</t>
        </is>
      </c>
      <c r="CK25" s="2" t="inlineStr">
        <is>
          <t>AttributeError</t>
        </is>
      </c>
      <c r="CL25" s="2" t="inlineStr">
        <is>
          <t>AttributeError: 'QuantumCircuit' object has no attribute 'diagonal'</t>
        </is>
      </c>
      <c r="CM25" s="2" t="inlineStr">
        <is>
          <t>Error on 1.x / 2.x, passed on 0.25.x / 0.45.x / 0.46.x: the LLM built the phase oracle for the two targets with QuantumCircuit.diagonal(), which is correct but was removed in Qiskit 1.0 (AttributeError).</t>
        </is>
      </c>
      <c r="CN25" s="2" t="inlineStr">
        <is>
          <t>AttributeError</t>
        </is>
      </c>
      <c r="CO25" s="2" t="inlineStr">
        <is>
          <t>AttributeError: 'QuantumCircuit' object has no attribute 'diagonal'</t>
        </is>
      </c>
      <c r="CP25" s="2" t="inlineStr">
        <is>
          <t>Error on 1.x / 2.x, passed on 0.25.x / 0.45.x / 0.46.x: the LLM built the phase oracle for the two targets with QuantumCircuit.diagonal(), which is correct but was removed in Qiskit 1.0 (AttributeError).</t>
        </is>
      </c>
      <c r="CQ25" s="2" t="inlineStr">
        <is>
          <t>AttributeError</t>
        </is>
      </c>
      <c r="CR25" s="2" t="inlineStr">
        <is>
          <t>AttributeError: 'QuantumCircuit' object has no attribute 'diagonal'</t>
        </is>
      </c>
      <c r="CS25" s="2" t="inlineStr">
        <is>
          <t>Error on 1.x / 2.x, passed on 0.25.x / 0.45.x / 0.46.x: the LLM built the phase oracle for the two targets with QuantumCircuit.diagonal(), which is correct but was removed in Qiskit 1.0 (AttributeError).</t>
        </is>
      </c>
      <c r="CT25" s="2" t="inlineStr">
        <is>
          <t>AttributeError</t>
        </is>
      </c>
      <c r="CU25" s="2" t="inlineStr">
        <is>
          <t>AttributeError: 'QuantumCircuit' object has no attribute 'diagonal'</t>
        </is>
      </c>
      <c r="CV25" s="2" t="inlineStr">
        <is>
          <t>Error on 1.x / 2.x, passed on 0.25.x / 0.45.x / 0.46.x: the LLM built the phase oracle for the two targets with QuantumCircuit.diagonal(), which is correct but was removed in Qiskit 1.0 (AttributeError).</t>
        </is>
      </c>
      <c r="CW25" s="2" t="inlineStr">
        <is>
          <t>AttributeError</t>
        </is>
      </c>
      <c r="CX25" s="2" t="inlineStr">
        <is>
          <t>AttributeError: 'QuantumCircuit' object has no attribute 'diagonal'</t>
        </is>
      </c>
      <c r="CY25" s="2" t="inlineStr">
        <is>
          <t>Error on 1.x / 2.x, passed on 0.25.x / 0.45.x / 0.46.x: the LLM built the phase oracle for the two targets with QuantumCircuit.diagonal(), which is correct but was removed in Qiskit 1.0 (AttributeError).</t>
        </is>
      </c>
      <c r="CZ25" s="2" t="inlineStr">
        <is>
          <t>AttributeError</t>
        </is>
      </c>
      <c r="DA25" s="2" t="inlineStr">
        <is>
          <t>AttributeError: 'QuantumCircuit' object has no attribute 'diagonal'</t>
        </is>
      </c>
      <c r="DB25" s="2" t="inlineStr">
        <is>
          <t>Error on 1.x / 2.x, passed on 0.25.x / 0.45.x / 0.46.x: the LLM built the phase oracle for the two targets with QuantumCircuit.diagonal(), which is correct but was removed in Qiskit 1.0 (AttributeError).</t>
        </is>
      </c>
      <c r="DC25" s="2" t="inlineStr">
        <is>
          <t>AttributeError</t>
        </is>
      </c>
      <c r="DD25" s="2" t="inlineStr">
        <is>
          <t>AttributeError: 'QuantumCircuit' object has no attribute 'diagonal'</t>
        </is>
      </c>
      <c r="DE25" s="2" t="inlineStr">
        <is>
          <t>Error on 1.x / 2.x, passed on 0.25.x / 0.45.x / 0.46.x: the LLM built the phase oracle for the two targets with QuantumCircuit.diagonal(), which is correct but was removed in Qiskit 1.0 (AttributeError).</t>
        </is>
      </c>
    </row>
    <row r="26">
      <c r="A26" s="2" t="inlineStr">
        <is>
          <t>issue_415</t>
        </is>
      </c>
      <c r="B26" s="4" t="inlineStr">
        <is>
          <t>Passed on test</t>
        </is>
      </c>
      <c r="C26" s="4" t="inlineStr">
        <is>
          <t>Passed on test</t>
        </is>
      </c>
      <c r="D26" s="4" t="inlineStr">
        <is>
          <t>Passed on test</t>
        </is>
      </c>
      <c r="E26" s="4" t="inlineStr">
        <is>
          <t>Passed on test</t>
        </is>
      </c>
      <c r="F26" s="3" t="inlineStr">
        <is>
          <t>NOT_TESTED</t>
        </is>
      </c>
      <c r="G26" s="3" t="inlineStr">
        <is>
          <t>NOT_TESTED</t>
        </is>
      </c>
      <c r="H26" s="3" t="inlineStr">
        <is>
          <t>NOT_TESTED</t>
        </is>
      </c>
      <c r="I26" s="3" t="inlineStr">
        <is>
          <t>NOT_TESTED</t>
        </is>
      </c>
      <c r="J26" s="3" t="inlineStr">
        <is>
          <t>NOT_TESTED</t>
        </is>
      </c>
      <c r="K26" s="3" t="inlineStr">
        <is>
          <t>NOT_TESTED</t>
        </is>
      </c>
      <c r="L26" s="3" t="inlineStr">
        <is>
          <t>NOT_TESTED</t>
        </is>
      </c>
      <c r="M26" s="3" t="inlineStr">
        <is>
          <t>NOT_TESTED</t>
        </is>
      </c>
      <c r="N26" s="3" t="inlineStr">
        <is>
          <t>NOT_TESTED</t>
        </is>
      </c>
      <c r="O26" s="3" t="inlineStr">
        <is>
          <t>NOT_TESTED</t>
        </is>
      </c>
      <c r="P26" s="3" t="inlineStr">
        <is>
          <t>NOT_TESTED</t>
        </is>
      </c>
      <c r="Q26" s="3" t="inlineStr">
        <is>
          <t>NOT_TESTED</t>
        </is>
      </c>
      <c r="R26" s="3" t="inlineStr">
        <is>
          <t>NOT_TESTED</t>
        </is>
      </c>
      <c r="S26" s="3" t="inlineStr">
        <is>
          <t>NOT_TESTED</t>
        </is>
      </c>
      <c r="T26" s="3" t="inlineStr">
        <is>
          <t>NOT_TESTED</t>
        </is>
      </c>
      <c r="U26" s="3" t="inlineStr">
        <is>
          <t>NOT_TESTED</t>
        </is>
      </c>
      <c r="V26" s="3" t="inlineStr">
        <is>
          <t>NOT_TESTED</t>
        </is>
      </c>
      <c r="W26" s="3" t="inlineStr">
        <is>
          <t>NOT_TESTED</t>
        </is>
      </c>
      <c r="X26" s="3" t="inlineStr">
        <is>
          <t>NOT_TESTED</t>
        </is>
      </c>
      <c r="Y26" s="3" t="inlineStr">
        <is>
          <t>NOT_TESTED</t>
        </is>
      </c>
      <c r="Z26" s="3" t="inlineStr">
        <is>
          <t>NOT_TESTED</t>
        </is>
      </c>
      <c r="AA26" s="3" t="inlineStr">
        <is>
          <t>NOT_TESTED</t>
        </is>
      </c>
      <c r="AB26" s="3" t="inlineStr">
        <is>
          <t>NOT_TESTED</t>
        </is>
      </c>
      <c r="AC26" s="2" t="n"/>
      <c r="AD26" s="2" t="n"/>
      <c r="AE26" s="2" t="n"/>
      <c r="AF26" s="2" t="n"/>
      <c r="AG26" s="2" t="n"/>
      <c r="AH26" s="2" t="n"/>
      <c r="AI26" s="2" t="n"/>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2" t="n"/>
      <c r="CJ26" s="2" t="n"/>
      <c r="CK26" s="2" t="n"/>
      <c r="CL26" s="2" t="n"/>
      <c r="CM26" s="2" t="n"/>
      <c r="CN26" s="2" t="n"/>
      <c r="CO26" s="2" t="n"/>
      <c r="CP26" s="2" t="n"/>
      <c r="CQ26" s="2" t="n"/>
      <c r="CR26" s="2" t="n"/>
      <c r="CS26" s="2" t="n"/>
      <c r="CT26" s="2" t="n"/>
      <c r="CU26" s="2" t="n"/>
      <c r="CV26" s="2" t="n"/>
      <c r="CW26" s="2" t="n"/>
      <c r="CX26" s="2" t="n"/>
      <c r="CY26" s="2" t="n"/>
      <c r="CZ26" s="2" t="n"/>
      <c r="DA26" s="2" t="n"/>
      <c r="DB26" s="2" t="n"/>
      <c r="DC26" s="2" t="n"/>
      <c r="DD26" s="2" t="n"/>
      <c r="DE26" s="2" t="n"/>
    </row>
    <row r="27">
      <c r="A27" s="2" t="inlineStr">
        <is>
          <t>issue_436</t>
        </is>
      </c>
      <c r="B27" s="4" t="inlineStr">
        <is>
          <t>Passed on test</t>
        </is>
      </c>
      <c r="C27" s="4" t="inlineStr">
        <is>
          <t>Passed on test</t>
        </is>
      </c>
      <c r="D27" s="4" t="inlineStr">
        <is>
          <t>Passed on test</t>
        </is>
      </c>
      <c r="E27" s="4" t="inlineStr">
        <is>
          <t>Passed on test</t>
        </is>
      </c>
      <c r="F27" s="3" t="inlineStr">
        <is>
          <t>NOT_TESTED</t>
        </is>
      </c>
      <c r="G27" s="3" t="inlineStr">
        <is>
          <t>NOT_TESTED</t>
        </is>
      </c>
      <c r="H27" s="3" t="inlineStr">
        <is>
          <t>NOT_TESTED</t>
        </is>
      </c>
      <c r="I27" s="3" t="inlineStr">
        <is>
          <t>NOT_TESTED</t>
        </is>
      </c>
      <c r="J27" s="3" t="inlineStr">
        <is>
          <t>NOT_TESTED</t>
        </is>
      </c>
      <c r="K27" s="3" t="inlineStr">
        <is>
          <t>NOT_TESTED</t>
        </is>
      </c>
      <c r="L27" s="3" t="inlineStr">
        <is>
          <t>NOT_TESTED</t>
        </is>
      </c>
      <c r="M27" s="3" t="inlineStr">
        <is>
          <t>NOT_TESTED</t>
        </is>
      </c>
      <c r="N27" s="3" t="inlineStr">
        <is>
          <t>NOT_TESTED</t>
        </is>
      </c>
      <c r="O27" s="3" t="inlineStr">
        <is>
          <t>NOT_TESTED</t>
        </is>
      </c>
      <c r="P27" s="3" t="inlineStr">
        <is>
          <t>NOT_TESTED</t>
        </is>
      </c>
      <c r="Q27" s="3" t="inlineStr">
        <is>
          <t>NOT_TESTED</t>
        </is>
      </c>
      <c r="R27" s="3" t="inlineStr">
        <is>
          <t>NOT_TESTED</t>
        </is>
      </c>
      <c r="S27" s="3" t="inlineStr">
        <is>
          <t>NOT_TESTED</t>
        </is>
      </c>
      <c r="T27" s="3" t="inlineStr">
        <is>
          <t>NOT_TESTED</t>
        </is>
      </c>
      <c r="U27" s="3" t="inlineStr">
        <is>
          <t>NOT_TESTED</t>
        </is>
      </c>
      <c r="V27" s="3" t="inlineStr">
        <is>
          <t>NOT_TESTED</t>
        </is>
      </c>
      <c r="W27" s="3" t="inlineStr">
        <is>
          <t>NOT_TESTED</t>
        </is>
      </c>
      <c r="X27" s="3" t="inlineStr">
        <is>
          <t>NOT_TESTED</t>
        </is>
      </c>
      <c r="Y27" s="3" t="inlineStr">
        <is>
          <t>NOT_TESTED</t>
        </is>
      </c>
      <c r="Z27" s="3" t="inlineStr">
        <is>
          <t>NOT_TESTED</t>
        </is>
      </c>
      <c r="AA27" s="3" t="inlineStr">
        <is>
          <t>NOT_TESTED</t>
        </is>
      </c>
      <c r="AB27" s="3" t="inlineStr">
        <is>
          <t>NOT_TESTED</t>
        </is>
      </c>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2" t="n"/>
      <c r="CJ27" s="2" t="n"/>
      <c r="CK27" s="2" t="n"/>
      <c r="CL27" s="2" t="n"/>
      <c r="CM27" s="2" t="n"/>
      <c r="CN27" s="2" t="n"/>
      <c r="CO27" s="2" t="n"/>
      <c r="CP27" s="2" t="n"/>
      <c r="CQ27" s="2" t="n"/>
      <c r="CR27" s="2" t="n"/>
      <c r="CS27" s="2" t="n"/>
      <c r="CT27" s="2" t="n"/>
      <c r="CU27" s="2" t="n"/>
      <c r="CV27" s="2" t="n"/>
      <c r="CW27" s="2" t="n"/>
      <c r="CX27" s="2" t="n"/>
      <c r="CY27" s="2" t="n"/>
      <c r="CZ27" s="2" t="n"/>
      <c r="DA27" s="2" t="n"/>
      <c r="DB27" s="2" t="n"/>
      <c r="DC27" s="2" t="n"/>
      <c r="DD27" s="2" t="n"/>
      <c r="DE27" s="2" t="n"/>
    </row>
    <row r="28">
      <c r="A28" s="2" t="inlineStr">
        <is>
          <t>issue_443</t>
        </is>
      </c>
      <c r="B28" s="4" t="inlineStr">
        <is>
          <t>Passed on test</t>
        </is>
      </c>
      <c r="C28" s="4" t="inlineStr">
        <is>
          <t>Passed on test</t>
        </is>
      </c>
      <c r="D28" s="4" t="inlineStr">
        <is>
          <t>Passed on test</t>
        </is>
      </c>
      <c r="E28" s="4" t="inlineStr">
        <is>
          <t>Passed on test</t>
        </is>
      </c>
      <c r="F28" s="4" t="inlineStr">
        <is>
          <t>Passed on test</t>
        </is>
      </c>
      <c r="G28" s="4" t="inlineStr">
        <is>
          <t>Passed on test</t>
        </is>
      </c>
      <c r="H28" s="4" t="inlineStr">
        <is>
          <t>Passed on test</t>
        </is>
      </c>
      <c r="I28" s="4" t="inlineStr">
        <is>
          <t>Passed on test</t>
        </is>
      </c>
      <c r="J28" s="4" t="inlineStr">
        <is>
          <t>Passed on test</t>
        </is>
      </c>
      <c r="K28" s="4" t="inlineStr">
        <is>
          <t>Passed on test</t>
        </is>
      </c>
      <c r="L28" s="4" t="inlineStr">
        <is>
          <t>Passed on test</t>
        </is>
      </c>
      <c r="M28" s="4" t="inlineStr">
        <is>
          <t>Passed on test</t>
        </is>
      </c>
      <c r="N28" s="4" t="inlineStr">
        <is>
          <t>Passed on test</t>
        </is>
      </c>
      <c r="O28" s="4" t="inlineStr">
        <is>
          <t>Passed on test</t>
        </is>
      </c>
      <c r="P28" s="4" t="inlineStr">
        <is>
          <t>Passed on test</t>
        </is>
      </c>
      <c r="Q28" s="4" t="inlineStr">
        <is>
          <t>Passed on test</t>
        </is>
      </c>
      <c r="R28" s="4" t="inlineStr">
        <is>
          <t>Passed on test</t>
        </is>
      </c>
      <c r="S28" s="4" t="inlineStr">
        <is>
          <t>Passed on test</t>
        </is>
      </c>
      <c r="T28" s="4" t="inlineStr">
        <is>
          <t>Passed on test</t>
        </is>
      </c>
      <c r="U28" s="4" t="inlineStr">
        <is>
          <t>Passed on test</t>
        </is>
      </c>
      <c r="V28" s="4" t="inlineStr">
        <is>
          <t>Passed on test</t>
        </is>
      </c>
      <c r="W28" s="4" t="inlineStr">
        <is>
          <t>Passed on test</t>
        </is>
      </c>
      <c r="X28" s="4" t="inlineStr">
        <is>
          <t>Passed on test</t>
        </is>
      </c>
      <c r="Y28" s="4" t="inlineStr">
        <is>
          <t>Passed on test</t>
        </is>
      </c>
      <c r="Z28" s="4" t="inlineStr">
        <is>
          <t>Passed on test</t>
        </is>
      </c>
      <c r="AA28" s="4" t="inlineStr">
        <is>
          <t>Passed on test</t>
        </is>
      </c>
      <c r="AB28" s="4" t="inlineStr">
        <is>
          <t>Passed on test</t>
        </is>
      </c>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n"/>
      <c r="CA28" s="2" t="n"/>
      <c r="CB28" s="2" t="n"/>
      <c r="CC28" s="2" t="n"/>
      <c r="CD28" s="2" t="n"/>
      <c r="CE28" s="2" t="n"/>
      <c r="CF28" s="2" t="n"/>
      <c r="CG28" s="2" t="n"/>
      <c r="CH28" s="2" t="n"/>
      <c r="CI28" s="2" t="n"/>
      <c r="CJ28" s="2" t="n"/>
      <c r="CK28" s="2" t="n"/>
      <c r="CL28" s="2" t="n"/>
      <c r="CM28" s="2" t="n"/>
      <c r="CN28" s="2" t="n"/>
      <c r="CO28" s="2" t="n"/>
      <c r="CP28" s="2" t="n"/>
      <c r="CQ28" s="2" t="n"/>
      <c r="CR28" s="2" t="n"/>
      <c r="CS28" s="2" t="n"/>
      <c r="CT28" s="2" t="n"/>
      <c r="CU28" s="2" t="n"/>
      <c r="CV28" s="2" t="n"/>
      <c r="CW28" s="2" t="n"/>
      <c r="CX28" s="2" t="n"/>
      <c r="CY28" s="2" t="n"/>
      <c r="CZ28" s="2" t="n"/>
      <c r="DA28" s="2" t="n"/>
      <c r="DB28" s="2" t="n"/>
      <c r="DC28" s="2" t="n"/>
      <c r="DD28" s="2" t="n"/>
      <c r="DE28" s="2" t="n"/>
    </row>
    <row r="29">
      <c r="A29" s="2" t="inlineStr">
        <is>
          <t>issue_453</t>
        </is>
      </c>
      <c r="B29" s="3" t="inlineStr">
        <is>
          <t>NOT_TESTED</t>
        </is>
      </c>
      <c r="C29" s="3" t="inlineStr">
        <is>
          <t>NOT_TESTED</t>
        </is>
      </c>
      <c r="D29" s="3" t="inlineStr">
        <is>
          <t>NOT_TESTED</t>
        </is>
      </c>
      <c r="E29" s="3" t="inlineStr">
        <is>
          <t>NOT_TESTED</t>
        </is>
      </c>
      <c r="F29" s="6" t="inlineStr">
        <is>
          <t>Runtime error</t>
        </is>
      </c>
      <c r="G29" s="6" t="inlineStr">
        <is>
          <t>Runtime error</t>
        </is>
      </c>
      <c r="H29" s="6" t="inlineStr">
        <is>
          <t>Runtime error</t>
        </is>
      </c>
      <c r="I29" s="6" t="inlineStr">
        <is>
          <t>Runtime error</t>
        </is>
      </c>
      <c r="J29" s="6" t="inlineStr">
        <is>
          <t>Runtime error</t>
        </is>
      </c>
      <c r="K29" s="6" t="inlineStr">
        <is>
          <t>Runtime error</t>
        </is>
      </c>
      <c r="L29" s="6" t="inlineStr">
        <is>
          <t>Runtime error</t>
        </is>
      </c>
      <c r="M29" s="6" t="inlineStr">
        <is>
          <t>Runtime error</t>
        </is>
      </c>
      <c r="N29" s="6" t="inlineStr">
        <is>
          <t>Runtime error</t>
        </is>
      </c>
      <c r="O29" s="6" t="inlineStr">
        <is>
          <t>Runtime error</t>
        </is>
      </c>
      <c r="P29" s="6" t="inlineStr">
        <is>
          <t>Runtime error</t>
        </is>
      </c>
      <c r="Q29" s="6" t="inlineStr">
        <is>
          <t>Runtime error</t>
        </is>
      </c>
      <c r="R29" s="6" t="inlineStr">
        <is>
          <t>Runtime error</t>
        </is>
      </c>
      <c r="S29" s="6" t="inlineStr">
        <is>
          <t>Runtime error</t>
        </is>
      </c>
      <c r="T29" s="6" t="inlineStr">
        <is>
          <t>Runtime error</t>
        </is>
      </c>
      <c r="U29" s="6" t="inlineStr">
        <is>
          <t>Runtime error</t>
        </is>
      </c>
      <c r="V29" s="6" t="inlineStr">
        <is>
          <t>Runtime error</t>
        </is>
      </c>
      <c r="W29" s="6" t="inlineStr">
        <is>
          <t>Runtime error</t>
        </is>
      </c>
      <c r="X29" s="6" t="inlineStr">
        <is>
          <t>Runtime error</t>
        </is>
      </c>
      <c r="Y29" s="6" t="inlineStr">
        <is>
          <t>Runtime error</t>
        </is>
      </c>
      <c r="Z29" s="6" t="inlineStr">
        <is>
          <t>Runtime error</t>
        </is>
      </c>
      <c r="AA29" s="6" t="inlineStr">
        <is>
          <t>Runtime error</t>
        </is>
      </c>
      <c r="AB29" s="6" t="inlineStr">
        <is>
          <t>Runtime error</t>
        </is>
      </c>
      <c r="AC29" s="2" t="n"/>
      <c r="AD29" s="2" t="n"/>
      <c r="AE29" s="2" t="n"/>
      <c r="AF29" s="2" t="n"/>
      <c r="AG29" s="2" t="n"/>
      <c r="AH29" s="2" t="n"/>
      <c r="AI29" s="2" t="n"/>
      <c r="AJ29" s="2" t="n"/>
      <c r="AK29" s="2" t="n"/>
      <c r="AL29" s="2" t="n"/>
      <c r="AM29" s="2" t="n"/>
      <c r="AN29" s="2" t="n"/>
      <c r="AO29" s="2" t="inlineStr">
        <is>
          <t>AttributeError</t>
        </is>
      </c>
      <c r="AP29" s="2" t="inlineStr">
        <is>
          <t>AttributeError: 'QuantumCircuit' object has no attribute 'compose_with_auto_ancillas'</t>
        </is>
      </c>
      <c r="AQ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AR29" s="2" t="inlineStr">
        <is>
          <t>AttributeError</t>
        </is>
      </c>
      <c r="AS29" s="2" t="inlineStr">
        <is>
          <t>AttributeError: 'QuantumCircuit' object has no attribute 'compose_with_auto_ancillas'</t>
        </is>
      </c>
      <c r="AT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AU29" s="2" t="inlineStr">
        <is>
          <t>AttributeError</t>
        </is>
      </c>
      <c r="AV29" s="2" t="inlineStr">
        <is>
          <t>AttributeError: 'QuantumCircuit' object has no attribute 'compose_with_auto_ancillas'</t>
        </is>
      </c>
      <c r="AW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AX29" s="2" t="inlineStr">
        <is>
          <t>AttributeError</t>
        </is>
      </c>
      <c r="AY29" s="2" t="inlineStr">
        <is>
          <t>AttributeError: 'QuantumCircuit' object has no attribute 'compose_with_auto_ancillas'</t>
        </is>
      </c>
      <c r="AZ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BA29" s="2" t="inlineStr">
        <is>
          <t>AttributeError</t>
        </is>
      </c>
      <c r="BB29" s="2" t="inlineStr">
        <is>
          <t>AttributeError: 'QuantumCircuit' object has no attribute 'compose_with_auto_ancillas'</t>
        </is>
      </c>
      <c r="BC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BD29" s="2" t="inlineStr">
        <is>
          <t>AttributeError</t>
        </is>
      </c>
      <c r="BE29" s="2" t="inlineStr">
        <is>
          <t>AttributeError: 'QuantumCircuit' object has no attribute 'compose_with_auto_ancillas'</t>
        </is>
      </c>
      <c r="BF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BG29" s="2" t="inlineStr">
        <is>
          <t>AttributeError</t>
        </is>
      </c>
      <c r="BH29" s="2" t="inlineStr">
        <is>
          <t>AttributeError: 'QuantumCircuit' object has no attribute 'compose_with_auto_ancillas'</t>
        </is>
      </c>
      <c r="BI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BJ29" s="2" t="inlineStr">
        <is>
          <t>AttributeError</t>
        </is>
      </c>
      <c r="BK29" s="2" t="inlineStr">
        <is>
          <t>AttributeError: 'QuantumCircuit' object has no attribute 'compose_with_auto_ancillas'</t>
        </is>
      </c>
      <c r="BL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BM29" s="2" t="inlineStr">
        <is>
          <t>AttributeError</t>
        </is>
      </c>
      <c r="BN29" s="2" t="inlineStr">
        <is>
          <t>AttributeError: 'QuantumCircuit' object has no attribute 'compose_with_auto_ancillas'</t>
        </is>
      </c>
      <c r="BO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BP29" s="2" t="inlineStr">
        <is>
          <t>AttributeError</t>
        </is>
      </c>
      <c r="BQ29" s="2" t="inlineStr">
        <is>
          <t>AttributeError: 'QuantumCircuit' object has no attribute 'compose_with_auto_ancillas'</t>
        </is>
      </c>
      <c r="BR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BS29" s="2" t="inlineStr">
        <is>
          <t>AttributeError</t>
        </is>
      </c>
      <c r="BT29" s="2" t="inlineStr">
        <is>
          <t>AttributeError: 'QuantumCircuit' object has no attribute 'compose_with_auto_ancillas'</t>
        </is>
      </c>
      <c r="BU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BV29" s="2" t="inlineStr">
        <is>
          <t>AttributeError</t>
        </is>
      </c>
      <c r="BW29" s="2" t="inlineStr">
        <is>
          <t>AttributeError: 'QuantumCircuit' object has no attribute 'compose_with_auto_ancillas'</t>
        </is>
      </c>
      <c r="BX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BY29" s="2" t="inlineStr">
        <is>
          <t>AttributeError</t>
        </is>
      </c>
      <c r="BZ29" s="2" t="inlineStr">
        <is>
          <t>AttributeError: 'QuantumCircuit' object has no attribute 'compose_with_auto_ancillas'</t>
        </is>
      </c>
      <c r="CA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CB29" s="2" t="inlineStr">
        <is>
          <t>AttributeError</t>
        </is>
      </c>
      <c r="CC29" s="2" t="inlineStr">
        <is>
          <t>AttributeError: 'QuantumCircuit' object has no attribute 'compose_with_auto_ancillas'</t>
        </is>
      </c>
      <c r="CD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CE29" s="2" t="inlineStr">
        <is>
          <t>AttributeError</t>
        </is>
      </c>
      <c r="CF29" s="2" t="inlineStr">
        <is>
          <t>AttributeError: 'QuantumCircuit' object has no attribute 'compose_with_auto_ancillas'</t>
        </is>
      </c>
      <c r="CG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CH29" s="2" t="inlineStr">
        <is>
          <t>AttributeError</t>
        </is>
      </c>
      <c r="CI29" s="2" t="inlineStr">
        <is>
          <t>AttributeError: 'QuantumCircuit' object has no attribute 'compose_with_auto_ancillas'</t>
        </is>
      </c>
      <c r="CJ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CK29" s="2" t="inlineStr">
        <is>
          <t>AttributeError</t>
        </is>
      </c>
      <c r="CL29" s="2" t="inlineStr">
        <is>
          <t>AttributeError: 'QuantumCircuit' object has no attribute 'compose_with_auto_ancillas'</t>
        </is>
      </c>
      <c r="CM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CN29" s="2" t="inlineStr">
        <is>
          <t>AttributeError</t>
        </is>
      </c>
      <c r="CO29" s="2" t="inlineStr">
        <is>
          <t>AttributeError: 'QuantumCircuit' object has no attribute 'compose_with_auto_ancillas'</t>
        </is>
      </c>
      <c r="CP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CQ29" s="2" t="inlineStr">
        <is>
          <t>AttributeError</t>
        </is>
      </c>
      <c r="CR29" s="2" t="inlineStr">
        <is>
          <t>AttributeError: 'QuantumCircuit' object has no attribute 'compose_with_auto_ancillas'</t>
        </is>
      </c>
      <c r="CS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CT29" s="2" t="inlineStr">
        <is>
          <t>AttributeError</t>
        </is>
      </c>
      <c r="CU29" s="2" t="inlineStr">
        <is>
          <t>AttributeError: 'QuantumCircuit' object has no attribute 'compose_with_auto_ancillas'</t>
        </is>
      </c>
      <c r="CV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CW29" s="2" t="inlineStr">
        <is>
          <t>AttributeError</t>
        </is>
      </c>
      <c r="CX29" s="2" t="inlineStr">
        <is>
          <t>AttributeError: 'QuantumCircuit' object has no attribute 'compose_with_auto_ancillas'</t>
        </is>
      </c>
      <c r="CY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CZ29" s="2" t="inlineStr">
        <is>
          <t>AttributeError</t>
        </is>
      </c>
      <c r="DA29" s="2" t="inlineStr">
        <is>
          <t>AttributeError: 'QuantumCircuit' object has no attribute 'compose_with_auto_ancillas'</t>
        </is>
      </c>
      <c r="DB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DC29" s="2" t="inlineStr">
        <is>
          <t>AttributeError</t>
        </is>
      </c>
      <c r="DD29" s="2" t="inlineStr">
        <is>
          <t>AttributeError: 'QuantumCircuit' object has no attribute 'compose_with_auto_ancillas'</t>
        </is>
      </c>
      <c r="DE29" s="2"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row>
    <row r="30">
      <c r="A30" s="2" t="inlineStr">
        <is>
          <t>issue_468</t>
        </is>
      </c>
      <c r="B30" s="6" t="inlineStr">
        <is>
          <t>Runtime error</t>
        </is>
      </c>
      <c r="C30" s="6" t="inlineStr">
        <is>
          <t>Runtime error</t>
        </is>
      </c>
      <c r="D30" s="6" t="inlineStr">
        <is>
          <t>Runtime error</t>
        </is>
      </c>
      <c r="E30" s="6" t="inlineStr">
        <is>
          <t>Runtime error</t>
        </is>
      </c>
      <c r="F30" s="3" t="inlineStr">
        <is>
          <t>NOT_TESTED</t>
        </is>
      </c>
      <c r="G30" s="3" t="inlineStr">
        <is>
          <t>NOT_TESTED</t>
        </is>
      </c>
      <c r="H30" s="3" t="inlineStr">
        <is>
          <t>NOT_TESTED</t>
        </is>
      </c>
      <c r="I30" s="3" t="inlineStr">
        <is>
          <t>NOT_TESTED</t>
        </is>
      </c>
      <c r="J30" s="3" t="inlineStr">
        <is>
          <t>NOT_TESTED</t>
        </is>
      </c>
      <c r="K30" s="3" t="inlineStr">
        <is>
          <t>NOT_TESTED</t>
        </is>
      </c>
      <c r="L30" s="3" t="inlineStr">
        <is>
          <t>NOT_TESTED</t>
        </is>
      </c>
      <c r="M30" s="3" t="inlineStr">
        <is>
          <t>NOT_TESTED</t>
        </is>
      </c>
      <c r="N30" s="3" t="inlineStr">
        <is>
          <t>NOT_TESTED</t>
        </is>
      </c>
      <c r="O30" s="3" t="inlineStr">
        <is>
          <t>NOT_TESTED</t>
        </is>
      </c>
      <c r="P30" s="3" t="inlineStr">
        <is>
          <t>NOT_TESTED</t>
        </is>
      </c>
      <c r="Q30" s="3" t="inlineStr">
        <is>
          <t>NOT_TESTED</t>
        </is>
      </c>
      <c r="R30" s="3" t="inlineStr">
        <is>
          <t>NOT_TESTED</t>
        </is>
      </c>
      <c r="S30" s="3" t="inlineStr">
        <is>
          <t>NOT_TESTED</t>
        </is>
      </c>
      <c r="T30" s="3" t="inlineStr">
        <is>
          <t>NOT_TESTED</t>
        </is>
      </c>
      <c r="U30" s="3" t="inlineStr">
        <is>
          <t>NOT_TESTED</t>
        </is>
      </c>
      <c r="V30" s="3" t="inlineStr">
        <is>
          <t>NOT_TESTED</t>
        </is>
      </c>
      <c r="W30" s="3" t="inlineStr">
        <is>
          <t>NOT_TESTED</t>
        </is>
      </c>
      <c r="X30" s="3" t="inlineStr">
        <is>
          <t>NOT_TESTED</t>
        </is>
      </c>
      <c r="Y30" s="3" t="inlineStr">
        <is>
          <t>NOT_TESTED</t>
        </is>
      </c>
      <c r="Z30" s="3" t="inlineStr">
        <is>
          <t>NOT_TESTED</t>
        </is>
      </c>
      <c r="AA30" s="3" t="inlineStr">
        <is>
          <t>NOT_TESTED</t>
        </is>
      </c>
      <c r="AB30" s="3" t="inlineStr">
        <is>
          <t>NOT_TESTED</t>
        </is>
      </c>
      <c r="AC30" s="2" t="inlineStr">
        <is>
          <t>ValueError</t>
        </is>
      </c>
      <c r="AD30" s="2" t="inlineStr">
        <is>
          <t>ValueError: Operators can only be scalar multiplied by float or complex, not Operator([[1.+0.j, 0.+0.j],</t>
        </is>
      </c>
      <c r="AE30" s="2" t="inlineStr">
        <is>
          <t>The LLM wrapped the density matrices in opflow MatrixOp before calling Aqua's legacy commutator(), which doesn't support MatrixOp (ValueError: Operators can only be scalar multiplied by float or complex). Same mistake as gpt-5.6-luna.</t>
        </is>
      </c>
      <c r="AF30" s="2" t="inlineStr">
        <is>
          <t>ValueError</t>
        </is>
      </c>
      <c r="AG30" s="2" t="inlineStr">
        <is>
          <t>ValueError: Operators can only be scalar multiplied by float or complex, not Operator([[1.+0.j, 0.+0.j],</t>
        </is>
      </c>
      <c r="AH30" s="2" t="inlineStr">
        <is>
          <t>The LLM wrapped the density matrices in opflow MatrixOp before calling Aqua's legacy commutator(), which doesn't support MatrixOp (ValueError: Operators can only be scalar multiplied by float or complex). Same mistake as gpt-5.6-luna.</t>
        </is>
      </c>
      <c r="AI30" s="2" t="inlineStr">
        <is>
          <t>ValueError</t>
        </is>
      </c>
      <c r="AJ30" s="2" t="inlineStr">
        <is>
          <t>ValueError: Operators can only be scalar multiplied by float or complex, not Operator([[1.+0.j, 0.+0.j],</t>
        </is>
      </c>
      <c r="AK30" s="2" t="inlineStr">
        <is>
          <t>The LLM wrapped the density matrices in opflow MatrixOp before calling Aqua's legacy commutator(), which doesn't support MatrixOp (ValueError: Operators can only be scalar multiplied by float or complex). Same mistake as gpt-5.6-luna.</t>
        </is>
      </c>
      <c r="AL30" s="2" t="inlineStr">
        <is>
          <t>ValueError</t>
        </is>
      </c>
      <c r="AM30" s="2" t="inlineStr">
        <is>
          <t>ValueError: Operators can only be scalar multiplied by float or complex, not Operator([[1.+0.j, 0.+0.j],</t>
        </is>
      </c>
      <c r="AN30" s="2" t="inlineStr">
        <is>
          <t>The LLM wrapped the density matrices in opflow MatrixOp before calling Aqua's legacy commutator(), which doesn't support MatrixOp (ValueError: Operators can only be scalar multiplied by float or complex). Same mistake as gpt-5.6-luna.</t>
        </is>
      </c>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2" t="n"/>
      <c r="CO30" s="2" t="n"/>
      <c r="CP30" s="2" t="n"/>
      <c r="CQ30" s="2" t="n"/>
      <c r="CR30" s="2" t="n"/>
      <c r="CS30" s="2" t="n"/>
      <c r="CT30" s="2" t="n"/>
      <c r="CU30" s="2" t="n"/>
      <c r="CV30" s="2" t="n"/>
      <c r="CW30" s="2" t="n"/>
      <c r="CX30" s="2" t="n"/>
      <c r="CY30" s="2" t="n"/>
      <c r="CZ30" s="2" t="n"/>
      <c r="DA30" s="2" t="n"/>
      <c r="DB30" s="2" t="n"/>
      <c r="DC30" s="2" t="n"/>
      <c r="DD30" s="2" t="n"/>
      <c r="DE30" s="2" t="n"/>
    </row>
    <row r="31">
      <c r="A31" s="2" t="inlineStr">
        <is>
          <t>issue_497</t>
        </is>
      </c>
      <c r="B31" s="5" t="inlineStr">
        <is>
          <t>Failed on test</t>
        </is>
      </c>
      <c r="C31" s="5" t="inlineStr">
        <is>
          <t>Failed on test</t>
        </is>
      </c>
      <c r="D31" s="5" t="inlineStr">
        <is>
          <t>Failed on test</t>
        </is>
      </c>
      <c r="E31" s="5" t="inlineStr">
        <is>
          <t>Failed on test</t>
        </is>
      </c>
      <c r="F31" s="3" t="inlineStr">
        <is>
          <t>NOT_TESTED</t>
        </is>
      </c>
      <c r="G31" s="3" t="inlineStr">
        <is>
          <t>NOT_TESTED</t>
        </is>
      </c>
      <c r="H31" s="3" t="inlineStr">
        <is>
          <t>NOT_TESTED</t>
        </is>
      </c>
      <c r="I31" s="3" t="inlineStr">
        <is>
          <t>NOT_TESTED</t>
        </is>
      </c>
      <c r="J31" s="3" t="inlineStr">
        <is>
          <t>NOT_TESTED</t>
        </is>
      </c>
      <c r="K31" s="3" t="inlineStr">
        <is>
          <t>NOT_TESTED</t>
        </is>
      </c>
      <c r="L31" s="3" t="inlineStr">
        <is>
          <t>NOT_TESTED</t>
        </is>
      </c>
      <c r="M31" s="3" t="inlineStr">
        <is>
          <t>NOT_TESTED</t>
        </is>
      </c>
      <c r="N31" s="3" t="inlineStr">
        <is>
          <t>NOT_TESTED</t>
        </is>
      </c>
      <c r="O31" s="3" t="inlineStr">
        <is>
          <t>NOT_TESTED</t>
        </is>
      </c>
      <c r="P31" s="3" t="inlineStr">
        <is>
          <t>NOT_TESTED</t>
        </is>
      </c>
      <c r="Q31" s="3" t="inlineStr">
        <is>
          <t>NOT_TESTED</t>
        </is>
      </c>
      <c r="R31" s="3" t="inlineStr">
        <is>
          <t>NOT_TESTED</t>
        </is>
      </c>
      <c r="S31" s="3" t="inlineStr">
        <is>
          <t>NOT_TESTED</t>
        </is>
      </c>
      <c r="T31" s="3" t="inlineStr">
        <is>
          <t>NOT_TESTED</t>
        </is>
      </c>
      <c r="U31" s="3" t="inlineStr">
        <is>
          <t>NOT_TESTED</t>
        </is>
      </c>
      <c r="V31" s="3" t="inlineStr">
        <is>
          <t>NOT_TESTED</t>
        </is>
      </c>
      <c r="W31" s="3" t="inlineStr">
        <is>
          <t>NOT_TESTED</t>
        </is>
      </c>
      <c r="X31" s="3" t="inlineStr">
        <is>
          <t>NOT_TESTED</t>
        </is>
      </c>
      <c r="Y31" s="3" t="inlineStr">
        <is>
          <t>NOT_TESTED</t>
        </is>
      </c>
      <c r="Z31" s="3" t="inlineStr">
        <is>
          <t>NOT_TESTED</t>
        </is>
      </c>
      <c r="AA31" s="3" t="inlineStr">
        <is>
          <t>NOT_TESTED</t>
        </is>
      </c>
      <c r="AB31" s="3" t="inlineStr">
        <is>
          <t>NOT_TESTED</t>
        </is>
      </c>
      <c r="AC31" s="2" t="inlineStr">
        <is>
          <t>AssertionError</t>
        </is>
      </c>
      <c r="AD31" s="2" t="inlineStr">
        <is>
          <t>AssertionError: 2 != 1 : The local expectation batch should use one backend submission</t>
        </is>
      </c>
      <c r="AE31" s="2" t="inlineStr">
        <is>
          <t>The LLM fixed the register sizes (1 qubit to match the state) and removed the undefined IBMQJobManager() call, but still evaluated the two expectation values separately, so the test sees two backend submissions instead of one batched job.</t>
        </is>
      </c>
      <c r="AF31" s="2" t="inlineStr">
        <is>
          <t>AssertionError</t>
        </is>
      </c>
      <c r="AG31" s="2" t="inlineStr">
        <is>
          <t>AssertionError: 2 != 1 : The local expectation batch should use one backend submission</t>
        </is>
      </c>
      <c r="AH31" s="2" t="inlineStr">
        <is>
          <t>The LLM fixed the register sizes (1 qubit to match the state) and removed the undefined IBMQJobManager() call, but still evaluated the two expectation values separately, so the test sees two backend submissions instead of one batched job.</t>
        </is>
      </c>
      <c r="AI31" s="2" t="inlineStr">
        <is>
          <t>AssertionError</t>
        </is>
      </c>
      <c r="AJ31" s="2" t="inlineStr">
        <is>
          <t>AssertionError: 2 != 1 : The local expectation batch should use one backend submission</t>
        </is>
      </c>
      <c r="AK31" s="2" t="inlineStr">
        <is>
          <t>The LLM fixed the register sizes (1 qubit to match the state) and removed the undefined IBMQJobManager() call, but still evaluated the two expectation values separately, so the test sees two backend submissions instead of one batched job.</t>
        </is>
      </c>
      <c r="AL31" s="2" t="inlineStr">
        <is>
          <t>AssertionError</t>
        </is>
      </c>
      <c r="AM31" s="2" t="inlineStr">
        <is>
          <t>AssertionError: 2 != 1 : The local expectation batch should use one backend submission</t>
        </is>
      </c>
      <c r="AN31" s="2" t="inlineStr">
        <is>
          <t>The LLM fixed the register sizes (1 qubit to match the state) and removed the undefined IBMQJobManager() call, but still evaluated the two expectation values separately, so the test sees two backend submissions instead of one batched job.</t>
        </is>
      </c>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2" t="n"/>
      <c r="CO31" s="2" t="n"/>
      <c r="CP31" s="2" t="n"/>
      <c r="CQ31" s="2" t="n"/>
      <c r="CR31" s="2" t="n"/>
      <c r="CS31" s="2" t="n"/>
      <c r="CT31" s="2" t="n"/>
      <c r="CU31" s="2" t="n"/>
      <c r="CV31" s="2" t="n"/>
      <c r="CW31" s="2" t="n"/>
      <c r="CX31" s="2" t="n"/>
      <c r="CY31" s="2" t="n"/>
      <c r="CZ31" s="2" t="n"/>
      <c r="DA31" s="2" t="n"/>
      <c r="DB31" s="2" t="n"/>
      <c r="DC31" s="2" t="n"/>
      <c r="DD31" s="2" t="n"/>
      <c r="DE31" s="2" t="n"/>
    </row>
    <row r="32">
      <c r="A32" s="2" t="inlineStr">
        <is>
          <t>issue_504</t>
        </is>
      </c>
      <c r="B32" s="3" t="inlineStr">
        <is>
          <t>NOT_TESTED</t>
        </is>
      </c>
      <c r="C32" s="3" t="inlineStr">
        <is>
          <t>NOT_TESTED</t>
        </is>
      </c>
      <c r="D32" s="3" t="inlineStr">
        <is>
          <t>NOT_TESTED</t>
        </is>
      </c>
      <c r="E32" s="3" t="inlineStr">
        <is>
          <t>NOT_TESTED</t>
        </is>
      </c>
      <c r="F32" s="4" t="inlineStr">
        <is>
          <t>Passed on test</t>
        </is>
      </c>
      <c r="G32" s="4" t="inlineStr">
        <is>
          <t>Passed on test</t>
        </is>
      </c>
      <c r="H32" s="4" t="inlineStr">
        <is>
          <t>Passed on test</t>
        </is>
      </c>
      <c r="I32" s="4" t="inlineStr">
        <is>
          <t>Passed on test</t>
        </is>
      </c>
      <c r="J32" s="4" t="inlineStr">
        <is>
          <t>Passed on test</t>
        </is>
      </c>
      <c r="K32" s="4" t="inlineStr">
        <is>
          <t>Passed on test</t>
        </is>
      </c>
      <c r="L32" s="4" t="inlineStr">
        <is>
          <t>Passed on test</t>
        </is>
      </c>
      <c r="M32" s="4" t="inlineStr">
        <is>
          <t>Passed on test</t>
        </is>
      </c>
      <c r="N32" s="4" t="inlineStr">
        <is>
          <t>Passed on test</t>
        </is>
      </c>
      <c r="O32" s="4" t="inlineStr">
        <is>
          <t>Passed on test</t>
        </is>
      </c>
      <c r="P32" s="4" t="inlineStr">
        <is>
          <t>Passed on test</t>
        </is>
      </c>
      <c r="Q32" s="4" t="inlineStr">
        <is>
          <t>Passed on test</t>
        </is>
      </c>
      <c r="R32" s="4" t="inlineStr">
        <is>
          <t>Passed on test</t>
        </is>
      </c>
      <c r="S32" s="4" t="inlineStr">
        <is>
          <t>Passed on test</t>
        </is>
      </c>
      <c r="T32" s="4" t="inlineStr">
        <is>
          <t>Passed on test</t>
        </is>
      </c>
      <c r="U32" s="4" t="inlineStr">
        <is>
          <t>Passed on test</t>
        </is>
      </c>
      <c r="V32" s="4" t="inlineStr">
        <is>
          <t>Passed on test</t>
        </is>
      </c>
      <c r="W32" s="4" t="inlineStr">
        <is>
          <t>Passed on test</t>
        </is>
      </c>
      <c r="X32" s="4" t="inlineStr">
        <is>
          <t>Passed on test</t>
        </is>
      </c>
      <c r="Y32" s="4" t="inlineStr">
        <is>
          <t>Passed on test</t>
        </is>
      </c>
      <c r="Z32" s="4" t="inlineStr">
        <is>
          <t>Passed on test</t>
        </is>
      </c>
      <c r="AA32" s="4" t="inlineStr">
        <is>
          <t>Passed on test</t>
        </is>
      </c>
      <c r="AB32" s="4" t="inlineStr">
        <is>
          <t>Passed on test</t>
        </is>
      </c>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2" t="n"/>
      <c r="CS32" s="2" t="n"/>
      <c r="CT32" s="2" t="n"/>
      <c r="CU32" s="2" t="n"/>
      <c r="CV32" s="2" t="n"/>
      <c r="CW32" s="2" t="n"/>
      <c r="CX32" s="2" t="n"/>
      <c r="CY32" s="2" t="n"/>
      <c r="CZ32" s="2" t="n"/>
      <c r="DA32" s="2" t="n"/>
      <c r="DB32" s="2" t="n"/>
      <c r="DC32" s="2" t="n"/>
      <c r="DD32" s="2" t="n"/>
      <c r="DE32" s="2" t="n"/>
    </row>
    <row r="33">
      <c r="A33" s="2" t="inlineStr">
        <is>
          <t>issue_505</t>
        </is>
      </c>
      <c r="B33" s="3" t="inlineStr">
        <is>
          <t>NOT_TESTED</t>
        </is>
      </c>
      <c r="C33" s="3" t="inlineStr">
        <is>
          <t>NOT_TESTED</t>
        </is>
      </c>
      <c r="D33" s="3" t="inlineStr">
        <is>
          <t>NOT_TESTED</t>
        </is>
      </c>
      <c r="E33" s="3" t="inlineStr">
        <is>
          <t>NOT_TESTED</t>
        </is>
      </c>
      <c r="F33" s="4" t="inlineStr">
        <is>
          <t>Passed on test</t>
        </is>
      </c>
      <c r="G33" s="4" t="inlineStr">
        <is>
          <t>Passed on test</t>
        </is>
      </c>
      <c r="H33" s="4" t="inlineStr">
        <is>
          <t>Passed on test</t>
        </is>
      </c>
      <c r="I33" s="4" t="inlineStr">
        <is>
          <t>Passed on test</t>
        </is>
      </c>
      <c r="J33" s="4" t="inlineStr">
        <is>
          <t>Passed on test</t>
        </is>
      </c>
      <c r="K33" s="4" t="inlineStr">
        <is>
          <t>Passed on test</t>
        </is>
      </c>
      <c r="L33" s="4" t="inlineStr">
        <is>
          <t>Passed on test</t>
        </is>
      </c>
      <c r="M33" s="4" t="inlineStr">
        <is>
          <t>Passed on test</t>
        </is>
      </c>
      <c r="N33" s="3" t="inlineStr">
        <is>
          <t>NOT_TESTED</t>
        </is>
      </c>
      <c r="O33" s="3" t="inlineStr">
        <is>
          <t>NOT_TESTED</t>
        </is>
      </c>
      <c r="P33" s="3" t="inlineStr">
        <is>
          <t>NOT_TESTED</t>
        </is>
      </c>
      <c r="Q33" s="3" t="inlineStr">
        <is>
          <t>NOT_TESTED</t>
        </is>
      </c>
      <c r="R33" s="3" t="inlineStr">
        <is>
          <t>NOT_TESTED</t>
        </is>
      </c>
      <c r="S33" s="3" t="inlineStr">
        <is>
          <t>NOT_TESTED</t>
        </is>
      </c>
      <c r="T33" s="3" t="inlineStr">
        <is>
          <t>NOT_TESTED</t>
        </is>
      </c>
      <c r="U33" s="3" t="inlineStr">
        <is>
          <t>NOT_TESTED</t>
        </is>
      </c>
      <c r="V33" s="3" t="inlineStr">
        <is>
          <t>NOT_TESTED</t>
        </is>
      </c>
      <c r="W33" s="3" t="inlineStr">
        <is>
          <t>NOT_TESTED</t>
        </is>
      </c>
      <c r="X33" s="3" t="inlineStr">
        <is>
          <t>NOT_TESTED</t>
        </is>
      </c>
      <c r="Y33" s="3" t="inlineStr">
        <is>
          <t>NOT_TESTED</t>
        </is>
      </c>
      <c r="Z33" s="3" t="inlineStr">
        <is>
          <t>NOT_TESTED</t>
        </is>
      </c>
      <c r="AA33" s="3" t="inlineStr">
        <is>
          <t>NOT_TESTED</t>
        </is>
      </c>
      <c r="AB33" s="3" t="inlineStr">
        <is>
          <t>NOT_TESTED</t>
        </is>
      </c>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row>
    <row r="34">
      <c r="A34" s="2" t="inlineStr">
        <is>
          <t>issue_565</t>
        </is>
      </c>
      <c r="B34" s="6" t="inlineStr">
        <is>
          <t>Runtime error</t>
        </is>
      </c>
      <c r="C34" s="6" t="inlineStr">
        <is>
          <t>Runtime error</t>
        </is>
      </c>
      <c r="D34" s="6" t="inlineStr">
        <is>
          <t>Runtime error</t>
        </is>
      </c>
      <c r="E34" s="6" t="inlineStr">
        <is>
          <t>Runtime error</t>
        </is>
      </c>
      <c r="F34" s="3" t="inlineStr">
        <is>
          <t>NOT_TESTED</t>
        </is>
      </c>
      <c r="G34" s="3" t="inlineStr">
        <is>
          <t>NOT_TESTED</t>
        </is>
      </c>
      <c r="H34" s="3" t="inlineStr">
        <is>
          <t>NOT_TESTED</t>
        </is>
      </c>
      <c r="I34" s="3" t="inlineStr">
        <is>
          <t>NOT_TESTED</t>
        </is>
      </c>
      <c r="J34" s="3" t="inlineStr">
        <is>
          <t>NOT_TESTED</t>
        </is>
      </c>
      <c r="K34" s="3" t="inlineStr">
        <is>
          <t>NOT_TESTED</t>
        </is>
      </c>
      <c r="L34" s="3" t="inlineStr">
        <is>
          <t>NOT_TESTED</t>
        </is>
      </c>
      <c r="M34" s="3" t="inlineStr">
        <is>
          <t>NOT_TESTED</t>
        </is>
      </c>
      <c r="N34" s="3" t="inlineStr">
        <is>
          <t>NOT_TESTED</t>
        </is>
      </c>
      <c r="O34" s="3" t="inlineStr">
        <is>
          <t>NOT_TESTED</t>
        </is>
      </c>
      <c r="P34" s="3" t="inlineStr">
        <is>
          <t>NOT_TESTED</t>
        </is>
      </c>
      <c r="Q34" s="3" t="inlineStr">
        <is>
          <t>NOT_TESTED</t>
        </is>
      </c>
      <c r="R34" s="3" t="inlineStr">
        <is>
          <t>NOT_TESTED</t>
        </is>
      </c>
      <c r="S34" s="3" t="inlineStr">
        <is>
          <t>NOT_TESTED</t>
        </is>
      </c>
      <c r="T34" s="3" t="inlineStr">
        <is>
          <t>NOT_TESTED</t>
        </is>
      </c>
      <c r="U34" s="3" t="inlineStr">
        <is>
          <t>NOT_TESTED</t>
        </is>
      </c>
      <c r="V34" s="3" t="inlineStr">
        <is>
          <t>NOT_TESTED</t>
        </is>
      </c>
      <c r="W34" s="3" t="inlineStr">
        <is>
          <t>NOT_TESTED</t>
        </is>
      </c>
      <c r="X34" s="3" t="inlineStr">
        <is>
          <t>NOT_TESTED</t>
        </is>
      </c>
      <c r="Y34" s="3" t="inlineStr">
        <is>
          <t>NOT_TESTED</t>
        </is>
      </c>
      <c r="Z34" s="3" t="inlineStr">
        <is>
          <t>NOT_TESTED</t>
        </is>
      </c>
      <c r="AA34" s="3" t="inlineStr">
        <is>
          <t>NOT_TESTED</t>
        </is>
      </c>
      <c r="AB34" s="3" t="inlineStr">
        <is>
          <t>NOT_TESTED</t>
        </is>
      </c>
      <c r="AC34" s="2" t="inlineStr">
        <is>
          <t>ValueError</t>
        </is>
      </c>
      <c r="AD34" s="2" t="inlineStr">
        <is>
          <t>ValueError: Operators can only be scalar multiplied by float or complex, not SummedOp([</t>
        </is>
      </c>
      <c r="AE34" s="2" t="inlineStr">
        <is>
          <t>The LLM switched the mixer terms to Aqua's PauliOp, but the code still combines them with *, which Aqua treats as scalar multiplication (ValueError: Operators can only be scalar multiplied by float or complex, not SummedOp). Same problem as gpt-5.6-luna.</t>
        </is>
      </c>
      <c r="AF34" s="2" t="inlineStr">
        <is>
          <t>ValueError</t>
        </is>
      </c>
      <c r="AG34" s="2" t="inlineStr">
        <is>
          <t>ValueError: Operators can only be scalar multiplied by float or complex, not SummedOp([</t>
        </is>
      </c>
      <c r="AH34" s="2" t="inlineStr">
        <is>
          <t>The LLM switched the mixer terms to Aqua's PauliOp, but the code still combines them with *, which Aqua treats as scalar multiplication (ValueError: Operators can only be scalar multiplied by float or complex, not SummedOp). Same problem as gpt-5.6-luna.</t>
        </is>
      </c>
      <c r="AI34" s="2" t="inlineStr">
        <is>
          <t>ValueError</t>
        </is>
      </c>
      <c r="AJ34" s="2" t="inlineStr">
        <is>
          <t>ValueError: Operators can only be scalar multiplied by float or complex, not SummedOp([</t>
        </is>
      </c>
      <c r="AK34" s="2" t="inlineStr">
        <is>
          <t>The LLM switched the mixer terms to Aqua's PauliOp, but the code still combines them with *, which Aqua treats as scalar multiplication (ValueError: Operators can only be scalar multiplied by float or complex, not SummedOp). Same problem as gpt-5.6-luna.</t>
        </is>
      </c>
      <c r="AL34" s="2" t="inlineStr">
        <is>
          <t>ValueError</t>
        </is>
      </c>
      <c r="AM34" s="2" t="inlineStr">
        <is>
          <t>ValueError: Operators can only be scalar multiplied by float or complex, not SummedOp([</t>
        </is>
      </c>
      <c r="AN34" s="2" t="inlineStr">
        <is>
          <t>The LLM switched the mixer terms to Aqua's PauliOp, but the code still combines them with *, which Aqua treats as scalar multiplication (ValueError: Operators can only be scalar multiplied by float or complex, not SummedOp). Same problem as gpt-5.6-luna.</t>
        </is>
      </c>
      <c r="AO34" s="2" t="n"/>
      <c r="AP34" s="2" t="n"/>
      <c r="AQ34" s="2" t="n"/>
      <c r="AR34" s="2" t="n"/>
      <c r="AS34" s="2" t="n"/>
      <c r="AT34" s="2" t="n"/>
      <c r="AU34" s="2" t="n"/>
      <c r="AV34" s="2"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2" t="n"/>
      <c r="CS34" s="2" t="n"/>
      <c r="CT34" s="2" t="n"/>
      <c r="CU34" s="2" t="n"/>
      <c r="CV34" s="2" t="n"/>
      <c r="CW34" s="2" t="n"/>
      <c r="CX34" s="2" t="n"/>
      <c r="CY34" s="2" t="n"/>
      <c r="CZ34" s="2" t="n"/>
      <c r="DA34" s="2" t="n"/>
      <c r="DB34" s="2" t="n"/>
      <c r="DC34" s="2" t="n"/>
      <c r="DD34" s="2" t="n"/>
      <c r="DE34" s="2" t="n"/>
    </row>
    <row r="35">
      <c r="A35" s="2" t="inlineStr">
        <is>
          <t>issue_595</t>
        </is>
      </c>
      <c r="B35" s="3" t="inlineStr">
        <is>
          <t>NOT_TESTED</t>
        </is>
      </c>
      <c r="C35" s="3" t="inlineStr">
        <is>
          <t>NOT_TESTED</t>
        </is>
      </c>
      <c r="D35" s="3" t="inlineStr">
        <is>
          <t>NOT_TESTED</t>
        </is>
      </c>
      <c r="E35" s="3" t="inlineStr">
        <is>
          <t>NOT_TESTED</t>
        </is>
      </c>
      <c r="F35" s="4" t="inlineStr">
        <is>
          <t>Passed on test</t>
        </is>
      </c>
      <c r="G35" s="4" t="inlineStr">
        <is>
          <t>Passed on test</t>
        </is>
      </c>
      <c r="H35" s="4" t="inlineStr">
        <is>
          <t>Passed on test</t>
        </is>
      </c>
      <c r="I35" s="4" t="inlineStr">
        <is>
          <t>Passed on test</t>
        </is>
      </c>
      <c r="J35" s="4" t="inlineStr">
        <is>
          <t>Passed on test</t>
        </is>
      </c>
      <c r="K35" s="4" t="inlineStr">
        <is>
          <t>Passed on test</t>
        </is>
      </c>
      <c r="L35" s="4" t="inlineStr">
        <is>
          <t>Passed on test</t>
        </is>
      </c>
      <c r="M35" s="4" t="inlineStr">
        <is>
          <t>Passed on test</t>
        </is>
      </c>
      <c r="N35" s="4" t="inlineStr">
        <is>
          <t>Passed on test</t>
        </is>
      </c>
      <c r="O35" s="4" t="inlineStr">
        <is>
          <t>Passed on test</t>
        </is>
      </c>
      <c r="P35" s="4" t="inlineStr">
        <is>
          <t>Passed on test</t>
        </is>
      </c>
      <c r="Q35" s="4" t="inlineStr">
        <is>
          <t>Passed on test</t>
        </is>
      </c>
      <c r="R35" s="4" t="inlineStr">
        <is>
          <t>Passed on test</t>
        </is>
      </c>
      <c r="S35" s="4" t="inlineStr">
        <is>
          <t>Passed on test</t>
        </is>
      </c>
      <c r="T35" s="4" t="inlineStr">
        <is>
          <t>Passed on test</t>
        </is>
      </c>
      <c r="U35" s="4" t="inlineStr">
        <is>
          <t>Passed on test</t>
        </is>
      </c>
      <c r="V35" s="4" t="inlineStr">
        <is>
          <t>Passed on test</t>
        </is>
      </c>
      <c r="W35" s="4" t="inlineStr">
        <is>
          <t>Passed on test</t>
        </is>
      </c>
      <c r="X35" s="4" t="inlineStr">
        <is>
          <t>Passed on test</t>
        </is>
      </c>
      <c r="Y35" s="4" t="inlineStr">
        <is>
          <t>Passed on test</t>
        </is>
      </c>
      <c r="Z35" s="4" t="inlineStr">
        <is>
          <t>Passed on test</t>
        </is>
      </c>
      <c r="AA35" s="4" t="inlineStr">
        <is>
          <t>Passed on test</t>
        </is>
      </c>
      <c r="AB35" s="4" t="inlineStr">
        <is>
          <t>Passed on test</t>
        </is>
      </c>
      <c r="AC35" s="2" t="n"/>
      <c r="AD35" s="2" t="n"/>
      <c r="AE35" s="2" t="n"/>
      <c r="AF35" s="2" t="n"/>
      <c r="AG35" s="2" t="n"/>
      <c r="AH35" s="2" t="n"/>
      <c r="AI35" s="2" t="n"/>
      <c r="AJ35" s="2" t="n"/>
      <c r="AK35" s="2" t="n"/>
      <c r="AL35" s="2" t="n"/>
      <c r="AM35" s="2" t="n"/>
      <c r="AN35" s="2" t="n"/>
      <c r="AO35" s="2" t="n"/>
      <c r="AP35" s="2" t="n"/>
      <c r="AQ35" s="2" t="n"/>
      <c r="AR35" s="2" t="n"/>
      <c r="AS35" s="2" t="n"/>
      <c r="AT35" s="2" t="n"/>
      <c r="AU35" s="2" t="n"/>
      <c r="AV35" s="2"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2" t="n"/>
      <c r="CS35" s="2" t="n"/>
      <c r="CT35" s="2" t="n"/>
      <c r="CU35" s="2" t="n"/>
      <c r="CV35" s="2" t="n"/>
      <c r="CW35" s="2" t="n"/>
      <c r="CX35" s="2" t="n"/>
      <c r="CY35" s="2" t="n"/>
      <c r="CZ35" s="2" t="n"/>
      <c r="DA35" s="2" t="n"/>
      <c r="DB35" s="2" t="n"/>
      <c r="DC35" s="2" t="n"/>
      <c r="DD35" s="2" t="n"/>
      <c r="DE35" s="2" t="n"/>
    </row>
    <row r="36">
      <c r="A36" s="2" t="inlineStr">
        <is>
          <t>issue_596</t>
        </is>
      </c>
      <c r="B36" s="4" t="inlineStr">
        <is>
          <t>Passed on test</t>
        </is>
      </c>
      <c r="C36" s="4" t="inlineStr">
        <is>
          <t>Passed on test</t>
        </is>
      </c>
      <c r="D36" s="4" t="inlineStr">
        <is>
          <t>Passed on test</t>
        </is>
      </c>
      <c r="E36" s="4" t="inlineStr">
        <is>
          <t>Passed on test</t>
        </is>
      </c>
      <c r="F36" s="4" t="inlineStr">
        <is>
          <t>Passed on test</t>
        </is>
      </c>
      <c r="G36" s="4" t="inlineStr">
        <is>
          <t>Passed on test</t>
        </is>
      </c>
      <c r="H36" s="4" t="inlineStr">
        <is>
          <t>Passed on test</t>
        </is>
      </c>
      <c r="I36" s="4" t="inlineStr">
        <is>
          <t>Passed on test</t>
        </is>
      </c>
      <c r="J36" s="4" t="inlineStr">
        <is>
          <t>Passed on test</t>
        </is>
      </c>
      <c r="K36" s="4" t="inlineStr">
        <is>
          <t>Passed on test</t>
        </is>
      </c>
      <c r="L36" s="4" t="inlineStr">
        <is>
          <t>Passed on test</t>
        </is>
      </c>
      <c r="M36" s="4" t="inlineStr">
        <is>
          <t>Passed on test</t>
        </is>
      </c>
      <c r="N36" s="3" t="inlineStr">
        <is>
          <t>NOT_TESTED</t>
        </is>
      </c>
      <c r="O36" s="3" t="inlineStr">
        <is>
          <t>NOT_TESTED</t>
        </is>
      </c>
      <c r="P36" s="3" t="inlineStr">
        <is>
          <t>NOT_TESTED</t>
        </is>
      </c>
      <c r="Q36" s="3" t="inlineStr">
        <is>
          <t>NOT_TESTED</t>
        </is>
      </c>
      <c r="R36" s="3" t="inlineStr">
        <is>
          <t>NOT_TESTED</t>
        </is>
      </c>
      <c r="S36" s="3" t="inlineStr">
        <is>
          <t>NOT_TESTED</t>
        </is>
      </c>
      <c r="T36" s="3" t="inlineStr">
        <is>
          <t>NOT_TESTED</t>
        </is>
      </c>
      <c r="U36" s="3" t="inlineStr">
        <is>
          <t>NOT_TESTED</t>
        </is>
      </c>
      <c r="V36" s="3" t="inlineStr">
        <is>
          <t>NOT_TESTED</t>
        </is>
      </c>
      <c r="W36" s="3" t="inlineStr">
        <is>
          <t>NOT_TESTED</t>
        </is>
      </c>
      <c r="X36" s="3" t="inlineStr">
        <is>
          <t>NOT_TESTED</t>
        </is>
      </c>
      <c r="Y36" s="3" t="inlineStr">
        <is>
          <t>NOT_TESTED</t>
        </is>
      </c>
      <c r="Z36" s="3" t="inlineStr">
        <is>
          <t>NOT_TESTED</t>
        </is>
      </c>
      <c r="AA36" s="3" t="inlineStr">
        <is>
          <t>NOT_TESTED</t>
        </is>
      </c>
      <c r="AB36" s="3" t="inlineStr">
        <is>
          <t>NOT_TESTED</t>
        </is>
      </c>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2" t="n"/>
      <c r="CV36" s="2" t="n"/>
      <c r="CW36" s="2" t="n"/>
      <c r="CX36" s="2" t="n"/>
      <c r="CY36" s="2" t="n"/>
      <c r="CZ36" s="2" t="n"/>
      <c r="DA36" s="2" t="n"/>
      <c r="DB36" s="2" t="n"/>
      <c r="DC36" s="2" t="n"/>
      <c r="DD36" s="2" t="n"/>
      <c r="DE36" s="2" t="n"/>
    </row>
    <row r="37">
      <c r="A37" s="2" t="inlineStr">
        <is>
          <t>issue_600</t>
        </is>
      </c>
      <c r="B37" s="6" t="inlineStr">
        <is>
          <t>Runtime error</t>
        </is>
      </c>
      <c r="C37" s="6" t="inlineStr">
        <is>
          <t>Runtime error</t>
        </is>
      </c>
      <c r="D37" s="6" t="inlineStr">
        <is>
          <t>Runtime error</t>
        </is>
      </c>
      <c r="E37" s="6" t="inlineStr">
        <is>
          <t>Runtime error</t>
        </is>
      </c>
      <c r="F37" s="4" t="inlineStr">
        <is>
          <t>Passed on test</t>
        </is>
      </c>
      <c r="G37" s="4" t="inlineStr">
        <is>
          <t>Passed on test</t>
        </is>
      </c>
      <c r="H37" s="4" t="inlineStr">
        <is>
          <t>Passed on test</t>
        </is>
      </c>
      <c r="I37" s="4" t="inlineStr">
        <is>
          <t>Passed on test</t>
        </is>
      </c>
      <c r="J37" s="4" t="inlineStr">
        <is>
          <t>Passed on test</t>
        </is>
      </c>
      <c r="K37" s="4" t="inlineStr">
        <is>
          <t>Passed on test</t>
        </is>
      </c>
      <c r="L37" s="4" t="inlineStr">
        <is>
          <t>Passed on test</t>
        </is>
      </c>
      <c r="M37" s="4" t="inlineStr">
        <is>
          <t>Passed on test</t>
        </is>
      </c>
      <c r="N37" s="3" t="inlineStr">
        <is>
          <t>NOT_TESTED</t>
        </is>
      </c>
      <c r="O37" s="3" t="inlineStr">
        <is>
          <t>NOT_TESTED</t>
        </is>
      </c>
      <c r="P37" s="3" t="inlineStr">
        <is>
          <t>NOT_TESTED</t>
        </is>
      </c>
      <c r="Q37" s="3" t="inlineStr">
        <is>
          <t>NOT_TESTED</t>
        </is>
      </c>
      <c r="R37" s="3" t="inlineStr">
        <is>
          <t>NOT_TESTED</t>
        </is>
      </c>
      <c r="S37" s="3" t="inlineStr">
        <is>
          <t>NOT_TESTED</t>
        </is>
      </c>
      <c r="T37" s="3" t="inlineStr">
        <is>
          <t>NOT_TESTED</t>
        </is>
      </c>
      <c r="U37" s="3" t="inlineStr">
        <is>
          <t>NOT_TESTED</t>
        </is>
      </c>
      <c r="V37" s="3" t="inlineStr">
        <is>
          <t>NOT_TESTED</t>
        </is>
      </c>
      <c r="W37" s="3" t="inlineStr">
        <is>
          <t>NOT_TESTED</t>
        </is>
      </c>
      <c r="X37" s="3" t="inlineStr">
        <is>
          <t>NOT_TESTED</t>
        </is>
      </c>
      <c r="Y37" s="3" t="inlineStr">
        <is>
          <t>NOT_TESTED</t>
        </is>
      </c>
      <c r="Z37" s="3" t="inlineStr">
        <is>
          <t>NOT_TESTED</t>
        </is>
      </c>
      <c r="AA37" s="3" t="inlineStr">
        <is>
          <t>NOT_TESTED</t>
        </is>
      </c>
      <c r="AB37" s="3" t="inlineStr">
        <is>
          <t>NOT_TESTED</t>
        </is>
      </c>
      <c r="AC37" s="2" t="inlineStr">
        <is>
          <t>ImportError</t>
        </is>
      </c>
      <c r="AD37" s="2" t="inlineStr">
        <is>
          <t>ImportError: cannot import name 'PauliGate' from 'qiskit.circuit.library' (C:\qiskit_envs\q0250\lib\site-packages\qiskit\circuit\library\__init__.py)</t>
        </is>
      </c>
      <c r="AE37" s="2" t="inlineStr">
        <is>
          <t>Error on 0.25.x, passed on 0.45.x / 0.46.x: the LLM replaced PauliGate(...).power(param) with RXXGate / RYYGate / RZZGate(pi * param), which is correct up to a global phase, but kept the PauliGate import, which doesn't exist in Qiskit 0.25 (ImportError). Same outcome as gpt-5.6-luna.</t>
        </is>
      </c>
      <c r="AF37" s="2" t="inlineStr">
        <is>
          <t>ImportError</t>
        </is>
      </c>
      <c r="AG37" s="2" t="inlineStr">
        <is>
          <t>ImportError: cannot import name 'PauliGate' from 'qiskit.circuit.library' (C:\qiskit_envs\q0251\lib\site-packages\qiskit\circuit\library\__init__.py)</t>
        </is>
      </c>
      <c r="AH37" s="2" t="inlineStr">
        <is>
          <t>Error on 0.25.x, passed on 0.45.x / 0.46.x: the LLM replaced PauliGate(...).power(param) with RXXGate / RYYGate / RZZGate(pi * param), which is correct up to a global phase, but kept the PauliGate import, which doesn't exist in Qiskit 0.25 (ImportError). Same outcome as gpt-5.6-luna.</t>
        </is>
      </c>
      <c r="AI37" s="2" t="inlineStr">
        <is>
          <t>ImportError</t>
        </is>
      </c>
      <c r="AJ37" s="2" t="inlineStr">
        <is>
          <t>ImportError: cannot import name 'PauliGate' from 'qiskit.circuit.library' (C:\qiskit_envs\q0252\lib\site-packages\qiskit\circuit\library\__init__.py)</t>
        </is>
      </c>
      <c r="AK37" s="2" t="inlineStr">
        <is>
          <t>Error on 0.25.x, passed on 0.45.x / 0.46.x: the LLM replaced PauliGate(...).power(param) with RXXGate / RYYGate / RZZGate(pi * param), which is correct up to a global phase, but kept the PauliGate import, which doesn't exist in Qiskit 0.25 (ImportError). Same outcome as gpt-5.6-luna.</t>
        </is>
      </c>
      <c r="AL37" s="2" t="inlineStr">
        <is>
          <t>ImportError</t>
        </is>
      </c>
      <c r="AM37" s="2" t="inlineStr">
        <is>
          <t>ImportError: cannot import name 'PauliGate' from 'qiskit.circuit.library' (C:\qiskit_envs\q0253\lib\site-packages\qiskit\circuit\library\__init__.py)</t>
        </is>
      </c>
      <c r="AN37" s="2" t="inlineStr">
        <is>
          <t>Error on 0.25.x, passed on 0.45.x / 0.46.x: the LLM replaced PauliGate(...).power(param) with RXXGate / RYYGate / RZZGate(pi * param), which is correct up to a global phase, but kept the PauliGate import, which doesn't exist in Qiskit 0.25 (ImportError). Same outcome as gpt-5.6-luna.</t>
        </is>
      </c>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2" t="n"/>
      <c r="CV37" s="2" t="n"/>
      <c r="CW37" s="2" t="n"/>
      <c r="CX37" s="2" t="n"/>
      <c r="CY37" s="2" t="n"/>
      <c r="CZ37" s="2" t="n"/>
      <c r="DA37" s="2" t="n"/>
      <c r="DB37" s="2" t="n"/>
      <c r="DC37" s="2" t="n"/>
      <c r="DD37" s="2" t="n"/>
      <c r="DE37" s="2" t="n"/>
    </row>
    <row r="38">
      <c r="A38" s="2" t="inlineStr">
        <is>
          <t>issue_622</t>
        </is>
      </c>
      <c r="B38" s="6" t="inlineStr">
        <is>
          <t>Runtime error</t>
        </is>
      </c>
      <c r="C38" s="6" t="inlineStr">
        <is>
          <t>Runtime error</t>
        </is>
      </c>
      <c r="D38" s="6" t="inlineStr">
        <is>
          <t>Runtime error</t>
        </is>
      </c>
      <c r="E38" s="6" t="inlineStr">
        <is>
          <t>Runtime error</t>
        </is>
      </c>
      <c r="F38" s="6" t="inlineStr">
        <is>
          <t>Runtime error</t>
        </is>
      </c>
      <c r="G38" s="6" t="inlineStr">
        <is>
          <t>Runtime error</t>
        </is>
      </c>
      <c r="H38" s="6" t="inlineStr">
        <is>
          <t>Runtime error</t>
        </is>
      </c>
      <c r="I38" s="6" t="inlineStr">
        <is>
          <t>Runtime error</t>
        </is>
      </c>
      <c r="J38" s="6" t="inlineStr">
        <is>
          <t>Runtime error</t>
        </is>
      </c>
      <c r="K38" s="6" t="inlineStr">
        <is>
          <t>Runtime error</t>
        </is>
      </c>
      <c r="L38" s="6" t="inlineStr">
        <is>
          <t>Runtime error</t>
        </is>
      </c>
      <c r="M38" s="6" t="inlineStr">
        <is>
          <t>Runtime error</t>
        </is>
      </c>
      <c r="N38" s="3" t="inlineStr">
        <is>
          <t>NOT_TESTED</t>
        </is>
      </c>
      <c r="O38" s="3" t="inlineStr">
        <is>
          <t>NOT_TESTED</t>
        </is>
      </c>
      <c r="P38" s="3" t="inlineStr">
        <is>
          <t>NOT_TESTED</t>
        </is>
      </c>
      <c r="Q38" s="3" t="inlineStr">
        <is>
          <t>NOT_TESTED</t>
        </is>
      </c>
      <c r="R38" s="3" t="inlineStr">
        <is>
          <t>NOT_TESTED</t>
        </is>
      </c>
      <c r="S38" s="3" t="inlineStr">
        <is>
          <t>NOT_TESTED</t>
        </is>
      </c>
      <c r="T38" s="3" t="inlineStr">
        <is>
          <t>NOT_TESTED</t>
        </is>
      </c>
      <c r="U38" s="3" t="inlineStr">
        <is>
          <t>NOT_TESTED</t>
        </is>
      </c>
      <c r="V38" s="3" t="inlineStr">
        <is>
          <t>NOT_TESTED</t>
        </is>
      </c>
      <c r="W38" s="3" t="inlineStr">
        <is>
          <t>NOT_TESTED</t>
        </is>
      </c>
      <c r="X38" s="3" t="inlineStr">
        <is>
          <t>NOT_TESTED</t>
        </is>
      </c>
      <c r="Y38" s="3" t="inlineStr">
        <is>
          <t>NOT_TESTED</t>
        </is>
      </c>
      <c r="Z38" s="3" t="inlineStr">
        <is>
          <t>NOT_TESTED</t>
        </is>
      </c>
      <c r="AA38" s="3" t="inlineStr">
        <is>
          <t>NOT_TESTED</t>
        </is>
      </c>
      <c r="AB38" s="3" t="inlineStr">
        <is>
          <t>NOT_TESTED</t>
        </is>
      </c>
      <c r="AC38" s="2" t="inlineStr">
        <is>
          <t>NameError</t>
        </is>
      </c>
      <c r="AD38" s="2" t="inlineStr">
        <is>
          <t>NameError: name 'qiskit' is not defined</t>
        </is>
      </c>
      <c r="AE38" s="2" t="inlineStr">
        <is>
          <t>The LLM switched from the 1-qubit FakeArmonk to the 5-qubit FakeVigo, but also deleted import qiskit while the code still uses qiskit.QuantumRegister, so it crashes with NameError: name 'qiskit' is not defined.</t>
        </is>
      </c>
      <c r="AF38" s="2" t="inlineStr">
        <is>
          <t>NameError</t>
        </is>
      </c>
      <c r="AG38" s="2" t="inlineStr">
        <is>
          <t>NameError: name 'qiskit' is not defined</t>
        </is>
      </c>
      <c r="AH38" s="2" t="inlineStr">
        <is>
          <t>The LLM switched from the 1-qubit FakeArmonk to the 5-qubit FakeVigo, but also deleted import qiskit while the code still uses qiskit.QuantumRegister, so it crashes with NameError: name 'qiskit' is not defined.</t>
        </is>
      </c>
      <c r="AI38" s="2" t="inlineStr">
        <is>
          <t>NameError</t>
        </is>
      </c>
      <c r="AJ38" s="2" t="inlineStr">
        <is>
          <t>NameError: name 'qiskit' is not defined</t>
        </is>
      </c>
      <c r="AK38" s="2" t="inlineStr">
        <is>
          <t>The LLM switched from the 1-qubit FakeArmonk to the 5-qubit FakeVigo, but also deleted import qiskit while the code still uses qiskit.QuantumRegister, so it crashes with NameError: name 'qiskit' is not defined.</t>
        </is>
      </c>
      <c r="AL38" s="2" t="inlineStr">
        <is>
          <t>NameError</t>
        </is>
      </c>
      <c r="AM38" s="2" t="inlineStr">
        <is>
          <t>NameError: name 'qiskit' is not defined</t>
        </is>
      </c>
      <c r="AN38" s="2" t="inlineStr">
        <is>
          <t>The LLM switched from the 1-qubit FakeArmonk to the 5-qubit FakeVigo, but also deleted import qiskit while the code still uses qiskit.QuantumRegister, so it crashes with NameError: name 'qiskit' is not defined.</t>
        </is>
      </c>
      <c r="AO38" s="2" t="inlineStr">
        <is>
          <t>NameError</t>
        </is>
      </c>
      <c r="AP38" s="2" t="inlineStr">
        <is>
          <t>NameError: name 'qiskit' is not defined</t>
        </is>
      </c>
      <c r="AQ38" s="2" t="inlineStr">
        <is>
          <t>The LLM switched from the 1-qubit FakeArmonk to the 5-qubit FakeVigo, but also deleted import qiskit while the code still uses qiskit.QuantumRegister, so it crashes with NameError: name 'qiskit' is not defined.</t>
        </is>
      </c>
      <c r="AR38" s="2" t="inlineStr">
        <is>
          <t>NameError</t>
        </is>
      </c>
      <c r="AS38" s="2" t="inlineStr">
        <is>
          <t>NameError: name 'qiskit' is not defined</t>
        </is>
      </c>
      <c r="AT38" s="2" t="inlineStr">
        <is>
          <t>The LLM switched from the 1-qubit FakeArmonk to the 5-qubit FakeVigo, but also deleted import qiskit while the code still uses qiskit.QuantumRegister, so it crashes with NameError: name 'qiskit' is not defined.</t>
        </is>
      </c>
      <c r="AU38" s="2" t="inlineStr">
        <is>
          <t>NameError</t>
        </is>
      </c>
      <c r="AV38" s="2" t="inlineStr">
        <is>
          <t>NameError: name 'qiskit' is not defined</t>
        </is>
      </c>
      <c r="AW38" s="2" t="inlineStr">
        <is>
          <t>The LLM switched from the 1-qubit FakeArmonk to the 5-qubit FakeVigo, but also deleted import qiskit while the code still uses qiskit.QuantumRegister, so it crashes with NameError: name 'qiskit' is not defined.</t>
        </is>
      </c>
      <c r="AX38" s="2" t="inlineStr">
        <is>
          <t>NameError</t>
        </is>
      </c>
      <c r="AY38" s="2" t="inlineStr">
        <is>
          <t>NameError: name 'qiskit' is not defined</t>
        </is>
      </c>
      <c r="AZ38" s="2" t="inlineStr">
        <is>
          <t>The LLM switched from the 1-qubit FakeArmonk to the 5-qubit FakeVigo, but also deleted import qiskit while the code still uses qiskit.QuantumRegister, so it crashes with NameError: name 'qiskit' is not defined.</t>
        </is>
      </c>
      <c r="BA38" s="2" t="inlineStr">
        <is>
          <t>NameError</t>
        </is>
      </c>
      <c r="BB38" s="2" t="inlineStr">
        <is>
          <t>NameError: name 'qiskit' is not defined</t>
        </is>
      </c>
      <c r="BC38" s="2" t="inlineStr">
        <is>
          <t>The LLM switched from the 1-qubit FakeArmonk to the 5-qubit FakeVigo, but also deleted import qiskit while the code still uses qiskit.QuantumRegister, so it crashes with NameError: name 'qiskit' is not defined.</t>
        </is>
      </c>
      <c r="BD38" s="2" t="inlineStr">
        <is>
          <t>NameError</t>
        </is>
      </c>
      <c r="BE38" s="2" t="inlineStr">
        <is>
          <t>NameError: name 'qiskit' is not defined</t>
        </is>
      </c>
      <c r="BF38" s="2" t="inlineStr">
        <is>
          <t>The LLM switched from the 1-qubit FakeArmonk to the 5-qubit FakeVigo, but also deleted import qiskit while the code still uses qiskit.QuantumRegister, so it crashes with NameError: name 'qiskit' is not defined.</t>
        </is>
      </c>
      <c r="BG38" s="2" t="inlineStr">
        <is>
          <t>NameError</t>
        </is>
      </c>
      <c r="BH38" s="2" t="inlineStr">
        <is>
          <t>NameError: name 'qiskit' is not defined</t>
        </is>
      </c>
      <c r="BI38" s="2" t="inlineStr">
        <is>
          <t>The LLM switched from the 1-qubit FakeArmonk to the 5-qubit FakeVigo, but also deleted import qiskit while the code still uses qiskit.QuantumRegister, so it crashes with NameError: name 'qiskit' is not defined.</t>
        </is>
      </c>
      <c r="BJ38" s="2" t="inlineStr">
        <is>
          <t>NameError</t>
        </is>
      </c>
      <c r="BK38" s="2" t="inlineStr">
        <is>
          <t>NameError: name 'qiskit' is not defined</t>
        </is>
      </c>
      <c r="BL38" s="2" t="inlineStr">
        <is>
          <t>The LLM switched from the 1-qubit FakeArmonk to the 5-qubit FakeVigo, but also deleted import qiskit while the code still uses qiskit.QuantumRegister, so it crashes with NameError: name 'qiskit' is not defined.</t>
        </is>
      </c>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2" t="n"/>
      <c r="CV38" s="2" t="n"/>
      <c r="CW38" s="2" t="n"/>
      <c r="CX38" s="2" t="n"/>
      <c r="CY38" s="2" t="n"/>
      <c r="CZ38" s="2" t="n"/>
      <c r="DA38" s="2" t="n"/>
      <c r="DB38" s="2" t="n"/>
      <c r="DC38" s="2" t="n"/>
      <c r="DD38" s="2" t="n"/>
      <c r="DE38" s="2" t="n"/>
    </row>
    <row r="39">
      <c r="A39" s="2" t="inlineStr">
        <is>
          <t>issue_624</t>
        </is>
      </c>
      <c r="B39" s="6" t="inlineStr">
        <is>
          <t>Runtime error</t>
        </is>
      </c>
      <c r="C39" s="6" t="inlineStr">
        <is>
          <t>Runtime error</t>
        </is>
      </c>
      <c r="D39" s="6" t="inlineStr">
        <is>
          <t>Runtime error</t>
        </is>
      </c>
      <c r="E39" s="6" t="inlineStr">
        <is>
          <t>Runtime error</t>
        </is>
      </c>
      <c r="F39" s="6" t="inlineStr">
        <is>
          <t>Runtime error</t>
        </is>
      </c>
      <c r="G39" s="6" t="inlineStr">
        <is>
          <t>Runtime error</t>
        </is>
      </c>
      <c r="H39" s="6" t="inlineStr">
        <is>
          <t>Runtime error</t>
        </is>
      </c>
      <c r="I39" s="6" t="inlineStr">
        <is>
          <t>Runtime error</t>
        </is>
      </c>
      <c r="J39" s="6" t="inlineStr">
        <is>
          <t>Runtime error</t>
        </is>
      </c>
      <c r="K39" s="6" t="inlineStr">
        <is>
          <t>Runtime error</t>
        </is>
      </c>
      <c r="L39" s="6" t="inlineStr">
        <is>
          <t>Runtime error</t>
        </is>
      </c>
      <c r="M39" s="6" t="inlineStr">
        <is>
          <t>Runtime error</t>
        </is>
      </c>
      <c r="N39" s="3" t="inlineStr">
        <is>
          <t>NOT_TESTED</t>
        </is>
      </c>
      <c r="O39" s="3" t="inlineStr">
        <is>
          <t>NOT_TESTED</t>
        </is>
      </c>
      <c r="P39" s="3" t="inlineStr">
        <is>
          <t>NOT_TESTED</t>
        </is>
      </c>
      <c r="Q39" s="3" t="inlineStr">
        <is>
          <t>NOT_TESTED</t>
        </is>
      </c>
      <c r="R39" s="3" t="inlineStr">
        <is>
          <t>NOT_TESTED</t>
        </is>
      </c>
      <c r="S39" s="3" t="inlineStr">
        <is>
          <t>NOT_TESTED</t>
        </is>
      </c>
      <c r="T39" s="3" t="inlineStr">
        <is>
          <t>NOT_TESTED</t>
        </is>
      </c>
      <c r="U39" s="3" t="inlineStr">
        <is>
          <t>NOT_TESTED</t>
        </is>
      </c>
      <c r="V39" s="3" t="inlineStr">
        <is>
          <t>NOT_TESTED</t>
        </is>
      </c>
      <c r="W39" s="3" t="inlineStr">
        <is>
          <t>NOT_TESTED</t>
        </is>
      </c>
      <c r="X39" s="3" t="inlineStr">
        <is>
          <t>NOT_TESTED</t>
        </is>
      </c>
      <c r="Y39" s="3" t="inlineStr">
        <is>
          <t>NOT_TESTED</t>
        </is>
      </c>
      <c r="Z39" s="3" t="inlineStr">
        <is>
          <t>NOT_TESTED</t>
        </is>
      </c>
      <c r="AA39" s="3" t="inlineStr">
        <is>
          <t>NOT_TESTED</t>
        </is>
      </c>
      <c r="AB39" s="3" t="inlineStr">
        <is>
          <t>NOT_TESTED</t>
        </is>
      </c>
      <c r="AC39" s="2" t="inlineStr">
        <is>
          <t>AttributeError</t>
        </is>
      </c>
      <c r="AD39" s="2" t="inlineStr">
        <is>
          <t>AttributeError: type object 'PauliSumOp' has no attribute 'from_operator'</t>
        </is>
      </c>
      <c r="AE39" s="2" t="inlineStr">
        <is>
          <t>The LLM converted the circuit's unitary with PauliSumOp.from_operator(Operator(H)), but PauliSumOp has no from_operator() method (AttributeError).</t>
        </is>
      </c>
      <c r="AF39" s="2" t="inlineStr">
        <is>
          <t>AttributeError</t>
        </is>
      </c>
      <c r="AG39" s="2" t="inlineStr">
        <is>
          <t>AttributeError: type object 'PauliSumOp' has no attribute 'from_operator'</t>
        </is>
      </c>
      <c r="AH39" s="2" t="inlineStr">
        <is>
          <t>The LLM converted the circuit's unitary with PauliSumOp.from_operator(Operator(H)), but PauliSumOp has no from_operator() method (AttributeError).</t>
        </is>
      </c>
      <c r="AI39" s="2" t="inlineStr">
        <is>
          <t>AttributeError</t>
        </is>
      </c>
      <c r="AJ39" s="2" t="inlineStr">
        <is>
          <t>AttributeError: type object 'PauliSumOp' has no attribute 'from_operator'</t>
        </is>
      </c>
      <c r="AK39" s="2" t="inlineStr">
        <is>
          <t>The LLM converted the circuit's unitary with PauliSumOp.from_operator(Operator(H)), but PauliSumOp has no from_operator() method (AttributeError).</t>
        </is>
      </c>
      <c r="AL39" s="2" t="inlineStr">
        <is>
          <t>AttributeError</t>
        </is>
      </c>
      <c r="AM39" s="2" t="inlineStr">
        <is>
          <t>AttributeError: type object 'PauliSumOp' has no attribute 'from_operator'</t>
        </is>
      </c>
      <c r="AN39" s="2" t="inlineStr">
        <is>
          <t>The LLM converted the circuit's unitary with PauliSumOp.from_operator(Operator(H)), but PauliSumOp has no from_operator() method (AttributeError).</t>
        </is>
      </c>
      <c r="AO39" s="2" t="inlineStr">
        <is>
          <t>AttributeError</t>
        </is>
      </c>
      <c r="AP39" s="2" t="inlineStr">
        <is>
          <t>AttributeError: type object 'PauliSumOp' has no attribute 'from_operator'</t>
        </is>
      </c>
      <c r="AQ39" s="2" t="inlineStr">
        <is>
          <t>The LLM converted the circuit's unitary with PauliSumOp.from_operator(Operator(H)), but PauliSumOp has no from_operator() method (AttributeError).</t>
        </is>
      </c>
      <c r="AR39" s="2" t="inlineStr">
        <is>
          <t>AttributeError</t>
        </is>
      </c>
      <c r="AS39" s="2" t="inlineStr">
        <is>
          <t>AttributeError: type object 'PauliSumOp' has no attribute 'from_operator'</t>
        </is>
      </c>
      <c r="AT39" s="2" t="inlineStr">
        <is>
          <t>The LLM converted the circuit's unitary with PauliSumOp.from_operator(Operator(H)), but PauliSumOp has no from_operator() method (AttributeError).</t>
        </is>
      </c>
      <c r="AU39" s="2" t="inlineStr">
        <is>
          <t>AttributeError</t>
        </is>
      </c>
      <c r="AV39" s="2" t="inlineStr">
        <is>
          <t>AttributeError: type object 'PauliSumOp' has no attribute 'from_operator'</t>
        </is>
      </c>
      <c r="AW39" s="2" t="inlineStr">
        <is>
          <t>The LLM converted the circuit's unitary with PauliSumOp.from_operator(Operator(H)), but PauliSumOp has no from_operator() method (AttributeError).</t>
        </is>
      </c>
      <c r="AX39" s="2" t="inlineStr">
        <is>
          <t>AttributeError</t>
        </is>
      </c>
      <c r="AY39" s="2" t="inlineStr">
        <is>
          <t>AttributeError: type object 'PauliSumOp' has no attribute 'from_operator'</t>
        </is>
      </c>
      <c r="AZ39" s="2" t="inlineStr">
        <is>
          <t>The LLM converted the circuit's unitary with PauliSumOp.from_operator(Operator(H)), but PauliSumOp has no from_operator() method (AttributeError).</t>
        </is>
      </c>
      <c r="BA39" s="2" t="inlineStr">
        <is>
          <t>AttributeError</t>
        </is>
      </c>
      <c r="BB39" s="2" t="inlineStr">
        <is>
          <t>AttributeError: type object 'PauliSumOp' has no attribute 'from_operator'</t>
        </is>
      </c>
      <c r="BC39" s="2" t="inlineStr">
        <is>
          <t>The LLM converted the circuit's unitary with PauliSumOp.from_operator(Operator(H)), but PauliSumOp has no from_operator() method (AttributeError).</t>
        </is>
      </c>
      <c r="BD39" s="2" t="inlineStr">
        <is>
          <t>AttributeError</t>
        </is>
      </c>
      <c r="BE39" s="2" t="inlineStr">
        <is>
          <t>AttributeError: type object 'PauliSumOp' has no attribute 'from_operator'</t>
        </is>
      </c>
      <c r="BF39" s="2" t="inlineStr">
        <is>
          <t>The LLM converted the circuit's unitary with PauliSumOp.from_operator(Operator(H)), but PauliSumOp has no from_operator() method (AttributeError).</t>
        </is>
      </c>
      <c r="BG39" s="2" t="inlineStr">
        <is>
          <t>AttributeError</t>
        </is>
      </c>
      <c r="BH39" s="2" t="inlineStr">
        <is>
          <t>AttributeError: type object 'PauliSumOp' has no attribute 'from_operator'</t>
        </is>
      </c>
      <c r="BI39" s="2" t="inlineStr">
        <is>
          <t>The LLM converted the circuit's unitary with PauliSumOp.from_operator(Operator(H)), but PauliSumOp has no from_operator() method (AttributeError).</t>
        </is>
      </c>
      <c r="BJ39" s="2" t="inlineStr">
        <is>
          <t>AttributeError</t>
        </is>
      </c>
      <c r="BK39" s="2" t="inlineStr">
        <is>
          <t>AttributeError: type object 'PauliSumOp' has no attribute 'from_operator'</t>
        </is>
      </c>
      <c r="BL39" s="2" t="inlineStr">
        <is>
          <t>The LLM converted the circuit's unitary with PauliSumOp.from_operator(Operator(H)), but PauliSumOp has no from_operator() method (AttributeError).</t>
        </is>
      </c>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2" t="n"/>
      <c r="CV39" s="2" t="n"/>
      <c r="CW39" s="2" t="n"/>
      <c r="CX39" s="2" t="n"/>
      <c r="CY39" s="2" t="n"/>
      <c r="CZ39" s="2" t="n"/>
      <c r="DA39" s="2" t="n"/>
      <c r="DB39" s="2" t="n"/>
      <c r="DC39" s="2" t="n"/>
      <c r="DD39" s="2" t="n"/>
      <c r="DE39" s="2" t="n"/>
    </row>
    <row r="40">
      <c r="A40" s="2" t="inlineStr">
        <is>
          <t>issue_635</t>
        </is>
      </c>
      <c r="B40" s="5" t="inlineStr">
        <is>
          <t>Failed on test</t>
        </is>
      </c>
      <c r="C40" s="5" t="inlineStr">
        <is>
          <t>Failed on test</t>
        </is>
      </c>
      <c r="D40" s="5" t="inlineStr">
        <is>
          <t>Failed on test</t>
        </is>
      </c>
      <c r="E40" s="5" t="inlineStr">
        <is>
          <t>Failed on test</t>
        </is>
      </c>
      <c r="F40" s="3" t="inlineStr">
        <is>
          <t>NOT_TESTED</t>
        </is>
      </c>
      <c r="G40" s="3" t="inlineStr">
        <is>
          <t>NOT_TESTED</t>
        </is>
      </c>
      <c r="H40" s="3" t="inlineStr">
        <is>
          <t>NOT_TESTED</t>
        </is>
      </c>
      <c r="I40" s="3" t="inlineStr">
        <is>
          <t>NOT_TESTED</t>
        </is>
      </c>
      <c r="J40" s="3" t="inlineStr">
        <is>
          <t>NOT_TESTED</t>
        </is>
      </c>
      <c r="K40" s="3" t="inlineStr">
        <is>
          <t>NOT_TESTED</t>
        </is>
      </c>
      <c r="L40" s="3" t="inlineStr">
        <is>
          <t>NOT_TESTED</t>
        </is>
      </c>
      <c r="M40" s="3" t="inlineStr">
        <is>
          <t>NOT_TESTED</t>
        </is>
      </c>
      <c r="N40" s="3" t="inlineStr">
        <is>
          <t>NOT_TESTED</t>
        </is>
      </c>
      <c r="O40" s="3" t="inlineStr">
        <is>
          <t>NOT_TESTED</t>
        </is>
      </c>
      <c r="P40" s="3" t="inlineStr">
        <is>
          <t>NOT_TESTED</t>
        </is>
      </c>
      <c r="Q40" s="3" t="inlineStr">
        <is>
          <t>NOT_TESTED</t>
        </is>
      </c>
      <c r="R40" s="3" t="inlineStr">
        <is>
          <t>NOT_TESTED</t>
        </is>
      </c>
      <c r="S40" s="3" t="inlineStr">
        <is>
          <t>NOT_TESTED</t>
        </is>
      </c>
      <c r="T40" s="3" t="inlineStr">
        <is>
          <t>NOT_TESTED</t>
        </is>
      </c>
      <c r="U40" s="3" t="inlineStr">
        <is>
          <t>NOT_TESTED</t>
        </is>
      </c>
      <c r="V40" s="3" t="inlineStr">
        <is>
          <t>NOT_TESTED</t>
        </is>
      </c>
      <c r="W40" s="3" t="inlineStr">
        <is>
          <t>NOT_TESTED</t>
        </is>
      </c>
      <c r="X40" s="3" t="inlineStr">
        <is>
          <t>NOT_TESTED</t>
        </is>
      </c>
      <c r="Y40" s="3" t="inlineStr">
        <is>
          <t>NOT_TESTED</t>
        </is>
      </c>
      <c r="Z40" s="3" t="inlineStr">
        <is>
          <t>NOT_TESTED</t>
        </is>
      </c>
      <c r="AA40" s="3" t="inlineStr">
        <is>
          <t>NOT_TESTED</t>
        </is>
      </c>
      <c r="AB40" s="3" t="inlineStr">
        <is>
          <t>NOT_TESTED</t>
        </is>
      </c>
      <c r="AC40" s="2" t="inlineStr">
        <is>
          <t>AssertionError</t>
        </is>
      </c>
      <c r="AD40" s="2" t="inlineStr">
        <is>
          <t>AssertionError: Items in the first set but not the second:</t>
        </is>
      </c>
      <c r="AE40" s="2" t="inlineStr">
        <is>
          <t>The test expects each X gate to fire only when both classical bits are 1 (an AND); the LLM conditioned each X on every register value where its own bit is 1, so it fires when only one bit is set (wrong result for basis 001).</t>
        </is>
      </c>
      <c r="AF40" s="2" t="inlineStr">
        <is>
          <t>AssertionError</t>
        </is>
      </c>
      <c r="AG40" s="2" t="inlineStr">
        <is>
          <t>AssertionError: Items in the first set but not the second:</t>
        </is>
      </c>
      <c r="AH40" s="2" t="inlineStr">
        <is>
          <t>The test expects each X gate to fire only when both classical bits are 1 (an AND); the LLM conditioned each X on every register value where its own bit is 1, so it fires when only one bit is set (wrong result for basis 001).</t>
        </is>
      </c>
      <c r="AI40" s="2" t="inlineStr">
        <is>
          <t>AssertionError</t>
        </is>
      </c>
      <c r="AJ40" s="2" t="inlineStr">
        <is>
          <t>AssertionError: Items in the first set but not the second:</t>
        </is>
      </c>
      <c r="AK40" s="2" t="inlineStr">
        <is>
          <t>The test expects each X gate to fire only when both classical bits are 1 (an AND); the LLM conditioned each X on every register value where its own bit is 1, so it fires when only one bit is set (wrong result for basis 001).</t>
        </is>
      </c>
      <c r="AL40" s="2" t="inlineStr">
        <is>
          <t>AssertionError</t>
        </is>
      </c>
      <c r="AM40" s="2" t="inlineStr">
        <is>
          <t>AssertionError: Items in the first set but not the second:</t>
        </is>
      </c>
      <c r="AN40" s="2" t="inlineStr">
        <is>
          <t>The test expects each X gate to fire only when both classical bits are 1 (an AND); the LLM conditioned each X on every register value where its own bit is 1, so it fires when only one bit is set (wrong result for basis 001).</t>
        </is>
      </c>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2" t="n"/>
      <c r="CV40" s="2" t="n"/>
      <c r="CW40" s="2" t="n"/>
      <c r="CX40" s="2" t="n"/>
      <c r="CY40" s="2" t="n"/>
      <c r="CZ40" s="2" t="n"/>
      <c r="DA40" s="2" t="n"/>
      <c r="DB40" s="2" t="n"/>
      <c r="DC40" s="2" t="n"/>
      <c r="DD40" s="2" t="n"/>
      <c r="DE40" s="2" t="n"/>
    </row>
    <row r="41">
      <c r="A41" s="2" t="inlineStr">
        <is>
          <t>issue_662</t>
        </is>
      </c>
      <c r="B41" s="3" t="inlineStr">
        <is>
          <t>NOT_TESTED</t>
        </is>
      </c>
      <c r="C41" s="3" t="inlineStr">
        <is>
          <t>NOT_TESTED</t>
        </is>
      </c>
      <c r="D41" s="3" t="inlineStr">
        <is>
          <t>NOT_TESTED</t>
        </is>
      </c>
      <c r="E41" s="3" t="inlineStr">
        <is>
          <t>NOT_TESTED</t>
        </is>
      </c>
      <c r="F41" s="6" t="inlineStr">
        <is>
          <t>Runtime error</t>
        </is>
      </c>
      <c r="G41" s="6" t="inlineStr">
        <is>
          <t>Runtime error</t>
        </is>
      </c>
      <c r="H41" s="6" t="inlineStr">
        <is>
          <t>Runtime error</t>
        </is>
      </c>
      <c r="I41" s="6" t="inlineStr">
        <is>
          <t>Runtime error</t>
        </is>
      </c>
      <c r="J41" s="6" t="inlineStr">
        <is>
          <t>Runtime error</t>
        </is>
      </c>
      <c r="K41" s="6" t="inlineStr">
        <is>
          <t>Runtime error</t>
        </is>
      </c>
      <c r="L41" s="6" t="inlineStr">
        <is>
          <t>Runtime error</t>
        </is>
      </c>
      <c r="M41" s="6" t="inlineStr">
        <is>
          <t>Runtime error</t>
        </is>
      </c>
      <c r="N41" s="6" t="inlineStr">
        <is>
          <t>Runtime error</t>
        </is>
      </c>
      <c r="O41" s="6" t="inlineStr">
        <is>
          <t>Runtime error</t>
        </is>
      </c>
      <c r="P41" s="6" t="inlineStr">
        <is>
          <t>Runtime error</t>
        </is>
      </c>
      <c r="Q41" s="6" t="inlineStr">
        <is>
          <t>Runtime error</t>
        </is>
      </c>
      <c r="R41" s="6" t="inlineStr">
        <is>
          <t>Runtime error</t>
        </is>
      </c>
      <c r="S41" s="6" t="inlineStr">
        <is>
          <t>Runtime error</t>
        </is>
      </c>
      <c r="T41" s="6" t="inlineStr">
        <is>
          <t>Runtime error</t>
        </is>
      </c>
      <c r="U41" s="6" t="inlineStr">
        <is>
          <t>Runtime error</t>
        </is>
      </c>
      <c r="V41" s="6" t="inlineStr">
        <is>
          <t>Runtime error</t>
        </is>
      </c>
      <c r="W41" s="6" t="inlineStr">
        <is>
          <t>Runtime error</t>
        </is>
      </c>
      <c r="X41" s="6" t="inlineStr">
        <is>
          <t>Runtime error</t>
        </is>
      </c>
      <c r="Y41" s="6" t="inlineStr">
        <is>
          <t>Runtime error</t>
        </is>
      </c>
      <c r="Z41" s="6" t="inlineStr">
        <is>
          <t>Runtime error</t>
        </is>
      </c>
      <c r="AA41" s="6" t="inlineStr">
        <is>
          <t>Runtime error</t>
        </is>
      </c>
      <c r="AB41" s="6" t="inlineStr">
        <is>
          <t>Runtime error</t>
        </is>
      </c>
      <c r="AC41" s="2" t="n"/>
      <c r="AD41" s="2" t="n"/>
      <c r="AE41" s="2" t="n"/>
      <c r="AF41" s="2" t="n"/>
      <c r="AG41" s="2" t="n"/>
      <c r="AH41" s="2" t="n"/>
      <c r="AI41" s="2" t="n"/>
      <c r="AJ41" s="2" t="n"/>
      <c r="AK41" s="2" t="n"/>
      <c r="AL41" s="2" t="n"/>
      <c r="AM41" s="2" t="n"/>
      <c r="AN41" s="2" t="n"/>
      <c r="AO41" s="2" t="inlineStr">
        <is>
          <t>AttributeError</t>
        </is>
      </c>
      <c r="AP41" s="2" t="inlineStr">
        <is>
          <t>AttributeError: 'DAGOpNode' object has no attribute 'type'</t>
        </is>
      </c>
      <c r="AQ41" s="2" t="inlineStr">
        <is>
          <t>The LLM switched the loop to dag.op_nodes() to count every gate, but kept the buggy code's node.type check, and DAGOpNode no longer has a type attribute (AttributeError). Same problem as gpt-5.6-luna.</t>
        </is>
      </c>
      <c r="AR41" s="2" t="inlineStr">
        <is>
          <t>AttributeError</t>
        </is>
      </c>
      <c r="AS41" s="2" t="inlineStr">
        <is>
          <t>AttributeError: 'DAGOpNode' object has no attribute 'type'</t>
        </is>
      </c>
      <c r="AT41" s="2" t="inlineStr">
        <is>
          <t>The LLM switched the loop to dag.op_nodes() to count every gate, but kept the buggy code's node.type check, and DAGOpNode no longer has a type attribute (AttributeError). Same problem as gpt-5.6-luna.</t>
        </is>
      </c>
      <c r="AU41" s="2" t="inlineStr">
        <is>
          <t>AttributeError</t>
        </is>
      </c>
      <c r="AV41" s="2" t="inlineStr">
        <is>
          <t>AttributeError: 'DAGOpNode' object has no attribute 'type'</t>
        </is>
      </c>
      <c r="AW41" s="2" t="inlineStr">
        <is>
          <t>The LLM switched the loop to dag.op_nodes() to count every gate, but kept the buggy code's node.type check, and DAGOpNode no longer has a type attribute (AttributeError). Same problem as gpt-5.6-luna.</t>
        </is>
      </c>
      <c r="AX41" s="2" t="inlineStr">
        <is>
          <t>AttributeError</t>
        </is>
      </c>
      <c r="AY41" s="2" t="inlineStr">
        <is>
          <t>AttributeError: 'DAGOpNode' object has no attribute 'type'</t>
        </is>
      </c>
      <c r="AZ41" s="2" t="inlineStr">
        <is>
          <t>The LLM switched the loop to dag.op_nodes() to count every gate, but kept the buggy code's node.type check, and DAGOpNode no longer has a type attribute (AttributeError). Same problem as gpt-5.6-luna.</t>
        </is>
      </c>
      <c r="BA41" s="2" t="inlineStr">
        <is>
          <t>AttributeError</t>
        </is>
      </c>
      <c r="BB41" s="2" t="inlineStr">
        <is>
          <t>AttributeError: 'DAGOpNode' object has no attribute 'type'</t>
        </is>
      </c>
      <c r="BC41" s="2" t="inlineStr">
        <is>
          <t>The LLM switched the loop to dag.op_nodes() to count every gate, but kept the buggy code's node.type check, and DAGOpNode no longer has a type attribute (AttributeError). Same problem as gpt-5.6-luna.</t>
        </is>
      </c>
      <c r="BD41" s="2" t="inlineStr">
        <is>
          <t>AttributeError</t>
        </is>
      </c>
      <c r="BE41" s="2" t="inlineStr">
        <is>
          <t>AttributeError: 'DAGOpNode' object has no attribute 'type'</t>
        </is>
      </c>
      <c r="BF41" s="2" t="inlineStr">
        <is>
          <t>The LLM switched the loop to dag.op_nodes() to count every gate, but kept the buggy code's node.type check, and DAGOpNode no longer has a type attribute (AttributeError). Same problem as gpt-5.6-luna.</t>
        </is>
      </c>
      <c r="BG41" s="2" t="inlineStr">
        <is>
          <t>AttributeError</t>
        </is>
      </c>
      <c r="BH41" s="2" t="inlineStr">
        <is>
          <t>AttributeError: 'DAGOpNode' object has no attribute 'type'</t>
        </is>
      </c>
      <c r="BI41" s="2" t="inlineStr">
        <is>
          <t>The LLM switched the loop to dag.op_nodes() to count every gate, but kept the buggy code's node.type check, and DAGOpNode no longer has a type attribute (AttributeError). Same problem as gpt-5.6-luna.</t>
        </is>
      </c>
      <c r="BJ41" s="2" t="inlineStr">
        <is>
          <t>AttributeError</t>
        </is>
      </c>
      <c r="BK41" s="2" t="inlineStr">
        <is>
          <t>AttributeError: 'DAGOpNode' object has no attribute 'type'</t>
        </is>
      </c>
      <c r="BL41" s="2" t="inlineStr">
        <is>
          <t>The LLM switched the loop to dag.op_nodes() to count every gate, but kept the buggy code's node.type check, and DAGOpNode no longer has a type attribute (AttributeError). Same problem as gpt-5.6-luna.</t>
        </is>
      </c>
      <c r="BM41" s="2" t="inlineStr">
        <is>
          <t>AttributeError</t>
        </is>
      </c>
      <c r="BN41" s="2" t="inlineStr">
        <is>
          <t>AttributeError: 'DAGOpNode' object has no attribute 'type'</t>
        </is>
      </c>
      <c r="BO41" s="2" t="inlineStr">
        <is>
          <t>The LLM switched the loop to dag.op_nodes() to count every gate, but kept the buggy code's node.type check, and DAGOpNode no longer has a type attribute (AttributeError). Same problem as gpt-5.6-luna.</t>
        </is>
      </c>
      <c r="BP41" s="2" t="inlineStr">
        <is>
          <t>AttributeError</t>
        </is>
      </c>
      <c r="BQ41" s="2" t="inlineStr">
        <is>
          <t>AttributeError: 'DAGOpNode' object has no attribute 'type'</t>
        </is>
      </c>
      <c r="BR41" s="2" t="inlineStr">
        <is>
          <t>The LLM switched the loop to dag.op_nodes() to count every gate, but kept the buggy code's node.type check, and DAGOpNode no longer has a type attribute (AttributeError). Same problem as gpt-5.6-luna.</t>
        </is>
      </c>
      <c r="BS41" s="2" t="inlineStr">
        <is>
          <t>AttributeError</t>
        </is>
      </c>
      <c r="BT41" s="2" t="inlineStr">
        <is>
          <t>AttributeError: 'DAGOpNode' object has no attribute 'type'</t>
        </is>
      </c>
      <c r="BU41" s="2" t="inlineStr">
        <is>
          <t>The LLM switched the loop to dag.op_nodes() to count every gate, but kept the buggy code's node.type check, and DAGOpNode no longer has a type attribute (AttributeError). Same problem as gpt-5.6-luna.</t>
        </is>
      </c>
      <c r="BV41" s="2" t="inlineStr">
        <is>
          <t>AttributeError</t>
        </is>
      </c>
      <c r="BW41" s="2" t="inlineStr">
        <is>
          <t>AttributeError: 'DAGOpNode' object has no attribute 'type'</t>
        </is>
      </c>
      <c r="BX41" s="2" t="inlineStr">
        <is>
          <t>The LLM switched the loop to dag.op_nodes() to count every gate, but kept the buggy code's node.type check, and DAGOpNode no longer has a type attribute (AttributeError). Same problem as gpt-5.6-luna.</t>
        </is>
      </c>
      <c r="BY41" s="2" t="inlineStr">
        <is>
          <t>AttributeError</t>
        </is>
      </c>
      <c r="BZ41" s="2" t="inlineStr">
        <is>
          <t>AttributeError: 'DAGOpNode' object has no attribute 'type'</t>
        </is>
      </c>
      <c r="CA41" s="2" t="inlineStr">
        <is>
          <t>The LLM switched the loop to dag.op_nodes() to count every gate, but kept the buggy code's node.type check, and DAGOpNode no longer has a type attribute (AttributeError). Same problem as gpt-5.6-luna.</t>
        </is>
      </c>
      <c r="CB41" s="2" t="inlineStr">
        <is>
          <t>AttributeError</t>
        </is>
      </c>
      <c r="CC41" s="2" t="inlineStr">
        <is>
          <t>AttributeError: 'DAGOpNode' object has no attribute 'type'</t>
        </is>
      </c>
      <c r="CD41" s="2" t="inlineStr">
        <is>
          <t>The LLM switched the loop to dag.op_nodes() to count every gate, but kept the buggy code's node.type check, and DAGOpNode no longer has a type attribute (AttributeError). Same problem as gpt-5.6-luna.</t>
        </is>
      </c>
      <c r="CE41" s="2" t="inlineStr">
        <is>
          <t>AttributeError</t>
        </is>
      </c>
      <c r="CF41" s="2" t="inlineStr">
        <is>
          <t>AttributeError: 'qiskit._accelerate.circuit.DAGOpNode' object has no attribute 'type'</t>
        </is>
      </c>
      <c r="CG41" s="2" t="inlineStr">
        <is>
          <t>The LLM switched the loop to dag.op_nodes() to count every gate, but kept the buggy code's node.type check, and DAGOpNode no longer has a type attribute (AttributeError). Same problem as gpt-5.6-luna.</t>
        </is>
      </c>
      <c r="CH41" s="2" t="inlineStr">
        <is>
          <t>AttributeError</t>
        </is>
      </c>
      <c r="CI41" s="2" t="inlineStr">
        <is>
          <t>AttributeError: 'qiskit._accelerate.circuit.DAGOpNode' object has no attribute 'type'</t>
        </is>
      </c>
      <c r="CJ41" s="2" t="inlineStr">
        <is>
          <t>The LLM switched the loop to dag.op_nodes() to count every gate, but kept the buggy code's node.type check, and DAGOpNode no longer has a type attribute (AttributeError). Same problem as gpt-5.6-luna.</t>
        </is>
      </c>
      <c r="CK41" s="2" t="inlineStr">
        <is>
          <t>AttributeError</t>
        </is>
      </c>
      <c r="CL41" s="2" t="inlineStr">
        <is>
          <t>AttributeError: 'qiskit._accelerate.circuit.DAGOpNode' object has no attribute 'type'</t>
        </is>
      </c>
      <c r="CM41" s="2" t="inlineStr">
        <is>
          <t>The LLM switched the loop to dag.op_nodes() to count every gate, but kept the buggy code's node.type check, and DAGOpNode no longer has a type attribute (AttributeError). Same problem as gpt-5.6-luna.</t>
        </is>
      </c>
      <c r="CN41" s="2" t="inlineStr">
        <is>
          <t>AttributeError</t>
        </is>
      </c>
      <c r="CO41" s="2" t="inlineStr">
        <is>
          <t>AttributeError: 'qiskit._accelerate.circuit.DAGOpNode' object has no attribute 'type'</t>
        </is>
      </c>
      <c r="CP41" s="2" t="inlineStr">
        <is>
          <t>The LLM switched the loop to dag.op_nodes() to count every gate, but kept the buggy code's node.type check, and DAGOpNode no longer has a type attribute (AttributeError). Same problem as gpt-5.6-luna.</t>
        </is>
      </c>
      <c r="CQ41" s="2" t="inlineStr">
        <is>
          <t>AttributeError</t>
        </is>
      </c>
      <c r="CR41" s="2" t="inlineStr">
        <is>
          <t>AttributeError: 'qiskit._accelerate.circuit.DAGOpNode' object has no attribute 'type'</t>
        </is>
      </c>
      <c r="CS41" s="2" t="inlineStr">
        <is>
          <t>The LLM switched the loop to dag.op_nodes() to count every gate, but kept the buggy code's node.type check, and DAGOpNode no longer has a type attribute (AttributeError). Same problem as gpt-5.6-luna.</t>
        </is>
      </c>
      <c r="CT41" s="2" t="inlineStr">
        <is>
          <t>AttributeError</t>
        </is>
      </c>
      <c r="CU41" s="2" t="inlineStr">
        <is>
          <t>AttributeError: 'qiskit._accelerate.circuit.DAGOpNode' object has no attribute 'type'</t>
        </is>
      </c>
      <c r="CV41" s="2" t="inlineStr">
        <is>
          <t>The LLM switched the loop to dag.op_nodes() to count every gate, but kept the buggy code's node.type check, and DAGOpNode no longer has a type attribute (AttributeError). Same problem as gpt-5.6-luna.</t>
        </is>
      </c>
      <c r="CW41" s="2" t="inlineStr">
        <is>
          <t>AttributeError</t>
        </is>
      </c>
      <c r="CX41" s="2" t="inlineStr">
        <is>
          <t>AttributeError: 'qiskit._accelerate.circuit.DAGOpNode' object has no attribute 'type'</t>
        </is>
      </c>
      <c r="CY41" s="2" t="inlineStr">
        <is>
          <t>The LLM switched the loop to dag.op_nodes() to count every gate, but kept the buggy code's node.type check, and DAGOpNode no longer has a type attribute (AttributeError). Same problem as gpt-5.6-luna.</t>
        </is>
      </c>
      <c r="CZ41" s="2" t="inlineStr">
        <is>
          <t>AttributeError</t>
        </is>
      </c>
      <c r="DA41" s="2" t="inlineStr">
        <is>
          <t>AttributeError: 'qiskit._accelerate.circuit.DAGOpNode' object has no attribute 'type'</t>
        </is>
      </c>
      <c r="DB41" s="2" t="inlineStr">
        <is>
          <t>The LLM switched the loop to dag.op_nodes() to count every gate, but kept the buggy code's node.type check, and DAGOpNode no longer has a type attribute (AttributeError). Same problem as gpt-5.6-luna.</t>
        </is>
      </c>
      <c r="DC41" s="2" t="inlineStr">
        <is>
          <t>AttributeError</t>
        </is>
      </c>
      <c r="DD41" s="2" t="inlineStr">
        <is>
          <t>AttributeError: 'qiskit._accelerate.circuit.DAGOpNode' object has no attribute 'type'</t>
        </is>
      </c>
      <c r="DE41" s="2" t="inlineStr">
        <is>
          <t>The LLM switched the loop to dag.op_nodes() to count every gate, but kept the buggy code's node.type check, and DAGOpNode no longer has a type attribute (AttributeError). Same problem as gpt-5.6-luna.</t>
        </is>
      </c>
    </row>
    <row r="42">
      <c r="A42" s="2" t="inlineStr">
        <is>
          <t>issue_663</t>
        </is>
      </c>
      <c r="B42" s="3" t="inlineStr">
        <is>
          <t>NOT_TESTED</t>
        </is>
      </c>
      <c r="C42" s="3" t="inlineStr">
        <is>
          <t>NOT_TESTED</t>
        </is>
      </c>
      <c r="D42" s="3" t="inlineStr">
        <is>
          <t>NOT_TESTED</t>
        </is>
      </c>
      <c r="E42" s="3" t="inlineStr">
        <is>
          <t>NOT_TESTED</t>
        </is>
      </c>
      <c r="F42" s="4" t="inlineStr">
        <is>
          <t>Passed on test</t>
        </is>
      </c>
      <c r="G42" s="4" t="inlineStr">
        <is>
          <t>Passed on test</t>
        </is>
      </c>
      <c r="H42" s="4" t="inlineStr">
        <is>
          <t>Passed on test</t>
        </is>
      </c>
      <c r="I42" s="4" t="inlineStr">
        <is>
          <t>Passed on test</t>
        </is>
      </c>
      <c r="J42" s="4" t="inlineStr">
        <is>
          <t>Passed on test</t>
        </is>
      </c>
      <c r="K42" s="4" t="inlineStr">
        <is>
          <t>Passed on test</t>
        </is>
      </c>
      <c r="L42" s="4" t="inlineStr">
        <is>
          <t>Passed on test</t>
        </is>
      </c>
      <c r="M42" s="4" t="inlineStr">
        <is>
          <t>Passed on test</t>
        </is>
      </c>
      <c r="N42" s="3" t="inlineStr">
        <is>
          <t>NOT_TESTED</t>
        </is>
      </c>
      <c r="O42" s="3" t="inlineStr">
        <is>
          <t>NOT_TESTED</t>
        </is>
      </c>
      <c r="P42" s="3" t="inlineStr">
        <is>
          <t>NOT_TESTED</t>
        </is>
      </c>
      <c r="Q42" s="3" t="inlineStr">
        <is>
          <t>NOT_TESTED</t>
        </is>
      </c>
      <c r="R42" s="3" t="inlineStr">
        <is>
          <t>NOT_TESTED</t>
        </is>
      </c>
      <c r="S42" s="3" t="inlineStr">
        <is>
          <t>NOT_TESTED</t>
        </is>
      </c>
      <c r="T42" s="3" t="inlineStr">
        <is>
          <t>NOT_TESTED</t>
        </is>
      </c>
      <c r="U42" s="3" t="inlineStr">
        <is>
          <t>NOT_TESTED</t>
        </is>
      </c>
      <c r="V42" s="3" t="inlineStr">
        <is>
          <t>NOT_TESTED</t>
        </is>
      </c>
      <c r="W42" s="3" t="inlineStr">
        <is>
          <t>NOT_TESTED</t>
        </is>
      </c>
      <c r="X42" s="3" t="inlineStr">
        <is>
          <t>NOT_TESTED</t>
        </is>
      </c>
      <c r="Y42" s="3" t="inlineStr">
        <is>
          <t>NOT_TESTED</t>
        </is>
      </c>
      <c r="Z42" s="3" t="inlineStr">
        <is>
          <t>NOT_TESTED</t>
        </is>
      </c>
      <c r="AA42" s="3" t="inlineStr">
        <is>
          <t>NOT_TESTED</t>
        </is>
      </c>
      <c r="AB42" s="3" t="inlineStr">
        <is>
          <t>NOT_TESTED</t>
        </is>
      </c>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2" t="n"/>
      <c r="CW42" s="2" t="n"/>
      <c r="CX42" s="2" t="n"/>
      <c r="CY42" s="2" t="n"/>
      <c r="CZ42" s="2" t="n"/>
      <c r="DA42" s="2" t="n"/>
      <c r="DB42" s="2" t="n"/>
      <c r="DC42" s="2" t="n"/>
      <c r="DD42" s="2" t="n"/>
      <c r="DE42" s="2" t="n"/>
    </row>
    <row r="43">
      <c r="A43" s="2" t="inlineStr">
        <is>
          <t>issue_671</t>
        </is>
      </c>
      <c r="B43" s="4" t="inlineStr">
        <is>
          <t>Passed on test</t>
        </is>
      </c>
      <c r="C43" s="4" t="inlineStr">
        <is>
          <t>Passed on test</t>
        </is>
      </c>
      <c r="D43" s="4" t="inlineStr">
        <is>
          <t>Passed on test</t>
        </is>
      </c>
      <c r="E43" s="4" t="inlineStr">
        <is>
          <t>Passed on test</t>
        </is>
      </c>
      <c r="F43" s="4" t="inlineStr">
        <is>
          <t>Passed on test</t>
        </is>
      </c>
      <c r="G43" s="4" t="inlineStr">
        <is>
          <t>Passed on test</t>
        </is>
      </c>
      <c r="H43" s="4" t="inlineStr">
        <is>
          <t>Passed on test</t>
        </is>
      </c>
      <c r="I43" s="4" t="inlineStr">
        <is>
          <t>Passed on test</t>
        </is>
      </c>
      <c r="J43" s="4" t="inlineStr">
        <is>
          <t>Passed on test</t>
        </is>
      </c>
      <c r="K43" s="4" t="inlineStr">
        <is>
          <t>Passed on test</t>
        </is>
      </c>
      <c r="L43" s="4" t="inlineStr">
        <is>
          <t>Passed on test</t>
        </is>
      </c>
      <c r="M43" s="4" t="inlineStr">
        <is>
          <t>Passed on test</t>
        </is>
      </c>
      <c r="N43" s="4" t="inlineStr">
        <is>
          <t>Passed on test</t>
        </is>
      </c>
      <c r="O43" s="4" t="inlineStr">
        <is>
          <t>Passed on test</t>
        </is>
      </c>
      <c r="P43" s="4" t="inlineStr">
        <is>
          <t>Passed on test</t>
        </is>
      </c>
      <c r="Q43" s="4" t="inlineStr">
        <is>
          <t>Passed on test</t>
        </is>
      </c>
      <c r="R43" s="4" t="inlineStr">
        <is>
          <t>Passed on test</t>
        </is>
      </c>
      <c r="S43" s="4" t="inlineStr">
        <is>
          <t>Passed on test</t>
        </is>
      </c>
      <c r="T43" s="4" t="inlineStr">
        <is>
          <t>Passed on test</t>
        </is>
      </c>
      <c r="U43" s="4" t="inlineStr">
        <is>
          <t>Passed on test</t>
        </is>
      </c>
      <c r="V43" s="4" t="inlineStr">
        <is>
          <t>Passed on test</t>
        </is>
      </c>
      <c r="W43" s="4" t="inlineStr">
        <is>
          <t>Passed on test</t>
        </is>
      </c>
      <c r="X43" s="4" t="inlineStr">
        <is>
          <t>Passed on test</t>
        </is>
      </c>
      <c r="Y43" s="4" t="inlineStr">
        <is>
          <t>Passed on test</t>
        </is>
      </c>
      <c r="Z43" s="4" t="inlineStr">
        <is>
          <t>Passed on test</t>
        </is>
      </c>
      <c r="AA43" s="4" t="inlineStr">
        <is>
          <t>Passed on test</t>
        </is>
      </c>
      <c r="AB43" s="4" t="inlineStr">
        <is>
          <t>Passed on test</t>
        </is>
      </c>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2" t="n"/>
      <c r="CW43" s="2" t="n"/>
      <c r="CX43" s="2" t="n"/>
      <c r="CY43" s="2" t="n"/>
      <c r="CZ43" s="2" t="n"/>
      <c r="DA43" s="2" t="n"/>
      <c r="DB43" s="2" t="n"/>
      <c r="DC43" s="2" t="n"/>
      <c r="DD43" s="2" t="n"/>
      <c r="DE43" s="2" t="n"/>
    </row>
    <row r="44">
      <c r="A44" s="2" t="inlineStr">
        <is>
          <t>issue_727</t>
        </is>
      </c>
      <c r="B44" s="4" t="inlineStr">
        <is>
          <t>Passed on test</t>
        </is>
      </c>
      <c r="C44" s="4" t="inlineStr">
        <is>
          <t>Passed on test</t>
        </is>
      </c>
      <c r="D44" s="4" t="inlineStr">
        <is>
          <t>Passed on test</t>
        </is>
      </c>
      <c r="E44" s="4" t="inlineStr">
        <is>
          <t>Passed on test</t>
        </is>
      </c>
      <c r="F44" s="4" t="inlineStr">
        <is>
          <t>Passed on test</t>
        </is>
      </c>
      <c r="G44" s="4" t="inlineStr">
        <is>
          <t>Passed on test</t>
        </is>
      </c>
      <c r="H44" s="4" t="inlineStr">
        <is>
          <t>Passed on test</t>
        </is>
      </c>
      <c r="I44" s="4" t="inlineStr">
        <is>
          <t>Passed on test</t>
        </is>
      </c>
      <c r="J44" s="4" t="inlineStr">
        <is>
          <t>Passed on test</t>
        </is>
      </c>
      <c r="K44" s="4" t="inlineStr">
        <is>
          <t>Passed on test</t>
        </is>
      </c>
      <c r="L44" s="4" t="inlineStr">
        <is>
          <t>Passed on test</t>
        </is>
      </c>
      <c r="M44" s="4" t="inlineStr">
        <is>
          <t>Passed on test</t>
        </is>
      </c>
      <c r="N44" s="3" t="inlineStr">
        <is>
          <t>NOT_TESTED</t>
        </is>
      </c>
      <c r="O44" s="3" t="inlineStr">
        <is>
          <t>NOT_TESTED</t>
        </is>
      </c>
      <c r="P44" s="3" t="inlineStr">
        <is>
          <t>NOT_TESTED</t>
        </is>
      </c>
      <c r="Q44" s="3" t="inlineStr">
        <is>
          <t>NOT_TESTED</t>
        </is>
      </c>
      <c r="R44" s="3" t="inlineStr">
        <is>
          <t>NOT_TESTED</t>
        </is>
      </c>
      <c r="S44" s="3" t="inlineStr">
        <is>
          <t>NOT_TESTED</t>
        </is>
      </c>
      <c r="T44" s="3" t="inlineStr">
        <is>
          <t>NOT_TESTED</t>
        </is>
      </c>
      <c r="U44" s="3" t="inlineStr">
        <is>
          <t>NOT_TESTED</t>
        </is>
      </c>
      <c r="V44" s="3" t="inlineStr">
        <is>
          <t>NOT_TESTED</t>
        </is>
      </c>
      <c r="W44" s="3" t="inlineStr">
        <is>
          <t>NOT_TESTED</t>
        </is>
      </c>
      <c r="X44" s="3" t="inlineStr">
        <is>
          <t>NOT_TESTED</t>
        </is>
      </c>
      <c r="Y44" s="3" t="inlineStr">
        <is>
          <t>NOT_TESTED</t>
        </is>
      </c>
      <c r="Z44" s="3" t="inlineStr">
        <is>
          <t>NOT_TESTED</t>
        </is>
      </c>
      <c r="AA44" s="3" t="inlineStr">
        <is>
          <t>NOT_TESTED</t>
        </is>
      </c>
      <c r="AB44" s="3" t="inlineStr">
        <is>
          <t>NOT_TESTED</t>
        </is>
      </c>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2" t="n"/>
      <c r="CW44" s="2" t="n"/>
      <c r="CX44" s="2" t="n"/>
      <c r="CY44" s="2" t="n"/>
      <c r="CZ44" s="2" t="n"/>
      <c r="DA44" s="2" t="n"/>
      <c r="DB44" s="2" t="n"/>
      <c r="DC44" s="2" t="n"/>
      <c r="DD44" s="2" t="n"/>
      <c r="DE44" s="2" t="n"/>
    </row>
    <row r="45">
      <c r="A45" s="2" t="inlineStr">
        <is>
          <t>issue_742</t>
        </is>
      </c>
      <c r="B45" s="3" t="inlineStr">
        <is>
          <t>NOT_TESTED</t>
        </is>
      </c>
      <c r="C45" s="3" t="inlineStr">
        <is>
          <t>NOT_TESTED</t>
        </is>
      </c>
      <c r="D45" s="3" t="inlineStr">
        <is>
          <t>NOT_TESTED</t>
        </is>
      </c>
      <c r="E45" s="3" t="inlineStr">
        <is>
          <t>NOT_TESTED</t>
        </is>
      </c>
      <c r="F45" s="3" t="inlineStr">
        <is>
          <t>NOT_TESTED</t>
        </is>
      </c>
      <c r="G45" s="3" t="inlineStr">
        <is>
          <t>NOT_TESTED</t>
        </is>
      </c>
      <c r="H45" s="3" t="inlineStr">
        <is>
          <t>NOT_TESTED</t>
        </is>
      </c>
      <c r="I45" s="3" t="inlineStr">
        <is>
          <t>NOT_TESTED</t>
        </is>
      </c>
      <c r="J45" s="3" t="inlineStr">
        <is>
          <t>NOT_TESTED</t>
        </is>
      </c>
      <c r="K45" s="3" t="inlineStr">
        <is>
          <t>NOT_TESTED</t>
        </is>
      </c>
      <c r="L45" s="3" t="inlineStr">
        <is>
          <t>NOT_TESTED</t>
        </is>
      </c>
      <c r="M45" s="3" t="inlineStr">
        <is>
          <t>NOT_TESTED</t>
        </is>
      </c>
      <c r="N45" s="3" t="inlineStr">
        <is>
          <t>NOT_TESTED</t>
        </is>
      </c>
      <c r="O45" s="3" t="inlineStr">
        <is>
          <t>NOT_TESTED</t>
        </is>
      </c>
      <c r="P45" s="3" t="inlineStr">
        <is>
          <t>NOT_TESTED</t>
        </is>
      </c>
      <c r="Q45" s="4" t="inlineStr">
        <is>
          <t>Passed on test</t>
        </is>
      </c>
      <c r="R45" s="4" t="inlineStr">
        <is>
          <t>Passed on test</t>
        </is>
      </c>
      <c r="S45" s="4" t="inlineStr">
        <is>
          <t>Passed on test</t>
        </is>
      </c>
      <c r="T45" s="4" t="inlineStr">
        <is>
          <t>Passed on test</t>
        </is>
      </c>
      <c r="U45" s="4" t="inlineStr">
        <is>
          <t>Passed on test</t>
        </is>
      </c>
      <c r="V45" s="4" t="inlineStr">
        <is>
          <t>Passed on test</t>
        </is>
      </c>
      <c r="W45" s="4" t="inlineStr">
        <is>
          <t>Passed on test</t>
        </is>
      </c>
      <c r="X45" s="4" t="inlineStr">
        <is>
          <t>Passed on test</t>
        </is>
      </c>
      <c r="Y45" s="4" t="inlineStr">
        <is>
          <t>Passed on test</t>
        </is>
      </c>
      <c r="Z45" s="4" t="inlineStr">
        <is>
          <t>Passed on test</t>
        </is>
      </c>
      <c r="AA45" s="4" t="inlineStr">
        <is>
          <t>Passed on test</t>
        </is>
      </c>
      <c r="AB45" s="4" t="inlineStr">
        <is>
          <t>Passed on test</t>
        </is>
      </c>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2" t="n"/>
      <c r="CW45" s="2" t="n"/>
      <c r="CX45" s="2" t="n"/>
      <c r="CY45" s="2" t="n"/>
      <c r="CZ45" s="2" t="n"/>
      <c r="DA45" s="2" t="n"/>
      <c r="DB45" s="2" t="n"/>
      <c r="DC45" s="2" t="n"/>
      <c r="DD45" s="2" t="n"/>
      <c r="DE45" s="2" t="n"/>
    </row>
    <row r="46">
      <c r="A46" s="2" t="inlineStr">
        <is>
          <t>issue_747</t>
        </is>
      </c>
      <c r="B46" s="3" t="inlineStr">
        <is>
          <t>NOT_TESTED</t>
        </is>
      </c>
      <c r="C46" s="3" t="inlineStr">
        <is>
          <t>NOT_TESTED</t>
        </is>
      </c>
      <c r="D46" s="3" t="inlineStr">
        <is>
          <t>NOT_TESTED</t>
        </is>
      </c>
      <c r="E46" s="3" t="inlineStr">
        <is>
          <t>NOT_TESTED</t>
        </is>
      </c>
      <c r="F46" s="4" t="inlineStr">
        <is>
          <t>Passed on test</t>
        </is>
      </c>
      <c r="G46" s="4" t="inlineStr">
        <is>
          <t>Passed on test</t>
        </is>
      </c>
      <c r="H46" s="4" t="inlineStr">
        <is>
          <t>Passed on test</t>
        </is>
      </c>
      <c r="I46" s="4" t="inlineStr">
        <is>
          <t>Passed on test</t>
        </is>
      </c>
      <c r="J46" s="4" t="inlineStr">
        <is>
          <t>Passed on test</t>
        </is>
      </c>
      <c r="K46" s="4" t="inlineStr">
        <is>
          <t>Passed on test</t>
        </is>
      </c>
      <c r="L46" s="4" t="inlineStr">
        <is>
          <t>Passed on test</t>
        </is>
      </c>
      <c r="M46" s="4" t="inlineStr">
        <is>
          <t>Passed on test</t>
        </is>
      </c>
      <c r="N46" s="3" t="inlineStr">
        <is>
          <t>NOT_TESTED</t>
        </is>
      </c>
      <c r="O46" s="3" t="inlineStr">
        <is>
          <t>NOT_TESTED</t>
        </is>
      </c>
      <c r="P46" s="3" t="inlineStr">
        <is>
          <t>NOT_TESTED</t>
        </is>
      </c>
      <c r="Q46" s="3" t="inlineStr">
        <is>
          <t>NOT_TESTED</t>
        </is>
      </c>
      <c r="R46" s="3" t="inlineStr">
        <is>
          <t>NOT_TESTED</t>
        </is>
      </c>
      <c r="S46" s="3" t="inlineStr">
        <is>
          <t>NOT_TESTED</t>
        </is>
      </c>
      <c r="T46" s="3" t="inlineStr">
        <is>
          <t>NOT_TESTED</t>
        </is>
      </c>
      <c r="U46" s="3" t="inlineStr">
        <is>
          <t>NOT_TESTED</t>
        </is>
      </c>
      <c r="V46" s="3" t="inlineStr">
        <is>
          <t>NOT_TESTED</t>
        </is>
      </c>
      <c r="W46" s="3" t="inlineStr">
        <is>
          <t>NOT_TESTED</t>
        </is>
      </c>
      <c r="X46" s="3" t="inlineStr">
        <is>
          <t>NOT_TESTED</t>
        </is>
      </c>
      <c r="Y46" s="3" t="inlineStr">
        <is>
          <t>NOT_TESTED</t>
        </is>
      </c>
      <c r="Z46" s="3" t="inlineStr">
        <is>
          <t>NOT_TESTED</t>
        </is>
      </c>
      <c r="AA46" s="3" t="inlineStr">
        <is>
          <t>NOT_TESTED</t>
        </is>
      </c>
      <c r="AB46" s="3" t="inlineStr">
        <is>
          <t>NOT_TESTED</t>
        </is>
      </c>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2" t="n"/>
      <c r="CW46" s="2" t="n"/>
      <c r="CX46" s="2" t="n"/>
      <c r="CY46" s="2" t="n"/>
      <c r="CZ46" s="2" t="n"/>
      <c r="DA46" s="2" t="n"/>
      <c r="DB46" s="2" t="n"/>
      <c r="DC46" s="2" t="n"/>
      <c r="DD46" s="2" t="n"/>
      <c r="DE46" s="2" t="n"/>
    </row>
    <row r="47">
      <c r="A47" s="2" t="inlineStr">
        <is>
          <t>issue_750</t>
        </is>
      </c>
      <c r="B47" s="3" t="inlineStr">
        <is>
          <t>NOT_TESTED</t>
        </is>
      </c>
      <c r="C47" s="3" t="inlineStr">
        <is>
          <t>NOT_TESTED</t>
        </is>
      </c>
      <c r="D47" s="3" t="inlineStr">
        <is>
          <t>NOT_TESTED</t>
        </is>
      </c>
      <c r="E47" s="3" t="inlineStr">
        <is>
          <t>NOT_TESTED</t>
        </is>
      </c>
      <c r="F47" s="6" t="inlineStr">
        <is>
          <t>Runtime error</t>
        </is>
      </c>
      <c r="G47" s="6" t="inlineStr">
        <is>
          <t>Runtime error</t>
        </is>
      </c>
      <c r="H47" s="6" t="inlineStr">
        <is>
          <t>Runtime error</t>
        </is>
      </c>
      <c r="I47" s="6" t="inlineStr">
        <is>
          <t>Runtime error</t>
        </is>
      </c>
      <c r="J47" s="6" t="inlineStr">
        <is>
          <t>Runtime error</t>
        </is>
      </c>
      <c r="K47" s="6" t="inlineStr">
        <is>
          <t>Runtime error</t>
        </is>
      </c>
      <c r="L47" s="6" t="inlineStr">
        <is>
          <t>Runtime error</t>
        </is>
      </c>
      <c r="M47" s="6" t="inlineStr">
        <is>
          <t>Runtime error</t>
        </is>
      </c>
      <c r="N47" s="6" t="inlineStr">
        <is>
          <t>Runtime error</t>
        </is>
      </c>
      <c r="O47" s="6" t="inlineStr">
        <is>
          <t>Runtime error</t>
        </is>
      </c>
      <c r="P47" s="6" t="inlineStr">
        <is>
          <t>Runtime error</t>
        </is>
      </c>
      <c r="Q47" s="6" t="inlineStr">
        <is>
          <t>Runtime error</t>
        </is>
      </c>
      <c r="R47" s="6" t="inlineStr">
        <is>
          <t>Runtime error</t>
        </is>
      </c>
      <c r="S47" s="6" t="inlineStr">
        <is>
          <t>Runtime error</t>
        </is>
      </c>
      <c r="T47" s="6" t="inlineStr">
        <is>
          <t>Runtime error</t>
        </is>
      </c>
      <c r="U47" s="6" t="inlineStr">
        <is>
          <t>Runtime error</t>
        </is>
      </c>
      <c r="V47" s="6" t="inlineStr">
        <is>
          <t>Runtime error</t>
        </is>
      </c>
      <c r="W47" s="6" t="inlineStr">
        <is>
          <t>Runtime error</t>
        </is>
      </c>
      <c r="X47" s="6" t="inlineStr">
        <is>
          <t>Runtime error</t>
        </is>
      </c>
      <c r="Y47" s="6" t="inlineStr">
        <is>
          <t>Runtime error</t>
        </is>
      </c>
      <c r="Z47" s="6" t="inlineStr">
        <is>
          <t>Runtime error</t>
        </is>
      </c>
      <c r="AA47" s="6" t="inlineStr">
        <is>
          <t>Runtime error</t>
        </is>
      </c>
      <c r="AB47" s="6" t="inlineStr">
        <is>
          <t>Runtime error</t>
        </is>
      </c>
      <c r="AC47" s="2" t="n"/>
      <c r="AD47" s="2" t="n"/>
      <c r="AE47" s="2" t="n"/>
      <c r="AF47" s="2" t="n"/>
      <c r="AG47" s="2" t="n"/>
      <c r="AH47" s="2" t="n"/>
      <c r="AI47" s="2" t="n"/>
      <c r="AJ47" s="2" t="n"/>
      <c r="AK47" s="2" t="n"/>
      <c r="AL47" s="2" t="n"/>
      <c r="AM47" s="2" t="n"/>
      <c r="AN47" s="2" t="n"/>
      <c r="AO47" s="2" t="inlineStr">
        <is>
          <t>TypeError</t>
        </is>
      </c>
      <c r="AP47" s="2" t="inlineStr">
        <is>
          <t>TypeError: Pauli.__init__() got an unexpected keyword argument 'label'</t>
        </is>
      </c>
      <c r="AQ47" s="2" t="inlineStr">
        <is>
          <t>The LLM said there is no bug and returned the code unchanged, but Pauli(label=...) no longer exists (TypeError: Pauli.__init__() got an unexpected keyword argument 'label'). Same as gpt-5.6-luna.</t>
        </is>
      </c>
      <c r="AR47" s="2" t="inlineStr">
        <is>
          <t>TypeError</t>
        </is>
      </c>
      <c r="AS47" s="2" t="inlineStr">
        <is>
          <t>TypeError: Pauli.__init__() got an unexpected keyword argument 'label'</t>
        </is>
      </c>
      <c r="AT47" s="2" t="inlineStr">
        <is>
          <t>The LLM said there is no bug and returned the code unchanged, but Pauli(label=...) no longer exists (TypeError: Pauli.__init__() got an unexpected keyword argument 'label'). Same as gpt-5.6-luna.</t>
        </is>
      </c>
      <c r="AU47" s="2" t="inlineStr">
        <is>
          <t>TypeError</t>
        </is>
      </c>
      <c r="AV47" s="2" t="inlineStr">
        <is>
          <t>TypeError: Pauli.__init__() got an unexpected keyword argument 'label'</t>
        </is>
      </c>
      <c r="AW47" s="2" t="inlineStr">
        <is>
          <t>The LLM said there is no bug and returned the code unchanged, but Pauli(label=...) no longer exists (TypeError: Pauli.__init__() got an unexpected keyword argument 'label'). Same as gpt-5.6-luna.</t>
        </is>
      </c>
      <c r="AX47" s="2" t="inlineStr">
        <is>
          <t>TypeError</t>
        </is>
      </c>
      <c r="AY47" s="2" t="inlineStr">
        <is>
          <t>TypeError: Pauli.__init__() got an unexpected keyword argument 'label'</t>
        </is>
      </c>
      <c r="AZ47" s="2" t="inlineStr">
        <is>
          <t>The LLM said there is no bug and returned the code unchanged, but Pauli(label=...) no longer exists (TypeError: Pauli.__init__() got an unexpected keyword argument 'label'). Same as gpt-5.6-luna.</t>
        </is>
      </c>
      <c r="BA47" s="2" t="inlineStr">
        <is>
          <t>TypeError</t>
        </is>
      </c>
      <c r="BB47" s="2" t="inlineStr">
        <is>
          <t>TypeError: Pauli.__init__() got an unexpected keyword argument 'label'</t>
        </is>
      </c>
      <c r="BC47" s="2" t="inlineStr">
        <is>
          <t>The LLM said there is no bug and returned the code unchanged, but Pauli(label=...) no longer exists (TypeError: Pauli.__init__() got an unexpected keyword argument 'label'). Same as gpt-5.6-luna.</t>
        </is>
      </c>
      <c r="BD47" s="2" t="inlineStr">
        <is>
          <t>TypeError</t>
        </is>
      </c>
      <c r="BE47" s="2" t="inlineStr">
        <is>
          <t>TypeError: Pauli.__init__() got an unexpected keyword argument 'label'</t>
        </is>
      </c>
      <c r="BF47" s="2" t="inlineStr">
        <is>
          <t>The LLM said there is no bug and returned the code unchanged, but Pauli(label=...) no longer exists (TypeError: Pauli.__init__() got an unexpected keyword argument 'label'). Same as gpt-5.6-luna.</t>
        </is>
      </c>
      <c r="BG47" s="2" t="inlineStr">
        <is>
          <t>TypeError</t>
        </is>
      </c>
      <c r="BH47" s="2" t="inlineStr">
        <is>
          <t>TypeError: Pauli.__init__() got an unexpected keyword argument 'label'</t>
        </is>
      </c>
      <c r="BI47" s="2" t="inlineStr">
        <is>
          <t>The LLM said there is no bug and returned the code unchanged, but Pauli(label=...) no longer exists (TypeError: Pauli.__init__() got an unexpected keyword argument 'label'). Same as gpt-5.6-luna.</t>
        </is>
      </c>
      <c r="BJ47" s="2" t="inlineStr">
        <is>
          <t>TypeError</t>
        </is>
      </c>
      <c r="BK47" s="2" t="inlineStr">
        <is>
          <t>TypeError: Pauli.__init__() got an unexpected keyword argument 'label'</t>
        </is>
      </c>
      <c r="BL47" s="2" t="inlineStr">
        <is>
          <t>The LLM said there is no bug and returned the code unchanged, but Pauli(label=...) no longer exists (TypeError: Pauli.__init__() got an unexpected keyword argument 'label'). Same as gpt-5.6-luna.</t>
        </is>
      </c>
      <c r="BM47" s="2" t="inlineStr">
        <is>
          <t>TypeError</t>
        </is>
      </c>
      <c r="BN47" s="2" t="inlineStr">
        <is>
          <t>TypeError: Pauli.__init__() got an unexpected keyword argument 'label'</t>
        </is>
      </c>
      <c r="BO47" s="2" t="inlineStr">
        <is>
          <t>The LLM said there is no bug and returned the code unchanged, but Pauli(label=...) no longer exists (TypeError: Pauli.__init__() got an unexpected keyword argument 'label'). Same as gpt-5.6-luna.</t>
        </is>
      </c>
      <c r="BP47" s="2" t="inlineStr">
        <is>
          <t>TypeError</t>
        </is>
      </c>
      <c r="BQ47" s="2" t="inlineStr">
        <is>
          <t>TypeError: Pauli.__init__() got an unexpected keyword argument 'label'</t>
        </is>
      </c>
      <c r="BR47" s="2" t="inlineStr">
        <is>
          <t>The LLM said there is no bug and returned the code unchanged, but Pauli(label=...) no longer exists (TypeError: Pauli.__init__() got an unexpected keyword argument 'label'). Same as gpt-5.6-luna.</t>
        </is>
      </c>
      <c r="BS47" s="2" t="inlineStr">
        <is>
          <t>TypeError</t>
        </is>
      </c>
      <c r="BT47" s="2" t="inlineStr">
        <is>
          <t>TypeError: Pauli.__init__() got an unexpected keyword argument 'label'</t>
        </is>
      </c>
      <c r="BU47" s="2" t="inlineStr">
        <is>
          <t>The LLM said there is no bug and returned the code unchanged, but Pauli(label=...) no longer exists (TypeError: Pauli.__init__() got an unexpected keyword argument 'label'). Same as gpt-5.6-luna.</t>
        </is>
      </c>
      <c r="BV47" s="2" t="inlineStr">
        <is>
          <t>TypeError</t>
        </is>
      </c>
      <c r="BW47" s="2" t="inlineStr">
        <is>
          <t>TypeError: Pauli.__init__() got an unexpected keyword argument 'label'</t>
        </is>
      </c>
      <c r="BX47" s="2" t="inlineStr">
        <is>
          <t>The LLM said there is no bug and returned the code unchanged, but Pauli(label=...) no longer exists (TypeError: Pauli.__init__() got an unexpected keyword argument 'label'). Same as gpt-5.6-luna.</t>
        </is>
      </c>
      <c r="BY47" s="2" t="inlineStr">
        <is>
          <t>TypeError</t>
        </is>
      </c>
      <c r="BZ47" s="2" t="inlineStr">
        <is>
          <t>TypeError: Pauli.__init__() got an unexpected keyword argument 'label'</t>
        </is>
      </c>
      <c r="CA47" s="2" t="inlineStr">
        <is>
          <t>The LLM said there is no bug and returned the code unchanged, but Pauli(label=...) no longer exists (TypeError: Pauli.__init__() got an unexpected keyword argument 'label'). Same as gpt-5.6-luna.</t>
        </is>
      </c>
      <c r="CB47" s="2" t="inlineStr">
        <is>
          <t>TypeError</t>
        </is>
      </c>
      <c r="CC47" s="2" t="inlineStr">
        <is>
          <t>TypeError: Pauli.__init__() got an unexpected keyword argument 'label'</t>
        </is>
      </c>
      <c r="CD47" s="2" t="inlineStr">
        <is>
          <t>The LLM said there is no bug and returned the code unchanged, but Pauli(label=...) no longer exists (TypeError: Pauli.__init__() got an unexpected keyword argument 'label'). Same as gpt-5.6-luna.</t>
        </is>
      </c>
      <c r="CE47" s="2" t="inlineStr">
        <is>
          <t>TypeError</t>
        </is>
      </c>
      <c r="CF47" s="2" t="inlineStr">
        <is>
          <t>TypeError: Pauli.__init__() got an unexpected keyword argument 'label'</t>
        </is>
      </c>
      <c r="CG47" s="2" t="inlineStr">
        <is>
          <t>The LLM said there is no bug and returned the code unchanged, but Pauli(label=...) no longer exists (TypeError: Pauli.__init__() got an unexpected keyword argument 'label'). Same as gpt-5.6-luna.</t>
        </is>
      </c>
      <c r="CH47" s="2" t="inlineStr">
        <is>
          <t>TypeError</t>
        </is>
      </c>
      <c r="CI47" s="2" t="inlineStr">
        <is>
          <t>TypeError: Pauli.__init__() got an unexpected keyword argument 'label'</t>
        </is>
      </c>
      <c r="CJ47" s="2" t="inlineStr">
        <is>
          <t>The LLM said there is no bug and returned the code unchanged, but Pauli(label=...) no longer exists (TypeError: Pauli.__init__() got an unexpected keyword argument 'label'). Same as gpt-5.6-luna.</t>
        </is>
      </c>
      <c r="CK47" s="2" t="inlineStr">
        <is>
          <t>TypeError</t>
        </is>
      </c>
      <c r="CL47" s="2" t="inlineStr">
        <is>
          <t>TypeError: Pauli.__init__() got an unexpected keyword argument 'label'</t>
        </is>
      </c>
      <c r="CM47" s="2" t="inlineStr">
        <is>
          <t>The LLM said there is no bug and returned the code unchanged, but Pauli(label=...) no longer exists (TypeError: Pauli.__init__() got an unexpected keyword argument 'label'). Same as gpt-5.6-luna.</t>
        </is>
      </c>
      <c r="CN47" s="2" t="inlineStr">
        <is>
          <t>TypeError</t>
        </is>
      </c>
      <c r="CO47" s="2" t="inlineStr">
        <is>
          <t>TypeError: Pauli.__init__() got an unexpected keyword argument 'label'</t>
        </is>
      </c>
      <c r="CP47" s="2" t="inlineStr">
        <is>
          <t>The LLM said there is no bug and returned the code unchanged, but Pauli(label=...) no longer exists (TypeError: Pauli.__init__() got an unexpected keyword argument 'label'). Same as gpt-5.6-luna.</t>
        </is>
      </c>
      <c r="CQ47" s="2" t="inlineStr">
        <is>
          <t>TypeError</t>
        </is>
      </c>
      <c r="CR47" s="2" t="inlineStr">
        <is>
          <t>TypeError: Pauli.__init__() got an unexpected keyword argument 'label'</t>
        </is>
      </c>
      <c r="CS47" s="2" t="inlineStr">
        <is>
          <t>The LLM said there is no bug and returned the code unchanged, but Pauli(label=...) no longer exists (TypeError: Pauli.__init__() got an unexpected keyword argument 'label'). Same as gpt-5.6-luna.</t>
        </is>
      </c>
      <c r="CT47" s="2" t="inlineStr">
        <is>
          <t>TypeError</t>
        </is>
      </c>
      <c r="CU47" s="2" t="inlineStr">
        <is>
          <t>TypeError: Pauli.__init__() got an unexpected keyword argument 'label'</t>
        </is>
      </c>
      <c r="CV47" s="2" t="inlineStr">
        <is>
          <t>The LLM said there is no bug and returned the code unchanged, but Pauli(label=...) no longer exists (TypeError: Pauli.__init__() got an unexpected keyword argument 'label'). Same as gpt-5.6-luna.</t>
        </is>
      </c>
      <c r="CW47" s="2" t="inlineStr">
        <is>
          <t>TypeError</t>
        </is>
      </c>
      <c r="CX47" s="2" t="inlineStr">
        <is>
          <t>TypeError: Pauli.__init__() got an unexpected keyword argument 'label'</t>
        </is>
      </c>
      <c r="CY47" s="2" t="inlineStr">
        <is>
          <t>The LLM said there is no bug and returned the code unchanged, but Pauli(label=...) no longer exists (TypeError: Pauli.__init__() got an unexpected keyword argument 'label'). Same as gpt-5.6-luna.</t>
        </is>
      </c>
      <c r="CZ47" s="2" t="inlineStr">
        <is>
          <t>TypeError</t>
        </is>
      </c>
      <c r="DA47" s="2" t="inlineStr">
        <is>
          <t>TypeError: Pauli.__init__() got an unexpected keyword argument 'label'</t>
        </is>
      </c>
      <c r="DB47" s="2" t="inlineStr">
        <is>
          <t>The LLM said there is no bug and returned the code unchanged, but Pauli(label=...) no longer exists (TypeError: Pauli.__init__() got an unexpected keyword argument 'label'). Same as gpt-5.6-luna.</t>
        </is>
      </c>
      <c r="DC47" s="2" t="inlineStr">
        <is>
          <t>TypeError</t>
        </is>
      </c>
      <c r="DD47" s="2" t="inlineStr">
        <is>
          <t>TypeError: Pauli.__init__() got an unexpected keyword argument 'label'</t>
        </is>
      </c>
      <c r="DE47" s="2" t="inlineStr">
        <is>
          <t>The LLM said there is no bug and returned the code unchanged, but Pauli(label=...) no longer exists (TypeError: Pauli.__init__() got an unexpected keyword argument 'label'). Same as gpt-5.6-luna.</t>
        </is>
      </c>
    </row>
    <row r="48">
      <c r="A48" s="2" t="inlineStr">
        <is>
          <t>issue_769</t>
        </is>
      </c>
      <c r="B48" s="3" t="inlineStr">
        <is>
          <t>NOT_TESTED</t>
        </is>
      </c>
      <c r="C48" s="3" t="inlineStr">
        <is>
          <t>NOT_TESTED</t>
        </is>
      </c>
      <c r="D48" s="3" t="inlineStr">
        <is>
          <t>NOT_TESTED</t>
        </is>
      </c>
      <c r="E48" s="3" t="inlineStr">
        <is>
          <t>NOT_TESTED</t>
        </is>
      </c>
      <c r="F48" s="3" t="inlineStr">
        <is>
          <t>NOT_TESTED</t>
        </is>
      </c>
      <c r="G48" s="3" t="inlineStr">
        <is>
          <t>NOT_TESTED</t>
        </is>
      </c>
      <c r="H48" s="3" t="inlineStr">
        <is>
          <t>NOT_TESTED</t>
        </is>
      </c>
      <c r="I48" s="3" t="inlineStr">
        <is>
          <t>NOT_TESTED</t>
        </is>
      </c>
      <c r="J48" s="3" t="inlineStr">
        <is>
          <t>NOT_TESTED</t>
        </is>
      </c>
      <c r="K48" s="3" t="inlineStr">
        <is>
          <t>NOT_TESTED</t>
        </is>
      </c>
      <c r="L48" s="3" t="inlineStr">
        <is>
          <t>NOT_TESTED</t>
        </is>
      </c>
      <c r="M48" s="3" t="inlineStr">
        <is>
          <t>NOT_TESTED</t>
        </is>
      </c>
      <c r="N48" s="6" t="inlineStr">
        <is>
          <t>Runtime error</t>
        </is>
      </c>
      <c r="O48" s="6" t="inlineStr">
        <is>
          <t>Runtime error</t>
        </is>
      </c>
      <c r="P48" s="6" t="inlineStr">
        <is>
          <t>Runtime error</t>
        </is>
      </c>
      <c r="Q48" s="6" t="inlineStr">
        <is>
          <t>Runtime error</t>
        </is>
      </c>
      <c r="R48" s="6" t="inlineStr">
        <is>
          <t>Runtime error</t>
        </is>
      </c>
      <c r="S48" s="6" t="inlineStr">
        <is>
          <t>Runtime error</t>
        </is>
      </c>
      <c r="T48" s="6" t="inlineStr">
        <is>
          <t>Runtime error</t>
        </is>
      </c>
      <c r="U48" s="6" t="inlineStr">
        <is>
          <t>Runtime error</t>
        </is>
      </c>
      <c r="V48" s="6" t="inlineStr">
        <is>
          <t>Runtime error</t>
        </is>
      </c>
      <c r="W48" s="6" t="inlineStr">
        <is>
          <t>Runtime error</t>
        </is>
      </c>
      <c r="X48" s="6" t="inlineStr">
        <is>
          <t>Runtime error</t>
        </is>
      </c>
      <c r="Y48" s="6" t="inlineStr">
        <is>
          <t>Runtime error</t>
        </is>
      </c>
      <c r="Z48" s="6" t="inlineStr">
        <is>
          <t>Runtime error</t>
        </is>
      </c>
      <c r="AA48" s="6" t="inlineStr">
        <is>
          <t>Runtime error</t>
        </is>
      </c>
      <c r="AB48" s="6" t="inlineStr">
        <is>
          <t>Runtime error</t>
        </is>
      </c>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inlineStr">
        <is>
          <t>KeyError</t>
        </is>
      </c>
      <c r="BN48" s="2" t="inlineStr">
        <is>
          <t>KeyError: 'get_qiskit_gate'</t>
        </is>
      </c>
      <c r="BO48" s="2" t="inlineStr">
        <is>
          <t>The LLM only checks whether the matrix equals X and returns XGate; there is no general matcher, and the test calls the answer's get_qiskit_gate() function by name (KeyError). Same problem as gpt-5.6-luna.</t>
        </is>
      </c>
      <c r="BP48" s="2" t="inlineStr">
        <is>
          <t>KeyError</t>
        </is>
      </c>
      <c r="BQ48" s="2" t="inlineStr">
        <is>
          <t>KeyError: 'get_qiskit_gate'</t>
        </is>
      </c>
      <c r="BR48" s="2" t="inlineStr">
        <is>
          <t>The LLM only checks whether the matrix equals X and returns XGate; there is no general matcher, and the test calls the answer's get_qiskit_gate() function by name (KeyError). Same problem as gpt-5.6-luna.</t>
        </is>
      </c>
      <c r="BS48" s="2" t="inlineStr">
        <is>
          <t>KeyError</t>
        </is>
      </c>
      <c r="BT48" s="2" t="inlineStr">
        <is>
          <t>KeyError: 'get_qiskit_gate'</t>
        </is>
      </c>
      <c r="BU48" s="2" t="inlineStr">
        <is>
          <t>The LLM only checks whether the matrix equals X and returns XGate; there is no general matcher, and the test calls the answer's get_qiskit_gate() function by name (KeyError). Same problem as gpt-5.6-luna.</t>
        </is>
      </c>
      <c r="BV48" s="2" t="inlineStr">
        <is>
          <t>KeyError</t>
        </is>
      </c>
      <c r="BW48" s="2" t="inlineStr">
        <is>
          <t>KeyError: 'get_qiskit_gate'</t>
        </is>
      </c>
      <c r="BX48" s="2" t="inlineStr">
        <is>
          <t>The LLM only checks whether the matrix equals X and returns XGate; there is no general matcher, and the test calls the answer's get_qiskit_gate() function by name (KeyError). Same problem as gpt-5.6-luna.</t>
        </is>
      </c>
      <c r="BY48" s="2" t="inlineStr">
        <is>
          <t>KeyError</t>
        </is>
      </c>
      <c r="BZ48" s="2" t="inlineStr">
        <is>
          <t>KeyError: 'get_qiskit_gate'</t>
        </is>
      </c>
      <c r="CA48" s="2" t="inlineStr">
        <is>
          <t>The LLM only checks whether the matrix equals X and returns XGate; there is no general matcher, and the test calls the answer's get_qiskit_gate() function by name (KeyError). Same problem as gpt-5.6-luna.</t>
        </is>
      </c>
      <c r="CB48" s="2" t="inlineStr">
        <is>
          <t>KeyError</t>
        </is>
      </c>
      <c r="CC48" s="2" t="inlineStr">
        <is>
          <t>KeyError: 'get_qiskit_gate'</t>
        </is>
      </c>
      <c r="CD48" s="2" t="inlineStr">
        <is>
          <t>The LLM only checks whether the matrix equals X and returns XGate; there is no general matcher, and the test calls the answer's get_qiskit_gate() function by name (KeyError). Same problem as gpt-5.6-luna.</t>
        </is>
      </c>
      <c r="CE48" s="2" t="inlineStr">
        <is>
          <t>KeyError</t>
        </is>
      </c>
      <c r="CF48" s="2" t="inlineStr">
        <is>
          <t>KeyError: 'get_qiskit_gate'</t>
        </is>
      </c>
      <c r="CG48" s="2" t="inlineStr">
        <is>
          <t>The LLM only checks whether the matrix equals X and returns XGate; there is no general matcher, and the test calls the answer's get_qiskit_gate() function by name (KeyError). Same problem as gpt-5.6-luna.</t>
        </is>
      </c>
      <c r="CH48" s="2" t="inlineStr">
        <is>
          <t>KeyError</t>
        </is>
      </c>
      <c r="CI48" s="2" t="inlineStr">
        <is>
          <t>KeyError: 'get_qiskit_gate'</t>
        </is>
      </c>
      <c r="CJ48" s="2" t="inlineStr">
        <is>
          <t>The LLM only checks whether the matrix equals X and returns XGate; there is no general matcher, and the test calls the answer's get_qiskit_gate() function by name (KeyError). Same problem as gpt-5.6-luna.</t>
        </is>
      </c>
      <c r="CK48" s="2" t="inlineStr">
        <is>
          <t>KeyError</t>
        </is>
      </c>
      <c r="CL48" s="2" t="inlineStr">
        <is>
          <t>KeyError: 'get_qiskit_gate'</t>
        </is>
      </c>
      <c r="CM48" s="2" t="inlineStr">
        <is>
          <t>The LLM only checks whether the matrix equals X and returns XGate; there is no general matcher, and the test calls the answer's get_qiskit_gate() function by name (KeyError). Same problem as gpt-5.6-luna.</t>
        </is>
      </c>
      <c r="CN48" s="2" t="inlineStr">
        <is>
          <t>KeyError</t>
        </is>
      </c>
      <c r="CO48" s="2" t="inlineStr">
        <is>
          <t>KeyError: 'get_qiskit_gate'</t>
        </is>
      </c>
      <c r="CP48" s="2" t="inlineStr">
        <is>
          <t>The LLM only checks whether the matrix equals X and returns XGate; there is no general matcher, and the test calls the answer's get_qiskit_gate() function by name (KeyError). Same problem as gpt-5.6-luna.</t>
        </is>
      </c>
      <c r="CQ48" s="2" t="inlineStr">
        <is>
          <t>KeyError</t>
        </is>
      </c>
      <c r="CR48" s="2" t="inlineStr">
        <is>
          <t>KeyError: 'get_qiskit_gate'</t>
        </is>
      </c>
      <c r="CS48" s="2" t="inlineStr">
        <is>
          <t>The LLM only checks whether the matrix equals X and returns XGate; there is no general matcher, and the test calls the answer's get_qiskit_gate() function by name (KeyError). Same problem as gpt-5.6-luna.</t>
        </is>
      </c>
      <c r="CT48" s="2" t="inlineStr">
        <is>
          <t>KeyError</t>
        </is>
      </c>
      <c r="CU48" s="2" t="inlineStr">
        <is>
          <t>KeyError: 'get_qiskit_gate'</t>
        </is>
      </c>
      <c r="CV48" s="2" t="inlineStr">
        <is>
          <t>The LLM only checks whether the matrix equals X and returns XGate; there is no general matcher, and the test calls the answer's get_qiskit_gate() function by name (KeyError). Same problem as gpt-5.6-luna.</t>
        </is>
      </c>
      <c r="CW48" s="2" t="inlineStr">
        <is>
          <t>KeyError</t>
        </is>
      </c>
      <c r="CX48" s="2" t="inlineStr">
        <is>
          <t>KeyError: 'get_qiskit_gate'</t>
        </is>
      </c>
      <c r="CY48" s="2" t="inlineStr">
        <is>
          <t>The LLM only checks whether the matrix equals X and returns XGate; there is no general matcher, and the test calls the answer's get_qiskit_gate() function by name (KeyError). Same problem as gpt-5.6-luna.</t>
        </is>
      </c>
      <c r="CZ48" s="2" t="inlineStr">
        <is>
          <t>KeyError</t>
        </is>
      </c>
      <c r="DA48" s="2" t="inlineStr">
        <is>
          <t>KeyError: 'get_qiskit_gate'</t>
        </is>
      </c>
      <c r="DB48" s="2" t="inlineStr">
        <is>
          <t>The LLM only checks whether the matrix equals X and returns XGate; there is no general matcher, and the test calls the answer's get_qiskit_gate() function by name (KeyError). Same problem as gpt-5.6-luna.</t>
        </is>
      </c>
      <c r="DC48" s="2" t="inlineStr">
        <is>
          <t>KeyError</t>
        </is>
      </c>
      <c r="DD48" s="2" t="inlineStr">
        <is>
          <t>KeyError: 'get_qiskit_gate'</t>
        </is>
      </c>
      <c r="DE48" s="2" t="inlineStr">
        <is>
          <t>The LLM only checks whether the matrix equals X and returns XGate; there is no general matcher, and the test calls the answer's get_qiskit_gate() function by name (KeyError). Same problem as gpt-5.6-luna.</t>
        </is>
      </c>
    </row>
    <row r="49">
      <c r="A49" s="2" t="inlineStr">
        <is>
          <t>issue_773</t>
        </is>
      </c>
      <c r="B49" s="3" t="inlineStr">
        <is>
          <t>NOT_TESTED</t>
        </is>
      </c>
      <c r="C49" s="3" t="inlineStr">
        <is>
          <t>NOT_TESTED</t>
        </is>
      </c>
      <c r="D49" s="3" t="inlineStr">
        <is>
          <t>NOT_TESTED</t>
        </is>
      </c>
      <c r="E49" s="3" t="inlineStr">
        <is>
          <t>NOT_TESTED</t>
        </is>
      </c>
      <c r="F49" s="4" t="inlineStr">
        <is>
          <t>Passed on test</t>
        </is>
      </c>
      <c r="G49" s="4" t="inlineStr">
        <is>
          <t>Passed on test</t>
        </is>
      </c>
      <c r="H49" s="4" t="inlineStr">
        <is>
          <t>Passed on test</t>
        </is>
      </c>
      <c r="I49" s="4" t="inlineStr">
        <is>
          <t>Passed on test</t>
        </is>
      </c>
      <c r="J49" s="4" t="inlineStr">
        <is>
          <t>Passed on test</t>
        </is>
      </c>
      <c r="K49" s="4" t="inlineStr">
        <is>
          <t>Passed on test</t>
        </is>
      </c>
      <c r="L49" s="4" t="inlineStr">
        <is>
          <t>Passed on test</t>
        </is>
      </c>
      <c r="M49" s="4" t="inlineStr">
        <is>
          <t>Passed on test</t>
        </is>
      </c>
      <c r="N49" s="3" t="inlineStr">
        <is>
          <t>NOT_TESTED</t>
        </is>
      </c>
      <c r="O49" s="3" t="inlineStr">
        <is>
          <t>NOT_TESTED</t>
        </is>
      </c>
      <c r="P49" s="3" t="inlineStr">
        <is>
          <t>NOT_TESTED</t>
        </is>
      </c>
      <c r="Q49" s="3" t="inlineStr">
        <is>
          <t>NOT_TESTED</t>
        </is>
      </c>
      <c r="R49" s="3" t="inlineStr">
        <is>
          <t>NOT_TESTED</t>
        </is>
      </c>
      <c r="S49" s="3" t="inlineStr">
        <is>
          <t>NOT_TESTED</t>
        </is>
      </c>
      <c r="T49" s="3" t="inlineStr">
        <is>
          <t>NOT_TESTED</t>
        </is>
      </c>
      <c r="U49" s="3" t="inlineStr">
        <is>
          <t>NOT_TESTED</t>
        </is>
      </c>
      <c r="V49" s="3" t="inlineStr">
        <is>
          <t>NOT_TESTED</t>
        </is>
      </c>
      <c r="W49" s="3" t="inlineStr">
        <is>
          <t>NOT_TESTED</t>
        </is>
      </c>
      <c r="X49" s="3" t="inlineStr">
        <is>
          <t>NOT_TESTED</t>
        </is>
      </c>
      <c r="Y49" s="3" t="inlineStr">
        <is>
          <t>NOT_TESTED</t>
        </is>
      </c>
      <c r="Z49" s="3" t="inlineStr">
        <is>
          <t>NOT_TESTED</t>
        </is>
      </c>
      <c r="AA49" s="3" t="inlineStr">
        <is>
          <t>NOT_TESTED</t>
        </is>
      </c>
      <c r="AB49" s="3" t="inlineStr">
        <is>
          <t>NOT_TESTED</t>
        </is>
      </c>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2" t="n"/>
      <c r="CW49" s="2" t="n"/>
      <c r="CX49" s="2" t="n"/>
      <c r="CY49" s="2" t="n"/>
      <c r="CZ49" s="2" t="n"/>
      <c r="DA49" s="2" t="n"/>
      <c r="DB49" s="2" t="n"/>
      <c r="DC49" s="2" t="n"/>
      <c r="DD49" s="2" t="n"/>
      <c r="DE49" s="2" t="n"/>
    </row>
    <row r="50">
      <c r="A50" s="2" t="inlineStr">
        <is>
          <t>issue_775</t>
        </is>
      </c>
      <c r="B50" s="4" t="inlineStr">
        <is>
          <t>Passed on test</t>
        </is>
      </c>
      <c r="C50" s="4" t="inlineStr">
        <is>
          <t>Passed on test</t>
        </is>
      </c>
      <c r="D50" s="4" t="inlineStr">
        <is>
          <t>Passed on test</t>
        </is>
      </c>
      <c r="E50" s="4" t="inlineStr">
        <is>
          <t>Passed on test</t>
        </is>
      </c>
      <c r="F50" s="4" t="inlineStr">
        <is>
          <t>Passed on test</t>
        </is>
      </c>
      <c r="G50" s="4" t="inlineStr">
        <is>
          <t>Passed on test</t>
        </is>
      </c>
      <c r="H50" s="4" t="inlineStr">
        <is>
          <t>Passed on test</t>
        </is>
      </c>
      <c r="I50" s="4" t="inlineStr">
        <is>
          <t>Passed on test</t>
        </is>
      </c>
      <c r="J50" s="4" t="inlineStr">
        <is>
          <t>Passed on test</t>
        </is>
      </c>
      <c r="K50" s="4" t="inlineStr">
        <is>
          <t>Passed on test</t>
        </is>
      </c>
      <c r="L50" s="4" t="inlineStr">
        <is>
          <t>Passed on test</t>
        </is>
      </c>
      <c r="M50" s="4" t="inlineStr">
        <is>
          <t>Passed on test</t>
        </is>
      </c>
      <c r="N50" s="3" t="inlineStr">
        <is>
          <t>NOT_TESTED</t>
        </is>
      </c>
      <c r="O50" s="3" t="inlineStr">
        <is>
          <t>NOT_TESTED</t>
        </is>
      </c>
      <c r="P50" s="3" t="inlineStr">
        <is>
          <t>NOT_TESTED</t>
        </is>
      </c>
      <c r="Q50" s="3" t="inlineStr">
        <is>
          <t>NOT_TESTED</t>
        </is>
      </c>
      <c r="R50" s="3" t="inlineStr">
        <is>
          <t>NOT_TESTED</t>
        </is>
      </c>
      <c r="S50" s="3" t="inlineStr">
        <is>
          <t>NOT_TESTED</t>
        </is>
      </c>
      <c r="T50" s="3" t="inlineStr">
        <is>
          <t>NOT_TESTED</t>
        </is>
      </c>
      <c r="U50" s="3" t="inlineStr">
        <is>
          <t>NOT_TESTED</t>
        </is>
      </c>
      <c r="V50" s="3" t="inlineStr">
        <is>
          <t>NOT_TESTED</t>
        </is>
      </c>
      <c r="W50" s="3" t="inlineStr">
        <is>
          <t>NOT_TESTED</t>
        </is>
      </c>
      <c r="X50" s="3" t="inlineStr">
        <is>
          <t>NOT_TESTED</t>
        </is>
      </c>
      <c r="Y50" s="3" t="inlineStr">
        <is>
          <t>NOT_TESTED</t>
        </is>
      </c>
      <c r="Z50" s="3" t="inlineStr">
        <is>
          <t>NOT_TESTED</t>
        </is>
      </c>
      <c r="AA50" s="3" t="inlineStr">
        <is>
          <t>NOT_TESTED</t>
        </is>
      </c>
      <c r="AB50" s="3" t="inlineStr">
        <is>
          <t>NOT_TESTED</t>
        </is>
      </c>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2" t="n"/>
      <c r="CW50" s="2" t="n"/>
      <c r="CX50" s="2" t="n"/>
      <c r="CY50" s="2" t="n"/>
      <c r="CZ50" s="2" t="n"/>
      <c r="DA50" s="2" t="n"/>
      <c r="DB50" s="2" t="n"/>
      <c r="DC50" s="2" t="n"/>
      <c r="DD50" s="2" t="n"/>
      <c r="DE50" s="2" t="n"/>
    </row>
    <row r="51">
      <c r="A51" s="2" t="inlineStr">
        <is>
          <t>issue_795</t>
        </is>
      </c>
      <c r="B51" s="4" t="inlineStr">
        <is>
          <t>Passed on test</t>
        </is>
      </c>
      <c r="C51" s="4" t="inlineStr">
        <is>
          <t>Passed on test</t>
        </is>
      </c>
      <c r="D51" s="4" t="inlineStr">
        <is>
          <t>Passed on test</t>
        </is>
      </c>
      <c r="E51" s="4" t="inlineStr">
        <is>
          <t>Passed on test</t>
        </is>
      </c>
      <c r="F51" s="4" t="inlineStr">
        <is>
          <t>Passed on test</t>
        </is>
      </c>
      <c r="G51" s="4" t="inlineStr">
        <is>
          <t>Passed on test</t>
        </is>
      </c>
      <c r="H51" s="4" t="inlineStr">
        <is>
          <t>Passed on test</t>
        </is>
      </c>
      <c r="I51" s="4" t="inlineStr">
        <is>
          <t>Passed on test</t>
        </is>
      </c>
      <c r="J51" s="4" t="inlineStr">
        <is>
          <t>Passed on test</t>
        </is>
      </c>
      <c r="K51" s="4" t="inlineStr">
        <is>
          <t>Passed on test</t>
        </is>
      </c>
      <c r="L51" s="4" t="inlineStr">
        <is>
          <t>Passed on test</t>
        </is>
      </c>
      <c r="M51" s="4" t="inlineStr">
        <is>
          <t>Passed on test</t>
        </is>
      </c>
      <c r="N51" s="3" t="inlineStr">
        <is>
          <t>NOT_TESTED</t>
        </is>
      </c>
      <c r="O51" s="3" t="inlineStr">
        <is>
          <t>NOT_TESTED</t>
        </is>
      </c>
      <c r="P51" s="3" t="inlineStr">
        <is>
          <t>NOT_TESTED</t>
        </is>
      </c>
      <c r="Q51" s="3" t="inlineStr">
        <is>
          <t>NOT_TESTED</t>
        </is>
      </c>
      <c r="R51" s="3" t="inlineStr">
        <is>
          <t>NOT_TESTED</t>
        </is>
      </c>
      <c r="S51" s="3" t="inlineStr">
        <is>
          <t>NOT_TESTED</t>
        </is>
      </c>
      <c r="T51" s="3" t="inlineStr">
        <is>
          <t>NOT_TESTED</t>
        </is>
      </c>
      <c r="U51" s="3" t="inlineStr">
        <is>
          <t>NOT_TESTED</t>
        </is>
      </c>
      <c r="V51" s="3" t="inlineStr">
        <is>
          <t>NOT_TESTED</t>
        </is>
      </c>
      <c r="W51" s="3" t="inlineStr">
        <is>
          <t>NOT_TESTED</t>
        </is>
      </c>
      <c r="X51" s="3" t="inlineStr">
        <is>
          <t>NOT_TESTED</t>
        </is>
      </c>
      <c r="Y51" s="3" t="inlineStr">
        <is>
          <t>NOT_TESTED</t>
        </is>
      </c>
      <c r="Z51" s="3" t="inlineStr">
        <is>
          <t>NOT_TESTED</t>
        </is>
      </c>
      <c r="AA51" s="3" t="inlineStr">
        <is>
          <t>NOT_TESTED</t>
        </is>
      </c>
      <c r="AB51" s="3" t="inlineStr">
        <is>
          <t>NOT_TESTED</t>
        </is>
      </c>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2" t="n"/>
      <c r="CW51" s="2" t="n"/>
      <c r="CX51" s="2" t="n"/>
      <c r="CY51" s="2" t="n"/>
      <c r="CZ51" s="2" t="n"/>
      <c r="DA51" s="2" t="n"/>
      <c r="DB51" s="2" t="n"/>
      <c r="DC51" s="2" t="n"/>
      <c r="DD51" s="2" t="n"/>
      <c r="DE51" s="2" t="n"/>
    </row>
    <row r="52">
      <c r="A52" s="2" t="inlineStr">
        <is>
          <t>issue_803</t>
        </is>
      </c>
      <c r="B52" s="5" t="inlineStr">
        <is>
          <t>Failed on test</t>
        </is>
      </c>
      <c r="C52" s="5" t="inlineStr">
        <is>
          <t>Failed on test</t>
        </is>
      </c>
      <c r="D52" s="5" t="inlineStr">
        <is>
          <t>Failed on test</t>
        </is>
      </c>
      <c r="E52" s="5" t="inlineStr">
        <is>
          <t>Failed on test</t>
        </is>
      </c>
      <c r="F52" s="6" t="inlineStr">
        <is>
          <t>Runtime error</t>
        </is>
      </c>
      <c r="G52" s="6" t="inlineStr">
        <is>
          <t>Runtime error</t>
        </is>
      </c>
      <c r="H52" s="6" t="inlineStr">
        <is>
          <t>Runtime error</t>
        </is>
      </c>
      <c r="I52" s="6" t="inlineStr">
        <is>
          <t>Runtime error</t>
        </is>
      </c>
      <c r="J52" s="6" t="inlineStr">
        <is>
          <t>Runtime error</t>
        </is>
      </c>
      <c r="K52" s="6" t="inlineStr">
        <is>
          <t>Runtime error</t>
        </is>
      </c>
      <c r="L52" s="6" t="inlineStr">
        <is>
          <t>Runtime error</t>
        </is>
      </c>
      <c r="M52" s="6" t="inlineStr">
        <is>
          <t>Runtime error</t>
        </is>
      </c>
      <c r="N52" s="3" t="inlineStr">
        <is>
          <t>NOT_TESTED</t>
        </is>
      </c>
      <c r="O52" s="3" t="inlineStr">
        <is>
          <t>NOT_TESTED</t>
        </is>
      </c>
      <c r="P52" s="3" t="inlineStr">
        <is>
          <t>NOT_TESTED</t>
        </is>
      </c>
      <c r="Q52" s="3" t="inlineStr">
        <is>
          <t>NOT_TESTED</t>
        </is>
      </c>
      <c r="R52" s="3" t="inlineStr">
        <is>
          <t>NOT_TESTED</t>
        </is>
      </c>
      <c r="S52" s="3" t="inlineStr">
        <is>
          <t>NOT_TESTED</t>
        </is>
      </c>
      <c r="T52" s="3" t="inlineStr">
        <is>
          <t>NOT_TESTED</t>
        </is>
      </c>
      <c r="U52" s="3" t="inlineStr">
        <is>
          <t>NOT_TESTED</t>
        </is>
      </c>
      <c r="V52" s="3" t="inlineStr">
        <is>
          <t>NOT_TESTED</t>
        </is>
      </c>
      <c r="W52" s="3" t="inlineStr">
        <is>
          <t>NOT_TESTED</t>
        </is>
      </c>
      <c r="X52" s="3" t="inlineStr">
        <is>
          <t>NOT_TESTED</t>
        </is>
      </c>
      <c r="Y52" s="3" t="inlineStr">
        <is>
          <t>NOT_TESTED</t>
        </is>
      </c>
      <c r="Z52" s="3" t="inlineStr">
        <is>
          <t>NOT_TESTED</t>
        </is>
      </c>
      <c r="AA52" s="3" t="inlineStr">
        <is>
          <t>NOT_TESTED</t>
        </is>
      </c>
      <c r="AB52" s="3" t="inlineStr">
        <is>
          <t>NOT_TESTED</t>
        </is>
      </c>
      <c r="AC52" s="2" t="inlineStr">
        <is>
          <t>AssertionError</t>
        </is>
      </c>
      <c r="AD52" s="2" t="inlineStr">
        <is>
          <t>ValueError: The truth value of an array with more than one element is ambiguous. Use a.any() or a.all(); AssertionError: array([list([59, 41]), list([100]), list([100])], dtype=object) is not an instance of &lt;class 'list'&gt;</t>
        </is>
      </c>
      <c r="AE52" s="2" t="inlineStr">
        <is>
          <t>Error on 8 versions, failed on 4: the LLM turned the list of count dictionaries into a NumPy array of value lists, which loses the outcome keys; the test wants one counts dictionary per circuit.</t>
        </is>
      </c>
      <c r="AF52" s="2" t="inlineStr">
        <is>
          <t>AssertionError</t>
        </is>
      </c>
      <c r="AG52" s="2" t="inlineStr">
        <is>
          <t>ValueError: The truth value of an array with more than one element is ambiguous. Use a.any() or a.all(); AssertionError: array([list([53, 47]), list([100]), list([100])], dtype=object) is not an instance of &lt;class 'list'&gt;</t>
        </is>
      </c>
      <c r="AH52" s="2" t="inlineStr">
        <is>
          <t>Error on 8 versions, failed on 4: the LLM turned the list of count dictionaries into a NumPy array of value lists, which loses the outcome keys; the test wants one counts dictionary per circuit.</t>
        </is>
      </c>
      <c r="AI52" s="2" t="inlineStr">
        <is>
          <t>AssertionError</t>
        </is>
      </c>
      <c r="AJ52" s="2" t="inlineStr">
        <is>
          <t>ValueError: The truth value of an array with more than one element is ambiguous. Use a.any() or a.all(); AssertionError: array([list([48, 52]), list([100]), list([100])], dtype=object) is not an instance of &lt;class 'list'&gt;</t>
        </is>
      </c>
      <c r="AK52" s="2" t="inlineStr">
        <is>
          <t>Error on 8 versions, failed on 4: the LLM turned the list of count dictionaries into a NumPy array of value lists, which loses the outcome keys; the test wants one counts dictionary per circuit.</t>
        </is>
      </c>
      <c r="AL52" s="2" t="inlineStr">
        <is>
          <t>AssertionError</t>
        </is>
      </c>
      <c r="AM52" s="2" t="inlineStr">
        <is>
          <t>ValueError: The truth value of an array with more than one element is ambiguous. Use a.any() or a.all(); AssertionError: array([list([57, 43]), list([100]), list([100])], dtype=object) is not an instance of &lt;class 'list'&gt;</t>
        </is>
      </c>
      <c r="AN52" s="2" t="inlineStr">
        <is>
          <t>Error on 8 versions, failed on 4: the LLM turned the list of count dictionaries into a NumPy array of value lists, which loses the outcome keys; the test wants one counts dictionary per circuit.</t>
        </is>
      </c>
      <c r="AO52" s="2" t="inlineStr">
        <is>
          <t>ValueError</t>
        </is>
      </c>
      <c r="AP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Q52" s="2" t="inlineStr">
        <is>
          <t>Error on 8 versions, failed on 4: the LLM turned the list of count dictionaries into a NumPy array of value lists, which loses the outcome keys; the test wants one counts dictionary per circuit.</t>
        </is>
      </c>
      <c r="AR52" s="2" t="inlineStr">
        <is>
          <t>ValueError</t>
        </is>
      </c>
      <c r="AS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T52" s="2" t="inlineStr">
        <is>
          <t>Error on 8 versions, failed on 4: the LLM turned the list of count dictionaries into a NumPy array of value lists, which loses the outcome keys; the test wants one counts dictionary per circuit.</t>
        </is>
      </c>
      <c r="AU52" s="2" t="inlineStr">
        <is>
          <t>ValueError</t>
        </is>
      </c>
      <c r="AV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W52" s="2" t="inlineStr">
        <is>
          <t>Error on 8 versions, failed on 4: the LLM turned the list of count dictionaries into a NumPy array of value lists, which loses the outcome keys; the test wants one counts dictionary per circuit.</t>
        </is>
      </c>
      <c r="AX52" s="2" t="inlineStr">
        <is>
          <t>ValueError</t>
        </is>
      </c>
      <c r="AY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AZ52" s="2" t="inlineStr">
        <is>
          <t>Error on 8 versions, failed on 4: the LLM turned the list of count dictionaries into a NumPy array of value lists, which loses the outcome keys; the test wants one counts dictionary per circuit.</t>
        </is>
      </c>
      <c r="BA52" s="2" t="inlineStr">
        <is>
          <t>ValueError</t>
        </is>
      </c>
      <c r="BB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C52" s="2" t="inlineStr">
        <is>
          <t>Error on 8 versions, failed on 4: the LLM turned the list of count dictionaries into a NumPy array of value lists, which loses the outcome keys; the test wants one counts dictionary per circuit.</t>
        </is>
      </c>
      <c r="BD52" s="2" t="inlineStr">
        <is>
          <t>ValueError</t>
        </is>
      </c>
      <c r="BE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F52" s="2" t="inlineStr">
        <is>
          <t>Error on 8 versions, failed on 4: the LLM turned the list of count dictionaries into a NumPy array of value lists, which loses the outcome keys; the test wants one counts dictionary per circuit.</t>
        </is>
      </c>
      <c r="BG52" s="2" t="inlineStr">
        <is>
          <t>ValueError</t>
        </is>
      </c>
      <c r="BH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I52" s="2" t="inlineStr">
        <is>
          <t>Error on 8 versions, failed on 4: the LLM turned the list of count dictionaries into a NumPy array of value lists, which loses the outcome keys; the test wants one counts dictionary per circuit.</t>
        </is>
      </c>
      <c r="BJ52" s="2" t="inlineStr">
        <is>
          <t>ValueError</t>
        </is>
      </c>
      <c r="BK52" s="2"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BL52" s="2" t="inlineStr">
        <is>
          <t>Error on 8 versions, failed on 4: the LLM turned the list of count dictionaries into a NumPy array of value lists, which loses the outcome keys; the test wants one counts dictionary per circuit.</t>
        </is>
      </c>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2" t="n"/>
      <c r="CW52" s="2" t="n"/>
      <c r="CX52" s="2" t="n"/>
      <c r="CY52" s="2" t="n"/>
      <c r="CZ52" s="2" t="n"/>
      <c r="DA52" s="2" t="n"/>
      <c r="DB52" s="2" t="n"/>
      <c r="DC52" s="2" t="n"/>
      <c r="DD52" s="2" t="n"/>
      <c r="DE52" s="2" t="n"/>
    </row>
    <row r="53">
      <c r="A53" s="2" t="inlineStr">
        <is>
          <t>issue_810</t>
        </is>
      </c>
      <c r="B53" s="3" t="inlineStr">
        <is>
          <t>NOT_TESTED</t>
        </is>
      </c>
      <c r="C53" s="3" t="inlineStr">
        <is>
          <t>NOT_TESTED</t>
        </is>
      </c>
      <c r="D53" s="3" t="inlineStr">
        <is>
          <t>NOT_TESTED</t>
        </is>
      </c>
      <c r="E53" s="3" t="inlineStr">
        <is>
          <t>NOT_TESTED</t>
        </is>
      </c>
      <c r="F53" s="3" t="inlineStr">
        <is>
          <t>NOT_TESTED</t>
        </is>
      </c>
      <c r="G53" s="4" t="inlineStr">
        <is>
          <t>Passed on test</t>
        </is>
      </c>
      <c r="H53" s="3" t="inlineStr">
        <is>
          <t>NOT_TESTED</t>
        </is>
      </c>
      <c r="I53" s="3" t="inlineStr">
        <is>
          <t>NOT_TESTED</t>
        </is>
      </c>
      <c r="J53" s="3" t="inlineStr">
        <is>
          <t>NOT_TESTED</t>
        </is>
      </c>
      <c r="K53" s="3" t="inlineStr">
        <is>
          <t>NOT_TESTED</t>
        </is>
      </c>
      <c r="L53" s="4" t="inlineStr">
        <is>
          <t>Passed on test</t>
        </is>
      </c>
      <c r="M53" s="3" t="inlineStr">
        <is>
          <t>NOT_TESTED</t>
        </is>
      </c>
      <c r="N53" s="3" t="inlineStr">
        <is>
          <t>NOT_TESTED</t>
        </is>
      </c>
      <c r="O53" s="3" t="inlineStr">
        <is>
          <t>NOT_TESTED</t>
        </is>
      </c>
      <c r="P53" s="3" t="inlineStr">
        <is>
          <t>NOT_TESTED</t>
        </is>
      </c>
      <c r="Q53" s="3" t="inlineStr">
        <is>
          <t>NOT_TESTED</t>
        </is>
      </c>
      <c r="R53" s="3" t="inlineStr">
        <is>
          <t>NOT_TESTED</t>
        </is>
      </c>
      <c r="S53" s="3" t="inlineStr">
        <is>
          <t>NOT_TESTED</t>
        </is>
      </c>
      <c r="T53" s="3" t="inlineStr">
        <is>
          <t>NOT_TESTED</t>
        </is>
      </c>
      <c r="U53" s="3" t="inlineStr">
        <is>
          <t>NOT_TESTED</t>
        </is>
      </c>
      <c r="V53" s="3" t="inlineStr">
        <is>
          <t>NOT_TESTED</t>
        </is>
      </c>
      <c r="W53" s="3" t="inlineStr">
        <is>
          <t>NOT_TESTED</t>
        </is>
      </c>
      <c r="X53" s="3" t="inlineStr">
        <is>
          <t>NOT_TESTED</t>
        </is>
      </c>
      <c r="Y53" s="3" t="inlineStr">
        <is>
          <t>NOT_TESTED</t>
        </is>
      </c>
      <c r="Z53" s="3" t="inlineStr">
        <is>
          <t>NOT_TESTED</t>
        </is>
      </c>
      <c r="AA53" s="3" t="inlineStr">
        <is>
          <t>NOT_TESTED</t>
        </is>
      </c>
      <c r="AB53" s="3" t="inlineStr">
        <is>
          <t>NOT_TESTED</t>
        </is>
      </c>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2" t="n"/>
      <c r="CW53" s="2" t="n"/>
      <c r="CX53" s="2" t="n"/>
      <c r="CY53" s="2" t="n"/>
      <c r="CZ53" s="2" t="n"/>
      <c r="DA53" s="2" t="n"/>
      <c r="DB53" s="2" t="n"/>
      <c r="DC53" s="2" t="n"/>
      <c r="DD53" s="2" t="n"/>
      <c r="DE53" s="2" t="n"/>
    </row>
    <row r="54">
      <c r="A54" s="2" t="inlineStr">
        <is>
          <t>issue_816</t>
        </is>
      </c>
      <c r="B54" s="3" t="inlineStr">
        <is>
          <t>NOT_TESTED</t>
        </is>
      </c>
      <c r="C54" s="3" t="inlineStr">
        <is>
          <t>NOT_TESTED</t>
        </is>
      </c>
      <c r="D54" s="3" t="inlineStr">
        <is>
          <t>NOT_TESTED</t>
        </is>
      </c>
      <c r="E54" s="3" t="inlineStr">
        <is>
          <t>NOT_TESTED</t>
        </is>
      </c>
      <c r="F54" s="4" t="inlineStr">
        <is>
          <t>Passed on test</t>
        </is>
      </c>
      <c r="G54" s="4" t="inlineStr">
        <is>
          <t>Passed on test</t>
        </is>
      </c>
      <c r="H54" s="4" t="inlineStr">
        <is>
          <t>Passed on test</t>
        </is>
      </c>
      <c r="I54" s="4" t="inlineStr">
        <is>
          <t>Passed on test</t>
        </is>
      </c>
      <c r="J54" s="4" t="inlineStr">
        <is>
          <t>Passed on test</t>
        </is>
      </c>
      <c r="K54" s="4" t="inlineStr">
        <is>
          <t>Passed on test</t>
        </is>
      </c>
      <c r="L54" s="4" t="inlineStr">
        <is>
          <t>Passed on test</t>
        </is>
      </c>
      <c r="M54" s="4" t="inlineStr">
        <is>
          <t>Passed on test</t>
        </is>
      </c>
      <c r="N54" s="4" t="inlineStr">
        <is>
          <t>Passed on test</t>
        </is>
      </c>
      <c r="O54" s="4" t="inlineStr">
        <is>
          <t>Passed on test</t>
        </is>
      </c>
      <c r="P54" s="4" t="inlineStr">
        <is>
          <t>Passed on test</t>
        </is>
      </c>
      <c r="Q54" s="4" t="inlineStr">
        <is>
          <t>Passed on test</t>
        </is>
      </c>
      <c r="R54" s="4" t="inlineStr">
        <is>
          <t>Passed on test</t>
        </is>
      </c>
      <c r="S54" s="4" t="inlineStr">
        <is>
          <t>Passed on test</t>
        </is>
      </c>
      <c r="T54" s="4" t="inlineStr">
        <is>
          <t>Passed on test</t>
        </is>
      </c>
      <c r="U54" s="4" t="inlineStr">
        <is>
          <t>Passed on test</t>
        </is>
      </c>
      <c r="V54" s="4" t="inlineStr">
        <is>
          <t>Passed on test</t>
        </is>
      </c>
      <c r="W54" s="4" t="inlineStr">
        <is>
          <t>Passed on test</t>
        </is>
      </c>
      <c r="X54" s="4" t="inlineStr">
        <is>
          <t>Passed on test</t>
        </is>
      </c>
      <c r="Y54" s="4" t="inlineStr">
        <is>
          <t>Passed on test</t>
        </is>
      </c>
      <c r="Z54" s="4" t="inlineStr">
        <is>
          <t>Passed on test</t>
        </is>
      </c>
      <c r="AA54" s="4" t="inlineStr">
        <is>
          <t>Passed on test</t>
        </is>
      </c>
      <c r="AB54" s="4" t="inlineStr">
        <is>
          <t>Passed on test</t>
        </is>
      </c>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2" t="n"/>
      <c r="CW54" s="2" t="n"/>
      <c r="CX54" s="2" t="n"/>
      <c r="CY54" s="2" t="n"/>
      <c r="CZ54" s="2" t="n"/>
      <c r="DA54" s="2" t="n"/>
      <c r="DB54" s="2" t="n"/>
      <c r="DC54" s="2" t="n"/>
      <c r="DD54" s="2" t="n"/>
      <c r="DE54" s="2" t="n"/>
    </row>
    <row r="55">
      <c r="A55" s="2" t="inlineStr">
        <is>
          <t>issue_876</t>
        </is>
      </c>
      <c r="B55" s="3" t="inlineStr">
        <is>
          <t>NOT_TESTED</t>
        </is>
      </c>
      <c r="C55" s="3" t="inlineStr">
        <is>
          <t>NOT_TESTED</t>
        </is>
      </c>
      <c r="D55" s="3" t="inlineStr">
        <is>
          <t>NOT_TESTED</t>
        </is>
      </c>
      <c r="E55" s="3" t="inlineStr">
        <is>
          <t>NOT_TESTED</t>
        </is>
      </c>
      <c r="F55" s="3" t="inlineStr">
        <is>
          <t>NOT_TESTED</t>
        </is>
      </c>
      <c r="G55" s="3" t="inlineStr">
        <is>
          <t>NOT_TESTED</t>
        </is>
      </c>
      <c r="H55" s="3" t="inlineStr">
        <is>
          <t>NOT_TESTED</t>
        </is>
      </c>
      <c r="I55" s="3" t="inlineStr">
        <is>
          <t>NOT_TESTED</t>
        </is>
      </c>
      <c r="J55" s="3" t="inlineStr">
        <is>
          <t>NOT_TESTED</t>
        </is>
      </c>
      <c r="K55" s="3" t="inlineStr">
        <is>
          <t>NOT_TESTED</t>
        </is>
      </c>
      <c r="L55" s="3" t="inlineStr">
        <is>
          <t>NOT_TESTED</t>
        </is>
      </c>
      <c r="M55" s="3" t="inlineStr">
        <is>
          <t>NOT_TESTED</t>
        </is>
      </c>
      <c r="N55" s="6" t="inlineStr">
        <is>
          <t>Runtime error</t>
        </is>
      </c>
      <c r="O55" s="6" t="inlineStr">
        <is>
          <t>Runtime error</t>
        </is>
      </c>
      <c r="P55" s="6" t="inlineStr">
        <is>
          <t>Runtime error</t>
        </is>
      </c>
      <c r="Q55" s="6" t="inlineStr">
        <is>
          <t>Runtime error</t>
        </is>
      </c>
      <c r="R55" s="6" t="inlineStr">
        <is>
          <t>Runtime error</t>
        </is>
      </c>
      <c r="S55" s="6" t="inlineStr">
        <is>
          <t>Runtime error</t>
        </is>
      </c>
      <c r="T55" s="6" t="inlineStr">
        <is>
          <t>Runtime error</t>
        </is>
      </c>
      <c r="U55" s="6" t="inlineStr">
        <is>
          <t>Runtime error</t>
        </is>
      </c>
      <c r="V55" s="6" t="inlineStr">
        <is>
          <t>Runtime error</t>
        </is>
      </c>
      <c r="W55" s="6" t="inlineStr">
        <is>
          <t>Runtime error</t>
        </is>
      </c>
      <c r="X55" s="6" t="inlineStr">
        <is>
          <t>Runtime error</t>
        </is>
      </c>
      <c r="Y55" s="6" t="inlineStr">
        <is>
          <t>Runtime error</t>
        </is>
      </c>
      <c r="Z55" s="6" t="inlineStr">
        <is>
          <t>Runtime error</t>
        </is>
      </c>
      <c r="AA55" s="6" t="inlineStr">
        <is>
          <t>Runtime error</t>
        </is>
      </c>
      <c r="AB55" s="6" t="inlineStr">
        <is>
          <t>Runtime error</t>
        </is>
      </c>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inlineStr">
        <is>
          <t>KeyError</t>
        </is>
      </c>
      <c r="BN55" s="2" t="inlineStr">
        <is>
          <t>KeyError: 'get_density_matrix'; AttributeError: Attribute get_density_matrix is not defined</t>
        </is>
      </c>
      <c r="BO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BP55" s="2" t="inlineStr">
        <is>
          <t>KeyError</t>
        </is>
      </c>
      <c r="BQ55" s="2" t="inlineStr">
        <is>
          <t>KeyError: 'get_density_matrix'; AttributeError: Attribute get_density_matrix is not defined</t>
        </is>
      </c>
      <c r="BR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BS55" s="2" t="inlineStr">
        <is>
          <t>KeyError</t>
        </is>
      </c>
      <c r="BT55" s="2" t="inlineStr">
        <is>
          <t>KeyError: 'get_density_matrix'; AttributeError: Attribute get_density_matrix is not defined</t>
        </is>
      </c>
      <c r="BU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BV55" s="2" t="inlineStr">
        <is>
          <t>KeyError</t>
        </is>
      </c>
      <c r="BW55" s="2" t="inlineStr">
        <is>
          <t>KeyError: 'get_density_matrix'; AttributeError: Attribute get_density_matrix is not defined</t>
        </is>
      </c>
      <c r="BX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BY55" s="2" t="inlineStr">
        <is>
          <t>KeyError</t>
        </is>
      </c>
      <c r="BZ55" s="2" t="inlineStr">
        <is>
          <t>KeyError: 'get_density_matrix'; AttributeError: Attribute get_density_matrix is not defined</t>
        </is>
      </c>
      <c r="CA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CB55" s="2" t="inlineStr">
        <is>
          <t>KeyError</t>
        </is>
      </c>
      <c r="CC55" s="2" t="inlineStr">
        <is>
          <t>KeyError: 'get_density_matrix'; AttributeError: Attribute get_density_matrix is not defined</t>
        </is>
      </c>
      <c r="CD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CE55" s="2" t="inlineStr">
        <is>
          <t>KeyError</t>
        </is>
      </c>
      <c r="CF55" s="2" t="inlineStr">
        <is>
          <t>KeyError: 'get_density_matrix'; AttributeError: Attribute get_density_matrix is not defined</t>
        </is>
      </c>
      <c r="CG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CH55" s="2" t="inlineStr">
        <is>
          <t>KeyError</t>
        </is>
      </c>
      <c r="CI55" s="2" t="inlineStr">
        <is>
          <t>KeyError: 'get_density_matrix'; AttributeError: Attribute get_density_matrix is not defined</t>
        </is>
      </c>
      <c r="CJ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CK55" s="2" t="inlineStr">
        <is>
          <t>KeyError</t>
        </is>
      </c>
      <c r="CL55" s="2" t="inlineStr">
        <is>
          <t>KeyError: 'get_density_matrix'; AttributeError: Attribute get_density_matrix is not defined</t>
        </is>
      </c>
      <c r="CM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CN55" s="2" t="inlineStr">
        <is>
          <t>KeyError</t>
        </is>
      </c>
      <c r="CO55" s="2" t="inlineStr">
        <is>
          <t>KeyError: 'get_density_matrix'; AttributeError: Attribute get_density_matrix is not defined</t>
        </is>
      </c>
      <c r="CP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CQ55" s="2" t="inlineStr">
        <is>
          <t>KeyError</t>
        </is>
      </c>
      <c r="CR55" s="2" t="inlineStr">
        <is>
          <t>KeyError: 'get_density_matrix'; AttributeError: Attribute get_density_matrix is not defined</t>
        </is>
      </c>
      <c r="CS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CT55" s="2" t="inlineStr">
        <is>
          <t>KeyError</t>
        </is>
      </c>
      <c r="CU55" s="2" t="inlineStr">
        <is>
          <t>KeyError: 'get_density_matrix'; AttributeError: Attribute get_density_matrix is not defined</t>
        </is>
      </c>
      <c r="CV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CW55" s="2" t="inlineStr">
        <is>
          <t>KeyError</t>
        </is>
      </c>
      <c r="CX55" s="2" t="inlineStr">
        <is>
          <t>KeyError: 'get_density_matrix'; AttributeError: Attribute get_density_matrix is not defined</t>
        </is>
      </c>
      <c r="CY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CZ55" s="2" t="inlineStr">
        <is>
          <t>KeyError</t>
        </is>
      </c>
      <c r="DA55" s="2" t="inlineStr">
        <is>
          <t>KeyError: 'get_density_matrix'; AttributeError: Attribute get_density_matrix is not defined</t>
        </is>
      </c>
      <c r="DB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DC55" s="2" t="inlineStr">
        <is>
          <t>KeyError</t>
        </is>
      </c>
      <c r="DD55" s="2" t="inlineStr">
        <is>
          <t>KeyError: 'get_density_matrix'; AttributeError: Attribute get_density_matrix is not defined</t>
        </is>
      </c>
      <c r="DE55" s="2"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row>
    <row r="56">
      <c r="A56" s="2" t="inlineStr">
        <is>
          <t>issue_877</t>
        </is>
      </c>
      <c r="B56" s="3" t="inlineStr">
        <is>
          <t>NOT_TESTED</t>
        </is>
      </c>
      <c r="C56" s="3" t="inlineStr">
        <is>
          <t>NOT_TESTED</t>
        </is>
      </c>
      <c r="D56" s="3" t="inlineStr">
        <is>
          <t>NOT_TESTED</t>
        </is>
      </c>
      <c r="E56" s="3" t="inlineStr">
        <is>
          <t>NOT_TESTED</t>
        </is>
      </c>
      <c r="F56" s="4" t="inlineStr">
        <is>
          <t>Passed on test</t>
        </is>
      </c>
      <c r="G56" s="4" t="inlineStr">
        <is>
          <t>Passed on test</t>
        </is>
      </c>
      <c r="H56" s="4" t="inlineStr">
        <is>
          <t>Passed on test</t>
        </is>
      </c>
      <c r="I56" s="4" t="inlineStr">
        <is>
          <t>Passed on test</t>
        </is>
      </c>
      <c r="J56" s="4" t="inlineStr">
        <is>
          <t>Passed on test</t>
        </is>
      </c>
      <c r="K56" s="4" t="inlineStr">
        <is>
          <t>Passed on test</t>
        </is>
      </c>
      <c r="L56" s="4" t="inlineStr">
        <is>
          <t>Passed on test</t>
        </is>
      </c>
      <c r="M56" s="4" t="inlineStr">
        <is>
          <t>Passed on test</t>
        </is>
      </c>
      <c r="N56" s="3" t="inlineStr">
        <is>
          <t>NOT_TESTED</t>
        </is>
      </c>
      <c r="O56" s="3" t="inlineStr">
        <is>
          <t>NOT_TESTED</t>
        </is>
      </c>
      <c r="P56" s="3" t="inlineStr">
        <is>
          <t>NOT_TESTED</t>
        </is>
      </c>
      <c r="Q56" s="3" t="inlineStr">
        <is>
          <t>NOT_TESTED</t>
        </is>
      </c>
      <c r="R56" s="3" t="inlineStr">
        <is>
          <t>NOT_TESTED</t>
        </is>
      </c>
      <c r="S56" s="3" t="inlineStr">
        <is>
          <t>NOT_TESTED</t>
        </is>
      </c>
      <c r="T56" s="3" t="inlineStr">
        <is>
          <t>NOT_TESTED</t>
        </is>
      </c>
      <c r="U56" s="3" t="inlineStr">
        <is>
          <t>NOT_TESTED</t>
        </is>
      </c>
      <c r="V56" s="3" t="inlineStr">
        <is>
          <t>NOT_TESTED</t>
        </is>
      </c>
      <c r="W56" s="3" t="inlineStr">
        <is>
          <t>NOT_TESTED</t>
        </is>
      </c>
      <c r="X56" s="3" t="inlineStr">
        <is>
          <t>NOT_TESTED</t>
        </is>
      </c>
      <c r="Y56" s="3" t="inlineStr">
        <is>
          <t>NOT_TESTED</t>
        </is>
      </c>
      <c r="Z56" s="3" t="inlineStr">
        <is>
          <t>NOT_TESTED</t>
        </is>
      </c>
      <c r="AA56" s="3" t="inlineStr">
        <is>
          <t>NOT_TESTED</t>
        </is>
      </c>
      <c r="AB56" s="3" t="inlineStr">
        <is>
          <t>NOT_TESTED</t>
        </is>
      </c>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2" t="n"/>
      <c r="CU56" s="2" t="n"/>
      <c r="CV56" s="2" t="n"/>
      <c r="CW56" s="2" t="n"/>
      <c r="CX56" s="2" t="n"/>
      <c r="CY56" s="2" t="n"/>
      <c r="CZ56" s="2" t="n"/>
      <c r="DA56" s="2" t="n"/>
      <c r="DB56" s="2" t="n"/>
      <c r="DC56" s="2" t="n"/>
      <c r="DD56" s="2" t="n"/>
      <c r="DE56" s="2" t="n"/>
    </row>
    <row r="57">
      <c r="A57" s="2" t="inlineStr">
        <is>
          <t>issue_886</t>
        </is>
      </c>
      <c r="B57" s="3" t="inlineStr">
        <is>
          <t>NOT_TESTED</t>
        </is>
      </c>
      <c r="C57" s="3" t="inlineStr">
        <is>
          <t>NOT_TESTED</t>
        </is>
      </c>
      <c r="D57" s="3" t="inlineStr">
        <is>
          <t>NOT_TESTED</t>
        </is>
      </c>
      <c r="E57" s="3" t="inlineStr">
        <is>
          <t>NOT_TESTED</t>
        </is>
      </c>
      <c r="F57" s="4" t="inlineStr">
        <is>
          <t>Passed on test</t>
        </is>
      </c>
      <c r="G57" s="4" t="inlineStr">
        <is>
          <t>Passed on test</t>
        </is>
      </c>
      <c r="H57" s="3" t="inlineStr">
        <is>
          <t>NOT_TESTED</t>
        </is>
      </c>
      <c r="I57" s="3" t="inlineStr">
        <is>
          <t>NOT_TESTED</t>
        </is>
      </c>
      <c r="J57" s="3" t="inlineStr">
        <is>
          <t>NOT_TESTED</t>
        </is>
      </c>
      <c r="K57" s="3" t="inlineStr">
        <is>
          <t>NOT_TESTED</t>
        </is>
      </c>
      <c r="L57" s="3" t="inlineStr">
        <is>
          <t>NOT_TESTED</t>
        </is>
      </c>
      <c r="M57" s="3" t="inlineStr">
        <is>
          <t>NOT_TESTED</t>
        </is>
      </c>
      <c r="N57" s="3" t="inlineStr">
        <is>
          <t>NOT_TESTED</t>
        </is>
      </c>
      <c r="O57" s="3" t="inlineStr">
        <is>
          <t>NOT_TESTED</t>
        </is>
      </c>
      <c r="P57" s="3" t="inlineStr">
        <is>
          <t>NOT_TESTED</t>
        </is>
      </c>
      <c r="Q57" s="3" t="inlineStr">
        <is>
          <t>NOT_TESTED</t>
        </is>
      </c>
      <c r="R57" s="3" t="inlineStr">
        <is>
          <t>NOT_TESTED</t>
        </is>
      </c>
      <c r="S57" s="3" t="inlineStr">
        <is>
          <t>NOT_TESTED</t>
        </is>
      </c>
      <c r="T57" s="3" t="inlineStr">
        <is>
          <t>NOT_TESTED</t>
        </is>
      </c>
      <c r="U57" s="3" t="inlineStr">
        <is>
          <t>NOT_TESTED</t>
        </is>
      </c>
      <c r="V57" s="3" t="inlineStr">
        <is>
          <t>NOT_TESTED</t>
        </is>
      </c>
      <c r="W57" s="3" t="inlineStr">
        <is>
          <t>NOT_TESTED</t>
        </is>
      </c>
      <c r="X57" s="3" t="inlineStr">
        <is>
          <t>NOT_TESTED</t>
        </is>
      </c>
      <c r="Y57" s="3" t="inlineStr">
        <is>
          <t>NOT_TESTED</t>
        </is>
      </c>
      <c r="Z57" s="3" t="inlineStr">
        <is>
          <t>NOT_TESTED</t>
        </is>
      </c>
      <c r="AA57" s="3" t="inlineStr">
        <is>
          <t>NOT_TESTED</t>
        </is>
      </c>
      <c r="AB57" s="3" t="inlineStr">
        <is>
          <t>NOT_TESTED</t>
        </is>
      </c>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2" t="n"/>
      <c r="CV57" s="2" t="n"/>
      <c r="CW57" s="2" t="n"/>
      <c r="CX57" s="2" t="n"/>
      <c r="CY57" s="2" t="n"/>
      <c r="CZ57" s="2" t="n"/>
      <c r="DA57" s="2" t="n"/>
      <c r="DB57" s="2" t="n"/>
      <c r="DC57" s="2" t="n"/>
      <c r="DD57" s="2" t="n"/>
      <c r="DE57" s="2" t="n"/>
    </row>
    <row r="58">
      <c r="A58" s="2" t="inlineStr">
        <is>
          <t>issue_889</t>
        </is>
      </c>
      <c r="B58" s="6" t="inlineStr">
        <is>
          <t>Runtime error</t>
        </is>
      </c>
      <c r="C58" s="6" t="inlineStr">
        <is>
          <t>Runtime error</t>
        </is>
      </c>
      <c r="D58" s="6" t="inlineStr">
        <is>
          <t>Runtime error</t>
        </is>
      </c>
      <c r="E58" s="6" t="inlineStr">
        <is>
          <t>Runtime error</t>
        </is>
      </c>
      <c r="F58" s="5" t="inlineStr">
        <is>
          <t>Failed on test</t>
        </is>
      </c>
      <c r="G58" s="5" t="inlineStr">
        <is>
          <t>Failed on test</t>
        </is>
      </c>
      <c r="H58" s="5" t="inlineStr">
        <is>
          <t>Failed on test</t>
        </is>
      </c>
      <c r="I58" s="5" t="inlineStr">
        <is>
          <t>Failed on test</t>
        </is>
      </c>
      <c r="J58" s="5" t="inlineStr">
        <is>
          <t>Failed on test</t>
        </is>
      </c>
      <c r="K58" s="5" t="inlineStr">
        <is>
          <t>Failed on test</t>
        </is>
      </c>
      <c r="L58" s="5" t="inlineStr">
        <is>
          <t>Failed on test</t>
        </is>
      </c>
      <c r="M58" s="5" t="inlineStr">
        <is>
          <t>Failed on test</t>
        </is>
      </c>
      <c r="N58" s="3" t="inlineStr">
        <is>
          <t>NOT_TESTED</t>
        </is>
      </c>
      <c r="O58" s="3" t="inlineStr">
        <is>
          <t>NOT_TESTED</t>
        </is>
      </c>
      <c r="P58" s="3" t="inlineStr">
        <is>
          <t>NOT_TESTED</t>
        </is>
      </c>
      <c r="Q58" s="3" t="inlineStr">
        <is>
          <t>NOT_TESTED</t>
        </is>
      </c>
      <c r="R58" s="3" t="inlineStr">
        <is>
          <t>NOT_TESTED</t>
        </is>
      </c>
      <c r="S58" s="3" t="inlineStr">
        <is>
          <t>NOT_TESTED</t>
        </is>
      </c>
      <c r="T58" s="3" t="inlineStr">
        <is>
          <t>NOT_TESTED</t>
        </is>
      </c>
      <c r="U58" s="3" t="inlineStr">
        <is>
          <t>NOT_TESTED</t>
        </is>
      </c>
      <c r="V58" s="3" t="inlineStr">
        <is>
          <t>NOT_TESTED</t>
        </is>
      </c>
      <c r="W58" s="3" t="inlineStr">
        <is>
          <t>NOT_TESTED</t>
        </is>
      </c>
      <c r="X58" s="3" t="inlineStr">
        <is>
          <t>NOT_TESTED</t>
        </is>
      </c>
      <c r="Y58" s="3" t="inlineStr">
        <is>
          <t>NOT_TESTED</t>
        </is>
      </c>
      <c r="Z58" s="3" t="inlineStr">
        <is>
          <t>NOT_TESTED</t>
        </is>
      </c>
      <c r="AA58" s="3" t="inlineStr">
        <is>
          <t>NOT_TESTED</t>
        </is>
      </c>
      <c r="AB58" s="3" t="inlineStr">
        <is>
          <t>NOT_TESTED</t>
        </is>
      </c>
      <c r="AC58" s="2" t="inlineStr">
        <is>
          <t>ImportError</t>
        </is>
      </c>
      <c r="AD58" s="2" t="inlineStr">
        <is>
          <t>ImportError: cannot import name 'PauliEvolutionGate' from 'qiskit.circuit.library' (C:\qiskit_envs\q0250\lib\site-packages\qiskit\circuit\library\__init__.py)</t>
        </is>
      </c>
      <c r="AE58" s="2" t="inlineStr">
        <is>
          <t>Error on 0.25.x, failed on 0.45.x / 0.46.x: the LLM rewrote the Hamiltonian (an identity offset for the number operator and XX + YY hopping terms with a Jordan-Wigner string) and evolved it with PauliEvolutionGate; PauliEvolutionGate doesn't exist in Qiskit 0.25 (ImportError), and on 0.45 / 0.46 the changed Hamiltonian no longer matches the one in the question.</t>
        </is>
      </c>
      <c r="AF58" s="2" t="inlineStr">
        <is>
          <t>ImportError</t>
        </is>
      </c>
      <c r="AG58" s="2" t="inlineStr">
        <is>
          <t>ImportError: cannot import name 'PauliEvolutionGate' from 'qiskit.circuit.library' (C:\qiskit_envs\q0251\lib\site-packages\qiskit\circuit\library\__init__.py)</t>
        </is>
      </c>
      <c r="AH58" s="2" t="inlineStr">
        <is>
          <t>Error on 0.25.x, failed on 0.45.x / 0.46.x: the LLM rewrote the Hamiltonian (an identity offset for the number operator and XX + YY hopping terms with a Jordan-Wigner string) and evolved it with PauliEvolutionGate; PauliEvolutionGate doesn't exist in Qiskit 0.25 (ImportError), and on 0.45 / 0.46 the changed Hamiltonian no longer matches the one in the question.</t>
        </is>
      </c>
      <c r="AI58" s="2" t="inlineStr">
        <is>
          <t>ImportError</t>
        </is>
      </c>
      <c r="AJ58" s="2" t="inlineStr">
        <is>
          <t>ImportError: cannot import name 'PauliEvolutionGate' from 'qiskit.circuit.library' (C:\qiskit_envs\q0252\lib\site-packages\qiskit\circuit\library\__init__.py)</t>
        </is>
      </c>
      <c r="AK58" s="2" t="inlineStr">
        <is>
          <t>Error on 0.25.x, failed on 0.45.x / 0.46.x: the LLM rewrote the Hamiltonian (an identity offset for the number operator and XX + YY hopping terms with a Jordan-Wigner string) and evolved it with PauliEvolutionGate; PauliEvolutionGate doesn't exist in Qiskit 0.25 (ImportError), and on 0.45 / 0.46 the changed Hamiltonian no longer matches the one in the question.</t>
        </is>
      </c>
      <c r="AL58" s="2" t="inlineStr">
        <is>
          <t>ImportError</t>
        </is>
      </c>
      <c r="AM58" s="2" t="inlineStr">
        <is>
          <t>ImportError: cannot import name 'PauliEvolutionGate' from 'qiskit.circuit.library' (C:\qiskit_envs\q0253\lib\site-packages\qiskit\circuit\library\__init__.py)</t>
        </is>
      </c>
      <c r="AN58" s="2" t="inlineStr">
        <is>
          <t>Error on 0.25.x, failed on 0.45.x / 0.46.x: the LLM rewrote the Hamiltonian (an identity offset for the number operator and XX + YY hopping terms with a Jordan-Wigner string) and evolved it with PauliEvolutionGate; PauliEvolutionGate doesn't exist in Qiskit 0.25 (ImportError), and on 0.45 / 0.46 the changed Hamiltonian no longer matches the one in the question.</t>
        </is>
      </c>
      <c r="AO58" s="2" t="inlineStr">
        <is>
          <t>AssertionError</t>
        </is>
      </c>
      <c r="AP58" s="2" t="inlineStr">
        <is>
          <t>AssertionError:</t>
        </is>
      </c>
      <c r="AQ58" s="2" t="inlineStr">
        <is>
          <t>Error on 0.25.x, failed on 0.45.x / 0.46.x: the LLM rewrote the Hamiltonian (an identity offset for the number operator and XX + YY hopping terms with a Jordan-Wigner string) and evolved it with PauliEvolutionGate; PauliEvolutionGate doesn't exist in Qiskit 0.25 (ImportError), and on 0.45 / 0.46 the changed Hamiltonian no longer matches the one in the question.</t>
        </is>
      </c>
      <c r="AR58" s="2" t="inlineStr">
        <is>
          <t>AssertionError</t>
        </is>
      </c>
      <c r="AS58" s="2" t="inlineStr">
        <is>
          <t>AssertionError:</t>
        </is>
      </c>
      <c r="AT58" s="2" t="inlineStr">
        <is>
          <t>Error on 0.25.x, failed on 0.45.x / 0.46.x: the LLM rewrote the Hamiltonian (an identity offset for the number operator and XX + YY hopping terms with a Jordan-Wigner string) and evolved it with PauliEvolutionGate; PauliEvolutionGate doesn't exist in Qiskit 0.25 (ImportError), and on 0.45 / 0.46 the changed Hamiltonian no longer matches the one in the question.</t>
        </is>
      </c>
      <c r="AU58" s="2" t="inlineStr">
        <is>
          <t>AssertionError</t>
        </is>
      </c>
      <c r="AV58" s="2" t="inlineStr">
        <is>
          <t>AssertionError:</t>
        </is>
      </c>
      <c r="AW58" s="2" t="inlineStr">
        <is>
          <t>Error on 0.25.x, failed on 0.45.x / 0.46.x: the LLM rewrote the Hamiltonian (an identity offset for the number operator and XX + YY hopping terms with a Jordan-Wigner string) and evolved it with PauliEvolutionGate; PauliEvolutionGate doesn't exist in Qiskit 0.25 (ImportError), and on 0.45 / 0.46 the changed Hamiltonian no longer matches the one in the question.</t>
        </is>
      </c>
      <c r="AX58" s="2" t="inlineStr">
        <is>
          <t>AssertionError</t>
        </is>
      </c>
      <c r="AY58" s="2" t="inlineStr">
        <is>
          <t>AssertionError:</t>
        </is>
      </c>
      <c r="AZ58" s="2" t="inlineStr">
        <is>
          <t>Error on 0.25.x, failed on 0.45.x / 0.46.x: the LLM rewrote the Hamiltonian (an identity offset for the number operator and XX + YY hopping terms with a Jordan-Wigner string) and evolved it with PauliEvolutionGate; PauliEvolutionGate doesn't exist in Qiskit 0.25 (ImportError), and on 0.45 / 0.46 the changed Hamiltonian no longer matches the one in the question.</t>
        </is>
      </c>
      <c r="BA58" s="2" t="inlineStr">
        <is>
          <t>AssertionError</t>
        </is>
      </c>
      <c r="BB58" s="2" t="inlineStr">
        <is>
          <t>AssertionError:</t>
        </is>
      </c>
      <c r="BC58" s="2" t="inlineStr">
        <is>
          <t>Error on 0.25.x, failed on 0.45.x / 0.46.x: the LLM rewrote the Hamiltonian (an identity offset for the number operator and XX + YY hopping terms with a Jordan-Wigner string) and evolved it with PauliEvolutionGate; PauliEvolutionGate doesn't exist in Qiskit 0.25 (ImportError), and on 0.45 / 0.46 the changed Hamiltonian no longer matches the one in the question.</t>
        </is>
      </c>
      <c r="BD58" s="2" t="inlineStr">
        <is>
          <t>AssertionError</t>
        </is>
      </c>
      <c r="BE58" s="2" t="inlineStr">
        <is>
          <t>AssertionError:</t>
        </is>
      </c>
      <c r="BF58" s="2" t="inlineStr">
        <is>
          <t>Error on 0.25.x, failed on 0.45.x / 0.46.x: the LLM rewrote the Hamiltonian (an identity offset for the number operator and XX + YY hopping terms with a Jordan-Wigner string) and evolved it with PauliEvolutionGate; PauliEvolutionGate doesn't exist in Qiskit 0.25 (ImportError), and on 0.45 / 0.46 the changed Hamiltonian no longer matches the one in the question.</t>
        </is>
      </c>
      <c r="BG58" s="2" t="inlineStr">
        <is>
          <t>AssertionError</t>
        </is>
      </c>
      <c r="BH58" s="2" t="inlineStr">
        <is>
          <t>AssertionError:</t>
        </is>
      </c>
      <c r="BI58" s="2" t="inlineStr">
        <is>
          <t>Error on 0.25.x, failed on 0.45.x / 0.46.x: the LLM rewrote the Hamiltonian (an identity offset for the number operator and XX + YY hopping terms with a Jordan-Wigner string) and evolved it with PauliEvolutionGate; PauliEvolutionGate doesn't exist in Qiskit 0.25 (ImportError), and on 0.45 / 0.46 the changed Hamiltonian no longer matches the one in the question.</t>
        </is>
      </c>
      <c r="BJ58" s="2" t="inlineStr">
        <is>
          <t>AssertionError</t>
        </is>
      </c>
      <c r="BK58" s="2" t="inlineStr">
        <is>
          <t>AssertionError:</t>
        </is>
      </c>
      <c r="BL58" s="2" t="inlineStr">
        <is>
          <t>Error on 0.25.x, failed on 0.45.x / 0.46.x: the LLM rewrote the Hamiltonian (an identity offset for the number operator and XX + YY hopping terms with a Jordan-Wigner string) and evolved it with PauliEvolutionGate; PauliEvolutionGate doesn't exist in Qiskit 0.25 (ImportError), and on 0.45 / 0.46 the changed Hamiltonian no longer matches the one in the question.</t>
        </is>
      </c>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2" t="n"/>
      <c r="CV58" s="2" t="n"/>
      <c r="CW58" s="2" t="n"/>
      <c r="CX58" s="2" t="n"/>
      <c r="CY58" s="2" t="n"/>
      <c r="CZ58" s="2" t="n"/>
      <c r="DA58" s="2" t="n"/>
      <c r="DB58" s="2" t="n"/>
      <c r="DC58" s="2" t="n"/>
      <c r="DD58" s="2" t="n"/>
      <c r="DE58" s="2" t="n"/>
    </row>
    <row r="59">
      <c r="A59" s="2" t="inlineStr">
        <is>
          <t>issue_911</t>
        </is>
      </c>
      <c r="B59" s="3" t="inlineStr">
        <is>
          <t>NOT_TESTED</t>
        </is>
      </c>
      <c r="C59" s="3" t="inlineStr">
        <is>
          <t>NOT_TESTED</t>
        </is>
      </c>
      <c r="D59" s="3" t="inlineStr">
        <is>
          <t>NOT_TESTED</t>
        </is>
      </c>
      <c r="E59" s="3" t="inlineStr">
        <is>
          <t>NOT_TESTED</t>
        </is>
      </c>
      <c r="F59" s="5" t="inlineStr">
        <is>
          <t>Failed on test</t>
        </is>
      </c>
      <c r="G59" s="5" t="inlineStr">
        <is>
          <t>Failed on test</t>
        </is>
      </c>
      <c r="H59" s="5" t="inlineStr">
        <is>
          <t>Failed on test</t>
        </is>
      </c>
      <c r="I59" s="5" t="inlineStr">
        <is>
          <t>Failed on test</t>
        </is>
      </c>
      <c r="J59" s="5" t="inlineStr">
        <is>
          <t>Failed on test</t>
        </is>
      </c>
      <c r="K59" s="5" t="inlineStr">
        <is>
          <t>Failed on test</t>
        </is>
      </c>
      <c r="L59" s="5" t="inlineStr">
        <is>
          <t>Failed on test</t>
        </is>
      </c>
      <c r="M59" s="5" t="inlineStr">
        <is>
          <t>Failed on test</t>
        </is>
      </c>
      <c r="N59" s="5" t="inlineStr">
        <is>
          <t>Failed on test</t>
        </is>
      </c>
      <c r="O59" s="5" t="inlineStr">
        <is>
          <t>Failed on test</t>
        </is>
      </c>
      <c r="P59" s="5" t="inlineStr">
        <is>
          <t>Failed on test</t>
        </is>
      </c>
      <c r="Q59" s="5" t="inlineStr">
        <is>
          <t>Failed on test</t>
        </is>
      </c>
      <c r="R59" s="5" t="inlineStr">
        <is>
          <t>Failed on test</t>
        </is>
      </c>
      <c r="S59" s="5" t="inlineStr">
        <is>
          <t>Failed on test</t>
        </is>
      </c>
      <c r="T59" s="5" t="inlineStr">
        <is>
          <t>Failed on test</t>
        </is>
      </c>
      <c r="U59" s="5" t="inlineStr">
        <is>
          <t>Failed on test</t>
        </is>
      </c>
      <c r="V59" s="5" t="inlineStr">
        <is>
          <t>Failed on test</t>
        </is>
      </c>
      <c r="W59" s="5" t="inlineStr">
        <is>
          <t>Failed on test</t>
        </is>
      </c>
      <c r="X59" s="5" t="inlineStr">
        <is>
          <t>Failed on test</t>
        </is>
      </c>
      <c r="Y59" s="5" t="inlineStr">
        <is>
          <t>Failed on test</t>
        </is>
      </c>
      <c r="Z59" s="5" t="inlineStr">
        <is>
          <t>Failed on test</t>
        </is>
      </c>
      <c r="AA59" s="5" t="inlineStr">
        <is>
          <t>Failed on test</t>
        </is>
      </c>
      <c r="AB59" s="5" t="inlineStr">
        <is>
          <t>Failed on test</t>
        </is>
      </c>
      <c r="AC59" s="2" t="n"/>
      <c r="AD59" s="2" t="n"/>
      <c r="AE59" s="2" t="n"/>
      <c r="AF59" s="2" t="n"/>
      <c r="AG59" s="2" t="n"/>
      <c r="AH59" s="2" t="n"/>
      <c r="AI59" s="2" t="n"/>
      <c r="AJ59" s="2" t="n"/>
      <c r="AK59" s="2" t="n"/>
      <c r="AL59" s="2" t="n"/>
      <c r="AM59" s="2" t="n"/>
      <c r="AN59" s="2" t="n"/>
      <c r="AO59" s="2" t="inlineStr">
        <is>
          <t>AssertionError</t>
        </is>
      </c>
      <c r="AP59" s="2" t="inlineStr">
        <is>
          <t>AssertionError: Lists differ: [] != [1, 2, 0]</t>
        </is>
      </c>
      <c r="AQ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AR59" s="2" t="inlineStr">
        <is>
          <t>AssertionError</t>
        </is>
      </c>
      <c r="AS59" s="2" t="inlineStr">
        <is>
          <t>AssertionError: Lists differ: [] != [1, 2, 0]</t>
        </is>
      </c>
      <c r="AT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AU59" s="2" t="inlineStr">
        <is>
          <t>AssertionError</t>
        </is>
      </c>
      <c r="AV59" s="2" t="inlineStr">
        <is>
          <t>AssertionError: Lists differ: [] != [1, 2, 0]</t>
        </is>
      </c>
      <c r="AW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AX59" s="2" t="inlineStr">
        <is>
          <t>AssertionError</t>
        </is>
      </c>
      <c r="AY59" s="2" t="inlineStr">
        <is>
          <t>AssertionError: Lists differ: [] != [1, 2, 0]</t>
        </is>
      </c>
      <c r="AZ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BA59" s="2" t="inlineStr">
        <is>
          <t>AssertionError</t>
        </is>
      </c>
      <c r="BB59" s="2" t="inlineStr">
        <is>
          <t>AssertionError: Lists differ: [] != [1, 2, 0]</t>
        </is>
      </c>
      <c r="BC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BD59" s="2" t="inlineStr">
        <is>
          <t>AssertionError</t>
        </is>
      </c>
      <c r="BE59" s="2" t="inlineStr">
        <is>
          <t>AssertionError: Lists differ: [] != [1, 2, 0]</t>
        </is>
      </c>
      <c r="BF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BG59" s="2" t="inlineStr">
        <is>
          <t>AssertionError</t>
        </is>
      </c>
      <c r="BH59" s="2" t="inlineStr">
        <is>
          <t>AssertionError: Lists differ: [] != [1, 2, 0]</t>
        </is>
      </c>
      <c r="BI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BJ59" s="2" t="inlineStr">
        <is>
          <t>AssertionError</t>
        </is>
      </c>
      <c r="BK59" s="2" t="inlineStr">
        <is>
          <t>AssertionError: Lists differ: [] != [1, 2, 0]</t>
        </is>
      </c>
      <c r="BL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BM59" s="2" t="inlineStr">
        <is>
          <t>AssertionError</t>
        </is>
      </c>
      <c r="BN59" s="2" t="inlineStr">
        <is>
          <t>AssertionError: Lists differ: [] != [1, 2, 0]</t>
        </is>
      </c>
      <c r="BO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BP59" s="2" t="inlineStr">
        <is>
          <t>AssertionError</t>
        </is>
      </c>
      <c r="BQ59" s="2" t="inlineStr">
        <is>
          <t>AssertionError: Lists differ: [] != [1, 2, 0]</t>
        </is>
      </c>
      <c r="BR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BS59" s="2" t="inlineStr">
        <is>
          <t>AssertionError</t>
        </is>
      </c>
      <c r="BT59" s="2" t="inlineStr">
        <is>
          <t>AssertionError: Lists differ: [] != [1, 2, 0]</t>
        </is>
      </c>
      <c r="BU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BV59" s="2" t="inlineStr">
        <is>
          <t>AssertionError</t>
        </is>
      </c>
      <c r="BW59" s="2" t="inlineStr">
        <is>
          <t>AssertionError: Lists differ: [] != [1, 2, 0]</t>
        </is>
      </c>
      <c r="BX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BY59" s="2" t="inlineStr">
        <is>
          <t>AssertionError</t>
        </is>
      </c>
      <c r="BZ59" s="2" t="inlineStr">
        <is>
          <t>AssertionError: Lists differ: [] != [1, 2, 0]</t>
        </is>
      </c>
      <c r="CA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CB59" s="2" t="inlineStr">
        <is>
          <t>AssertionError</t>
        </is>
      </c>
      <c r="CC59" s="2" t="inlineStr">
        <is>
          <t>AssertionError: Lists differ: [] != [1, 2, 0]</t>
        </is>
      </c>
      <c r="CD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CE59" s="2" t="inlineStr">
        <is>
          <t>AssertionError</t>
        </is>
      </c>
      <c r="CF59" s="2" t="inlineStr">
        <is>
          <t>AssertionError: Lists differ: [] != [0, 0, 0, 0, 0, 1, 1, 0, 1, 0, 1, 0, 1, 0, 0, 0, 0, 0, 1, 1, 2]</t>
        </is>
      </c>
      <c r="CG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CH59" s="2" t="inlineStr">
        <is>
          <t>AssertionError</t>
        </is>
      </c>
      <c r="CI59" s="2" t="inlineStr">
        <is>
          <t>AssertionError: Lists differ: [] != [0, 0, 0, 0, 0, 1, 1, 0, 1, 0, 1, 0, 1, 0, 0, 0, 0, 0, 1, 1, 2]</t>
        </is>
      </c>
      <c r="CJ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CK59" s="2" t="inlineStr">
        <is>
          <t>AssertionError</t>
        </is>
      </c>
      <c r="CL59" s="2" t="inlineStr">
        <is>
          <t>AssertionError: Lists differ: [] != [0, 0, 0, 0, 0, 1, 1, 0, 1, 0, 1, 0, 1, 0, 0, 0, 0, 0, 1, 1, 2]</t>
        </is>
      </c>
      <c r="CM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CN59" s="2" t="inlineStr">
        <is>
          <t>AssertionError</t>
        </is>
      </c>
      <c r="CO59" s="2" t="inlineStr">
        <is>
          <t>AssertionError: Lists differ: [] != [0, 0, 0, 0, 0, 1, 1, 0, 1, 0, 1, 0, 1, 0, 0, 0, 0, 0, 1, 1, 2]</t>
        </is>
      </c>
      <c r="CP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CQ59" s="2" t="inlineStr">
        <is>
          <t>AssertionError</t>
        </is>
      </c>
      <c r="CR59" s="2" t="inlineStr">
        <is>
          <t>AssertionError: Lists differ: [] != [0, 0, 0, 0, 0, 1, 1, 0, 1, 0, 1, 0, 1, 0, 0, 0, 0, 0, 1, 1, 2]</t>
        </is>
      </c>
      <c r="CS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CT59" s="2" t="inlineStr">
        <is>
          <t>AssertionError</t>
        </is>
      </c>
      <c r="CU59" s="2" t="inlineStr">
        <is>
          <t>AssertionError: Lists differ: [] != [0, 0, 0, 0, 0, 1, 1, 0, 1, 0, 1, 0, 1, 0, 0, 0, 0, 0, 1, 1, 2]</t>
        </is>
      </c>
      <c r="CV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CW59" s="2" t="inlineStr">
        <is>
          <t>AssertionError</t>
        </is>
      </c>
      <c r="CX59" s="2" t="inlineStr">
        <is>
          <t>AssertionError: Lists differ: [] != [0, 0, 0, 0, 0, 1, 1, 0, 1, 0, 1, 0, 1, 0, 0, 0, 0, 0, 1, 1, 2]</t>
        </is>
      </c>
      <c r="CY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CZ59" s="2" t="inlineStr">
        <is>
          <t>AssertionError</t>
        </is>
      </c>
      <c r="DA59" s="2" t="inlineStr">
        <is>
          <t>AssertionError: Lists differ: [] != [0, 0, 0, 0, 0, 1, 1, 0, 1, 0, 1, 0, 1, 0, 0, 0, 0, 0, 1, 1, 2]</t>
        </is>
      </c>
      <c r="DB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c r="DC59" s="2" t="inlineStr">
        <is>
          <t>AssertionError</t>
        </is>
      </c>
      <c r="DD59" s="2" t="inlineStr">
        <is>
          <t>AssertionError: Lists differ: [] != [0, 0, 0, 0, 0, 1, 1, 0, 1, 0, 1, 0, 1, 0, 0, 0, 0, 0, 1, 1, 2]</t>
        </is>
      </c>
      <c r="DE59" s="2" t="inlineStr">
        <is>
          <t>The LLM used qc.find_bit() but printed the register and index only for each gate's last qubit, so the cx gate's control qubit is missing; the updated test, which reads the printed indices in any format, finds none it can match ([] instead of [1, 2, 0]). gpt-5.6-luna passed.</t>
        </is>
      </c>
    </row>
    <row r="60">
      <c r="A60" s="2" t="inlineStr">
        <is>
          <t>issue_925</t>
        </is>
      </c>
      <c r="B60" s="6" t="inlineStr">
        <is>
          <t>Runtime error</t>
        </is>
      </c>
      <c r="C60" s="6" t="inlineStr">
        <is>
          <t>Runtime error</t>
        </is>
      </c>
      <c r="D60" s="6" t="inlineStr">
        <is>
          <t>Runtime error</t>
        </is>
      </c>
      <c r="E60" s="6" t="inlineStr">
        <is>
          <t>Runtime error</t>
        </is>
      </c>
      <c r="F60" s="3" t="inlineStr">
        <is>
          <t>NOT_TESTED</t>
        </is>
      </c>
      <c r="G60" s="3" t="inlineStr">
        <is>
          <t>NOT_TESTED</t>
        </is>
      </c>
      <c r="H60" s="3" t="inlineStr">
        <is>
          <t>NOT_TESTED</t>
        </is>
      </c>
      <c r="I60" s="3" t="inlineStr">
        <is>
          <t>NOT_TESTED</t>
        </is>
      </c>
      <c r="J60" s="3" t="inlineStr">
        <is>
          <t>NOT_TESTED</t>
        </is>
      </c>
      <c r="K60" s="3" t="inlineStr">
        <is>
          <t>NOT_TESTED</t>
        </is>
      </c>
      <c r="L60" s="3" t="inlineStr">
        <is>
          <t>NOT_TESTED</t>
        </is>
      </c>
      <c r="M60" s="3" t="inlineStr">
        <is>
          <t>NOT_TESTED</t>
        </is>
      </c>
      <c r="N60" s="3" t="inlineStr">
        <is>
          <t>NOT_TESTED</t>
        </is>
      </c>
      <c r="O60" s="3" t="inlineStr">
        <is>
          <t>NOT_TESTED</t>
        </is>
      </c>
      <c r="P60" s="3" t="inlineStr">
        <is>
          <t>NOT_TESTED</t>
        </is>
      </c>
      <c r="Q60" s="3" t="inlineStr">
        <is>
          <t>NOT_TESTED</t>
        </is>
      </c>
      <c r="R60" s="3" t="inlineStr">
        <is>
          <t>NOT_TESTED</t>
        </is>
      </c>
      <c r="S60" s="3" t="inlineStr">
        <is>
          <t>NOT_TESTED</t>
        </is>
      </c>
      <c r="T60" s="3" t="inlineStr">
        <is>
          <t>NOT_TESTED</t>
        </is>
      </c>
      <c r="U60" s="3" t="inlineStr">
        <is>
          <t>NOT_TESTED</t>
        </is>
      </c>
      <c r="V60" s="3" t="inlineStr">
        <is>
          <t>NOT_TESTED</t>
        </is>
      </c>
      <c r="W60" s="3" t="inlineStr">
        <is>
          <t>NOT_TESTED</t>
        </is>
      </c>
      <c r="X60" s="3" t="inlineStr">
        <is>
          <t>NOT_TESTED</t>
        </is>
      </c>
      <c r="Y60" s="3" t="inlineStr">
        <is>
          <t>NOT_TESTED</t>
        </is>
      </c>
      <c r="Z60" s="3" t="inlineStr">
        <is>
          <t>NOT_TESTED</t>
        </is>
      </c>
      <c r="AA60" s="3" t="inlineStr">
        <is>
          <t>NOT_TESTED</t>
        </is>
      </c>
      <c r="AB60" s="3" t="inlineStr">
        <is>
          <t>NOT_TESTED</t>
        </is>
      </c>
      <c r="AC60" s="2" t="inlineStr">
        <is>
          <t>Timeout</t>
        </is>
      </c>
      <c r="AD60" s="2" t="inlineStr">
        <is>
          <t>120 second timeout</t>
        </is>
      </c>
      <c r="AE60" s="2" t="inlineStr">
        <is>
          <t>Error (timeout): the LLM switched from the 15-qubit FakeMelbourne to the 20-qubit FakeTokyo so the 18-qubit Shor circuit fits, but the noisy simulation on FakeTokyo doesn't finish within 120 seconds on any version (3 runs; a single run with a 15-minute limit didn't finish either).</t>
        </is>
      </c>
      <c r="AF60" s="2" t="inlineStr">
        <is>
          <t>Timeout</t>
        </is>
      </c>
      <c r="AG60" s="2" t="inlineStr">
        <is>
          <t>120 second timeout</t>
        </is>
      </c>
      <c r="AH60" s="2" t="inlineStr">
        <is>
          <t>Error (timeout): the LLM switched from the 15-qubit FakeMelbourne to the 20-qubit FakeTokyo so the 18-qubit Shor circuit fits, but the noisy simulation on FakeTokyo doesn't finish within 120 seconds on any version (3 runs; a single run with a 15-minute limit didn't finish either).</t>
        </is>
      </c>
      <c r="AI60" s="2" t="inlineStr">
        <is>
          <t>Timeout</t>
        </is>
      </c>
      <c r="AJ60" s="2" t="inlineStr">
        <is>
          <t>120 second timeout</t>
        </is>
      </c>
      <c r="AK60" s="2" t="inlineStr">
        <is>
          <t>Error (timeout): the LLM switched from the 15-qubit FakeMelbourne to the 20-qubit FakeTokyo so the 18-qubit Shor circuit fits, but the noisy simulation on FakeTokyo doesn't finish within 120 seconds on any version (3 runs; a single run with a 15-minute limit didn't finish either).</t>
        </is>
      </c>
      <c r="AL60" s="2" t="inlineStr">
        <is>
          <t>Timeout</t>
        </is>
      </c>
      <c r="AM60" s="2" t="inlineStr">
        <is>
          <t>120 second timeout</t>
        </is>
      </c>
      <c r="AN60" s="2" t="inlineStr">
        <is>
          <t>Error (timeout): the LLM switched from the 15-qubit FakeMelbourne to the 20-qubit FakeTokyo so the 18-qubit Shor circuit fits, but the noisy simulation on FakeTokyo doesn't finish within 120 seconds on any version (3 runs; a single run with a 15-minute limit didn't finish either).</t>
        </is>
      </c>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2" t="n"/>
      <c r="CV60" s="2" t="n"/>
      <c r="CW60" s="2" t="n"/>
      <c r="CX60" s="2" t="n"/>
      <c r="CY60" s="2" t="n"/>
      <c r="CZ60" s="2" t="n"/>
      <c r="DA60" s="2" t="n"/>
      <c r="DB60" s="2" t="n"/>
      <c r="DC60" s="2" t="n"/>
      <c r="DD60" s="2" t="n"/>
      <c r="DE60" s="2" t="n"/>
    </row>
    <row r="61">
      <c r="A61" s="2" t="inlineStr">
        <is>
          <t>issue_944</t>
        </is>
      </c>
      <c r="B61" s="5" t="inlineStr">
        <is>
          <t>Failed on test</t>
        </is>
      </c>
      <c r="C61" s="5" t="inlineStr">
        <is>
          <t>Failed on test</t>
        </is>
      </c>
      <c r="D61" s="5" t="inlineStr">
        <is>
          <t>Failed on test</t>
        </is>
      </c>
      <c r="E61" s="5" t="inlineStr">
        <is>
          <t>Failed on test</t>
        </is>
      </c>
      <c r="F61" s="5" t="inlineStr">
        <is>
          <t>Failed on test</t>
        </is>
      </c>
      <c r="G61" s="5" t="inlineStr">
        <is>
          <t>Failed on test</t>
        </is>
      </c>
      <c r="H61" s="5" t="inlineStr">
        <is>
          <t>Failed on test</t>
        </is>
      </c>
      <c r="I61" s="5" t="inlineStr">
        <is>
          <t>Failed on test</t>
        </is>
      </c>
      <c r="J61" s="5" t="inlineStr">
        <is>
          <t>Failed on test</t>
        </is>
      </c>
      <c r="K61" s="5" t="inlineStr">
        <is>
          <t>Failed on test</t>
        </is>
      </c>
      <c r="L61" s="5" t="inlineStr">
        <is>
          <t>Failed on test</t>
        </is>
      </c>
      <c r="M61" s="5" t="inlineStr">
        <is>
          <t>Failed on test</t>
        </is>
      </c>
      <c r="N61" s="3" t="inlineStr">
        <is>
          <t>NOT_TESTED</t>
        </is>
      </c>
      <c r="O61" s="3" t="inlineStr">
        <is>
          <t>NOT_TESTED</t>
        </is>
      </c>
      <c r="P61" s="3" t="inlineStr">
        <is>
          <t>NOT_TESTED</t>
        </is>
      </c>
      <c r="Q61" s="3" t="inlineStr">
        <is>
          <t>NOT_TESTED</t>
        </is>
      </c>
      <c r="R61" s="3" t="inlineStr">
        <is>
          <t>NOT_TESTED</t>
        </is>
      </c>
      <c r="S61" s="3" t="inlineStr">
        <is>
          <t>NOT_TESTED</t>
        </is>
      </c>
      <c r="T61" s="3" t="inlineStr">
        <is>
          <t>NOT_TESTED</t>
        </is>
      </c>
      <c r="U61" s="3" t="inlineStr">
        <is>
          <t>NOT_TESTED</t>
        </is>
      </c>
      <c r="V61" s="3" t="inlineStr">
        <is>
          <t>NOT_TESTED</t>
        </is>
      </c>
      <c r="W61" s="3" t="inlineStr">
        <is>
          <t>NOT_TESTED</t>
        </is>
      </c>
      <c r="X61" s="3" t="inlineStr">
        <is>
          <t>NOT_TESTED</t>
        </is>
      </c>
      <c r="Y61" s="3" t="inlineStr">
        <is>
          <t>NOT_TESTED</t>
        </is>
      </c>
      <c r="Z61" s="3" t="inlineStr">
        <is>
          <t>NOT_TESTED</t>
        </is>
      </c>
      <c r="AA61" s="3" t="inlineStr">
        <is>
          <t>NOT_TESTED</t>
        </is>
      </c>
      <c r="AB61" s="3" t="inlineStr">
        <is>
          <t>NOT_TESTED</t>
        </is>
      </c>
      <c r="AC61" s="2" t="inlineStr">
        <is>
          <t>AssertionError</t>
        </is>
      </c>
      <c r="AD61" s="2" t="inlineStr">
        <is>
          <t>AssertionError:</t>
        </is>
      </c>
      <c r="AE61" s="2" t="inlineStr">
        <is>
          <t>The LLM reversed the projector to ~Plus @ Plus, which is the inner product &lt;+|+&gt; = 1, not the projector |+&gt;&lt;+| (the original Plus @ ~Plus order was right), so the projector's matrix is wrong. gpt-5.6-luna's (I + X) / 2 passed.</t>
        </is>
      </c>
      <c r="AF61" s="2" t="inlineStr">
        <is>
          <t>AssertionError</t>
        </is>
      </c>
      <c r="AG61" s="2" t="inlineStr">
        <is>
          <t>AssertionError:</t>
        </is>
      </c>
      <c r="AH61" s="2" t="inlineStr">
        <is>
          <t>The LLM reversed the projector to ~Plus @ Plus, which is the inner product &lt;+|+&gt; = 1, not the projector |+&gt;&lt;+| (the original Plus @ ~Plus order was right), so the projector's matrix is wrong. gpt-5.6-luna's (I + X) / 2 passed.</t>
        </is>
      </c>
      <c r="AI61" s="2" t="inlineStr">
        <is>
          <t>AssertionError</t>
        </is>
      </c>
      <c r="AJ61" s="2" t="inlineStr">
        <is>
          <t>AssertionError:</t>
        </is>
      </c>
      <c r="AK61" s="2" t="inlineStr">
        <is>
          <t>The LLM reversed the projector to ~Plus @ Plus, which is the inner product &lt;+|+&gt; = 1, not the projector |+&gt;&lt;+| (the original Plus @ ~Plus order was right), so the projector's matrix is wrong. gpt-5.6-luna's (I + X) / 2 passed.</t>
        </is>
      </c>
      <c r="AL61" s="2" t="inlineStr">
        <is>
          <t>AssertionError</t>
        </is>
      </c>
      <c r="AM61" s="2" t="inlineStr">
        <is>
          <t>AssertionError:</t>
        </is>
      </c>
      <c r="AN61" s="2" t="inlineStr">
        <is>
          <t>The LLM reversed the projector to ~Plus @ Plus, which is the inner product &lt;+|+&gt; = 1, not the projector |+&gt;&lt;+| (the original Plus @ ~Plus order was right), so the projector's matrix is wrong. gpt-5.6-luna's (I + X) / 2 passed.</t>
        </is>
      </c>
      <c r="AO61" s="2" t="inlineStr">
        <is>
          <t>AssertionError</t>
        </is>
      </c>
      <c r="AP61" s="2" t="inlineStr">
        <is>
          <t>AssertionError:</t>
        </is>
      </c>
      <c r="AQ61" s="2" t="inlineStr">
        <is>
          <t>The LLM reversed the projector to ~Plus @ Plus, which is the inner product &lt;+|+&gt; = 1, not the projector |+&gt;&lt;+| (the original Plus @ ~Plus order was right), so the projector's matrix is wrong. gpt-5.6-luna's (I + X) / 2 passed.</t>
        </is>
      </c>
      <c r="AR61" s="2" t="inlineStr">
        <is>
          <t>AssertionError</t>
        </is>
      </c>
      <c r="AS61" s="2" t="inlineStr">
        <is>
          <t>AssertionError:</t>
        </is>
      </c>
      <c r="AT61" s="2" t="inlineStr">
        <is>
          <t>The LLM reversed the projector to ~Plus @ Plus, which is the inner product &lt;+|+&gt; = 1, not the projector |+&gt;&lt;+| (the original Plus @ ~Plus order was right), so the projector's matrix is wrong. gpt-5.6-luna's (I + X) / 2 passed.</t>
        </is>
      </c>
      <c r="AU61" s="2" t="inlineStr">
        <is>
          <t>AssertionError</t>
        </is>
      </c>
      <c r="AV61" s="2" t="inlineStr">
        <is>
          <t>AssertionError:</t>
        </is>
      </c>
      <c r="AW61" s="2" t="inlineStr">
        <is>
          <t>The LLM reversed the projector to ~Plus @ Plus, which is the inner product &lt;+|+&gt; = 1, not the projector |+&gt;&lt;+| (the original Plus @ ~Plus order was right), so the projector's matrix is wrong. gpt-5.6-luna's (I + X) / 2 passed.</t>
        </is>
      </c>
      <c r="AX61" s="2" t="inlineStr">
        <is>
          <t>AssertionError</t>
        </is>
      </c>
      <c r="AY61" s="2" t="inlineStr">
        <is>
          <t>AssertionError:</t>
        </is>
      </c>
      <c r="AZ61" s="2" t="inlineStr">
        <is>
          <t>The LLM reversed the projector to ~Plus @ Plus, which is the inner product &lt;+|+&gt; = 1, not the projector |+&gt;&lt;+| (the original Plus @ ~Plus order was right), so the projector's matrix is wrong. gpt-5.6-luna's (I + X) / 2 passed.</t>
        </is>
      </c>
      <c r="BA61" s="2" t="inlineStr">
        <is>
          <t>AssertionError</t>
        </is>
      </c>
      <c r="BB61" s="2" t="inlineStr">
        <is>
          <t>AssertionError:</t>
        </is>
      </c>
      <c r="BC61" s="2" t="inlineStr">
        <is>
          <t>The LLM reversed the projector to ~Plus @ Plus, which is the inner product &lt;+|+&gt; = 1, not the projector |+&gt;&lt;+| (the original Plus @ ~Plus order was right), so the projector's matrix is wrong. gpt-5.6-luna's (I + X) / 2 passed.</t>
        </is>
      </c>
      <c r="BD61" s="2" t="inlineStr">
        <is>
          <t>AssertionError</t>
        </is>
      </c>
      <c r="BE61" s="2" t="inlineStr">
        <is>
          <t>AssertionError:</t>
        </is>
      </c>
      <c r="BF61" s="2" t="inlineStr">
        <is>
          <t>The LLM reversed the projector to ~Plus @ Plus, which is the inner product &lt;+|+&gt; = 1, not the projector |+&gt;&lt;+| (the original Plus @ ~Plus order was right), so the projector's matrix is wrong. gpt-5.6-luna's (I + X) / 2 passed.</t>
        </is>
      </c>
      <c r="BG61" s="2" t="inlineStr">
        <is>
          <t>AssertionError</t>
        </is>
      </c>
      <c r="BH61" s="2" t="inlineStr">
        <is>
          <t>AssertionError:</t>
        </is>
      </c>
      <c r="BI61" s="2" t="inlineStr">
        <is>
          <t>The LLM reversed the projector to ~Plus @ Plus, which is the inner product &lt;+|+&gt; = 1, not the projector |+&gt;&lt;+| (the original Plus @ ~Plus order was right), so the projector's matrix is wrong. gpt-5.6-luna's (I + X) / 2 passed.</t>
        </is>
      </c>
      <c r="BJ61" s="2" t="inlineStr">
        <is>
          <t>AssertionError</t>
        </is>
      </c>
      <c r="BK61" s="2" t="inlineStr">
        <is>
          <t>AssertionError:</t>
        </is>
      </c>
      <c r="BL61" s="2" t="inlineStr">
        <is>
          <t>The LLM reversed the projector to ~Plus @ Plus, which is the inner product &lt;+|+&gt; = 1, not the projector |+&gt;&lt;+| (the original Plus @ ~Plus order was right), so the projector's matrix is wrong. gpt-5.6-luna's (I + X) / 2 passed.</t>
        </is>
      </c>
      <c r="BM61" s="2" t="n"/>
      <c r="BN61" s="2" t="n"/>
      <c r="BO61" s="2" t="n"/>
      <c r="BP61" s="2" t="n"/>
      <c r="BQ61" s="2" t="n"/>
      <c r="BR61" s="2" t="n"/>
      <c r="BS61" s="2" t="n"/>
      <c r="BT61" s="2" t="n"/>
      <c r="BU61" s="2" t="n"/>
      <c r="BV61" s="2" t="n"/>
      <c r="BW61" s="2" t="n"/>
      <c r="BX61" s="2" t="n"/>
      <c r="BY61" s="2" t="n"/>
      <c r="BZ61" s="2" t="n"/>
      <c r="CA61" s="2" t="n"/>
      <c r="CB61" s="2" t="n"/>
      <c r="CC61" s="2" t="n"/>
      <c r="CD61" s="2" t="n"/>
      <c r="CE61" s="2" t="n"/>
      <c r="CF61" s="2" t="n"/>
      <c r="CG61" s="2" t="n"/>
      <c r="CH61" s="2" t="n"/>
      <c r="CI61" s="2" t="n"/>
      <c r="CJ61" s="2" t="n"/>
      <c r="CK61" s="2" t="n"/>
      <c r="CL61" s="2" t="n"/>
      <c r="CM61" s="2" t="n"/>
      <c r="CN61" s="2" t="n"/>
      <c r="CO61" s="2" t="n"/>
      <c r="CP61" s="2" t="n"/>
      <c r="CQ61" s="2" t="n"/>
      <c r="CR61" s="2" t="n"/>
      <c r="CS61" s="2" t="n"/>
      <c r="CT61" s="2" t="n"/>
      <c r="CU61" s="2" t="n"/>
      <c r="CV61" s="2" t="n"/>
      <c r="CW61" s="2" t="n"/>
      <c r="CX61" s="2" t="n"/>
      <c r="CY61" s="2" t="n"/>
      <c r="CZ61" s="2" t="n"/>
      <c r="DA61" s="2" t="n"/>
      <c r="DB61" s="2" t="n"/>
      <c r="DC61" s="2" t="n"/>
      <c r="DD61" s="2" t="n"/>
      <c r="DE61" s="2" t="n"/>
    </row>
    <row r="62">
      <c r="A62" s="2" t="inlineStr">
        <is>
          <t>issue_950</t>
        </is>
      </c>
      <c r="B62" s="5" t="inlineStr">
        <is>
          <t>Failed on test</t>
        </is>
      </c>
      <c r="C62" s="5" t="inlineStr">
        <is>
          <t>Failed on test</t>
        </is>
      </c>
      <c r="D62" s="5" t="inlineStr">
        <is>
          <t>Failed on test</t>
        </is>
      </c>
      <c r="E62" s="5" t="inlineStr">
        <is>
          <t>Failed on test</t>
        </is>
      </c>
      <c r="F62" s="5" t="inlineStr">
        <is>
          <t>Failed on test</t>
        </is>
      </c>
      <c r="G62" s="5" t="inlineStr">
        <is>
          <t>Failed on test</t>
        </is>
      </c>
      <c r="H62" s="5" t="inlineStr">
        <is>
          <t>Failed on test</t>
        </is>
      </c>
      <c r="I62" s="5" t="inlineStr">
        <is>
          <t>Failed on test</t>
        </is>
      </c>
      <c r="J62" s="5" t="inlineStr">
        <is>
          <t>Failed on test</t>
        </is>
      </c>
      <c r="K62" s="5" t="inlineStr">
        <is>
          <t>Failed on test</t>
        </is>
      </c>
      <c r="L62" s="5" t="inlineStr">
        <is>
          <t>Failed on test</t>
        </is>
      </c>
      <c r="M62" s="5" t="inlineStr">
        <is>
          <t>Failed on test</t>
        </is>
      </c>
      <c r="N62" s="5" t="inlineStr">
        <is>
          <t>Failed on test</t>
        </is>
      </c>
      <c r="O62" s="5" t="inlineStr">
        <is>
          <t>Failed on test</t>
        </is>
      </c>
      <c r="P62" s="5" t="inlineStr">
        <is>
          <t>Failed on test</t>
        </is>
      </c>
      <c r="Q62" s="5" t="inlineStr">
        <is>
          <t>Failed on test</t>
        </is>
      </c>
      <c r="R62" s="5" t="inlineStr">
        <is>
          <t>Failed on test</t>
        </is>
      </c>
      <c r="S62" s="5" t="inlineStr">
        <is>
          <t>Failed on test</t>
        </is>
      </c>
      <c r="T62" s="5" t="inlineStr">
        <is>
          <t>Failed on test</t>
        </is>
      </c>
      <c r="U62" s="5" t="inlineStr">
        <is>
          <t>Failed on test</t>
        </is>
      </c>
      <c r="V62" s="5" t="inlineStr">
        <is>
          <t>Failed on test</t>
        </is>
      </c>
      <c r="W62" s="5" t="inlineStr">
        <is>
          <t>Failed on test</t>
        </is>
      </c>
      <c r="X62" s="5" t="inlineStr">
        <is>
          <t>Failed on test</t>
        </is>
      </c>
      <c r="Y62" s="5" t="inlineStr">
        <is>
          <t>Failed on test</t>
        </is>
      </c>
      <c r="Z62" s="5" t="inlineStr">
        <is>
          <t>Failed on test</t>
        </is>
      </c>
      <c r="AA62" s="5" t="inlineStr">
        <is>
          <t>Failed on test</t>
        </is>
      </c>
      <c r="AB62" s="5" t="inlineStr">
        <is>
          <t>Failed on test</t>
        </is>
      </c>
      <c r="AC62" s="2" t="inlineStr">
        <is>
          <t>AssertionError</t>
        </is>
      </c>
      <c r="AD62" s="2" t="inlineStr">
        <is>
          <t>AssertionError:</t>
        </is>
      </c>
      <c r="AE62" s="2" t="inlineStr">
        <is>
          <t>The LLM widened the identity to N qubits but kept _add(), which adds the Z operator to the identity instead of placing Z on the requested qubits. Same problem as gpt-5.6-luna.</t>
        </is>
      </c>
      <c r="AF62" s="2" t="inlineStr">
        <is>
          <t>AssertionError</t>
        </is>
      </c>
      <c r="AG62" s="2" t="inlineStr">
        <is>
          <t>AssertionError:</t>
        </is>
      </c>
      <c r="AH62" s="2" t="inlineStr">
        <is>
          <t>The LLM widened the identity to N qubits but kept _add(), which adds the Z operator to the identity instead of placing Z on the requested qubits. Same problem as gpt-5.6-luna.</t>
        </is>
      </c>
      <c r="AI62" s="2" t="inlineStr">
        <is>
          <t>AssertionError</t>
        </is>
      </c>
      <c r="AJ62" s="2" t="inlineStr">
        <is>
          <t>AssertionError:</t>
        </is>
      </c>
      <c r="AK62" s="2" t="inlineStr">
        <is>
          <t>The LLM widened the identity to N qubits but kept _add(), which adds the Z operator to the identity instead of placing Z on the requested qubits. Same problem as gpt-5.6-luna.</t>
        </is>
      </c>
      <c r="AL62" s="2" t="inlineStr">
        <is>
          <t>AssertionError</t>
        </is>
      </c>
      <c r="AM62" s="2" t="inlineStr">
        <is>
          <t>AssertionError:</t>
        </is>
      </c>
      <c r="AN62" s="2" t="inlineStr">
        <is>
          <t>The LLM widened the identity to N qubits but kept _add(), which adds the Z operator to the identity instead of placing Z on the requested qubits. Same problem as gpt-5.6-luna.</t>
        </is>
      </c>
      <c r="AO62" s="2" t="inlineStr">
        <is>
          <t>AssertionError</t>
        </is>
      </c>
      <c r="AP62" s="2" t="inlineStr">
        <is>
          <t>AssertionError:</t>
        </is>
      </c>
      <c r="AQ62" s="2" t="inlineStr">
        <is>
          <t>The LLM widened the identity to N qubits but kept _add(), which adds the Z operator to the identity instead of placing Z on the requested qubits. Same problem as gpt-5.6-luna.</t>
        </is>
      </c>
      <c r="AR62" s="2" t="inlineStr">
        <is>
          <t>AssertionError</t>
        </is>
      </c>
      <c r="AS62" s="2" t="inlineStr">
        <is>
          <t>AssertionError:</t>
        </is>
      </c>
      <c r="AT62" s="2" t="inlineStr">
        <is>
          <t>The LLM widened the identity to N qubits but kept _add(), which adds the Z operator to the identity instead of placing Z on the requested qubits. Same problem as gpt-5.6-luna.</t>
        </is>
      </c>
      <c r="AU62" s="2" t="inlineStr">
        <is>
          <t>AssertionError</t>
        </is>
      </c>
      <c r="AV62" s="2" t="inlineStr">
        <is>
          <t>AssertionError:</t>
        </is>
      </c>
      <c r="AW62" s="2" t="inlineStr">
        <is>
          <t>The LLM widened the identity to N qubits but kept _add(), which adds the Z operator to the identity instead of placing Z on the requested qubits. Same problem as gpt-5.6-luna.</t>
        </is>
      </c>
      <c r="AX62" s="2" t="inlineStr">
        <is>
          <t>AssertionError</t>
        </is>
      </c>
      <c r="AY62" s="2" t="inlineStr">
        <is>
          <t>AssertionError:</t>
        </is>
      </c>
      <c r="AZ62" s="2" t="inlineStr">
        <is>
          <t>The LLM widened the identity to N qubits but kept _add(), which adds the Z operator to the identity instead of placing Z on the requested qubits. Same problem as gpt-5.6-luna.</t>
        </is>
      </c>
      <c r="BA62" s="2" t="inlineStr">
        <is>
          <t>AssertionError</t>
        </is>
      </c>
      <c r="BB62" s="2" t="inlineStr">
        <is>
          <t>AssertionError:</t>
        </is>
      </c>
      <c r="BC62" s="2" t="inlineStr">
        <is>
          <t>The LLM widened the identity to N qubits but kept _add(), which adds the Z operator to the identity instead of placing Z on the requested qubits. Same problem as gpt-5.6-luna.</t>
        </is>
      </c>
      <c r="BD62" s="2" t="inlineStr">
        <is>
          <t>AssertionError</t>
        </is>
      </c>
      <c r="BE62" s="2" t="inlineStr">
        <is>
          <t>AssertionError:</t>
        </is>
      </c>
      <c r="BF62" s="2" t="inlineStr">
        <is>
          <t>The LLM widened the identity to N qubits but kept _add(), which adds the Z operator to the identity instead of placing Z on the requested qubits. Same problem as gpt-5.6-luna.</t>
        </is>
      </c>
      <c r="BG62" s="2" t="inlineStr">
        <is>
          <t>AssertionError</t>
        </is>
      </c>
      <c r="BH62" s="2" t="inlineStr">
        <is>
          <t>AssertionError:</t>
        </is>
      </c>
      <c r="BI62" s="2" t="inlineStr">
        <is>
          <t>The LLM widened the identity to N qubits but kept _add(), which adds the Z operator to the identity instead of placing Z on the requested qubits. Same problem as gpt-5.6-luna.</t>
        </is>
      </c>
      <c r="BJ62" s="2" t="inlineStr">
        <is>
          <t>AssertionError</t>
        </is>
      </c>
      <c r="BK62" s="2" t="inlineStr">
        <is>
          <t>AssertionError:</t>
        </is>
      </c>
      <c r="BL62" s="2" t="inlineStr">
        <is>
          <t>The LLM widened the identity to N qubits but kept _add(), which adds the Z operator to the identity instead of placing Z on the requested qubits. Same problem as gpt-5.6-luna.</t>
        </is>
      </c>
      <c r="BM62" s="2" t="inlineStr">
        <is>
          <t>AssertionError</t>
        </is>
      </c>
      <c r="BN62" s="2" t="inlineStr">
        <is>
          <t>AssertionError:</t>
        </is>
      </c>
      <c r="BO62" s="2" t="inlineStr">
        <is>
          <t>The LLM widened the identity to N qubits but kept _add(), which adds the Z operator to the identity instead of placing Z on the requested qubits. Same problem as gpt-5.6-luna.</t>
        </is>
      </c>
      <c r="BP62" s="2" t="inlineStr">
        <is>
          <t>AssertionError</t>
        </is>
      </c>
      <c r="BQ62" s="2" t="inlineStr">
        <is>
          <t>AssertionError:</t>
        </is>
      </c>
      <c r="BR62" s="2" t="inlineStr">
        <is>
          <t>The LLM widened the identity to N qubits but kept _add(), which adds the Z operator to the identity instead of placing Z on the requested qubits. Same problem as gpt-5.6-luna.</t>
        </is>
      </c>
      <c r="BS62" s="2" t="inlineStr">
        <is>
          <t>AssertionError</t>
        </is>
      </c>
      <c r="BT62" s="2" t="inlineStr">
        <is>
          <t>AssertionError:</t>
        </is>
      </c>
      <c r="BU62" s="2" t="inlineStr">
        <is>
          <t>The LLM widened the identity to N qubits but kept _add(), which adds the Z operator to the identity instead of placing Z on the requested qubits. Same problem as gpt-5.6-luna.</t>
        </is>
      </c>
      <c r="BV62" s="2" t="inlineStr">
        <is>
          <t>AssertionError</t>
        </is>
      </c>
      <c r="BW62" s="2" t="inlineStr">
        <is>
          <t>AssertionError:</t>
        </is>
      </c>
      <c r="BX62" s="2" t="inlineStr">
        <is>
          <t>The LLM widened the identity to N qubits but kept _add(), which adds the Z operator to the identity instead of placing Z on the requested qubits. Same problem as gpt-5.6-luna.</t>
        </is>
      </c>
      <c r="BY62" s="2" t="inlineStr">
        <is>
          <t>AssertionError</t>
        </is>
      </c>
      <c r="BZ62" s="2" t="inlineStr">
        <is>
          <t>AssertionError:</t>
        </is>
      </c>
      <c r="CA62" s="2" t="inlineStr">
        <is>
          <t>The LLM widened the identity to N qubits but kept _add(), which adds the Z operator to the identity instead of placing Z on the requested qubits. Same problem as gpt-5.6-luna.</t>
        </is>
      </c>
      <c r="CB62" s="2" t="inlineStr">
        <is>
          <t>AssertionError</t>
        </is>
      </c>
      <c r="CC62" s="2" t="inlineStr">
        <is>
          <t>AssertionError:</t>
        </is>
      </c>
      <c r="CD62" s="2" t="inlineStr">
        <is>
          <t>The LLM widened the identity to N qubits but kept _add(), which adds the Z operator to the identity instead of placing Z on the requested qubits. Same problem as gpt-5.6-luna.</t>
        </is>
      </c>
      <c r="CE62" s="2" t="inlineStr">
        <is>
          <t>AssertionError</t>
        </is>
      </c>
      <c r="CF62" s="2" t="inlineStr">
        <is>
          <t>AssertionError:</t>
        </is>
      </c>
      <c r="CG62" s="2" t="inlineStr">
        <is>
          <t>The LLM widened the identity to N qubits but kept _add(), which adds the Z operator to the identity instead of placing Z on the requested qubits. Same problem as gpt-5.6-luna.</t>
        </is>
      </c>
      <c r="CH62" s="2" t="inlineStr">
        <is>
          <t>AssertionError</t>
        </is>
      </c>
      <c r="CI62" s="2" t="inlineStr">
        <is>
          <t>AssertionError:</t>
        </is>
      </c>
      <c r="CJ62" s="2" t="inlineStr">
        <is>
          <t>The LLM widened the identity to N qubits but kept _add(), which adds the Z operator to the identity instead of placing Z on the requested qubits. Same problem as gpt-5.6-luna.</t>
        </is>
      </c>
      <c r="CK62" s="2" t="inlineStr">
        <is>
          <t>AssertionError</t>
        </is>
      </c>
      <c r="CL62" s="2" t="inlineStr">
        <is>
          <t>AssertionError:</t>
        </is>
      </c>
      <c r="CM62" s="2" t="inlineStr">
        <is>
          <t>The LLM widened the identity to N qubits but kept _add(), which adds the Z operator to the identity instead of placing Z on the requested qubits. Same problem as gpt-5.6-luna.</t>
        </is>
      </c>
      <c r="CN62" s="2" t="inlineStr">
        <is>
          <t>AssertionError</t>
        </is>
      </c>
      <c r="CO62" s="2" t="inlineStr">
        <is>
          <t>AssertionError:</t>
        </is>
      </c>
      <c r="CP62" s="2" t="inlineStr">
        <is>
          <t>The LLM widened the identity to N qubits but kept _add(), which adds the Z operator to the identity instead of placing Z on the requested qubits. Same problem as gpt-5.6-luna.</t>
        </is>
      </c>
      <c r="CQ62" s="2" t="inlineStr">
        <is>
          <t>AssertionError</t>
        </is>
      </c>
      <c r="CR62" s="2" t="inlineStr">
        <is>
          <t>AssertionError:</t>
        </is>
      </c>
      <c r="CS62" s="2" t="inlineStr">
        <is>
          <t>The LLM widened the identity to N qubits but kept _add(), which adds the Z operator to the identity instead of placing Z on the requested qubits. Same problem as gpt-5.6-luna.</t>
        </is>
      </c>
      <c r="CT62" s="2" t="inlineStr">
        <is>
          <t>AssertionError</t>
        </is>
      </c>
      <c r="CU62" s="2" t="inlineStr">
        <is>
          <t>AssertionError:</t>
        </is>
      </c>
      <c r="CV62" s="2" t="inlineStr">
        <is>
          <t>The LLM widened the identity to N qubits but kept _add(), which adds the Z operator to the identity instead of placing Z on the requested qubits. Same problem as gpt-5.6-luna.</t>
        </is>
      </c>
      <c r="CW62" s="2" t="inlineStr">
        <is>
          <t>AssertionError</t>
        </is>
      </c>
      <c r="CX62" s="2" t="inlineStr">
        <is>
          <t>AssertionError:</t>
        </is>
      </c>
      <c r="CY62" s="2" t="inlineStr">
        <is>
          <t>The LLM widened the identity to N qubits but kept _add(), which adds the Z operator to the identity instead of placing Z on the requested qubits. Same problem as gpt-5.6-luna.</t>
        </is>
      </c>
      <c r="CZ62" s="2" t="inlineStr">
        <is>
          <t>AssertionError</t>
        </is>
      </c>
      <c r="DA62" s="2" t="inlineStr">
        <is>
          <t>AssertionError:</t>
        </is>
      </c>
      <c r="DB62" s="2" t="inlineStr">
        <is>
          <t>The LLM widened the identity to N qubits but kept _add(), which adds the Z operator to the identity instead of placing Z on the requested qubits. Same problem as gpt-5.6-luna.</t>
        </is>
      </c>
      <c r="DC62" s="2" t="inlineStr">
        <is>
          <t>AssertionError</t>
        </is>
      </c>
      <c r="DD62" s="2" t="inlineStr">
        <is>
          <t>AssertionError:</t>
        </is>
      </c>
      <c r="DE62" s="2" t="inlineStr">
        <is>
          <t>The LLM widened the identity to N qubits but kept _add(), which adds the Z operator to the identity instead of placing Z on the requested qubits. Same problem as gpt-5.6-luna.</t>
        </is>
      </c>
    </row>
    <row r="63">
      <c r="A63" s="2" t="inlineStr">
        <is>
          <t>issue_958</t>
        </is>
      </c>
      <c r="B63" s="3" t="inlineStr">
        <is>
          <t>NOT_TESTED</t>
        </is>
      </c>
      <c r="C63" s="3" t="inlineStr">
        <is>
          <t>NOT_TESTED</t>
        </is>
      </c>
      <c r="D63" s="3" t="inlineStr">
        <is>
          <t>NOT_TESTED</t>
        </is>
      </c>
      <c r="E63" s="3" t="inlineStr">
        <is>
          <t>NOT_TESTED</t>
        </is>
      </c>
      <c r="F63" s="6" t="inlineStr">
        <is>
          <t>Runtime error</t>
        </is>
      </c>
      <c r="G63" s="6" t="inlineStr">
        <is>
          <t>Runtime error</t>
        </is>
      </c>
      <c r="H63" s="6" t="inlineStr">
        <is>
          <t>Runtime error</t>
        </is>
      </c>
      <c r="I63" s="6" t="inlineStr">
        <is>
          <t>Runtime error</t>
        </is>
      </c>
      <c r="J63" s="6" t="inlineStr">
        <is>
          <t>Runtime error</t>
        </is>
      </c>
      <c r="K63" s="6" t="inlineStr">
        <is>
          <t>Runtime error</t>
        </is>
      </c>
      <c r="L63" s="6" t="inlineStr">
        <is>
          <t>Runtime error</t>
        </is>
      </c>
      <c r="M63" s="6" t="inlineStr">
        <is>
          <t>Runtime error</t>
        </is>
      </c>
      <c r="N63" s="6" t="inlineStr">
        <is>
          <t>Runtime error</t>
        </is>
      </c>
      <c r="O63" s="6" t="inlineStr">
        <is>
          <t>Runtime error</t>
        </is>
      </c>
      <c r="P63" s="6" t="inlineStr">
        <is>
          <t>Runtime error</t>
        </is>
      </c>
      <c r="Q63" s="6" t="inlineStr">
        <is>
          <t>Runtime error</t>
        </is>
      </c>
      <c r="R63" s="6" t="inlineStr">
        <is>
          <t>Runtime error</t>
        </is>
      </c>
      <c r="S63" s="6" t="inlineStr">
        <is>
          <t>Runtime error</t>
        </is>
      </c>
      <c r="T63" s="6" t="inlineStr">
        <is>
          <t>Runtime error</t>
        </is>
      </c>
      <c r="U63" s="6" t="inlineStr">
        <is>
          <t>Runtime error</t>
        </is>
      </c>
      <c r="V63" s="6" t="inlineStr">
        <is>
          <t>Runtime error</t>
        </is>
      </c>
      <c r="W63" s="6" t="inlineStr">
        <is>
          <t>Runtime error</t>
        </is>
      </c>
      <c r="X63" s="6" t="inlineStr">
        <is>
          <t>Runtime error</t>
        </is>
      </c>
      <c r="Y63" s="6" t="inlineStr">
        <is>
          <t>Runtime error</t>
        </is>
      </c>
      <c r="Z63" s="6" t="inlineStr">
        <is>
          <t>Runtime error</t>
        </is>
      </c>
      <c r="AA63" s="6" t="inlineStr">
        <is>
          <t>Runtime error</t>
        </is>
      </c>
      <c r="AB63" s="6" t="inlineStr">
        <is>
          <t>Runtime error</t>
        </is>
      </c>
      <c r="AC63" s="2" t="n"/>
      <c r="AD63" s="2" t="n"/>
      <c r="AE63" s="2" t="n"/>
      <c r="AF63" s="2" t="n"/>
      <c r="AG63" s="2" t="n"/>
      <c r="AH63" s="2" t="n"/>
      <c r="AI63" s="2" t="n"/>
      <c r="AJ63" s="2" t="n"/>
      <c r="AK63" s="2" t="n"/>
      <c r="AL63" s="2" t="n"/>
      <c r="AM63" s="2" t="n"/>
      <c r="AN63" s="2" t="n"/>
      <c r="AO63" s="2" t="inlineStr">
        <is>
          <t>KeyError</t>
        </is>
      </c>
      <c r="AP63" s="2" t="inlineStr">
        <is>
          <t>KeyError: 'qc2'</t>
        </is>
      </c>
      <c r="AQ63" s="2" t="inlineStr">
        <is>
          <t>Setting qc.global_phase = pi gives exactly -(H x H) and passes the check on qc, but the test also requires the reference answer's second circuit qc2 (KeyError: 'qc2'). gpt-5.6-luna applied H a second time instead.</t>
        </is>
      </c>
      <c r="AR63" s="2" t="inlineStr">
        <is>
          <t>KeyError</t>
        </is>
      </c>
      <c r="AS63" s="2" t="inlineStr">
        <is>
          <t>KeyError: 'qc2'</t>
        </is>
      </c>
      <c r="AT63" s="2" t="inlineStr">
        <is>
          <t>Setting qc.global_phase = pi gives exactly -(H x H) and passes the check on qc, but the test also requires the reference answer's second circuit qc2 (KeyError: 'qc2'). gpt-5.6-luna applied H a second time instead.</t>
        </is>
      </c>
      <c r="AU63" s="2" t="inlineStr">
        <is>
          <t>KeyError</t>
        </is>
      </c>
      <c r="AV63" s="2" t="inlineStr">
        <is>
          <t>KeyError: 'qc2'</t>
        </is>
      </c>
      <c r="AW63" s="2" t="inlineStr">
        <is>
          <t>Setting qc.global_phase = pi gives exactly -(H x H) and passes the check on qc, but the test also requires the reference answer's second circuit qc2 (KeyError: 'qc2'). gpt-5.6-luna applied H a second time instead.</t>
        </is>
      </c>
      <c r="AX63" s="2" t="inlineStr">
        <is>
          <t>KeyError</t>
        </is>
      </c>
      <c r="AY63" s="2" t="inlineStr">
        <is>
          <t>KeyError: 'qc2'</t>
        </is>
      </c>
      <c r="AZ63" s="2" t="inlineStr">
        <is>
          <t>Setting qc.global_phase = pi gives exactly -(H x H) and passes the check on qc, but the test also requires the reference answer's second circuit qc2 (KeyError: 'qc2'). gpt-5.6-luna applied H a second time instead.</t>
        </is>
      </c>
      <c r="BA63" s="2" t="inlineStr">
        <is>
          <t>KeyError</t>
        </is>
      </c>
      <c r="BB63" s="2" t="inlineStr">
        <is>
          <t>KeyError: 'qc2'</t>
        </is>
      </c>
      <c r="BC63" s="2" t="inlineStr">
        <is>
          <t>Setting qc.global_phase = pi gives exactly -(H x H) and passes the check on qc, but the test also requires the reference answer's second circuit qc2 (KeyError: 'qc2'). gpt-5.6-luna applied H a second time instead.</t>
        </is>
      </c>
      <c r="BD63" s="2" t="inlineStr">
        <is>
          <t>KeyError</t>
        </is>
      </c>
      <c r="BE63" s="2" t="inlineStr">
        <is>
          <t>KeyError: 'qc2'</t>
        </is>
      </c>
      <c r="BF63" s="2" t="inlineStr">
        <is>
          <t>Setting qc.global_phase = pi gives exactly -(H x H) and passes the check on qc, but the test also requires the reference answer's second circuit qc2 (KeyError: 'qc2'). gpt-5.6-luna applied H a second time instead.</t>
        </is>
      </c>
      <c r="BG63" s="2" t="inlineStr">
        <is>
          <t>KeyError</t>
        </is>
      </c>
      <c r="BH63" s="2" t="inlineStr">
        <is>
          <t>KeyError: 'qc2'</t>
        </is>
      </c>
      <c r="BI63" s="2" t="inlineStr">
        <is>
          <t>Setting qc.global_phase = pi gives exactly -(H x H) and passes the check on qc, but the test also requires the reference answer's second circuit qc2 (KeyError: 'qc2'). gpt-5.6-luna applied H a second time instead.</t>
        </is>
      </c>
      <c r="BJ63" s="2" t="inlineStr">
        <is>
          <t>KeyError</t>
        </is>
      </c>
      <c r="BK63" s="2" t="inlineStr">
        <is>
          <t>KeyError: 'qc2'</t>
        </is>
      </c>
      <c r="BL63" s="2" t="inlineStr">
        <is>
          <t>Setting qc.global_phase = pi gives exactly -(H x H) and passes the check on qc, but the test also requires the reference answer's second circuit qc2 (KeyError: 'qc2'). gpt-5.6-luna applied H a second time instead.</t>
        </is>
      </c>
      <c r="BM63" s="2" t="inlineStr">
        <is>
          <t>KeyError</t>
        </is>
      </c>
      <c r="BN63" s="2" t="inlineStr">
        <is>
          <t>KeyError: 'qc2'</t>
        </is>
      </c>
      <c r="BO63" s="2" t="inlineStr">
        <is>
          <t>Setting qc.global_phase = pi gives exactly -(H x H) and passes the check on qc, but the test also requires the reference answer's second circuit qc2 (KeyError: 'qc2'). gpt-5.6-luna applied H a second time instead.</t>
        </is>
      </c>
      <c r="BP63" s="2" t="inlineStr">
        <is>
          <t>KeyError</t>
        </is>
      </c>
      <c r="BQ63" s="2" t="inlineStr">
        <is>
          <t>KeyError: 'qc2'</t>
        </is>
      </c>
      <c r="BR63" s="2" t="inlineStr">
        <is>
          <t>Setting qc.global_phase = pi gives exactly -(H x H) and passes the check on qc, but the test also requires the reference answer's second circuit qc2 (KeyError: 'qc2'). gpt-5.6-luna applied H a second time instead.</t>
        </is>
      </c>
      <c r="BS63" s="2" t="inlineStr">
        <is>
          <t>KeyError</t>
        </is>
      </c>
      <c r="BT63" s="2" t="inlineStr">
        <is>
          <t>KeyError: 'qc2'</t>
        </is>
      </c>
      <c r="BU63" s="2" t="inlineStr">
        <is>
          <t>Setting qc.global_phase = pi gives exactly -(H x H) and passes the check on qc, but the test also requires the reference answer's second circuit qc2 (KeyError: 'qc2'). gpt-5.6-luna applied H a second time instead.</t>
        </is>
      </c>
      <c r="BV63" s="2" t="inlineStr">
        <is>
          <t>KeyError</t>
        </is>
      </c>
      <c r="BW63" s="2" t="inlineStr">
        <is>
          <t>KeyError: 'qc2'</t>
        </is>
      </c>
      <c r="BX63" s="2" t="inlineStr">
        <is>
          <t>Setting qc.global_phase = pi gives exactly -(H x H) and passes the check on qc, but the test also requires the reference answer's second circuit qc2 (KeyError: 'qc2'). gpt-5.6-luna applied H a second time instead.</t>
        </is>
      </c>
      <c r="BY63" s="2" t="inlineStr">
        <is>
          <t>KeyError</t>
        </is>
      </c>
      <c r="BZ63" s="2" t="inlineStr">
        <is>
          <t>KeyError: 'qc2'</t>
        </is>
      </c>
      <c r="CA63" s="2" t="inlineStr">
        <is>
          <t>Setting qc.global_phase = pi gives exactly -(H x H) and passes the check on qc, but the test also requires the reference answer's second circuit qc2 (KeyError: 'qc2'). gpt-5.6-luna applied H a second time instead.</t>
        </is>
      </c>
      <c r="CB63" s="2" t="inlineStr">
        <is>
          <t>KeyError</t>
        </is>
      </c>
      <c r="CC63" s="2" t="inlineStr">
        <is>
          <t>KeyError: 'qc2'</t>
        </is>
      </c>
      <c r="CD63" s="2" t="inlineStr">
        <is>
          <t>Setting qc.global_phase = pi gives exactly -(H x H) and passes the check on qc, but the test also requires the reference answer's second circuit qc2 (KeyError: 'qc2'). gpt-5.6-luna applied H a second time instead.</t>
        </is>
      </c>
      <c r="CE63" s="2" t="inlineStr">
        <is>
          <t>KeyError</t>
        </is>
      </c>
      <c r="CF63" s="2" t="inlineStr">
        <is>
          <t>KeyError: 'qc2'</t>
        </is>
      </c>
      <c r="CG63" s="2" t="inlineStr">
        <is>
          <t>Setting qc.global_phase = pi gives exactly -(H x H) and passes the check on qc, but the test also requires the reference answer's second circuit qc2 (KeyError: 'qc2'). gpt-5.6-luna applied H a second time instead.</t>
        </is>
      </c>
      <c r="CH63" s="2" t="inlineStr">
        <is>
          <t>KeyError</t>
        </is>
      </c>
      <c r="CI63" s="2" t="inlineStr">
        <is>
          <t>KeyError: 'qc2'</t>
        </is>
      </c>
      <c r="CJ63" s="2" t="inlineStr">
        <is>
          <t>Setting qc.global_phase = pi gives exactly -(H x H) and passes the check on qc, but the test also requires the reference answer's second circuit qc2 (KeyError: 'qc2'). gpt-5.6-luna applied H a second time instead.</t>
        </is>
      </c>
      <c r="CK63" s="2" t="inlineStr">
        <is>
          <t>KeyError</t>
        </is>
      </c>
      <c r="CL63" s="2" t="inlineStr">
        <is>
          <t>KeyError: 'qc2'</t>
        </is>
      </c>
      <c r="CM63" s="2" t="inlineStr">
        <is>
          <t>Setting qc.global_phase = pi gives exactly -(H x H) and passes the check on qc, but the test also requires the reference answer's second circuit qc2 (KeyError: 'qc2'). gpt-5.6-luna applied H a second time instead.</t>
        </is>
      </c>
      <c r="CN63" s="2" t="inlineStr">
        <is>
          <t>KeyError</t>
        </is>
      </c>
      <c r="CO63" s="2" t="inlineStr">
        <is>
          <t>KeyError: 'qc2'</t>
        </is>
      </c>
      <c r="CP63" s="2" t="inlineStr">
        <is>
          <t>Setting qc.global_phase = pi gives exactly -(H x H) and passes the check on qc, but the test also requires the reference answer's second circuit qc2 (KeyError: 'qc2'). gpt-5.6-luna applied H a second time instead.</t>
        </is>
      </c>
      <c r="CQ63" s="2" t="inlineStr">
        <is>
          <t>KeyError</t>
        </is>
      </c>
      <c r="CR63" s="2" t="inlineStr">
        <is>
          <t>KeyError: 'qc2'</t>
        </is>
      </c>
      <c r="CS63" s="2" t="inlineStr">
        <is>
          <t>Setting qc.global_phase = pi gives exactly -(H x H) and passes the check on qc, but the test also requires the reference answer's second circuit qc2 (KeyError: 'qc2'). gpt-5.6-luna applied H a second time instead.</t>
        </is>
      </c>
      <c r="CT63" s="2" t="inlineStr">
        <is>
          <t>KeyError</t>
        </is>
      </c>
      <c r="CU63" s="2" t="inlineStr">
        <is>
          <t>KeyError: 'qc2'</t>
        </is>
      </c>
      <c r="CV63" s="2" t="inlineStr">
        <is>
          <t>Setting qc.global_phase = pi gives exactly -(H x H) and passes the check on qc, but the test also requires the reference answer's second circuit qc2 (KeyError: 'qc2'). gpt-5.6-luna applied H a second time instead.</t>
        </is>
      </c>
      <c r="CW63" s="2" t="inlineStr">
        <is>
          <t>KeyError</t>
        </is>
      </c>
      <c r="CX63" s="2" t="inlineStr">
        <is>
          <t>KeyError: 'qc2'</t>
        </is>
      </c>
      <c r="CY63" s="2" t="inlineStr">
        <is>
          <t>Setting qc.global_phase = pi gives exactly -(H x H) and passes the check on qc, but the test also requires the reference answer's second circuit qc2 (KeyError: 'qc2'). gpt-5.6-luna applied H a second time instead.</t>
        </is>
      </c>
      <c r="CZ63" s="2" t="inlineStr">
        <is>
          <t>KeyError</t>
        </is>
      </c>
      <c r="DA63" s="2" t="inlineStr">
        <is>
          <t>KeyError: 'qc2'</t>
        </is>
      </c>
      <c r="DB63" s="2" t="inlineStr">
        <is>
          <t>Setting qc.global_phase = pi gives exactly -(H x H) and passes the check on qc, but the test also requires the reference answer's second circuit qc2 (KeyError: 'qc2'). gpt-5.6-luna applied H a second time instead.</t>
        </is>
      </c>
      <c r="DC63" s="2" t="inlineStr">
        <is>
          <t>KeyError</t>
        </is>
      </c>
      <c r="DD63" s="2" t="inlineStr">
        <is>
          <t>KeyError: 'qc2'</t>
        </is>
      </c>
      <c r="DE63" s="2" t="inlineStr">
        <is>
          <t>Setting qc.global_phase = pi gives exactly -(H x H) and passes the check on qc, but the test also requires the reference answer's second circuit qc2 (KeyError: 'qc2'). gpt-5.6-luna applied H a second time instead.</t>
        </is>
      </c>
    </row>
    <row r="64">
      <c r="A64" s="2" t="inlineStr">
        <is>
          <t>issue_977</t>
        </is>
      </c>
      <c r="B64" s="3" t="inlineStr">
        <is>
          <t>NOT_TESTED</t>
        </is>
      </c>
      <c r="C64" s="3" t="inlineStr">
        <is>
          <t>NOT_TESTED</t>
        </is>
      </c>
      <c r="D64" s="3" t="inlineStr">
        <is>
          <t>NOT_TESTED</t>
        </is>
      </c>
      <c r="E64" s="3" t="inlineStr">
        <is>
          <t>NOT_TESTED</t>
        </is>
      </c>
      <c r="F64" s="5" t="inlineStr">
        <is>
          <t>Failed on test</t>
        </is>
      </c>
      <c r="G64" s="5" t="inlineStr">
        <is>
          <t>Failed on test</t>
        </is>
      </c>
      <c r="H64" s="5" t="inlineStr">
        <is>
          <t>Failed on test</t>
        </is>
      </c>
      <c r="I64" s="5" t="inlineStr">
        <is>
          <t>Failed on test</t>
        </is>
      </c>
      <c r="J64" s="5" t="inlineStr">
        <is>
          <t>Failed on test</t>
        </is>
      </c>
      <c r="K64" s="5" t="inlineStr">
        <is>
          <t>Failed on test</t>
        </is>
      </c>
      <c r="L64" s="5" t="inlineStr">
        <is>
          <t>Failed on test</t>
        </is>
      </c>
      <c r="M64" s="5" t="inlineStr">
        <is>
          <t>Failed on test</t>
        </is>
      </c>
      <c r="N64" s="5" t="inlineStr">
        <is>
          <t>Failed on test</t>
        </is>
      </c>
      <c r="O64" s="5" t="inlineStr">
        <is>
          <t>Failed on test</t>
        </is>
      </c>
      <c r="P64" s="5" t="inlineStr">
        <is>
          <t>Failed on test</t>
        </is>
      </c>
      <c r="Q64" s="5" t="inlineStr">
        <is>
          <t>Failed on test</t>
        </is>
      </c>
      <c r="R64" s="5" t="inlineStr">
        <is>
          <t>Failed on test</t>
        </is>
      </c>
      <c r="S64" s="5" t="inlineStr">
        <is>
          <t>Failed on test</t>
        </is>
      </c>
      <c r="T64" s="5" t="inlineStr">
        <is>
          <t>Failed on test</t>
        </is>
      </c>
      <c r="U64" s="5" t="inlineStr">
        <is>
          <t>Failed on test</t>
        </is>
      </c>
      <c r="V64" s="5" t="inlineStr">
        <is>
          <t>Failed on test</t>
        </is>
      </c>
      <c r="W64" s="5" t="inlineStr">
        <is>
          <t>Failed on test</t>
        </is>
      </c>
      <c r="X64" s="5" t="inlineStr">
        <is>
          <t>Failed on test</t>
        </is>
      </c>
      <c r="Y64" s="5" t="inlineStr">
        <is>
          <t>Failed on test</t>
        </is>
      </c>
      <c r="Z64" s="5" t="inlineStr">
        <is>
          <t>Failed on test</t>
        </is>
      </c>
      <c r="AA64" s="5" t="inlineStr">
        <is>
          <t>Failed on test</t>
        </is>
      </c>
      <c r="AB64" s="5" t="inlineStr">
        <is>
          <t>Failed on test</t>
        </is>
      </c>
      <c r="AC64" s="2" t="n"/>
      <c r="AD64" s="2" t="n"/>
      <c r="AE64" s="2" t="n"/>
      <c r="AF64" s="2" t="n"/>
      <c r="AG64" s="2" t="n"/>
      <c r="AH64" s="2" t="n"/>
      <c r="AI64" s="2" t="n"/>
      <c r="AJ64" s="2" t="n"/>
      <c r="AK64" s="2" t="n"/>
      <c r="AL64" s="2" t="n"/>
      <c r="AM64" s="2" t="n"/>
      <c r="AN64" s="2" t="n"/>
      <c r="AO64" s="2" t="inlineStr">
        <is>
          <t>AssertionError</t>
        </is>
      </c>
      <c r="AP64" s="2" t="inlineStr">
        <is>
          <t>AssertionError: [] is not true : no SparsePauliOp in the program</t>
        </is>
      </c>
      <c r="AQ64" s="2" t="inlineStr">
        <is>
          <t>The LLM used SparsePauliOp.from_operator(Hamiltonian) but converted the result back with .to_operator(), so the program ends with an Operator and no SparsePauliOp ('no SparsePauliOp in the program'). gpt-5.6-luna passed.</t>
        </is>
      </c>
      <c r="AR64" s="2" t="inlineStr">
        <is>
          <t>AssertionError</t>
        </is>
      </c>
      <c r="AS64" s="2" t="inlineStr">
        <is>
          <t>AssertionError: [] is not true : no SparsePauliOp in the program</t>
        </is>
      </c>
      <c r="AT64" s="2" t="inlineStr">
        <is>
          <t>The LLM used SparsePauliOp.from_operator(Hamiltonian) but converted the result back with .to_operator(), so the program ends with an Operator and no SparsePauliOp ('no SparsePauliOp in the program'). gpt-5.6-luna passed.</t>
        </is>
      </c>
      <c r="AU64" s="2" t="inlineStr">
        <is>
          <t>AssertionError</t>
        </is>
      </c>
      <c r="AV64" s="2" t="inlineStr">
        <is>
          <t>AssertionError: [] is not true : no SparsePauliOp in the program</t>
        </is>
      </c>
      <c r="AW64" s="2" t="inlineStr">
        <is>
          <t>The LLM used SparsePauliOp.from_operator(Hamiltonian) but converted the result back with .to_operator(), so the program ends with an Operator and no SparsePauliOp ('no SparsePauliOp in the program'). gpt-5.6-luna passed.</t>
        </is>
      </c>
      <c r="AX64" s="2" t="inlineStr">
        <is>
          <t>AssertionError</t>
        </is>
      </c>
      <c r="AY64" s="2" t="inlineStr">
        <is>
          <t>AssertionError: [] is not true : no SparsePauliOp in the program</t>
        </is>
      </c>
      <c r="AZ64" s="2" t="inlineStr">
        <is>
          <t>The LLM used SparsePauliOp.from_operator(Hamiltonian) but converted the result back with .to_operator(), so the program ends with an Operator and no SparsePauliOp ('no SparsePauliOp in the program'). gpt-5.6-luna passed.</t>
        </is>
      </c>
      <c r="BA64" s="2" t="inlineStr">
        <is>
          <t>AssertionError</t>
        </is>
      </c>
      <c r="BB64" s="2" t="inlineStr">
        <is>
          <t>AssertionError: [] is not true : no SparsePauliOp in the program</t>
        </is>
      </c>
      <c r="BC64" s="2" t="inlineStr">
        <is>
          <t>The LLM used SparsePauliOp.from_operator(Hamiltonian) but converted the result back with .to_operator(), so the program ends with an Operator and no SparsePauliOp ('no SparsePauliOp in the program'). gpt-5.6-luna passed.</t>
        </is>
      </c>
      <c r="BD64" s="2" t="inlineStr">
        <is>
          <t>AssertionError</t>
        </is>
      </c>
      <c r="BE64" s="2" t="inlineStr">
        <is>
          <t>AssertionError: [] is not true : no SparsePauliOp in the program</t>
        </is>
      </c>
      <c r="BF64" s="2" t="inlineStr">
        <is>
          <t>The LLM used SparsePauliOp.from_operator(Hamiltonian) but converted the result back with .to_operator(), so the program ends with an Operator and no SparsePauliOp ('no SparsePauliOp in the program'). gpt-5.6-luna passed.</t>
        </is>
      </c>
      <c r="BG64" s="2" t="inlineStr">
        <is>
          <t>AssertionError</t>
        </is>
      </c>
      <c r="BH64" s="2" t="inlineStr">
        <is>
          <t>AssertionError: [] is not true : no SparsePauliOp in the program</t>
        </is>
      </c>
      <c r="BI64" s="2" t="inlineStr">
        <is>
          <t>The LLM used SparsePauliOp.from_operator(Hamiltonian) but converted the result back with .to_operator(), so the program ends with an Operator and no SparsePauliOp ('no SparsePauliOp in the program'). gpt-5.6-luna passed.</t>
        </is>
      </c>
      <c r="BJ64" s="2" t="inlineStr">
        <is>
          <t>AssertionError</t>
        </is>
      </c>
      <c r="BK64" s="2" t="inlineStr">
        <is>
          <t>AssertionError: [] is not true : no SparsePauliOp in the program</t>
        </is>
      </c>
      <c r="BL64" s="2" t="inlineStr">
        <is>
          <t>The LLM used SparsePauliOp.from_operator(Hamiltonian) but converted the result back with .to_operator(), so the program ends with an Operator and no SparsePauliOp ('no SparsePauliOp in the program'). gpt-5.6-luna passed.</t>
        </is>
      </c>
      <c r="BM64" s="2" t="inlineStr">
        <is>
          <t>AssertionError</t>
        </is>
      </c>
      <c r="BN64" s="2" t="inlineStr">
        <is>
          <t>AssertionError: [] is not true : no SparsePauliOp in the program</t>
        </is>
      </c>
      <c r="BO64" s="2" t="inlineStr">
        <is>
          <t>The LLM used SparsePauliOp.from_operator(Hamiltonian) but converted the result back with .to_operator(), so the program ends with an Operator and no SparsePauliOp ('no SparsePauliOp in the program'). gpt-5.6-luna passed.</t>
        </is>
      </c>
      <c r="BP64" s="2" t="inlineStr">
        <is>
          <t>AssertionError</t>
        </is>
      </c>
      <c r="BQ64" s="2" t="inlineStr">
        <is>
          <t>AssertionError: [] is not true : no SparsePauliOp in the program</t>
        </is>
      </c>
      <c r="BR64" s="2" t="inlineStr">
        <is>
          <t>The LLM used SparsePauliOp.from_operator(Hamiltonian) but converted the result back with .to_operator(), so the program ends with an Operator and no SparsePauliOp ('no SparsePauliOp in the program'). gpt-5.6-luna passed.</t>
        </is>
      </c>
      <c r="BS64" s="2" t="inlineStr">
        <is>
          <t>AssertionError</t>
        </is>
      </c>
      <c r="BT64" s="2" t="inlineStr">
        <is>
          <t>AssertionError: [] is not true : no SparsePauliOp in the program</t>
        </is>
      </c>
      <c r="BU64" s="2" t="inlineStr">
        <is>
          <t>The LLM used SparsePauliOp.from_operator(Hamiltonian) but converted the result back with .to_operator(), so the program ends with an Operator and no SparsePauliOp ('no SparsePauliOp in the program'). gpt-5.6-luna passed.</t>
        </is>
      </c>
      <c r="BV64" s="2" t="inlineStr">
        <is>
          <t>AssertionError</t>
        </is>
      </c>
      <c r="BW64" s="2" t="inlineStr">
        <is>
          <t>AssertionError: [] is not true : no SparsePauliOp in the program</t>
        </is>
      </c>
      <c r="BX64" s="2" t="inlineStr">
        <is>
          <t>The LLM used SparsePauliOp.from_operator(Hamiltonian) but converted the result back with .to_operator(), so the program ends with an Operator and no SparsePauliOp ('no SparsePauliOp in the program'). gpt-5.6-luna passed.</t>
        </is>
      </c>
      <c r="BY64" s="2" t="inlineStr">
        <is>
          <t>AssertionError</t>
        </is>
      </c>
      <c r="BZ64" s="2" t="inlineStr">
        <is>
          <t>AssertionError: [] is not true : no SparsePauliOp in the program</t>
        </is>
      </c>
      <c r="CA64" s="2" t="inlineStr">
        <is>
          <t>The LLM used SparsePauliOp.from_operator(Hamiltonian) but converted the result back with .to_operator(), so the program ends with an Operator and no SparsePauliOp ('no SparsePauliOp in the program'). gpt-5.6-luna passed.</t>
        </is>
      </c>
      <c r="CB64" s="2" t="inlineStr">
        <is>
          <t>AssertionError</t>
        </is>
      </c>
      <c r="CC64" s="2" t="inlineStr">
        <is>
          <t>AssertionError: [] is not true : no SparsePauliOp in the program</t>
        </is>
      </c>
      <c r="CD64" s="2" t="inlineStr">
        <is>
          <t>The LLM used SparsePauliOp.from_operator(Hamiltonian) but converted the result back with .to_operator(), so the program ends with an Operator and no SparsePauliOp ('no SparsePauliOp in the program'). gpt-5.6-luna passed.</t>
        </is>
      </c>
      <c r="CE64" s="2" t="inlineStr">
        <is>
          <t>AssertionError</t>
        </is>
      </c>
      <c r="CF64" s="2" t="inlineStr">
        <is>
          <t>AssertionError: [] is not true : no SparsePauliOp in the program</t>
        </is>
      </c>
      <c r="CG64" s="2" t="inlineStr">
        <is>
          <t>The LLM used SparsePauliOp.from_operator(Hamiltonian) but converted the result back with .to_operator(), so the program ends with an Operator and no SparsePauliOp ('no SparsePauliOp in the program'). gpt-5.6-luna passed.</t>
        </is>
      </c>
      <c r="CH64" s="2" t="inlineStr">
        <is>
          <t>AssertionError</t>
        </is>
      </c>
      <c r="CI64" s="2" t="inlineStr">
        <is>
          <t>AssertionError: [] is not true : no SparsePauliOp in the program</t>
        </is>
      </c>
      <c r="CJ64" s="2" t="inlineStr">
        <is>
          <t>The LLM used SparsePauliOp.from_operator(Hamiltonian) but converted the result back with .to_operator(), so the program ends with an Operator and no SparsePauliOp ('no SparsePauliOp in the program'). gpt-5.6-luna passed.</t>
        </is>
      </c>
      <c r="CK64" s="2" t="inlineStr">
        <is>
          <t>AssertionError</t>
        </is>
      </c>
      <c r="CL64" s="2" t="inlineStr">
        <is>
          <t>AssertionError: [] is not true : no SparsePauliOp in the program</t>
        </is>
      </c>
      <c r="CM64" s="2" t="inlineStr">
        <is>
          <t>The LLM used SparsePauliOp.from_operator(Hamiltonian) but converted the result back with .to_operator(), so the program ends with an Operator and no SparsePauliOp ('no SparsePauliOp in the program'). gpt-5.6-luna passed.</t>
        </is>
      </c>
      <c r="CN64" s="2" t="inlineStr">
        <is>
          <t>AssertionError</t>
        </is>
      </c>
      <c r="CO64" s="2" t="inlineStr">
        <is>
          <t>AssertionError: [] is not true : no SparsePauliOp in the program</t>
        </is>
      </c>
      <c r="CP64" s="2" t="inlineStr">
        <is>
          <t>The LLM used SparsePauliOp.from_operator(Hamiltonian) but converted the result back with .to_operator(), so the program ends with an Operator and no SparsePauliOp ('no SparsePauliOp in the program'). gpt-5.6-luna passed.</t>
        </is>
      </c>
      <c r="CQ64" s="2" t="inlineStr">
        <is>
          <t>AssertionError</t>
        </is>
      </c>
      <c r="CR64" s="2" t="inlineStr">
        <is>
          <t>AssertionError: [] is not true : no SparsePauliOp in the program</t>
        </is>
      </c>
      <c r="CS64" s="2" t="inlineStr">
        <is>
          <t>The LLM used SparsePauliOp.from_operator(Hamiltonian) but converted the result back with .to_operator(), so the program ends with an Operator and no SparsePauliOp ('no SparsePauliOp in the program'). gpt-5.6-luna passed.</t>
        </is>
      </c>
      <c r="CT64" s="2" t="inlineStr">
        <is>
          <t>AssertionError</t>
        </is>
      </c>
      <c r="CU64" s="2" t="inlineStr">
        <is>
          <t>AssertionError: [] is not true : no SparsePauliOp in the program</t>
        </is>
      </c>
      <c r="CV64" s="2" t="inlineStr">
        <is>
          <t>The LLM used SparsePauliOp.from_operator(Hamiltonian) but converted the result back with .to_operator(), so the program ends with an Operator and no SparsePauliOp ('no SparsePauliOp in the program'). gpt-5.6-luna passed.</t>
        </is>
      </c>
      <c r="CW64" s="2" t="inlineStr">
        <is>
          <t>AssertionError</t>
        </is>
      </c>
      <c r="CX64" s="2" t="inlineStr">
        <is>
          <t>AssertionError: [] is not true : no SparsePauliOp in the program</t>
        </is>
      </c>
      <c r="CY64" s="2" t="inlineStr">
        <is>
          <t>The LLM used SparsePauliOp.from_operator(Hamiltonian) but converted the result back with .to_operator(), so the program ends with an Operator and no SparsePauliOp ('no SparsePauliOp in the program'). gpt-5.6-luna passed.</t>
        </is>
      </c>
      <c r="CZ64" s="2" t="inlineStr">
        <is>
          <t>AssertionError</t>
        </is>
      </c>
      <c r="DA64" s="2" t="inlineStr">
        <is>
          <t>AssertionError: [] is not true : no SparsePauliOp in the program</t>
        </is>
      </c>
      <c r="DB64" s="2" t="inlineStr">
        <is>
          <t>The LLM used SparsePauliOp.from_operator(Hamiltonian) but converted the result back with .to_operator(), so the program ends with an Operator and no SparsePauliOp ('no SparsePauliOp in the program'). gpt-5.6-luna passed.</t>
        </is>
      </c>
      <c r="DC64" s="2" t="inlineStr">
        <is>
          <t>AssertionError</t>
        </is>
      </c>
      <c r="DD64" s="2" t="inlineStr">
        <is>
          <t>AssertionError: [] is not true : no SparsePauliOp in the program</t>
        </is>
      </c>
      <c r="DE64" s="2" t="inlineStr">
        <is>
          <t>The LLM used SparsePauliOp.from_operator(Hamiltonian) but converted the result back with .to_operator(), so the program ends with an Operator and no SparsePauliOp ('no SparsePauliOp in the program'). gpt-5.6-luna passed.</t>
        </is>
      </c>
    </row>
    <row r="65">
      <c r="A65" s="2" t="inlineStr">
        <is>
          <t>issue_985</t>
        </is>
      </c>
      <c r="B65" s="3" t="inlineStr">
        <is>
          <t>NOT_TESTED</t>
        </is>
      </c>
      <c r="C65" s="3" t="inlineStr">
        <is>
          <t>NOT_TESTED</t>
        </is>
      </c>
      <c r="D65" s="3" t="inlineStr">
        <is>
          <t>NOT_TESTED</t>
        </is>
      </c>
      <c r="E65" s="3" t="inlineStr">
        <is>
          <t>NOT_TESTED</t>
        </is>
      </c>
      <c r="F65" s="5" t="inlineStr">
        <is>
          <t>Failed on test</t>
        </is>
      </c>
      <c r="G65" s="5" t="inlineStr">
        <is>
          <t>Failed on test</t>
        </is>
      </c>
      <c r="H65" s="5" t="inlineStr">
        <is>
          <t>Failed on test</t>
        </is>
      </c>
      <c r="I65" s="5" t="inlineStr">
        <is>
          <t>Failed on test</t>
        </is>
      </c>
      <c r="J65" s="5" t="inlineStr">
        <is>
          <t>Failed on test</t>
        </is>
      </c>
      <c r="K65" s="5" t="inlineStr">
        <is>
          <t>Failed on test</t>
        </is>
      </c>
      <c r="L65" s="5" t="inlineStr">
        <is>
          <t>Failed on test</t>
        </is>
      </c>
      <c r="M65" s="5" t="inlineStr">
        <is>
          <t>Failed on test</t>
        </is>
      </c>
      <c r="N65" s="5" t="inlineStr">
        <is>
          <t>Failed on test</t>
        </is>
      </c>
      <c r="O65" s="5" t="inlineStr">
        <is>
          <t>Failed on test</t>
        </is>
      </c>
      <c r="P65" s="5" t="inlineStr">
        <is>
          <t>Failed on test</t>
        </is>
      </c>
      <c r="Q65" s="5" t="inlineStr">
        <is>
          <t>Failed on test</t>
        </is>
      </c>
      <c r="R65" s="5" t="inlineStr">
        <is>
          <t>Failed on test</t>
        </is>
      </c>
      <c r="S65" s="5" t="inlineStr">
        <is>
          <t>Failed on test</t>
        </is>
      </c>
      <c r="T65" s="5" t="inlineStr">
        <is>
          <t>Failed on test</t>
        </is>
      </c>
      <c r="U65" s="5" t="inlineStr">
        <is>
          <t>Failed on test</t>
        </is>
      </c>
      <c r="V65" s="5" t="inlineStr">
        <is>
          <t>Failed on test</t>
        </is>
      </c>
      <c r="W65" s="5" t="inlineStr">
        <is>
          <t>Failed on test</t>
        </is>
      </c>
      <c r="X65" s="5" t="inlineStr">
        <is>
          <t>Failed on test</t>
        </is>
      </c>
      <c r="Y65" s="5" t="inlineStr">
        <is>
          <t>Failed on test</t>
        </is>
      </c>
      <c r="Z65" s="5" t="inlineStr">
        <is>
          <t>Failed on test</t>
        </is>
      </c>
      <c r="AA65" s="5" t="inlineStr">
        <is>
          <t>Failed on test</t>
        </is>
      </c>
      <c r="AB65" s="5" t="inlineStr">
        <is>
          <t>Failed on test</t>
        </is>
      </c>
      <c r="AC65" s="2" t="n"/>
      <c r="AD65" s="2" t="n"/>
      <c r="AE65" s="2" t="n"/>
      <c r="AF65" s="2" t="n"/>
      <c r="AG65" s="2" t="n"/>
      <c r="AH65" s="2" t="n"/>
      <c r="AI65" s="2" t="n"/>
      <c r="AJ65" s="2" t="n"/>
      <c r="AK65" s="2" t="n"/>
      <c r="AL65" s="2" t="n"/>
      <c r="AM65" s="2" t="n"/>
      <c r="AN65" s="2" t="n"/>
      <c r="AO65" s="2" t="inlineStr">
        <is>
          <t>AssertionError</t>
        </is>
      </c>
      <c r="AP65" s="2" t="inlineStr">
        <is>
          <t>AssertionError:</t>
        </is>
      </c>
      <c r="AQ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AR65" s="2" t="inlineStr">
        <is>
          <t>AssertionError</t>
        </is>
      </c>
      <c r="AS65" s="2" t="inlineStr">
        <is>
          <t>AssertionError:</t>
        </is>
      </c>
      <c r="AT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AU65" s="2" t="inlineStr">
        <is>
          <t>AssertionError</t>
        </is>
      </c>
      <c r="AV65" s="2" t="inlineStr">
        <is>
          <t>AssertionError:</t>
        </is>
      </c>
      <c r="AW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AX65" s="2" t="inlineStr">
        <is>
          <t>AssertionError</t>
        </is>
      </c>
      <c r="AY65" s="2" t="inlineStr">
        <is>
          <t>AssertionError:</t>
        </is>
      </c>
      <c r="AZ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BA65" s="2" t="inlineStr">
        <is>
          <t>AssertionError</t>
        </is>
      </c>
      <c r="BB65" s="2" t="inlineStr">
        <is>
          <t>AssertionError:</t>
        </is>
      </c>
      <c r="BC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BD65" s="2" t="inlineStr">
        <is>
          <t>AssertionError</t>
        </is>
      </c>
      <c r="BE65" s="2" t="inlineStr">
        <is>
          <t>AssertionError:</t>
        </is>
      </c>
      <c r="BF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BG65" s="2" t="inlineStr">
        <is>
          <t>AssertionError</t>
        </is>
      </c>
      <c r="BH65" s="2" t="inlineStr">
        <is>
          <t>AssertionError:</t>
        </is>
      </c>
      <c r="BI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BJ65" s="2" t="inlineStr">
        <is>
          <t>AssertionError</t>
        </is>
      </c>
      <c r="BK65" s="2" t="inlineStr">
        <is>
          <t>AssertionError:</t>
        </is>
      </c>
      <c r="BL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BM65" s="2" t="inlineStr">
        <is>
          <t>AssertionError</t>
        </is>
      </c>
      <c r="BN65" s="2" t="inlineStr">
        <is>
          <t>AssertionError:</t>
        </is>
      </c>
      <c r="BO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BP65" s="2" t="inlineStr">
        <is>
          <t>AssertionError</t>
        </is>
      </c>
      <c r="BQ65" s="2" t="inlineStr">
        <is>
          <t>AssertionError:</t>
        </is>
      </c>
      <c r="BR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BS65" s="2" t="inlineStr">
        <is>
          <t>AssertionError</t>
        </is>
      </c>
      <c r="BT65" s="2" t="inlineStr">
        <is>
          <t>AssertionError:</t>
        </is>
      </c>
      <c r="BU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BV65" s="2" t="inlineStr">
        <is>
          <t>AssertionError</t>
        </is>
      </c>
      <c r="BW65" s="2" t="inlineStr">
        <is>
          <t>AssertionError:</t>
        </is>
      </c>
      <c r="BX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BY65" s="2" t="inlineStr">
        <is>
          <t>AssertionError</t>
        </is>
      </c>
      <c r="BZ65" s="2" t="inlineStr">
        <is>
          <t>AssertionError:</t>
        </is>
      </c>
      <c r="CA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CB65" s="2" t="inlineStr">
        <is>
          <t>AssertionError</t>
        </is>
      </c>
      <c r="CC65" s="2" t="inlineStr">
        <is>
          <t>AssertionError:</t>
        </is>
      </c>
      <c r="CD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CE65" s="2" t="inlineStr">
        <is>
          <t>AssertionError</t>
        </is>
      </c>
      <c r="CF65" s="2" t="inlineStr">
        <is>
          <t>AssertionError:</t>
        </is>
      </c>
      <c r="CG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CH65" s="2" t="inlineStr">
        <is>
          <t>AssertionError</t>
        </is>
      </c>
      <c r="CI65" s="2" t="inlineStr">
        <is>
          <t>AssertionError:</t>
        </is>
      </c>
      <c r="CJ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CK65" s="2" t="inlineStr">
        <is>
          <t>AssertionError</t>
        </is>
      </c>
      <c r="CL65" s="2" t="inlineStr">
        <is>
          <t>AssertionError:</t>
        </is>
      </c>
      <c r="CM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CN65" s="2" t="inlineStr">
        <is>
          <t>AssertionError</t>
        </is>
      </c>
      <c r="CO65" s="2" t="inlineStr">
        <is>
          <t>AssertionError:</t>
        </is>
      </c>
      <c r="CP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CQ65" s="2" t="inlineStr">
        <is>
          <t>AssertionError</t>
        </is>
      </c>
      <c r="CR65" s="2" t="inlineStr">
        <is>
          <t>AssertionError:</t>
        </is>
      </c>
      <c r="CS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CT65" s="2" t="inlineStr">
        <is>
          <t>AssertionError</t>
        </is>
      </c>
      <c r="CU65" s="2" t="inlineStr">
        <is>
          <t>AssertionError:</t>
        </is>
      </c>
      <c r="CV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CW65" s="2" t="inlineStr">
        <is>
          <t>AssertionError</t>
        </is>
      </c>
      <c r="CX65" s="2" t="inlineStr">
        <is>
          <t>AssertionError:</t>
        </is>
      </c>
      <c r="CY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CZ65" s="2" t="inlineStr">
        <is>
          <t>AssertionError</t>
        </is>
      </c>
      <c r="DA65" s="2" t="inlineStr">
        <is>
          <t>AssertionError:</t>
        </is>
      </c>
      <c r="DB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DC65" s="2" t="inlineStr">
        <is>
          <t>AssertionError</t>
        </is>
      </c>
      <c r="DD65" s="2" t="inlineStr">
        <is>
          <t>AssertionError:</t>
        </is>
      </c>
      <c r="DE65" s="2"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row>
    <row r="66">
      <c r="A66" s="2" t="inlineStr">
        <is>
          <t>issue_989</t>
        </is>
      </c>
      <c r="B66" s="3" t="inlineStr">
        <is>
          <t>NOT_TESTED</t>
        </is>
      </c>
      <c r="C66" s="3" t="inlineStr">
        <is>
          <t>NOT_TESTED</t>
        </is>
      </c>
      <c r="D66" s="3" t="inlineStr">
        <is>
          <t>NOT_TESTED</t>
        </is>
      </c>
      <c r="E66" s="3" t="inlineStr">
        <is>
          <t>NOT_TESTED</t>
        </is>
      </c>
      <c r="F66" s="3" t="inlineStr">
        <is>
          <t>NOT_TESTED</t>
        </is>
      </c>
      <c r="G66" s="3" t="inlineStr">
        <is>
          <t>NOT_TESTED</t>
        </is>
      </c>
      <c r="H66" s="3" t="inlineStr">
        <is>
          <t>NOT_TESTED</t>
        </is>
      </c>
      <c r="I66" s="3" t="inlineStr">
        <is>
          <t>NOT_TESTED</t>
        </is>
      </c>
      <c r="J66" s="3" t="inlineStr">
        <is>
          <t>NOT_TESTED</t>
        </is>
      </c>
      <c r="K66" s="3" t="inlineStr">
        <is>
          <t>NOT_TESTED</t>
        </is>
      </c>
      <c r="L66" s="3" t="inlineStr">
        <is>
          <t>NOT_TESTED</t>
        </is>
      </c>
      <c r="M66" s="3" t="inlineStr">
        <is>
          <t>NOT_TESTED</t>
        </is>
      </c>
      <c r="N66" s="4" t="inlineStr">
        <is>
          <t>Passed on test</t>
        </is>
      </c>
      <c r="O66" s="4" t="inlineStr">
        <is>
          <t>Passed on test</t>
        </is>
      </c>
      <c r="P66" s="4" t="inlineStr">
        <is>
          <t>Passed on test</t>
        </is>
      </c>
      <c r="Q66" s="4" t="inlineStr">
        <is>
          <t>Passed on test</t>
        </is>
      </c>
      <c r="R66" s="4" t="inlineStr">
        <is>
          <t>Passed on test</t>
        </is>
      </c>
      <c r="S66" s="4" t="inlineStr">
        <is>
          <t>Passed on test</t>
        </is>
      </c>
      <c r="T66" s="4" t="inlineStr">
        <is>
          <t>Passed on test</t>
        </is>
      </c>
      <c r="U66" s="4" t="inlineStr">
        <is>
          <t>Passed on test</t>
        </is>
      </c>
      <c r="V66" s="4" t="inlineStr">
        <is>
          <t>Passed on test</t>
        </is>
      </c>
      <c r="W66" s="4" t="inlineStr">
        <is>
          <t>Passed on test</t>
        </is>
      </c>
      <c r="X66" s="4" t="inlineStr">
        <is>
          <t>Passed on test</t>
        </is>
      </c>
      <c r="Y66" s="4" t="inlineStr">
        <is>
          <t>Passed on test</t>
        </is>
      </c>
      <c r="Z66" s="4" t="inlineStr">
        <is>
          <t>Passed on test</t>
        </is>
      </c>
      <c r="AA66" s="4" t="inlineStr">
        <is>
          <t>Passed on test</t>
        </is>
      </c>
      <c r="AB66" s="4" t="inlineStr">
        <is>
          <t>Passed on test</t>
        </is>
      </c>
      <c r="AC66" s="2" t="n"/>
      <c r="AD66" s="2" t="n"/>
      <c r="AE66" s="2" t="n"/>
      <c r="AF66" s="2" t="n"/>
      <c r="AG66" s="2" t="n"/>
      <c r="AH66" s="2" t="n"/>
      <c r="AI66" s="2" t="n"/>
      <c r="AJ66" s="2" t="n"/>
      <c r="AK66" s="2" t="n"/>
      <c r="AL66" s="2" t="n"/>
      <c r="AM66" s="2" t="n"/>
      <c r="AN66" s="2" t="n"/>
      <c r="AO66" s="2" t="n"/>
      <c r="AP66" s="2" t="n"/>
      <c r="AQ66" s="2" t="n"/>
      <c r="AR66" s="2" t="n"/>
      <c r="AS66" s="2" t="n"/>
      <c r="AT66" s="2" t="n"/>
      <c r="AU66" s="2" t="n"/>
      <c r="AV66" s="2" t="n"/>
      <c r="AW66" s="2" t="n"/>
      <c r="AX66" s="2" t="n"/>
      <c r="AY66" s="2" t="n"/>
      <c r="AZ66" s="2" t="n"/>
      <c r="BA66" s="2" t="n"/>
      <c r="BB66" s="2" t="n"/>
      <c r="BC66" s="2" t="n"/>
      <c r="BD66" s="2" t="n"/>
      <c r="BE66" s="2" t="n"/>
      <c r="BF66" s="2" t="n"/>
      <c r="BG66" s="2" t="n"/>
      <c r="BH66" s="2" t="n"/>
      <c r="BI66" s="2" t="n"/>
      <c r="BJ66" s="2" t="n"/>
      <c r="BK66" s="2" t="n"/>
      <c r="BL66" s="2" t="n"/>
      <c r="BM66" s="2" t="n"/>
      <c r="BN66" s="2" t="n"/>
      <c r="BO66" s="2" t="n"/>
      <c r="BP66" s="2" t="n"/>
      <c r="BQ66" s="2" t="n"/>
      <c r="BR66" s="2" t="n"/>
      <c r="BS66" s="2" t="n"/>
      <c r="BT66" s="2" t="n"/>
      <c r="BU66" s="2" t="n"/>
      <c r="BV66" s="2" t="n"/>
      <c r="BW66" s="2" t="n"/>
      <c r="BX66" s="2" t="n"/>
      <c r="BY66" s="2" t="n"/>
      <c r="BZ66" s="2" t="n"/>
      <c r="CA66" s="2" t="n"/>
      <c r="CB66" s="2" t="n"/>
      <c r="CC66" s="2" t="n"/>
      <c r="CD66" s="2" t="n"/>
      <c r="CE66" s="2" t="n"/>
      <c r="CF66" s="2" t="n"/>
      <c r="CG66" s="2" t="n"/>
      <c r="CH66" s="2" t="n"/>
      <c r="CI66" s="2" t="n"/>
      <c r="CJ66" s="2" t="n"/>
      <c r="CK66" s="2" t="n"/>
      <c r="CL66" s="2" t="n"/>
      <c r="CM66" s="2" t="n"/>
      <c r="CN66" s="2" t="n"/>
      <c r="CO66" s="2" t="n"/>
      <c r="CP66" s="2" t="n"/>
      <c r="CQ66" s="2" t="n"/>
      <c r="CR66" s="2" t="n"/>
      <c r="CS66" s="2" t="n"/>
      <c r="CT66" s="2" t="n"/>
      <c r="CU66" s="2" t="n"/>
      <c r="CV66" s="2" t="n"/>
      <c r="CW66" s="2" t="n"/>
      <c r="CX66" s="2" t="n"/>
      <c r="CY66" s="2" t="n"/>
      <c r="CZ66" s="2" t="n"/>
      <c r="DA66" s="2" t="n"/>
      <c r="DB66" s="2" t="n"/>
      <c r="DC66" s="2" t="n"/>
      <c r="DD66" s="2" t="n"/>
      <c r="DE66" s="2" t="n"/>
    </row>
    <row r="67">
      <c r="A67" s="2" t="inlineStr">
        <is>
          <t>issue_994</t>
        </is>
      </c>
      <c r="B67" s="4" t="inlineStr">
        <is>
          <t>Passed on test</t>
        </is>
      </c>
      <c r="C67" s="4" t="inlineStr">
        <is>
          <t>Passed on test</t>
        </is>
      </c>
      <c r="D67" s="4" t="inlineStr">
        <is>
          <t>Passed on test</t>
        </is>
      </c>
      <c r="E67" s="4" t="inlineStr">
        <is>
          <t>Passed on test</t>
        </is>
      </c>
      <c r="F67" s="3" t="inlineStr">
        <is>
          <t>NOT_TESTED</t>
        </is>
      </c>
      <c r="G67" s="3" t="inlineStr">
        <is>
          <t>NOT_TESTED</t>
        </is>
      </c>
      <c r="H67" s="3" t="inlineStr">
        <is>
          <t>NOT_TESTED</t>
        </is>
      </c>
      <c r="I67" s="3" t="inlineStr">
        <is>
          <t>NOT_TESTED</t>
        </is>
      </c>
      <c r="J67" s="3" t="inlineStr">
        <is>
          <t>NOT_TESTED</t>
        </is>
      </c>
      <c r="K67" s="3" t="inlineStr">
        <is>
          <t>NOT_TESTED</t>
        </is>
      </c>
      <c r="L67" s="3" t="inlineStr">
        <is>
          <t>NOT_TESTED</t>
        </is>
      </c>
      <c r="M67" s="3" t="inlineStr">
        <is>
          <t>NOT_TESTED</t>
        </is>
      </c>
      <c r="N67" s="3" t="inlineStr">
        <is>
          <t>NOT_TESTED</t>
        </is>
      </c>
      <c r="O67" s="3" t="inlineStr">
        <is>
          <t>NOT_TESTED</t>
        </is>
      </c>
      <c r="P67" s="3" t="inlineStr">
        <is>
          <t>NOT_TESTED</t>
        </is>
      </c>
      <c r="Q67" s="3" t="inlineStr">
        <is>
          <t>NOT_TESTED</t>
        </is>
      </c>
      <c r="R67" s="3" t="inlineStr">
        <is>
          <t>NOT_TESTED</t>
        </is>
      </c>
      <c r="S67" s="3" t="inlineStr">
        <is>
          <t>NOT_TESTED</t>
        </is>
      </c>
      <c r="T67" s="3" t="inlineStr">
        <is>
          <t>NOT_TESTED</t>
        </is>
      </c>
      <c r="U67" s="3" t="inlineStr">
        <is>
          <t>NOT_TESTED</t>
        </is>
      </c>
      <c r="V67" s="3" t="inlineStr">
        <is>
          <t>NOT_TESTED</t>
        </is>
      </c>
      <c r="W67" s="3" t="inlineStr">
        <is>
          <t>NOT_TESTED</t>
        </is>
      </c>
      <c r="X67" s="3" t="inlineStr">
        <is>
          <t>NOT_TESTED</t>
        </is>
      </c>
      <c r="Y67" s="3" t="inlineStr">
        <is>
          <t>NOT_TESTED</t>
        </is>
      </c>
      <c r="Z67" s="3" t="inlineStr">
        <is>
          <t>NOT_TESTED</t>
        </is>
      </c>
      <c r="AA67" s="3" t="inlineStr">
        <is>
          <t>NOT_TESTED</t>
        </is>
      </c>
      <c r="AB67" s="3" t="inlineStr">
        <is>
          <t>NOT_TESTED</t>
        </is>
      </c>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c r="AY67" s="2" t="n"/>
      <c r="AZ67" s="2" t="n"/>
      <c r="BA67" s="2" t="n"/>
      <c r="BB67" s="2" t="n"/>
      <c r="BC67" s="2" t="n"/>
      <c r="BD67" s="2" t="n"/>
      <c r="BE67" s="2" t="n"/>
      <c r="BF67" s="2" t="n"/>
      <c r="BG67" s="2" t="n"/>
      <c r="BH67" s="2" t="n"/>
      <c r="BI67" s="2" t="n"/>
      <c r="BJ67" s="2" t="n"/>
      <c r="BK67" s="2" t="n"/>
      <c r="BL67" s="2" t="n"/>
      <c r="BM67" s="2" t="n"/>
      <c r="BN67" s="2" t="n"/>
      <c r="BO67" s="2" t="n"/>
      <c r="BP67" s="2" t="n"/>
      <c r="BQ67" s="2" t="n"/>
      <c r="BR67" s="2" t="n"/>
      <c r="BS67" s="2" t="n"/>
      <c r="BT67" s="2" t="n"/>
      <c r="BU67" s="2" t="n"/>
      <c r="BV67" s="2" t="n"/>
      <c r="BW67" s="2" t="n"/>
      <c r="BX67" s="2" t="n"/>
      <c r="BY67" s="2" t="n"/>
      <c r="BZ67" s="2" t="n"/>
      <c r="CA67" s="2" t="n"/>
      <c r="CB67" s="2" t="n"/>
      <c r="CC67" s="2" t="n"/>
      <c r="CD67" s="2" t="n"/>
      <c r="CE67" s="2" t="n"/>
      <c r="CF67" s="2" t="n"/>
      <c r="CG67" s="2" t="n"/>
      <c r="CH67" s="2" t="n"/>
      <c r="CI67" s="2" t="n"/>
      <c r="CJ67" s="2" t="n"/>
      <c r="CK67" s="2" t="n"/>
      <c r="CL67" s="2" t="n"/>
      <c r="CM67" s="2" t="n"/>
      <c r="CN67" s="2" t="n"/>
      <c r="CO67" s="2" t="n"/>
      <c r="CP67" s="2" t="n"/>
      <c r="CQ67" s="2" t="n"/>
      <c r="CR67" s="2" t="n"/>
      <c r="CS67" s="2" t="n"/>
      <c r="CT67" s="2" t="n"/>
      <c r="CU67" s="2" t="n"/>
      <c r="CV67" s="2" t="n"/>
      <c r="CW67" s="2" t="n"/>
      <c r="CX67" s="2" t="n"/>
      <c r="CY67" s="2" t="n"/>
      <c r="CZ67" s="2" t="n"/>
      <c r="DA67" s="2" t="n"/>
      <c r="DB67" s="2" t="n"/>
      <c r="DC67" s="2" t="n"/>
      <c r="DD67" s="2" t="n"/>
      <c r="DE67" s="2" t="n"/>
    </row>
    <row r="68">
      <c r="A68" s="2" t="inlineStr">
        <is>
          <t>issue_1035</t>
        </is>
      </c>
      <c r="B68" s="3" t="inlineStr">
        <is>
          <t>NOT_TESTED</t>
        </is>
      </c>
      <c r="C68" s="3" t="inlineStr">
        <is>
          <t>NOT_TESTED</t>
        </is>
      </c>
      <c r="D68" s="3" t="inlineStr">
        <is>
          <t>NOT_TESTED</t>
        </is>
      </c>
      <c r="E68" s="3" t="inlineStr">
        <is>
          <t>NOT_TESTED</t>
        </is>
      </c>
      <c r="F68" s="4" t="inlineStr">
        <is>
          <t>Passed on test</t>
        </is>
      </c>
      <c r="G68" s="4" t="inlineStr">
        <is>
          <t>Passed on test</t>
        </is>
      </c>
      <c r="H68" s="4" t="inlineStr">
        <is>
          <t>Passed on test</t>
        </is>
      </c>
      <c r="I68" s="4" t="inlineStr">
        <is>
          <t>Passed on test</t>
        </is>
      </c>
      <c r="J68" s="4" t="inlineStr">
        <is>
          <t>Passed on test</t>
        </is>
      </c>
      <c r="K68" s="4" t="inlineStr">
        <is>
          <t>Passed on test</t>
        </is>
      </c>
      <c r="L68" s="4" t="inlineStr">
        <is>
          <t>Passed on test</t>
        </is>
      </c>
      <c r="M68" s="4" t="inlineStr">
        <is>
          <t>Passed on test</t>
        </is>
      </c>
      <c r="N68" s="3" t="inlineStr">
        <is>
          <t>NOT_TESTED</t>
        </is>
      </c>
      <c r="O68" s="3" t="inlineStr">
        <is>
          <t>NOT_TESTED</t>
        </is>
      </c>
      <c r="P68" s="3" t="inlineStr">
        <is>
          <t>NOT_TESTED</t>
        </is>
      </c>
      <c r="Q68" s="3" t="inlineStr">
        <is>
          <t>NOT_TESTED</t>
        </is>
      </c>
      <c r="R68" s="3" t="inlineStr">
        <is>
          <t>NOT_TESTED</t>
        </is>
      </c>
      <c r="S68" s="3" t="inlineStr">
        <is>
          <t>NOT_TESTED</t>
        </is>
      </c>
      <c r="T68" s="3" t="inlineStr">
        <is>
          <t>NOT_TESTED</t>
        </is>
      </c>
      <c r="U68" s="3" t="inlineStr">
        <is>
          <t>NOT_TESTED</t>
        </is>
      </c>
      <c r="V68" s="3" t="inlineStr">
        <is>
          <t>NOT_TESTED</t>
        </is>
      </c>
      <c r="W68" s="3" t="inlineStr">
        <is>
          <t>NOT_TESTED</t>
        </is>
      </c>
      <c r="X68" s="3" t="inlineStr">
        <is>
          <t>NOT_TESTED</t>
        </is>
      </c>
      <c r="Y68" s="3" t="inlineStr">
        <is>
          <t>NOT_TESTED</t>
        </is>
      </c>
      <c r="Z68" s="3" t="inlineStr">
        <is>
          <t>NOT_TESTED</t>
        </is>
      </c>
      <c r="AA68" s="3" t="inlineStr">
        <is>
          <t>NOT_TESTED</t>
        </is>
      </c>
      <c r="AB68" s="3" t="inlineStr">
        <is>
          <t>NOT_TESTED</t>
        </is>
      </c>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c r="AY68" s="2" t="n"/>
      <c r="AZ68" s="2" t="n"/>
      <c r="BA68" s="2" t="n"/>
      <c r="BB68" s="2" t="n"/>
      <c r="BC68" s="2" t="n"/>
      <c r="BD68" s="2" t="n"/>
      <c r="BE68" s="2" t="n"/>
      <c r="BF68" s="2" t="n"/>
      <c r="BG68" s="2" t="n"/>
      <c r="BH68" s="2" t="n"/>
      <c r="BI68" s="2" t="n"/>
      <c r="BJ68" s="2" t="n"/>
      <c r="BK68" s="2" t="n"/>
      <c r="BL68" s="2" t="n"/>
      <c r="BM68" s="2" t="n"/>
      <c r="BN68" s="2" t="n"/>
      <c r="BO68" s="2" t="n"/>
      <c r="BP68" s="2" t="n"/>
      <c r="BQ68" s="2" t="n"/>
      <c r="BR68" s="2" t="n"/>
      <c r="BS68" s="2" t="n"/>
      <c r="BT68" s="2" t="n"/>
      <c r="BU68" s="2" t="n"/>
      <c r="BV68" s="2" t="n"/>
      <c r="BW68" s="2" t="n"/>
      <c r="BX68" s="2" t="n"/>
      <c r="BY68" s="2" t="n"/>
      <c r="BZ68" s="2" t="n"/>
      <c r="CA68" s="2" t="n"/>
      <c r="CB68" s="2" t="n"/>
      <c r="CC68" s="2" t="n"/>
      <c r="CD68" s="2" t="n"/>
      <c r="CE68" s="2" t="n"/>
      <c r="CF68" s="2" t="n"/>
      <c r="CG68" s="2" t="n"/>
      <c r="CH68" s="2" t="n"/>
      <c r="CI68" s="2" t="n"/>
      <c r="CJ68" s="2" t="n"/>
      <c r="CK68" s="2" t="n"/>
      <c r="CL68" s="2" t="n"/>
      <c r="CM68" s="2" t="n"/>
      <c r="CN68" s="2" t="n"/>
      <c r="CO68" s="2" t="n"/>
      <c r="CP68" s="2" t="n"/>
      <c r="CQ68" s="2" t="n"/>
      <c r="CR68" s="2" t="n"/>
      <c r="CS68" s="2" t="n"/>
      <c r="CT68" s="2" t="n"/>
      <c r="CU68" s="2" t="n"/>
      <c r="CV68" s="2" t="n"/>
      <c r="CW68" s="2" t="n"/>
      <c r="CX68" s="2" t="n"/>
      <c r="CY68" s="2" t="n"/>
      <c r="CZ68" s="2" t="n"/>
      <c r="DA68" s="2" t="n"/>
      <c r="DB68" s="2" t="n"/>
      <c r="DC68" s="2" t="n"/>
      <c r="DD68" s="2" t="n"/>
      <c r="DE68" s="2" t="n"/>
    </row>
    <row r="69">
      <c r="A69" s="2" t="inlineStr">
        <is>
          <t>issue_772</t>
        </is>
      </c>
      <c r="B69" s="4" t="inlineStr">
        <is>
          <t>Passed on test</t>
        </is>
      </c>
      <c r="C69" s="4" t="inlineStr">
        <is>
          <t>Passed on test</t>
        </is>
      </c>
      <c r="D69" s="4" t="inlineStr">
        <is>
          <t>Passed on test</t>
        </is>
      </c>
      <c r="E69" s="4" t="inlineStr">
        <is>
          <t>Passed on test</t>
        </is>
      </c>
      <c r="F69" s="4" t="inlineStr">
        <is>
          <t>Passed on test</t>
        </is>
      </c>
      <c r="G69" s="4" t="inlineStr">
        <is>
          <t>Passed on test</t>
        </is>
      </c>
      <c r="H69" s="4" t="inlineStr">
        <is>
          <t>Passed on test</t>
        </is>
      </c>
      <c r="I69" s="4" t="inlineStr">
        <is>
          <t>Passed on test</t>
        </is>
      </c>
      <c r="J69" s="4" t="inlineStr">
        <is>
          <t>Passed on test</t>
        </is>
      </c>
      <c r="K69" s="4" t="inlineStr">
        <is>
          <t>Passed on test</t>
        </is>
      </c>
      <c r="L69" s="4" t="inlineStr">
        <is>
          <t>Passed on test</t>
        </is>
      </c>
      <c r="M69" s="4" t="inlineStr">
        <is>
          <t>Passed on test</t>
        </is>
      </c>
      <c r="N69" s="3" t="inlineStr">
        <is>
          <t>NOT_TESTED</t>
        </is>
      </c>
      <c r="O69" s="3" t="inlineStr">
        <is>
          <t>NOT_TESTED</t>
        </is>
      </c>
      <c r="P69" s="3" t="inlineStr">
        <is>
          <t>NOT_TESTED</t>
        </is>
      </c>
      <c r="Q69" s="3" t="inlineStr">
        <is>
          <t>NOT_TESTED</t>
        </is>
      </c>
      <c r="R69" s="3" t="inlineStr">
        <is>
          <t>NOT_TESTED</t>
        </is>
      </c>
      <c r="S69" s="3" t="inlineStr">
        <is>
          <t>NOT_TESTED</t>
        </is>
      </c>
      <c r="T69" s="3" t="inlineStr">
        <is>
          <t>NOT_TESTED</t>
        </is>
      </c>
      <c r="U69" s="3" t="inlineStr">
        <is>
          <t>NOT_TESTED</t>
        </is>
      </c>
      <c r="V69" s="3" t="inlineStr">
        <is>
          <t>NOT_TESTED</t>
        </is>
      </c>
      <c r="W69" s="3" t="inlineStr">
        <is>
          <t>NOT_TESTED</t>
        </is>
      </c>
      <c r="X69" s="3" t="inlineStr">
        <is>
          <t>NOT_TESTED</t>
        </is>
      </c>
      <c r="Y69" s="3" t="inlineStr">
        <is>
          <t>NOT_TESTED</t>
        </is>
      </c>
      <c r="Z69" s="3" t="inlineStr">
        <is>
          <t>NOT_TESTED</t>
        </is>
      </c>
      <c r="AA69" s="3" t="inlineStr">
        <is>
          <t>NOT_TESTED</t>
        </is>
      </c>
      <c r="AB69" s="3" t="inlineStr">
        <is>
          <t>NOT_TESTED</t>
        </is>
      </c>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2" t="n"/>
      <c r="BA69" s="2" t="n"/>
      <c r="BB69" s="2" t="n"/>
      <c r="BC69" s="2" t="n"/>
      <c r="BD69" s="2" t="n"/>
      <c r="BE69" s="2" t="n"/>
      <c r="BF69" s="2" t="n"/>
      <c r="BG69" s="2" t="n"/>
      <c r="BH69" s="2" t="n"/>
      <c r="BI69" s="2" t="n"/>
      <c r="BJ69" s="2" t="n"/>
      <c r="BK69" s="2" t="n"/>
      <c r="BL69" s="2" t="n"/>
      <c r="BM69" s="2" t="n"/>
      <c r="BN69" s="2" t="n"/>
      <c r="BO69" s="2" t="n"/>
      <c r="BP69" s="2" t="n"/>
      <c r="BQ69" s="2" t="n"/>
      <c r="BR69" s="2" t="n"/>
      <c r="BS69" s="2" t="n"/>
      <c r="BT69" s="2" t="n"/>
      <c r="BU69" s="2" t="n"/>
      <c r="BV69" s="2" t="n"/>
      <c r="BW69" s="2" t="n"/>
      <c r="BX69" s="2" t="n"/>
      <c r="BY69" s="2" t="n"/>
      <c r="BZ69" s="2" t="n"/>
      <c r="CA69" s="2" t="n"/>
      <c r="CB69" s="2" t="n"/>
      <c r="CC69" s="2" t="n"/>
      <c r="CD69" s="2" t="n"/>
      <c r="CE69" s="2" t="n"/>
      <c r="CF69" s="2" t="n"/>
      <c r="CG69" s="2" t="n"/>
      <c r="CH69" s="2" t="n"/>
      <c r="CI69" s="2" t="n"/>
      <c r="CJ69" s="2" t="n"/>
      <c r="CK69" s="2" t="n"/>
      <c r="CL69" s="2" t="n"/>
      <c r="CM69" s="2" t="n"/>
      <c r="CN69" s="2" t="n"/>
      <c r="CO69" s="2" t="n"/>
      <c r="CP69" s="2" t="n"/>
      <c r="CQ69" s="2" t="n"/>
      <c r="CR69" s="2" t="n"/>
      <c r="CS69" s="2" t="n"/>
      <c r="CT69" s="2" t="n"/>
      <c r="CU69" s="2" t="n"/>
      <c r="CV69" s="2" t="n"/>
      <c r="CW69" s="2" t="n"/>
      <c r="CX69" s="2" t="n"/>
      <c r="CY69" s="2" t="n"/>
      <c r="CZ69" s="2" t="n"/>
      <c r="DA69" s="2" t="n"/>
      <c r="DB69" s="2" t="n"/>
      <c r="DC69" s="2" t="n"/>
      <c r="DD69" s="2" t="n"/>
      <c r="DE69" s="2" t="n"/>
    </row>
    <row r="70">
      <c r="A70" s="2" t="inlineStr">
        <is>
          <t>issue_790</t>
        </is>
      </c>
      <c r="B70" s="3" t="inlineStr">
        <is>
          <t>NOT_TESTED</t>
        </is>
      </c>
      <c r="C70" s="3" t="inlineStr">
        <is>
          <t>NOT_TESTED</t>
        </is>
      </c>
      <c r="D70" s="3" t="inlineStr">
        <is>
          <t>NOT_TESTED</t>
        </is>
      </c>
      <c r="E70" s="3" t="inlineStr">
        <is>
          <t>NOT_TESTED</t>
        </is>
      </c>
      <c r="F70" s="6" t="inlineStr">
        <is>
          <t>Runtime error</t>
        </is>
      </c>
      <c r="G70" s="6" t="inlineStr">
        <is>
          <t>Runtime error</t>
        </is>
      </c>
      <c r="H70" s="6" t="inlineStr">
        <is>
          <t>Runtime error</t>
        </is>
      </c>
      <c r="I70" s="6" t="inlineStr">
        <is>
          <t>Runtime error</t>
        </is>
      </c>
      <c r="J70" s="6" t="inlineStr">
        <is>
          <t>Runtime error</t>
        </is>
      </c>
      <c r="K70" s="6" t="inlineStr">
        <is>
          <t>Runtime error</t>
        </is>
      </c>
      <c r="L70" s="6" t="inlineStr">
        <is>
          <t>Runtime error</t>
        </is>
      </c>
      <c r="M70" s="6" t="inlineStr">
        <is>
          <t>Runtime error</t>
        </is>
      </c>
      <c r="N70" s="6" t="inlineStr">
        <is>
          <t>Runtime error</t>
        </is>
      </c>
      <c r="O70" s="6" t="inlineStr">
        <is>
          <t>Runtime error</t>
        </is>
      </c>
      <c r="P70" s="6" t="inlineStr">
        <is>
          <t>Runtime error</t>
        </is>
      </c>
      <c r="Q70" s="6" t="inlineStr">
        <is>
          <t>Runtime error</t>
        </is>
      </c>
      <c r="R70" s="6" t="inlineStr">
        <is>
          <t>Runtime error</t>
        </is>
      </c>
      <c r="S70" s="6" t="inlineStr">
        <is>
          <t>Runtime error</t>
        </is>
      </c>
      <c r="T70" s="6" t="inlineStr">
        <is>
          <t>Runtime error</t>
        </is>
      </c>
      <c r="U70" s="6" t="inlineStr">
        <is>
          <t>Runtime error</t>
        </is>
      </c>
      <c r="V70" s="6" t="inlineStr">
        <is>
          <t>Runtime error</t>
        </is>
      </c>
      <c r="W70" s="6" t="inlineStr">
        <is>
          <t>Runtime error</t>
        </is>
      </c>
      <c r="X70" s="6" t="inlineStr">
        <is>
          <t>Runtime error</t>
        </is>
      </c>
      <c r="Y70" s="6" t="inlineStr">
        <is>
          <t>Runtime error</t>
        </is>
      </c>
      <c r="Z70" s="6" t="inlineStr">
        <is>
          <t>Runtime error</t>
        </is>
      </c>
      <c r="AA70" s="6" t="inlineStr">
        <is>
          <t>Runtime error</t>
        </is>
      </c>
      <c r="AB70" s="6" t="inlineStr">
        <is>
          <t>Runtime error</t>
        </is>
      </c>
      <c r="AC70" s="2" t="n"/>
      <c r="AD70" s="2" t="n"/>
      <c r="AE70" s="2" t="n"/>
      <c r="AF70" s="2" t="n"/>
      <c r="AG70" s="2" t="n"/>
      <c r="AH70" s="2" t="n"/>
      <c r="AI70" s="2" t="n"/>
      <c r="AJ70" s="2" t="n"/>
      <c r="AK70" s="2" t="n"/>
      <c r="AL70" s="2" t="n"/>
      <c r="AM70" s="2" t="n"/>
      <c r="AN70" s="2" t="n"/>
      <c r="AO70" s="2" t="inlineStr">
        <is>
          <t>TypeError</t>
        </is>
      </c>
      <c r="AP70" s="2" t="inlineStr">
        <is>
          <t>TypeError: unsupported operand type(s) for -: 'Pauli' and 'Pauli'</t>
        </is>
      </c>
      <c r="AQ70" s="2" t="inlineStr">
        <is>
          <t>The LLM attached the SuzukiTrotter synthesis to each PauliEvolutionGate and decomposed the circuit, but kept the Pauli - Pauli subtraction, which crashes first (TypeError). Same problem as gpt-5.6-luna.</t>
        </is>
      </c>
      <c r="AR70" s="2" t="inlineStr">
        <is>
          <t>TypeError</t>
        </is>
      </c>
      <c r="AS70" s="2" t="inlineStr">
        <is>
          <t>TypeError: unsupported operand type(s) for -: 'Pauli' and 'Pauli'</t>
        </is>
      </c>
      <c r="AT70" s="2" t="inlineStr">
        <is>
          <t>The LLM attached the SuzukiTrotter synthesis to each PauliEvolutionGate and decomposed the circuit, but kept the Pauli - Pauli subtraction, which crashes first (TypeError). Same problem as gpt-5.6-luna.</t>
        </is>
      </c>
      <c r="AU70" s="2" t="inlineStr">
        <is>
          <t>TypeError</t>
        </is>
      </c>
      <c r="AV70" s="2" t="inlineStr">
        <is>
          <t>TypeError: unsupported operand type(s) for -: 'Pauli' and 'Pauli'</t>
        </is>
      </c>
      <c r="AW70" s="2" t="inlineStr">
        <is>
          <t>The LLM attached the SuzukiTrotter synthesis to each PauliEvolutionGate and decomposed the circuit, but kept the Pauli - Pauli subtraction, which crashes first (TypeError). Same problem as gpt-5.6-luna.</t>
        </is>
      </c>
      <c r="AX70" s="2" t="inlineStr">
        <is>
          <t>TypeError</t>
        </is>
      </c>
      <c r="AY70" s="2" t="inlineStr">
        <is>
          <t>TypeError: unsupported operand type(s) for -: 'Pauli' and 'Pauli'</t>
        </is>
      </c>
      <c r="AZ70" s="2" t="inlineStr">
        <is>
          <t>The LLM attached the SuzukiTrotter synthesis to each PauliEvolutionGate and decomposed the circuit, but kept the Pauli - Pauli subtraction, which crashes first (TypeError). Same problem as gpt-5.6-luna.</t>
        </is>
      </c>
      <c r="BA70" s="2" t="inlineStr">
        <is>
          <t>TypeError</t>
        </is>
      </c>
      <c r="BB70" s="2" t="inlineStr">
        <is>
          <t>TypeError: unsupported operand type(s) for -: 'Pauli' and 'Pauli'</t>
        </is>
      </c>
      <c r="BC70" s="2" t="inlineStr">
        <is>
          <t>The LLM attached the SuzukiTrotter synthesis to each PauliEvolutionGate and decomposed the circuit, but kept the Pauli - Pauli subtraction, which crashes first (TypeError). Same problem as gpt-5.6-luna.</t>
        </is>
      </c>
      <c r="BD70" s="2" t="inlineStr">
        <is>
          <t>TypeError</t>
        </is>
      </c>
      <c r="BE70" s="2" t="inlineStr">
        <is>
          <t>TypeError: unsupported operand type(s) for -: 'Pauli' and 'Pauli'</t>
        </is>
      </c>
      <c r="BF70" s="2" t="inlineStr">
        <is>
          <t>The LLM attached the SuzukiTrotter synthesis to each PauliEvolutionGate and decomposed the circuit, but kept the Pauli - Pauli subtraction, which crashes first (TypeError). Same problem as gpt-5.6-luna.</t>
        </is>
      </c>
      <c r="BG70" s="2" t="inlineStr">
        <is>
          <t>TypeError</t>
        </is>
      </c>
      <c r="BH70" s="2" t="inlineStr">
        <is>
          <t>TypeError: unsupported operand type(s) for -: 'Pauli' and 'Pauli'</t>
        </is>
      </c>
      <c r="BI70" s="2" t="inlineStr">
        <is>
          <t>The LLM attached the SuzukiTrotter synthesis to each PauliEvolutionGate and decomposed the circuit, but kept the Pauli - Pauli subtraction, which crashes first (TypeError). Same problem as gpt-5.6-luna.</t>
        </is>
      </c>
      <c r="BJ70" s="2" t="inlineStr">
        <is>
          <t>TypeError</t>
        </is>
      </c>
      <c r="BK70" s="2" t="inlineStr">
        <is>
          <t>TypeError: unsupported operand type(s) for -: 'Pauli' and 'Pauli'</t>
        </is>
      </c>
      <c r="BL70" s="2" t="inlineStr">
        <is>
          <t>The LLM attached the SuzukiTrotter synthesis to each PauliEvolutionGate and decomposed the circuit, but kept the Pauli - Pauli subtraction, which crashes first (TypeError). Same problem as gpt-5.6-luna.</t>
        </is>
      </c>
      <c r="BM70" s="2" t="inlineStr">
        <is>
          <t>TypeError</t>
        </is>
      </c>
      <c r="BN70" s="2" t="inlineStr">
        <is>
          <t>TypeError: unsupported operand type(s) for -: 'Pauli' and 'Pauli'</t>
        </is>
      </c>
      <c r="BO70" s="2" t="inlineStr">
        <is>
          <t>The LLM attached the SuzukiTrotter synthesis to each PauliEvolutionGate and decomposed the circuit, but kept the Pauli - Pauli subtraction, which crashes first (TypeError). Same problem as gpt-5.6-luna.</t>
        </is>
      </c>
      <c r="BP70" s="2" t="inlineStr">
        <is>
          <t>TypeError</t>
        </is>
      </c>
      <c r="BQ70" s="2" t="inlineStr">
        <is>
          <t>TypeError: unsupported operand type(s) for -: 'Pauli' and 'Pauli'</t>
        </is>
      </c>
      <c r="BR70" s="2" t="inlineStr">
        <is>
          <t>The LLM attached the SuzukiTrotter synthesis to each PauliEvolutionGate and decomposed the circuit, but kept the Pauli - Pauli subtraction, which crashes first (TypeError). Same problem as gpt-5.6-luna.</t>
        </is>
      </c>
      <c r="BS70" s="2" t="inlineStr">
        <is>
          <t>TypeError</t>
        </is>
      </c>
      <c r="BT70" s="2" t="inlineStr">
        <is>
          <t>TypeError: unsupported operand type(s) for -: 'Pauli' and 'Pauli'</t>
        </is>
      </c>
      <c r="BU70" s="2" t="inlineStr">
        <is>
          <t>The LLM attached the SuzukiTrotter synthesis to each PauliEvolutionGate and decomposed the circuit, but kept the Pauli - Pauli subtraction, which crashes first (TypeError). Same problem as gpt-5.6-luna.</t>
        </is>
      </c>
      <c r="BV70" s="2" t="inlineStr">
        <is>
          <t>TypeError</t>
        </is>
      </c>
      <c r="BW70" s="2" t="inlineStr">
        <is>
          <t>TypeError: unsupported operand type(s) for -: 'Pauli' and 'Pauli'</t>
        </is>
      </c>
      <c r="BX70" s="2" t="inlineStr">
        <is>
          <t>The LLM attached the SuzukiTrotter synthesis to each PauliEvolutionGate and decomposed the circuit, but kept the Pauli - Pauli subtraction, which crashes first (TypeError). Same problem as gpt-5.6-luna.</t>
        </is>
      </c>
      <c r="BY70" s="2" t="inlineStr">
        <is>
          <t>TypeError</t>
        </is>
      </c>
      <c r="BZ70" s="2" t="inlineStr">
        <is>
          <t>TypeError: unsupported operand type(s) for -: 'Pauli' and 'Pauli'</t>
        </is>
      </c>
      <c r="CA70" s="2" t="inlineStr">
        <is>
          <t>The LLM attached the SuzukiTrotter synthesis to each PauliEvolutionGate and decomposed the circuit, but kept the Pauli - Pauli subtraction, which crashes first (TypeError). Same problem as gpt-5.6-luna.</t>
        </is>
      </c>
      <c r="CB70" s="2" t="inlineStr">
        <is>
          <t>TypeError</t>
        </is>
      </c>
      <c r="CC70" s="2" t="inlineStr">
        <is>
          <t>TypeError: unsupported operand type(s) for -: 'Pauli' and 'Pauli'</t>
        </is>
      </c>
      <c r="CD70" s="2" t="inlineStr">
        <is>
          <t>The LLM attached the SuzukiTrotter synthesis to each PauliEvolutionGate and decomposed the circuit, but kept the Pauli - Pauli subtraction, which crashes first (TypeError). Same problem as gpt-5.6-luna.</t>
        </is>
      </c>
      <c r="CE70" s="2" t="inlineStr">
        <is>
          <t>TypeError</t>
        </is>
      </c>
      <c r="CF70" s="2" t="inlineStr">
        <is>
          <t>TypeError: unsupported operand type(s) for -: 'Pauli' and 'Pauli'</t>
        </is>
      </c>
      <c r="CG70" s="2" t="inlineStr">
        <is>
          <t>The LLM attached the SuzukiTrotter synthesis to each PauliEvolutionGate and decomposed the circuit, but kept the Pauli - Pauli subtraction, which crashes first (TypeError). Same problem as gpt-5.6-luna.</t>
        </is>
      </c>
      <c r="CH70" s="2" t="inlineStr">
        <is>
          <t>TypeError</t>
        </is>
      </c>
      <c r="CI70" s="2" t="inlineStr">
        <is>
          <t>TypeError: unsupported operand type(s) for -: 'Pauli' and 'Pauli'</t>
        </is>
      </c>
      <c r="CJ70" s="2" t="inlineStr">
        <is>
          <t>The LLM attached the SuzukiTrotter synthesis to each PauliEvolutionGate and decomposed the circuit, but kept the Pauli - Pauli subtraction, which crashes first (TypeError). Same problem as gpt-5.6-luna.</t>
        </is>
      </c>
      <c r="CK70" s="2" t="inlineStr">
        <is>
          <t>TypeError</t>
        </is>
      </c>
      <c r="CL70" s="2" t="inlineStr">
        <is>
          <t>TypeError: unsupported operand type(s) for -: 'Pauli' and 'Pauli'</t>
        </is>
      </c>
      <c r="CM70" s="2" t="inlineStr">
        <is>
          <t>The LLM attached the SuzukiTrotter synthesis to each PauliEvolutionGate and decomposed the circuit, but kept the Pauli - Pauli subtraction, which crashes first (TypeError). Same problem as gpt-5.6-luna.</t>
        </is>
      </c>
      <c r="CN70" s="2" t="inlineStr">
        <is>
          <t>TypeError</t>
        </is>
      </c>
      <c r="CO70" s="2" t="inlineStr">
        <is>
          <t>TypeError: unsupported operand type(s) for -: 'Pauli' and 'Pauli'</t>
        </is>
      </c>
      <c r="CP70" s="2" t="inlineStr">
        <is>
          <t>The LLM attached the SuzukiTrotter synthesis to each PauliEvolutionGate and decomposed the circuit, but kept the Pauli - Pauli subtraction, which crashes first (TypeError). Same problem as gpt-5.6-luna.</t>
        </is>
      </c>
      <c r="CQ70" s="2" t="inlineStr">
        <is>
          <t>TypeError</t>
        </is>
      </c>
      <c r="CR70" s="2" t="inlineStr">
        <is>
          <t>TypeError: unsupported operand type(s) for -: 'Pauli' and 'Pauli'</t>
        </is>
      </c>
      <c r="CS70" s="2" t="inlineStr">
        <is>
          <t>The LLM attached the SuzukiTrotter synthesis to each PauliEvolutionGate and decomposed the circuit, but kept the Pauli - Pauli subtraction, which crashes first (TypeError). Same problem as gpt-5.6-luna.</t>
        </is>
      </c>
      <c r="CT70" s="2" t="inlineStr">
        <is>
          <t>TypeError</t>
        </is>
      </c>
      <c r="CU70" s="2" t="inlineStr">
        <is>
          <t>TypeError: unsupported operand type(s) for -: 'Pauli' and 'Pauli'</t>
        </is>
      </c>
      <c r="CV70" s="2" t="inlineStr">
        <is>
          <t>The LLM attached the SuzukiTrotter synthesis to each PauliEvolutionGate and decomposed the circuit, but kept the Pauli - Pauli subtraction, which crashes first (TypeError). Same problem as gpt-5.6-luna.</t>
        </is>
      </c>
      <c r="CW70" s="2" t="inlineStr">
        <is>
          <t>TypeError</t>
        </is>
      </c>
      <c r="CX70" s="2" t="inlineStr">
        <is>
          <t>TypeError: unsupported operand type(s) for -: 'Pauli' and 'Pauli'</t>
        </is>
      </c>
      <c r="CY70" s="2" t="inlineStr">
        <is>
          <t>The LLM attached the SuzukiTrotter synthesis to each PauliEvolutionGate and decomposed the circuit, but kept the Pauli - Pauli subtraction, which crashes first (TypeError). Same problem as gpt-5.6-luna.</t>
        </is>
      </c>
      <c r="CZ70" s="2" t="inlineStr">
        <is>
          <t>TypeError</t>
        </is>
      </c>
      <c r="DA70" s="2" t="inlineStr">
        <is>
          <t>TypeError: unsupported operand type(s) for -: 'Pauli' and 'Pauli'</t>
        </is>
      </c>
      <c r="DB70" s="2" t="inlineStr">
        <is>
          <t>The LLM attached the SuzukiTrotter synthesis to each PauliEvolutionGate and decomposed the circuit, but kept the Pauli - Pauli subtraction, which crashes first (TypeError). Same problem as gpt-5.6-luna.</t>
        </is>
      </c>
      <c r="DC70" s="2" t="inlineStr">
        <is>
          <t>TypeError</t>
        </is>
      </c>
      <c r="DD70" s="2" t="inlineStr">
        <is>
          <t>TypeError: unsupported operand type(s) for -: 'Pauli' and 'Pauli'</t>
        </is>
      </c>
      <c r="DE70" s="2" t="inlineStr">
        <is>
          <t>The LLM attached the SuzukiTrotter synthesis to each PauliEvolutionGate and decomposed the circuit, but kept the Pauli - Pauli subtraction, which crashes first (TypeError). Same problem as gpt-5.6-luna.</t>
        </is>
      </c>
    </row>
    <row r="71">
      <c r="A71" s="2" t="inlineStr">
        <is>
          <t>issue_827</t>
        </is>
      </c>
      <c r="B71" s="6" t="inlineStr">
        <is>
          <t>Runtime error</t>
        </is>
      </c>
      <c r="C71" s="6" t="inlineStr">
        <is>
          <t>Runtime error</t>
        </is>
      </c>
      <c r="D71" s="6" t="inlineStr">
        <is>
          <t>Runtime error</t>
        </is>
      </c>
      <c r="E71" s="6" t="inlineStr">
        <is>
          <t>Runtime error</t>
        </is>
      </c>
      <c r="F71" s="6" t="inlineStr">
        <is>
          <t>Runtime error</t>
        </is>
      </c>
      <c r="G71" s="6" t="inlineStr">
        <is>
          <t>Runtime error</t>
        </is>
      </c>
      <c r="H71" s="6" t="inlineStr">
        <is>
          <t>Runtime error</t>
        </is>
      </c>
      <c r="I71" s="6" t="inlineStr">
        <is>
          <t>Runtime error</t>
        </is>
      </c>
      <c r="J71" s="6" t="inlineStr">
        <is>
          <t>Runtime error</t>
        </is>
      </c>
      <c r="K71" s="6" t="inlineStr">
        <is>
          <t>Runtime error</t>
        </is>
      </c>
      <c r="L71" s="6" t="inlineStr">
        <is>
          <t>Runtime error</t>
        </is>
      </c>
      <c r="M71" s="6" t="inlineStr">
        <is>
          <t>Runtime error</t>
        </is>
      </c>
      <c r="N71" s="3" t="inlineStr">
        <is>
          <t>NOT_TESTED</t>
        </is>
      </c>
      <c r="O71" s="3" t="inlineStr">
        <is>
          <t>NOT_TESTED</t>
        </is>
      </c>
      <c r="P71" s="3" t="inlineStr">
        <is>
          <t>NOT_TESTED</t>
        </is>
      </c>
      <c r="Q71" s="3" t="inlineStr">
        <is>
          <t>NOT_TESTED</t>
        </is>
      </c>
      <c r="R71" s="3" t="inlineStr">
        <is>
          <t>NOT_TESTED</t>
        </is>
      </c>
      <c r="S71" s="3" t="inlineStr">
        <is>
          <t>NOT_TESTED</t>
        </is>
      </c>
      <c r="T71" s="3" t="inlineStr">
        <is>
          <t>NOT_TESTED</t>
        </is>
      </c>
      <c r="U71" s="3" t="inlineStr">
        <is>
          <t>NOT_TESTED</t>
        </is>
      </c>
      <c r="V71" s="3" t="inlineStr">
        <is>
          <t>NOT_TESTED</t>
        </is>
      </c>
      <c r="W71" s="3" t="inlineStr">
        <is>
          <t>NOT_TESTED</t>
        </is>
      </c>
      <c r="X71" s="3" t="inlineStr">
        <is>
          <t>NOT_TESTED</t>
        </is>
      </c>
      <c r="Y71" s="3" t="inlineStr">
        <is>
          <t>NOT_TESTED</t>
        </is>
      </c>
      <c r="Z71" s="3" t="inlineStr">
        <is>
          <t>NOT_TESTED</t>
        </is>
      </c>
      <c r="AA71" s="3" t="inlineStr">
        <is>
          <t>NOT_TESTED</t>
        </is>
      </c>
      <c r="AB71" s="3" t="inlineStr">
        <is>
          <t>NOT_TESTED</t>
        </is>
      </c>
      <c r="AC71" s="2" t="inlineStr">
        <is>
          <t>ModuleNotFoundError</t>
        </is>
      </c>
      <c r="AD71" s="2" t="inlineStr">
        <is>
          <t>ModuleNotFoundError: No module named 'qiskit.backends'</t>
        </is>
      </c>
      <c r="AE71" s="2" t="inlineStr">
        <is>
          <t>The LLM replaced compile() with transpile() + assemble(), but the code still imports qiskit.backends, which no longer exists (ModuleNotFoundError). Same problem as gpt-5.6-luna.</t>
        </is>
      </c>
      <c r="AF71" s="2" t="inlineStr">
        <is>
          <t>ModuleNotFoundError</t>
        </is>
      </c>
      <c r="AG71" s="2" t="inlineStr">
        <is>
          <t>ModuleNotFoundError: No module named 'qiskit.backends'</t>
        </is>
      </c>
      <c r="AH71" s="2" t="inlineStr">
        <is>
          <t>The LLM replaced compile() with transpile() + assemble(), but the code still imports qiskit.backends, which no longer exists (ModuleNotFoundError). Same problem as gpt-5.6-luna.</t>
        </is>
      </c>
      <c r="AI71" s="2" t="inlineStr">
        <is>
          <t>ModuleNotFoundError</t>
        </is>
      </c>
      <c r="AJ71" s="2" t="inlineStr">
        <is>
          <t>ModuleNotFoundError: No module named 'qiskit.backends'</t>
        </is>
      </c>
      <c r="AK71" s="2" t="inlineStr">
        <is>
          <t>The LLM replaced compile() with transpile() + assemble(), but the code still imports qiskit.backends, which no longer exists (ModuleNotFoundError). Same problem as gpt-5.6-luna.</t>
        </is>
      </c>
      <c r="AL71" s="2" t="inlineStr">
        <is>
          <t>ModuleNotFoundError</t>
        </is>
      </c>
      <c r="AM71" s="2" t="inlineStr">
        <is>
          <t>ModuleNotFoundError: No module named 'qiskit.backends'</t>
        </is>
      </c>
      <c r="AN71" s="2" t="inlineStr">
        <is>
          <t>The LLM replaced compile() with transpile() + assemble(), but the code still imports qiskit.backends, which no longer exists (ModuleNotFoundError). Same problem as gpt-5.6-luna.</t>
        </is>
      </c>
      <c r="AO71" s="2" t="inlineStr">
        <is>
          <t>ModuleNotFoundError</t>
        </is>
      </c>
      <c r="AP71" s="2" t="inlineStr">
        <is>
          <t>ModuleNotFoundError: No module named 'qiskit.backends'</t>
        </is>
      </c>
      <c r="AQ71" s="2" t="inlineStr">
        <is>
          <t>The LLM replaced compile() with transpile() + assemble(), but the code still imports qiskit.backends, which no longer exists (ModuleNotFoundError). Same problem as gpt-5.6-luna.</t>
        </is>
      </c>
      <c r="AR71" s="2" t="inlineStr">
        <is>
          <t>ModuleNotFoundError</t>
        </is>
      </c>
      <c r="AS71" s="2" t="inlineStr">
        <is>
          <t>ModuleNotFoundError: No module named 'qiskit.backends'</t>
        </is>
      </c>
      <c r="AT71" s="2" t="inlineStr">
        <is>
          <t>The LLM replaced compile() with transpile() + assemble(), but the code still imports qiskit.backends, which no longer exists (ModuleNotFoundError). Same problem as gpt-5.6-luna.</t>
        </is>
      </c>
      <c r="AU71" s="2" t="inlineStr">
        <is>
          <t>ModuleNotFoundError</t>
        </is>
      </c>
      <c r="AV71" s="2" t="inlineStr">
        <is>
          <t>ModuleNotFoundError: No module named 'qiskit.backends'</t>
        </is>
      </c>
      <c r="AW71" s="2" t="inlineStr">
        <is>
          <t>The LLM replaced compile() with transpile() + assemble(), but the code still imports qiskit.backends, which no longer exists (ModuleNotFoundError). Same problem as gpt-5.6-luna.</t>
        </is>
      </c>
      <c r="AX71" s="2" t="inlineStr">
        <is>
          <t>ModuleNotFoundError</t>
        </is>
      </c>
      <c r="AY71" s="2" t="inlineStr">
        <is>
          <t>ModuleNotFoundError: No module named 'qiskit.backends'</t>
        </is>
      </c>
      <c r="AZ71" s="2" t="inlineStr">
        <is>
          <t>The LLM replaced compile() with transpile() + assemble(), but the code still imports qiskit.backends, which no longer exists (ModuleNotFoundError). Same problem as gpt-5.6-luna.</t>
        </is>
      </c>
      <c r="BA71" s="2" t="inlineStr">
        <is>
          <t>ModuleNotFoundError</t>
        </is>
      </c>
      <c r="BB71" s="2" t="inlineStr">
        <is>
          <t>ModuleNotFoundError: No module named 'qiskit.backends'</t>
        </is>
      </c>
      <c r="BC71" s="2" t="inlineStr">
        <is>
          <t>The LLM replaced compile() with transpile() + assemble(), but the code still imports qiskit.backends, which no longer exists (ModuleNotFoundError). Same problem as gpt-5.6-luna.</t>
        </is>
      </c>
      <c r="BD71" s="2" t="inlineStr">
        <is>
          <t>ModuleNotFoundError</t>
        </is>
      </c>
      <c r="BE71" s="2" t="inlineStr">
        <is>
          <t>ModuleNotFoundError: No module named 'qiskit.backends'</t>
        </is>
      </c>
      <c r="BF71" s="2" t="inlineStr">
        <is>
          <t>The LLM replaced compile() with transpile() + assemble(), but the code still imports qiskit.backends, which no longer exists (ModuleNotFoundError). Same problem as gpt-5.6-luna.</t>
        </is>
      </c>
      <c r="BG71" s="2" t="inlineStr">
        <is>
          <t>ModuleNotFoundError</t>
        </is>
      </c>
      <c r="BH71" s="2" t="inlineStr">
        <is>
          <t>ModuleNotFoundError: No module named 'qiskit.backends'</t>
        </is>
      </c>
      <c r="BI71" s="2" t="inlineStr">
        <is>
          <t>The LLM replaced compile() with transpile() + assemble(), but the code still imports qiskit.backends, which no longer exists (ModuleNotFoundError). Same problem as gpt-5.6-luna.</t>
        </is>
      </c>
      <c r="BJ71" s="2" t="inlineStr">
        <is>
          <t>ModuleNotFoundError</t>
        </is>
      </c>
      <c r="BK71" s="2" t="inlineStr">
        <is>
          <t>ModuleNotFoundError: No module named 'qiskit.backends'</t>
        </is>
      </c>
      <c r="BL71" s="2" t="inlineStr">
        <is>
          <t>The LLM replaced compile() with transpile() + assemble(), but the code still imports qiskit.backends, which no longer exists (ModuleNotFoundError). Same problem as gpt-5.6-luna.</t>
        </is>
      </c>
      <c r="BM71" s="2" t="n"/>
      <c r="BN71" s="2" t="n"/>
      <c r="BO71" s="2" t="n"/>
      <c r="BP71" s="2" t="n"/>
      <c r="BQ71" s="2" t="n"/>
      <c r="BR71" s="2" t="n"/>
      <c r="BS71" s="2" t="n"/>
      <c r="BT71" s="2" t="n"/>
      <c r="BU71" s="2" t="n"/>
      <c r="BV71" s="2" t="n"/>
      <c r="BW71" s="2" t="n"/>
      <c r="BX71" s="2" t="n"/>
      <c r="BY71" s="2" t="n"/>
      <c r="BZ71" s="2" t="n"/>
      <c r="CA71" s="2" t="n"/>
      <c r="CB71" s="2" t="n"/>
      <c r="CC71" s="2" t="n"/>
      <c r="CD71" s="2" t="n"/>
      <c r="CE71" s="2" t="n"/>
      <c r="CF71" s="2" t="n"/>
      <c r="CG71" s="2" t="n"/>
      <c r="CH71" s="2" t="n"/>
      <c r="CI71" s="2" t="n"/>
      <c r="CJ71" s="2" t="n"/>
      <c r="CK71" s="2" t="n"/>
      <c r="CL71" s="2" t="n"/>
      <c r="CM71" s="2" t="n"/>
      <c r="CN71" s="2" t="n"/>
      <c r="CO71" s="2" t="n"/>
      <c r="CP71" s="2" t="n"/>
      <c r="CQ71" s="2" t="n"/>
      <c r="CR71" s="2" t="n"/>
      <c r="CS71" s="2" t="n"/>
      <c r="CT71" s="2" t="n"/>
      <c r="CU71" s="2" t="n"/>
      <c r="CV71" s="2" t="n"/>
      <c r="CW71" s="2" t="n"/>
      <c r="CX71" s="2" t="n"/>
      <c r="CY71" s="2" t="n"/>
      <c r="CZ71" s="2" t="n"/>
      <c r="DA71" s="2" t="n"/>
      <c r="DB71" s="2" t="n"/>
      <c r="DC71" s="2" t="n"/>
      <c r="DD71" s="2" t="n"/>
      <c r="DE71" s="2" t="n"/>
    </row>
    <row r="72">
      <c r="A72" s="2" t="inlineStr">
        <is>
          <t>issue_858</t>
        </is>
      </c>
      <c r="B72" s="3" t="inlineStr">
        <is>
          <t>NOT_TESTED</t>
        </is>
      </c>
      <c r="C72" s="3" t="inlineStr">
        <is>
          <t>NOT_TESTED</t>
        </is>
      </c>
      <c r="D72" s="3" t="inlineStr">
        <is>
          <t>NOT_TESTED</t>
        </is>
      </c>
      <c r="E72" s="3" t="inlineStr">
        <is>
          <t>NOT_TESTED</t>
        </is>
      </c>
      <c r="F72" s="6" t="inlineStr">
        <is>
          <t>Runtime error</t>
        </is>
      </c>
      <c r="G72" s="6" t="inlineStr">
        <is>
          <t>Runtime error</t>
        </is>
      </c>
      <c r="H72" s="6" t="inlineStr">
        <is>
          <t>Runtime error</t>
        </is>
      </c>
      <c r="I72" s="6" t="inlineStr">
        <is>
          <t>Runtime error</t>
        </is>
      </c>
      <c r="J72" s="6" t="inlineStr">
        <is>
          <t>Runtime error</t>
        </is>
      </c>
      <c r="K72" s="6" t="inlineStr">
        <is>
          <t>Runtime error</t>
        </is>
      </c>
      <c r="L72" s="6" t="inlineStr">
        <is>
          <t>Runtime error</t>
        </is>
      </c>
      <c r="M72" s="6" t="inlineStr">
        <is>
          <t>Runtime error</t>
        </is>
      </c>
      <c r="N72" s="3" t="inlineStr">
        <is>
          <t>NOT_TESTED</t>
        </is>
      </c>
      <c r="O72" s="3" t="inlineStr">
        <is>
          <t>NOT_TESTED</t>
        </is>
      </c>
      <c r="P72" s="3" t="inlineStr">
        <is>
          <t>NOT_TESTED</t>
        </is>
      </c>
      <c r="Q72" s="3" t="inlineStr">
        <is>
          <t>NOT_TESTED</t>
        </is>
      </c>
      <c r="R72" s="3" t="inlineStr">
        <is>
          <t>NOT_TESTED</t>
        </is>
      </c>
      <c r="S72" s="3" t="inlineStr">
        <is>
          <t>NOT_TESTED</t>
        </is>
      </c>
      <c r="T72" s="3" t="inlineStr">
        <is>
          <t>NOT_TESTED</t>
        </is>
      </c>
      <c r="U72" s="3" t="inlineStr">
        <is>
          <t>NOT_TESTED</t>
        </is>
      </c>
      <c r="V72" s="3" t="inlineStr">
        <is>
          <t>NOT_TESTED</t>
        </is>
      </c>
      <c r="W72" s="3" t="inlineStr">
        <is>
          <t>NOT_TESTED</t>
        </is>
      </c>
      <c r="X72" s="3" t="inlineStr">
        <is>
          <t>NOT_TESTED</t>
        </is>
      </c>
      <c r="Y72" s="3" t="inlineStr">
        <is>
          <t>NOT_TESTED</t>
        </is>
      </c>
      <c r="Z72" s="3" t="inlineStr">
        <is>
          <t>NOT_TESTED</t>
        </is>
      </c>
      <c r="AA72" s="3" t="inlineStr">
        <is>
          <t>NOT_TESTED</t>
        </is>
      </c>
      <c r="AB72" s="3" t="inlineStr">
        <is>
          <t>NOT_TESTED</t>
        </is>
      </c>
      <c r="AC72" s="2" t="n"/>
      <c r="AD72" s="2" t="n"/>
      <c r="AE72" s="2" t="n"/>
      <c r="AF72" s="2" t="n"/>
      <c r="AG72" s="2" t="n"/>
      <c r="AH72" s="2" t="n"/>
      <c r="AI72" s="2" t="n"/>
      <c r="AJ72" s="2" t="n"/>
      <c r="AK72" s="2" t="n"/>
      <c r="AL72" s="2" t="n"/>
      <c r="AM72" s="2" t="n"/>
      <c r="AN72" s="2" t="n"/>
      <c r="AO72" s="2" t="inlineStr">
        <is>
          <t>OfflineAccessDenied</t>
        </is>
      </c>
      <c r="AP72" s="2" t="inlineStr">
        <is>
          <t>OfflineAccessDenied: Offline snapshot fixture forbids IBMQ.load_account</t>
        </is>
      </c>
      <c r="AQ72" s="2" t="inlineStr">
        <is>
          <t>The LLM only renamed the backend to ibmq_oslo and kept IBMQ.load_account(), which needs a live IBM account; the test runs offline and blocks it.</t>
        </is>
      </c>
      <c r="AR72" s="2" t="inlineStr">
        <is>
          <t>OfflineAccessDenied</t>
        </is>
      </c>
      <c r="AS72" s="2" t="inlineStr">
        <is>
          <t>OfflineAccessDenied: Offline snapshot fixture forbids IBMQ.load_account</t>
        </is>
      </c>
      <c r="AT72" s="2" t="inlineStr">
        <is>
          <t>The LLM only renamed the backend to ibmq_oslo and kept IBMQ.load_account(), which needs a live IBM account; the test runs offline and blocks it.</t>
        </is>
      </c>
      <c r="AU72" s="2" t="inlineStr">
        <is>
          <t>OfflineAccessDenied</t>
        </is>
      </c>
      <c r="AV72" s="2" t="inlineStr">
        <is>
          <t>OfflineAccessDenied: Offline snapshot fixture forbids IBMQ.load_account</t>
        </is>
      </c>
      <c r="AW72" s="2" t="inlineStr">
        <is>
          <t>The LLM only renamed the backend to ibmq_oslo and kept IBMQ.load_account(), which needs a live IBM account; the test runs offline and blocks it.</t>
        </is>
      </c>
      <c r="AX72" s="2" t="inlineStr">
        <is>
          <t>OfflineAccessDenied</t>
        </is>
      </c>
      <c r="AY72" s="2" t="inlineStr">
        <is>
          <t>OfflineAccessDenied: Offline snapshot fixture forbids IBMQ.load_account</t>
        </is>
      </c>
      <c r="AZ72" s="2" t="inlineStr">
        <is>
          <t>The LLM only renamed the backend to ibmq_oslo and kept IBMQ.load_account(), which needs a live IBM account; the test runs offline and blocks it.</t>
        </is>
      </c>
      <c r="BA72" s="2" t="inlineStr">
        <is>
          <t>OfflineAccessDenied</t>
        </is>
      </c>
      <c r="BB72" s="2" t="inlineStr">
        <is>
          <t>OfflineAccessDenied: Offline snapshot fixture forbids IBMQ.load_account</t>
        </is>
      </c>
      <c r="BC72" s="2" t="inlineStr">
        <is>
          <t>The LLM only renamed the backend to ibmq_oslo and kept IBMQ.load_account(), which needs a live IBM account; the test runs offline and blocks it.</t>
        </is>
      </c>
      <c r="BD72" s="2" t="inlineStr">
        <is>
          <t>OfflineAccessDenied</t>
        </is>
      </c>
      <c r="BE72" s="2" t="inlineStr">
        <is>
          <t>OfflineAccessDenied: Offline snapshot fixture forbids IBMQ.load_account</t>
        </is>
      </c>
      <c r="BF72" s="2" t="inlineStr">
        <is>
          <t>The LLM only renamed the backend to ibmq_oslo and kept IBMQ.load_account(), which needs a live IBM account; the test runs offline and blocks it.</t>
        </is>
      </c>
      <c r="BG72" s="2" t="inlineStr">
        <is>
          <t>OfflineAccessDenied</t>
        </is>
      </c>
      <c r="BH72" s="2" t="inlineStr">
        <is>
          <t>OfflineAccessDenied: Offline snapshot fixture forbids IBMQ.load_account</t>
        </is>
      </c>
      <c r="BI72" s="2" t="inlineStr">
        <is>
          <t>The LLM only renamed the backend to ibmq_oslo and kept IBMQ.load_account(), which needs a live IBM account; the test runs offline and blocks it.</t>
        </is>
      </c>
      <c r="BJ72" s="2" t="inlineStr">
        <is>
          <t>OfflineAccessDenied</t>
        </is>
      </c>
      <c r="BK72" s="2" t="inlineStr">
        <is>
          <t>OfflineAccessDenied: Offline snapshot fixture forbids IBMQ.load_account</t>
        </is>
      </c>
      <c r="BL72" s="2" t="inlineStr">
        <is>
          <t>The LLM only renamed the backend to ibmq_oslo and kept IBMQ.load_account(), which needs a live IBM account; the test runs offline and blocks it.</t>
        </is>
      </c>
      <c r="BM72" s="2" t="n"/>
      <c r="BN72" s="2" t="n"/>
      <c r="BO72" s="2" t="n"/>
      <c r="BP72" s="2" t="n"/>
      <c r="BQ72" s="2" t="n"/>
      <c r="BR72" s="2" t="n"/>
      <c r="BS72" s="2" t="n"/>
      <c r="BT72" s="2" t="n"/>
      <c r="BU72" s="2" t="n"/>
      <c r="BV72" s="2" t="n"/>
      <c r="BW72" s="2" t="n"/>
      <c r="BX72" s="2" t="n"/>
      <c r="BY72" s="2" t="n"/>
      <c r="BZ72" s="2" t="n"/>
      <c r="CA72" s="2" t="n"/>
      <c r="CB72" s="2" t="n"/>
      <c r="CC72" s="2" t="n"/>
      <c r="CD72" s="2" t="n"/>
      <c r="CE72" s="2" t="n"/>
      <c r="CF72" s="2" t="n"/>
      <c r="CG72" s="2" t="n"/>
      <c r="CH72" s="2" t="n"/>
      <c r="CI72" s="2" t="n"/>
      <c r="CJ72" s="2" t="n"/>
      <c r="CK72" s="2" t="n"/>
      <c r="CL72" s="2" t="n"/>
      <c r="CM72" s="2" t="n"/>
      <c r="CN72" s="2" t="n"/>
      <c r="CO72" s="2" t="n"/>
      <c r="CP72" s="2" t="n"/>
      <c r="CQ72" s="2" t="n"/>
      <c r="CR72" s="2" t="n"/>
      <c r="CS72" s="2" t="n"/>
      <c r="CT72" s="2" t="n"/>
      <c r="CU72" s="2" t="n"/>
      <c r="CV72" s="2" t="n"/>
      <c r="CW72" s="2" t="n"/>
      <c r="CX72" s="2" t="n"/>
      <c r="CY72" s="2" t="n"/>
      <c r="CZ72" s="2" t="n"/>
      <c r="DA72" s="2" t="n"/>
      <c r="DB72" s="2" t="n"/>
      <c r="DC72" s="2" t="n"/>
      <c r="DD72" s="2" t="n"/>
      <c r="DE72" s="2" t="n"/>
    </row>
    <row r="73">
      <c r="A73" s="2" t="inlineStr">
        <is>
          <t>issue_901</t>
        </is>
      </c>
      <c r="B73" s="3" t="inlineStr">
        <is>
          <t>NOT_TESTED</t>
        </is>
      </c>
      <c r="C73" s="3" t="inlineStr">
        <is>
          <t>NOT_TESTED</t>
        </is>
      </c>
      <c r="D73" s="3" t="inlineStr">
        <is>
          <t>NOT_TESTED</t>
        </is>
      </c>
      <c r="E73" s="3" t="inlineStr">
        <is>
          <t>NOT_TESTED</t>
        </is>
      </c>
      <c r="F73" s="4" t="inlineStr">
        <is>
          <t>Passed on test</t>
        </is>
      </c>
      <c r="G73" s="4" t="inlineStr">
        <is>
          <t>Passed on test</t>
        </is>
      </c>
      <c r="H73" s="4" t="inlineStr">
        <is>
          <t>Passed on test</t>
        </is>
      </c>
      <c r="I73" s="4" t="inlineStr">
        <is>
          <t>Passed on test</t>
        </is>
      </c>
      <c r="J73" s="4" t="inlineStr">
        <is>
          <t>Passed on test</t>
        </is>
      </c>
      <c r="K73" s="4" t="inlineStr">
        <is>
          <t>Passed on test</t>
        </is>
      </c>
      <c r="L73" s="4" t="inlineStr">
        <is>
          <t>Passed on test</t>
        </is>
      </c>
      <c r="M73" s="4" t="inlineStr">
        <is>
          <t>Passed on test</t>
        </is>
      </c>
      <c r="N73" s="4" t="inlineStr">
        <is>
          <t>Passed on test</t>
        </is>
      </c>
      <c r="O73" s="4" t="inlineStr">
        <is>
          <t>Passed on test</t>
        </is>
      </c>
      <c r="P73" s="4" t="inlineStr">
        <is>
          <t>Passed on test</t>
        </is>
      </c>
      <c r="Q73" s="4" t="inlineStr">
        <is>
          <t>Passed on test</t>
        </is>
      </c>
      <c r="R73" s="4" t="inlineStr">
        <is>
          <t>Passed on test</t>
        </is>
      </c>
      <c r="S73" s="4" t="inlineStr">
        <is>
          <t>Passed on test</t>
        </is>
      </c>
      <c r="T73" s="4" t="inlineStr">
        <is>
          <t>Passed on test</t>
        </is>
      </c>
      <c r="U73" s="4" t="inlineStr">
        <is>
          <t>Passed on test</t>
        </is>
      </c>
      <c r="V73" s="4" t="inlineStr">
        <is>
          <t>Passed on test</t>
        </is>
      </c>
      <c r="W73" s="4" t="inlineStr">
        <is>
          <t>Passed on test</t>
        </is>
      </c>
      <c r="X73" s="4" t="inlineStr">
        <is>
          <t>Passed on test</t>
        </is>
      </c>
      <c r="Y73" s="3" t="inlineStr">
        <is>
          <t>NOT_TESTED</t>
        </is>
      </c>
      <c r="Z73" s="3" t="inlineStr">
        <is>
          <t>NOT_TESTED</t>
        </is>
      </c>
      <c r="AA73" s="3" t="inlineStr">
        <is>
          <t>NOT_TESTED</t>
        </is>
      </c>
      <c r="AB73" s="3" t="inlineStr">
        <is>
          <t>NOT_TESTED</t>
        </is>
      </c>
      <c r="AC73" s="2" t="n"/>
      <c r="AD73" s="2" t="n"/>
      <c r="AE73" s="2" t="n"/>
      <c r="AF73" s="2" t="n"/>
      <c r="AG73" s="2" t="n"/>
      <c r="AH73" s="2" t="n"/>
      <c r="AI73" s="2" t="n"/>
      <c r="AJ73" s="2" t="n"/>
      <c r="AK73" s="2" t="n"/>
      <c r="AL73" s="2" t="n"/>
      <c r="AM73" s="2" t="n"/>
      <c r="AN73" s="2" t="n"/>
      <c r="AO73" s="2" t="n"/>
      <c r="AP73" s="2" t="n"/>
      <c r="AQ73" s="2" t="n"/>
      <c r="AR73" s="2" t="n"/>
      <c r="AS73" s="2" t="n"/>
      <c r="AT73" s="2" t="n"/>
      <c r="AU73" s="2" t="n"/>
      <c r="AV73" s="2" t="n"/>
      <c r="AW73" s="2" t="n"/>
      <c r="AX73" s="2" t="n"/>
      <c r="AY73" s="2" t="n"/>
      <c r="AZ73" s="2" t="n"/>
      <c r="BA73" s="2" t="n"/>
      <c r="BB73" s="2" t="n"/>
      <c r="BC73" s="2" t="n"/>
      <c r="BD73" s="2" t="n"/>
      <c r="BE73" s="2" t="n"/>
      <c r="BF73" s="2" t="n"/>
      <c r="BG73" s="2" t="n"/>
      <c r="BH73" s="2" t="n"/>
      <c r="BI73" s="2" t="n"/>
      <c r="BJ73" s="2" t="n"/>
      <c r="BK73" s="2" t="n"/>
      <c r="BL73" s="2" t="n"/>
      <c r="BM73" s="2" t="n"/>
      <c r="BN73" s="2" t="n"/>
      <c r="BO73" s="2" t="n"/>
      <c r="BP73" s="2" t="n"/>
      <c r="BQ73" s="2" t="n"/>
      <c r="BR73" s="2" t="n"/>
      <c r="BS73" s="2" t="n"/>
      <c r="BT73" s="2" t="n"/>
      <c r="BU73" s="2" t="n"/>
      <c r="BV73" s="2" t="n"/>
      <c r="BW73" s="2" t="n"/>
      <c r="BX73" s="2" t="n"/>
      <c r="BY73" s="2" t="n"/>
      <c r="BZ73" s="2" t="n"/>
      <c r="CA73" s="2" t="n"/>
      <c r="CB73" s="2" t="n"/>
      <c r="CC73" s="2" t="n"/>
      <c r="CD73" s="2" t="n"/>
      <c r="CE73" s="2" t="n"/>
      <c r="CF73" s="2" t="n"/>
      <c r="CG73" s="2" t="n"/>
      <c r="CH73" s="2" t="n"/>
      <c r="CI73" s="2" t="n"/>
      <c r="CJ73" s="2" t="n"/>
      <c r="CK73" s="2" t="n"/>
      <c r="CL73" s="2" t="n"/>
      <c r="CM73" s="2" t="n"/>
      <c r="CN73" s="2" t="n"/>
      <c r="CO73" s="2" t="n"/>
      <c r="CP73" s="2" t="n"/>
      <c r="CQ73" s="2" t="n"/>
      <c r="CR73" s="2" t="n"/>
      <c r="CS73" s="2" t="n"/>
      <c r="CT73" s="2" t="n"/>
      <c r="CU73" s="2" t="n"/>
      <c r="CV73" s="2" t="n"/>
      <c r="CW73" s="2" t="n"/>
      <c r="CX73" s="2" t="n"/>
      <c r="CY73" s="2" t="n"/>
      <c r="CZ73" s="2" t="n"/>
      <c r="DA73" s="2" t="n"/>
      <c r="DB73" s="2" t="n"/>
      <c r="DC73" s="2" t="n"/>
      <c r="DD73" s="2" t="n"/>
      <c r="DE73" s="2" t="n"/>
    </row>
    <row r="74">
      <c r="A74" s="2" t="inlineStr">
        <is>
          <t>issue_921</t>
        </is>
      </c>
      <c r="B74" s="6" t="inlineStr">
        <is>
          <t>Runtime error</t>
        </is>
      </c>
      <c r="C74" s="6" t="inlineStr">
        <is>
          <t>Runtime error</t>
        </is>
      </c>
      <c r="D74" s="6" t="inlineStr">
        <is>
          <t>Runtime error</t>
        </is>
      </c>
      <c r="E74" s="6" t="inlineStr">
        <is>
          <t>Runtime error</t>
        </is>
      </c>
      <c r="F74" s="3" t="inlineStr">
        <is>
          <t>NOT_TESTED</t>
        </is>
      </c>
      <c r="G74" s="3" t="inlineStr">
        <is>
          <t>NOT_TESTED</t>
        </is>
      </c>
      <c r="H74" s="3" t="inlineStr">
        <is>
          <t>NOT_TESTED</t>
        </is>
      </c>
      <c r="I74" s="3" t="inlineStr">
        <is>
          <t>NOT_TESTED</t>
        </is>
      </c>
      <c r="J74" s="3" t="inlineStr">
        <is>
          <t>NOT_TESTED</t>
        </is>
      </c>
      <c r="K74" s="3" t="inlineStr">
        <is>
          <t>NOT_TESTED</t>
        </is>
      </c>
      <c r="L74" s="3" t="inlineStr">
        <is>
          <t>NOT_TESTED</t>
        </is>
      </c>
      <c r="M74" s="3" t="inlineStr">
        <is>
          <t>NOT_TESTED</t>
        </is>
      </c>
      <c r="N74" s="3" t="inlineStr">
        <is>
          <t>NOT_TESTED</t>
        </is>
      </c>
      <c r="O74" s="3" t="inlineStr">
        <is>
          <t>NOT_TESTED</t>
        </is>
      </c>
      <c r="P74" s="3" t="inlineStr">
        <is>
          <t>NOT_TESTED</t>
        </is>
      </c>
      <c r="Q74" s="3" t="inlineStr">
        <is>
          <t>NOT_TESTED</t>
        </is>
      </c>
      <c r="R74" s="3" t="inlineStr">
        <is>
          <t>NOT_TESTED</t>
        </is>
      </c>
      <c r="S74" s="3" t="inlineStr">
        <is>
          <t>NOT_TESTED</t>
        </is>
      </c>
      <c r="T74" s="3" t="inlineStr">
        <is>
          <t>NOT_TESTED</t>
        </is>
      </c>
      <c r="U74" s="3" t="inlineStr">
        <is>
          <t>NOT_TESTED</t>
        </is>
      </c>
      <c r="V74" s="3" t="inlineStr">
        <is>
          <t>NOT_TESTED</t>
        </is>
      </c>
      <c r="W74" s="3" t="inlineStr">
        <is>
          <t>NOT_TESTED</t>
        </is>
      </c>
      <c r="X74" s="3" t="inlineStr">
        <is>
          <t>NOT_TESTED</t>
        </is>
      </c>
      <c r="Y74" s="3" t="inlineStr">
        <is>
          <t>NOT_TESTED</t>
        </is>
      </c>
      <c r="Z74" s="3" t="inlineStr">
        <is>
          <t>NOT_TESTED</t>
        </is>
      </c>
      <c r="AA74" s="3" t="inlineStr">
        <is>
          <t>NOT_TESTED</t>
        </is>
      </c>
      <c r="AB74" s="3" t="inlineStr">
        <is>
          <t>NOT_TESTED</t>
        </is>
      </c>
      <c r="AC74" s="2" t="inlineStr">
        <is>
          <t>ImportError</t>
        </is>
      </c>
      <c r="AD74" s="2" t="inlineStr">
        <is>
          <t>ImportError: cannot import name 'run_algorithm' from 'qiskit.aqua' (C:\qiskit_envs\q0250\lib\site-packages\qiskit\aqua\__init__.py)</t>
        </is>
      </c>
      <c r="AE74" s="2" t="inlineStr">
        <is>
          <t>The LLM said there is no bug and returned the code unchanged, but run_algorithm() can't be imported from qiskit.aqua (ImportError).</t>
        </is>
      </c>
      <c r="AF74" s="2" t="inlineStr">
        <is>
          <t>ImportError</t>
        </is>
      </c>
      <c r="AG74" s="2" t="inlineStr">
        <is>
          <t>ImportError: cannot import name 'run_algorithm' from 'qiskit.aqua' (C:\qiskit_envs\q0251\lib\site-packages\qiskit\aqua\__init__.py)</t>
        </is>
      </c>
      <c r="AH74" s="2" t="inlineStr">
        <is>
          <t>The LLM said there is no bug and returned the code unchanged, but run_algorithm() can't be imported from qiskit.aqua (ImportError).</t>
        </is>
      </c>
      <c r="AI74" s="2" t="inlineStr">
        <is>
          <t>ImportError</t>
        </is>
      </c>
      <c r="AJ74" s="2" t="inlineStr">
        <is>
          <t>ImportError: cannot import name 'run_algorithm' from 'qiskit.aqua' (C:\qiskit_envs\q0252\lib\site-packages\qiskit\aqua\__init__.py)</t>
        </is>
      </c>
      <c r="AK74" s="2" t="inlineStr">
        <is>
          <t>The LLM said there is no bug and returned the code unchanged, but run_algorithm() can't be imported from qiskit.aqua (ImportError).</t>
        </is>
      </c>
      <c r="AL74" s="2" t="inlineStr">
        <is>
          <t>ImportError</t>
        </is>
      </c>
      <c r="AM74" s="2" t="inlineStr">
        <is>
          <t>ImportError: cannot import name 'run_algorithm' from 'qiskit.aqua' (C:\qiskit_envs\q0253\lib\site-packages\qiskit\aqua\__init__.py)</t>
        </is>
      </c>
      <c r="AN74" s="2" t="inlineStr">
        <is>
          <t>The LLM said there is no bug and returned the code unchanged, but run_algorithm() can't be imported from qiskit.aqua (ImportError).</t>
        </is>
      </c>
      <c r="AO74" s="2" t="n"/>
      <c r="AP74" s="2" t="n"/>
      <c r="AQ74" s="2" t="n"/>
      <c r="AR74" s="2" t="n"/>
      <c r="AS74" s="2" t="n"/>
      <c r="AT74" s="2" t="n"/>
      <c r="AU74" s="2" t="n"/>
      <c r="AV74" s="2" t="n"/>
      <c r="AW74" s="2" t="n"/>
      <c r="AX74" s="2" t="n"/>
      <c r="AY74" s="2" t="n"/>
      <c r="AZ74" s="2" t="n"/>
      <c r="BA74" s="2" t="n"/>
      <c r="BB74" s="2" t="n"/>
      <c r="BC74" s="2" t="n"/>
      <c r="BD74" s="2" t="n"/>
      <c r="BE74" s="2" t="n"/>
      <c r="BF74" s="2" t="n"/>
      <c r="BG74" s="2" t="n"/>
      <c r="BH74" s="2" t="n"/>
      <c r="BI74" s="2" t="n"/>
      <c r="BJ74" s="2" t="n"/>
      <c r="BK74" s="2" t="n"/>
      <c r="BL74" s="2" t="n"/>
      <c r="BM74" s="2" t="n"/>
      <c r="BN74" s="2" t="n"/>
      <c r="BO74" s="2" t="n"/>
      <c r="BP74" s="2" t="n"/>
      <c r="BQ74" s="2" t="n"/>
      <c r="BR74" s="2" t="n"/>
      <c r="BS74" s="2" t="n"/>
      <c r="BT74" s="2" t="n"/>
      <c r="BU74" s="2" t="n"/>
      <c r="BV74" s="2" t="n"/>
      <c r="BW74" s="2" t="n"/>
      <c r="BX74" s="2" t="n"/>
      <c r="BY74" s="2" t="n"/>
      <c r="BZ74" s="2" t="n"/>
      <c r="CA74" s="2" t="n"/>
      <c r="CB74" s="2" t="n"/>
      <c r="CC74" s="2" t="n"/>
      <c r="CD74" s="2" t="n"/>
      <c r="CE74" s="2" t="n"/>
      <c r="CF74" s="2" t="n"/>
      <c r="CG74" s="2" t="n"/>
      <c r="CH74" s="2" t="n"/>
      <c r="CI74" s="2" t="n"/>
      <c r="CJ74" s="2" t="n"/>
      <c r="CK74" s="2" t="n"/>
      <c r="CL74" s="2" t="n"/>
      <c r="CM74" s="2" t="n"/>
      <c r="CN74" s="2" t="n"/>
      <c r="CO74" s="2" t="n"/>
      <c r="CP74" s="2" t="n"/>
      <c r="CQ74" s="2" t="n"/>
      <c r="CR74" s="2" t="n"/>
      <c r="CS74" s="2" t="n"/>
      <c r="CT74" s="2" t="n"/>
      <c r="CU74" s="2" t="n"/>
      <c r="CV74" s="2" t="n"/>
      <c r="CW74" s="2" t="n"/>
      <c r="CX74" s="2" t="n"/>
      <c r="CY74" s="2" t="n"/>
      <c r="CZ74" s="2" t="n"/>
      <c r="DA74" s="2" t="n"/>
      <c r="DB74" s="2" t="n"/>
      <c r="DC74" s="2" t="n"/>
      <c r="DD74" s="2" t="n"/>
      <c r="DE7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8"/>
  <sheetViews>
    <sheetView workbookViewId="0">
      <selection activeCell="A1" sqref="A1"/>
    </sheetView>
  </sheetViews>
  <sheetFormatPr baseColWidth="8" defaultRowHeight="15"/>
  <cols>
    <col width="16" customWidth="1" min="1" max="1"/>
    <col width="15" customWidth="1" min="2" max="2"/>
    <col width="34" customWidth="1" min="3" max="3"/>
    <col width="11" customWidth="1" min="4" max="4"/>
    <col width="26" customWidth="1" min="5" max="5"/>
    <col width="48" customWidth="1" min="6" max="6"/>
    <col width="60" customWidth="1" min="7" max="7"/>
    <col width="10" customWidth="1" min="8" max="8"/>
    <col width="14" customWidth="1" min="9" max="9"/>
    <col width="10" customWidth="1" min="10" max="10"/>
    <col width="12" customWidth="1" min="11" max="11"/>
  </cols>
  <sheetData>
    <row r="1">
      <c r="A1" s="7" t="inlineStr">
        <is>
          <t>LLM bug-repair results (gpt-6-luna), judged by each case's test (test_new.py / test-new.py for issue_021_se, issue_058_se and issue_061; test.py for the rest) Since 9 Oct 2026, the test.py of 12 over-specific cases holds an updated test that replaced the old one.</t>
        </is>
      </c>
    </row>
    <row r="2">
      <c r="A2" t="inlineStr">
        <is>
          <t>All numbers below are formulas over the Summary sheet, so they update if Summary changes. batch 1 = Summary rows 2-11, batch 2 = Summary rows 12-21, batch 3 = Summary rows 22-31, batch 4 = Summary rows 32-41, batch 5 = Summary rows 42-51, batch 6 = Summary rows 52-61, batch 7 = Summary rows 62-68, batch 8 = Summary rows 69-74. The 4 runs that hit the 120-second timeout are counted as Runtime error.</t>
        </is>
      </c>
    </row>
    <row r="3"/>
    <row r="4">
      <c r="A4" s="7" t="inlineStr">
        <is>
          <t>1. Case × version pairs</t>
        </is>
      </c>
    </row>
    <row r="5">
      <c r="A5" s="1" t="inlineStr">
        <is>
          <t>Result</t>
        </is>
      </c>
      <c r="B5" s="1" t="inlineStr">
        <is>
          <t>Count</t>
        </is>
      </c>
      <c r="C5" s="1" t="inlineStr">
        <is>
          <t>% of tested pairs</t>
        </is>
      </c>
      <c r="D5" s="1" t="inlineStr">
        <is>
          <t>Batch 1</t>
        </is>
      </c>
      <c r="E5" s="1" t="inlineStr">
        <is>
          <t>Batch 1 %</t>
        </is>
      </c>
      <c r="F5" s="1" t="inlineStr">
        <is>
          <t>Batch 2</t>
        </is>
      </c>
      <c r="G5" s="1" t="inlineStr">
        <is>
          <t>Batch 2 %</t>
        </is>
      </c>
      <c r="H5" s="1" t="inlineStr">
        <is>
          <t>Batch 3</t>
        </is>
      </c>
      <c r="I5" s="1" t="inlineStr">
        <is>
          <t>Batch 3 %</t>
        </is>
      </c>
      <c r="J5" s="1" t="inlineStr">
        <is>
          <t>Batch 4</t>
        </is>
      </c>
      <c r="K5" s="1" t="inlineStr">
        <is>
          <t>Batch 4 %</t>
        </is>
      </c>
      <c r="L5" s="1" t="inlineStr">
        <is>
          <t>Batch 5</t>
        </is>
      </c>
      <c r="M5" s="1" t="inlineStr">
        <is>
          <t>Batch 5 %</t>
        </is>
      </c>
      <c r="N5" s="1" t="inlineStr">
        <is>
          <t>Batch 6</t>
        </is>
      </c>
      <c r="O5" s="1" t="inlineStr">
        <is>
          <t>Batch 6 %</t>
        </is>
      </c>
      <c r="P5" s="1" t="inlineStr">
        <is>
          <t>Batch 7</t>
        </is>
      </c>
      <c r="Q5" s="1" t="inlineStr">
        <is>
          <t>Batch 7 %</t>
        </is>
      </c>
      <c r="R5" s="1" t="inlineStr">
        <is>
          <t>Batch 8</t>
        </is>
      </c>
      <c r="S5" s="1" t="inlineStr">
        <is>
          <t>Batch 8 %</t>
        </is>
      </c>
    </row>
    <row r="6">
      <c r="A6" s="8" t="inlineStr">
        <is>
          <t>Passed on test</t>
        </is>
      </c>
      <c r="B6" s="2">
        <f>COUNTIF(Summary!$B$2:$AB$74,"Passed on test")</f>
        <v/>
      </c>
      <c r="C6" s="9">
        <f>IF($B$9=0,0,B6/$B$9)</f>
        <v/>
      </c>
      <c r="D6" s="2">
        <f>COUNTIF(Summary!$B$2:$AB$11,"Passed on test")</f>
        <v/>
      </c>
      <c r="E6" s="9">
        <f>IF(D$9=0,0,D6/D$9)</f>
        <v/>
      </c>
      <c r="F6" s="2">
        <f>COUNTIF(Summary!$B$12:$AB$21,"Passed on test")</f>
        <v/>
      </c>
      <c r="G6" s="9">
        <f>IF(F$9=0,0,F6/F$9)</f>
        <v/>
      </c>
      <c r="H6" s="2">
        <f>COUNTIF(Summary!$B$22:$AB$31,"Passed on test")</f>
        <v/>
      </c>
      <c r="I6" s="9">
        <f>IF(H$9=0,0,H6/H$9)</f>
        <v/>
      </c>
      <c r="J6" s="2">
        <f>COUNTIF(Summary!$B$32:$AB$41,"Passed on test")</f>
        <v/>
      </c>
      <c r="K6" s="9">
        <f>IF(J$9=0,0,J6/J$9)</f>
        <v/>
      </c>
      <c r="L6" s="2">
        <f>COUNTIF(Summary!$B$42:$AB$51,"Passed on test")</f>
        <v/>
      </c>
      <c r="M6" s="9">
        <f>IF(L$9=0,0,L6/L$9)</f>
        <v/>
      </c>
      <c r="N6" s="2">
        <f>COUNTIF(Summary!$B$52:$AB$61,"Passed on test")</f>
        <v/>
      </c>
      <c r="O6" s="9">
        <f>IF(N$9=0,0,N6/N$9)</f>
        <v/>
      </c>
      <c r="P6" s="2">
        <f>COUNTIF(Summary!$B$62:$AB$68,"Passed on test")</f>
        <v/>
      </c>
      <c r="Q6" s="9">
        <f>IF(P$9=0,0,P6/P$9)</f>
        <v/>
      </c>
      <c r="R6" s="2">
        <f>COUNTIF(Summary!$B$69:$AB$74,"Passed on test")</f>
        <v/>
      </c>
      <c r="S6" s="9">
        <f>IF(R$9=0,0,R6/R$9)</f>
        <v/>
      </c>
    </row>
    <row r="7">
      <c r="A7" s="10" t="inlineStr">
        <is>
          <t>Failed on test</t>
        </is>
      </c>
      <c r="B7" s="2">
        <f>COUNTIF(Summary!$B$2:$AB$74,"Failed on test")</f>
        <v/>
      </c>
      <c r="C7" s="9">
        <f>IF($B$9=0,0,B7/$B$9)</f>
        <v/>
      </c>
      <c r="D7" s="2">
        <f>COUNTIF(Summary!$B$2:$AB$11,"Failed on test")</f>
        <v/>
      </c>
      <c r="E7" s="9">
        <f>IF(D$9=0,0,D7/D$9)</f>
        <v/>
      </c>
      <c r="F7" s="2">
        <f>COUNTIF(Summary!$B$12:$AB$21,"Failed on test")</f>
        <v/>
      </c>
      <c r="G7" s="9">
        <f>IF(F$9=0,0,F7/F$9)</f>
        <v/>
      </c>
      <c r="H7" s="2">
        <f>COUNTIF(Summary!$B$22:$AB$31,"Failed on test")</f>
        <v/>
      </c>
      <c r="I7" s="9">
        <f>IF(H$9=0,0,H7/H$9)</f>
        <v/>
      </c>
      <c r="J7" s="2">
        <f>COUNTIF(Summary!$B$32:$AB$41,"Failed on test")</f>
        <v/>
      </c>
      <c r="K7" s="9">
        <f>IF(J$9=0,0,J7/J$9)</f>
        <v/>
      </c>
      <c r="L7" s="2">
        <f>COUNTIF(Summary!$B$42:$AB$51,"Failed on test")</f>
        <v/>
      </c>
      <c r="M7" s="9">
        <f>IF(L$9=0,0,L7/L$9)</f>
        <v/>
      </c>
      <c r="N7" s="2">
        <f>COUNTIF(Summary!$B$52:$AB$61,"Failed on test")</f>
        <v/>
      </c>
      <c r="O7" s="9">
        <f>IF(N$9=0,0,N7/N$9)</f>
        <v/>
      </c>
      <c r="P7" s="2">
        <f>COUNTIF(Summary!$B$62:$AB$68,"Failed on test")</f>
        <v/>
      </c>
      <c r="Q7" s="9">
        <f>IF(P$9=0,0,P7/P$9)</f>
        <v/>
      </c>
      <c r="R7" s="2">
        <f>COUNTIF(Summary!$B$69:$AB$74,"Failed on test")</f>
        <v/>
      </c>
      <c r="S7" s="9">
        <f>IF(R$9=0,0,R7/R$9)</f>
        <v/>
      </c>
    </row>
    <row r="8">
      <c r="A8" s="11" t="inlineStr">
        <is>
          <t>Runtime error</t>
        </is>
      </c>
      <c r="B8" s="2">
        <f>COUNTIF(Summary!$B$2:$AB$74,"Runtime error")</f>
        <v/>
      </c>
      <c r="C8" s="9">
        <f>IF($B$9=0,0,B8/$B$9)</f>
        <v/>
      </c>
      <c r="D8" s="2">
        <f>COUNTIF(Summary!$B$2:$AB$11,"Runtime error")</f>
        <v/>
      </c>
      <c r="E8" s="9">
        <f>IF(D$9=0,0,D8/D$9)</f>
        <v/>
      </c>
      <c r="F8" s="2">
        <f>COUNTIF(Summary!$B$12:$AB$21,"Runtime error")</f>
        <v/>
      </c>
      <c r="G8" s="9">
        <f>IF(F$9=0,0,F8/F$9)</f>
        <v/>
      </c>
      <c r="H8" s="2">
        <f>COUNTIF(Summary!$B$22:$AB$31,"Runtime error")</f>
        <v/>
      </c>
      <c r="I8" s="9">
        <f>IF(H$9=0,0,H8/H$9)</f>
        <v/>
      </c>
      <c r="J8" s="2">
        <f>COUNTIF(Summary!$B$32:$AB$41,"Runtime error")</f>
        <v/>
      </c>
      <c r="K8" s="9">
        <f>IF(J$9=0,0,J8/J$9)</f>
        <v/>
      </c>
      <c r="L8" s="2">
        <f>COUNTIF(Summary!$B$42:$AB$51,"Runtime error")</f>
        <v/>
      </c>
      <c r="M8" s="9">
        <f>IF(L$9=0,0,L8/L$9)</f>
        <v/>
      </c>
      <c r="N8" s="2">
        <f>COUNTIF(Summary!$B$52:$AB$61,"Runtime error")</f>
        <v/>
      </c>
      <c r="O8" s="9">
        <f>IF(N$9=0,0,N8/N$9)</f>
        <v/>
      </c>
      <c r="P8" s="2">
        <f>COUNTIF(Summary!$B$62:$AB$68,"Runtime error")</f>
        <v/>
      </c>
      <c r="Q8" s="9">
        <f>IF(P$9=0,0,P8/P$9)</f>
        <v/>
      </c>
      <c r="R8" s="2">
        <f>COUNTIF(Summary!$B$69:$AB$74,"Runtime error")</f>
        <v/>
      </c>
      <c r="S8" s="9">
        <f>IF(R$9=0,0,R8/R$9)</f>
        <v/>
      </c>
    </row>
    <row r="9">
      <c r="A9" s="12" t="inlineStr">
        <is>
          <t>Total tested</t>
        </is>
      </c>
      <c r="B9" s="12">
        <f>SUM(B6:B8)</f>
        <v/>
      </c>
      <c r="C9" s="13">
        <f>SUM(C6:C8)</f>
        <v/>
      </c>
      <c r="D9" s="12">
        <f>SUM(D6:D8)</f>
        <v/>
      </c>
      <c r="E9" s="13">
        <f>SUM(E6:E8)</f>
        <v/>
      </c>
      <c r="F9" s="12">
        <f>SUM(F6:F8)</f>
        <v/>
      </c>
      <c r="G9" s="13">
        <f>SUM(G6:G8)</f>
        <v/>
      </c>
      <c r="H9" s="12">
        <f>SUM(H6:H8)</f>
        <v/>
      </c>
      <c r="I9" s="13">
        <f>SUM(I6:I8)</f>
        <v/>
      </c>
      <c r="J9" s="12">
        <f>SUM(J6:J8)</f>
        <v/>
      </c>
      <c r="K9" s="13">
        <f>SUM(K6:K8)</f>
        <v/>
      </c>
      <c r="L9" s="12">
        <f>SUM(L6:L8)</f>
        <v/>
      </c>
      <c r="M9" s="13">
        <f>SUM(M6:M8)</f>
        <v/>
      </c>
      <c r="N9" s="12">
        <f>SUM(N6:N8)</f>
        <v/>
      </c>
      <c r="O9" s="13">
        <f>SUM(O6:O8)</f>
        <v/>
      </c>
      <c r="P9" s="12">
        <f>SUM(P6:P8)</f>
        <v/>
      </c>
      <c r="Q9" s="13">
        <f>SUM(Q6:Q8)</f>
        <v/>
      </c>
      <c r="R9" s="12">
        <f>SUM(R6:R8)</f>
        <v/>
      </c>
      <c r="S9" s="13">
        <f>SUM(S6:S8)</f>
        <v/>
      </c>
    </row>
    <row r="10">
      <c r="A10" s="2" t="inlineStr">
        <is>
          <t>Not tested (version not listed for that case)</t>
        </is>
      </c>
      <c r="B10" s="2">
        <f>COUNTIF(Summary!$B$2:$AB$74,"NOT_TESTED")</f>
        <v/>
      </c>
      <c r="D10" s="2">
        <f>COUNTIF(Summary!$B$2:$AB$11,"NOT_TESTED")</f>
        <v/>
      </c>
      <c r="F10" s="2">
        <f>COUNTIF(Summary!$B$12:$AB$21,"NOT_TESTED")</f>
        <v/>
      </c>
      <c r="H10" s="2">
        <f>COUNTIF(Summary!$B$22:$AB$31,"NOT_TESTED")</f>
        <v/>
      </c>
      <c r="J10" s="2">
        <f>COUNTIF(Summary!$B$32:$AB$41,"NOT_TESTED")</f>
        <v/>
      </c>
      <c r="L10" s="2">
        <f>COUNTIF(Summary!$B$42:$AB$51,"NOT_TESTED")</f>
        <v/>
      </c>
      <c r="N10" s="2">
        <f>COUNTIF(Summary!$B$52:$AB$61,"NOT_TESTED")</f>
        <v/>
      </c>
      <c r="P10" s="2">
        <f>COUNTIF(Summary!$B$62:$AB$68,"NOT_TESTED")</f>
        <v/>
      </c>
      <c r="R10" s="2">
        <f>COUNTIF(Summary!$B$69:$AB$74,"NOT_TESTED")</f>
        <v/>
      </c>
    </row>
    <row r="11"/>
    <row r="12">
      <c r="A12" s="7" t="inlineStr">
        <is>
          <t>2. Per case</t>
        </is>
      </c>
    </row>
    <row r="13">
      <c r="A13" s="1" t="inlineStr">
        <is>
          <t>Case</t>
        </is>
      </c>
      <c r="B13" s="1" t="inlineStr">
        <is>
          <t>Versions tested</t>
        </is>
      </c>
      <c r="C13" s="1" t="inlineStr">
        <is>
          <t>Passed on test</t>
        </is>
      </c>
      <c r="D13" s="1" t="inlineStr">
        <is>
          <t>Failed on test</t>
        </is>
      </c>
      <c r="E13" s="1" t="inlineStr">
        <is>
          <t>Runtime error</t>
        </is>
      </c>
      <c r="F13" s="1" t="inlineStr">
        <is>
          <t>Passed on test %</t>
        </is>
      </c>
      <c r="G13" s="1" t="inlineStr">
        <is>
          <t>Failed on test %</t>
        </is>
      </c>
      <c r="H13" s="1" t="inlineStr">
        <is>
          <t>Runtime error %</t>
        </is>
      </c>
      <c r="I13" s="1" t="inlineStr">
        <is>
          <t>Case outcome</t>
        </is>
      </c>
      <c r="J13" s="1" t="inlineStr">
        <is>
          <t>Batch</t>
        </is>
      </c>
    </row>
    <row r="14">
      <c r="A14" s="2">
        <f>Summary!A2</f>
        <v/>
      </c>
      <c r="B14" s="2">
        <f>COUNTIF(Summary!$B$2:$AB$2,"Passed on test")+COUNTIF(Summary!$B$2:$AB$2,"Failed on test")+COUNTIF(Summary!$B$2:$AB$2,"Runtime error")</f>
        <v/>
      </c>
      <c r="C14" s="2">
        <f>COUNTIF(Summary!$B$2:$AB$2,"Passed on test")</f>
        <v/>
      </c>
      <c r="D14" s="2">
        <f>COUNTIF(Summary!$B$2:$AB$2,"Failed on test")</f>
        <v/>
      </c>
      <c r="E14" s="2">
        <f>COUNTIF(Summary!$B$2:$AB$2,"Runtime error")</f>
        <v/>
      </c>
      <c r="F14" s="9">
        <f>IF($B14=0,0,C14/$B14)</f>
        <v/>
      </c>
      <c r="G14" s="9">
        <f>IF($B14=0,0,D14/$B14)</f>
        <v/>
      </c>
      <c r="H14" s="9">
        <f>IF($B14=0,0,E14/$B14)</f>
        <v/>
      </c>
      <c r="I14" s="2">
        <f>IF(C14=B14,"Passed on test",IF(E14&gt;0,"Runtime error","Failed on test"))</f>
        <v/>
      </c>
      <c r="J14" s="2" t="n">
        <v>1</v>
      </c>
    </row>
    <row r="15">
      <c r="A15" s="2">
        <f>Summary!A3</f>
        <v/>
      </c>
      <c r="B15" s="2">
        <f>COUNTIF(Summary!$B$3:$AB$3,"Passed on test")+COUNTIF(Summary!$B$3:$AB$3,"Failed on test")+COUNTIF(Summary!$B$3:$AB$3,"Runtime error")</f>
        <v/>
      </c>
      <c r="C15" s="2">
        <f>COUNTIF(Summary!$B$3:$AB$3,"Passed on test")</f>
        <v/>
      </c>
      <c r="D15" s="2">
        <f>COUNTIF(Summary!$B$3:$AB$3,"Failed on test")</f>
        <v/>
      </c>
      <c r="E15" s="2">
        <f>COUNTIF(Summary!$B$3:$AB$3,"Runtime error")</f>
        <v/>
      </c>
      <c r="F15" s="9">
        <f>IF($B15=0,0,C15/$B15)</f>
        <v/>
      </c>
      <c r="G15" s="9">
        <f>IF($B15=0,0,D15/$B15)</f>
        <v/>
      </c>
      <c r="H15" s="9">
        <f>IF($B15=0,0,E15/$B15)</f>
        <v/>
      </c>
      <c r="I15" s="2">
        <f>IF(C15=B15,"Passed on test",IF(E15&gt;0,"Runtime error","Failed on test"))</f>
        <v/>
      </c>
      <c r="J15" s="2" t="n">
        <v>1</v>
      </c>
    </row>
    <row r="16">
      <c r="A16" s="2">
        <f>Summary!A4</f>
        <v/>
      </c>
      <c r="B16" s="2">
        <f>COUNTIF(Summary!$B$4:$AB$4,"Passed on test")+COUNTIF(Summary!$B$4:$AB$4,"Failed on test")+COUNTIF(Summary!$B$4:$AB$4,"Runtime error")</f>
        <v/>
      </c>
      <c r="C16" s="2">
        <f>COUNTIF(Summary!$B$4:$AB$4,"Passed on test")</f>
        <v/>
      </c>
      <c r="D16" s="2">
        <f>COUNTIF(Summary!$B$4:$AB$4,"Failed on test")</f>
        <v/>
      </c>
      <c r="E16" s="2">
        <f>COUNTIF(Summary!$B$4:$AB$4,"Runtime error")</f>
        <v/>
      </c>
      <c r="F16" s="9">
        <f>IF($B16=0,0,C16/$B16)</f>
        <v/>
      </c>
      <c r="G16" s="9">
        <f>IF($B16=0,0,D16/$B16)</f>
        <v/>
      </c>
      <c r="H16" s="9">
        <f>IF($B16=0,0,E16/$B16)</f>
        <v/>
      </c>
      <c r="I16" s="2">
        <f>IF(C16=B16,"Passed on test",IF(E16&gt;0,"Runtime error","Failed on test"))</f>
        <v/>
      </c>
      <c r="J16" s="2" t="n">
        <v>1</v>
      </c>
    </row>
    <row r="17">
      <c r="A17" s="2">
        <f>Summary!A5</f>
        <v/>
      </c>
      <c r="B17" s="2">
        <f>COUNTIF(Summary!$B$5:$AB$5,"Passed on test")+COUNTIF(Summary!$B$5:$AB$5,"Failed on test")+COUNTIF(Summary!$B$5:$AB$5,"Runtime error")</f>
        <v/>
      </c>
      <c r="C17" s="2">
        <f>COUNTIF(Summary!$B$5:$AB$5,"Passed on test")</f>
        <v/>
      </c>
      <c r="D17" s="2">
        <f>COUNTIF(Summary!$B$5:$AB$5,"Failed on test")</f>
        <v/>
      </c>
      <c r="E17" s="2">
        <f>COUNTIF(Summary!$B$5:$AB$5,"Runtime error")</f>
        <v/>
      </c>
      <c r="F17" s="9">
        <f>IF($B17=0,0,C17/$B17)</f>
        <v/>
      </c>
      <c r="G17" s="9">
        <f>IF($B17=0,0,D17/$B17)</f>
        <v/>
      </c>
      <c r="H17" s="9">
        <f>IF($B17=0,0,E17/$B17)</f>
        <v/>
      </c>
      <c r="I17" s="2">
        <f>IF(C17=B17,"Passed on test",IF(E17&gt;0,"Runtime error","Failed on test"))</f>
        <v/>
      </c>
      <c r="J17" s="2" t="n">
        <v>1</v>
      </c>
    </row>
    <row r="18">
      <c r="A18" s="2">
        <f>Summary!A6</f>
        <v/>
      </c>
      <c r="B18" s="2">
        <f>COUNTIF(Summary!$B$6:$AB$6,"Passed on test")+COUNTIF(Summary!$B$6:$AB$6,"Failed on test")+COUNTIF(Summary!$B$6:$AB$6,"Runtime error")</f>
        <v/>
      </c>
      <c r="C18" s="2">
        <f>COUNTIF(Summary!$B$6:$AB$6,"Passed on test")</f>
        <v/>
      </c>
      <c r="D18" s="2">
        <f>COUNTIF(Summary!$B$6:$AB$6,"Failed on test")</f>
        <v/>
      </c>
      <c r="E18" s="2">
        <f>COUNTIF(Summary!$B$6:$AB$6,"Runtime error")</f>
        <v/>
      </c>
      <c r="F18" s="9">
        <f>IF($B18=0,0,C18/$B18)</f>
        <v/>
      </c>
      <c r="G18" s="9">
        <f>IF($B18=0,0,D18/$B18)</f>
        <v/>
      </c>
      <c r="H18" s="9">
        <f>IF($B18=0,0,E18/$B18)</f>
        <v/>
      </c>
      <c r="I18" s="2">
        <f>IF(C18=B18,"Passed on test",IF(E18&gt;0,"Runtime error","Failed on test"))</f>
        <v/>
      </c>
      <c r="J18" s="2" t="n">
        <v>1</v>
      </c>
    </row>
    <row r="19">
      <c r="A19" s="2">
        <f>Summary!A7</f>
        <v/>
      </c>
      <c r="B19" s="2">
        <f>COUNTIF(Summary!$B$7:$AB$7,"Passed on test")+COUNTIF(Summary!$B$7:$AB$7,"Failed on test")+COUNTIF(Summary!$B$7:$AB$7,"Runtime error")</f>
        <v/>
      </c>
      <c r="C19" s="2">
        <f>COUNTIF(Summary!$B$7:$AB$7,"Passed on test")</f>
        <v/>
      </c>
      <c r="D19" s="2">
        <f>COUNTIF(Summary!$B$7:$AB$7,"Failed on test")</f>
        <v/>
      </c>
      <c r="E19" s="2">
        <f>COUNTIF(Summary!$B$7:$AB$7,"Runtime error")</f>
        <v/>
      </c>
      <c r="F19" s="9">
        <f>IF($B19=0,0,C19/$B19)</f>
        <v/>
      </c>
      <c r="G19" s="9">
        <f>IF($B19=0,0,D19/$B19)</f>
        <v/>
      </c>
      <c r="H19" s="9">
        <f>IF($B19=0,0,E19/$B19)</f>
        <v/>
      </c>
      <c r="I19" s="2">
        <f>IF(C19=B19,"Passed on test",IF(E19&gt;0,"Runtime error","Failed on test"))</f>
        <v/>
      </c>
      <c r="J19" s="2" t="n">
        <v>1</v>
      </c>
    </row>
    <row r="20">
      <c r="A20" s="2">
        <f>Summary!A8</f>
        <v/>
      </c>
      <c r="B20" s="2">
        <f>COUNTIF(Summary!$B$8:$AB$8,"Passed on test")+COUNTIF(Summary!$B$8:$AB$8,"Failed on test")+COUNTIF(Summary!$B$8:$AB$8,"Runtime error")</f>
        <v/>
      </c>
      <c r="C20" s="2">
        <f>COUNTIF(Summary!$B$8:$AB$8,"Passed on test")</f>
        <v/>
      </c>
      <c r="D20" s="2">
        <f>COUNTIF(Summary!$B$8:$AB$8,"Failed on test")</f>
        <v/>
      </c>
      <c r="E20" s="2">
        <f>COUNTIF(Summary!$B$8:$AB$8,"Runtime error")</f>
        <v/>
      </c>
      <c r="F20" s="9">
        <f>IF($B20=0,0,C20/$B20)</f>
        <v/>
      </c>
      <c r="G20" s="9">
        <f>IF($B20=0,0,D20/$B20)</f>
        <v/>
      </c>
      <c r="H20" s="9">
        <f>IF($B20=0,0,E20/$B20)</f>
        <v/>
      </c>
      <c r="I20" s="2">
        <f>IF(C20=B20,"Passed on test",IF(E20&gt;0,"Runtime error","Failed on test"))</f>
        <v/>
      </c>
      <c r="J20" s="2" t="n">
        <v>1</v>
      </c>
    </row>
    <row r="21">
      <c r="A21" s="2">
        <f>Summary!A9</f>
        <v/>
      </c>
      <c r="B21" s="2">
        <f>COUNTIF(Summary!$B$9:$AB$9,"Passed on test")+COUNTIF(Summary!$B$9:$AB$9,"Failed on test")+COUNTIF(Summary!$B$9:$AB$9,"Runtime error")</f>
        <v/>
      </c>
      <c r="C21" s="2">
        <f>COUNTIF(Summary!$B$9:$AB$9,"Passed on test")</f>
        <v/>
      </c>
      <c r="D21" s="2">
        <f>COUNTIF(Summary!$B$9:$AB$9,"Failed on test")</f>
        <v/>
      </c>
      <c r="E21" s="2">
        <f>COUNTIF(Summary!$B$9:$AB$9,"Runtime error")</f>
        <v/>
      </c>
      <c r="F21" s="9">
        <f>IF($B21=0,0,C21/$B21)</f>
        <v/>
      </c>
      <c r="G21" s="9">
        <f>IF($B21=0,0,D21/$B21)</f>
        <v/>
      </c>
      <c r="H21" s="9">
        <f>IF($B21=0,0,E21/$B21)</f>
        <v/>
      </c>
      <c r="I21" s="2">
        <f>IF(C21=B21,"Passed on test",IF(E21&gt;0,"Runtime error","Failed on test"))</f>
        <v/>
      </c>
      <c r="J21" s="2" t="n">
        <v>1</v>
      </c>
    </row>
    <row r="22">
      <c r="A22" s="2">
        <f>Summary!A10</f>
        <v/>
      </c>
      <c r="B22" s="2">
        <f>COUNTIF(Summary!$B$10:$AB$10,"Passed on test")+COUNTIF(Summary!$B$10:$AB$10,"Failed on test")+COUNTIF(Summary!$B$10:$AB$10,"Runtime error")</f>
        <v/>
      </c>
      <c r="C22" s="2">
        <f>COUNTIF(Summary!$B$10:$AB$10,"Passed on test")</f>
        <v/>
      </c>
      <c r="D22" s="2">
        <f>COUNTIF(Summary!$B$10:$AB$10,"Failed on test")</f>
        <v/>
      </c>
      <c r="E22" s="2">
        <f>COUNTIF(Summary!$B$10:$AB$10,"Runtime error")</f>
        <v/>
      </c>
      <c r="F22" s="9">
        <f>IF($B22=0,0,C22/$B22)</f>
        <v/>
      </c>
      <c r="G22" s="9">
        <f>IF($B22=0,0,D22/$B22)</f>
        <v/>
      </c>
      <c r="H22" s="9">
        <f>IF($B22=0,0,E22/$B22)</f>
        <v/>
      </c>
      <c r="I22" s="2">
        <f>IF(C22=B22,"Passed on test",IF(E22&gt;0,"Runtime error","Failed on test"))</f>
        <v/>
      </c>
      <c r="J22" s="2" t="n">
        <v>1</v>
      </c>
    </row>
    <row r="23">
      <c r="A23" s="2">
        <f>Summary!A11</f>
        <v/>
      </c>
      <c r="B23" s="2">
        <f>COUNTIF(Summary!$B$11:$AB$11,"Passed on test")+COUNTIF(Summary!$B$11:$AB$11,"Failed on test")+COUNTIF(Summary!$B$11:$AB$11,"Runtime error")</f>
        <v/>
      </c>
      <c r="C23" s="2">
        <f>COUNTIF(Summary!$B$11:$AB$11,"Passed on test")</f>
        <v/>
      </c>
      <c r="D23" s="2">
        <f>COUNTIF(Summary!$B$11:$AB$11,"Failed on test")</f>
        <v/>
      </c>
      <c r="E23" s="2">
        <f>COUNTIF(Summary!$B$11:$AB$11,"Runtime error")</f>
        <v/>
      </c>
      <c r="F23" s="9">
        <f>IF($B23=0,0,C23/$B23)</f>
        <v/>
      </c>
      <c r="G23" s="9">
        <f>IF($B23=0,0,D23/$B23)</f>
        <v/>
      </c>
      <c r="H23" s="9">
        <f>IF($B23=0,0,E23/$B23)</f>
        <v/>
      </c>
      <c r="I23" s="2">
        <f>IF(C23=B23,"Passed on test",IF(E23&gt;0,"Runtime error","Failed on test"))</f>
        <v/>
      </c>
      <c r="J23" s="2" t="n">
        <v>1</v>
      </c>
    </row>
    <row r="24">
      <c r="A24" s="2">
        <f>Summary!A12</f>
        <v/>
      </c>
      <c r="B24" s="2">
        <f>COUNTIF(Summary!$B$12:$AB$12,"Passed on test")+COUNTIF(Summary!$B$12:$AB$12,"Failed on test")+COUNTIF(Summary!$B$12:$AB$12,"Runtime error")</f>
        <v/>
      </c>
      <c r="C24" s="2">
        <f>COUNTIF(Summary!$B$12:$AB$12,"Passed on test")</f>
        <v/>
      </c>
      <c r="D24" s="2">
        <f>COUNTIF(Summary!$B$12:$AB$12,"Failed on test")</f>
        <v/>
      </c>
      <c r="E24" s="2">
        <f>COUNTIF(Summary!$B$12:$AB$12,"Runtime error")</f>
        <v/>
      </c>
      <c r="F24" s="9">
        <f>IF($B24=0,0,C24/$B24)</f>
        <v/>
      </c>
      <c r="G24" s="9">
        <f>IF($B24=0,0,D24/$B24)</f>
        <v/>
      </c>
      <c r="H24" s="9">
        <f>IF($B24=0,0,E24/$B24)</f>
        <v/>
      </c>
      <c r="I24" s="2">
        <f>IF(C24=B24,"Passed on test",IF(E24&gt;0,"Runtime error","Failed on test"))</f>
        <v/>
      </c>
      <c r="J24" s="2" t="n">
        <v>2</v>
      </c>
    </row>
    <row r="25">
      <c r="A25" s="2">
        <f>Summary!A13</f>
        <v/>
      </c>
      <c r="B25" s="2">
        <f>COUNTIF(Summary!$B$13:$AB$13,"Passed on test")+COUNTIF(Summary!$B$13:$AB$13,"Failed on test")+COUNTIF(Summary!$B$13:$AB$13,"Runtime error")</f>
        <v/>
      </c>
      <c r="C25" s="2">
        <f>COUNTIF(Summary!$B$13:$AB$13,"Passed on test")</f>
        <v/>
      </c>
      <c r="D25" s="2">
        <f>COUNTIF(Summary!$B$13:$AB$13,"Failed on test")</f>
        <v/>
      </c>
      <c r="E25" s="2">
        <f>COUNTIF(Summary!$B$13:$AB$13,"Runtime error")</f>
        <v/>
      </c>
      <c r="F25" s="9">
        <f>IF($B25=0,0,C25/$B25)</f>
        <v/>
      </c>
      <c r="G25" s="9">
        <f>IF($B25=0,0,D25/$B25)</f>
        <v/>
      </c>
      <c r="H25" s="9">
        <f>IF($B25=0,0,E25/$B25)</f>
        <v/>
      </c>
      <c r="I25" s="2">
        <f>IF(C25=B25,"Passed on test",IF(E25&gt;0,"Runtime error","Failed on test"))</f>
        <v/>
      </c>
      <c r="J25" s="2" t="n">
        <v>2</v>
      </c>
    </row>
    <row r="26">
      <c r="A26" s="2">
        <f>Summary!A14</f>
        <v/>
      </c>
      <c r="B26" s="2">
        <f>COUNTIF(Summary!$B$14:$AB$14,"Passed on test")+COUNTIF(Summary!$B$14:$AB$14,"Failed on test")+COUNTIF(Summary!$B$14:$AB$14,"Runtime error")</f>
        <v/>
      </c>
      <c r="C26" s="2">
        <f>COUNTIF(Summary!$B$14:$AB$14,"Passed on test")</f>
        <v/>
      </c>
      <c r="D26" s="2">
        <f>COUNTIF(Summary!$B$14:$AB$14,"Failed on test")</f>
        <v/>
      </c>
      <c r="E26" s="2">
        <f>COUNTIF(Summary!$B$14:$AB$14,"Runtime error")</f>
        <v/>
      </c>
      <c r="F26" s="9">
        <f>IF($B26=0,0,C26/$B26)</f>
        <v/>
      </c>
      <c r="G26" s="9">
        <f>IF($B26=0,0,D26/$B26)</f>
        <v/>
      </c>
      <c r="H26" s="9">
        <f>IF($B26=0,0,E26/$B26)</f>
        <v/>
      </c>
      <c r="I26" s="2">
        <f>IF(C26=B26,"Passed on test",IF(E26&gt;0,"Runtime error","Failed on test"))</f>
        <v/>
      </c>
      <c r="J26" s="2" t="n">
        <v>2</v>
      </c>
    </row>
    <row r="27">
      <c r="A27" s="2">
        <f>Summary!A15</f>
        <v/>
      </c>
      <c r="B27" s="2">
        <f>COUNTIF(Summary!$B$15:$AB$15,"Passed on test")+COUNTIF(Summary!$B$15:$AB$15,"Failed on test")+COUNTIF(Summary!$B$15:$AB$15,"Runtime error")</f>
        <v/>
      </c>
      <c r="C27" s="2">
        <f>COUNTIF(Summary!$B$15:$AB$15,"Passed on test")</f>
        <v/>
      </c>
      <c r="D27" s="2">
        <f>COUNTIF(Summary!$B$15:$AB$15,"Failed on test")</f>
        <v/>
      </c>
      <c r="E27" s="2">
        <f>COUNTIF(Summary!$B$15:$AB$15,"Runtime error")</f>
        <v/>
      </c>
      <c r="F27" s="9">
        <f>IF($B27=0,0,C27/$B27)</f>
        <v/>
      </c>
      <c r="G27" s="9">
        <f>IF($B27=0,0,D27/$B27)</f>
        <v/>
      </c>
      <c r="H27" s="9">
        <f>IF($B27=0,0,E27/$B27)</f>
        <v/>
      </c>
      <c r="I27" s="2">
        <f>IF(C27=B27,"Passed on test",IF(E27&gt;0,"Runtime error","Failed on test"))</f>
        <v/>
      </c>
      <c r="J27" s="2" t="n">
        <v>2</v>
      </c>
    </row>
    <row r="28">
      <c r="A28" s="2">
        <f>Summary!A16</f>
        <v/>
      </c>
      <c r="B28" s="2">
        <f>COUNTIF(Summary!$B$16:$AB$16,"Passed on test")+COUNTIF(Summary!$B$16:$AB$16,"Failed on test")+COUNTIF(Summary!$B$16:$AB$16,"Runtime error")</f>
        <v/>
      </c>
      <c r="C28" s="2">
        <f>COUNTIF(Summary!$B$16:$AB$16,"Passed on test")</f>
        <v/>
      </c>
      <c r="D28" s="2">
        <f>COUNTIF(Summary!$B$16:$AB$16,"Failed on test")</f>
        <v/>
      </c>
      <c r="E28" s="2">
        <f>COUNTIF(Summary!$B$16:$AB$16,"Runtime error")</f>
        <v/>
      </c>
      <c r="F28" s="9">
        <f>IF($B28=0,0,C28/$B28)</f>
        <v/>
      </c>
      <c r="G28" s="9">
        <f>IF($B28=0,0,D28/$B28)</f>
        <v/>
      </c>
      <c r="H28" s="9">
        <f>IF($B28=0,0,E28/$B28)</f>
        <v/>
      </c>
      <c r="I28" s="2">
        <f>IF(C28=B28,"Passed on test",IF(E28&gt;0,"Runtime error","Failed on test"))</f>
        <v/>
      </c>
      <c r="J28" s="2" t="n">
        <v>2</v>
      </c>
    </row>
    <row r="29">
      <c r="A29" s="2">
        <f>Summary!A17</f>
        <v/>
      </c>
      <c r="B29" s="2">
        <f>COUNTIF(Summary!$B$17:$AB$17,"Passed on test")+COUNTIF(Summary!$B$17:$AB$17,"Failed on test")+COUNTIF(Summary!$B$17:$AB$17,"Runtime error")</f>
        <v/>
      </c>
      <c r="C29" s="2">
        <f>COUNTIF(Summary!$B$17:$AB$17,"Passed on test")</f>
        <v/>
      </c>
      <c r="D29" s="2">
        <f>COUNTIF(Summary!$B$17:$AB$17,"Failed on test")</f>
        <v/>
      </c>
      <c r="E29" s="2">
        <f>COUNTIF(Summary!$B$17:$AB$17,"Runtime error")</f>
        <v/>
      </c>
      <c r="F29" s="9">
        <f>IF($B29=0,0,C29/$B29)</f>
        <v/>
      </c>
      <c r="G29" s="9">
        <f>IF($B29=0,0,D29/$B29)</f>
        <v/>
      </c>
      <c r="H29" s="9">
        <f>IF($B29=0,0,E29/$B29)</f>
        <v/>
      </c>
      <c r="I29" s="2">
        <f>IF(C29=B29,"Passed on test",IF(E29&gt;0,"Runtime error","Failed on test"))</f>
        <v/>
      </c>
      <c r="J29" s="2" t="n">
        <v>2</v>
      </c>
    </row>
    <row r="30">
      <c r="A30" s="2">
        <f>Summary!A18</f>
        <v/>
      </c>
      <c r="B30" s="2">
        <f>COUNTIF(Summary!$B$18:$AB$18,"Passed on test")+COUNTIF(Summary!$B$18:$AB$18,"Failed on test")+COUNTIF(Summary!$B$18:$AB$18,"Runtime error")</f>
        <v/>
      </c>
      <c r="C30" s="2">
        <f>COUNTIF(Summary!$B$18:$AB$18,"Passed on test")</f>
        <v/>
      </c>
      <c r="D30" s="2">
        <f>COUNTIF(Summary!$B$18:$AB$18,"Failed on test")</f>
        <v/>
      </c>
      <c r="E30" s="2">
        <f>COUNTIF(Summary!$B$18:$AB$18,"Runtime error")</f>
        <v/>
      </c>
      <c r="F30" s="9">
        <f>IF($B30=0,0,C30/$B30)</f>
        <v/>
      </c>
      <c r="G30" s="9">
        <f>IF($B30=0,0,D30/$B30)</f>
        <v/>
      </c>
      <c r="H30" s="9">
        <f>IF($B30=0,0,E30/$B30)</f>
        <v/>
      </c>
      <c r="I30" s="2">
        <f>IF(C30=B30,"Passed on test",IF(E30&gt;0,"Runtime error","Failed on test"))</f>
        <v/>
      </c>
      <c r="J30" s="2" t="n">
        <v>2</v>
      </c>
    </row>
    <row r="31">
      <c r="A31" s="2">
        <f>Summary!A19</f>
        <v/>
      </c>
      <c r="B31" s="2">
        <f>COUNTIF(Summary!$B$19:$AB$19,"Passed on test")+COUNTIF(Summary!$B$19:$AB$19,"Failed on test")+COUNTIF(Summary!$B$19:$AB$19,"Runtime error")</f>
        <v/>
      </c>
      <c r="C31" s="2">
        <f>COUNTIF(Summary!$B$19:$AB$19,"Passed on test")</f>
        <v/>
      </c>
      <c r="D31" s="2">
        <f>COUNTIF(Summary!$B$19:$AB$19,"Failed on test")</f>
        <v/>
      </c>
      <c r="E31" s="2">
        <f>COUNTIF(Summary!$B$19:$AB$19,"Runtime error")</f>
        <v/>
      </c>
      <c r="F31" s="9">
        <f>IF($B31=0,0,C31/$B31)</f>
        <v/>
      </c>
      <c r="G31" s="9">
        <f>IF($B31=0,0,D31/$B31)</f>
        <v/>
      </c>
      <c r="H31" s="9">
        <f>IF($B31=0,0,E31/$B31)</f>
        <v/>
      </c>
      <c r="I31" s="2">
        <f>IF(C31=B31,"Passed on test",IF(E31&gt;0,"Runtime error","Failed on test"))</f>
        <v/>
      </c>
      <c r="J31" s="2" t="n">
        <v>2</v>
      </c>
    </row>
    <row r="32">
      <c r="A32" s="2">
        <f>Summary!A20</f>
        <v/>
      </c>
      <c r="B32" s="2">
        <f>COUNTIF(Summary!$B$20:$AB$20,"Passed on test")+COUNTIF(Summary!$B$20:$AB$20,"Failed on test")+COUNTIF(Summary!$B$20:$AB$20,"Runtime error")</f>
        <v/>
      </c>
      <c r="C32" s="2">
        <f>COUNTIF(Summary!$B$20:$AB$20,"Passed on test")</f>
        <v/>
      </c>
      <c r="D32" s="2">
        <f>COUNTIF(Summary!$B$20:$AB$20,"Failed on test")</f>
        <v/>
      </c>
      <c r="E32" s="2">
        <f>COUNTIF(Summary!$B$20:$AB$20,"Runtime error")</f>
        <v/>
      </c>
      <c r="F32" s="9">
        <f>IF($B32=0,0,C32/$B32)</f>
        <v/>
      </c>
      <c r="G32" s="9">
        <f>IF($B32=0,0,D32/$B32)</f>
        <v/>
      </c>
      <c r="H32" s="9">
        <f>IF($B32=0,0,E32/$B32)</f>
        <v/>
      </c>
      <c r="I32" s="2">
        <f>IF(C32=B32,"Passed on test",IF(E32&gt;0,"Runtime error","Failed on test"))</f>
        <v/>
      </c>
      <c r="J32" s="2" t="n">
        <v>2</v>
      </c>
    </row>
    <row r="33">
      <c r="A33" s="2">
        <f>Summary!A21</f>
        <v/>
      </c>
      <c r="B33" s="2">
        <f>COUNTIF(Summary!$B$21:$AB$21,"Passed on test")+COUNTIF(Summary!$B$21:$AB$21,"Failed on test")+COUNTIF(Summary!$B$21:$AB$21,"Runtime error")</f>
        <v/>
      </c>
      <c r="C33" s="2">
        <f>COUNTIF(Summary!$B$21:$AB$21,"Passed on test")</f>
        <v/>
      </c>
      <c r="D33" s="2">
        <f>COUNTIF(Summary!$B$21:$AB$21,"Failed on test")</f>
        <v/>
      </c>
      <c r="E33" s="2">
        <f>COUNTIF(Summary!$B$21:$AB$21,"Runtime error")</f>
        <v/>
      </c>
      <c r="F33" s="9">
        <f>IF($B33=0,0,C33/$B33)</f>
        <v/>
      </c>
      <c r="G33" s="9">
        <f>IF($B33=0,0,D33/$B33)</f>
        <v/>
      </c>
      <c r="H33" s="9">
        <f>IF($B33=0,0,E33/$B33)</f>
        <v/>
      </c>
      <c r="I33" s="2">
        <f>IF(C33=B33,"Passed on test",IF(E33&gt;0,"Runtime error","Failed on test"))</f>
        <v/>
      </c>
      <c r="J33" s="2" t="n">
        <v>2</v>
      </c>
    </row>
    <row r="34">
      <c r="A34" s="2">
        <f>Summary!A22</f>
        <v/>
      </c>
      <c r="B34" s="2">
        <f>COUNTIF(Summary!$B$22:$AB$22,"Passed on test")+COUNTIF(Summary!$B$22:$AB$22,"Failed on test")+COUNTIF(Summary!$B$22:$AB$22,"Runtime error")</f>
        <v/>
      </c>
      <c r="C34" s="2">
        <f>COUNTIF(Summary!$B$22:$AB$22,"Passed on test")</f>
        <v/>
      </c>
      <c r="D34" s="2">
        <f>COUNTIF(Summary!$B$22:$AB$22,"Failed on test")</f>
        <v/>
      </c>
      <c r="E34" s="2">
        <f>COUNTIF(Summary!$B$22:$AB$22,"Runtime error")</f>
        <v/>
      </c>
      <c r="F34" s="9">
        <f>IF($B34=0,0,C34/$B34)</f>
        <v/>
      </c>
      <c r="G34" s="9">
        <f>IF($B34=0,0,D34/$B34)</f>
        <v/>
      </c>
      <c r="H34" s="9">
        <f>IF($B34=0,0,E34/$B34)</f>
        <v/>
      </c>
      <c r="I34" s="2">
        <f>IF(C34=B34,"Passed on test",IF(E34&gt;0,"Runtime error","Failed on test"))</f>
        <v/>
      </c>
      <c r="J34" s="2" t="n">
        <v>3</v>
      </c>
    </row>
    <row r="35">
      <c r="A35" s="2">
        <f>Summary!A23</f>
        <v/>
      </c>
      <c r="B35" s="2">
        <f>COUNTIF(Summary!$B$23:$AB$23,"Passed on test")+COUNTIF(Summary!$B$23:$AB$23,"Failed on test")+COUNTIF(Summary!$B$23:$AB$23,"Runtime error")</f>
        <v/>
      </c>
      <c r="C35" s="2">
        <f>COUNTIF(Summary!$B$23:$AB$23,"Passed on test")</f>
        <v/>
      </c>
      <c r="D35" s="2">
        <f>COUNTIF(Summary!$B$23:$AB$23,"Failed on test")</f>
        <v/>
      </c>
      <c r="E35" s="2">
        <f>COUNTIF(Summary!$B$23:$AB$23,"Runtime error")</f>
        <v/>
      </c>
      <c r="F35" s="9">
        <f>IF($B35=0,0,C35/$B35)</f>
        <v/>
      </c>
      <c r="G35" s="9">
        <f>IF($B35=0,0,D35/$B35)</f>
        <v/>
      </c>
      <c r="H35" s="9">
        <f>IF($B35=0,0,E35/$B35)</f>
        <v/>
      </c>
      <c r="I35" s="2">
        <f>IF(C35=B35,"Passed on test",IF(E35&gt;0,"Runtime error","Failed on test"))</f>
        <v/>
      </c>
      <c r="J35" s="2" t="n">
        <v>3</v>
      </c>
    </row>
    <row r="36">
      <c r="A36" s="2">
        <f>Summary!A24</f>
        <v/>
      </c>
      <c r="B36" s="2">
        <f>COUNTIF(Summary!$B$24:$AB$24,"Passed on test")+COUNTIF(Summary!$B$24:$AB$24,"Failed on test")+COUNTIF(Summary!$B$24:$AB$24,"Runtime error")</f>
        <v/>
      </c>
      <c r="C36" s="2">
        <f>COUNTIF(Summary!$B$24:$AB$24,"Passed on test")</f>
        <v/>
      </c>
      <c r="D36" s="2">
        <f>COUNTIF(Summary!$B$24:$AB$24,"Failed on test")</f>
        <v/>
      </c>
      <c r="E36" s="2">
        <f>COUNTIF(Summary!$B$24:$AB$24,"Runtime error")</f>
        <v/>
      </c>
      <c r="F36" s="9">
        <f>IF($B36=0,0,C36/$B36)</f>
        <v/>
      </c>
      <c r="G36" s="9">
        <f>IF($B36=0,0,D36/$B36)</f>
        <v/>
      </c>
      <c r="H36" s="9">
        <f>IF($B36=0,0,E36/$B36)</f>
        <v/>
      </c>
      <c r="I36" s="2">
        <f>IF(C36=B36,"Passed on test",IF(E36&gt;0,"Runtime error","Failed on test"))</f>
        <v/>
      </c>
      <c r="J36" s="2" t="n">
        <v>3</v>
      </c>
    </row>
    <row r="37">
      <c r="A37" s="2">
        <f>Summary!A25</f>
        <v/>
      </c>
      <c r="B37" s="2">
        <f>COUNTIF(Summary!$B$25:$AB$25,"Passed on test")+COUNTIF(Summary!$B$25:$AB$25,"Failed on test")+COUNTIF(Summary!$B$25:$AB$25,"Runtime error")</f>
        <v/>
      </c>
      <c r="C37" s="2">
        <f>COUNTIF(Summary!$B$25:$AB$25,"Passed on test")</f>
        <v/>
      </c>
      <c r="D37" s="2">
        <f>COUNTIF(Summary!$B$25:$AB$25,"Failed on test")</f>
        <v/>
      </c>
      <c r="E37" s="2">
        <f>COUNTIF(Summary!$B$25:$AB$25,"Runtime error")</f>
        <v/>
      </c>
      <c r="F37" s="9">
        <f>IF($B37=0,0,C37/$B37)</f>
        <v/>
      </c>
      <c r="G37" s="9">
        <f>IF($B37=0,0,D37/$B37)</f>
        <v/>
      </c>
      <c r="H37" s="9">
        <f>IF($B37=0,0,E37/$B37)</f>
        <v/>
      </c>
      <c r="I37" s="2">
        <f>IF(C37=B37,"Passed on test",IF(E37&gt;0,"Runtime error","Failed on test"))</f>
        <v/>
      </c>
      <c r="J37" s="2" t="n">
        <v>3</v>
      </c>
    </row>
    <row r="38">
      <c r="A38" s="2">
        <f>Summary!A26</f>
        <v/>
      </c>
      <c r="B38" s="2">
        <f>COUNTIF(Summary!$B$26:$AB$26,"Passed on test")+COUNTIF(Summary!$B$26:$AB$26,"Failed on test")+COUNTIF(Summary!$B$26:$AB$26,"Runtime error")</f>
        <v/>
      </c>
      <c r="C38" s="2">
        <f>COUNTIF(Summary!$B$26:$AB$26,"Passed on test")</f>
        <v/>
      </c>
      <c r="D38" s="2">
        <f>COUNTIF(Summary!$B$26:$AB$26,"Failed on test")</f>
        <v/>
      </c>
      <c r="E38" s="2">
        <f>COUNTIF(Summary!$B$26:$AB$26,"Runtime error")</f>
        <v/>
      </c>
      <c r="F38" s="9">
        <f>IF($B38=0,0,C38/$B38)</f>
        <v/>
      </c>
      <c r="G38" s="9">
        <f>IF($B38=0,0,D38/$B38)</f>
        <v/>
      </c>
      <c r="H38" s="9">
        <f>IF($B38=0,0,E38/$B38)</f>
        <v/>
      </c>
      <c r="I38" s="2">
        <f>IF(C38=B38,"Passed on test",IF(E38&gt;0,"Runtime error","Failed on test"))</f>
        <v/>
      </c>
      <c r="J38" s="2" t="n">
        <v>3</v>
      </c>
    </row>
    <row r="39">
      <c r="A39" s="2">
        <f>Summary!A27</f>
        <v/>
      </c>
      <c r="B39" s="2">
        <f>COUNTIF(Summary!$B$27:$AB$27,"Passed on test")+COUNTIF(Summary!$B$27:$AB$27,"Failed on test")+COUNTIF(Summary!$B$27:$AB$27,"Runtime error")</f>
        <v/>
      </c>
      <c r="C39" s="2">
        <f>COUNTIF(Summary!$B$27:$AB$27,"Passed on test")</f>
        <v/>
      </c>
      <c r="D39" s="2">
        <f>COUNTIF(Summary!$B$27:$AB$27,"Failed on test")</f>
        <v/>
      </c>
      <c r="E39" s="2">
        <f>COUNTIF(Summary!$B$27:$AB$27,"Runtime error")</f>
        <v/>
      </c>
      <c r="F39" s="9">
        <f>IF($B39=0,0,C39/$B39)</f>
        <v/>
      </c>
      <c r="G39" s="9">
        <f>IF($B39=0,0,D39/$B39)</f>
        <v/>
      </c>
      <c r="H39" s="9">
        <f>IF($B39=0,0,E39/$B39)</f>
        <v/>
      </c>
      <c r="I39" s="2">
        <f>IF(C39=B39,"Passed on test",IF(E39&gt;0,"Runtime error","Failed on test"))</f>
        <v/>
      </c>
      <c r="J39" s="2" t="n">
        <v>3</v>
      </c>
    </row>
    <row r="40">
      <c r="A40" s="2">
        <f>Summary!A28</f>
        <v/>
      </c>
      <c r="B40" s="2">
        <f>COUNTIF(Summary!$B$28:$AB$28,"Passed on test")+COUNTIF(Summary!$B$28:$AB$28,"Failed on test")+COUNTIF(Summary!$B$28:$AB$28,"Runtime error")</f>
        <v/>
      </c>
      <c r="C40" s="2">
        <f>COUNTIF(Summary!$B$28:$AB$28,"Passed on test")</f>
        <v/>
      </c>
      <c r="D40" s="2">
        <f>COUNTIF(Summary!$B$28:$AB$28,"Failed on test")</f>
        <v/>
      </c>
      <c r="E40" s="2">
        <f>COUNTIF(Summary!$B$28:$AB$28,"Runtime error")</f>
        <v/>
      </c>
      <c r="F40" s="9">
        <f>IF($B40=0,0,C40/$B40)</f>
        <v/>
      </c>
      <c r="G40" s="9">
        <f>IF($B40=0,0,D40/$B40)</f>
        <v/>
      </c>
      <c r="H40" s="9">
        <f>IF($B40=0,0,E40/$B40)</f>
        <v/>
      </c>
      <c r="I40" s="2">
        <f>IF(C40=B40,"Passed on test",IF(E40&gt;0,"Runtime error","Failed on test"))</f>
        <v/>
      </c>
      <c r="J40" s="2" t="n">
        <v>3</v>
      </c>
    </row>
    <row r="41">
      <c r="A41" s="2">
        <f>Summary!A29</f>
        <v/>
      </c>
      <c r="B41" s="2">
        <f>COUNTIF(Summary!$B$29:$AB$29,"Passed on test")+COUNTIF(Summary!$B$29:$AB$29,"Failed on test")+COUNTIF(Summary!$B$29:$AB$29,"Runtime error")</f>
        <v/>
      </c>
      <c r="C41" s="2">
        <f>COUNTIF(Summary!$B$29:$AB$29,"Passed on test")</f>
        <v/>
      </c>
      <c r="D41" s="2">
        <f>COUNTIF(Summary!$B$29:$AB$29,"Failed on test")</f>
        <v/>
      </c>
      <c r="E41" s="2">
        <f>COUNTIF(Summary!$B$29:$AB$29,"Runtime error")</f>
        <v/>
      </c>
      <c r="F41" s="9">
        <f>IF($B41=0,0,C41/$B41)</f>
        <v/>
      </c>
      <c r="G41" s="9">
        <f>IF($B41=0,0,D41/$B41)</f>
        <v/>
      </c>
      <c r="H41" s="9">
        <f>IF($B41=0,0,E41/$B41)</f>
        <v/>
      </c>
      <c r="I41" s="2">
        <f>IF(C41=B41,"Passed on test",IF(E41&gt;0,"Runtime error","Failed on test"))</f>
        <v/>
      </c>
      <c r="J41" s="2" t="n">
        <v>3</v>
      </c>
    </row>
    <row r="42">
      <c r="A42" s="2">
        <f>Summary!A30</f>
        <v/>
      </c>
      <c r="B42" s="2">
        <f>COUNTIF(Summary!$B$30:$AB$30,"Passed on test")+COUNTIF(Summary!$B$30:$AB$30,"Failed on test")+COUNTIF(Summary!$B$30:$AB$30,"Runtime error")</f>
        <v/>
      </c>
      <c r="C42" s="2">
        <f>COUNTIF(Summary!$B$30:$AB$30,"Passed on test")</f>
        <v/>
      </c>
      <c r="D42" s="2">
        <f>COUNTIF(Summary!$B$30:$AB$30,"Failed on test")</f>
        <v/>
      </c>
      <c r="E42" s="2">
        <f>COUNTIF(Summary!$B$30:$AB$30,"Runtime error")</f>
        <v/>
      </c>
      <c r="F42" s="9">
        <f>IF($B42=0,0,C42/$B42)</f>
        <v/>
      </c>
      <c r="G42" s="9">
        <f>IF($B42=0,0,D42/$B42)</f>
        <v/>
      </c>
      <c r="H42" s="9">
        <f>IF($B42=0,0,E42/$B42)</f>
        <v/>
      </c>
      <c r="I42" s="2">
        <f>IF(C42=B42,"Passed on test",IF(E42&gt;0,"Runtime error","Failed on test"))</f>
        <v/>
      </c>
      <c r="J42" s="2" t="n">
        <v>3</v>
      </c>
    </row>
    <row r="43">
      <c r="A43" s="2">
        <f>Summary!A31</f>
        <v/>
      </c>
      <c r="B43" s="2">
        <f>COUNTIF(Summary!$B$31:$AB$31,"Passed on test")+COUNTIF(Summary!$B$31:$AB$31,"Failed on test")+COUNTIF(Summary!$B$31:$AB$31,"Runtime error")</f>
        <v/>
      </c>
      <c r="C43" s="2">
        <f>COUNTIF(Summary!$B$31:$AB$31,"Passed on test")</f>
        <v/>
      </c>
      <c r="D43" s="2">
        <f>COUNTIF(Summary!$B$31:$AB$31,"Failed on test")</f>
        <v/>
      </c>
      <c r="E43" s="2">
        <f>COUNTIF(Summary!$B$31:$AB$31,"Runtime error")</f>
        <v/>
      </c>
      <c r="F43" s="9">
        <f>IF($B43=0,0,C43/$B43)</f>
        <v/>
      </c>
      <c r="G43" s="9">
        <f>IF($B43=0,0,D43/$B43)</f>
        <v/>
      </c>
      <c r="H43" s="9">
        <f>IF($B43=0,0,E43/$B43)</f>
        <v/>
      </c>
      <c r="I43" s="2">
        <f>IF(C43=B43,"Passed on test",IF(E43&gt;0,"Runtime error","Failed on test"))</f>
        <v/>
      </c>
      <c r="J43" s="2" t="n">
        <v>3</v>
      </c>
    </row>
    <row r="44">
      <c r="A44" s="2">
        <f>Summary!A32</f>
        <v/>
      </c>
      <c r="B44" s="2">
        <f>COUNTIF(Summary!$B$32:$AB$32,"Passed on test")+COUNTIF(Summary!$B$32:$AB$32,"Failed on test")+COUNTIF(Summary!$B$32:$AB$32,"Runtime error")</f>
        <v/>
      </c>
      <c r="C44" s="2">
        <f>COUNTIF(Summary!$B$32:$AB$32,"Passed on test")</f>
        <v/>
      </c>
      <c r="D44" s="2">
        <f>COUNTIF(Summary!$B$32:$AB$32,"Failed on test")</f>
        <v/>
      </c>
      <c r="E44" s="2">
        <f>COUNTIF(Summary!$B$32:$AB$32,"Runtime error")</f>
        <v/>
      </c>
      <c r="F44" s="9">
        <f>IF($B44=0,0,C44/$B44)</f>
        <v/>
      </c>
      <c r="G44" s="9">
        <f>IF($B44=0,0,D44/$B44)</f>
        <v/>
      </c>
      <c r="H44" s="9">
        <f>IF($B44=0,0,E44/$B44)</f>
        <v/>
      </c>
      <c r="I44" s="2">
        <f>IF(C44=B44,"Passed on test",IF(E44&gt;0,"Runtime error","Failed on test"))</f>
        <v/>
      </c>
      <c r="J44" s="2" t="n">
        <v>4</v>
      </c>
    </row>
    <row r="45">
      <c r="A45" s="2">
        <f>Summary!A33</f>
        <v/>
      </c>
      <c r="B45" s="2">
        <f>COUNTIF(Summary!$B$33:$AB$33,"Passed on test")+COUNTIF(Summary!$B$33:$AB$33,"Failed on test")+COUNTIF(Summary!$B$33:$AB$33,"Runtime error")</f>
        <v/>
      </c>
      <c r="C45" s="2">
        <f>COUNTIF(Summary!$B$33:$AB$33,"Passed on test")</f>
        <v/>
      </c>
      <c r="D45" s="2">
        <f>COUNTIF(Summary!$B$33:$AB$33,"Failed on test")</f>
        <v/>
      </c>
      <c r="E45" s="2">
        <f>COUNTIF(Summary!$B$33:$AB$33,"Runtime error")</f>
        <v/>
      </c>
      <c r="F45" s="9">
        <f>IF($B45=0,0,C45/$B45)</f>
        <v/>
      </c>
      <c r="G45" s="9">
        <f>IF($B45=0,0,D45/$B45)</f>
        <v/>
      </c>
      <c r="H45" s="9">
        <f>IF($B45=0,0,E45/$B45)</f>
        <v/>
      </c>
      <c r="I45" s="2">
        <f>IF(C45=B45,"Passed on test",IF(E45&gt;0,"Runtime error","Failed on test"))</f>
        <v/>
      </c>
      <c r="J45" s="2" t="n">
        <v>4</v>
      </c>
    </row>
    <row r="46">
      <c r="A46" s="2">
        <f>Summary!A34</f>
        <v/>
      </c>
      <c r="B46" s="2">
        <f>COUNTIF(Summary!$B$34:$AB$34,"Passed on test")+COUNTIF(Summary!$B$34:$AB$34,"Failed on test")+COUNTIF(Summary!$B$34:$AB$34,"Runtime error")</f>
        <v/>
      </c>
      <c r="C46" s="2">
        <f>COUNTIF(Summary!$B$34:$AB$34,"Passed on test")</f>
        <v/>
      </c>
      <c r="D46" s="2">
        <f>COUNTIF(Summary!$B$34:$AB$34,"Failed on test")</f>
        <v/>
      </c>
      <c r="E46" s="2">
        <f>COUNTIF(Summary!$B$34:$AB$34,"Runtime error")</f>
        <v/>
      </c>
      <c r="F46" s="9">
        <f>IF($B46=0,0,C46/$B46)</f>
        <v/>
      </c>
      <c r="G46" s="9">
        <f>IF($B46=0,0,D46/$B46)</f>
        <v/>
      </c>
      <c r="H46" s="9">
        <f>IF($B46=0,0,E46/$B46)</f>
        <v/>
      </c>
      <c r="I46" s="2">
        <f>IF(C46=B46,"Passed on test",IF(E46&gt;0,"Runtime error","Failed on test"))</f>
        <v/>
      </c>
      <c r="J46" s="2" t="n">
        <v>4</v>
      </c>
    </row>
    <row r="47">
      <c r="A47" s="2">
        <f>Summary!A35</f>
        <v/>
      </c>
      <c r="B47" s="2">
        <f>COUNTIF(Summary!$B$35:$AB$35,"Passed on test")+COUNTIF(Summary!$B$35:$AB$35,"Failed on test")+COUNTIF(Summary!$B$35:$AB$35,"Runtime error")</f>
        <v/>
      </c>
      <c r="C47" s="2">
        <f>COUNTIF(Summary!$B$35:$AB$35,"Passed on test")</f>
        <v/>
      </c>
      <c r="D47" s="2">
        <f>COUNTIF(Summary!$B$35:$AB$35,"Failed on test")</f>
        <v/>
      </c>
      <c r="E47" s="2">
        <f>COUNTIF(Summary!$B$35:$AB$35,"Runtime error")</f>
        <v/>
      </c>
      <c r="F47" s="9">
        <f>IF($B47=0,0,C47/$B47)</f>
        <v/>
      </c>
      <c r="G47" s="9">
        <f>IF($B47=0,0,D47/$B47)</f>
        <v/>
      </c>
      <c r="H47" s="9">
        <f>IF($B47=0,0,E47/$B47)</f>
        <v/>
      </c>
      <c r="I47" s="2">
        <f>IF(C47=B47,"Passed on test",IF(E47&gt;0,"Runtime error","Failed on test"))</f>
        <v/>
      </c>
      <c r="J47" s="2" t="n">
        <v>4</v>
      </c>
    </row>
    <row r="48">
      <c r="A48" s="2">
        <f>Summary!A36</f>
        <v/>
      </c>
      <c r="B48" s="2">
        <f>COUNTIF(Summary!$B$36:$AB$36,"Passed on test")+COUNTIF(Summary!$B$36:$AB$36,"Failed on test")+COUNTIF(Summary!$B$36:$AB$36,"Runtime error")</f>
        <v/>
      </c>
      <c r="C48" s="2">
        <f>COUNTIF(Summary!$B$36:$AB$36,"Passed on test")</f>
        <v/>
      </c>
      <c r="D48" s="2">
        <f>COUNTIF(Summary!$B$36:$AB$36,"Failed on test")</f>
        <v/>
      </c>
      <c r="E48" s="2">
        <f>COUNTIF(Summary!$B$36:$AB$36,"Runtime error")</f>
        <v/>
      </c>
      <c r="F48" s="9">
        <f>IF($B48=0,0,C48/$B48)</f>
        <v/>
      </c>
      <c r="G48" s="9">
        <f>IF($B48=0,0,D48/$B48)</f>
        <v/>
      </c>
      <c r="H48" s="9">
        <f>IF($B48=0,0,E48/$B48)</f>
        <v/>
      </c>
      <c r="I48" s="2">
        <f>IF(C48=B48,"Passed on test",IF(E48&gt;0,"Runtime error","Failed on test"))</f>
        <v/>
      </c>
      <c r="J48" s="2" t="n">
        <v>4</v>
      </c>
    </row>
    <row r="49">
      <c r="A49" s="2">
        <f>Summary!A37</f>
        <v/>
      </c>
      <c r="B49" s="2">
        <f>COUNTIF(Summary!$B$37:$AB$37,"Passed on test")+COUNTIF(Summary!$B$37:$AB$37,"Failed on test")+COUNTIF(Summary!$B$37:$AB$37,"Runtime error")</f>
        <v/>
      </c>
      <c r="C49" s="2">
        <f>COUNTIF(Summary!$B$37:$AB$37,"Passed on test")</f>
        <v/>
      </c>
      <c r="D49" s="2">
        <f>COUNTIF(Summary!$B$37:$AB$37,"Failed on test")</f>
        <v/>
      </c>
      <c r="E49" s="2">
        <f>COUNTIF(Summary!$B$37:$AB$37,"Runtime error")</f>
        <v/>
      </c>
      <c r="F49" s="9">
        <f>IF($B49=0,0,C49/$B49)</f>
        <v/>
      </c>
      <c r="G49" s="9">
        <f>IF($B49=0,0,D49/$B49)</f>
        <v/>
      </c>
      <c r="H49" s="9">
        <f>IF($B49=0,0,E49/$B49)</f>
        <v/>
      </c>
      <c r="I49" s="2">
        <f>IF(C49=B49,"Passed on test",IF(E49&gt;0,"Runtime error","Failed on test"))</f>
        <v/>
      </c>
      <c r="J49" s="2" t="n">
        <v>4</v>
      </c>
    </row>
    <row r="50">
      <c r="A50" s="2">
        <f>Summary!A38</f>
        <v/>
      </c>
      <c r="B50" s="2">
        <f>COUNTIF(Summary!$B$38:$AB$38,"Passed on test")+COUNTIF(Summary!$B$38:$AB$38,"Failed on test")+COUNTIF(Summary!$B$38:$AB$38,"Runtime error")</f>
        <v/>
      </c>
      <c r="C50" s="2">
        <f>COUNTIF(Summary!$B$38:$AB$38,"Passed on test")</f>
        <v/>
      </c>
      <c r="D50" s="2">
        <f>COUNTIF(Summary!$B$38:$AB$38,"Failed on test")</f>
        <v/>
      </c>
      <c r="E50" s="2">
        <f>COUNTIF(Summary!$B$38:$AB$38,"Runtime error")</f>
        <v/>
      </c>
      <c r="F50" s="9">
        <f>IF($B50=0,0,C50/$B50)</f>
        <v/>
      </c>
      <c r="G50" s="9">
        <f>IF($B50=0,0,D50/$B50)</f>
        <v/>
      </c>
      <c r="H50" s="9">
        <f>IF($B50=0,0,E50/$B50)</f>
        <v/>
      </c>
      <c r="I50" s="2">
        <f>IF(C50=B50,"Passed on test",IF(E50&gt;0,"Runtime error","Failed on test"))</f>
        <v/>
      </c>
      <c r="J50" s="2" t="n">
        <v>4</v>
      </c>
    </row>
    <row r="51">
      <c r="A51" s="2">
        <f>Summary!A39</f>
        <v/>
      </c>
      <c r="B51" s="2">
        <f>COUNTIF(Summary!$B$39:$AB$39,"Passed on test")+COUNTIF(Summary!$B$39:$AB$39,"Failed on test")+COUNTIF(Summary!$B$39:$AB$39,"Runtime error")</f>
        <v/>
      </c>
      <c r="C51" s="2">
        <f>COUNTIF(Summary!$B$39:$AB$39,"Passed on test")</f>
        <v/>
      </c>
      <c r="D51" s="2">
        <f>COUNTIF(Summary!$B$39:$AB$39,"Failed on test")</f>
        <v/>
      </c>
      <c r="E51" s="2">
        <f>COUNTIF(Summary!$B$39:$AB$39,"Runtime error")</f>
        <v/>
      </c>
      <c r="F51" s="9">
        <f>IF($B51=0,0,C51/$B51)</f>
        <v/>
      </c>
      <c r="G51" s="9">
        <f>IF($B51=0,0,D51/$B51)</f>
        <v/>
      </c>
      <c r="H51" s="9">
        <f>IF($B51=0,0,E51/$B51)</f>
        <v/>
      </c>
      <c r="I51" s="2">
        <f>IF(C51=B51,"Passed on test",IF(E51&gt;0,"Runtime error","Failed on test"))</f>
        <v/>
      </c>
      <c r="J51" s="2" t="n">
        <v>4</v>
      </c>
    </row>
    <row r="52">
      <c r="A52" s="2">
        <f>Summary!A40</f>
        <v/>
      </c>
      <c r="B52" s="2">
        <f>COUNTIF(Summary!$B$40:$AB$40,"Passed on test")+COUNTIF(Summary!$B$40:$AB$40,"Failed on test")+COUNTIF(Summary!$B$40:$AB$40,"Runtime error")</f>
        <v/>
      </c>
      <c r="C52" s="2">
        <f>COUNTIF(Summary!$B$40:$AB$40,"Passed on test")</f>
        <v/>
      </c>
      <c r="D52" s="2">
        <f>COUNTIF(Summary!$B$40:$AB$40,"Failed on test")</f>
        <v/>
      </c>
      <c r="E52" s="2">
        <f>COUNTIF(Summary!$B$40:$AB$40,"Runtime error")</f>
        <v/>
      </c>
      <c r="F52" s="9">
        <f>IF($B52=0,0,C52/$B52)</f>
        <v/>
      </c>
      <c r="G52" s="9">
        <f>IF($B52=0,0,D52/$B52)</f>
        <v/>
      </c>
      <c r="H52" s="9">
        <f>IF($B52=0,0,E52/$B52)</f>
        <v/>
      </c>
      <c r="I52" s="2">
        <f>IF(C52=B52,"Passed on test",IF(E52&gt;0,"Runtime error","Failed on test"))</f>
        <v/>
      </c>
      <c r="J52" s="2" t="n">
        <v>4</v>
      </c>
    </row>
    <row r="53">
      <c r="A53" s="2">
        <f>Summary!A41</f>
        <v/>
      </c>
      <c r="B53" s="2">
        <f>COUNTIF(Summary!$B$41:$AB$41,"Passed on test")+COUNTIF(Summary!$B$41:$AB$41,"Failed on test")+COUNTIF(Summary!$B$41:$AB$41,"Runtime error")</f>
        <v/>
      </c>
      <c r="C53" s="2">
        <f>COUNTIF(Summary!$B$41:$AB$41,"Passed on test")</f>
        <v/>
      </c>
      <c r="D53" s="2">
        <f>COUNTIF(Summary!$B$41:$AB$41,"Failed on test")</f>
        <v/>
      </c>
      <c r="E53" s="2">
        <f>COUNTIF(Summary!$B$41:$AB$41,"Runtime error")</f>
        <v/>
      </c>
      <c r="F53" s="9">
        <f>IF($B53=0,0,C53/$B53)</f>
        <v/>
      </c>
      <c r="G53" s="9">
        <f>IF($B53=0,0,D53/$B53)</f>
        <v/>
      </c>
      <c r="H53" s="9">
        <f>IF($B53=0,0,E53/$B53)</f>
        <v/>
      </c>
      <c r="I53" s="2">
        <f>IF(C53=B53,"Passed on test",IF(E53&gt;0,"Runtime error","Failed on test"))</f>
        <v/>
      </c>
      <c r="J53" s="2" t="n">
        <v>4</v>
      </c>
    </row>
    <row r="54">
      <c r="A54" s="2">
        <f>Summary!A42</f>
        <v/>
      </c>
      <c r="B54" s="2">
        <f>COUNTIF(Summary!$B$42:$AB$42,"Passed on test")+COUNTIF(Summary!$B$42:$AB$42,"Failed on test")+COUNTIF(Summary!$B$42:$AB$42,"Runtime error")</f>
        <v/>
      </c>
      <c r="C54" s="2">
        <f>COUNTIF(Summary!$B$42:$AB$42,"Passed on test")</f>
        <v/>
      </c>
      <c r="D54" s="2">
        <f>COUNTIF(Summary!$B$42:$AB$42,"Failed on test")</f>
        <v/>
      </c>
      <c r="E54" s="2">
        <f>COUNTIF(Summary!$B$42:$AB$42,"Runtime error")</f>
        <v/>
      </c>
      <c r="F54" s="9">
        <f>IF($B54=0,0,C54/$B54)</f>
        <v/>
      </c>
      <c r="G54" s="9">
        <f>IF($B54=0,0,D54/$B54)</f>
        <v/>
      </c>
      <c r="H54" s="9">
        <f>IF($B54=0,0,E54/$B54)</f>
        <v/>
      </c>
      <c r="I54" s="2">
        <f>IF(C54=B54,"Passed on test",IF(E54&gt;0,"Runtime error","Failed on test"))</f>
        <v/>
      </c>
      <c r="J54" s="2" t="n">
        <v>5</v>
      </c>
    </row>
    <row r="55">
      <c r="A55" s="2">
        <f>Summary!A43</f>
        <v/>
      </c>
      <c r="B55" s="2">
        <f>COUNTIF(Summary!$B$43:$AB$43,"Passed on test")+COUNTIF(Summary!$B$43:$AB$43,"Failed on test")+COUNTIF(Summary!$B$43:$AB$43,"Runtime error")</f>
        <v/>
      </c>
      <c r="C55" s="2">
        <f>COUNTIF(Summary!$B$43:$AB$43,"Passed on test")</f>
        <v/>
      </c>
      <c r="D55" s="2">
        <f>COUNTIF(Summary!$B$43:$AB$43,"Failed on test")</f>
        <v/>
      </c>
      <c r="E55" s="2">
        <f>COUNTIF(Summary!$B$43:$AB$43,"Runtime error")</f>
        <v/>
      </c>
      <c r="F55" s="9">
        <f>IF($B55=0,0,C55/$B55)</f>
        <v/>
      </c>
      <c r="G55" s="9">
        <f>IF($B55=0,0,D55/$B55)</f>
        <v/>
      </c>
      <c r="H55" s="9">
        <f>IF($B55=0,0,E55/$B55)</f>
        <v/>
      </c>
      <c r="I55" s="2">
        <f>IF(C55=B55,"Passed on test",IF(E55&gt;0,"Runtime error","Failed on test"))</f>
        <v/>
      </c>
      <c r="J55" s="2" t="n">
        <v>5</v>
      </c>
    </row>
    <row r="56">
      <c r="A56" s="2">
        <f>Summary!A44</f>
        <v/>
      </c>
      <c r="B56" s="2">
        <f>COUNTIF(Summary!$B$44:$AB$44,"Passed on test")+COUNTIF(Summary!$B$44:$AB$44,"Failed on test")+COUNTIF(Summary!$B$44:$AB$44,"Runtime error")</f>
        <v/>
      </c>
      <c r="C56" s="2">
        <f>COUNTIF(Summary!$B$44:$AB$44,"Passed on test")</f>
        <v/>
      </c>
      <c r="D56" s="2">
        <f>COUNTIF(Summary!$B$44:$AB$44,"Failed on test")</f>
        <v/>
      </c>
      <c r="E56" s="2">
        <f>COUNTIF(Summary!$B$44:$AB$44,"Runtime error")</f>
        <v/>
      </c>
      <c r="F56" s="9">
        <f>IF($B56=0,0,C56/$B56)</f>
        <v/>
      </c>
      <c r="G56" s="9">
        <f>IF($B56=0,0,D56/$B56)</f>
        <v/>
      </c>
      <c r="H56" s="9">
        <f>IF($B56=0,0,E56/$B56)</f>
        <v/>
      </c>
      <c r="I56" s="2">
        <f>IF(C56=B56,"Passed on test",IF(E56&gt;0,"Runtime error","Failed on test"))</f>
        <v/>
      </c>
      <c r="J56" s="2" t="n">
        <v>5</v>
      </c>
    </row>
    <row r="57">
      <c r="A57" s="2">
        <f>Summary!A45</f>
        <v/>
      </c>
      <c r="B57" s="2">
        <f>COUNTIF(Summary!$B$45:$AB$45,"Passed on test")+COUNTIF(Summary!$B$45:$AB$45,"Failed on test")+COUNTIF(Summary!$B$45:$AB$45,"Runtime error")</f>
        <v/>
      </c>
      <c r="C57" s="2">
        <f>COUNTIF(Summary!$B$45:$AB$45,"Passed on test")</f>
        <v/>
      </c>
      <c r="D57" s="2">
        <f>COUNTIF(Summary!$B$45:$AB$45,"Failed on test")</f>
        <v/>
      </c>
      <c r="E57" s="2">
        <f>COUNTIF(Summary!$B$45:$AB$45,"Runtime error")</f>
        <v/>
      </c>
      <c r="F57" s="9">
        <f>IF($B57=0,0,C57/$B57)</f>
        <v/>
      </c>
      <c r="G57" s="9">
        <f>IF($B57=0,0,D57/$B57)</f>
        <v/>
      </c>
      <c r="H57" s="9">
        <f>IF($B57=0,0,E57/$B57)</f>
        <v/>
      </c>
      <c r="I57" s="2">
        <f>IF(C57=B57,"Passed on test",IF(E57&gt;0,"Runtime error","Failed on test"))</f>
        <v/>
      </c>
      <c r="J57" s="2" t="n">
        <v>5</v>
      </c>
    </row>
    <row r="58">
      <c r="A58" s="2">
        <f>Summary!A46</f>
        <v/>
      </c>
      <c r="B58" s="2">
        <f>COUNTIF(Summary!$B$46:$AB$46,"Passed on test")+COUNTIF(Summary!$B$46:$AB$46,"Failed on test")+COUNTIF(Summary!$B$46:$AB$46,"Runtime error")</f>
        <v/>
      </c>
      <c r="C58" s="2">
        <f>COUNTIF(Summary!$B$46:$AB$46,"Passed on test")</f>
        <v/>
      </c>
      <c r="D58" s="2">
        <f>COUNTIF(Summary!$B$46:$AB$46,"Failed on test")</f>
        <v/>
      </c>
      <c r="E58" s="2">
        <f>COUNTIF(Summary!$B$46:$AB$46,"Runtime error")</f>
        <v/>
      </c>
      <c r="F58" s="9">
        <f>IF($B58=0,0,C58/$B58)</f>
        <v/>
      </c>
      <c r="G58" s="9">
        <f>IF($B58=0,0,D58/$B58)</f>
        <v/>
      </c>
      <c r="H58" s="9">
        <f>IF($B58=0,0,E58/$B58)</f>
        <v/>
      </c>
      <c r="I58" s="2">
        <f>IF(C58=B58,"Passed on test",IF(E58&gt;0,"Runtime error","Failed on test"))</f>
        <v/>
      </c>
      <c r="J58" s="2" t="n">
        <v>5</v>
      </c>
    </row>
    <row r="59">
      <c r="A59" s="2">
        <f>Summary!A47</f>
        <v/>
      </c>
      <c r="B59" s="2">
        <f>COUNTIF(Summary!$B$47:$AB$47,"Passed on test")+COUNTIF(Summary!$B$47:$AB$47,"Failed on test")+COUNTIF(Summary!$B$47:$AB$47,"Runtime error")</f>
        <v/>
      </c>
      <c r="C59" s="2">
        <f>COUNTIF(Summary!$B$47:$AB$47,"Passed on test")</f>
        <v/>
      </c>
      <c r="D59" s="2">
        <f>COUNTIF(Summary!$B$47:$AB$47,"Failed on test")</f>
        <v/>
      </c>
      <c r="E59" s="2">
        <f>COUNTIF(Summary!$B$47:$AB$47,"Runtime error")</f>
        <v/>
      </c>
      <c r="F59" s="9">
        <f>IF($B59=0,0,C59/$B59)</f>
        <v/>
      </c>
      <c r="G59" s="9">
        <f>IF($B59=0,0,D59/$B59)</f>
        <v/>
      </c>
      <c r="H59" s="9">
        <f>IF($B59=0,0,E59/$B59)</f>
        <v/>
      </c>
      <c r="I59" s="2">
        <f>IF(C59=B59,"Passed on test",IF(E59&gt;0,"Runtime error","Failed on test"))</f>
        <v/>
      </c>
      <c r="J59" s="2" t="n">
        <v>5</v>
      </c>
    </row>
    <row r="60">
      <c r="A60" s="2">
        <f>Summary!A48</f>
        <v/>
      </c>
      <c r="B60" s="2">
        <f>COUNTIF(Summary!$B$48:$AB$48,"Passed on test")+COUNTIF(Summary!$B$48:$AB$48,"Failed on test")+COUNTIF(Summary!$B$48:$AB$48,"Runtime error")</f>
        <v/>
      </c>
      <c r="C60" s="2">
        <f>COUNTIF(Summary!$B$48:$AB$48,"Passed on test")</f>
        <v/>
      </c>
      <c r="D60" s="2">
        <f>COUNTIF(Summary!$B$48:$AB$48,"Failed on test")</f>
        <v/>
      </c>
      <c r="E60" s="2">
        <f>COUNTIF(Summary!$B$48:$AB$48,"Runtime error")</f>
        <v/>
      </c>
      <c r="F60" s="9">
        <f>IF($B60=0,0,C60/$B60)</f>
        <v/>
      </c>
      <c r="G60" s="9">
        <f>IF($B60=0,0,D60/$B60)</f>
        <v/>
      </c>
      <c r="H60" s="9">
        <f>IF($B60=0,0,E60/$B60)</f>
        <v/>
      </c>
      <c r="I60" s="2">
        <f>IF(C60=B60,"Passed on test",IF(E60&gt;0,"Runtime error","Failed on test"))</f>
        <v/>
      </c>
      <c r="J60" s="2" t="n">
        <v>5</v>
      </c>
    </row>
    <row r="61">
      <c r="A61" s="2">
        <f>Summary!A49</f>
        <v/>
      </c>
      <c r="B61" s="2">
        <f>COUNTIF(Summary!$B$49:$AB$49,"Passed on test")+COUNTIF(Summary!$B$49:$AB$49,"Failed on test")+COUNTIF(Summary!$B$49:$AB$49,"Runtime error")</f>
        <v/>
      </c>
      <c r="C61" s="2">
        <f>COUNTIF(Summary!$B$49:$AB$49,"Passed on test")</f>
        <v/>
      </c>
      <c r="D61" s="2">
        <f>COUNTIF(Summary!$B$49:$AB$49,"Failed on test")</f>
        <v/>
      </c>
      <c r="E61" s="2">
        <f>COUNTIF(Summary!$B$49:$AB$49,"Runtime error")</f>
        <v/>
      </c>
      <c r="F61" s="9">
        <f>IF($B61=0,0,C61/$B61)</f>
        <v/>
      </c>
      <c r="G61" s="9">
        <f>IF($B61=0,0,D61/$B61)</f>
        <v/>
      </c>
      <c r="H61" s="9">
        <f>IF($B61=0,0,E61/$B61)</f>
        <v/>
      </c>
      <c r="I61" s="2">
        <f>IF(C61=B61,"Passed on test",IF(E61&gt;0,"Runtime error","Failed on test"))</f>
        <v/>
      </c>
      <c r="J61" s="2" t="n">
        <v>5</v>
      </c>
    </row>
    <row r="62">
      <c r="A62" s="2">
        <f>Summary!A50</f>
        <v/>
      </c>
      <c r="B62" s="2">
        <f>COUNTIF(Summary!$B$50:$AB$50,"Passed on test")+COUNTIF(Summary!$B$50:$AB$50,"Failed on test")+COUNTIF(Summary!$B$50:$AB$50,"Runtime error")</f>
        <v/>
      </c>
      <c r="C62" s="2">
        <f>COUNTIF(Summary!$B$50:$AB$50,"Passed on test")</f>
        <v/>
      </c>
      <c r="D62" s="2">
        <f>COUNTIF(Summary!$B$50:$AB$50,"Failed on test")</f>
        <v/>
      </c>
      <c r="E62" s="2">
        <f>COUNTIF(Summary!$B$50:$AB$50,"Runtime error")</f>
        <v/>
      </c>
      <c r="F62" s="9">
        <f>IF($B62=0,0,C62/$B62)</f>
        <v/>
      </c>
      <c r="G62" s="9">
        <f>IF($B62=0,0,D62/$B62)</f>
        <v/>
      </c>
      <c r="H62" s="9">
        <f>IF($B62=0,0,E62/$B62)</f>
        <v/>
      </c>
      <c r="I62" s="2">
        <f>IF(C62=B62,"Passed on test",IF(E62&gt;0,"Runtime error","Failed on test"))</f>
        <v/>
      </c>
      <c r="J62" s="2" t="n">
        <v>5</v>
      </c>
    </row>
    <row r="63">
      <c r="A63" s="2">
        <f>Summary!A51</f>
        <v/>
      </c>
      <c r="B63" s="2">
        <f>COUNTIF(Summary!$B$51:$AB$51,"Passed on test")+COUNTIF(Summary!$B$51:$AB$51,"Failed on test")+COUNTIF(Summary!$B$51:$AB$51,"Runtime error")</f>
        <v/>
      </c>
      <c r="C63" s="2">
        <f>COUNTIF(Summary!$B$51:$AB$51,"Passed on test")</f>
        <v/>
      </c>
      <c r="D63" s="2">
        <f>COUNTIF(Summary!$B$51:$AB$51,"Failed on test")</f>
        <v/>
      </c>
      <c r="E63" s="2">
        <f>COUNTIF(Summary!$B$51:$AB$51,"Runtime error")</f>
        <v/>
      </c>
      <c r="F63" s="9">
        <f>IF($B63=0,0,C63/$B63)</f>
        <v/>
      </c>
      <c r="G63" s="9">
        <f>IF($B63=0,0,D63/$B63)</f>
        <v/>
      </c>
      <c r="H63" s="9">
        <f>IF($B63=0,0,E63/$B63)</f>
        <v/>
      </c>
      <c r="I63" s="2">
        <f>IF(C63=B63,"Passed on test",IF(E63&gt;0,"Runtime error","Failed on test"))</f>
        <v/>
      </c>
      <c r="J63" s="2" t="n">
        <v>5</v>
      </c>
    </row>
    <row r="64">
      <c r="A64" s="2">
        <f>Summary!A52</f>
        <v/>
      </c>
      <c r="B64" s="2">
        <f>COUNTIF(Summary!$B$52:$AB$52,"Passed on test")+COUNTIF(Summary!$B$52:$AB$52,"Failed on test")+COUNTIF(Summary!$B$52:$AB$52,"Runtime error")</f>
        <v/>
      </c>
      <c r="C64" s="2">
        <f>COUNTIF(Summary!$B$52:$AB$52,"Passed on test")</f>
        <v/>
      </c>
      <c r="D64" s="2">
        <f>COUNTIF(Summary!$B$52:$AB$52,"Failed on test")</f>
        <v/>
      </c>
      <c r="E64" s="2">
        <f>COUNTIF(Summary!$B$52:$AB$52,"Runtime error")</f>
        <v/>
      </c>
      <c r="F64" s="9">
        <f>IF($B64=0,0,C64/$B64)</f>
        <v/>
      </c>
      <c r="G64" s="9">
        <f>IF($B64=0,0,D64/$B64)</f>
        <v/>
      </c>
      <c r="H64" s="9">
        <f>IF($B64=0,0,E64/$B64)</f>
        <v/>
      </c>
      <c r="I64" s="2">
        <f>IF(C64=B64,"Passed on test",IF(E64&gt;0,"Runtime error","Failed on test"))</f>
        <v/>
      </c>
      <c r="J64" s="2" t="n">
        <v>6</v>
      </c>
    </row>
    <row r="65">
      <c r="A65" s="2">
        <f>Summary!A53</f>
        <v/>
      </c>
      <c r="B65" s="2">
        <f>COUNTIF(Summary!$B$53:$AB$53,"Passed on test")+COUNTIF(Summary!$B$53:$AB$53,"Failed on test")+COUNTIF(Summary!$B$53:$AB$53,"Runtime error")</f>
        <v/>
      </c>
      <c r="C65" s="2">
        <f>COUNTIF(Summary!$B$53:$AB$53,"Passed on test")</f>
        <v/>
      </c>
      <c r="D65" s="2">
        <f>COUNTIF(Summary!$B$53:$AB$53,"Failed on test")</f>
        <v/>
      </c>
      <c r="E65" s="2">
        <f>COUNTIF(Summary!$B$53:$AB$53,"Runtime error")</f>
        <v/>
      </c>
      <c r="F65" s="9">
        <f>IF($B65=0,0,C65/$B65)</f>
        <v/>
      </c>
      <c r="G65" s="9">
        <f>IF($B65=0,0,D65/$B65)</f>
        <v/>
      </c>
      <c r="H65" s="9">
        <f>IF($B65=0,0,E65/$B65)</f>
        <v/>
      </c>
      <c r="I65" s="2">
        <f>IF(C65=B65,"Passed on test",IF(E65&gt;0,"Runtime error","Failed on test"))</f>
        <v/>
      </c>
      <c r="J65" s="2" t="n">
        <v>6</v>
      </c>
    </row>
    <row r="66">
      <c r="A66" s="2">
        <f>Summary!A54</f>
        <v/>
      </c>
      <c r="B66" s="2">
        <f>COUNTIF(Summary!$B$54:$AB$54,"Passed on test")+COUNTIF(Summary!$B$54:$AB$54,"Failed on test")+COUNTIF(Summary!$B$54:$AB$54,"Runtime error")</f>
        <v/>
      </c>
      <c r="C66" s="2">
        <f>COUNTIF(Summary!$B$54:$AB$54,"Passed on test")</f>
        <v/>
      </c>
      <c r="D66" s="2">
        <f>COUNTIF(Summary!$B$54:$AB$54,"Failed on test")</f>
        <v/>
      </c>
      <c r="E66" s="2">
        <f>COUNTIF(Summary!$B$54:$AB$54,"Runtime error")</f>
        <v/>
      </c>
      <c r="F66" s="9">
        <f>IF($B66=0,0,C66/$B66)</f>
        <v/>
      </c>
      <c r="G66" s="9">
        <f>IF($B66=0,0,D66/$B66)</f>
        <v/>
      </c>
      <c r="H66" s="9">
        <f>IF($B66=0,0,E66/$B66)</f>
        <v/>
      </c>
      <c r="I66" s="2">
        <f>IF(C66=B66,"Passed on test",IF(E66&gt;0,"Runtime error","Failed on test"))</f>
        <v/>
      </c>
      <c r="J66" s="2" t="n">
        <v>6</v>
      </c>
    </row>
    <row r="67">
      <c r="A67" s="2">
        <f>Summary!A55</f>
        <v/>
      </c>
      <c r="B67" s="2">
        <f>COUNTIF(Summary!$B$55:$AB$55,"Passed on test")+COUNTIF(Summary!$B$55:$AB$55,"Failed on test")+COUNTIF(Summary!$B$55:$AB$55,"Runtime error")</f>
        <v/>
      </c>
      <c r="C67" s="2">
        <f>COUNTIF(Summary!$B$55:$AB$55,"Passed on test")</f>
        <v/>
      </c>
      <c r="D67" s="2">
        <f>COUNTIF(Summary!$B$55:$AB$55,"Failed on test")</f>
        <v/>
      </c>
      <c r="E67" s="2">
        <f>COUNTIF(Summary!$B$55:$AB$55,"Runtime error")</f>
        <v/>
      </c>
      <c r="F67" s="9">
        <f>IF($B67=0,0,C67/$B67)</f>
        <v/>
      </c>
      <c r="G67" s="9">
        <f>IF($B67=0,0,D67/$B67)</f>
        <v/>
      </c>
      <c r="H67" s="9">
        <f>IF($B67=0,0,E67/$B67)</f>
        <v/>
      </c>
      <c r="I67" s="2">
        <f>IF(C67=B67,"Passed on test",IF(E67&gt;0,"Runtime error","Failed on test"))</f>
        <v/>
      </c>
      <c r="J67" s="2" t="n">
        <v>6</v>
      </c>
    </row>
    <row r="68">
      <c r="A68" s="2">
        <f>Summary!A56</f>
        <v/>
      </c>
      <c r="B68" s="2">
        <f>COUNTIF(Summary!$B$56:$AB$56,"Passed on test")+COUNTIF(Summary!$B$56:$AB$56,"Failed on test")+COUNTIF(Summary!$B$56:$AB$56,"Runtime error")</f>
        <v/>
      </c>
      <c r="C68" s="2">
        <f>COUNTIF(Summary!$B$56:$AB$56,"Passed on test")</f>
        <v/>
      </c>
      <c r="D68" s="2">
        <f>COUNTIF(Summary!$B$56:$AB$56,"Failed on test")</f>
        <v/>
      </c>
      <c r="E68" s="2">
        <f>COUNTIF(Summary!$B$56:$AB$56,"Runtime error")</f>
        <v/>
      </c>
      <c r="F68" s="9">
        <f>IF($B68=0,0,C68/$B68)</f>
        <v/>
      </c>
      <c r="G68" s="9">
        <f>IF($B68=0,0,D68/$B68)</f>
        <v/>
      </c>
      <c r="H68" s="9">
        <f>IF($B68=0,0,E68/$B68)</f>
        <v/>
      </c>
      <c r="I68" s="2">
        <f>IF(C68=B68,"Passed on test",IF(E68&gt;0,"Runtime error","Failed on test"))</f>
        <v/>
      </c>
      <c r="J68" s="2" t="n">
        <v>6</v>
      </c>
    </row>
    <row r="69">
      <c r="A69" s="2">
        <f>Summary!A57</f>
        <v/>
      </c>
      <c r="B69" s="2">
        <f>COUNTIF(Summary!$B$57:$AB$57,"Passed on test")+COUNTIF(Summary!$B$57:$AB$57,"Failed on test")+COUNTIF(Summary!$B$57:$AB$57,"Runtime error")</f>
        <v/>
      </c>
      <c r="C69" s="2">
        <f>COUNTIF(Summary!$B$57:$AB$57,"Passed on test")</f>
        <v/>
      </c>
      <c r="D69" s="2">
        <f>COUNTIF(Summary!$B$57:$AB$57,"Failed on test")</f>
        <v/>
      </c>
      <c r="E69" s="2">
        <f>COUNTIF(Summary!$B$57:$AB$57,"Runtime error")</f>
        <v/>
      </c>
      <c r="F69" s="9">
        <f>IF($B69=0,0,C69/$B69)</f>
        <v/>
      </c>
      <c r="G69" s="9">
        <f>IF($B69=0,0,D69/$B69)</f>
        <v/>
      </c>
      <c r="H69" s="9">
        <f>IF($B69=0,0,E69/$B69)</f>
        <v/>
      </c>
      <c r="I69" s="2">
        <f>IF(C69=B69,"Passed on test",IF(E69&gt;0,"Runtime error","Failed on test"))</f>
        <v/>
      </c>
      <c r="J69" s="2" t="n">
        <v>6</v>
      </c>
    </row>
    <row r="70">
      <c r="A70" s="2">
        <f>Summary!A58</f>
        <v/>
      </c>
      <c r="B70" s="2">
        <f>COUNTIF(Summary!$B$58:$AB$58,"Passed on test")+COUNTIF(Summary!$B$58:$AB$58,"Failed on test")+COUNTIF(Summary!$B$58:$AB$58,"Runtime error")</f>
        <v/>
      </c>
      <c r="C70" s="2">
        <f>COUNTIF(Summary!$B$58:$AB$58,"Passed on test")</f>
        <v/>
      </c>
      <c r="D70" s="2">
        <f>COUNTIF(Summary!$B$58:$AB$58,"Failed on test")</f>
        <v/>
      </c>
      <c r="E70" s="2">
        <f>COUNTIF(Summary!$B$58:$AB$58,"Runtime error")</f>
        <v/>
      </c>
      <c r="F70" s="9">
        <f>IF($B70=0,0,C70/$B70)</f>
        <v/>
      </c>
      <c r="G70" s="9">
        <f>IF($B70=0,0,D70/$B70)</f>
        <v/>
      </c>
      <c r="H70" s="9">
        <f>IF($B70=0,0,E70/$B70)</f>
        <v/>
      </c>
      <c r="I70" s="2">
        <f>IF(C70=B70,"Passed on test",IF(E70&gt;0,"Runtime error","Failed on test"))</f>
        <v/>
      </c>
      <c r="J70" s="2" t="n">
        <v>6</v>
      </c>
    </row>
    <row r="71">
      <c r="A71" s="2">
        <f>Summary!A59</f>
        <v/>
      </c>
      <c r="B71" s="2">
        <f>COUNTIF(Summary!$B$59:$AB$59,"Passed on test")+COUNTIF(Summary!$B$59:$AB$59,"Failed on test")+COUNTIF(Summary!$B$59:$AB$59,"Runtime error")</f>
        <v/>
      </c>
      <c r="C71" s="2">
        <f>COUNTIF(Summary!$B$59:$AB$59,"Passed on test")</f>
        <v/>
      </c>
      <c r="D71" s="2">
        <f>COUNTIF(Summary!$B$59:$AB$59,"Failed on test")</f>
        <v/>
      </c>
      <c r="E71" s="2">
        <f>COUNTIF(Summary!$B$59:$AB$59,"Runtime error")</f>
        <v/>
      </c>
      <c r="F71" s="9">
        <f>IF($B71=0,0,C71/$B71)</f>
        <v/>
      </c>
      <c r="G71" s="9">
        <f>IF($B71=0,0,D71/$B71)</f>
        <v/>
      </c>
      <c r="H71" s="9">
        <f>IF($B71=0,0,E71/$B71)</f>
        <v/>
      </c>
      <c r="I71" s="2">
        <f>IF(C71=B71,"Passed on test",IF(E71&gt;0,"Runtime error","Failed on test"))</f>
        <v/>
      </c>
      <c r="J71" s="2" t="n">
        <v>6</v>
      </c>
    </row>
    <row r="72">
      <c r="A72" s="2">
        <f>Summary!A60</f>
        <v/>
      </c>
      <c r="B72" s="2">
        <f>COUNTIF(Summary!$B$60:$AB$60,"Passed on test")+COUNTIF(Summary!$B$60:$AB$60,"Failed on test")+COUNTIF(Summary!$B$60:$AB$60,"Runtime error")</f>
        <v/>
      </c>
      <c r="C72" s="2">
        <f>COUNTIF(Summary!$B$60:$AB$60,"Passed on test")</f>
        <v/>
      </c>
      <c r="D72" s="2">
        <f>COUNTIF(Summary!$B$60:$AB$60,"Failed on test")</f>
        <v/>
      </c>
      <c r="E72" s="2">
        <f>COUNTIF(Summary!$B$60:$AB$60,"Runtime error")</f>
        <v/>
      </c>
      <c r="F72" s="9">
        <f>IF($B72=0,0,C72/$B72)</f>
        <v/>
      </c>
      <c r="G72" s="9">
        <f>IF($B72=0,0,D72/$B72)</f>
        <v/>
      </c>
      <c r="H72" s="9">
        <f>IF($B72=0,0,E72/$B72)</f>
        <v/>
      </c>
      <c r="I72" s="2">
        <f>IF(C72=B72,"Passed on test",IF(E72&gt;0,"Runtime error","Failed on test"))</f>
        <v/>
      </c>
      <c r="J72" s="2" t="n">
        <v>6</v>
      </c>
    </row>
    <row r="73">
      <c r="A73" s="2">
        <f>Summary!A61</f>
        <v/>
      </c>
      <c r="B73" s="2">
        <f>COUNTIF(Summary!$B$61:$AB$61,"Passed on test")+COUNTIF(Summary!$B$61:$AB$61,"Failed on test")+COUNTIF(Summary!$B$61:$AB$61,"Runtime error")</f>
        <v/>
      </c>
      <c r="C73" s="2">
        <f>COUNTIF(Summary!$B$61:$AB$61,"Passed on test")</f>
        <v/>
      </c>
      <c r="D73" s="2">
        <f>COUNTIF(Summary!$B$61:$AB$61,"Failed on test")</f>
        <v/>
      </c>
      <c r="E73" s="2">
        <f>COUNTIF(Summary!$B$61:$AB$61,"Runtime error")</f>
        <v/>
      </c>
      <c r="F73" s="9">
        <f>IF($B73=0,0,C73/$B73)</f>
        <v/>
      </c>
      <c r="G73" s="9">
        <f>IF($B73=0,0,D73/$B73)</f>
        <v/>
      </c>
      <c r="H73" s="9">
        <f>IF($B73=0,0,E73/$B73)</f>
        <v/>
      </c>
      <c r="I73" s="2">
        <f>IF(C73=B73,"Passed on test",IF(E73&gt;0,"Runtime error","Failed on test"))</f>
        <v/>
      </c>
      <c r="J73" s="2" t="n">
        <v>6</v>
      </c>
    </row>
    <row r="74">
      <c r="A74" s="2">
        <f>Summary!A62</f>
        <v/>
      </c>
      <c r="B74" s="2">
        <f>COUNTIF(Summary!$B$62:$AB$62,"Passed on test")+COUNTIF(Summary!$B$62:$AB$62,"Failed on test")+COUNTIF(Summary!$B$62:$AB$62,"Runtime error")</f>
        <v/>
      </c>
      <c r="C74" s="2">
        <f>COUNTIF(Summary!$B$62:$AB$62,"Passed on test")</f>
        <v/>
      </c>
      <c r="D74" s="2">
        <f>COUNTIF(Summary!$B$62:$AB$62,"Failed on test")</f>
        <v/>
      </c>
      <c r="E74" s="2">
        <f>COUNTIF(Summary!$B$62:$AB$62,"Runtime error")</f>
        <v/>
      </c>
      <c r="F74" s="9">
        <f>IF($B74=0,0,C74/$B74)</f>
        <v/>
      </c>
      <c r="G74" s="9">
        <f>IF($B74=0,0,D74/$B74)</f>
        <v/>
      </c>
      <c r="H74" s="9">
        <f>IF($B74=0,0,E74/$B74)</f>
        <v/>
      </c>
      <c r="I74" s="2">
        <f>IF(C74=B74,"Passed on test",IF(E74&gt;0,"Runtime error","Failed on test"))</f>
        <v/>
      </c>
      <c r="J74" s="2" t="n">
        <v>7</v>
      </c>
    </row>
    <row r="75">
      <c r="A75" s="2">
        <f>Summary!A63</f>
        <v/>
      </c>
      <c r="B75" s="2">
        <f>COUNTIF(Summary!$B$63:$AB$63,"Passed on test")+COUNTIF(Summary!$B$63:$AB$63,"Failed on test")+COUNTIF(Summary!$B$63:$AB$63,"Runtime error")</f>
        <v/>
      </c>
      <c r="C75" s="2">
        <f>COUNTIF(Summary!$B$63:$AB$63,"Passed on test")</f>
        <v/>
      </c>
      <c r="D75" s="2">
        <f>COUNTIF(Summary!$B$63:$AB$63,"Failed on test")</f>
        <v/>
      </c>
      <c r="E75" s="2">
        <f>COUNTIF(Summary!$B$63:$AB$63,"Runtime error")</f>
        <v/>
      </c>
      <c r="F75" s="9">
        <f>IF($B75=0,0,C75/$B75)</f>
        <v/>
      </c>
      <c r="G75" s="9">
        <f>IF($B75=0,0,D75/$B75)</f>
        <v/>
      </c>
      <c r="H75" s="9">
        <f>IF($B75=0,0,E75/$B75)</f>
        <v/>
      </c>
      <c r="I75" s="2">
        <f>IF(C75=B75,"Passed on test",IF(E75&gt;0,"Runtime error","Failed on test"))</f>
        <v/>
      </c>
      <c r="J75" s="2" t="n">
        <v>7</v>
      </c>
    </row>
    <row r="76">
      <c r="A76" s="2">
        <f>Summary!A64</f>
        <v/>
      </c>
      <c r="B76" s="2">
        <f>COUNTIF(Summary!$B$64:$AB$64,"Passed on test")+COUNTIF(Summary!$B$64:$AB$64,"Failed on test")+COUNTIF(Summary!$B$64:$AB$64,"Runtime error")</f>
        <v/>
      </c>
      <c r="C76" s="2">
        <f>COUNTIF(Summary!$B$64:$AB$64,"Passed on test")</f>
        <v/>
      </c>
      <c r="D76" s="2">
        <f>COUNTIF(Summary!$B$64:$AB$64,"Failed on test")</f>
        <v/>
      </c>
      <c r="E76" s="2">
        <f>COUNTIF(Summary!$B$64:$AB$64,"Runtime error")</f>
        <v/>
      </c>
      <c r="F76" s="9">
        <f>IF($B76=0,0,C76/$B76)</f>
        <v/>
      </c>
      <c r="G76" s="9">
        <f>IF($B76=0,0,D76/$B76)</f>
        <v/>
      </c>
      <c r="H76" s="9">
        <f>IF($B76=0,0,E76/$B76)</f>
        <v/>
      </c>
      <c r="I76" s="2">
        <f>IF(C76=B76,"Passed on test",IF(E76&gt;0,"Runtime error","Failed on test"))</f>
        <v/>
      </c>
      <c r="J76" s="2" t="n">
        <v>7</v>
      </c>
    </row>
    <row r="77">
      <c r="A77" s="2">
        <f>Summary!A65</f>
        <v/>
      </c>
      <c r="B77" s="2">
        <f>COUNTIF(Summary!$B$65:$AB$65,"Passed on test")+COUNTIF(Summary!$B$65:$AB$65,"Failed on test")+COUNTIF(Summary!$B$65:$AB$65,"Runtime error")</f>
        <v/>
      </c>
      <c r="C77" s="2">
        <f>COUNTIF(Summary!$B$65:$AB$65,"Passed on test")</f>
        <v/>
      </c>
      <c r="D77" s="2">
        <f>COUNTIF(Summary!$B$65:$AB$65,"Failed on test")</f>
        <v/>
      </c>
      <c r="E77" s="2">
        <f>COUNTIF(Summary!$B$65:$AB$65,"Runtime error")</f>
        <v/>
      </c>
      <c r="F77" s="9">
        <f>IF($B77=0,0,C77/$B77)</f>
        <v/>
      </c>
      <c r="G77" s="9">
        <f>IF($B77=0,0,D77/$B77)</f>
        <v/>
      </c>
      <c r="H77" s="9">
        <f>IF($B77=0,0,E77/$B77)</f>
        <v/>
      </c>
      <c r="I77" s="2">
        <f>IF(C77=B77,"Passed on test",IF(E77&gt;0,"Runtime error","Failed on test"))</f>
        <v/>
      </c>
      <c r="J77" s="2" t="n">
        <v>7</v>
      </c>
    </row>
    <row r="78">
      <c r="A78" s="2">
        <f>Summary!A66</f>
        <v/>
      </c>
      <c r="B78" s="2">
        <f>COUNTIF(Summary!$B$66:$AB$66,"Passed on test")+COUNTIF(Summary!$B$66:$AB$66,"Failed on test")+COUNTIF(Summary!$B$66:$AB$66,"Runtime error")</f>
        <v/>
      </c>
      <c r="C78" s="2">
        <f>COUNTIF(Summary!$B$66:$AB$66,"Passed on test")</f>
        <v/>
      </c>
      <c r="D78" s="2">
        <f>COUNTIF(Summary!$B$66:$AB$66,"Failed on test")</f>
        <v/>
      </c>
      <c r="E78" s="2">
        <f>COUNTIF(Summary!$B$66:$AB$66,"Runtime error")</f>
        <v/>
      </c>
      <c r="F78" s="9">
        <f>IF($B78=0,0,C78/$B78)</f>
        <v/>
      </c>
      <c r="G78" s="9">
        <f>IF($B78=0,0,D78/$B78)</f>
        <v/>
      </c>
      <c r="H78" s="9">
        <f>IF($B78=0,0,E78/$B78)</f>
        <v/>
      </c>
      <c r="I78" s="2">
        <f>IF(C78=B78,"Passed on test",IF(E78&gt;0,"Runtime error","Failed on test"))</f>
        <v/>
      </c>
      <c r="J78" s="2" t="n">
        <v>7</v>
      </c>
    </row>
    <row r="79">
      <c r="A79" s="2">
        <f>Summary!A67</f>
        <v/>
      </c>
      <c r="B79" s="2">
        <f>COUNTIF(Summary!$B$67:$AB$67,"Passed on test")+COUNTIF(Summary!$B$67:$AB$67,"Failed on test")+COUNTIF(Summary!$B$67:$AB$67,"Runtime error")</f>
        <v/>
      </c>
      <c r="C79" s="2">
        <f>COUNTIF(Summary!$B$67:$AB$67,"Passed on test")</f>
        <v/>
      </c>
      <c r="D79" s="2">
        <f>COUNTIF(Summary!$B$67:$AB$67,"Failed on test")</f>
        <v/>
      </c>
      <c r="E79" s="2">
        <f>COUNTIF(Summary!$B$67:$AB$67,"Runtime error")</f>
        <v/>
      </c>
      <c r="F79" s="9">
        <f>IF($B79=0,0,C79/$B79)</f>
        <v/>
      </c>
      <c r="G79" s="9">
        <f>IF($B79=0,0,D79/$B79)</f>
        <v/>
      </c>
      <c r="H79" s="9">
        <f>IF($B79=0,0,E79/$B79)</f>
        <v/>
      </c>
      <c r="I79" s="2">
        <f>IF(C79=B79,"Passed on test",IF(E79&gt;0,"Runtime error","Failed on test"))</f>
        <v/>
      </c>
      <c r="J79" s="2" t="n">
        <v>7</v>
      </c>
    </row>
    <row r="80">
      <c r="A80" s="2">
        <f>Summary!A68</f>
        <v/>
      </c>
      <c r="B80" s="2">
        <f>COUNTIF(Summary!$B$68:$AB$68,"Passed on test")+COUNTIF(Summary!$B$68:$AB$68,"Failed on test")+COUNTIF(Summary!$B$68:$AB$68,"Runtime error")</f>
        <v/>
      </c>
      <c r="C80" s="2">
        <f>COUNTIF(Summary!$B$68:$AB$68,"Passed on test")</f>
        <v/>
      </c>
      <c r="D80" s="2">
        <f>COUNTIF(Summary!$B$68:$AB$68,"Failed on test")</f>
        <v/>
      </c>
      <c r="E80" s="2">
        <f>COUNTIF(Summary!$B$68:$AB$68,"Runtime error")</f>
        <v/>
      </c>
      <c r="F80" s="9">
        <f>IF($B80=0,0,C80/$B80)</f>
        <v/>
      </c>
      <c r="G80" s="9">
        <f>IF($B80=0,0,D80/$B80)</f>
        <v/>
      </c>
      <c r="H80" s="9">
        <f>IF($B80=0,0,E80/$B80)</f>
        <v/>
      </c>
      <c r="I80" s="2">
        <f>IF(C80=B80,"Passed on test",IF(E80&gt;0,"Runtime error","Failed on test"))</f>
        <v/>
      </c>
      <c r="J80" s="2" t="n">
        <v>7</v>
      </c>
    </row>
    <row r="81">
      <c r="A81" s="2">
        <f>Summary!A69</f>
        <v/>
      </c>
      <c r="B81" s="2">
        <f>COUNTIF(Summary!$B$69:$AB$69,"Passed on test")+COUNTIF(Summary!$B$69:$AB$69,"Failed on test")+COUNTIF(Summary!$B$69:$AB$69,"Runtime error")</f>
        <v/>
      </c>
      <c r="C81" s="2">
        <f>COUNTIF(Summary!$B$69:$AB$69,"Passed on test")</f>
        <v/>
      </c>
      <c r="D81" s="2">
        <f>COUNTIF(Summary!$B$69:$AB$69,"Failed on test")</f>
        <v/>
      </c>
      <c r="E81" s="2">
        <f>COUNTIF(Summary!$B$69:$AB$69,"Runtime error")</f>
        <v/>
      </c>
      <c r="F81" s="9">
        <f>IF($B81=0,0,C81/$B81)</f>
        <v/>
      </c>
      <c r="G81" s="9">
        <f>IF($B81=0,0,D81/$B81)</f>
        <v/>
      </c>
      <c r="H81" s="9">
        <f>IF($B81=0,0,E81/$B81)</f>
        <v/>
      </c>
      <c r="I81" s="2">
        <f>IF(C81=B81,"Passed on test",IF(E81&gt;0,"Runtime error","Failed on test"))</f>
        <v/>
      </c>
      <c r="J81" s="2" t="n">
        <v>8</v>
      </c>
    </row>
    <row r="82">
      <c r="A82" s="2">
        <f>Summary!A70</f>
        <v/>
      </c>
      <c r="B82" s="2">
        <f>COUNTIF(Summary!$B$70:$AB$70,"Passed on test")+COUNTIF(Summary!$B$70:$AB$70,"Failed on test")+COUNTIF(Summary!$B$70:$AB$70,"Runtime error")</f>
        <v/>
      </c>
      <c r="C82" s="2">
        <f>COUNTIF(Summary!$B$70:$AB$70,"Passed on test")</f>
        <v/>
      </c>
      <c r="D82" s="2">
        <f>COUNTIF(Summary!$B$70:$AB$70,"Failed on test")</f>
        <v/>
      </c>
      <c r="E82" s="2">
        <f>COUNTIF(Summary!$B$70:$AB$70,"Runtime error")</f>
        <v/>
      </c>
      <c r="F82" s="9">
        <f>IF($B82=0,0,C82/$B82)</f>
        <v/>
      </c>
      <c r="G82" s="9">
        <f>IF($B82=0,0,D82/$B82)</f>
        <v/>
      </c>
      <c r="H82" s="9">
        <f>IF($B82=0,0,E82/$B82)</f>
        <v/>
      </c>
      <c r="I82" s="2">
        <f>IF(C82=B82,"Passed on test",IF(E82&gt;0,"Runtime error","Failed on test"))</f>
        <v/>
      </c>
      <c r="J82" s="2" t="n">
        <v>8</v>
      </c>
    </row>
    <row r="83">
      <c r="A83" s="2">
        <f>Summary!A71</f>
        <v/>
      </c>
      <c r="B83" s="2">
        <f>COUNTIF(Summary!$B$71:$AB$71,"Passed on test")+COUNTIF(Summary!$B$71:$AB$71,"Failed on test")+COUNTIF(Summary!$B$71:$AB$71,"Runtime error")</f>
        <v/>
      </c>
      <c r="C83" s="2">
        <f>COUNTIF(Summary!$B$71:$AB$71,"Passed on test")</f>
        <v/>
      </c>
      <c r="D83" s="2">
        <f>COUNTIF(Summary!$B$71:$AB$71,"Failed on test")</f>
        <v/>
      </c>
      <c r="E83" s="2">
        <f>COUNTIF(Summary!$B$71:$AB$71,"Runtime error")</f>
        <v/>
      </c>
      <c r="F83" s="9">
        <f>IF($B83=0,0,C83/$B83)</f>
        <v/>
      </c>
      <c r="G83" s="9">
        <f>IF($B83=0,0,D83/$B83)</f>
        <v/>
      </c>
      <c r="H83" s="9">
        <f>IF($B83=0,0,E83/$B83)</f>
        <v/>
      </c>
      <c r="I83" s="2">
        <f>IF(C83=B83,"Passed on test",IF(E83&gt;0,"Runtime error","Failed on test"))</f>
        <v/>
      </c>
      <c r="J83" s="2" t="n">
        <v>8</v>
      </c>
    </row>
    <row r="84">
      <c r="A84" s="2">
        <f>Summary!A72</f>
        <v/>
      </c>
      <c r="B84" s="2">
        <f>COUNTIF(Summary!$B$72:$AB$72,"Passed on test")+COUNTIF(Summary!$B$72:$AB$72,"Failed on test")+COUNTIF(Summary!$B$72:$AB$72,"Runtime error")</f>
        <v/>
      </c>
      <c r="C84" s="2">
        <f>COUNTIF(Summary!$B$72:$AB$72,"Passed on test")</f>
        <v/>
      </c>
      <c r="D84" s="2">
        <f>COUNTIF(Summary!$B$72:$AB$72,"Failed on test")</f>
        <v/>
      </c>
      <c r="E84" s="2">
        <f>COUNTIF(Summary!$B$72:$AB$72,"Runtime error")</f>
        <v/>
      </c>
      <c r="F84" s="9">
        <f>IF($B84=0,0,C84/$B84)</f>
        <v/>
      </c>
      <c r="G84" s="9">
        <f>IF($B84=0,0,D84/$B84)</f>
        <v/>
      </c>
      <c r="H84" s="9">
        <f>IF($B84=0,0,E84/$B84)</f>
        <v/>
      </c>
      <c r="I84" s="2">
        <f>IF(C84=B84,"Passed on test",IF(E84&gt;0,"Runtime error","Failed on test"))</f>
        <v/>
      </c>
      <c r="J84" s="2" t="n">
        <v>8</v>
      </c>
    </row>
    <row r="85">
      <c r="A85" s="2">
        <f>Summary!A73</f>
        <v/>
      </c>
      <c r="B85" s="2">
        <f>COUNTIF(Summary!$B$73:$AB$73,"Passed on test")+COUNTIF(Summary!$B$73:$AB$73,"Failed on test")+COUNTIF(Summary!$B$73:$AB$73,"Runtime error")</f>
        <v/>
      </c>
      <c r="C85" s="2">
        <f>COUNTIF(Summary!$B$73:$AB$73,"Passed on test")</f>
        <v/>
      </c>
      <c r="D85" s="2">
        <f>COUNTIF(Summary!$B$73:$AB$73,"Failed on test")</f>
        <v/>
      </c>
      <c r="E85" s="2">
        <f>COUNTIF(Summary!$B$73:$AB$73,"Runtime error")</f>
        <v/>
      </c>
      <c r="F85" s="9">
        <f>IF($B85=0,0,C85/$B85)</f>
        <v/>
      </c>
      <c r="G85" s="9">
        <f>IF($B85=0,0,D85/$B85)</f>
        <v/>
      </c>
      <c r="H85" s="9">
        <f>IF($B85=0,0,E85/$B85)</f>
        <v/>
      </c>
      <c r="I85" s="2">
        <f>IF(C85=B85,"Passed on test",IF(E85&gt;0,"Runtime error","Failed on test"))</f>
        <v/>
      </c>
      <c r="J85" s="2" t="n">
        <v>8</v>
      </c>
    </row>
    <row r="86">
      <c r="A86" s="2">
        <f>Summary!A74</f>
        <v/>
      </c>
      <c r="B86" s="2">
        <f>COUNTIF(Summary!$B$74:$AB$74,"Passed on test")+COUNTIF(Summary!$B$74:$AB$74,"Failed on test")+COUNTIF(Summary!$B$74:$AB$74,"Runtime error")</f>
        <v/>
      </c>
      <c r="C86" s="2">
        <f>COUNTIF(Summary!$B$74:$AB$74,"Passed on test")</f>
        <v/>
      </c>
      <c r="D86" s="2">
        <f>COUNTIF(Summary!$B$74:$AB$74,"Failed on test")</f>
        <v/>
      </c>
      <c r="E86" s="2">
        <f>COUNTIF(Summary!$B$74:$AB$74,"Runtime error")</f>
        <v/>
      </c>
      <c r="F86" s="9">
        <f>IF($B86=0,0,C86/$B86)</f>
        <v/>
      </c>
      <c r="G86" s="9">
        <f>IF($B86=0,0,D86/$B86)</f>
        <v/>
      </c>
      <c r="H86" s="9">
        <f>IF($B86=0,0,E86/$B86)</f>
        <v/>
      </c>
      <c r="I86" s="2">
        <f>IF(C86=B86,"Passed on test",IF(E86&gt;0,"Runtime error","Failed on test"))</f>
        <v/>
      </c>
      <c r="J86" s="2" t="n">
        <v>8</v>
      </c>
    </row>
    <row r="87"/>
    <row r="88">
      <c r="A88" s="7" t="inlineStr">
        <is>
          <t>3. Cases by outcome</t>
        </is>
      </c>
    </row>
    <row r="89">
      <c r="A89" s="1" t="inlineStr">
        <is>
          <t>Outcome</t>
        </is>
      </c>
      <c r="B89" s="1" t="inlineStr">
        <is>
          <t>Cases</t>
        </is>
      </c>
      <c r="C89" s="1" t="inlineStr">
        <is>
          <t>% of cases</t>
        </is>
      </c>
      <c r="D89" s="1" t="inlineStr">
        <is>
          <t>Batch 1</t>
        </is>
      </c>
      <c r="E89" s="1" t="inlineStr">
        <is>
          <t>Batch 1 %</t>
        </is>
      </c>
      <c r="F89" s="1" t="inlineStr">
        <is>
          <t>Batch 2</t>
        </is>
      </c>
      <c r="G89" s="1" t="inlineStr">
        <is>
          <t>Batch 2 %</t>
        </is>
      </c>
      <c r="H89" s="1" t="inlineStr">
        <is>
          <t>Batch 3</t>
        </is>
      </c>
      <c r="I89" s="1" t="inlineStr">
        <is>
          <t>Batch 3 %</t>
        </is>
      </c>
      <c r="J89" s="1" t="inlineStr">
        <is>
          <t>Batch 4</t>
        </is>
      </c>
      <c r="K89" s="1" t="inlineStr">
        <is>
          <t>Batch 4 %</t>
        </is>
      </c>
      <c r="L89" s="1" t="inlineStr">
        <is>
          <t>Batch 5</t>
        </is>
      </c>
      <c r="M89" s="1" t="inlineStr">
        <is>
          <t>Batch 5 %</t>
        </is>
      </c>
      <c r="N89" s="1" t="inlineStr">
        <is>
          <t>Batch 6</t>
        </is>
      </c>
      <c r="O89" s="1" t="inlineStr">
        <is>
          <t>Batch 6 %</t>
        </is>
      </c>
      <c r="P89" s="1" t="inlineStr">
        <is>
          <t>Batch 7</t>
        </is>
      </c>
      <c r="Q89" s="1" t="inlineStr">
        <is>
          <t>Batch 7 %</t>
        </is>
      </c>
      <c r="R89" s="1" t="inlineStr">
        <is>
          <t>Batch 8</t>
        </is>
      </c>
      <c r="S89" s="1" t="inlineStr">
        <is>
          <t>Batch 8 %</t>
        </is>
      </c>
    </row>
    <row r="90">
      <c r="A90" s="8" t="inlineStr">
        <is>
          <t>Passed on test</t>
        </is>
      </c>
      <c r="B90" s="2">
        <f>COUNTIF($I$14:$I$86,"Passed on test")</f>
        <v/>
      </c>
      <c r="C90" s="9">
        <f>IF($B$93=0,0,B90/$B$93)</f>
        <v/>
      </c>
      <c r="D90" s="2">
        <f>COUNTIFS($I$14:$I$86,"Passed on test",$J$14:$J$86,1)</f>
        <v/>
      </c>
      <c r="E90" s="9">
        <f>IF(D$93=0,0,D90/D$93)</f>
        <v/>
      </c>
      <c r="F90" s="2">
        <f>COUNTIFS($I$14:$I$86,"Passed on test",$J$14:$J$86,2)</f>
        <v/>
      </c>
      <c r="G90" s="9">
        <f>IF(F$93=0,0,F90/F$93)</f>
        <v/>
      </c>
      <c r="H90" s="2">
        <f>COUNTIFS($I$14:$I$86,"Passed on test",$J$14:$J$86,3)</f>
        <v/>
      </c>
      <c r="I90" s="9">
        <f>IF(H$93=0,0,H90/H$93)</f>
        <v/>
      </c>
      <c r="J90" s="2">
        <f>COUNTIFS($I$14:$I$86,"Passed on test",$J$14:$J$86,4)</f>
        <v/>
      </c>
      <c r="K90" s="9">
        <f>IF(J$93=0,0,J90/J$93)</f>
        <v/>
      </c>
      <c r="L90" s="2">
        <f>COUNTIFS($I$14:$I$86,"Passed on test",$J$14:$J$86,5)</f>
        <v/>
      </c>
      <c r="M90" s="9">
        <f>IF(L$93=0,0,L90/L$93)</f>
        <v/>
      </c>
      <c r="N90" s="2">
        <f>COUNTIFS($I$14:$I$86,"Passed on test",$J$14:$J$86,6)</f>
        <v/>
      </c>
      <c r="O90" s="9">
        <f>IF(N$93=0,0,N90/N$93)</f>
        <v/>
      </c>
      <c r="P90" s="2">
        <f>COUNTIFS($I$14:$I$86,"Passed on test",$J$14:$J$86,7)</f>
        <v/>
      </c>
      <c r="Q90" s="9">
        <f>IF(P$93=0,0,P90/P$93)</f>
        <v/>
      </c>
      <c r="R90" s="2">
        <f>COUNTIFS($I$14:$I$86,"Passed on test",$J$14:$J$86,8)</f>
        <v/>
      </c>
      <c r="S90" s="9">
        <f>IF(R$93=0,0,R90/R$93)</f>
        <v/>
      </c>
    </row>
    <row r="91">
      <c r="A91" s="10" t="inlineStr">
        <is>
          <t>Failed on test</t>
        </is>
      </c>
      <c r="B91" s="2">
        <f>COUNTIF($I$14:$I$86,"Failed on test")</f>
        <v/>
      </c>
      <c r="C91" s="9">
        <f>IF($B$93=0,0,B91/$B$93)</f>
        <v/>
      </c>
      <c r="D91" s="2">
        <f>COUNTIFS($I$14:$I$86,"Failed on test",$J$14:$J$86,1)</f>
        <v/>
      </c>
      <c r="E91" s="9">
        <f>IF(D$93=0,0,D91/D$93)</f>
        <v/>
      </c>
      <c r="F91" s="2">
        <f>COUNTIFS($I$14:$I$86,"Failed on test",$J$14:$J$86,2)</f>
        <v/>
      </c>
      <c r="G91" s="9">
        <f>IF(F$93=0,0,F91/F$93)</f>
        <v/>
      </c>
      <c r="H91" s="2">
        <f>COUNTIFS($I$14:$I$86,"Failed on test",$J$14:$J$86,3)</f>
        <v/>
      </c>
      <c r="I91" s="9">
        <f>IF(H$93=0,0,H91/H$93)</f>
        <v/>
      </c>
      <c r="J91" s="2">
        <f>COUNTIFS($I$14:$I$86,"Failed on test",$J$14:$J$86,4)</f>
        <v/>
      </c>
      <c r="K91" s="9">
        <f>IF(J$93=0,0,J91/J$93)</f>
        <v/>
      </c>
      <c r="L91" s="2">
        <f>COUNTIFS($I$14:$I$86,"Failed on test",$J$14:$J$86,5)</f>
        <v/>
      </c>
      <c r="M91" s="9">
        <f>IF(L$93=0,0,L91/L$93)</f>
        <v/>
      </c>
      <c r="N91" s="2">
        <f>COUNTIFS($I$14:$I$86,"Failed on test",$J$14:$J$86,6)</f>
        <v/>
      </c>
      <c r="O91" s="9">
        <f>IF(N$93=0,0,N91/N$93)</f>
        <v/>
      </c>
      <c r="P91" s="2">
        <f>COUNTIFS($I$14:$I$86,"Failed on test",$J$14:$J$86,7)</f>
        <v/>
      </c>
      <c r="Q91" s="9">
        <f>IF(P$93=0,0,P91/P$93)</f>
        <v/>
      </c>
      <c r="R91" s="2">
        <f>COUNTIFS($I$14:$I$86,"Failed on test",$J$14:$J$86,8)</f>
        <v/>
      </c>
      <c r="S91" s="9">
        <f>IF(R$93=0,0,R91/R$93)</f>
        <v/>
      </c>
    </row>
    <row r="92">
      <c r="A92" s="11" t="inlineStr">
        <is>
          <t>Runtime error</t>
        </is>
      </c>
      <c r="B92" s="2">
        <f>COUNTIF($I$14:$I$86,"Runtime error")</f>
        <v/>
      </c>
      <c r="C92" s="9">
        <f>IF($B$93=0,0,B92/$B$93)</f>
        <v/>
      </c>
      <c r="D92" s="2">
        <f>COUNTIFS($I$14:$I$86,"Runtime error",$J$14:$J$86,1)</f>
        <v/>
      </c>
      <c r="E92" s="9">
        <f>IF(D$93=0,0,D92/D$93)</f>
        <v/>
      </c>
      <c r="F92" s="2">
        <f>COUNTIFS($I$14:$I$86,"Runtime error",$J$14:$J$86,2)</f>
        <v/>
      </c>
      <c r="G92" s="9">
        <f>IF(F$93=0,0,F92/F$93)</f>
        <v/>
      </c>
      <c r="H92" s="2">
        <f>COUNTIFS($I$14:$I$86,"Runtime error",$J$14:$J$86,3)</f>
        <v/>
      </c>
      <c r="I92" s="9">
        <f>IF(H$93=0,0,H92/H$93)</f>
        <v/>
      </c>
      <c r="J92" s="2">
        <f>COUNTIFS($I$14:$I$86,"Runtime error",$J$14:$J$86,4)</f>
        <v/>
      </c>
      <c r="K92" s="9">
        <f>IF(J$93=0,0,J92/J$93)</f>
        <v/>
      </c>
      <c r="L92" s="2">
        <f>COUNTIFS($I$14:$I$86,"Runtime error",$J$14:$J$86,5)</f>
        <v/>
      </c>
      <c r="M92" s="9">
        <f>IF(L$93=0,0,L92/L$93)</f>
        <v/>
      </c>
      <c r="N92" s="2">
        <f>COUNTIFS($I$14:$I$86,"Runtime error",$J$14:$J$86,6)</f>
        <v/>
      </c>
      <c r="O92" s="9">
        <f>IF(N$93=0,0,N92/N$93)</f>
        <v/>
      </c>
      <c r="P92" s="2">
        <f>COUNTIFS($I$14:$I$86,"Runtime error",$J$14:$J$86,7)</f>
        <v/>
      </c>
      <c r="Q92" s="9">
        <f>IF(P$93=0,0,P92/P$93)</f>
        <v/>
      </c>
      <c r="R92" s="2">
        <f>COUNTIFS($I$14:$I$86,"Runtime error",$J$14:$J$86,8)</f>
        <v/>
      </c>
      <c r="S92" s="9">
        <f>IF(R$93=0,0,R92/R$93)</f>
        <v/>
      </c>
    </row>
    <row r="93">
      <c r="A93" s="12" t="inlineStr">
        <is>
          <t>Total cases</t>
        </is>
      </c>
      <c r="B93" s="12">
        <f>SUM(B90:B92)</f>
        <v/>
      </c>
      <c r="C93" s="13">
        <f>SUM(C90:C92)</f>
        <v/>
      </c>
      <c r="D93" s="12">
        <f>SUM(D90:D92)</f>
        <v/>
      </c>
      <c r="E93" s="13">
        <f>SUM(E90:E92)</f>
        <v/>
      </c>
      <c r="F93" s="12">
        <f>SUM(F90:F92)</f>
        <v/>
      </c>
      <c r="G93" s="13">
        <f>SUM(G90:G92)</f>
        <v/>
      </c>
      <c r="H93" s="12">
        <f>SUM(H90:H92)</f>
        <v/>
      </c>
      <c r="I93" s="13">
        <f>SUM(I90:I92)</f>
        <v/>
      </c>
      <c r="J93" s="12">
        <f>SUM(J90:J92)</f>
        <v/>
      </c>
      <c r="K93" s="13">
        <f>SUM(K90:K92)</f>
        <v/>
      </c>
      <c r="L93" s="12">
        <f>SUM(L90:L92)</f>
        <v/>
      </c>
      <c r="M93" s="13">
        <f>SUM(M90:M92)</f>
        <v/>
      </c>
      <c r="N93" s="12">
        <f>SUM(N90:N92)</f>
        <v/>
      </c>
      <c r="O93" s="13">
        <f>SUM(O90:O92)</f>
        <v/>
      </c>
      <c r="P93" s="12">
        <f>SUM(P90:P92)</f>
        <v/>
      </c>
      <c r="Q93" s="13">
        <f>SUM(Q90:Q92)</f>
        <v/>
      </c>
      <c r="R93" s="12">
        <f>SUM(R90:R92)</f>
        <v/>
      </c>
      <c r="S93" s="13">
        <f>SUM(S90:S92)</f>
        <v/>
      </c>
    </row>
    <row r="94">
      <c r="A94" t="inlineStr">
        <is>
          <t>A case counts as "Passed on test" only if it passed on every version it was tested on, "Runtime error" if any version crashed, otherwise "Failed on test".</t>
        </is>
      </c>
    </row>
    <row r="95"/>
    <row r="96">
      <c r="A96" s="7" t="inlineStr">
        <is>
          <t>4. Cases that passed on at least one version</t>
        </is>
      </c>
    </row>
    <row r="97">
      <c r="A97" s="1" t="inlineStr">
        <is>
          <t>Measure</t>
        </is>
      </c>
      <c r="B97" s="1" t="inlineStr">
        <is>
          <t>Cases</t>
        </is>
      </c>
      <c r="C97" s="1" t="inlineStr">
        <is>
          <t>% of cases</t>
        </is>
      </c>
      <c r="D97" s="1" t="inlineStr">
        <is>
          <t>Batch 1</t>
        </is>
      </c>
      <c r="E97" s="1" t="inlineStr">
        <is>
          <t>Batch 1 %</t>
        </is>
      </c>
      <c r="F97" s="1" t="inlineStr">
        <is>
          <t>Batch 2</t>
        </is>
      </c>
      <c r="G97" s="1" t="inlineStr">
        <is>
          <t>Batch 2 %</t>
        </is>
      </c>
      <c r="H97" s="1" t="inlineStr">
        <is>
          <t>Batch 3</t>
        </is>
      </c>
      <c r="I97" s="1" t="inlineStr">
        <is>
          <t>Batch 3 %</t>
        </is>
      </c>
      <c r="J97" s="1" t="inlineStr">
        <is>
          <t>Batch 4</t>
        </is>
      </c>
      <c r="K97" s="1" t="inlineStr">
        <is>
          <t>Batch 4 %</t>
        </is>
      </c>
      <c r="L97" s="1" t="inlineStr">
        <is>
          <t>Batch 5</t>
        </is>
      </c>
      <c r="M97" s="1" t="inlineStr">
        <is>
          <t>Batch 5 %</t>
        </is>
      </c>
      <c r="N97" s="1" t="inlineStr">
        <is>
          <t>Batch 6</t>
        </is>
      </c>
      <c r="O97" s="1" t="inlineStr">
        <is>
          <t>Batch 6 %</t>
        </is>
      </c>
      <c r="P97" s="1" t="inlineStr">
        <is>
          <t>Batch 7</t>
        </is>
      </c>
      <c r="Q97" s="1" t="inlineStr">
        <is>
          <t>Batch 7 %</t>
        </is>
      </c>
      <c r="R97" s="1" t="inlineStr">
        <is>
          <t>Batch 8</t>
        </is>
      </c>
      <c r="S97" s="1" t="inlineStr">
        <is>
          <t>Batch 8 %</t>
        </is>
      </c>
    </row>
    <row r="98">
      <c r="A98" s="2" t="inlineStr">
        <is>
          <t>Passed on at least one version</t>
        </is>
      </c>
      <c r="B98" s="2">
        <f>COUNTIF($B$103:$B$175,"YES")</f>
        <v/>
      </c>
      <c r="C98" s="9">
        <f>IF(COUNTA($A$103:$A$175)=0,0,B98/COUNTA($A$103:$A$175))</f>
        <v/>
      </c>
      <c r="D98" s="2">
        <f>COUNTIFS($B$103:$B$175,"YES",$F$103:$F$175,1)</f>
        <v/>
      </c>
      <c r="E98" s="9">
        <f>IF(COUNTIF($F$103:$F$175,1)=0,0,D98/COUNTIF($F$103:$F$175,1))</f>
        <v/>
      </c>
      <c r="F98" s="2">
        <f>COUNTIFS($B$103:$B$175,"YES",$F$103:$F$175,2)</f>
        <v/>
      </c>
      <c r="G98" s="9">
        <f>IF(COUNTIF($F$103:$F$175,2)=0,0,F98/COUNTIF($F$103:$F$175,2))</f>
        <v/>
      </c>
      <c r="H98" s="2">
        <f>COUNTIFS($B$103:$B$175,"YES",$F$103:$F$175,3)</f>
        <v/>
      </c>
      <c r="I98" s="9">
        <f>IF(COUNTIF($F$103:$F$175,3)=0,0,H98/COUNTIF($F$103:$F$175,3))</f>
        <v/>
      </c>
      <c r="J98" s="2">
        <f>COUNTIFS($B$103:$B$175,"YES",$F$103:$F$175,4)</f>
        <v/>
      </c>
      <c r="K98" s="9">
        <f>IF(COUNTIF($F$103:$F$175,4)=0,0,J98/COUNTIF($F$103:$F$175,4))</f>
        <v/>
      </c>
      <c r="L98" s="2">
        <f>COUNTIFS($B$103:$B$175,"YES",$F$103:$F$175,5)</f>
        <v/>
      </c>
      <c r="M98" s="9">
        <f>IF(COUNTIF($F$103:$F$175,5)=0,0,L98/COUNTIF($F$103:$F$175,5))</f>
        <v/>
      </c>
      <c r="N98" s="2">
        <f>COUNTIFS($B$103:$B$175,"YES",$F$103:$F$175,6)</f>
        <v/>
      </c>
      <c r="O98" s="9">
        <f>IF(COUNTIF($F$103:$F$175,6)=0,0,N98/COUNTIF($F$103:$F$175,6))</f>
        <v/>
      </c>
      <c r="P98" s="2">
        <f>COUNTIFS($B$103:$B$175,"YES",$F$103:$F$175,7)</f>
        <v/>
      </c>
      <c r="Q98" s="9">
        <f>IF(COUNTIF($F$103:$F$175,7)=0,0,P98/COUNTIF($F$103:$F$175,7))</f>
        <v/>
      </c>
      <c r="R98" s="2">
        <f>COUNTIFS($B$103:$B$175,"YES",$F$103:$F$175,8)</f>
        <v/>
      </c>
      <c r="S98" s="9">
        <f>IF(COUNTIF($F$103:$F$175,8)=0,0,R98/COUNTIF($F$103:$F$175,8))</f>
        <v/>
      </c>
    </row>
    <row r="99">
      <c r="A99" s="2" t="inlineStr">
        <is>
          <t>Passed on every version (strict, as in section 3)</t>
        </is>
      </c>
      <c r="B99" s="2">
        <f>B90</f>
        <v/>
      </c>
      <c r="C99" s="9">
        <f>IF(COUNTA($A$103:$A$175)=0,0,B99/COUNTA($A$103:$A$175))</f>
        <v/>
      </c>
      <c r="D99" s="2">
        <f>D90</f>
        <v/>
      </c>
      <c r="E99" s="9">
        <f>IF(COUNTIF($F$103:$F$175,1)=0,0,D99/COUNTIF($F$103:$F$175,1))</f>
        <v/>
      </c>
      <c r="F99" s="2">
        <f>F90</f>
        <v/>
      </c>
      <c r="G99" s="9">
        <f>IF(COUNTIF($F$103:$F$175,2)=0,0,F99/COUNTIF($F$103:$F$175,2))</f>
        <v/>
      </c>
      <c r="H99" s="2">
        <f>H90</f>
        <v/>
      </c>
      <c r="I99" s="9">
        <f>IF(COUNTIF($F$103:$F$175,3)=0,0,H99/COUNTIF($F$103:$F$175,3))</f>
        <v/>
      </c>
      <c r="J99" s="2">
        <f>J90</f>
        <v/>
      </c>
      <c r="K99" s="9">
        <f>IF(COUNTIF($F$103:$F$175,4)=0,0,J99/COUNTIF($F$103:$F$175,4))</f>
        <v/>
      </c>
      <c r="L99" s="2">
        <f>L90</f>
        <v/>
      </c>
      <c r="M99" s="9">
        <f>IF(COUNTIF($F$103:$F$175,5)=0,0,L99/COUNTIF($F$103:$F$175,5))</f>
        <v/>
      </c>
      <c r="N99" s="2">
        <f>N90</f>
        <v/>
      </c>
      <c r="O99" s="9">
        <f>IF(COUNTIF($F$103:$F$175,6)=0,0,N99/COUNTIF($F$103:$F$175,6))</f>
        <v/>
      </c>
      <c r="P99" s="2">
        <f>P90</f>
        <v/>
      </c>
      <c r="Q99" s="9">
        <f>IF(COUNTIF($F$103:$F$175,7)=0,0,P99/COUNTIF($F$103:$F$175,7))</f>
        <v/>
      </c>
      <c r="R99" s="2">
        <f>R90</f>
        <v/>
      </c>
      <c r="S99" s="9">
        <f>IF(COUNTIF($F$103:$F$175,8)=0,0,R99/COUNTIF($F$103:$F$175,8))</f>
        <v/>
      </c>
    </row>
    <row r="100">
      <c r="A100" s="2" t="inlineStr">
        <is>
          <t>Passed on some but not all versions</t>
        </is>
      </c>
      <c r="B100" s="2">
        <f>B98-B99</f>
        <v/>
      </c>
      <c r="C100" s="9">
        <f>IF(COUNTA($A$103:$A$175)=0,0,B100/COUNTA($A$103:$A$175))</f>
        <v/>
      </c>
      <c r="D100" s="2">
        <f>D98-D99</f>
        <v/>
      </c>
      <c r="E100" s="9">
        <f>IF(COUNTIF($F$103:$F$175,1)=0,0,D100/COUNTIF($F$103:$F$175,1))</f>
        <v/>
      </c>
      <c r="F100" s="2">
        <f>F98-F99</f>
        <v/>
      </c>
      <c r="G100" s="9">
        <f>IF(COUNTIF($F$103:$F$175,2)=0,0,F100/COUNTIF($F$103:$F$175,2))</f>
        <v/>
      </c>
      <c r="H100" s="2">
        <f>H98-H99</f>
        <v/>
      </c>
      <c r="I100" s="9">
        <f>IF(COUNTIF($F$103:$F$175,3)=0,0,H100/COUNTIF($F$103:$F$175,3))</f>
        <v/>
      </c>
      <c r="J100" s="2">
        <f>J98-J99</f>
        <v/>
      </c>
      <c r="K100" s="9">
        <f>IF(COUNTIF($F$103:$F$175,4)=0,0,J100/COUNTIF($F$103:$F$175,4))</f>
        <v/>
      </c>
      <c r="L100" s="2">
        <f>L98-L99</f>
        <v/>
      </c>
      <c r="M100" s="9">
        <f>IF(COUNTIF($F$103:$F$175,5)=0,0,L100/COUNTIF($F$103:$F$175,5))</f>
        <v/>
      </c>
      <c r="N100" s="2">
        <f>N98-N99</f>
        <v/>
      </c>
      <c r="O100" s="9">
        <f>IF(COUNTIF($F$103:$F$175,6)=0,0,N100/COUNTIF($F$103:$F$175,6))</f>
        <v/>
      </c>
      <c r="P100" s="2">
        <f>P98-P99</f>
        <v/>
      </c>
      <c r="Q100" s="9">
        <f>IF(COUNTIF($F$103:$F$175,7)=0,0,P100/COUNTIF($F$103:$F$175,7))</f>
        <v/>
      </c>
      <c r="R100" s="2">
        <f>R98-R99</f>
        <v/>
      </c>
      <c r="S100" s="9">
        <f>IF(COUNTIF($F$103:$F$175,8)=0,0,R100/COUNTIF($F$103:$F$175,8))</f>
        <v/>
      </c>
    </row>
    <row r="101">
      <c r="A101" s="2" t="inlineStr">
        <is>
          <t>Passed on no version</t>
        </is>
      </c>
      <c r="B101" s="2">
        <f>COUNTIF($B$103:$B$175,"NO")</f>
        <v/>
      </c>
      <c r="C101" s="9">
        <f>IF(COUNTA($A$103:$A$175)=0,0,B101/COUNTA($A$103:$A$175))</f>
        <v/>
      </c>
      <c r="D101" s="2">
        <f>COUNTIFS($B$103:$B$175,"NO",$F$103:$F$175,1)</f>
        <v/>
      </c>
      <c r="E101" s="9">
        <f>IF(COUNTIF($F$103:$F$175,1)=0,0,D101/COUNTIF($F$103:$F$175,1))</f>
        <v/>
      </c>
      <c r="F101" s="2">
        <f>COUNTIFS($B$103:$B$175,"NO",$F$103:$F$175,2)</f>
        <v/>
      </c>
      <c r="G101" s="9">
        <f>IF(COUNTIF($F$103:$F$175,2)=0,0,F101/COUNTIF($F$103:$F$175,2))</f>
        <v/>
      </c>
      <c r="H101" s="2">
        <f>COUNTIFS($B$103:$B$175,"NO",$F$103:$F$175,3)</f>
        <v/>
      </c>
      <c r="I101" s="9">
        <f>IF(COUNTIF($F$103:$F$175,3)=0,0,H101/COUNTIF($F$103:$F$175,3))</f>
        <v/>
      </c>
      <c r="J101" s="2">
        <f>COUNTIFS($B$103:$B$175,"NO",$F$103:$F$175,4)</f>
        <v/>
      </c>
      <c r="K101" s="9">
        <f>IF(COUNTIF($F$103:$F$175,4)=0,0,J101/COUNTIF($F$103:$F$175,4))</f>
        <v/>
      </c>
      <c r="L101" s="2">
        <f>COUNTIFS($B$103:$B$175,"NO",$F$103:$F$175,5)</f>
        <v/>
      </c>
      <c r="M101" s="9">
        <f>IF(COUNTIF($F$103:$F$175,5)=0,0,L101/COUNTIF($F$103:$F$175,5))</f>
        <v/>
      </c>
      <c r="N101" s="2">
        <f>COUNTIFS($B$103:$B$175,"NO",$F$103:$F$175,6)</f>
        <v/>
      </c>
      <c r="O101" s="9">
        <f>IF(COUNTIF($F$103:$F$175,6)=0,0,N101/COUNTIF($F$103:$F$175,6))</f>
        <v/>
      </c>
      <c r="P101" s="2">
        <f>COUNTIFS($B$103:$B$175,"NO",$F$103:$F$175,7)</f>
        <v/>
      </c>
      <c r="Q101" s="9">
        <f>IF(COUNTIF($F$103:$F$175,7)=0,0,P101/COUNTIF($F$103:$F$175,7))</f>
        <v/>
      </c>
      <c r="R101" s="2">
        <f>COUNTIFS($B$103:$B$175,"NO",$F$103:$F$175,8)</f>
        <v/>
      </c>
      <c r="S101" s="9">
        <f>IF(COUNTIF($F$103:$F$175,8)=0,0,R101/COUNTIF($F$103:$F$175,8))</f>
        <v/>
      </c>
    </row>
    <row r="102">
      <c r="A102" s="1" t="inlineStr">
        <is>
          <t>Case</t>
        </is>
      </c>
      <c r="B102" s="1" t="inlineStr">
        <is>
          <t>Passed on ≥1 version?</t>
        </is>
      </c>
      <c r="C102" s="1" t="inlineStr">
        <is>
          <t>Versions it passed on</t>
        </is>
      </c>
      <c r="D102" s="1" t="inlineStr">
        <is>
          <t># passed</t>
        </is>
      </c>
      <c r="E102" s="1" t="inlineStr">
        <is>
          <t># tested</t>
        </is>
      </c>
      <c r="F102" s="1" t="inlineStr">
        <is>
          <t>Batch</t>
        </is>
      </c>
    </row>
    <row r="103">
      <c r="A103" s="2">
        <f>Summary!A2</f>
        <v/>
      </c>
      <c r="B103" s="2">
        <f>IF(C14&gt;0,"YES","NO")</f>
        <v/>
      </c>
      <c r="C103" s="14">
        <f t="array" ref="C103">IF(C14=0,"-",_xlfn.TEXTJOIN(", ",TRUE,IF(Summary!$B$2:$AB$2="Passed on test",Summary!$B$1:$AB$1,"")))</f>
        <v/>
      </c>
      <c r="D103" s="2">
        <f>C14</f>
        <v/>
      </c>
      <c r="E103" s="2">
        <f>B14</f>
        <v/>
      </c>
      <c r="F103" s="2" t="n">
        <v>1</v>
      </c>
    </row>
    <row r="104">
      <c r="A104" s="2">
        <f>Summary!A3</f>
        <v/>
      </c>
      <c r="B104" s="2">
        <f>IF(C15&gt;0,"YES","NO")</f>
        <v/>
      </c>
      <c r="C104" s="14">
        <f t="array" ref="C104">IF(C15=0,"-",_xlfn.TEXTJOIN(", ",TRUE,IF(Summary!$B$3:$AB$3="Passed on test",Summary!$B$1:$AB$1,"")))</f>
        <v/>
      </c>
      <c r="D104" s="2">
        <f>C15</f>
        <v/>
      </c>
      <c r="E104" s="2">
        <f>B15</f>
        <v/>
      </c>
      <c r="F104" s="2" t="n">
        <v>1</v>
      </c>
    </row>
    <row r="105">
      <c r="A105" s="2">
        <f>Summary!A4</f>
        <v/>
      </c>
      <c r="B105" s="2">
        <f>IF(C16&gt;0,"YES","NO")</f>
        <v/>
      </c>
      <c r="C105" s="14">
        <f t="array" ref="C105">IF(C16=0,"-",_xlfn.TEXTJOIN(", ",TRUE,IF(Summary!$B$4:$AB$4="Passed on test",Summary!$B$1:$AB$1,"")))</f>
        <v/>
      </c>
      <c r="D105" s="2">
        <f>C16</f>
        <v/>
      </c>
      <c r="E105" s="2">
        <f>B16</f>
        <v/>
      </c>
      <c r="F105" s="2" t="n">
        <v>1</v>
      </c>
    </row>
    <row r="106">
      <c r="A106" s="2">
        <f>Summary!A5</f>
        <v/>
      </c>
      <c r="B106" s="2">
        <f>IF(C17&gt;0,"YES","NO")</f>
        <v/>
      </c>
      <c r="C106" s="14">
        <f t="array" ref="C106">IF(C17=0,"-",_xlfn.TEXTJOIN(", ",TRUE,IF(Summary!$B$5:$AB$5="Passed on test",Summary!$B$1:$AB$1,"")))</f>
        <v/>
      </c>
      <c r="D106" s="2">
        <f>C17</f>
        <v/>
      </c>
      <c r="E106" s="2">
        <f>B17</f>
        <v/>
      </c>
      <c r="F106" s="2" t="n">
        <v>1</v>
      </c>
    </row>
    <row r="107">
      <c r="A107" s="2">
        <f>Summary!A6</f>
        <v/>
      </c>
      <c r="B107" s="2">
        <f>IF(C18&gt;0,"YES","NO")</f>
        <v/>
      </c>
      <c r="C107" s="14">
        <f t="array" ref="C107">IF(C18=0,"-",_xlfn.TEXTJOIN(", ",TRUE,IF(Summary!$B$6:$AB$6="Passed on test",Summary!$B$1:$AB$1,"")))</f>
        <v/>
      </c>
      <c r="D107" s="2">
        <f>C18</f>
        <v/>
      </c>
      <c r="E107" s="2">
        <f>B18</f>
        <v/>
      </c>
      <c r="F107" s="2" t="n">
        <v>1</v>
      </c>
    </row>
    <row r="108">
      <c r="A108" s="2">
        <f>Summary!A7</f>
        <v/>
      </c>
      <c r="B108" s="2">
        <f>IF(C19&gt;0,"YES","NO")</f>
        <v/>
      </c>
      <c r="C108" s="14">
        <f t="array" ref="C108">IF(C19=0,"-",_xlfn.TEXTJOIN(", ",TRUE,IF(Summary!$B$7:$AB$7="Passed on test",Summary!$B$1:$AB$1,"")))</f>
        <v/>
      </c>
      <c r="D108" s="2">
        <f>C19</f>
        <v/>
      </c>
      <c r="E108" s="2">
        <f>B19</f>
        <v/>
      </c>
      <c r="F108" s="2" t="n">
        <v>1</v>
      </c>
    </row>
    <row r="109">
      <c r="A109" s="2">
        <f>Summary!A8</f>
        <v/>
      </c>
      <c r="B109" s="2">
        <f>IF(C20&gt;0,"YES","NO")</f>
        <v/>
      </c>
      <c r="C109" s="14">
        <f t="array" ref="C109">IF(C20=0,"-",_xlfn.TEXTJOIN(", ",TRUE,IF(Summary!$B$8:$AB$8="Passed on test",Summary!$B$1:$AB$1,"")))</f>
        <v/>
      </c>
      <c r="D109" s="2">
        <f>C20</f>
        <v/>
      </c>
      <c r="E109" s="2">
        <f>B20</f>
        <v/>
      </c>
      <c r="F109" s="2" t="n">
        <v>1</v>
      </c>
    </row>
    <row r="110">
      <c r="A110" s="2">
        <f>Summary!A9</f>
        <v/>
      </c>
      <c r="B110" s="2">
        <f>IF(C21&gt;0,"YES","NO")</f>
        <v/>
      </c>
      <c r="C110" s="14">
        <f t="array" ref="C110">IF(C21=0,"-",_xlfn.TEXTJOIN(", ",TRUE,IF(Summary!$B$9:$AB$9="Passed on test",Summary!$B$1:$AB$1,"")))</f>
        <v/>
      </c>
      <c r="D110" s="2">
        <f>C21</f>
        <v/>
      </c>
      <c r="E110" s="2">
        <f>B21</f>
        <v/>
      </c>
      <c r="F110" s="2" t="n">
        <v>1</v>
      </c>
    </row>
    <row r="111">
      <c r="A111" s="2">
        <f>Summary!A10</f>
        <v/>
      </c>
      <c r="B111" s="2">
        <f>IF(C22&gt;0,"YES","NO")</f>
        <v/>
      </c>
      <c r="C111" s="14">
        <f t="array" ref="C111">IF(C22=0,"-",_xlfn.TEXTJOIN(", ",TRUE,IF(Summary!$B$10:$AB$10="Passed on test",Summary!$B$1:$AB$1,"")))</f>
        <v/>
      </c>
      <c r="D111" s="2">
        <f>C22</f>
        <v/>
      </c>
      <c r="E111" s="2">
        <f>B22</f>
        <v/>
      </c>
      <c r="F111" s="2" t="n">
        <v>1</v>
      </c>
    </row>
    <row r="112">
      <c r="A112" s="2">
        <f>Summary!A11</f>
        <v/>
      </c>
      <c r="B112" s="2">
        <f>IF(C23&gt;0,"YES","NO")</f>
        <v/>
      </c>
      <c r="C112" s="14">
        <f t="array" ref="C112">IF(C23=0,"-",_xlfn.TEXTJOIN(", ",TRUE,IF(Summary!$B$11:$AB$11="Passed on test",Summary!$B$1:$AB$1,"")))</f>
        <v/>
      </c>
      <c r="D112" s="2">
        <f>C23</f>
        <v/>
      </c>
      <c r="E112" s="2">
        <f>B23</f>
        <v/>
      </c>
      <c r="F112" s="2" t="n">
        <v>1</v>
      </c>
    </row>
    <row r="113">
      <c r="A113" s="2">
        <f>Summary!A12</f>
        <v/>
      </c>
      <c r="B113" s="2">
        <f>IF(C24&gt;0,"YES","NO")</f>
        <v/>
      </c>
      <c r="C113" s="14">
        <f t="array" ref="C113">IF(C24=0,"-",_xlfn.TEXTJOIN(", ",TRUE,IF(Summary!$B$12:$AB$12="Passed on test",Summary!$B$1:$AB$1,"")))</f>
        <v/>
      </c>
      <c r="D113" s="2">
        <f>C24</f>
        <v/>
      </c>
      <c r="E113" s="2">
        <f>B24</f>
        <v/>
      </c>
      <c r="F113" s="2" t="n">
        <v>2</v>
      </c>
    </row>
    <row r="114">
      <c r="A114" s="2">
        <f>Summary!A13</f>
        <v/>
      </c>
      <c r="B114" s="2">
        <f>IF(C25&gt;0,"YES","NO")</f>
        <v/>
      </c>
      <c r="C114" s="14">
        <f t="array" ref="C114">IF(C25=0,"-",_xlfn.TEXTJOIN(", ",TRUE,IF(Summary!$B$13:$AB$13="Passed on test",Summary!$B$1:$AB$1,"")))</f>
        <v/>
      </c>
      <c r="D114" s="2">
        <f>C25</f>
        <v/>
      </c>
      <c r="E114" s="2">
        <f>B25</f>
        <v/>
      </c>
      <c r="F114" s="2" t="n">
        <v>2</v>
      </c>
    </row>
    <row r="115">
      <c r="A115" s="2">
        <f>Summary!A14</f>
        <v/>
      </c>
      <c r="B115" s="2">
        <f>IF(C26&gt;0,"YES","NO")</f>
        <v/>
      </c>
      <c r="C115" s="14">
        <f t="array" ref="C115">IF(C26=0,"-",_xlfn.TEXTJOIN(", ",TRUE,IF(Summary!$B$14:$AB$14="Passed on test",Summary!$B$1:$AB$1,"")))</f>
        <v/>
      </c>
      <c r="D115" s="2">
        <f>C26</f>
        <v/>
      </c>
      <c r="E115" s="2">
        <f>B26</f>
        <v/>
      </c>
      <c r="F115" s="2" t="n">
        <v>2</v>
      </c>
    </row>
    <row r="116">
      <c r="A116" s="2">
        <f>Summary!A15</f>
        <v/>
      </c>
      <c r="B116" s="2">
        <f>IF(C27&gt;0,"YES","NO")</f>
        <v/>
      </c>
      <c r="C116" s="14">
        <f t="array" ref="C116">IF(C27=0,"-",_xlfn.TEXTJOIN(", ",TRUE,IF(Summary!$B$15:$AB$15="Passed on test",Summary!$B$1:$AB$1,"")))</f>
        <v/>
      </c>
      <c r="D116" s="2">
        <f>C27</f>
        <v/>
      </c>
      <c r="E116" s="2">
        <f>B27</f>
        <v/>
      </c>
      <c r="F116" s="2" t="n">
        <v>2</v>
      </c>
    </row>
    <row r="117">
      <c r="A117" s="2">
        <f>Summary!A16</f>
        <v/>
      </c>
      <c r="B117" s="2">
        <f>IF(C28&gt;0,"YES","NO")</f>
        <v/>
      </c>
      <c r="C117" s="14">
        <f t="array" ref="C117">IF(C28=0,"-",_xlfn.TEXTJOIN(", ",TRUE,IF(Summary!$B$16:$AB$16="Passed on test",Summary!$B$1:$AB$1,"")))</f>
        <v/>
      </c>
      <c r="D117" s="2">
        <f>C28</f>
        <v/>
      </c>
      <c r="E117" s="2">
        <f>B28</f>
        <v/>
      </c>
      <c r="F117" s="2" t="n">
        <v>2</v>
      </c>
    </row>
    <row r="118">
      <c r="A118" s="2">
        <f>Summary!A17</f>
        <v/>
      </c>
      <c r="B118" s="2">
        <f>IF(C29&gt;0,"YES","NO")</f>
        <v/>
      </c>
      <c r="C118" s="14">
        <f t="array" ref="C118">IF(C29=0,"-",_xlfn.TEXTJOIN(", ",TRUE,IF(Summary!$B$17:$AB$17="Passed on test",Summary!$B$1:$AB$1,"")))</f>
        <v/>
      </c>
      <c r="D118" s="2">
        <f>C29</f>
        <v/>
      </c>
      <c r="E118" s="2">
        <f>B29</f>
        <v/>
      </c>
      <c r="F118" s="2" t="n">
        <v>2</v>
      </c>
    </row>
    <row r="119">
      <c r="A119" s="2">
        <f>Summary!A18</f>
        <v/>
      </c>
      <c r="B119" s="2">
        <f>IF(C30&gt;0,"YES","NO")</f>
        <v/>
      </c>
      <c r="C119" s="14">
        <f t="array" ref="C119">IF(C30=0,"-",_xlfn.TEXTJOIN(", ",TRUE,IF(Summary!$B$18:$AB$18="Passed on test",Summary!$B$1:$AB$1,"")))</f>
        <v/>
      </c>
      <c r="D119" s="2">
        <f>C30</f>
        <v/>
      </c>
      <c r="E119" s="2">
        <f>B30</f>
        <v/>
      </c>
      <c r="F119" s="2" t="n">
        <v>2</v>
      </c>
    </row>
    <row r="120">
      <c r="A120" s="2">
        <f>Summary!A19</f>
        <v/>
      </c>
      <c r="B120" s="2">
        <f>IF(C31&gt;0,"YES","NO")</f>
        <v/>
      </c>
      <c r="C120" s="14">
        <f t="array" ref="C120">IF(C31=0,"-",_xlfn.TEXTJOIN(", ",TRUE,IF(Summary!$B$19:$AB$19="Passed on test",Summary!$B$1:$AB$1,"")))</f>
        <v/>
      </c>
      <c r="D120" s="2">
        <f>C31</f>
        <v/>
      </c>
      <c r="E120" s="2">
        <f>B31</f>
        <v/>
      </c>
      <c r="F120" s="2" t="n">
        <v>2</v>
      </c>
    </row>
    <row r="121">
      <c r="A121" s="2">
        <f>Summary!A20</f>
        <v/>
      </c>
      <c r="B121" s="2">
        <f>IF(C32&gt;0,"YES","NO")</f>
        <v/>
      </c>
      <c r="C121" s="14">
        <f t="array" ref="C121">IF(C32=0,"-",_xlfn.TEXTJOIN(", ",TRUE,IF(Summary!$B$20:$AB$20="Passed on test",Summary!$B$1:$AB$1,"")))</f>
        <v/>
      </c>
      <c r="D121" s="2">
        <f>C32</f>
        <v/>
      </c>
      <c r="E121" s="2">
        <f>B32</f>
        <v/>
      </c>
      <c r="F121" s="2" t="n">
        <v>2</v>
      </c>
    </row>
    <row r="122">
      <c r="A122" s="2">
        <f>Summary!A21</f>
        <v/>
      </c>
      <c r="B122" s="2">
        <f>IF(C33&gt;0,"YES","NO")</f>
        <v/>
      </c>
      <c r="C122" s="14">
        <f t="array" ref="C122">IF(C33=0,"-",_xlfn.TEXTJOIN(", ",TRUE,IF(Summary!$B$21:$AB$21="Passed on test",Summary!$B$1:$AB$1,"")))</f>
        <v/>
      </c>
      <c r="D122" s="2">
        <f>C33</f>
        <v/>
      </c>
      <c r="E122" s="2">
        <f>B33</f>
        <v/>
      </c>
      <c r="F122" s="2" t="n">
        <v>2</v>
      </c>
    </row>
    <row r="123">
      <c r="A123" s="2">
        <f>Summary!A22</f>
        <v/>
      </c>
      <c r="B123" s="2">
        <f>IF(C34&gt;0,"YES","NO")</f>
        <v/>
      </c>
      <c r="C123" s="14">
        <f t="array" ref="C123">IF(C34=0,"-",_xlfn.TEXTJOIN(", ",TRUE,IF(Summary!$B$22:$AB$22="Passed on test",Summary!$B$1:$AB$1,"")))</f>
        <v/>
      </c>
      <c r="D123" s="2">
        <f>C34</f>
        <v/>
      </c>
      <c r="E123" s="2">
        <f>B34</f>
        <v/>
      </c>
      <c r="F123" s="2" t="n">
        <v>3</v>
      </c>
    </row>
    <row r="124">
      <c r="A124" s="2">
        <f>Summary!A23</f>
        <v/>
      </c>
      <c r="B124" s="2">
        <f>IF(C35&gt;0,"YES","NO")</f>
        <v/>
      </c>
      <c r="C124" s="14">
        <f t="array" ref="C124">IF(C35=0,"-",_xlfn.TEXTJOIN(", ",TRUE,IF(Summary!$B$23:$AB$23="Passed on test",Summary!$B$1:$AB$1,"")))</f>
        <v/>
      </c>
      <c r="D124" s="2">
        <f>C35</f>
        <v/>
      </c>
      <c r="E124" s="2">
        <f>B35</f>
        <v/>
      </c>
      <c r="F124" s="2" t="n">
        <v>3</v>
      </c>
    </row>
    <row r="125">
      <c r="A125" s="2">
        <f>Summary!A24</f>
        <v/>
      </c>
      <c r="B125" s="2">
        <f>IF(C36&gt;0,"YES","NO")</f>
        <v/>
      </c>
      <c r="C125" s="14">
        <f t="array" ref="C125">IF(C36=0,"-",_xlfn.TEXTJOIN(", ",TRUE,IF(Summary!$B$24:$AB$24="Passed on test",Summary!$B$1:$AB$1,"")))</f>
        <v/>
      </c>
      <c r="D125" s="2">
        <f>C36</f>
        <v/>
      </c>
      <c r="E125" s="2">
        <f>B36</f>
        <v/>
      </c>
      <c r="F125" s="2" t="n">
        <v>3</v>
      </c>
    </row>
    <row r="126">
      <c r="A126" s="2">
        <f>Summary!A25</f>
        <v/>
      </c>
      <c r="B126" s="2">
        <f>IF(C37&gt;0,"YES","NO")</f>
        <v/>
      </c>
      <c r="C126" s="14">
        <f t="array" ref="C126">IF(C37=0,"-",_xlfn.TEXTJOIN(", ",TRUE,IF(Summary!$B$25:$AB$25="Passed on test",Summary!$B$1:$AB$1,"")))</f>
        <v/>
      </c>
      <c r="D126" s="2">
        <f>C37</f>
        <v/>
      </c>
      <c r="E126" s="2">
        <f>B37</f>
        <v/>
      </c>
      <c r="F126" s="2" t="n">
        <v>3</v>
      </c>
    </row>
    <row r="127">
      <c r="A127" s="2">
        <f>Summary!A26</f>
        <v/>
      </c>
      <c r="B127" s="2">
        <f>IF(C38&gt;0,"YES","NO")</f>
        <v/>
      </c>
      <c r="C127" s="14">
        <f t="array" ref="C127">IF(C38=0,"-",_xlfn.TEXTJOIN(", ",TRUE,IF(Summary!$B$26:$AB$26="Passed on test",Summary!$B$1:$AB$1,"")))</f>
        <v/>
      </c>
      <c r="D127" s="2">
        <f>C38</f>
        <v/>
      </c>
      <c r="E127" s="2">
        <f>B38</f>
        <v/>
      </c>
      <c r="F127" s="2" t="n">
        <v>3</v>
      </c>
    </row>
    <row r="128">
      <c r="A128" s="2">
        <f>Summary!A27</f>
        <v/>
      </c>
      <c r="B128" s="2">
        <f>IF(C39&gt;0,"YES","NO")</f>
        <v/>
      </c>
      <c r="C128" s="14">
        <f t="array" ref="C128">IF(C39=0,"-",_xlfn.TEXTJOIN(", ",TRUE,IF(Summary!$B$27:$AB$27="Passed on test",Summary!$B$1:$AB$1,"")))</f>
        <v/>
      </c>
      <c r="D128" s="2">
        <f>C39</f>
        <v/>
      </c>
      <c r="E128" s="2">
        <f>B39</f>
        <v/>
      </c>
      <c r="F128" s="2" t="n">
        <v>3</v>
      </c>
    </row>
    <row r="129">
      <c r="A129" s="2">
        <f>Summary!A28</f>
        <v/>
      </c>
      <c r="B129" s="2">
        <f>IF(C40&gt;0,"YES","NO")</f>
        <v/>
      </c>
      <c r="C129" s="14">
        <f t="array" ref="C129">IF(C40=0,"-",_xlfn.TEXTJOIN(", ",TRUE,IF(Summary!$B$28:$AB$28="Passed on test",Summary!$B$1:$AB$1,"")))</f>
        <v/>
      </c>
      <c r="D129" s="2">
        <f>C40</f>
        <v/>
      </c>
      <c r="E129" s="2">
        <f>B40</f>
        <v/>
      </c>
      <c r="F129" s="2" t="n">
        <v>3</v>
      </c>
    </row>
    <row r="130">
      <c r="A130" s="2">
        <f>Summary!A29</f>
        <v/>
      </c>
      <c r="B130" s="2">
        <f>IF(C41&gt;0,"YES","NO")</f>
        <v/>
      </c>
      <c r="C130" s="14">
        <f t="array" ref="C130">IF(C41=0,"-",_xlfn.TEXTJOIN(", ",TRUE,IF(Summary!$B$29:$AB$29="Passed on test",Summary!$B$1:$AB$1,"")))</f>
        <v/>
      </c>
      <c r="D130" s="2">
        <f>C41</f>
        <v/>
      </c>
      <c r="E130" s="2">
        <f>B41</f>
        <v/>
      </c>
      <c r="F130" s="2" t="n">
        <v>3</v>
      </c>
    </row>
    <row r="131">
      <c r="A131" s="2">
        <f>Summary!A30</f>
        <v/>
      </c>
      <c r="B131" s="2">
        <f>IF(C42&gt;0,"YES","NO")</f>
        <v/>
      </c>
      <c r="C131" s="14">
        <f t="array" ref="C131">IF(C42=0,"-",_xlfn.TEXTJOIN(", ",TRUE,IF(Summary!$B$30:$AB$30="Passed on test",Summary!$B$1:$AB$1,"")))</f>
        <v/>
      </c>
      <c r="D131" s="2">
        <f>C42</f>
        <v/>
      </c>
      <c r="E131" s="2">
        <f>B42</f>
        <v/>
      </c>
      <c r="F131" s="2" t="n">
        <v>3</v>
      </c>
    </row>
    <row r="132">
      <c r="A132" s="2">
        <f>Summary!A31</f>
        <v/>
      </c>
      <c r="B132" s="2">
        <f>IF(C43&gt;0,"YES","NO")</f>
        <v/>
      </c>
      <c r="C132" s="14">
        <f t="array" ref="C132">IF(C43=0,"-",_xlfn.TEXTJOIN(", ",TRUE,IF(Summary!$B$31:$AB$31="Passed on test",Summary!$B$1:$AB$1,"")))</f>
        <v/>
      </c>
      <c r="D132" s="2">
        <f>C43</f>
        <v/>
      </c>
      <c r="E132" s="2">
        <f>B43</f>
        <v/>
      </c>
      <c r="F132" s="2" t="n">
        <v>3</v>
      </c>
    </row>
    <row r="133">
      <c r="A133" s="2">
        <f>Summary!A32</f>
        <v/>
      </c>
      <c r="B133" s="2">
        <f>IF(C44&gt;0,"YES","NO")</f>
        <v/>
      </c>
      <c r="C133" s="14">
        <f t="array" ref="C133">IF(C44=0,"-",_xlfn.TEXTJOIN(", ",TRUE,IF(Summary!$B$32:$AB$32="Passed on test",Summary!$B$1:$AB$1,"")))</f>
        <v/>
      </c>
      <c r="D133" s="2">
        <f>C44</f>
        <v/>
      </c>
      <c r="E133" s="2">
        <f>B44</f>
        <v/>
      </c>
      <c r="F133" s="2" t="n">
        <v>4</v>
      </c>
    </row>
    <row r="134">
      <c r="A134" s="2">
        <f>Summary!A33</f>
        <v/>
      </c>
      <c r="B134" s="2">
        <f>IF(C45&gt;0,"YES","NO")</f>
        <v/>
      </c>
      <c r="C134" s="14">
        <f t="array" ref="C134">IF(C45=0,"-",_xlfn.TEXTJOIN(", ",TRUE,IF(Summary!$B$33:$AB$33="Passed on test",Summary!$B$1:$AB$1,"")))</f>
        <v/>
      </c>
      <c r="D134" s="2">
        <f>C45</f>
        <v/>
      </c>
      <c r="E134" s="2">
        <f>B45</f>
        <v/>
      </c>
      <c r="F134" s="2" t="n">
        <v>4</v>
      </c>
    </row>
    <row r="135">
      <c r="A135" s="2">
        <f>Summary!A34</f>
        <v/>
      </c>
      <c r="B135" s="2">
        <f>IF(C46&gt;0,"YES","NO")</f>
        <v/>
      </c>
      <c r="C135" s="14">
        <f t="array" ref="C135">IF(C46=0,"-",_xlfn.TEXTJOIN(", ",TRUE,IF(Summary!$B$34:$AB$34="Passed on test",Summary!$B$1:$AB$1,"")))</f>
        <v/>
      </c>
      <c r="D135" s="2">
        <f>C46</f>
        <v/>
      </c>
      <c r="E135" s="2">
        <f>B46</f>
        <v/>
      </c>
      <c r="F135" s="2" t="n">
        <v>4</v>
      </c>
    </row>
    <row r="136">
      <c r="A136" s="2">
        <f>Summary!A35</f>
        <v/>
      </c>
      <c r="B136" s="2">
        <f>IF(C47&gt;0,"YES","NO")</f>
        <v/>
      </c>
      <c r="C136" s="14">
        <f t="array" ref="C136">IF(C47=0,"-",_xlfn.TEXTJOIN(", ",TRUE,IF(Summary!$B$35:$AB$35="Passed on test",Summary!$B$1:$AB$1,"")))</f>
        <v/>
      </c>
      <c r="D136" s="2">
        <f>C47</f>
        <v/>
      </c>
      <c r="E136" s="2">
        <f>B47</f>
        <v/>
      </c>
      <c r="F136" s="2" t="n">
        <v>4</v>
      </c>
    </row>
    <row r="137">
      <c r="A137" s="2">
        <f>Summary!A36</f>
        <v/>
      </c>
      <c r="B137" s="2">
        <f>IF(C48&gt;0,"YES","NO")</f>
        <v/>
      </c>
      <c r="C137" s="14">
        <f t="array" ref="C137">IF(C48=0,"-",_xlfn.TEXTJOIN(", ",TRUE,IF(Summary!$B$36:$AB$36="Passed on test",Summary!$B$1:$AB$1,"")))</f>
        <v/>
      </c>
      <c r="D137" s="2">
        <f>C48</f>
        <v/>
      </c>
      <c r="E137" s="2">
        <f>B48</f>
        <v/>
      </c>
      <c r="F137" s="2" t="n">
        <v>4</v>
      </c>
    </row>
    <row r="138">
      <c r="A138" s="2">
        <f>Summary!A37</f>
        <v/>
      </c>
      <c r="B138" s="2">
        <f>IF(C49&gt;0,"YES","NO")</f>
        <v/>
      </c>
      <c r="C138" s="14">
        <f t="array" ref="C138">IF(C49=0,"-",_xlfn.TEXTJOIN(", ",TRUE,IF(Summary!$B$37:$AB$37="Passed on test",Summary!$B$1:$AB$1,"")))</f>
        <v/>
      </c>
      <c r="D138" s="2">
        <f>C49</f>
        <v/>
      </c>
      <c r="E138" s="2">
        <f>B49</f>
        <v/>
      </c>
      <c r="F138" s="2" t="n">
        <v>4</v>
      </c>
    </row>
    <row r="139">
      <c r="A139" s="2">
        <f>Summary!A38</f>
        <v/>
      </c>
      <c r="B139" s="2">
        <f>IF(C50&gt;0,"YES","NO")</f>
        <v/>
      </c>
      <c r="C139" s="14">
        <f t="array" ref="C139">IF(C50=0,"-",_xlfn.TEXTJOIN(", ",TRUE,IF(Summary!$B$38:$AB$38="Passed on test",Summary!$B$1:$AB$1,"")))</f>
        <v/>
      </c>
      <c r="D139" s="2">
        <f>C50</f>
        <v/>
      </c>
      <c r="E139" s="2">
        <f>B50</f>
        <v/>
      </c>
      <c r="F139" s="2" t="n">
        <v>4</v>
      </c>
    </row>
    <row r="140">
      <c r="A140" s="2">
        <f>Summary!A39</f>
        <v/>
      </c>
      <c r="B140" s="2">
        <f>IF(C51&gt;0,"YES","NO")</f>
        <v/>
      </c>
      <c r="C140" s="14">
        <f t="array" ref="C140">IF(C51=0,"-",_xlfn.TEXTJOIN(", ",TRUE,IF(Summary!$B$39:$AB$39="Passed on test",Summary!$B$1:$AB$1,"")))</f>
        <v/>
      </c>
      <c r="D140" s="2">
        <f>C51</f>
        <v/>
      </c>
      <c r="E140" s="2">
        <f>B51</f>
        <v/>
      </c>
      <c r="F140" s="2" t="n">
        <v>4</v>
      </c>
    </row>
    <row r="141">
      <c r="A141" s="2">
        <f>Summary!A40</f>
        <v/>
      </c>
      <c r="B141" s="2">
        <f>IF(C52&gt;0,"YES","NO")</f>
        <v/>
      </c>
      <c r="C141" s="14">
        <f t="array" ref="C141">IF(C52=0,"-",_xlfn.TEXTJOIN(", ",TRUE,IF(Summary!$B$40:$AB$40="Passed on test",Summary!$B$1:$AB$1,"")))</f>
        <v/>
      </c>
      <c r="D141" s="2">
        <f>C52</f>
        <v/>
      </c>
      <c r="E141" s="2">
        <f>B52</f>
        <v/>
      </c>
      <c r="F141" s="2" t="n">
        <v>4</v>
      </c>
    </row>
    <row r="142">
      <c r="A142" s="2">
        <f>Summary!A41</f>
        <v/>
      </c>
      <c r="B142" s="2">
        <f>IF(C53&gt;0,"YES","NO")</f>
        <v/>
      </c>
      <c r="C142" s="14">
        <f t="array" ref="C142">IF(C53=0,"-",_xlfn.TEXTJOIN(", ",TRUE,IF(Summary!$B$41:$AB$41="Passed on test",Summary!$B$1:$AB$1,"")))</f>
        <v/>
      </c>
      <c r="D142" s="2">
        <f>C53</f>
        <v/>
      </c>
      <c r="E142" s="2">
        <f>B53</f>
        <v/>
      </c>
      <c r="F142" s="2" t="n">
        <v>4</v>
      </c>
    </row>
    <row r="143">
      <c r="A143" s="2">
        <f>Summary!A42</f>
        <v/>
      </c>
      <c r="B143" s="2">
        <f>IF(C54&gt;0,"YES","NO")</f>
        <v/>
      </c>
      <c r="C143" s="14">
        <f t="array" ref="C143">IF(C54=0,"-",_xlfn.TEXTJOIN(", ",TRUE,IF(Summary!$B$42:$AB$42="Passed on test",Summary!$B$1:$AB$1,"")))</f>
        <v/>
      </c>
      <c r="D143" s="2">
        <f>C54</f>
        <v/>
      </c>
      <c r="E143" s="2">
        <f>B54</f>
        <v/>
      </c>
      <c r="F143" s="2" t="n">
        <v>5</v>
      </c>
    </row>
    <row r="144">
      <c r="A144" s="2">
        <f>Summary!A43</f>
        <v/>
      </c>
      <c r="B144" s="2">
        <f>IF(C55&gt;0,"YES","NO")</f>
        <v/>
      </c>
      <c r="C144" s="14">
        <f t="array" ref="C144">IF(C55=0,"-",_xlfn.TEXTJOIN(", ",TRUE,IF(Summary!$B$43:$AB$43="Passed on test",Summary!$B$1:$AB$1,"")))</f>
        <v/>
      </c>
      <c r="D144" s="2">
        <f>C55</f>
        <v/>
      </c>
      <c r="E144" s="2">
        <f>B55</f>
        <v/>
      </c>
      <c r="F144" s="2" t="n">
        <v>5</v>
      </c>
    </row>
    <row r="145">
      <c r="A145" s="2">
        <f>Summary!A44</f>
        <v/>
      </c>
      <c r="B145" s="2">
        <f>IF(C56&gt;0,"YES","NO")</f>
        <v/>
      </c>
      <c r="C145" s="14">
        <f t="array" ref="C145">IF(C56=0,"-",_xlfn.TEXTJOIN(", ",TRUE,IF(Summary!$B$44:$AB$44="Passed on test",Summary!$B$1:$AB$1,"")))</f>
        <v/>
      </c>
      <c r="D145" s="2">
        <f>C56</f>
        <v/>
      </c>
      <c r="E145" s="2">
        <f>B56</f>
        <v/>
      </c>
      <c r="F145" s="2" t="n">
        <v>5</v>
      </c>
    </row>
    <row r="146">
      <c r="A146" s="2">
        <f>Summary!A45</f>
        <v/>
      </c>
      <c r="B146" s="2">
        <f>IF(C57&gt;0,"YES","NO")</f>
        <v/>
      </c>
      <c r="C146" s="14">
        <f t="array" ref="C146">IF(C57=0,"-",_xlfn.TEXTJOIN(", ",TRUE,IF(Summary!$B$45:$AB$45="Passed on test",Summary!$B$1:$AB$1,"")))</f>
        <v/>
      </c>
      <c r="D146" s="2">
        <f>C57</f>
        <v/>
      </c>
      <c r="E146" s="2">
        <f>B57</f>
        <v/>
      </c>
      <c r="F146" s="2" t="n">
        <v>5</v>
      </c>
    </row>
    <row r="147">
      <c r="A147" s="2">
        <f>Summary!A46</f>
        <v/>
      </c>
      <c r="B147" s="2">
        <f>IF(C58&gt;0,"YES","NO")</f>
        <v/>
      </c>
      <c r="C147" s="14">
        <f t="array" ref="C147">IF(C58=0,"-",_xlfn.TEXTJOIN(", ",TRUE,IF(Summary!$B$46:$AB$46="Passed on test",Summary!$B$1:$AB$1,"")))</f>
        <v/>
      </c>
      <c r="D147" s="2">
        <f>C58</f>
        <v/>
      </c>
      <c r="E147" s="2">
        <f>B58</f>
        <v/>
      </c>
      <c r="F147" s="2" t="n">
        <v>5</v>
      </c>
    </row>
    <row r="148">
      <c r="A148" s="2">
        <f>Summary!A47</f>
        <v/>
      </c>
      <c r="B148" s="2">
        <f>IF(C59&gt;0,"YES","NO")</f>
        <v/>
      </c>
      <c r="C148" s="14">
        <f t="array" ref="C148">IF(C59=0,"-",_xlfn.TEXTJOIN(", ",TRUE,IF(Summary!$B$47:$AB$47="Passed on test",Summary!$B$1:$AB$1,"")))</f>
        <v/>
      </c>
      <c r="D148" s="2">
        <f>C59</f>
        <v/>
      </c>
      <c r="E148" s="2">
        <f>B59</f>
        <v/>
      </c>
      <c r="F148" s="2" t="n">
        <v>5</v>
      </c>
    </row>
    <row r="149">
      <c r="A149" s="2">
        <f>Summary!A48</f>
        <v/>
      </c>
      <c r="B149" s="2">
        <f>IF(C60&gt;0,"YES","NO")</f>
        <v/>
      </c>
      <c r="C149" s="14">
        <f t="array" ref="C149">IF(C60=0,"-",_xlfn.TEXTJOIN(", ",TRUE,IF(Summary!$B$48:$AB$48="Passed on test",Summary!$B$1:$AB$1,"")))</f>
        <v/>
      </c>
      <c r="D149" s="2">
        <f>C60</f>
        <v/>
      </c>
      <c r="E149" s="2">
        <f>B60</f>
        <v/>
      </c>
      <c r="F149" s="2" t="n">
        <v>5</v>
      </c>
    </row>
    <row r="150">
      <c r="A150" s="2">
        <f>Summary!A49</f>
        <v/>
      </c>
      <c r="B150" s="2">
        <f>IF(C61&gt;0,"YES","NO")</f>
        <v/>
      </c>
      <c r="C150" s="14">
        <f t="array" ref="C150">IF(C61=0,"-",_xlfn.TEXTJOIN(", ",TRUE,IF(Summary!$B$49:$AB$49="Passed on test",Summary!$B$1:$AB$1,"")))</f>
        <v/>
      </c>
      <c r="D150" s="2">
        <f>C61</f>
        <v/>
      </c>
      <c r="E150" s="2">
        <f>B61</f>
        <v/>
      </c>
      <c r="F150" s="2" t="n">
        <v>5</v>
      </c>
    </row>
    <row r="151">
      <c r="A151" s="2">
        <f>Summary!A50</f>
        <v/>
      </c>
      <c r="B151" s="2">
        <f>IF(C62&gt;0,"YES","NO")</f>
        <v/>
      </c>
      <c r="C151" s="14">
        <f t="array" ref="C151">IF(C62=0,"-",_xlfn.TEXTJOIN(", ",TRUE,IF(Summary!$B$50:$AB$50="Passed on test",Summary!$B$1:$AB$1,"")))</f>
        <v/>
      </c>
      <c r="D151" s="2">
        <f>C62</f>
        <v/>
      </c>
      <c r="E151" s="2">
        <f>B62</f>
        <v/>
      </c>
      <c r="F151" s="2" t="n">
        <v>5</v>
      </c>
    </row>
    <row r="152">
      <c r="A152" s="2">
        <f>Summary!A51</f>
        <v/>
      </c>
      <c r="B152" s="2">
        <f>IF(C63&gt;0,"YES","NO")</f>
        <v/>
      </c>
      <c r="C152" s="14">
        <f t="array" ref="C152">IF(C63=0,"-",_xlfn.TEXTJOIN(", ",TRUE,IF(Summary!$B$51:$AB$51="Passed on test",Summary!$B$1:$AB$1,"")))</f>
        <v/>
      </c>
      <c r="D152" s="2">
        <f>C63</f>
        <v/>
      </c>
      <c r="E152" s="2">
        <f>B63</f>
        <v/>
      </c>
      <c r="F152" s="2" t="n">
        <v>5</v>
      </c>
    </row>
    <row r="153">
      <c r="A153" s="2">
        <f>Summary!A52</f>
        <v/>
      </c>
      <c r="B153" s="2">
        <f>IF(C64&gt;0,"YES","NO")</f>
        <v/>
      </c>
      <c r="C153" s="14">
        <f t="array" ref="C153">IF(C64=0,"-",_xlfn.TEXTJOIN(", ",TRUE,IF(Summary!$B$52:$AB$52="Passed on test",Summary!$B$1:$AB$1,"")))</f>
        <v/>
      </c>
      <c r="D153" s="2">
        <f>C64</f>
        <v/>
      </c>
      <c r="E153" s="2">
        <f>B64</f>
        <v/>
      </c>
      <c r="F153" s="2" t="n">
        <v>6</v>
      </c>
    </row>
    <row r="154">
      <c r="A154" s="2">
        <f>Summary!A53</f>
        <v/>
      </c>
      <c r="B154" s="2">
        <f>IF(C65&gt;0,"YES","NO")</f>
        <v/>
      </c>
      <c r="C154" s="14">
        <f t="array" ref="C154">IF(C65=0,"-",_xlfn.TEXTJOIN(", ",TRUE,IF(Summary!$B$53:$AB$53="Passed on test",Summary!$B$1:$AB$1,"")))</f>
        <v/>
      </c>
      <c r="D154" s="2">
        <f>C65</f>
        <v/>
      </c>
      <c r="E154" s="2">
        <f>B65</f>
        <v/>
      </c>
      <c r="F154" s="2" t="n">
        <v>6</v>
      </c>
    </row>
    <row r="155">
      <c r="A155" s="2">
        <f>Summary!A54</f>
        <v/>
      </c>
      <c r="B155" s="2">
        <f>IF(C66&gt;0,"YES","NO")</f>
        <v/>
      </c>
      <c r="C155" s="14">
        <f t="array" ref="C155">IF(C66=0,"-",_xlfn.TEXTJOIN(", ",TRUE,IF(Summary!$B$54:$AB$54="Passed on test",Summary!$B$1:$AB$1,"")))</f>
        <v/>
      </c>
      <c r="D155" s="2">
        <f>C66</f>
        <v/>
      </c>
      <c r="E155" s="2">
        <f>B66</f>
        <v/>
      </c>
      <c r="F155" s="2" t="n">
        <v>6</v>
      </c>
    </row>
    <row r="156">
      <c r="A156" s="2">
        <f>Summary!A55</f>
        <v/>
      </c>
      <c r="B156" s="2">
        <f>IF(C67&gt;0,"YES","NO")</f>
        <v/>
      </c>
      <c r="C156" s="14">
        <f t="array" ref="C156">IF(C67=0,"-",_xlfn.TEXTJOIN(", ",TRUE,IF(Summary!$B$55:$AB$55="Passed on test",Summary!$B$1:$AB$1,"")))</f>
        <v/>
      </c>
      <c r="D156" s="2">
        <f>C67</f>
        <v/>
      </c>
      <c r="E156" s="2">
        <f>B67</f>
        <v/>
      </c>
      <c r="F156" s="2" t="n">
        <v>6</v>
      </c>
    </row>
    <row r="157">
      <c r="A157" s="2">
        <f>Summary!A56</f>
        <v/>
      </c>
      <c r="B157" s="2">
        <f>IF(C68&gt;0,"YES","NO")</f>
        <v/>
      </c>
      <c r="C157" s="14">
        <f t="array" ref="C157">IF(C68=0,"-",_xlfn.TEXTJOIN(", ",TRUE,IF(Summary!$B$56:$AB$56="Passed on test",Summary!$B$1:$AB$1,"")))</f>
        <v/>
      </c>
      <c r="D157" s="2">
        <f>C68</f>
        <v/>
      </c>
      <c r="E157" s="2">
        <f>B68</f>
        <v/>
      </c>
      <c r="F157" s="2" t="n">
        <v>6</v>
      </c>
    </row>
    <row r="158">
      <c r="A158" s="2">
        <f>Summary!A57</f>
        <v/>
      </c>
      <c r="B158" s="2">
        <f>IF(C69&gt;0,"YES","NO")</f>
        <v/>
      </c>
      <c r="C158" s="14">
        <f t="array" ref="C158">IF(C69=0,"-",_xlfn.TEXTJOIN(", ",TRUE,IF(Summary!$B$57:$AB$57="Passed on test",Summary!$B$1:$AB$1,"")))</f>
        <v/>
      </c>
      <c r="D158" s="2">
        <f>C69</f>
        <v/>
      </c>
      <c r="E158" s="2">
        <f>B69</f>
        <v/>
      </c>
      <c r="F158" s="2" t="n">
        <v>6</v>
      </c>
    </row>
    <row r="159">
      <c r="A159" s="2">
        <f>Summary!A58</f>
        <v/>
      </c>
      <c r="B159" s="2">
        <f>IF(C70&gt;0,"YES","NO")</f>
        <v/>
      </c>
      <c r="C159" s="14">
        <f t="array" ref="C159">IF(C70=0,"-",_xlfn.TEXTJOIN(", ",TRUE,IF(Summary!$B$58:$AB$58="Passed on test",Summary!$B$1:$AB$1,"")))</f>
        <v/>
      </c>
      <c r="D159" s="2">
        <f>C70</f>
        <v/>
      </c>
      <c r="E159" s="2">
        <f>B70</f>
        <v/>
      </c>
      <c r="F159" s="2" t="n">
        <v>6</v>
      </c>
    </row>
    <row r="160">
      <c r="A160" s="2">
        <f>Summary!A59</f>
        <v/>
      </c>
      <c r="B160" s="2">
        <f>IF(C71&gt;0,"YES","NO")</f>
        <v/>
      </c>
      <c r="C160" s="14">
        <f t="array" ref="C160">IF(C71=0,"-",_xlfn.TEXTJOIN(", ",TRUE,IF(Summary!$B$59:$AB$59="Passed on test",Summary!$B$1:$AB$1,"")))</f>
        <v/>
      </c>
      <c r="D160" s="2">
        <f>C71</f>
        <v/>
      </c>
      <c r="E160" s="2">
        <f>B71</f>
        <v/>
      </c>
      <c r="F160" s="2" t="n">
        <v>6</v>
      </c>
    </row>
    <row r="161">
      <c r="A161" s="2">
        <f>Summary!A60</f>
        <v/>
      </c>
      <c r="B161" s="2">
        <f>IF(C72&gt;0,"YES","NO")</f>
        <v/>
      </c>
      <c r="C161" s="14">
        <f t="array" ref="C161">IF(C72=0,"-",_xlfn.TEXTJOIN(", ",TRUE,IF(Summary!$B$60:$AB$60="Passed on test",Summary!$B$1:$AB$1,"")))</f>
        <v/>
      </c>
      <c r="D161" s="2">
        <f>C72</f>
        <v/>
      </c>
      <c r="E161" s="2">
        <f>B72</f>
        <v/>
      </c>
      <c r="F161" s="2" t="n">
        <v>6</v>
      </c>
    </row>
    <row r="162">
      <c r="A162" s="2">
        <f>Summary!A61</f>
        <v/>
      </c>
      <c r="B162" s="2">
        <f>IF(C73&gt;0,"YES","NO")</f>
        <v/>
      </c>
      <c r="C162" s="14">
        <f t="array" ref="C162">IF(C73=0,"-",_xlfn.TEXTJOIN(", ",TRUE,IF(Summary!$B$61:$AB$61="Passed on test",Summary!$B$1:$AB$1,"")))</f>
        <v/>
      </c>
      <c r="D162" s="2">
        <f>C73</f>
        <v/>
      </c>
      <c r="E162" s="2">
        <f>B73</f>
        <v/>
      </c>
      <c r="F162" s="2" t="n">
        <v>6</v>
      </c>
    </row>
    <row r="163">
      <c r="A163" s="2">
        <f>Summary!A62</f>
        <v/>
      </c>
      <c r="B163" s="2">
        <f>IF(C74&gt;0,"YES","NO")</f>
        <v/>
      </c>
      <c r="C163" s="14">
        <f t="array" ref="C163">IF(C74=0,"-",_xlfn.TEXTJOIN(", ",TRUE,IF(Summary!$B$62:$AB$62="Passed on test",Summary!$B$1:$AB$1,"")))</f>
        <v/>
      </c>
      <c r="D163" s="2">
        <f>C74</f>
        <v/>
      </c>
      <c r="E163" s="2">
        <f>B74</f>
        <v/>
      </c>
      <c r="F163" s="2" t="n">
        <v>7</v>
      </c>
    </row>
    <row r="164">
      <c r="A164" s="2">
        <f>Summary!A63</f>
        <v/>
      </c>
      <c r="B164" s="2">
        <f>IF(C75&gt;0,"YES","NO")</f>
        <v/>
      </c>
      <c r="C164" s="14">
        <f t="array" ref="C164">IF(C75=0,"-",_xlfn.TEXTJOIN(", ",TRUE,IF(Summary!$B$63:$AB$63="Passed on test",Summary!$B$1:$AB$1,"")))</f>
        <v/>
      </c>
      <c r="D164" s="2">
        <f>C75</f>
        <v/>
      </c>
      <c r="E164" s="2">
        <f>B75</f>
        <v/>
      </c>
      <c r="F164" s="2" t="n">
        <v>7</v>
      </c>
    </row>
    <row r="165">
      <c r="A165" s="2">
        <f>Summary!A64</f>
        <v/>
      </c>
      <c r="B165" s="2">
        <f>IF(C76&gt;0,"YES","NO")</f>
        <v/>
      </c>
      <c r="C165" s="14">
        <f t="array" ref="C165">IF(C76=0,"-",_xlfn.TEXTJOIN(", ",TRUE,IF(Summary!$B$64:$AB$64="Passed on test",Summary!$B$1:$AB$1,"")))</f>
        <v/>
      </c>
      <c r="D165" s="2">
        <f>C76</f>
        <v/>
      </c>
      <c r="E165" s="2">
        <f>B76</f>
        <v/>
      </c>
      <c r="F165" s="2" t="n">
        <v>7</v>
      </c>
    </row>
    <row r="166">
      <c r="A166" s="2">
        <f>Summary!A65</f>
        <v/>
      </c>
      <c r="B166" s="2">
        <f>IF(C77&gt;0,"YES","NO")</f>
        <v/>
      </c>
      <c r="C166" s="14">
        <f t="array" ref="C166">IF(C77=0,"-",_xlfn.TEXTJOIN(", ",TRUE,IF(Summary!$B$65:$AB$65="Passed on test",Summary!$B$1:$AB$1,"")))</f>
        <v/>
      </c>
      <c r="D166" s="2">
        <f>C77</f>
        <v/>
      </c>
      <c r="E166" s="2">
        <f>B77</f>
        <v/>
      </c>
      <c r="F166" s="2" t="n">
        <v>7</v>
      </c>
    </row>
    <row r="167">
      <c r="A167" s="2">
        <f>Summary!A66</f>
        <v/>
      </c>
      <c r="B167" s="2">
        <f>IF(C78&gt;0,"YES","NO")</f>
        <v/>
      </c>
      <c r="C167" s="14">
        <f t="array" ref="C167">IF(C78=0,"-",_xlfn.TEXTJOIN(", ",TRUE,IF(Summary!$B$66:$AB$66="Passed on test",Summary!$B$1:$AB$1,"")))</f>
        <v/>
      </c>
      <c r="D167" s="2">
        <f>C78</f>
        <v/>
      </c>
      <c r="E167" s="2">
        <f>B78</f>
        <v/>
      </c>
      <c r="F167" s="2" t="n">
        <v>7</v>
      </c>
    </row>
    <row r="168">
      <c r="A168" s="2">
        <f>Summary!A67</f>
        <v/>
      </c>
      <c r="B168" s="2">
        <f>IF(C79&gt;0,"YES","NO")</f>
        <v/>
      </c>
      <c r="C168" s="14">
        <f t="array" ref="C168">IF(C79=0,"-",_xlfn.TEXTJOIN(", ",TRUE,IF(Summary!$B$67:$AB$67="Passed on test",Summary!$B$1:$AB$1,"")))</f>
        <v/>
      </c>
      <c r="D168" s="2">
        <f>C79</f>
        <v/>
      </c>
      <c r="E168" s="2">
        <f>B79</f>
        <v/>
      </c>
      <c r="F168" s="2" t="n">
        <v>7</v>
      </c>
    </row>
    <row r="169">
      <c r="A169" s="2">
        <f>Summary!A68</f>
        <v/>
      </c>
      <c r="B169" s="2">
        <f>IF(C80&gt;0,"YES","NO")</f>
        <v/>
      </c>
      <c r="C169" s="14">
        <f t="array" ref="C169">IF(C80=0,"-",_xlfn.TEXTJOIN(", ",TRUE,IF(Summary!$B$68:$AB$68="Passed on test",Summary!$B$1:$AB$1,"")))</f>
        <v/>
      </c>
      <c r="D169" s="2">
        <f>C80</f>
        <v/>
      </c>
      <c r="E169" s="2">
        <f>B80</f>
        <v/>
      </c>
      <c r="F169" s="2" t="n">
        <v>7</v>
      </c>
    </row>
    <row r="170">
      <c r="A170" s="2">
        <f>Summary!A69</f>
        <v/>
      </c>
      <c r="B170" s="2">
        <f>IF(C81&gt;0,"YES","NO")</f>
        <v/>
      </c>
      <c r="C170" s="14">
        <f t="array" ref="C170">IF(C81=0,"-",_xlfn.TEXTJOIN(", ",TRUE,IF(Summary!$B$69:$AB$69="Passed on test",Summary!$B$1:$AB$1,"")))</f>
        <v/>
      </c>
      <c r="D170" s="2">
        <f>C81</f>
        <v/>
      </c>
      <c r="E170" s="2">
        <f>B81</f>
        <v/>
      </c>
      <c r="F170" s="2" t="n">
        <v>8</v>
      </c>
    </row>
    <row r="171">
      <c r="A171" s="2">
        <f>Summary!A70</f>
        <v/>
      </c>
      <c r="B171" s="2">
        <f>IF(C82&gt;0,"YES","NO")</f>
        <v/>
      </c>
      <c r="C171" s="14">
        <f t="array" ref="C171">IF(C82=0,"-",_xlfn.TEXTJOIN(", ",TRUE,IF(Summary!$B$70:$AB$70="Passed on test",Summary!$B$1:$AB$1,"")))</f>
        <v/>
      </c>
      <c r="D171" s="2">
        <f>C82</f>
        <v/>
      </c>
      <c r="E171" s="2">
        <f>B82</f>
        <v/>
      </c>
      <c r="F171" s="2" t="n">
        <v>8</v>
      </c>
    </row>
    <row r="172">
      <c r="A172" s="2">
        <f>Summary!A71</f>
        <v/>
      </c>
      <c r="B172" s="2">
        <f>IF(C83&gt;0,"YES","NO")</f>
        <v/>
      </c>
      <c r="C172" s="14">
        <f t="array" ref="C172">IF(C83=0,"-",_xlfn.TEXTJOIN(", ",TRUE,IF(Summary!$B$71:$AB$71="Passed on test",Summary!$B$1:$AB$1,"")))</f>
        <v/>
      </c>
      <c r="D172" s="2">
        <f>C83</f>
        <v/>
      </c>
      <c r="E172" s="2">
        <f>B83</f>
        <v/>
      </c>
      <c r="F172" s="2" t="n">
        <v>8</v>
      </c>
    </row>
    <row r="173">
      <c r="A173" s="2">
        <f>Summary!A72</f>
        <v/>
      </c>
      <c r="B173" s="2">
        <f>IF(C84&gt;0,"YES","NO")</f>
        <v/>
      </c>
      <c r="C173" s="14">
        <f t="array" ref="C173">IF(C84=0,"-",_xlfn.TEXTJOIN(", ",TRUE,IF(Summary!$B$72:$AB$72="Passed on test",Summary!$B$1:$AB$1,"")))</f>
        <v/>
      </c>
      <c r="D173" s="2">
        <f>C84</f>
        <v/>
      </c>
      <c r="E173" s="2">
        <f>B84</f>
        <v/>
      </c>
      <c r="F173" s="2" t="n">
        <v>8</v>
      </c>
    </row>
    <row r="174">
      <c r="A174" s="2">
        <f>Summary!A73</f>
        <v/>
      </c>
      <c r="B174" s="2">
        <f>IF(C85&gt;0,"YES","NO")</f>
        <v/>
      </c>
      <c r="C174" s="14">
        <f t="array" ref="C174">IF(C85=0,"-",_xlfn.TEXTJOIN(", ",TRUE,IF(Summary!$B$73:$AB$73="Passed on test",Summary!$B$1:$AB$1,"")))</f>
        <v/>
      </c>
      <c r="D174" s="2">
        <f>C85</f>
        <v/>
      </c>
      <c r="E174" s="2">
        <f>B85</f>
        <v/>
      </c>
      <c r="F174" s="2" t="n">
        <v>8</v>
      </c>
    </row>
    <row r="175">
      <c r="A175" s="2">
        <f>Summary!A74</f>
        <v/>
      </c>
      <c r="B175" s="2">
        <f>IF(C86&gt;0,"YES","NO")</f>
        <v/>
      </c>
      <c r="C175" s="14">
        <f t="array" ref="C175">IF(C86=0,"-",_xlfn.TEXTJOIN(", ",TRUE,IF(Summary!$B$74:$AB$74="Passed on test",Summary!$B$1:$AB$1,"")))</f>
        <v/>
      </c>
      <c r="D175" s="2">
        <f>C86</f>
        <v/>
      </c>
      <c r="E175" s="2">
        <f>B86</f>
        <v/>
      </c>
      <c r="F175" s="2" t="n">
        <v>8</v>
      </c>
    </row>
    <row r="176">
      <c r="A176">
        <f>IF(B100=0,"Every case passed on either all or none of its versions, so the at-least-one count equals the strict count.","Some cases passed on only part of their versions; see the table above.")</f>
        <v/>
      </c>
    </row>
    <row r="177"/>
    <row r="178">
      <c r="A178" s="7" t="inlineStr">
        <is>
          <t>5. Notes: every case, its versions and what happened</t>
        </is>
      </c>
    </row>
    <row r="179">
      <c r="A179" s="1" t="inlineStr">
        <is>
          <t>Result</t>
        </is>
      </c>
      <c r="B179" s="1" t="inlineStr">
        <is>
          <t>Case</t>
        </is>
      </c>
      <c r="C179" s="1" t="inlineStr">
        <is>
          <t>Versions</t>
        </is>
      </c>
      <c r="D179" s="1" t="inlineStr">
        <is>
          <t># versions</t>
        </is>
      </c>
      <c r="E179" s="1" t="inlineStr">
        <is>
          <t>Error type</t>
        </is>
      </c>
      <c r="F179" s="1" t="inlineStr">
        <is>
          <t>Error message (last traceback line)</t>
        </is>
      </c>
      <c r="G179" s="1" t="inlineStr">
        <is>
          <t>What happened (plain English)</t>
        </is>
      </c>
      <c r="H179" s="1" t="inlineStr">
        <is>
          <t>Batch</t>
        </is>
      </c>
    </row>
    <row r="180">
      <c r="A180" s="15" t="inlineStr">
        <is>
          <t>Passed on test</t>
        </is>
      </c>
      <c r="B180" s="14" t="inlineStr">
        <is>
          <t>issue_009</t>
        </is>
      </c>
      <c r="C180" s="14" t="inlineStr">
        <is>
          <t>0.45.0, 0.45.1, 0.45.2, 0.45.3, 0.46.0, 0.46.1, 0.46.2, 0.46.3</t>
        </is>
      </c>
      <c r="D180" s="14" t="n">
        <v>8</v>
      </c>
      <c r="E180" s="14" t="n"/>
      <c r="F180" s="14" t="n"/>
      <c r="G180" s="14" t="inlineStr">
        <is>
          <t>The LLM removed the invalid layout_method='csp_layout' and kept optimization_level=3, so transpile uses its preset layout stage (which already tries a perfect CSP/VF2 layout first). This matches the reference's idea of replacing the invalid name with a valid choice (the reference picks 'noise_adaptive').</t>
        </is>
      </c>
      <c r="H180" s="14" t="n">
        <v>1</v>
      </c>
    </row>
    <row r="181">
      <c r="A181" s="16" t="inlineStr">
        <is>
          <t>Failed on test</t>
        </is>
      </c>
      <c r="B181" s="14" t="inlineStr">
        <is>
          <t>issue_018_se</t>
        </is>
      </c>
      <c r="C181" s="14" t="inlineStr">
        <is>
          <t>1.0.0, 1.0.1, 1.0.2, 1.1.0, 1.1.1, 1.1.2, 1.2.0, 1.2.1, 1.2.2, 1.2.4, 2.0.0, 2.2.0, 2.3.0, 2.4.0, 2.5.0</t>
        </is>
      </c>
      <c r="D181" s="14" t="n">
        <v>15</v>
      </c>
      <c r="E181" s="14" t="inlineStr">
        <is>
          <t>AssertionError</t>
        </is>
      </c>
      <c r="F181" s="14" t="inlineStr">
        <is>
          <t>RuntimeError: SIMULATOR_PROCESS_ERROR: exit=3221226356 (0xC0000374); AssertionError:</t>
        </is>
      </c>
      <c r="G181" s="14" t="inlineStr">
        <is>
          <t>The LLM swapped x and y in the answer-reading code (Alice's row answer now uses x, Bob's column answer uses y), but the bug is in which qubits the players measure, so the exact loss probability is still 0.5 on six of the nine inputs. The simulator check also hits the known Windows Aer native crash, as the reference does.</t>
        </is>
      </c>
      <c r="H181" s="14" t="n">
        <v>1</v>
      </c>
    </row>
    <row r="182">
      <c r="A182" s="17" t="inlineStr">
        <is>
          <t>Runtime error</t>
        </is>
      </c>
      <c r="B182" s="14" t="inlineStr">
        <is>
          <t>issue_021_se</t>
        </is>
      </c>
      <c r="C182" s="14" t="inlineStr">
        <is>
          <t>0.25.0, 0.25.1, 0.25.2, 0.25.3, 0.45.0, 0.45.1, 0.45.2, 0.45.3, 0.46.0, 0.46.1, 0.46.2, 0.46.3</t>
        </is>
      </c>
      <c r="D182" s="14" t="n">
        <v>12</v>
      </c>
      <c r="E182" s="14" t="inlineStr">
        <is>
          <t>QiskitError</t>
        </is>
      </c>
      <c r="F182" s="14" t="inlineStr">
        <is>
          <t>qiskit.exceptions.QiskitError: 'You have to select a circuit or schedule when there is more than one available'</t>
        </is>
      </c>
      <c r="G182" s="14" t="inlineStr">
        <is>
          <t>The LLM passed circuit.decompose() to assemble(), but decompose() only goes one level deep, so what initialize() expands into is still not a basic gate and Aer rejects the circuit: disentangler_dg on 0.25.x ('Circuit contains invalid instructions') and state_preparation on 0.45.x / 0.46.x ('Invalid gate name', after which get_statevector() raises 'You have to select a circuit or schedule'). The reference uses execute(), which fully transpiles the circuit.</t>
        </is>
      </c>
      <c r="H182" s="14" t="n">
        <v>1</v>
      </c>
    </row>
    <row r="183">
      <c r="A183" s="15" t="inlineStr">
        <is>
          <t>Passed on test</t>
        </is>
      </c>
      <c r="B183" s="14" t="inlineStr">
        <is>
          <t>issue_032_se</t>
        </is>
      </c>
      <c r="C183" s="14" t="inlineStr">
        <is>
          <t>0.25.0, 0.25.1, 0.25.2, 0.25.3</t>
        </is>
      </c>
      <c r="D183" s="14" t="n">
        <v>4</v>
      </c>
      <c r="E183" s="14" t="n"/>
      <c r="F183" s="14" t="n"/>
      <c r="G183" s="14" t="inlineStr">
        <is>
          <t>The LLM imported iSwapGate and passed iSwapGate() as entanglement_blocks instead of the unrecognised string 'iswap'.</t>
        </is>
      </c>
      <c r="H183" s="14" t="n">
        <v>1</v>
      </c>
    </row>
    <row r="184">
      <c r="A184" s="15" t="inlineStr">
        <is>
          <t>Passed on test</t>
        </is>
      </c>
      <c r="B184" s="14" t="inlineStr">
        <is>
          <t>issue_034</t>
        </is>
      </c>
      <c r="C184" s="14" t="inlineStr">
        <is>
          <t>1.0.0, 1.0.1, 1.0.2, 1.1.0, 1.1.1, 1.1.2, 1.2.0, 1.2.1, 1.2.2, 1.2.4, 2.0.0, 2.2.0, 2.3.0, 2.4.0, 2.5.0</t>
        </is>
      </c>
      <c r="D184" s="14" t="n">
        <v>15</v>
      </c>
      <c r="E184" s="14" t="n"/>
      <c r="F184" s="14" t="n"/>
      <c r="G184" s="14" t="inlineStr">
        <is>
          <t>The LLM imported Aer from qiskit_aer instead of qiskit, where it no longer exists.</t>
        </is>
      </c>
      <c r="H184" s="14" t="n">
        <v>1</v>
      </c>
    </row>
    <row r="185">
      <c r="A185" s="15" t="inlineStr">
        <is>
          <t>Passed on test</t>
        </is>
      </c>
      <c r="B185" s="14" t="inlineStr">
        <is>
          <t>issue_036</t>
        </is>
      </c>
      <c r="C185" s="14" t="inlineStr">
        <is>
          <t>1.0.0, 1.0.1, 1.0.2, 1.1.0, 1.1.1, 1.1.2, 1.2.0, 1.2.1, 1.2.2, 1.2.4, 2.0.0, 2.2.0, 2.3.0, 2.4.0, 2.5.0</t>
        </is>
      </c>
      <c r="D185" s="14" t="n">
        <v>15</v>
      </c>
      <c r="E185" s="14" t="n"/>
      <c r="F185" s="14" t="n"/>
      <c r="G185" s="14" t="inlineStr">
        <is>
          <t>The LLM replaced the removed QuantumCircuit.qasm() with qasm2.dumps(c).</t>
        </is>
      </c>
      <c r="H185" s="14" t="n">
        <v>1</v>
      </c>
    </row>
    <row r="186">
      <c r="A186" s="15" t="inlineStr">
        <is>
          <t>Passed on test</t>
        </is>
      </c>
      <c r="B186" s="14" t="inlineStr">
        <is>
          <t>issue_058_se</t>
        </is>
      </c>
      <c r="C186" s="14" t="inlineStr">
        <is>
          <t>0.25.0, 0.25.1, 0.25.2, 0.25.3, 0.45.0, 0.45.1, 0.45.2, 0.45.3, 0.46.0, 0.46.1, 0.46.2, 0.46.3</t>
        </is>
      </c>
      <c r="D186" s="14" t="n">
        <v>12</v>
      </c>
      <c r="E186" s="14" t="n"/>
      <c r="F186" s="14" t="n"/>
      <c r="G186" s="14" t="inlineStr">
        <is>
          <t>The LLM transpiled the circuit for the backend before backend.run(), so the custom diffuser gate is decomposed into gates Aer supports.</t>
        </is>
      </c>
      <c r="H186" s="14" t="n">
        <v>1</v>
      </c>
    </row>
    <row r="187">
      <c r="A187" s="15" t="inlineStr">
        <is>
          <t>Passed on test</t>
        </is>
      </c>
      <c r="B187" s="14" t="inlineStr">
        <is>
          <t>issue_061</t>
        </is>
      </c>
      <c r="C187" s="14" t="inlineStr">
        <is>
          <t>1.0.0, 1.0.1, 1.0.2, 1.1.0, 1.1.1, 1.1.2, 1.2.0, 1.2.1, 1.2.2, 1.2.4, 2.0.0, 2.2.0, 2.3.0, 2.4.0, 2.5.0</t>
        </is>
      </c>
      <c r="D187" s="14" t="n">
        <v>15</v>
      </c>
      <c r="E187" s="14" t="n"/>
      <c r="F187" s="14" t="n"/>
      <c r="G187" s="14" t="inlineStr">
        <is>
          <t>Instead of the removed Bit.register / Bit.index attributes, the LLM finds the register that contains the qubit in qc.qregs and prints the register and register.index(qbit).</t>
        </is>
      </c>
      <c r="H187" s="14" t="n">
        <v>1</v>
      </c>
    </row>
    <row r="188">
      <c r="A188" s="15" t="inlineStr">
        <is>
          <t>Passed on test</t>
        </is>
      </c>
      <c r="B188" s="14" t="inlineStr">
        <is>
          <t>issue_072</t>
        </is>
      </c>
      <c r="C188" s="14" t="inlineStr">
        <is>
          <t>0.25.0, 0.25.1, 0.25.2, 0.25.3</t>
        </is>
      </c>
      <c r="D188" s="14" t="n">
        <v>4</v>
      </c>
      <c r="E188" s="14" t="n"/>
      <c r="F188" s="14" t="n"/>
      <c r="G188" s="14" t="inlineStr">
        <is>
          <t>Qreg[0] and qreg[5] were both mapped to physical qubit 12; the LLM mapped qreg[5] to the unused qubit 15, so the initial layout is valid.</t>
        </is>
      </c>
      <c r="H188" s="14" t="n">
        <v>1</v>
      </c>
    </row>
    <row r="189">
      <c r="A189" s="16" t="inlineStr">
        <is>
          <t>Failed on test</t>
        </is>
      </c>
      <c r="B189" s="14" t="inlineStr">
        <is>
          <t>issue_096</t>
        </is>
      </c>
      <c r="C189" s="14" t="inlineStr">
        <is>
          <t>0.25.0, 0.25.1, 0.25.2, 0.25.3, 0.45.0, 0.45.1, 0.45.2, 0.45.3, 0.46.0, 0.46.1, 0.46.2, 0.46.3, 1.0.0, 1.0.1, 1.0.2, 1.1.0, 1.1.1, 1.1.2, 1.2.0, 1.2.1, 1.2.2, 1.2.4, 2.0.0, 2.2.0, 2.3.0, 2.4.0, 2.5.0</t>
        </is>
      </c>
      <c r="D189" s="14" t="n">
        <v>27</v>
      </c>
      <c r="E189" s="14" t="inlineStr">
        <is>
          <t>AssertionError</t>
        </is>
      </c>
      <c r="F189" s="14" t="inlineStr">
        <is>
          <t>AssertionError: '' != '[default]\n'; AssertionError: False is not true : Missing ipython_kernel_config.py (even when the profile directory already exists)</t>
        </is>
      </c>
      <c r="G189" s="14" t="inlineStr">
        <is>
          <t>The LLM creates ~/.qiskit and an empty settings.conf before reading it, which stops the crash, but the test expects the file to contain a [default] section and the IPython profile's ipython_kernel_config.py to be created, which the fix does not do.</t>
        </is>
      </c>
      <c r="H189" s="14" t="n">
        <v>1</v>
      </c>
    </row>
    <row r="190">
      <c r="A190" s="15" t="inlineStr">
        <is>
          <t>Passed on test</t>
        </is>
      </c>
      <c r="B190" s="14" t="inlineStr">
        <is>
          <t>issue_155</t>
        </is>
      </c>
      <c r="C190" s="14" t="inlineStr">
        <is>
          <t>0.45.0, 0.45.1, 0.45.2, 0.45.3, 0.46.0, 0.46.1, 0.46.2, 0.46.3</t>
        </is>
      </c>
      <c r="D190" s="14" t="n">
        <v>8</v>
      </c>
      <c r="E190" s="14" t="n"/>
      <c r="F190" s="14" t="n"/>
      <c r="G190" s="14" t="inlineStr">
        <is>
          <t>Error on 0.25.x, passed on 0.45.x / 0.46.x: the LLM turned the traced-out registers into qubit indices with qc.find_bit(bit).index, which is correct but QuantumCircuit.find_bit() doesn't exist yet in Qiskit 0.25 (AttributeError).</t>
        </is>
      </c>
      <c r="H190" s="14" t="n">
        <v>2</v>
      </c>
    </row>
    <row r="191">
      <c r="A191" s="17" t="inlineStr">
        <is>
          <t>Runtime error</t>
        </is>
      </c>
      <c r="B191" s="14" t="inlineStr">
        <is>
          <t>issue_155</t>
        </is>
      </c>
      <c r="C191" s="14" t="inlineStr">
        <is>
          <t>0.25.0, 0.25.1, 0.25.2, 0.25.3</t>
        </is>
      </c>
      <c r="D191" s="14" t="n">
        <v>4</v>
      </c>
      <c r="E191" s="14" t="inlineStr">
        <is>
          <t>AttributeError</t>
        </is>
      </c>
      <c r="F191" s="14" t="inlineStr">
        <is>
          <t>AttributeError: 'QuantumCircuit' object has no attribute 'find_bit'</t>
        </is>
      </c>
      <c r="G191" s="14" t="inlineStr">
        <is>
          <t>Error on 0.25.x, passed on 0.45.x / 0.46.x: the LLM turned the traced-out registers into qubit indices with qc.find_bit(bit).index, which is correct but QuantumCircuit.find_bit() doesn't exist yet in Qiskit 0.25 (AttributeError).</t>
        </is>
      </c>
      <c r="H191" s="14" t="n">
        <v>2</v>
      </c>
    </row>
    <row r="192">
      <c r="A192" s="15" t="inlineStr">
        <is>
          <t>Passed on test</t>
        </is>
      </c>
      <c r="B192" s="14" t="inlineStr">
        <is>
          <t>issue_157</t>
        </is>
      </c>
      <c r="C192" s="14" t="inlineStr">
        <is>
          <t>0.45.0, 0.45.1, 0.45.2, 0.45.3, 0.46.0, 0.46.1, 0.46.2, 0.46.3</t>
        </is>
      </c>
      <c r="D192" s="14" t="n">
        <v>8</v>
      </c>
      <c r="E192" s="14" t="n"/>
      <c r="F192" s="14" t="n"/>
      <c r="G192" s="14" t="inlineStr">
        <is>
          <t>Error on 0.25.x, passed on 0.45.x / 0.46.x: the LLM replaced initialize() (which contains a non-unitary reset and can't be controlled) with prepare_state(), which is correct but doesn't exist yet in Qiskit 0.25 (AttributeError).</t>
        </is>
      </c>
      <c r="H192" s="14" t="n">
        <v>2</v>
      </c>
    </row>
    <row r="193">
      <c r="A193" s="17" t="inlineStr">
        <is>
          <t>Runtime error</t>
        </is>
      </c>
      <c r="B193" s="14" t="inlineStr">
        <is>
          <t>issue_157</t>
        </is>
      </c>
      <c r="C193" s="14" t="inlineStr">
        <is>
          <t>0.25.0, 0.25.1, 0.25.2, 0.25.3</t>
        </is>
      </c>
      <c r="D193" s="14" t="n">
        <v>4</v>
      </c>
      <c r="E193" s="14" t="inlineStr">
        <is>
          <t>AttributeError</t>
        </is>
      </c>
      <c r="F193" s="14" t="inlineStr">
        <is>
          <t>AttributeError: 'QuantumCircuit' object has no attribute 'prepare_state'</t>
        </is>
      </c>
      <c r="G193" s="14" t="inlineStr">
        <is>
          <t>Error on 0.25.x, passed on 0.45.x / 0.46.x: the LLM replaced initialize() (which contains a non-unitary reset and can't be controlled) with prepare_state(), which is correct but doesn't exist yet in Qiskit 0.25 (AttributeError).</t>
        </is>
      </c>
      <c r="H193" s="14" t="n">
        <v>2</v>
      </c>
    </row>
    <row r="194">
      <c r="A194" s="17" t="inlineStr">
        <is>
          <t>Runtime error</t>
        </is>
      </c>
      <c r="B194" s="14" t="inlineStr">
        <is>
          <t>issue_174</t>
        </is>
      </c>
      <c r="C194" s="14" t="inlineStr">
        <is>
          <t>0.25.0, 0.25.1, 0.25.2, 0.25.3, 0.45.0, 0.45.1, 0.45.2, 0.45.3, 0.46.0, 0.46.1, 0.46.2, 0.46.3</t>
        </is>
      </c>
      <c r="D194" s="14" t="n">
        <v>12</v>
      </c>
      <c r="E194" s="14" t="inlineStr">
        <is>
          <t>QasmError, QASM2ParseError</t>
        </is>
      </c>
      <c r="F194" s="14" t="inlineStr">
        <is>
          <t>qiskit.qasm2.exceptions.QASM2ParseError: "&lt;input&gt;:10,0: encountered '#', which doesn't match any valid tokens"</t>
        </is>
      </c>
      <c r="G194" s="14" t="inlineStr">
        <is>
          <t>The LLM changed all six conditions to if (c==1), exactly like the reference, but put its '# FIX:' comment inside the QASM string; '#' is not a comment in OpenQASM, so the parser rejects the program (QasmError on 0.25.x, QASM2ParseError on 0.45.x / 0.46.x).</t>
        </is>
      </c>
      <c r="H194" s="14" t="n">
        <v>2</v>
      </c>
    </row>
    <row r="195">
      <c r="A195" s="15" t="inlineStr">
        <is>
          <t>Passed on test</t>
        </is>
      </c>
      <c r="B195" s="14" t="inlineStr">
        <is>
          <t>issue_189</t>
        </is>
      </c>
      <c r="C195" s="14" t="inlineStr">
        <is>
          <t>0.45.0, 0.45.1, 0.45.2, 0.45.3, 0.46.0, 0.46.1, 0.46.2, 0.46.3, 1.0.0, 1.0.1, 1.0.2, 1.1.0, 1.1.1, 1.1.2, 1.2.0, 1.2.1, 1.2.2, 1.2.4, 2.0.0, 2.2.0, 2.3.0, 2.4.0, 2.5.0</t>
        </is>
      </c>
      <c r="D195" s="14" t="n">
        <v>23</v>
      </c>
      <c r="E195" s="14" t="n"/>
      <c r="F195" s="14" t="n"/>
      <c r="G195" s="14" t="inlineStr">
        <is>
          <t>The LLM rebuilt the qubit list as [n - j] + list(range(n, n + lg + 2)), one control qubit plus the system qubits, with the control order reversed relative to the reference. The updated test accepts either control order.</t>
        </is>
      </c>
      <c r="H195" s="14" t="n">
        <v>2</v>
      </c>
    </row>
    <row r="196">
      <c r="A196" s="15" t="inlineStr">
        <is>
          <t>Passed on test</t>
        </is>
      </c>
      <c r="B196" s="14" t="inlineStr">
        <is>
          <t>issue_225</t>
        </is>
      </c>
      <c r="C196" s="14" t="inlineStr">
        <is>
          <t>0.45.0, 0.45.1, 0.45.2, 0.45.3, 0.46.0, 0.46.1, 0.46.2, 0.46.3</t>
        </is>
      </c>
      <c r="D196" s="14" t="n">
        <v>8</v>
      </c>
      <c r="E196" s="14" t="n"/>
      <c r="F196" s="14" t="n"/>
      <c r="G196" s="14" t="inlineStr">
        <is>
          <t>The LLM reshaped the Statevector's .data array instead of calling reshape() on the Statevector object.</t>
        </is>
      </c>
      <c r="H196" s="14" t="n">
        <v>2</v>
      </c>
    </row>
    <row r="197">
      <c r="A197" s="17" t="inlineStr">
        <is>
          <t>Runtime error</t>
        </is>
      </c>
      <c r="B197" s="14" t="inlineStr">
        <is>
          <t>issue_233</t>
        </is>
      </c>
      <c r="C197" s="14" t="inlineStr">
        <is>
          <t>0.25.0, 0.25.1, 0.25.2, 0.25.3, 0.45.0, 0.45.1, 0.45.2, 0.45.3, 0.46.0, 0.46.1, 0.46.2, 0.46.3, 1.0.0, 1.0.1, 1.0.2, 1.1.0, 1.1.1, 1.1.2, 1.2.0, 1.2.1, 1.2.2, 1.2.4, 2.0.0, 2.2.0, 2.3.0, 2.4.0, 2.5.0</t>
        </is>
      </c>
      <c r="D197" s="14" t="n">
        <v>27</v>
      </c>
      <c r="E197" s="14" t="inlineStr">
        <is>
          <t>TypeError</t>
        </is>
      </c>
      <c r="F197" s="14" t="inlineStr">
        <is>
          <t>TypeError: 'int' object is not callable</t>
        </is>
      </c>
      <c r="G197" s="14" t="inlineStr">
        <is>
          <t>The LLM replaced the second print(rot.num_parameters_settable()) with print(rot.num_parameters), but left the identical first call before compose(); num_parameters_settable is an int property in these versions, so calling it raises TypeError: 'int' object is not callable.</t>
        </is>
      </c>
      <c r="H197" s="14" t="n">
        <v>2</v>
      </c>
    </row>
    <row r="198">
      <c r="A198" s="15" t="inlineStr">
        <is>
          <t>Passed on test</t>
        </is>
      </c>
      <c r="B198" s="14" t="inlineStr">
        <is>
          <t>issue_261</t>
        </is>
      </c>
      <c r="C198" s="14" t="inlineStr">
        <is>
          <t>0.25.0, 0.25.1, 0.25.2, 0.25.3, 0.45.0, 0.45.1, 0.45.2, 0.45.3, 0.46.0, 0.46.1, 0.46.2, 0.46.3</t>
        </is>
      </c>
      <c r="D198" s="14" t="n">
        <v>12</v>
      </c>
      <c r="E198" s="14" t="n"/>
      <c r="F198" s="14" t="n"/>
      <c r="G198" s="14" t="inlineStr">
        <is>
          <t>The LLM built the operator by evaluating the Hamiltonian string with eval(), using the imported Qiskit operators, instead of passing the string to PauliOp().</t>
        </is>
      </c>
      <c r="H198" s="14" t="n">
        <v>2</v>
      </c>
    </row>
    <row r="199">
      <c r="A199" s="15" t="inlineStr">
        <is>
          <t>Passed on test</t>
        </is>
      </c>
      <c r="B199" s="14" t="inlineStr">
        <is>
          <t>issue_280</t>
        </is>
      </c>
      <c r="C199" s="14" t="inlineStr">
        <is>
          <t>0.25.0, 0.25.1, 0.25.2, 0.25.3, 0.45.0, 0.45.1, 0.45.2, 0.45.3, 0.46.0, 0.46.1, 0.46.2, 0.46.3</t>
        </is>
      </c>
      <c r="D199" s="14" t="n">
        <v>12</v>
      </c>
      <c r="E199" s="14" t="n"/>
      <c r="F199" s="14" t="n"/>
      <c r="G199" s="14" t="inlineStr">
        <is>
          <t>The LLM added a two-qubit depolarizing_error(0.05, 2) for the cx gate instead of reusing the one-qubit error.</t>
        </is>
      </c>
      <c r="H199" s="14" t="n">
        <v>2</v>
      </c>
    </row>
    <row r="200">
      <c r="A200" s="15" t="inlineStr">
        <is>
          <t>Passed on test</t>
        </is>
      </c>
      <c r="B200" s="14" t="inlineStr">
        <is>
          <t>issue_295</t>
        </is>
      </c>
      <c r="C200" s="14" t="inlineStr">
        <is>
          <t>0.45.0, 0.45.1, 0.45.2, 0.45.3, 0.46.0, 0.46.1, 0.46.2, 0.46.3</t>
        </is>
      </c>
      <c r="D200" s="14" t="n">
        <v>8</v>
      </c>
      <c r="E200" s="14" t="n"/>
      <c r="F200" s="14" t="n"/>
      <c r="G200" s="14" t="inlineStr">
        <is>
          <t>The LLM replaced circuit += oracle with circuit.compose(oracle, inplace=True).</t>
        </is>
      </c>
      <c r="H200" s="14" t="n">
        <v>2</v>
      </c>
    </row>
    <row r="201">
      <c r="A201" s="15" t="inlineStr">
        <is>
          <t>Passed on test</t>
        </is>
      </c>
      <c r="B201" s="14" t="inlineStr">
        <is>
          <t>issue_315</t>
        </is>
      </c>
      <c r="C201" s="14" t="inlineStr">
        <is>
          <t>0.45.0, 0.45.1, 0.45.2, 0.45.3, 0.46.0, 0.46.1, 0.46.2, 0.46.3, 1.0.0, 1.0.1, 1.0.2, 1.1.0, 1.1.1, 1.1.2, 1.2.0, 1.2.1, 1.2.2, 1.2.4, 2.0.0, 2.2.0, 2.3.0, 2.4.0, 2.5.0</t>
        </is>
      </c>
      <c r="D201" s="14" t="n">
        <v>23</v>
      </c>
      <c r="E201" s="14" t="n"/>
      <c r="F201" s="14" t="n"/>
      <c r="G201" s="14" t="inlineStr">
        <is>
          <t>The LLM switched from BasicProvider's basic_simulator to AerSimulator, which supports the parallel options (max_parallel_threads etc.) the user wanted to set.</t>
        </is>
      </c>
      <c r="H201" s="14" t="n">
        <v>2</v>
      </c>
    </row>
    <row r="202">
      <c r="A202" s="15" t="inlineStr">
        <is>
          <t>Passed on test</t>
        </is>
      </c>
      <c r="B202" s="14" t="inlineStr">
        <is>
          <t>issue_344</t>
        </is>
      </c>
      <c r="C202" s="14" t="inlineStr">
        <is>
          <t>0.25.0, 0.25.1, 0.25.2, 0.25.3, 0.45.0, 0.45.1, 0.45.2, 0.45.3, 0.46.0, 0.46.1, 0.46.2, 0.46.3</t>
        </is>
      </c>
      <c r="D202" s="14" t="n">
        <v>12</v>
      </c>
      <c r="E202" s="14" t="n"/>
      <c r="F202" s="14" t="n"/>
      <c r="G202" s="14" t="inlineStr">
        <is>
          <t>The LLM dropped decimals=3 from get_statevector(), so the rounded amplitudes no longer break the normalization check in entropy().</t>
        </is>
      </c>
      <c r="H202" s="14" t="n">
        <v>3</v>
      </c>
    </row>
    <row r="203">
      <c r="A203" s="15" t="inlineStr">
        <is>
          <t>Passed on test</t>
        </is>
      </c>
      <c r="B203" s="14" t="inlineStr">
        <is>
          <t>issue_362</t>
        </is>
      </c>
      <c r="C203" s="14" t="inlineStr">
        <is>
          <t>0.45.0, 0.45.1, 0.45.2, 0.45.3, 0.46.0, 0.46.1, 0.46.2, 0.46.3, 1.0.0, 1.0.1, 1.0.2, 1.1.0, 1.1.1, 1.1.2, 1.2.0, 1.2.1, 1.2.2, 1.2.4, 2.0.0, 2.2.0, 2.3.0, 2.4.0, 2.5.0</t>
        </is>
      </c>
      <c r="D203" s="14" t="n">
        <v>23</v>
      </c>
      <c r="E203" s="14" t="n"/>
      <c r="F203" s="14" t="n"/>
      <c r="G203" s="14" t="inlineStr">
        <is>
          <t>The LLM added circuit.save_unitary(), because choosing the unitary method on the simulator alone doesn't save the unitary in the result.</t>
        </is>
      </c>
      <c r="H203" s="14" t="n">
        <v>3</v>
      </c>
    </row>
    <row r="204">
      <c r="A204" s="15" t="inlineStr">
        <is>
          <t>Passed on test</t>
        </is>
      </c>
      <c r="B204" s="14" t="inlineStr">
        <is>
          <t>issue_369</t>
        </is>
      </c>
      <c r="C204" s="14" t="inlineStr">
        <is>
          <t>0.25.0, 0.25.1, 0.25.2, 0.25.3, 0.45.0, 0.45.1, 0.45.2, 0.45.3, 0.46.0, 0.46.1, 0.46.2, 0.46.3, 1.0.0, 1.0.1, 1.0.2, 1.1.0, 1.1.1, 1.1.2, 1.2.0, 1.2.1, 1.2.2, 1.2.4, 2.0.0, 2.2.0, 2.3.0, 2.4.0, 2.5.0</t>
        </is>
      </c>
      <c r="D204" s="14" t="n">
        <v>27</v>
      </c>
      <c r="E204" s="14" t="n"/>
      <c r="F204" s="14" t="n"/>
      <c r="G204" s="14" t="inlineStr">
        <is>
          <t>The LLM mapped all 17 qubits in compose(csub, range(17)) instead of only the control wire.</t>
        </is>
      </c>
      <c r="H204" s="14" t="n">
        <v>3</v>
      </c>
    </row>
    <row r="205">
      <c r="A205" s="15" t="inlineStr">
        <is>
          <t>Passed on test</t>
        </is>
      </c>
      <c r="B205" s="14" t="inlineStr">
        <is>
          <t>issue_396</t>
        </is>
      </c>
      <c r="C205" s="14" t="inlineStr">
        <is>
          <t>0.25.0, 0.25.1, 0.25.2, 0.25.3, 0.45.0, 0.45.1, 0.45.2, 0.45.3, 0.46.0, 0.46.1, 0.46.2, 0.46.3</t>
        </is>
      </c>
      <c r="D205" s="14" t="n">
        <v>12</v>
      </c>
      <c r="E205" s="14" t="n"/>
      <c r="F205" s="14" t="n"/>
      <c r="G205" s="14" t="inlineStr">
        <is>
          <t>Error on 1.x / 2.x, passed on 0.25.x / 0.45.x / 0.46.x: the LLM built the phase oracle for the two targets with QuantumCircuit.diagonal(), which is correct but was removed in Qiskit 1.0 (AttributeError).</t>
        </is>
      </c>
      <c r="H205" s="14" t="n">
        <v>3</v>
      </c>
    </row>
    <row r="206">
      <c r="A206" s="17" t="inlineStr">
        <is>
          <t>Runtime error</t>
        </is>
      </c>
      <c r="B206" s="14" t="inlineStr">
        <is>
          <t>issue_396</t>
        </is>
      </c>
      <c r="C206" s="14" t="inlineStr">
        <is>
          <t>1.0.0, 1.0.1, 1.0.2, 1.1.0, 1.1.1, 1.1.2, 1.2.0, 1.2.1, 1.2.2, 1.2.4, 2.0.0, 2.2.0, 2.3.0, 2.4.0, 2.5.0</t>
        </is>
      </c>
      <c r="D206" s="14" t="n">
        <v>15</v>
      </c>
      <c r="E206" s="14" t="inlineStr">
        <is>
          <t>AttributeError</t>
        </is>
      </c>
      <c r="F206" s="14" t="inlineStr">
        <is>
          <t>AttributeError: 'QuantumCircuit' object has no attribute 'diagonal'</t>
        </is>
      </c>
      <c r="G206" s="14" t="inlineStr">
        <is>
          <t>Error on 1.x / 2.x, passed on 0.25.x / 0.45.x / 0.46.x: the LLM built the phase oracle for the two targets with QuantumCircuit.diagonal(), which is correct but was removed in Qiskit 1.0 (AttributeError).</t>
        </is>
      </c>
      <c r="H206" s="14" t="n">
        <v>3</v>
      </c>
    </row>
    <row r="207">
      <c r="A207" s="15" t="inlineStr">
        <is>
          <t>Passed on test</t>
        </is>
      </c>
      <c r="B207" s="14" t="inlineStr">
        <is>
          <t>issue_415</t>
        </is>
      </c>
      <c r="C207" s="14" t="inlineStr">
        <is>
          <t>0.25.0, 0.25.1, 0.25.2, 0.25.3</t>
        </is>
      </c>
      <c r="D207" s="14" t="n">
        <v>4</v>
      </c>
      <c r="E207" s="14" t="n"/>
      <c r="F207" s="14" t="n"/>
      <c r="G207" s="14" t="inlineStr">
        <is>
          <t>The LLM took the real angle theta = 2*acos(sqrt(2/3)) from the amplitude's magnitude, included the leading amplitude's global phase in the relative phase, and read phi with cmath.phase() so U3 gets real parameters.</t>
        </is>
      </c>
      <c r="H207" s="14" t="n">
        <v>3</v>
      </c>
    </row>
    <row r="208">
      <c r="A208" s="15" t="inlineStr">
        <is>
          <t>Passed on test</t>
        </is>
      </c>
      <c r="B208" s="14" t="inlineStr">
        <is>
          <t>issue_436</t>
        </is>
      </c>
      <c r="C208" s="14" t="inlineStr">
        <is>
          <t>0.25.0, 0.25.1, 0.25.2, 0.25.3</t>
        </is>
      </c>
      <c r="D208" s="14" t="n">
        <v>4</v>
      </c>
      <c r="E208" s="14" t="n"/>
      <c r="F208" s="14" t="n"/>
      <c r="G208" s="14" t="inlineStr">
        <is>
          <t>The LLM removed set_frequency(), which PulseSimulator doesn't support, and modulated the pulse samples by the frequency offset instead.</t>
        </is>
      </c>
      <c r="H208" s="14" t="n">
        <v>3</v>
      </c>
    </row>
    <row r="209">
      <c r="A209" s="15" t="inlineStr">
        <is>
          <t>Passed on test</t>
        </is>
      </c>
      <c r="B209" s="14" t="inlineStr">
        <is>
          <t>issue_443</t>
        </is>
      </c>
      <c r="C209" s="14" t="inlineStr">
        <is>
          <t>0.25.0, 0.25.1, 0.25.2, 0.25.3, 0.45.0, 0.45.1, 0.45.2, 0.45.3, 0.46.0, 0.46.1, 0.46.2, 0.46.3, 1.0.0, 1.0.1, 1.0.2, 1.1.0, 1.1.1, 1.1.2, 1.2.0, 1.2.1, 1.2.2, 1.2.4, 2.0.0, 2.2.0, 2.3.0, 2.4.0, 2.5.0</t>
        </is>
      </c>
      <c r="D209" s="14" t="n">
        <v>27</v>
      </c>
      <c r="E209" s="14" t="n"/>
      <c r="F209" s="14" t="n"/>
      <c r="G209" s="14" t="inlineStr">
        <is>
          <t>The LLM passed the qubits of both registers as one flat list (train_register[:] + control[:]) to append() instead of two register arguments.</t>
        </is>
      </c>
      <c r="H209" s="14" t="n">
        <v>3</v>
      </c>
    </row>
    <row r="210">
      <c r="A210" s="17" t="inlineStr">
        <is>
          <t>Runtime error</t>
        </is>
      </c>
      <c r="B210" s="14" t="inlineStr">
        <is>
          <t>issue_453</t>
        </is>
      </c>
      <c r="C210" s="14" t="inlineStr">
        <is>
          <t>0.45.0, 0.45.1, 0.45.2, 0.45.3, 0.46.0, 0.46.1, 0.46.2, 0.46.3, 1.0.0, 1.0.1, 1.0.2, 1.1.0, 1.1.1, 1.1.2, 1.2.0, 1.2.1, 1.2.2, 1.2.4, 2.0.0, 2.2.0, 2.3.0, 2.4.0, 2.5.0</t>
        </is>
      </c>
      <c r="D210" s="14" t="n">
        <v>23</v>
      </c>
      <c r="E210" s="14" t="inlineStr">
        <is>
          <t>AttributeError</t>
        </is>
      </c>
      <c r="F210" s="14" t="inlineStr">
        <is>
          <t>AttributeError: 'QuantumCircuit' object has no attribute 'compose_with_auto_ancillas'</t>
        </is>
      </c>
      <c r="G210" s="14" t="inlineStr">
        <is>
          <t>The LLM widened the target circuit by hand (4 qubits + an AncillaRegister(2)) and mapped all six qubits, instead of adding ancillas automatically as the user asked; the test also calls the reference answer's helper compose_with_auto_ancillas() by name, so it raises AttributeError. Over-specific test, same situation as gpt-5.6-luna.</t>
        </is>
      </c>
      <c r="H210" s="14" t="n">
        <v>3</v>
      </c>
    </row>
    <row r="211">
      <c r="A211" s="17" t="inlineStr">
        <is>
          <t>Runtime error</t>
        </is>
      </c>
      <c r="B211" s="14" t="inlineStr">
        <is>
          <t>issue_468</t>
        </is>
      </c>
      <c r="C211" s="14" t="inlineStr">
        <is>
          <t>0.25.0, 0.25.1, 0.25.2, 0.25.3</t>
        </is>
      </c>
      <c r="D211" s="14" t="n">
        <v>4</v>
      </c>
      <c r="E211" s="14" t="inlineStr">
        <is>
          <t>ValueError</t>
        </is>
      </c>
      <c r="F211" s="14" t="inlineStr">
        <is>
          <t>ValueError: Operators can only be scalar multiplied by float or complex, not Operator([[1.+0.j, 0.+0.j],</t>
        </is>
      </c>
      <c r="G211" s="14" t="inlineStr">
        <is>
          <t>The LLM wrapped the density matrices in opflow MatrixOp before calling Aqua's legacy commutator(), which doesn't support MatrixOp (ValueError: Operators can only be scalar multiplied by float or complex). Same mistake as gpt-5.6-luna.</t>
        </is>
      </c>
      <c r="H211" s="14" t="n">
        <v>3</v>
      </c>
    </row>
    <row r="212">
      <c r="A212" s="16" t="inlineStr">
        <is>
          <t>Failed on test</t>
        </is>
      </c>
      <c r="B212" s="14" t="inlineStr">
        <is>
          <t>issue_497</t>
        </is>
      </c>
      <c r="C212" s="14" t="inlineStr">
        <is>
          <t>0.25.0, 0.25.1, 0.25.2, 0.25.3</t>
        </is>
      </c>
      <c r="D212" s="14" t="n">
        <v>4</v>
      </c>
      <c r="E212" s="14" t="inlineStr">
        <is>
          <t>AssertionError</t>
        </is>
      </c>
      <c r="F212" s="14" t="inlineStr">
        <is>
          <t>AssertionError: 2 != 1 : The local expectation batch should use one backend submission</t>
        </is>
      </c>
      <c r="G212" s="14" t="inlineStr">
        <is>
          <t>The LLM fixed the register sizes (1 qubit to match the state) and removed the undefined IBMQJobManager() call, but still evaluated the two expectation values separately, so the test sees two backend submissions instead of one batched job.</t>
        </is>
      </c>
      <c r="H212" s="14" t="n">
        <v>3</v>
      </c>
    </row>
    <row r="213">
      <c r="A213" s="15" t="inlineStr">
        <is>
          <t>Passed on test</t>
        </is>
      </c>
      <c r="B213" s="14" t="inlineStr">
        <is>
          <t>issue_504</t>
        </is>
      </c>
      <c r="C213" s="14" t="inlineStr">
        <is>
          <t>0.45.0, 0.45.1, 0.45.2, 0.45.3, 0.46.0, 0.46.1, 0.46.2, 0.46.3, 1.0.0, 1.0.1, 1.0.2, 1.1.0, 1.1.1, 1.1.2, 1.2.0, 1.2.1, 1.2.2, 1.2.4, 2.0.0, 2.2.0, 2.3.0, 2.4.0, 2.5.0</t>
        </is>
      </c>
      <c r="D213" s="14" t="n">
        <v>23</v>
      </c>
      <c r="E213" s="14" t="n"/>
      <c r="F213" s="14" t="n"/>
      <c r="G213" s="14" t="inlineStr">
        <is>
          <t>The LLM created the QuantumRegister once and reused it for the circuit, gates and measurement instead of building a new QuantumRegister(n) each time, and ran the transpiled circuit with backend.run() instead of treating transpile()'s output as a job.</t>
        </is>
      </c>
      <c r="H213" s="14" t="n">
        <v>4</v>
      </c>
    </row>
    <row r="214">
      <c r="A214" s="15" t="inlineStr">
        <is>
          <t>Passed on test</t>
        </is>
      </c>
      <c r="B214" s="14" t="inlineStr">
        <is>
          <t>issue_505</t>
        </is>
      </c>
      <c r="C214" s="14" t="inlineStr">
        <is>
          <t>0.45.0, 0.45.1, 0.45.2, 0.45.3, 0.46.0, 0.46.1, 0.46.2, 0.46.3</t>
        </is>
      </c>
      <c r="D214" s="14" t="n">
        <v>8</v>
      </c>
      <c r="E214" s="14" t="n"/>
      <c r="F214" s="14" t="n"/>
      <c r="G214" s="14" t="inlineStr">
        <is>
          <t>The LLM put the NumPy scalar on the right (op * x), so the Qiskit operator's multiplication is used instead of NumPy's.</t>
        </is>
      </c>
      <c r="H214" s="14" t="n">
        <v>4</v>
      </c>
    </row>
    <row r="215">
      <c r="A215" s="17" t="inlineStr">
        <is>
          <t>Runtime error</t>
        </is>
      </c>
      <c r="B215" s="14" t="inlineStr">
        <is>
          <t>issue_565</t>
        </is>
      </c>
      <c r="C215" s="14" t="inlineStr">
        <is>
          <t>0.25.0, 0.25.1, 0.25.2, 0.25.3</t>
        </is>
      </c>
      <c r="D215" s="14" t="n">
        <v>4</v>
      </c>
      <c r="E215" s="14" t="inlineStr">
        <is>
          <t>ValueError</t>
        </is>
      </c>
      <c r="F215" s="14" t="inlineStr">
        <is>
          <t>ValueError: Operators can only be scalar multiplied by float or complex, not SummedOp([</t>
        </is>
      </c>
      <c r="G215" s="14" t="inlineStr">
        <is>
          <t>The LLM switched the mixer terms to Aqua's PauliOp, but the code still combines them with *, which Aqua treats as scalar multiplication (ValueError: Operators can only be scalar multiplied by float or complex, not SummedOp). Same problem as gpt-5.6-luna.</t>
        </is>
      </c>
      <c r="H215" s="14" t="n">
        <v>4</v>
      </c>
    </row>
    <row r="216">
      <c r="A216" s="15" t="inlineStr">
        <is>
          <t>Passed on test</t>
        </is>
      </c>
      <c r="B216" s="14" t="inlineStr">
        <is>
          <t>issue_595</t>
        </is>
      </c>
      <c r="C216" s="14" t="inlineStr">
        <is>
          <t>0.45.0, 0.45.1, 0.45.2, 0.45.3, 0.46.0, 0.46.1, 0.46.2, 0.46.3, 1.0.0, 1.0.1, 1.0.2, 1.1.0, 1.1.1, 1.1.2, 1.2.0, 1.2.1, 1.2.2, 1.2.4, 2.0.0, 2.2.0, 2.3.0, 2.4.0, 2.5.0</t>
        </is>
      </c>
      <c r="D216" s="14" t="n">
        <v>23</v>
      </c>
      <c r="E216" s="14" t="n"/>
      <c r="F216" s="14" t="n"/>
      <c r="G216" s="14" t="inlineStr">
        <is>
          <t>The LLM added circ.save_unitary() and selected AerSimulator(method='unitary').</t>
        </is>
      </c>
      <c r="H216" s="14" t="n">
        <v>4</v>
      </c>
    </row>
    <row r="217">
      <c r="A217" s="15" t="inlineStr">
        <is>
          <t>Passed on test</t>
        </is>
      </c>
      <c r="B217" s="14" t="inlineStr">
        <is>
          <t>issue_596</t>
        </is>
      </c>
      <c r="C217" s="14" t="inlineStr">
        <is>
          <t>0.25.0, 0.25.1, 0.25.2, 0.25.3, 0.45.0, 0.45.1, 0.45.2, 0.45.3, 0.46.0, 0.46.1, 0.46.2, 0.46.3</t>
        </is>
      </c>
      <c r="D217" s="14" t="n">
        <v>12</v>
      </c>
      <c r="E217" s="14" t="n"/>
      <c r="F217" s="14" t="n"/>
      <c r="G217" s="14" t="inlineStr">
        <is>
          <t>The LLM bound each of the four parameters once in a single dictionary and kept the circuit returned by assign_parameters().</t>
        </is>
      </c>
      <c r="H217" s="14" t="n">
        <v>4</v>
      </c>
    </row>
    <row r="218">
      <c r="A218" s="15" t="inlineStr">
        <is>
          <t>Passed on test</t>
        </is>
      </c>
      <c r="B218" s="14" t="inlineStr">
        <is>
          <t>issue_600</t>
        </is>
      </c>
      <c r="C218" s="14" t="inlineStr">
        <is>
          <t>0.45.0, 0.45.1, 0.45.2, 0.45.3, 0.46.0, 0.46.1, 0.46.2, 0.46.3</t>
        </is>
      </c>
      <c r="D218" s="14" t="n">
        <v>8</v>
      </c>
      <c r="E218" s="14" t="n"/>
      <c r="F218" s="14" t="n"/>
      <c r="G218" s="14" t="inlineStr">
        <is>
          <t>Error on 0.25.x, passed on 0.45.x / 0.46.x: the LLM replaced PauliGate(...).power(param) with RXXGate / RYYGate / RZZGate(pi * param), which is correct up to a global phase, but kept the PauliGate import, which doesn't exist in Qiskit 0.25 (ImportError). Same outcome as gpt-5.6-luna.</t>
        </is>
      </c>
      <c r="H218" s="14" t="n">
        <v>4</v>
      </c>
    </row>
    <row r="219">
      <c r="A219" s="17" t="inlineStr">
        <is>
          <t>Runtime error</t>
        </is>
      </c>
      <c r="B219" s="14" t="inlineStr">
        <is>
          <t>issue_600</t>
        </is>
      </c>
      <c r="C219" s="14" t="inlineStr">
        <is>
          <t>0.25.0, 0.25.1, 0.25.2, 0.25.3</t>
        </is>
      </c>
      <c r="D219" s="14" t="n">
        <v>4</v>
      </c>
      <c r="E219" s="14" t="inlineStr">
        <is>
          <t>ImportError</t>
        </is>
      </c>
      <c r="F219" s="14" t="inlineStr">
        <is>
          <t>ImportError: cannot import name 'PauliGate' from 'qiskit.circuit.library' (C:\qiskit_envs\q0250\lib\site-packages\qiskit\circuit\library\__init__.py)</t>
        </is>
      </c>
      <c r="G219" s="14" t="inlineStr">
        <is>
          <t>Error on 0.25.x, passed on 0.45.x / 0.46.x: the LLM replaced PauliGate(...).power(param) with RXXGate / RYYGate / RZZGate(pi * param), which is correct up to a global phase, but kept the PauliGate import, which doesn't exist in Qiskit 0.25 (ImportError). Same outcome as gpt-5.6-luna.</t>
        </is>
      </c>
      <c r="H219" s="14" t="n">
        <v>4</v>
      </c>
    </row>
    <row r="220">
      <c r="A220" s="17" t="inlineStr">
        <is>
          <t>Runtime error</t>
        </is>
      </c>
      <c r="B220" s="14" t="inlineStr">
        <is>
          <t>issue_622</t>
        </is>
      </c>
      <c r="C220" s="14" t="inlineStr">
        <is>
          <t>0.25.0, 0.25.1, 0.25.2, 0.25.3, 0.45.0, 0.45.1, 0.45.2, 0.45.3, 0.46.0, 0.46.1, 0.46.2, 0.46.3</t>
        </is>
      </c>
      <c r="D220" s="14" t="n">
        <v>12</v>
      </c>
      <c r="E220" s="14" t="inlineStr">
        <is>
          <t>NameError</t>
        </is>
      </c>
      <c r="F220" s="14" t="inlineStr">
        <is>
          <t>NameError: name 'qiskit' is not defined</t>
        </is>
      </c>
      <c r="G220" s="14" t="inlineStr">
        <is>
          <t>The LLM switched from the 1-qubit FakeArmonk to the 5-qubit FakeVigo, but also deleted import qiskit while the code still uses qiskit.QuantumRegister, so it crashes with NameError: name 'qiskit' is not defined.</t>
        </is>
      </c>
      <c r="H220" s="14" t="n">
        <v>4</v>
      </c>
    </row>
    <row r="221">
      <c r="A221" s="17" t="inlineStr">
        <is>
          <t>Runtime error</t>
        </is>
      </c>
      <c r="B221" s="14" t="inlineStr">
        <is>
          <t>issue_624</t>
        </is>
      </c>
      <c r="C221" s="14" t="inlineStr">
        <is>
          <t>0.25.0, 0.25.1, 0.25.2, 0.25.3, 0.45.0, 0.45.1, 0.45.2, 0.45.3, 0.46.0, 0.46.1, 0.46.2, 0.46.3</t>
        </is>
      </c>
      <c r="D221" s="14" t="n">
        <v>12</v>
      </c>
      <c r="E221" s="14" t="inlineStr">
        <is>
          <t>AttributeError</t>
        </is>
      </c>
      <c r="F221" s="14" t="inlineStr">
        <is>
          <t>AttributeError: type object 'PauliSumOp' has no attribute 'from_operator'</t>
        </is>
      </c>
      <c r="G221" s="14" t="inlineStr">
        <is>
          <t>The LLM converted the circuit's unitary with PauliSumOp.from_operator(Operator(H)), but PauliSumOp has no from_operator() method (AttributeError).</t>
        </is>
      </c>
      <c r="H221" s="14" t="n">
        <v>4</v>
      </c>
    </row>
    <row r="222">
      <c r="A222" s="16" t="inlineStr">
        <is>
          <t>Failed on test</t>
        </is>
      </c>
      <c r="B222" s="14" t="inlineStr">
        <is>
          <t>issue_635</t>
        </is>
      </c>
      <c r="C222" s="14" t="inlineStr">
        <is>
          <t>0.25.0, 0.25.1, 0.25.2, 0.25.3</t>
        </is>
      </c>
      <c r="D222" s="14" t="n">
        <v>4</v>
      </c>
      <c r="E222" s="14" t="inlineStr">
        <is>
          <t>AssertionError</t>
        </is>
      </c>
      <c r="F222" s="14" t="inlineStr">
        <is>
          <t>AssertionError: Items in the first set but not the second:</t>
        </is>
      </c>
      <c r="G222" s="14" t="inlineStr">
        <is>
          <t>The test expects each X gate to fire only when both classical bits are 1 (an AND); the LLM conditioned each X on every register value where its own bit is 1, so it fires when only one bit is set (wrong result for basis 001).</t>
        </is>
      </c>
      <c r="H222" s="14" t="n">
        <v>4</v>
      </c>
    </row>
    <row r="223">
      <c r="A223" s="17" t="inlineStr">
        <is>
          <t>Runtime error</t>
        </is>
      </c>
      <c r="B223" s="14" t="inlineStr">
        <is>
          <t>issue_662</t>
        </is>
      </c>
      <c r="C223" s="14" t="inlineStr">
        <is>
          <t>0.45.0, 0.45.1, 0.45.2, 0.45.3, 0.46.0, 0.46.1, 0.46.2, 0.46.3, 1.0.0, 1.0.1, 1.0.2, 1.1.0, 1.1.1, 1.1.2, 1.2.0, 1.2.1, 1.2.2, 1.2.4, 2.0.0, 2.2.0, 2.3.0, 2.4.0, 2.5.0</t>
        </is>
      </c>
      <c r="D223" s="14" t="n">
        <v>23</v>
      </c>
      <c r="E223" s="14" t="inlineStr">
        <is>
          <t>AttributeError</t>
        </is>
      </c>
      <c r="F223" s="14" t="inlineStr">
        <is>
          <t>AttributeError: 'DAGOpNode' object has no attribute 'type'</t>
        </is>
      </c>
      <c r="G223" s="14" t="inlineStr">
        <is>
          <t>The LLM switched the loop to dag.op_nodes() to count every gate, but kept the buggy code's node.type check, and DAGOpNode no longer has a type attribute (AttributeError). Same problem as gpt-5.6-luna.</t>
        </is>
      </c>
      <c r="H223" s="14" t="n">
        <v>4</v>
      </c>
    </row>
    <row r="224">
      <c r="A224" s="15" t="inlineStr">
        <is>
          <t>Passed on test</t>
        </is>
      </c>
      <c r="B224" s="14" t="inlineStr">
        <is>
          <t>issue_663</t>
        </is>
      </c>
      <c r="C224" s="14" t="inlineStr">
        <is>
          <t>0.45.0, 0.45.1, 0.45.2, 0.45.3, 0.46.0, 0.46.1, 0.46.2, 0.46.3</t>
        </is>
      </c>
      <c r="D224" s="14" t="n">
        <v>8</v>
      </c>
      <c r="E224" s="14" t="n"/>
      <c r="F224" s="14" t="n"/>
      <c r="G224" s="14" t="inlineStr">
        <is>
          <t>The LLM measured each qubit into its classical bit, so the counts are no longer always 000.</t>
        </is>
      </c>
      <c r="H224" s="14" t="n">
        <v>5</v>
      </c>
    </row>
    <row r="225">
      <c r="A225" s="15" t="inlineStr">
        <is>
          <t>Passed on test</t>
        </is>
      </c>
      <c r="B225" s="14" t="inlineStr">
        <is>
          <t>issue_671</t>
        </is>
      </c>
      <c r="C225" s="14" t="inlineStr">
        <is>
          <t>0.25.0, 0.25.1, 0.25.2, 0.25.3, 0.45.0, 0.45.1, 0.45.2, 0.45.3, 0.46.0, 0.46.1, 0.46.2, 0.46.3, 1.0.0, 1.0.1, 1.0.2, 1.1.0, 1.1.1, 1.1.2, 1.2.0, 1.2.1, 1.2.2, 1.2.4, 2.0.0, 2.2.0, 2.3.0, 2.4.0, 2.5.0</t>
        </is>
      </c>
      <c r="D225" s="14" t="n">
        <v>27</v>
      </c>
      <c r="E225" s="14" t="n"/>
      <c r="F225" s="14" t="n"/>
      <c r="G225" s="14" t="inlineStr">
        <is>
          <t>QuantumCircuit(a, *v, b) unpacks the list of registers, which builds exactly the registers the question asks for. The updated test checks the registers, not the answer's example gates.</t>
        </is>
      </c>
      <c r="H225" s="14" t="n">
        <v>5</v>
      </c>
    </row>
    <row r="226">
      <c r="A226" s="15" t="inlineStr">
        <is>
          <t>Passed on test</t>
        </is>
      </c>
      <c r="B226" s="14" t="inlineStr">
        <is>
          <t>issue_727</t>
        </is>
      </c>
      <c r="C226" s="14" t="inlineStr">
        <is>
          <t>0.25.0, 0.25.1, 0.25.2, 0.25.3, 0.45.0, 0.45.1, 0.45.2, 0.45.3, 0.46.0, 0.46.1, 0.46.2, 0.46.3</t>
        </is>
      </c>
      <c r="D226" s="14" t="n">
        <v>12</v>
      </c>
      <c r="E226" s="14" t="n"/>
      <c r="F226" s="14" t="n"/>
      <c r="G226" s="14" t="inlineStr">
        <is>
          <t>The LLM wrote 2 ** -k as numpy.exp(-k * numpy.log(2)), which works with a symbolic Parameter.</t>
        </is>
      </c>
      <c r="H226" s="14" t="n">
        <v>5</v>
      </c>
    </row>
    <row r="227">
      <c r="A227" s="15" t="inlineStr">
        <is>
          <t>Passed on test</t>
        </is>
      </c>
      <c r="B227" s="14" t="inlineStr">
        <is>
          <t>issue_742</t>
        </is>
      </c>
      <c r="C227" s="14" t="inlineStr">
        <is>
          <t>1.1.0, 1.1.1, 1.1.2, 1.2.0, 1.2.1, 1.2.2, 1.2.4, 2.0.0, 2.2.0, 2.3.0, 2.4.0, 2.5.0</t>
        </is>
      </c>
      <c r="D227" s="14" t="n">
        <v>12</v>
      </c>
      <c r="E227" s="14" t="n"/>
      <c r="F227" s="14" t="n"/>
      <c r="G227" s="14" t="inlineStr">
        <is>
          <t>The LLM converted the Operator observable with SparsePauliOp.from_operator(O).</t>
        </is>
      </c>
      <c r="H227" s="14" t="n">
        <v>5</v>
      </c>
    </row>
    <row r="228">
      <c r="A228" s="15" t="inlineStr">
        <is>
          <t>Passed on test</t>
        </is>
      </c>
      <c r="B228" s="14" t="inlineStr">
        <is>
          <t>issue_747</t>
        </is>
      </c>
      <c r="C228" s="14" t="inlineStr">
        <is>
          <t>0.45.0, 0.45.1, 0.45.2, 0.45.3, 0.46.0, 0.46.1, 0.46.2, 0.46.3</t>
        </is>
      </c>
      <c r="D228" s="14" t="n">
        <v>8</v>
      </c>
      <c r="E228" s="14" t="n"/>
      <c r="F228" s="14" t="n"/>
      <c r="G228" s="14" t="inlineStr">
        <is>
          <t>The LLM measured the three qubits into the existing classical register with circ.measure(range(3), range(3)), so the count keys are 000 / 111. gpt-5.6-luna used measure_all(), which adds a second register.</t>
        </is>
      </c>
      <c r="H228" s="14" t="n">
        <v>5</v>
      </c>
    </row>
    <row r="229">
      <c r="A229" s="17" t="inlineStr">
        <is>
          <t>Runtime error</t>
        </is>
      </c>
      <c r="B229" s="14" t="inlineStr">
        <is>
          <t>issue_750</t>
        </is>
      </c>
      <c r="C229" s="14" t="inlineStr">
        <is>
          <t>0.45.0, 0.45.1, 0.45.2, 0.45.3, 0.46.0, 0.46.1, 0.46.2, 0.46.3, 1.0.0, 1.0.1, 1.0.2, 1.1.0, 1.1.1, 1.1.2, 1.2.0, 1.2.1, 1.2.2, 1.2.4, 2.0.0, 2.2.0, 2.3.0, 2.4.0, 2.5.0</t>
        </is>
      </c>
      <c r="D229" s="14" t="n">
        <v>23</v>
      </c>
      <c r="E229" s="14" t="inlineStr">
        <is>
          <t>TypeError</t>
        </is>
      </c>
      <c r="F229" s="14" t="inlineStr">
        <is>
          <t>TypeError: Pauli.__init__() got an unexpected keyword argument 'label'</t>
        </is>
      </c>
      <c r="G229" s="14" t="inlineStr">
        <is>
          <t>The LLM said there is no bug and returned the code unchanged, but Pauli(label=...) no longer exists (TypeError: Pauli.__init__() got an unexpected keyword argument 'label'). Same as gpt-5.6-luna.</t>
        </is>
      </c>
      <c r="H229" s="14" t="n">
        <v>5</v>
      </c>
    </row>
    <row r="230">
      <c r="A230" s="17" t="inlineStr">
        <is>
          <t>Runtime error</t>
        </is>
      </c>
      <c r="B230" s="14" t="inlineStr">
        <is>
          <t>issue_769</t>
        </is>
      </c>
      <c r="C230" s="14" t="inlineStr">
        <is>
          <t>1.0.0, 1.0.1, 1.0.2, 1.1.0, 1.1.1, 1.1.2, 1.2.0, 1.2.1, 1.2.2, 1.2.4, 2.0.0, 2.2.0, 2.3.0, 2.4.0, 2.5.0</t>
        </is>
      </c>
      <c r="D230" s="14" t="n">
        <v>15</v>
      </c>
      <c r="E230" s="14" t="inlineStr">
        <is>
          <t>KeyError</t>
        </is>
      </c>
      <c r="F230" s="14" t="inlineStr">
        <is>
          <t>KeyError: 'get_qiskit_gate'</t>
        </is>
      </c>
      <c r="G230" s="14" t="inlineStr">
        <is>
          <t>The LLM only checks whether the matrix equals X and returns XGate; there is no general matcher, and the test calls the answer's get_qiskit_gate() function by name (KeyError). Same problem as gpt-5.6-luna.</t>
        </is>
      </c>
      <c r="H230" s="14" t="n">
        <v>5</v>
      </c>
    </row>
    <row r="231">
      <c r="A231" s="15" t="inlineStr">
        <is>
          <t>Passed on test</t>
        </is>
      </c>
      <c r="B231" s="14" t="inlineStr">
        <is>
          <t>issue_773</t>
        </is>
      </c>
      <c r="C231" s="14" t="inlineStr">
        <is>
          <t>0.45.0, 0.45.1, 0.45.2, 0.45.3, 0.46.0, 0.46.1, 0.46.2, 0.46.3</t>
        </is>
      </c>
      <c r="D231" s="14" t="n">
        <v>8</v>
      </c>
      <c r="E231" s="14" t="n"/>
      <c r="F231" s="14" t="n"/>
      <c r="G231" s="14" t="inlineStr">
        <is>
          <t>The LLM removed the IBMQ job_monitor import that shadowed the general one.</t>
        </is>
      </c>
      <c r="H231" s="14" t="n">
        <v>5</v>
      </c>
    </row>
    <row r="232">
      <c r="A232" s="15" t="inlineStr">
        <is>
          <t>Passed on test</t>
        </is>
      </c>
      <c r="B232" s="14" t="inlineStr">
        <is>
          <t>issue_775</t>
        </is>
      </c>
      <c r="C232" s="14" t="inlineStr">
        <is>
          <t>0.25.0, 0.25.1, 0.25.2, 0.25.3, 0.45.0, 0.45.1, 0.45.2, 0.45.3, 0.46.0, 0.46.1, 0.46.2, 0.46.3</t>
        </is>
      </c>
      <c r="D232" s="14" t="n">
        <v>12</v>
      </c>
      <c r="E232" s="14" t="n"/>
      <c r="F232" s="14" t="n"/>
      <c r="G232" s="14" t="inlineStr">
        <is>
          <t>The LLM parsed the OpenQASM string with QuantumCircuit.from_qasm_str() inside the execute() call. The updated test checks the executed result instead of a variable named qc.</t>
        </is>
      </c>
      <c r="H232" s="14" t="n">
        <v>5</v>
      </c>
    </row>
    <row r="233">
      <c r="A233" s="15" t="inlineStr">
        <is>
          <t>Passed on test</t>
        </is>
      </c>
      <c r="B233" s="14" t="inlineStr">
        <is>
          <t>issue_795</t>
        </is>
      </c>
      <c r="C233" s="14" t="inlineStr">
        <is>
          <t>0.25.0, 0.25.1, 0.25.2, 0.25.3, 0.45.0, 0.45.1, 0.45.2, 0.45.3, 0.46.0, 0.46.1, 0.46.2, 0.46.3</t>
        </is>
      </c>
      <c r="D233" s="14" t="n">
        <v>12</v>
      </c>
      <c r="E233" s="14" t="n"/>
      <c r="F233" s="14" t="n"/>
      <c r="G233" s="14" t="inlineStr">
        <is>
          <t>The LLM appended the operator's matrix with circuit.unitary(op.to_matrix(), [0]).</t>
        </is>
      </c>
      <c r="H233" s="14" t="n">
        <v>5</v>
      </c>
    </row>
    <row r="234">
      <c r="A234" s="16" t="inlineStr">
        <is>
          <t>Failed on test</t>
        </is>
      </c>
      <c r="B234" s="14" t="inlineStr">
        <is>
          <t>issue_803</t>
        </is>
      </c>
      <c r="C234" s="14" t="inlineStr">
        <is>
          <t>0.25.0, 0.25.1, 0.25.2, 0.25.3</t>
        </is>
      </c>
      <c r="D234" s="14" t="n">
        <v>4</v>
      </c>
      <c r="E234" s="14" t="inlineStr">
        <is>
          <t>AssertionError</t>
        </is>
      </c>
      <c r="F234" s="14" t="inlineStr">
        <is>
          <t>ValueError: The truth value of an array with more than one element is ambiguous. Use a.any() or a.all(); AssertionError: array([list([59, 41]), list([100]), list([100])], dtype=object) is not an instance of &lt;class 'list'&gt;</t>
        </is>
      </c>
      <c r="G234" s="14" t="inlineStr">
        <is>
          <t>Error on 8 versions, failed on 4: the LLM turned the list of count dictionaries into a NumPy array of value lists, which loses the outcome keys; the test wants one counts dictionary per circuit.</t>
        </is>
      </c>
      <c r="H234" s="14" t="n">
        <v>6</v>
      </c>
    </row>
    <row r="235">
      <c r="A235" s="17" t="inlineStr">
        <is>
          <t>Runtime error</t>
        </is>
      </c>
      <c r="B235" s="14" t="inlineStr">
        <is>
          <t>issue_803</t>
        </is>
      </c>
      <c r="C235" s="14" t="inlineStr">
        <is>
          <t>0.45.0, 0.45.1, 0.45.2, 0.45.3, 0.46.0, 0.46.1, 0.46.2, 0.46.3</t>
        </is>
      </c>
      <c r="D235" s="14" t="n">
        <v>8</v>
      </c>
      <c r="E235" s="14" t="inlineStr">
        <is>
          <t>ValueError</t>
        </is>
      </c>
      <c r="F235" s="14" t="inlineStr">
        <is>
          <t>ValueError: The truth value of an array with more than one element is ambiguous. Use a.any() or a.all(); ValueError: setting an array element with a sequence. The requested array has an inhomogeneous shape after 1 dimensions. The detected shape was (3,) + inhomogeneous part.</t>
        </is>
      </c>
      <c r="G235" s="14" t="inlineStr">
        <is>
          <t>Error on 8 versions, failed on 4: the LLM turned the list of count dictionaries into a NumPy array of value lists, which loses the outcome keys; the test wants one counts dictionary per circuit.</t>
        </is>
      </c>
      <c r="H235" s="14" t="n">
        <v>6</v>
      </c>
    </row>
    <row r="236">
      <c r="A236" s="15" t="inlineStr">
        <is>
          <t>Passed on test</t>
        </is>
      </c>
      <c r="B236" s="14" t="inlineStr">
        <is>
          <t>issue_810</t>
        </is>
      </c>
      <c r="C236" s="14" t="inlineStr">
        <is>
          <t>0.45.1, 0.46.2</t>
        </is>
      </c>
      <c r="D236" s="14" t="n">
        <v>2</v>
      </c>
      <c r="E236" s="14" t="n"/>
      <c r="F236" s="14" t="n"/>
      <c r="G236" s="14" t="inlineStr">
        <is>
          <t>Job.result().get_counts() returns the raw counts dictionary. The updated test accepts any variable name and the script's own shot count.</t>
        </is>
      </c>
      <c r="H236" s="14" t="n">
        <v>6</v>
      </c>
    </row>
    <row r="237">
      <c r="A237" s="15" t="inlineStr">
        <is>
          <t>Passed on test</t>
        </is>
      </c>
      <c r="B237" s="14" t="inlineStr">
        <is>
          <t>issue_816</t>
        </is>
      </c>
      <c r="C237" s="14" t="inlineStr">
        <is>
          <t>0.45.0, 0.45.1, 0.45.2, 0.45.3, 0.46.0, 0.46.1, 0.46.2, 0.46.3, 1.0.0, 1.0.1, 1.0.2, 1.1.0, 1.1.1, 1.1.2, 1.2.0, 1.2.1, 1.2.2, 1.2.4, 2.0.0, 2.2.0, 2.3.0, 2.4.0, 2.5.0</t>
        </is>
      </c>
      <c r="D237" s="14" t="n">
        <v>23</v>
      </c>
      <c r="E237" s="14" t="n"/>
      <c r="F237" s="14" t="n"/>
      <c r="G237" s="14" t="inlineStr">
        <is>
          <t>The LLM passed memory=True to simulator.run().</t>
        </is>
      </c>
      <c r="H237" s="14" t="n">
        <v>6</v>
      </c>
    </row>
    <row r="238">
      <c r="A238" s="17" t="inlineStr">
        <is>
          <t>Runtime error</t>
        </is>
      </c>
      <c r="B238" s="14" t="inlineStr">
        <is>
          <t>issue_876</t>
        </is>
      </c>
      <c r="C238" s="14" t="inlineStr">
        <is>
          <t>1.0.0, 1.0.1, 1.0.2, 1.1.0, 1.1.1, 1.1.2, 1.2.0, 1.2.1, 1.2.2, 1.2.4, 2.0.0, 2.2.0, 2.3.0, 2.4.0, 2.5.0</t>
        </is>
      </c>
      <c r="D238" s="14" t="n">
        <v>15</v>
      </c>
      <c r="E238" s="14" t="inlineStr">
        <is>
          <t>KeyError</t>
        </is>
      </c>
      <c r="F238" s="14" t="inlineStr">
        <is>
          <t>KeyError: 'get_density_matrix'; AttributeError: Attribute get_density_matrix is not defined</t>
        </is>
      </c>
      <c r="G238" s="14" t="inlineStr">
        <is>
          <t>The LLM built a density-matrix simulator from the 127-qubit Brisbane backend and saved the density matrix, but the transpiled circuit uses all 127 qubits, which the density-matrix simulator can't hold (Insufficient memory), and Result has no get_density_matrix() method (AttributeError).</t>
        </is>
      </c>
      <c r="H238" s="14" t="n">
        <v>6</v>
      </c>
    </row>
    <row r="239">
      <c r="A239" s="15" t="inlineStr">
        <is>
          <t>Passed on test</t>
        </is>
      </c>
      <c r="B239" s="14" t="inlineStr">
        <is>
          <t>issue_877</t>
        </is>
      </c>
      <c r="C239" s="14" t="inlineStr">
        <is>
          <t>0.45.0, 0.45.1, 0.45.2, 0.45.3, 0.46.0, 0.46.1, 0.46.2, 0.46.3</t>
        </is>
      </c>
      <c r="D239" s="14" t="n">
        <v>8</v>
      </c>
      <c r="E239" s="14" t="n"/>
      <c r="F239" s="14" t="n"/>
      <c r="G239" s="14" t="inlineStr">
        <is>
          <t>The LLM defined the missing backend as the bundled FakeMontreal snapshot, whose noise model works offline. gpt-5.6-luna used an empty NoiseModel().</t>
        </is>
      </c>
      <c r="H239" s="14" t="n">
        <v>6</v>
      </c>
    </row>
    <row r="240">
      <c r="A240" s="15" t="inlineStr">
        <is>
          <t>Passed on test</t>
        </is>
      </c>
      <c r="B240" s="14" t="inlineStr">
        <is>
          <t>issue_886</t>
        </is>
      </c>
      <c r="C240" s="14" t="inlineStr">
        <is>
          <t>0.45.0, 0.45.1</t>
        </is>
      </c>
      <c r="D240" s="14" t="n">
        <v>2</v>
      </c>
      <c r="E240" s="14" t="n"/>
      <c r="F240" s="14" t="n"/>
      <c r="G240" s="14" t="inlineStr">
        <is>
          <t>The LLM transpiled the circuit for Aer before running it. The updated test checks the job result regardless of the unused classical register and the variable name.</t>
        </is>
      </c>
      <c r="H240" s="14" t="n">
        <v>6</v>
      </c>
    </row>
    <row r="241">
      <c r="A241" s="16" t="inlineStr">
        <is>
          <t>Failed on test</t>
        </is>
      </c>
      <c r="B241" s="14" t="inlineStr">
        <is>
          <t>issue_889</t>
        </is>
      </c>
      <c r="C241" s="14" t="inlineStr">
        <is>
          <t>0.45.0, 0.45.1, 0.45.2, 0.45.3, 0.46.0, 0.46.1, 0.46.2, 0.46.3</t>
        </is>
      </c>
      <c r="D241" s="14" t="n">
        <v>8</v>
      </c>
      <c r="E241" s="14" t="inlineStr">
        <is>
          <t>AssertionError</t>
        </is>
      </c>
      <c r="F241" s="14" t="inlineStr">
        <is>
          <t>AssertionError:</t>
        </is>
      </c>
      <c r="G241" s="14" t="inlineStr">
        <is>
          <t>Error on 0.25.x, failed on 0.45.x / 0.46.x: the LLM rewrote the Hamiltonian (an identity offset for the number operator and XX + YY hopping terms with a Jordan-Wigner string) and evolved it with PauliEvolutionGate; PauliEvolutionGate doesn't exist in Qiskit 0.25 (ImportError), and on 0.45 / 0.46 the changed Hamiltonian no longer matches the one in the question.</t>
        </is>
      </c>
      <c r="H241" s="14" t="n">
        <v>6</v>
      </c>
    </row>
    <row r="242">
      <c r="A242" s="17" t="inlineStr">
        <is>
          <t>Runtime error</t>
        </is>
      </c>
      <c r="B242" s="14" t="inlineStr">
        <is>
          <t>issue_889</t>
        </is>
      </c>
      <c r="C242" s="14" t="inlineStr">
        <is>
          <t>0.25.0, 0.25.1, 0.25.2, 0.25.3</t>
        </is>
      </c>
      <c r="D242" s="14" t="n">
        <v>4</v>
      </c>
      <c r="E242" s="14" t="inlineStr">
        <is>
          <t>ImportError</t>
        </is>
      </c>
      <c r="F242" s="14" t="inlineStr">
        <is>
          <t>ImportError: cannot import name 'PauliEvolutionGate' from 'qiskit.circuit.library' (C:\qiskit_envs\q0250\lib\site-packages\qiskit\circuit\library\__init__.py)</t>
        </is>
      </c>
      <c r="G242" s="14" t="inlineStr">
        <is>
          <t>Error on 0.25.x, failed on 0.45.x / 0.46.x: the LLM rewrote the Hamiltonian (an identity offset for the number operator and XX + YY hopping terms with a Jordan-Wigner string) and evolved it with PauliEvolutionGate; PauliEvolutionGate doesn't exist in Qiskit 0.25 (ImportError), and on 0.45 / 0.46 the changed Hamiltonian no longer matches the one in the question.</t>
        </is>
      </c>
      <c r="H242" s="14" t="n">
        <v>6</v>
      </c>
    </row>
    <row r="243">
      <c r="A243" s="16" t="inlineStr">
        <is>
          <t>Failed on test</t>
        </is>
      </c>
      <c r="B243" s="14" t="inlineStr">
        <is>
          <t>issue_911</t>
        </is>
      </c>
      <c r="C243" s="14" t="inlineStr">
        <is>
          <t>0.45.0, 0.45.1, 0.45.2, 0.45.3, 0.46.0, 0.46.1, 0.46.2, 0.46.3, 1.0.0, 1.0.1, 1.0.2, 1.1.0, 1.1.1, 1.1.2, 1.2.0, 1.2.1, 1.2.2, 1.2.4, 2.0.0, 2.2.0, 2.3.0, 2.4.0, 2.5.0</t>
        </is>
      </c>
      <c r="D243" s="14" t="n">
        <v>23</v>
      </c>
      <c r="E243" s="14" t="inlineStr">
        <is>
          <t>AssertionError</t>
        </is>
      </c>
      <c r="F243" s="14" t="inlineStr">
        <is>
          <t>AssertionError: Lists differ: [] != [1, 2, 0]</t>
        </is>
      </c>
      <c r="G243" s="14" t="inlineStr">
        <is>
          <t>The LLM used qc.find_bit() but printed the register and index only for each gate's last qubit, so the cx gate's control qubit is missing; the updated test, which reads the printed indices in any format, finds none it can match ([] instead of [1, 2, 0]). gpt-5.6-luna passed.</t>
        </is>
      </c>
      <c r="H243" s="14" t="n">
        <v>6</v>
      </c>
    </row>
    <row r="244">
      <c r="A244" s="17" t="inlineStr">
        <is>
          <t>Runtime error</t>
        </is>
      </c>
      <c r="B244" s="14" t="inlineStr">
        <is>
          <t>issue_925</t>
        </is>
      </c>
      <c r="C244" s="14" t="inlineStr">
        <is>
          <t>0.25.0, 0.25.1, 0.25.2, 0.25.3</t>
        </is>
      </c>
      <c r="D244" s="14" t="n">
        <v>4</v>
      </c>
      <c r="E244" s="14" t="inlineStr">
        <is>
          <t>Timeout</t>
        </is>
      </c>
      <c r="F244" s="14" t="inlineStr">
        <is>
          <t>120 second timeout</t>
        </is>
      </c>
      <c r="G244" s="14" t="inlineStr">
        <is>
          <t>Error (timeout): the LLM switched from the 15-qubit FakeMelbourne to the 20-qubit FakeTokyo so the 18-qubit Shor circuit fits, but the noisy simulation on FakeTokyo doesn't finish within 120 seconds on any version (3 runs; a single run with a 15-minute limit didn't finish either).</t>
        </is>
      </c>
      <c r="H244" s="14" t="n">
        <v>6</v>
      </c>
    </row>
    <row r="245">
      <c r="A245" s="16" t="inlineStr">
        <is>
          <t>Failed on test</t>
        </is>
      </c>
      <c r="B245" s="14" t="inlineStr">
        <is>
          <t>issue_944</t>
        </is>
      </c>
      <c r="C245" s="14" t="inlineStr">
        <is>
          <t>0.25.0, 0.25.1, 0.25.2, 0.25.3, 0.45.0, 0.45.1, 0.45.2, 0.45.3, 0.46.0, 0.46.1, 0.46.2, 0.46.3</t>
        </is>
      </c>
      <c r="D245" s="14" t="n">
        <v>12</v>
      </c>
      <c r="E245" s="14" t="inlineStr">
        <is>
          <t>AssertionError</t>
        </is>
      </c>
      <c r="F245" s="14" t="inlineStr">
        <is>
          <t>AssertionError:</t>
        </is>
      </c>
      <c r="G245" s="14" t="inlineStr">
        <is>
          <t>The LLM reversed the projector to ~Plus @ Plus, which is the inner product &lt;+|+&gt; = 1, not the projector |+&gt;&lt;+| (the original Plus @ ~Plus order was right), so the projector's matrix is wrong. gpt-5.6-luna's (I + X) / 2 passed.</t>
        </is>
      </c>
      <c r="H245" s="14" t="n">
        <v>6</v>
      </c>
    </row>
    <row r="246">
      <c r="A246" s="16" t="inlineStr">
        <is>
          <t>Failed on test</t>
        </is>
      </c>
      <c r="B246" s="14" t="inlineStr">
        <is>
          <t>issue_950</t>
        </is>
      </c>
      <c r="C246" s="14" t="inlineStr">
        <is>
          <t>0.25.0, 0.25.1, 0.25.2, 0.25.3, 0.45.0, 0.45.1, 0.45.2, 0.45.3, 0.46.0, 0.46.1, 0.46.2, 0.46.3, 1.0.0, 1.0.1, 1.0.2, 1.1.0, 1.1.1, 1.1.2, 1.2.0, 1.2.1, 1.2.2, 1.2.4, 2.0.0, 2.2.0, 2.3.0, 2.4.0, 2.5.0</t>
        </is>
      </c>
      <c r="D246" s="14" t="n">
        <v>27</v>
      </c>
      <c r="E246" s="14" t="inlineStr">
        <is>
          <t>AssertionError</t>
        </is>
      </c>
      <c r="F246" s="14" t="inlineStr">
        <is>
          <t>AssertionError:</t>
        </is>
      </c>
      <c r="G246" s="14" t="inlineStr">
        <is>
          <t>The LLM widened the identity to N qubits but kept _add(), which adds the Z operator to the identity instead of placing Z on the requested qubits. Same problem as gpt-5.6-luna.</t>
        </is>
      </c>
      <c r="H246" s="14" t="n">
        <v>7</v>
      </c>
    </row>
    <row r="247">
      <c r="A247" s="17" t="inlineStr">
        <is>
          <t>Runtime error</t>
        </is>
      </c>
      <c r="B247" s="14" t="inlineStr">
        <is>
          <t>issue_958</t>
        </is>
      </c>
      <c r="C247" s="14" t="inlineStr">
        <is>
          <t>0.45.0, 0.45.1, 0.45.2, 0.45.3, 0.46.0, 0.46.1, 0.46.2, 0.46.3, 1.0.0, 1.0.1, 1.0.2, 1.1.0, 1.1.1, 1.1.2, 1.2.0, 1.2.1, 1.2.2, 1.2.4, 2.0.0, 2.2.0, 2.3.0, 2.4.0, 2.5.0</t>
        </is>
      </c>
      <c r="D247" s="14" t="n">
        <v>23</v>
      </c>
      <c r="E247" s="14" t="inlineStr">
        <is>
          <t>KeyError</t>
        </is>
      </c>
      <c r="F247" s="14" t="inlineStr">
        <is>
          <t>KeyError: 'qc2'</t>
        </is>
      </c>
      <c r="G247" s="14" t="inlineStr">
        <is>
          <t>Setting qc.global_phase = pi gives exactly -(H x H) and passes the check on qc, but the test also requires the reference answer's second circuit qc2 (KeyError: 'qc2'). gpt-5.6-luna applied H a second time instead.</t>
        </is>
      </c>
      <c r="H247" s="14" t="n">
        <v>7</v>
      </c>
    </row>
    <row r="248">
      <c r="A248" s="16" t="inlineStr">
        <is>
          <t>Failed on test</t>
        </is>
      </c>
      <c r="B248" s="14" t="inlineStr">
        <is>
          <t>issue_977</t>
        </is>
      </c>
      <c r="C248" s="14" t="inlineStr">
        <is>
          <t>0.45.0, 0.45.1, 0.45.2, 0.45.3, 0.46.0, 0.46.1, 0.46.2, 0.46.3, 1.0.0, 1.0.1, 1.0.2, 1.1.0, 1.1.1, 1.1.2, 1.2.0, 1.2.1, 1.2.2, 1.2.4, 2.0.0, 2.2.0, 2.3.0, 2.4.0, 2.5.0</t>
        </is>
      </c>
      <c r="D248" s="14" t="n">
        <v>23</v>
      </c>
      <c r="E248" s="14" t="inlineStr">
        <is>
          <t>AssertionError</t>
        </is>
      </c>
      <c r="F248" s="14" t="inlineStr">
        <is>
          <t>AssertionError: [] is not true : no SparsePauliOp in the program</t>
        </is>
      </c>
      <c r="G248" s="14" t="inlineStr">
        <is>
          <t>The LLM used SparsePauliOp.from_operator(Hamiltonian) but converted the result back with .to_operator(), so the program ends with an Operator and no SparsePauliOp ('no SparsePauliOp in the program'). gpt-5.6-luna passed.</t>
        </is>
      </c>
      <c r="H248" s="14" t="n">
        <v>7</v>
      </c>
    </row>
    <row r="249">
      <c r="A249" s="16" t="inlineStr">
        <is>
          <t>Failed on test</t>
        </is>
      </c>
      <c r="B249" s="14" t="inlineStr">
        <is>
          <t>issue_985</t>
        </is>
      </c>
      <c r="C249" s="14" t="inlineStr">
        <is>
          <t>0.45.0, 0.45.1, 0.45.2, 0.45.3, 0.46.0, 0.46.1, 0.46.2, 0.46.3, 1.0.0, 1.0.1, 1.0.2, 1.1.0, 1.1.1, 1.1.2, 1.2.0, 1.2.1, 1.2.2, 1.2.4, 2.0.0, 2.2.0, 2.3.0, 2.4.0, 2.5.0</t>
        </is>
      </c>
      <c r="D249" s="14" t="n">
        <v>23</v>
      </c>
      <c r="E249" s="14" t="inlineStr">
        <is>
          <t>AssertionError</t>
        </is>
      </c>
      <c r="F249" s="14" t="inlineStr">
        <is>
          <t>AssertionError:</t>
        </is>
      </c>
      <c r="G249" s="14" t="inlineStr">
        <is>
          <t>The LLM replaced u1 with rz plus a global phase of lam / 2, which keeps the U1 phase exactly; the current test requires the phase to be dropped (determinant 1), as in the reference. The team's earlier test_before.py, which requires the exact U1 phase, passes this fix on all 23 versions (debatable test, as with gpt-5.6-luna).</t>
        </is>
      </c>
      <c r="H249" s="14" t="n">
        <v>7</v>
      </c>
    </row>
    <row r="250">
      <c r="A250" s="15" t="inlineStr">
        <is>
          <t>Passed on test</t>
        </is>
      </c>
      <c r="B250" s="14" t="inlineStr">
        <is>
          <t>issue_989</t>
        </is>
      </c>
      <c r="C250" s="14" t="inlineStr">
        <is>
          <t>1.0.0, 1.0.1, 1.0.2, 1.1.0, 1.1.1, 1.1.2, 1.2.0, 1.2.1, 1.2.2, 1.2.4, 2.0.0, 2.2.0, 2.3.0, 2.4.0, 2.5.0</t>
        </is>
      </c>
      <c r="D250" s="14" t="n">
        <v>15</v>
      </c>
      <c r="E250" s="14" t="n"/>
      <c r="F250" s="14" t="n"/>
      <c r="G250" s="14" t="inlineStr">
        <is>
          <t>The LLM imported Aer from qiskit_aer.</t>
        </is>
      </c>
      <c r="H250" s="14" t="n">
        <v>7</v>
      </c>
    </row>
    <row r="251">
      <c r="A251" s="15" t="inlineStr">
        <is>
          <t>Passed on test</t>
        </is>
      </c>
      <c r="B251" s="14" t="inlineStr">
        <is>
          <t>issue_994</t>
        </is>
      </c>
      <c r="C251" s="14" t="inlineStr">
        <is>
          <t>0.25.0, 0.25.1, 0.25.2, 0.25.3</t>
        </is>
      </c>
      <c r="D251" s="14" t="n">
        <v>4</v>
      </c>
      <c r="E251" s="14" t="n"/>
      <c r="F251" s="14" t="n"/>
      <c r="G251" s="14" t="inlineStr">
        <is>
          <t>Adding qc.save_statevector() makes get_statevector() work on the QasmSimulator. The updated test takes the statevector from either a variable or get_statevector().</t>
        </is>
      </c>
      <c r="H251" s="14" t="n">
        <v>7</v>
      </c>
    </row>
    <row r="252">
      <c r="A252" s="15" t="inlineStr">
        <is>
          <t>Passed on test</t>
        </is>
      </c>
      <c r="B252" s="14" t="inlineStr">
        <is>
          <t>issue_1035</t>
        </is>
      </c>
      <c r="C252" s="14" t="inlineStr">
        <is>
          <t>0.45.0, 0.45.1, 0.45.2, 0.45.3, 0.46.0, 0.46.1, 0.46.2, 0.46.3</t>
        </is>
      </c>
      <c r="D252" s="14" t="n">
        <v>8</v>
      </c>
      <c r="E252" s="14" t="n"/>
      <c r="F252" s="14" t="n"/>
      <c r="G252" s="14" t="inlineStr">
        <is>
          <t>The LLM replaced the Runtime session with a local Aer Estimator using FakeManila's noise model, which runs offline. The updated test accepts the result without a variable named result.</t>
        </is>
      </c>
      <c r="H252" s="14" t="n">
        <v>7</v>
      </c>
    </row>
    <row r="253">
      <c r="A253" s="15" t="inlineStr">
        <is>
          <t>Passed on test</t>
        </is>
      </c>
      <c r="B253" s="14" t="inlineStr">
        <is>
          <t>issue_772</t>
        </is>
      </c>
      <c r="C253" s="14" t="inlineStr">
        <is>
          <t>0.25.0, 0.25.1, 0.25.2, 0.25.3, 0.45.0, 0.45.1, 0.45.2, 0.45.3, 0.46.0, 0.46.1, 0.46.2, 0.46.3</t>
        </is>
      </c>
      <c r="D253" s="14" t="n">
        <v>12</v>
      </c>
      <c r="E253" s="14" t="n"/>
      <c r="F253" s="14" t="n"/>
      <c r="G253" s="14" t="inlineStr">
        <is>
          <t>The LLM passed both register slices as one qubit list (qr1[1:2] + qr2[0:3]) to append().</t>
        </is>
      </c>
      <c r="H253" s="14" t="n">
        <v>8</v>
      </c>
    </row>
    <row r="254">
      <c r="A254" s="17" t="inlineStr">
        <is>
          <t>Runtime error</t>
        </is>
      </c>
      <c r="B254" s="14" t="inlineStr">
        <is>
          <t>issue_790</t>
        </is>
      </c>
      <c r="C254" s="14" t="inlineStr">
        <is>
          <t>0.45.0, 0.45.1, 0.45.2, 0.45.3, 0.46.0, 0.46.1, 0.46.2, 0.46.3, 1.0.0, 1.0.1, 1.0.2, 1.1.0, 1.1.1, 1.1.2, 1.2.0, 1.2.1, 1.2.2, 1.2.4, 2.0.0, 2.2.0, 2.3.0, 2.4.0, 2.5.0</t>
        </is>
      </c>
      <c r="D254" s="14" t="n">
        <v>23</v>
      </c>
      <c r="E254" s="14" t="inlineStr">
        <is>
          <t>TypeError</t>
        </is>
      </c>
      <c r="F254" s="14" t="inlineStr">
        <is>
          <t>TypeError: unsupported operand type(s) for -: 'Pauli' and 'Pauli'</t>
        </is>
      </c>
      <c r="G254" s="14" t="inlineStr">
        <is>
          <t>The LLM attached the SuzukiTrotter synthesis to each PauliEvolutionGate and decomposed the circuit, but kept the Pauli - Pauli subtraction, which crashes first (TypeError). Same problem as gpt-5.6-luna.</t>
        </is>
      </c>
      <c r="H254" s="14" t="n">
        <v>8</v>
      </c>
    </row>
    <row r="255">
      <c r="A255" s="17" t="inlineStr">
        <is>
          <t>Runtime error</t>
        </is>
      </c>
      <c r="B255" s="14" t="inlineStr">
        <is>
          <t>issue_827</t>
        </is>
      </c>
      <c r="C255" s="14" t="inlineStr">
        <is>
          <t>0.25.0, 0.25.1, 0.25.2, 0.25.3, 0.45.0, 0.45.1, 0.45.2, 0.45.3, 0.46.0, 0.46.1, 0.46.2, 0.46.3</t>
        </is>
      </c>
      <c r="D255" s="14" t="n">
        <v>12</v>
      </c>
      <c r="E255" s="14" t="inlineStr">
        <is>
          <t>ModuleNotFoundError</t>
        </is>
      </c>
      <c r="F255" s="14" t="inlineStr">
        <is>
          <t>ModuleNotFoundError: No module named 'qiskit.backends'</t>
        </is>
      </c>
      <c r="G255" s="14" t="inlineStr">
        <is>
          <t>The LLM replaced compile() with transpile() + assemble(), but the code still imports qiskit.backends, which no longer exists (ModuleNotFoundError). Same problem as gpt-5.6-luna.</t>
        </is>
      </c>
      <c r="H255" s="14" t="n">
        <v>8</v>
      </c>
    </row>
    <row r="256">
      <c r="A256" s="17" t="inlineStr">
        <is>
          <t>Runtime error</t>
        </is>
      </c>
      <c r="B256" s="14" t="inlineStr">
        <is>
          <t>issue_858</t>
        </is>
      </c>
      <c r="C256" s="14" t="inlineStr">
        <is>
          <t>0.45.0, 0.45.1, 0.45.2, 0.45.3, 0.46.0, 0.46.1, 0.46.2, 0.46.3</t>
        </is>
      </c>
      <c r="D256" s="14" t="n">
        <v>8</v>
      </c>
      <c r="E256" s="14" t="inlineStr">
        <is>
          <t>OfflineAccessDenied</t>
        </is>
      </c>
      <c r="F256" s="14" t="inlineStr">
        <is>
          <t>OfflineAccessDenied: Offline snapshot fixture forbids IBMQ.load_account</t>
        </is>
      </c>
      <c r="G256" s="14" t="inlineStr">
        <is>
          <t>The LLM only renamed the backend to ibmq_oslo and kept IBMQ.load_account(), which needs a live IBM account; the test runs offline and blocks it.</t>
        </is>
      </c>
      <c r="H256" s="14" t="n">
        <v>8</v>
      </c>
    </row>
    <row r="257">
      <c r="A257" s="15" t="inlineStr">
        <is>
          <t>Passed on test</t>
        </is>
      </c>
      <c r="B257" s="14" t="inlineStr">
        <is>
          <t>issue_901</t>
        </is>
      </c>
      <c r="C257" s="14" t="inlineStr">
        <is>
          <t>0.45.0, 0.45.1, 0.45.2, 0.45.3, 0.46.0, 0.46.1, 0.46.2, 0.46.3, 1.0.0, 1.0.1, 1.0.2, 1.1.0, 1.1.1, 1.1.2, 1.2.0, 1.2.1, 1.2.2, 1.2.4, 2.0.0</t>
        </is>
      </c>
      <c r="D257" s="14" t="n">
        <v>19</v>
      </c>
      <c r="E257" s="14" t="n"/>
      <c r="F257" s="14" t="n"/>
      <c r="G257" s="14" t="inlineStr">
        <is>
          <t>The LLM replaced the S gate with two T gates (S = T^2), so the circuit fits the {H, T, CNOT} basis.</t>
        </is>
      </c>
      <c r="H257" s="14" t="n">
        <v>8</v>
      </c>
    </row>
    <row r="258">
      <c r="A258" s="17" t="inlineStr">
        <is>
          <t>Runtime error</t>
        </is>
      </c>
      <c r="B258" s="14" t="inlineStr">
        <is>
          <t>issue_921</t>
        </is>
      </c>
      <c r="C258" s="14" t="inlineStr">
        <is>
          <t>0.25.0, 0.25.1, 0.25.2, 0.25.3</t>
        </is>
      </c>
      <c r="D258" s="14" t="n">
        <v>4</v>
      </c>
      <c r="E258" s="14" t="inlineStr">
        <is>
          <t>ImportError</t>
        </is>
      </c>
      <c r="F258" s="14" t="inlineStr">
        <is>
          <t>ImportError: cannot import name 'run_algorithm' from 'qiskit.aqua' (C:\qiskit_envs\q0250\lib\site-packages\qiskit\aqua\__init__.py)</t>
        </is>
      </c>
      <c r="G258" s="14" t="inlineStr">
        <is>
          <t>The LLM said there is no bug and returned the code unchanged, but run_algorithm() can't be imported from qiskit.aqua (ImportError).</t>
        </is>
      </c>
      <c r="H258" s="14" t="n">
        <v>8</v>
      </c>
    </row>
  </sheetData>
  <conditionalFormatting sqref="B103:B175">
    <cfRule type="cellIs" priority="1" operator="equal" dxfId="0">
      <formula>"YES"</formula>
    </cfRule>
    <cfRule type="cellIs" priority="2" operator="equal" dxfId="1">
      <formula>"NO"</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2026-10-13T16:31:30Z</dcterms:created>
  <dcterms:modified xsi:type="dcterms:W3CDTF">2026-10-13T16:54:24Z</dcterms:modified>
</cp:coreProperties>
</file>