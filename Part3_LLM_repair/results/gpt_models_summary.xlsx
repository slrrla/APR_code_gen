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etrics" sheetId="2" state="visible" r:id="rId2"/>
    <sheet name="gpt-5.6-luna" sheetId="3" state="visible" r:id="rId3"/>
    <sheet name="gpt-6-luna" sheetId="4" state="visible" r:id="rId4"/>
    <sheet name="gpt-6-astra" sheetId="5" state="visible" r:id="rId5"/>
    <sheet name="gpt-6.1-sol" sheetId="6" state="visible" r:id="rId6"/>
  </sheets>
  <definedNames>
    <definedName name="_xlnm._FilterDatabase" localSheetId="0" hidden="1">'Overview'!$A$1:$W$74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6" borderId="1" pivotButton="0" quotePrefix="0" xfId="0"/>
    <xf numFmtId="164" fontId="0" fillId="0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00C6EFCE"/>
        </patternFill>
      </fill>
    </dxf>
    <dxf>
      <fill>
        <patternFill>
          <bgColor rgb="00FFC7CE"/>
        </patternFill>
      </fill>
    </dxf>
    <dxf>
      <fill>
        <patternFill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10" customWidth="1" min="4" max="4"/>
    <col width="14" customWidth="1" min="5" max="5"/>
    <col width="9" customWidth="1" min="6" max="6"/>
    <col width="9" customWidth="1" min="7" max="7"/>
    <col width="9" customWidth="1" min="8" max="8"/>
    <col width="14" customWidth="1" min="9" max="9"/>
    <col width="9" customWidth="1" min="10" max="10"/>
    <col width="9" customWidth="1" min="11" max="11"/>
    <col width="9" customWidth="1" min="12" max="12"/>
    <col width="14" customWidth="1" min="13" max="13"/>
    <col width="9" customWidth="1" min="14" max="14"/>
    <col width="9" customWidth="1" min="15" max="15"/>
    <col width="9" customWidth="1" min="16" max="16"/>
    <col width="14" customWidth="1" min="17" max="17"/>
    <col width="9" customWidth="1" min="18" max="18"/>
    <col width="9" customWidth="1" min="19" max="19"/>
    <col width="9" customWidth="1" min="20" max="20"/>
    <col width="30" customWidth="1" min="21" max="21"/>
    <col width="13" customWidth="1" min="22" max="22"/>
    <col width="80" customWidth="1" min="23" max="23"/>
  </cols>
  <sheetData>
    <row r="1">
      <c r="A1" s="1" t="inlineStr">
        <is>
          <t>Batch</t>
        </is>
      </c>
      <c r="B1" s="1" t="inlineStr">
        <is>
          <t>Case</t>
        </is>
      </c>
      <c r="C1" s="1" t="inlineStr">
        <is>
          <t>Question</t>
        </is>
      </c>
      <c r="D1" s="1" t="inlineStr">
        <is>
          <t>Versions tested</t>
        </is>
      </c>
      <c r="E1" s="1" t="inlineStr">
        <is>
          <t>gpt-5.6-luna outcome</t>
        </is>
      </c>
      <c r="F1" s="1" t="inlineStr">
        <is>
          <t>gpt-5.6-luna passed on test</t>
        </is>
      </c>
      <c r="G1" s="1" t="inlineStr">
        <is>
          <t>gpt-5.6-luna failed on test</t>
        </is>
      </c>
      <c r="H1" s="1" t="inlineStr">
        <is>
          <t>gpt-5.6-luna runtime errors</t>
        </is>
      </c>
      <c r="I1" s="1" t="inlineStr">
        <is>
          <t>gpt-6-luna outcome</t>
        </is>
      </c>
      <c r="J1" s="1" t="inlineStr">
        <is>
          <t>gpt-6-luna passed on test</t>
        </is>
      </c>
      <c r="K1" s="1" t="inlineStr">
        <is>
          <t>gpt-6-luna failed on test</t>
        </is>
      </c>
      <c r="L1" s="1" t="inlineStr">
        <is>
          <t>gpt-6-luna runtime errors</t>
        </is>
      </c>
      <c r="M1" s="1" t="inlineStr">
        <is>
          <t>gpt-6-astra outcome</t>
        </is>
      </c>
      <c r="N1" s="1" t="inlineStr">
        <is>
          <t>gpt-6-astra passed on test</t>
        </is>
      </c>
      <c r="O1" s="1" t="inlineStr">
        <is>
          <t>gpt-6-astra failed on test</t>
        </is>
      </c>
      <c r="P1" s="1" t="inlineStr">
        <is>
          <t>gpt-6-astra runtime errors</t>
        </is>
      </c>
      <c r="Q1" s="1" t="inlineStr">
        <is>
          <t>gpt-6.1-sol outcome</t>
        </is>
      </c>
      <c r="R1" s="1" t="inlineStr">
        <is>
          <t>gpt-6.1-sol passed on test</t>
        </is>
      </c>
      <c r="S1" s="1" t="inlineStr">
        <is>
          <t>gpt-6.1-sol failed on test</t>
        </is>
      </c>
      <c r="T1" s="1" t="inlineStr">
        <is>
          <t>gpt-6.1-sol runtime errors</t>
        </is>
      </c>
      <c r="U1" s="1" t="inlineStr">
        <is>
          <t>Best model (most versions passed)</t>
        </is>
      </c>
      <c r="V1" s="1" t="inlineStr">
        <is>
          <t>Agreement</t>
        </is>
      </c>
      <c r="W1" s="1" t="inlineStr">
        <is>
          <t>Note</t>
        </is>
      </c>
    </row>
    <row r="2">
      <c r="A2" s="2" t="n">
        <v>1</v>
      </c>
      <c r="B2" s="2" t="inlineStr">
        <is>
          <t>issue_009</t>
        </is>
      </c>
      <c r="C2" s="2" t="inlineStr">
        <is>
          <t>CSP layout in the transpiler</t>
        </is>
      </c>
      <c r="D2" s="2">
        <f>COUNTIF('gpt-5.6-luna'!$B2:$AB2,"Passed on test")+COUNTIF('gpt-5.6-luna'!$B2:$AB2,"Failed on test")+COUNTIF('gpt-5.6-luna'!$B2:$AB2,"Runtime error")</f>
        <v/>
      </c>
      <c r="E2" s="2">
        <f>IF(F2=$D2,"Passed on test",IF(H2&gt;0,"Runtime error","Failed on test"))</f>
        <v/>
      </c>
      <c r="F2" s="2">
        <f>COUNTIF('gpt-5.6-luna'!$B2:$AB2,"Passed on test")</f>
        <v/>
      </c>
      <c r="G2" s="2">
        <f>COUNTIF('gpt-5.6-luna'!$B2:$AB2,"Failed on test")</f>
        <v/>
      </c>
      <c r="H2" s="2">
        <f>COUNTIF('gpt-5.6-luna'!$B2:$AB2,"Runtime error")</f>
        <v/>
      </c>
      <c r="I2" s="2">
        <f>IF(J2=$D2,"Passed on test",IF(L2&gt;0,"Runtime error","Failed on test"))</f>
        <v/>
      </c>
      <c r="J2" s="2">
        <f>COUNTIF('gpt-6-luna'!$B2:$AB2,"Passed on test")</f>
        <v/>
      </c>
      <c r="K2" s="2">
        <f>COUNTIF('gpt-6-luna'!$B2:$AB2,"Failed on test")</f>
        <v/>
      </c>
      <c r="L2" s="2">
        <f>COUNTIF('gpt-6-luna'!$B2:$AB2,"Runtime error")</f>
        <v/>
      </c>
      <c r="M2" s="2">
        <f>IF(N2=$D2,"Passed on test",IF(P2&gt;0,"Runtime error","Failed on test"))</f>
        <v/>
      </c>
      <c r="N2" s="2">
        <f>COUNTIF('gpt-6-astra'!$B2:$AB2,"Passed on test")</f>
        <v/>
      </c>
      <c r="O2" s="2">
        <f>COUNTIF('gpt-6-astra'!$B2:$AB2,"Failed on test")</f>
        <v/>
      </c>
      <c r="P2" s="2">
        <f>COUNTIF('gpt-6-astra'!$B2:$AB2,"Runtime error")</f>
        <v/>
      </c>
      <c r="Q2" s="2">
        <f>IF(R2=$D2,"Passed on test",IF(T2&gt;0,"Runtime error","Failed on test"))</f>
        <v/>
      </c>
      <c r="R2" s="2">
        <f>COUNTIF('gpt-6.1-sol'!$B2:$AB2,"Passed on test")</f>
        <v/>
      </c>
      <c r="S2" s="2">
        <f>COUNTIF('gpt-6.1-sol'!$B2:$AB2,"Failed on test")</f>
        <v/>
      </c>
      <c r="T2" s="2">
        <f>COUNTIF('gpt-6.1-sol'!$B2:$AB2,"Runtime error")</f>
        <v/>
      </c>
      <c r="U2" s="2">
        <f>IF(MAX(F2,J2,N2,R2)=0,"None",IF(MIN(F2,J2,N2,R2)=MAX(F2,J2,N2,R2),"All four",_xlfn.TEXTJOIN(", ",TRUE,IF(F2=MAX(F2,J2,N2,R2),"gpt-5.6-luna",""),IF(J2=MAX(F2,J2,N2,R2),"gpt-6-luna",""),IF(N2=MAX(F2,J2,N2,R2),"gpt-6-astra",""),IF(R2=MAX(F2,J2,N2,R2),"gpt-6.1-sol",""))))</f>
        <v/>
      </c>
      <c r="V2" s="2">
        <f>IF(MAX(F2,J2,N2,R2)&lt;&gt;MIN(F2,J2,N2,R2),"differ",IF(F2=$D2,"all_pass",IF(F2=0,"all_zero","same_partial")))</f>
        <v/>
      </c>
      <c r="W2" s="3" t="inlineStr">
        <is>
          <t>gpt-5.6-luna applied the CSPLayout result with ApplyLayout, which rejects a 3-qubit layout on a 5-qubit backend; the others pass it to transpile() as initial_layout</t>
        </is>
      </c>
    </row>
    <row r="3">
      <c r="A3" s="2" t="n">
        <v>1</v>
      </c>
      <c r="B3" s="2" t="inlineStr">
        <is>
          <t>issue_021_se</t>
        </is>
      </c>
      <c r="C3" s="2" t="inlineStr">
        <is>
          <t>get_statevector() with a custom gate</t>
        </is>
      </c>
      <c r="D3" s="2">
        <f>COUNTIF('gpt-5.6-luna'!$B3:$AB3,"Passed on test")+COUNTIF('gpt-5.6-luna'!$B3:$AB3,"Failed on test")+COUNTIF('gpt-5.6-luna'!$B3:$AB3,"Runtime error")</f>
        <v/>
      </c>
      <c r="E3" s="2">
        <f>IF(F3=$D3,"Passed on test",IF(H3&gt;0,"Runtime error","Failed on test"))</f>
        <v/>
      </c>
      <c r="F3" s="2">
        <f>COUNTIF('gpt-5.6-luna'!$B3:$AB3,"Passed on test")</f>
        <v/>
      </c>
      <c r="G3" s="2">
        <f>COUNTIF('gpt-5.6-luna'!$B3:$AB3,"Failed on test")</f>
        <v/>
      </c>
      <c r="H3" s="2">
        <f>COUNTIF('gpt-5.6-luna'!$B3:$AB3,"Runtime error")</f>
        <v/>
      </c>
      <c r="I3" s="2">
        <f>IF(J3=$D3,"Passed on test",IF(L3&gt;0,"Runtime error","Failed on test"))</f>
        <v/>
      </c>
      <c r="J3" s="2">
        <f>COUNTIF('gpt-6-luna'!$B3:$AB3,"Passed on test")</f>
        <v/>
      </c>
      <c r="K3" s="2">
        <f>COUNTIF('gpt-6-luna'!$B3:$AB3,"Failed on test")</f>
        <v/>
      </c>
      <c r="L3" s="2">
        <f>COUNTIF('gpt-6-luna'!$B3:$AB3,"Runtime error")</f>
        <v/>
      </c>
      <c r="M3" s="2">
        <f>IF(N3=$D3,"Passed on test",IF(P3&gt;0,"Runtime error","Failed on test"))</f>
        <v/>
      </c>
      <c r="N3" s="2">
        <f>COUNTIF('gpt-6-astra'!$B3:$AB3,"Passed on test")</f>
        <v/>
      </c>
      <c r="O3" s="2">
        <f>COUNTIF('gpt-6-astra'!$B3:$AB3,"Failed on test")</f>
        <v/>
      </c>
      <c r="P3" s="2">
        <f>COUNTIF('gpt-6-astra'!$B3:$AB3,"Runtime error")</f>
        <v/>
      </c>
      <c r="Q3" s="2">
        <f>IF(R3=$D3,"Passed on test",IF(T3&gt;0,"Runtime error","Failed on test"))</f>
        <v/>
      </c>
      <c r="R3" s="2">
        <f>COUNTIF('gpt-6.1-sol'!$B3:$AB3,"Passed on test")</f>
        <v/>
      </c>
      <c r="S3" s="2">
        <f>COUNTIF('gpt-6.1-sol'!$B3:$AB3,"Failed on test")</f>
        <v/>
      </c>
      <c r="T3" s="2">
        <f>COUNTIF('gpt-6.1-sol'!$B3:$AB3,"Runtime error")</f>
        <v/>
      </c>
      <c r="U3" s="2">
        <f>IF(MAX(F3,J3,N3,R3)=0,"None",IF(MIN(F3,J3,N3,R3)=MAX(F3,J3,N3,R3),"All four",_xlfn.TEXTJOIN(", ",TRUE,IF(F3=MAX(F3,J3,N3,R3),"gpt-5.6-luna",""),IF(J3=MAX(F3,J3,N3,R3),"gpt-6-luna",""),IF(N3=MAX(F3,J3,N3,R3),"gpt-6-astra",""),IF(R3=MAX(F3,J3,N3,R3),"gpt-6.1-sol",""))))</f>
        <v/>
      </c>
      <c r="V3" s="2">
        <f>IF(MAX(F3,J3,N3,R3)&lt;&gt;MIN(F3,J3,N3,R3),"differ",IF(F3=$D3,"all_pass",IF(F3=0,"all_zero","same_partial")))</f>
        <v/>
      </c>
      <c r="W3" s="3" t="inlineStr">
        <is>
          <t>Both luna models used a one-level decompose(), which leaves unsupported instructions; gpt-6-astra and gpt-6.1-sol transpile() first</t>
        </is>
      </c>
    </row>
    <row r="4">
      <c r="A4" s="2" t="n">
        <v>1</v>
      </c>
      <c r="B4" s="2" t="inlineStr">
        <is>
          <t>issue_032_se</t>
        </is>
      </c>
      <c r="C4" s="2" t="inlineStr">
        <is>
          <t>iSWAP in TwoLocal</t>
        </is>
      </c>
      <c r="D4" s="2">
        <f>COUNTIF('gpt-5.6-luna'!$B4:$AB4,"Passed on test")+COUNTIF('gpt-5.6-luna'!$B4:$AB4,"Failed on test")+COUNTIF('gpt-5.6-luna'!$B4:$AB4,"Runtime error")</f>
        <v/>
      </c>
      <c r="E4" s="2">
        <f>IF(F4=$D4,"Passed on test",IF(H4&gt;0,"Runtime error","Failed on test"))</f>
        <v/>
      </c>
      <c r="F4" s="2">
        <f>COUNTIF('gpt-5.6-luna'!$B4:$AB4,"Passed on test")</f>
        <v/>
      </c>
      <c r="G4" s="2">
        <f>COUNTIF('gpt-5.6-luna'!$B4:$AB4,"Failed on test")</f>
        <v/>
      </c>
      <c r="H4" s="2">
        <f>COUNTIF('gpt-5.6-luna'!$B4:$AB4,"Runtime error")</f>
        <v/>
      </c>
      <c r="I4" s="2">
        <f>IF(J4=$D4,"Passed on test",IF(L4&gt;0,"Runtime error","Failed on test"))</f>
        <v/>
      </c>
      <c r="J4" s="2">
        <f>COUNTIF('gpt-6-luna'!$B4:$AB4,"Passed on test")</f>
        <v/>
      </c>
      <c r="K4" s="2">
        <f>COUNTIF('gpt-6-luna'!$B4:$AB4,"Failed on test")</f>
        <v/>
      </c>
      <c r="L4" s="2">
        <f>COUNTIF('gpt-6-luna'!$B4:$AB4,"Runtime error")</f>
        <v/>
      </c>
      <c r="M4" s="2">
        <f>IF(N4=$D4,"Passed on test",IF(P4&gt;0,"Runtime error","Failed on test"))</f>
        <v/>
      </c>
      <c r="N4" s="2">
        <f>COUNTIF('gpt-6-astra'!$B4:$AB4,"Passed on test")</f>
        <v/>
      </c>
      <c r="O4" s="2">
        <f>COUNTIF('gpt-6-astra'!$B4:$AB4,"Failed on test")</f>
        <v/>
      </c>
      <c r="P4" s="2">
        <f>COUNTIF('gpt-6-astra'!$B4:$AB4,"Runtime error")</f>
        <v/>
      </c>
      <c r="Q4" s="2">
        <f>IF(R4=$D4,"Passed on test",IF(T4&gt;0,"Runtime error","Failed on test"))</f>
        <v/>
      </c>
      <c r="R4" s="2">
        <f>COUNTIF('gpt-6.1-sol'!$B4:$AB4,"Passed on test")</f>
        <v/>
      </c>
      <c r="S4" s="2">
        <f>COUNTIF('gpt-6.1-sol'!$B4:$AB4,"Failed on test")</f>
        <v/>
      </c>
      <c r="T4" s="2">
        <f>COUNTIF('gpt-6.1-sol'!$B4:$AB4,"Runtime error")</f>
        <v/>
      </c>
      <c r="U4" s="2">
        <f>IF(MAX(F4,J4,N4,R4)=0,"None",IF(MIN(F4,J4,N4,R4)=MAX(F4,J4,N4,R4),"All four",_xlfn.TEXTJOIN(", ",TRUE,IF(F4=MAX(F4,J4,N4,R4),"gpt-5.6-luna",""),IF(J4=MAX(F4,J4,N4,R4),"gpt-6-luna",""),IF(N4=MAX(F4,J4,N4,R4),"gpt-6-astra",""),IF(R4=MAX(F4,J4,N4,R4),"gpt-6.1-sol",""))))</f>
        <v/>
      </c>
      <c r="V4" s="2">
        <f>IF(MAX(F4,J4,N4,R4)&lt;&gt;MIN(F4,J4,N4,R4),"differ",IF(F4=$D4,"all_pass",IF(F4=0,"all_zero","same_partial")))</f>
        <v/>
      </c>
      <c r="W4" s="3" t="inlineStr">
        <is>
          <t>All four pass (iSwapGate() instead of the string 'iswap')</t>
        </is>
      </c>
    </row>
    <row r="5">
      <c r="A5" s="2" t="n">
        <v>1</v>
      </c>
      <c r="B5" s="2" t="inlineStr">
        <is>
          <t>issue_034</t>
        </is>
      </c>
      <c r="C5" s="2" t="inlineStr">
        <is>
          <t>Importing Aer</t>
        </is>
      </c>
      <c r="D5" s="2">
        <f>COUNTIF('gpt-5.6-luna'!$B5:$AB5,"Passed on test")+COUNTIF('gpt-5.6-luna'!$B5:$AB5,"Failed on test")+COUNTIF('gpt-5.6-luna'!$B5:$AB5,"Runtime error")</f>
        <v/>
      </c>
      <c r="E5" s="2">
        <f>IF(F5=$D5,"Passed on test",IF(H5&gt;0,"Runtime error","Failed on test"))</f>
        <v/>
      </c>
      <c r="F5" s="2">
        <f>COUNTIF('gpt-5.6-luna'!$B5:$AB5,"Passed on test")</f>
        <v/>
      </c>
      <c r="G5" s="2">
        <f>COUNTIF('gpt-5.6-luna'!$B5:$AB5,"Failed on test")</f>
        <v/>
      </c>
      <c r="H5" s="2">
        <f>COUNTIF('gpt-5.6-luna'!$B5:$AB5,"Runtime error")</f>
        <v/>
      </c>
      <c r="I5" s="2">
        <f>IF(J5=$D5,"Passed on test",IF(L5&gt;0,"Runtime error","Failed on test"))</f>
        <v/>
      </c>
      <c r="J5" s="2">
        <f>COUNTIF('gpt-6-luna'!$B5:$AB5,"Passed on test")</f>
        <v/>
      </c>
      <c r="K5" s="2">
        <f>COUNTIF('gpt-6-luna'!$B5:$AB5,"Failed on test")</f>
        <v/>
      </c>
      <c r="L5" s="2">
        <f>COUNTIF('gpt-6-luna'!$B5:$AB5,"Runtime error")</f>
        <v/>
      </c>
      <c r="M5" s="2">
        <f>IF(N5=$D5,"Passed on test",IF(P5&gt;0,"Runtime error","Failed on test"))</f>
        <v/>
      </c>
      <c r="N5" s="2">
        <f>COUNTIF('gpt-6-astra'!$B5:$AB5,"Passed on test")</f>
        <v/>
      </c>
      <c r="O5" s="2">
        <f>COUNTIF('gpt-6-astra'!$B5:$AB5,"Failed on test")</f>
        <v/>
      </c>
      <c r="P5" s="2">
        <f>COUNTIF('gpt-6-astra'!$B5:$AB5,"Runtime error")</f>
        <v/>
      </c>
      <c r="Q5" s="2">
        <f>IF(R5=$D5,"Passed on test",IF(T5&gt;0,"Runtime error","Failed on test"))</f>
        <v/>
      </c>
      <c r="R5" s="2">
        <f>COUNTIF('gpt-6.1-sol'!$B5:$AB5,"Passed on test")</f>
        <v/>
      </c>
      <c r="S5" s="2">
        <f>COUNTIF('gpt-6.1-sol'!$B5:$AB5,"Failed on test")</f>
        <v/>
      </c>
      <c r="T5" s="2">
        <f>COUNTIF('gpt-6.1-sol'!$B5:$AB5,"Runtime error")</f>
        <v/>
      </c>
      <c r="U5" s="2">
        <f>IF(MAX(F5,J5,N5,R5)=0,"None",IF(MIN(F5,J5,N5,R5)=MAX(F5,J5,N5,R5),"All four",_xlfn.TEXTJOIN(", ",TRUE,IF(F5=MAX(F5,J5,N5,R5),"gpt-5.6-luna",""),IF(J5=MAX(F5,J5,N5,R5),"gpt-6-luna",""),IF(N5=MAX(F5,J5,N5,R5),"gpt-6-astra",""),IF(R5=MAX(F5,J5,N5,R5),"gpt-6.1-sol",""))))</f>
        <v/>
      </c>
      <c r="V5" s="2">
        <f>IF(MAX(F5,J5,N5,R5)&lt;&gt;MIN(F5,J5,N5,R5),"differ",IF(F5=$D5,"all_pass",IF(F5=0,"all_zero","same_partial")))</f>
        <v/>
      </c>
      <c r="W5" s="3" t="inlineStr">
        <is>
          <t>All four pass (from qiskit_aer import Aer)</t>
        </is>
      </c>
    </row>
    <row r="6">
      <c r="A6" s="2" t="n">
        <v>1</v>
      </c>
      <c r="B6" s="2" t="inlineStr">
        <is>
          <t>issue_036</t>
        </is>
      </c>
      <c r="C6" s="2" t="inlineStr">
        <is>
          <t>Circuit to OpenQASM 2.0</t>
        </is>
      </c>
      <c r="D6" s="2">
        <f>COUNTIF('gpt-5.6-luna'!$B6:$AB6,"Passed on test")+COUNTIF('gpt-5.6-luna'!$B6:$AB6,"Failed on test")+COUNTIF('gpt-5.6-luna'!$B6:$AB6,"Runtime error")</f>
        <v/>
      </c>
      <c r="E6" s="2">
        <f>IF(F6=$D6,"Passed on test",IF(H6&gt;0,"Runtime error","Failed on test"))</f>
        <v/>
      </c>
      <c r="F6" s="2">
        <f>COUNTIF('gpt-5.6-luna'!$B6:$AB6,"Passed on test")</f>
        <v/>
      </c>
      <c r="G6" s="2">
        <f>COUNTIF('gpt-5.6-luna'!$B6:$AB6,"Failed on test")</f>
        <v/>
      </c>
      <c r="H6" s="2">
        <f>COUNTIF('gpt-5.6-luna'!$B6:$AB6,"Runtime error")</f>
        <v/>
      </c>
      <c r="I6" s="2">
        <f>IF(J6=$D6,"Passed on test",IF(L6&gt;0,"Runtime error","Failed on test"))</f>
        <v/>
      </c>
      <c r="J6" s="2">
        <f>COUNTIF('gpt-6-luna'!$B6:$AB6,"Passed on test")</f>
        <v/>
      </c>
      <c r="K6" s="2">
        <f>COUNTIF('gpt-6-luna'!$B6:$AB6,"Failed on test")</f>
        <v/>
      </c>
      <c r="L6" s="2">
        <f>COUNTIF('gpt-6-luna'!$B6:$AB6,"Runtime error")</f>
        <v/>
      </c>
      <c r="M6" s="2">
        <f>IF(N6=$D6,"Passed on test",IF(P6&gt;0,"Runtime error","Failed on test"))</f>
        <v/>
      </c>
      <c r="N6" s="2">
        <f>COUNTIF('gpt-6-astra'!$B6:$AB6,"Passed on test")</f>
        <v/>
      </c>
      <c r="O6" s="2">
        <f>COUNTIF('gpt-6-astra'!$B6:$AB6,"Failed on test")</f>
        <v/>
      </c>
      <c r="P6" s="2">
        <f>COUNTIF('gpt-6-astra'!$B6:$AB6,"Runtime error")</f>
        <v/>
      </c>
      <c r="Q6" s="2">
        <f>IF(R6=$D6,"Passed on test",IF(T6&gt;0,"Runtime error","Failed on test"))</f>
        <v/>
      </c>
      <c r="R6" s="2">
        <f>COUNTIF('gpt-6.1-sol'!$B6:$AB6,"Passed on test")</f>
        <v/>
      </c>
      <c r="S6" s="2">
        <f>COUNTIF('gpt-6.1-sol'!$B6:$AB6,"Failed on test")</f>
        <v/>
      </c>
      <c r="T6" s="2">
        <f>COUNTIF('gpt-6.1-sol'!$B6:$AB6,"Runtime error")</f>
        <v/>
      </c>
      <c r="U6" s="2">
        <f>IF(MAX(F6,J6,N6,R6)=0,"None",IF(MIN(F6,J6,N6,R6)=MAX(F6,J6,N6,R6),"All four",_xlfn.TEXTJOIN(", ",TRUE,IF(F6=MAX(F6,J6,N6,R6),"gpt-5.6-luna",""),IF(J6=MAX(F6,J6,N6,R6),"gpt-6-luna",""),IF(N6=MAX(F6,J6,N6,R6),"gpt-6-astra",""),IF(R6=MAX(F6,J6,N6,R6),"gpt-6.1-sol",""))))</f>
        <v/>
      </c>
      <c r="V6" s="2">
        <f>IF(MAX(F6,J6,N6,R6)&lt;&gt;MIN(F6,J6,N6,R6),"differ",IF(F6=$D6,"all_pass",IF(F6=0,"all_zero","same_partial")))</f>
        <v/>
      </c>
      <c r="W6" s="3" t="inlineStr">
        <is>
          <t>All four pass (qiskit.qasm2.dumps(c) instead of the removed c.qasm())</t>
        </is>
      </c>
    </row>
    <row r="7">
      <c r="A7" s="2" t="n">
        <v>1</v>
      </c>
      <c r="B7" s="2" t="inlineStr">
        <is>
          <t>issue_058_se</t>
        </is>
      </c>
      <c r="C7" s="2" t="inlineStr">
        <is>
          <t>"contains invalid instructions"</t>
        </is>
      </c>
      <c r="D7" s="2">
        <f>COUNTIF('gpt-5.6-luna'!$B7:$AB7,"Passed on test")+COUNTIF('gpt-5.6-luna'!$B7:$AB7,"Failed on test")+COUNTIF('gpt-5.6-luna'!$B7:$AB7,"Runtime error")</f>
        <v/>
      </c>
      <c r="E7" s="2">
        <f>IF(F7=$D7,"Passed on test",IF(H7&gt;0,"Runtime error","Failed on test"))</f>
        <v/>
      </c>
      <c r="F7" s="2">
        <f>COUNTIF('gpt-5.6-luna'!$B7:$AB7,"Passed on test")</f>
        <v/>
      </c>
      <c r="G7" s="2">
        <f>COUNTIF('gpt-5.6-luna'!$B7:$AB7,"Failed on test")</f>
        <v/>
      </c>
      <c r="H7" s="2">
        <f>COUNTIF('gpt-5.6-luna'!$B7:$AB7,"Runtime error")</f>
        <v/>
      </c>
      <c r="I7" s="2">
        <f>IF(J7=$D7,"Passed on test",IF(L7&gt;0,"Runtime error","Failed on test"))</f>
        <v/>
      </c>
      <c r="J7" s="2">
        <f>COUNTIF('gpt-6-luna'!$B7:$AB7,"Passed on test")</f>
        <v/>
      </c>
      <c r="K7" s="2">
        <f>COUNTIF('gpt-6-luna'!$B7:$AB7,"Failed on test")</f>
        <v/>
      </c>
      <c r="L7" s="2">
        <f>COUNTIF('gpt-6-luna'!$B7:$AB7,"Runtime error")</f>
        <v/>
      </c>
      <c r="M7" s="2">
        <f>IF(N7=$D7,"Passed on test",IF(P7&gt;0,"Runtime error","Failed on test"))</f>
        <v/>
      </c>
      <c r="N7" s="2">
        <f>COUNTIF('gpt-6-astra'!$B7:$AB7,"Passed on test")</f>
        <v/>
      </c>
      <c r="O7" s="2">
        <f>COUNTIF('gpt-6-astra'!$B7:$AB7,"Failed on test")</f>
        <v/>
      </c>
      <c r="P7" s="2">
        <f>COUNTIF('gpt-6-astra'!$B7:$AB7,"Runtime error")</f>
        <v/>
      </c>
      <c r="Q7" s="2">
        <f>IF(R7=$D7,"Passed on test",IF(T7&gt;0,"Runtime error","Failed on test"))</f>
        <v/>
      </c>
      <c r="R7" s="2">
        <f>COUNTIF('gpt-6.1-sol'!$B7:$AB7,"Passed on test")</f>
        <v/>
      </c>
      <c r="S7" s="2">
        <f>COUNTIF('gpt-6.1-sol'!$B7:$AB7,"Failed on test")</f>
        <v/>
      </c>
      <c r="T7" s="2">
        <f>COUNTIF('gpt-6.1-sol'!$B7:$AB7,"Runtime error")</f>
        <v/>
      </c>
      <c r="U7" s="2">
        <f>IF(MAX(F7,J7,N7,R7)=0,"None",IF(MIN(F7,J7,N7,R7)=MAX(F7,J7,N7,R7),"All four",_xlfn.TEXTJOIN(", ",TRUE,IF(F7=MAX(F7,J7,N7,R7),"gpt-5.6-luna",""),IF(J7=MAX(F7,J7,N7,R7),"gpt-6-luna",""),IF(N7=MAX(F7,J7,N7,R7),"gpt-6-astra",""),IF(R7=MAX(F7,J7,N7,R7),"gpt-6.1-sol",""))))</f>
        <v/>
      </c>
      <c r="V7" s="2">
        <f>IF(MAX(F7,J7,N7,R7)&lt;&gt;MIN(F7,J7,N7,R7),"differ",IF(F7=$D7,"all_pass",IF(F7=0,"all_zero","same_partial")))</f>
        <v/>
      </c>
      <c r="W7" s="3" t="inlineStr">
        <is>
          <t>All four pass (Transpiles the circuit for the backend before run())</t>
        </is>
      </c>
    </row>
    <row r="8">
      <c r="A8" s="2" t="n">
        <v>1</v>
      </c>
      <c r="B8" s="2" t="inlineStr">
        <is>
          <t>issue_061</t>
        </is>
      </c>
      <c r="C8" s="2" t="inlineStr">
        <is>
          <t>Deprecated Bit.register / Bit.index</t>
        </is>
      </c>
      <c r="D8" s="2">
        <f>COUNTIF('gpt-5.6-luna'!$B8:$AB8,"Passed on test")+COUNTIF('gpt-5.6-luna'!$B8:$AB8,"Failed on test")+COUNTIF('gpt-5.6-luna'!$B8:$AB8,"Runtime error")</f>
        <v/>
      </c>
      <c r="E8" s="2">
        <f>IF(F8=$D8,"Passed on test",IF(H8&gt;0,"Runtime error","Failed on test"))</f>
        <v/>
      </c>
      <c r="F8" s="2">
        <f>COUNTIF('gpt-5.6-luna'!$B8:$AB8,"Passed on test")</f>
        <v/>
      </c>
      <c r="G8" s="2">
        <f>COUNTIF('gpt-5.6-luna'!$B8:$AB8,"Failed on test")</f>
        <v/>
      </c>
      <c r="H8" s="2">
        <f>COUNTIF('gpt-5.6-luna'!$B8:$AB8,"Runtime error")</f>
        <v/>
      </c>
      <c r="I8" s="2">
        <f>IF(J8=$D8,"Passed on test",IF(L8&gt;0,"Runtime error","Failed on test"))</f>
        <v/>
      </c>
      <c r="J8" s="2">
        <f>COUNTIF('gpt-6-luna'!$B8:$AB8,"Passed on test")</f>
        <v/>
      </c>
      <c r="K8" s="2">
        <f>COUNTIF('gpt-6-luna'!$B8:$AB8,"Failed on test")</f>
        <v/>
      </c>
      <c r="L8" s="2">
        <f>COUNTIF('gpt-6-luna'!$B8:$AB8,"Runtime error")</f>
        <v/>
      </c>
      <c r="M8" s="2">
        <f>IF(N8=$D8,"Passed on test",IF(P8&gt;0,"Runtime error","Failed on test"))</f>
        <v/>
      </c>
      <c r="N8" s="2">
        <f>COUNTIF('gpt-6-astra'!$B8:$AB8,"Passed on test")</f>
        <v/>
      </c>
      <c r="O8" s="2">
        <f>COUNTIF('gpt-6-astra'!$B8:$AB8,"Failed on test")</f>
        <v/>
      </c>
      <c r="P8" s="2">
        <f>COUNTIF('gpt-6-astra'!$B8:$AB8,"Runtime error")</f>
        <v/>
      </c>
      <c r="Q8" s="2">
        <f>IF(R8=$D8,"Passed on test",IF(T8&gt;0,"Runtime error","Failed on test"))</f>
        <v/>
      </c>
      <c r="R8" s="2">
        <f>COUNTIF('gpt-6.1-sol'!$B8:$AB8,"Passed on test")</f>
        <v/>
      </c>
      <c r="S8" s="2">
        <f>COUNTIF('gpt-6.1-sol'!$B8:$AB8,"Failed on test")</f>
        <v/>
      </c>
      <c r="T8" s="2">
        <f>COUNTIF('gpt-6.1-sol'!$B8:$AB8,"Runtime error")</f>
        <v/>
      </c>
      <c r="U8" s="2">
        <f>IF(MAX(F8,J8,N8,R8)=0,"None",IF(MIN(F8,J8,N8,R8)=MAX(F8,J8,N8,R8),"All four",_xlfn.TEXTJOIN(", ",TRUE,IF(F8=MAX(F8,J8,N8,R8),"gpt-5.6-luna",""),IF(J8=MAX(F8,J8,N8,R8),"gpt-6-luna",""),IF(N8=MAX(F8,J8,N8,R8),"gpt-6-astra",""),IF(R8=MAX(F8,J8,N8,R8),"gpt-6.1-sol",""))))</f>
        <v/>
      </c>
      <c r="V8" s="2">
        <f>IF(MAX(F8,J8,N8,R8)&lt;&gt;MIN(F8,J8,N8,R8),"differ",IF(F8=$D8,"all_pass",IF(F8=0,"all_zero","same_partial")))</f>
        <v/>
      </c>
      <c r="W8" s="3" t="inlineStr">
        <is>
          <t>All four pass (qc.find_bit(qbit).registers[0])</t>
        </is>
      </c>
    </row>
    <row r="9">
      <c r="A9" s="2" t="n">
        <v>1</v>
      </c>
      <c r="B9" s="2" t="inlineStr">
        <is>
          <t>issue_072</t>
        </is>
      </c>
      <c r="C9" s="2" t="inlineStr">
        <is>
          <t>Duplicate qubit in a layout</t>
        </is>
      </c>
      <c r="D9" s="2">
        <f>COUNTIF('gpt-5.6-luna'!$B9:$AB9,"Passed on test")+COUNTIF('gpt-5.6-luna'!$B9:$AB9,"Failed on test")+COUNTIF('gpt-5.6-luna'!$B9:$AB9,"Runtime error")</f>
        <v/>
      </c>
      <c r="E9" s="2">
        <f>IF(F9=$D9,"Passed on test",IF(H9&gt;0,"Runtime error","Failed on test"))</f>
        <v/>
      </c>
      <c r="F9" s="2">
        <f>COUNTIF('gpt-5.6-luna'!$B9:$AB9,"Passed on test")</f>
        <v/>
      </c>
      <c r="G9" s="2">
        <f>COUNTIF('gpt-5.6-luna'!$B9:$AB9,"Failed on test")</f>
        <v/>
      </c>
      <c r="H9" s="2">
        <f>COUNTIF('gpt-5.6-luna'!$B9:$AB9,"Runtime error")</f>
        <v/>
      </c>
      <c r="I9" s="2">
        <f>IF(J9=$D9,"Passed on test",IF(L9&gt;0,"Runtime error","Failed on test"))</f>
        <v/>
      </c>
      <c r="J9" s="2">
        <f>COUNTIF('gpt-6-luna'!$B9:$AB9,"Passed on test")</f>
        <v/>
      </c>
      <c r="K9" s="2">
        <f>COUNTIF('gpt-6-luna'!$B9:$AB9,"Failed on test")</f>
        <v/>
      </c>
      <c r="L9" s="2">
        <f>COUNTIF('gpt-6-luna'!$B9:$AB9,"Runtime error")</f>
        <v/>
      </c>
      <c r="M9" s="2">
        <f>IF(N9=$D9,"Passed on test",IF(P9&gt;0,"Runtime error","Failed on test"))</f>
        <v/>
      </c>
      <c r="N9" s="2">
        <f>COUNTIF('gpt-6-astra'!$B9:$AB9,"Passed on test")</f>
        <v/>
      </c>
      <c r="O9" s="2">
        <f>COUNTIF('gpt-6-astra'!$B9:$AB9,"Failed on test")</f>
        <v/>
      </c>
      <c r="P9" s="2">
        <f>COUNTIF('gpt-6-astra'!$B9:$AB9,"Runtime error")</f>
        <v/>
      </c>
      <c r="Q9" s="2">
        <f>IF(R9=$D9,"Passed on test",IF(T9&gt;0,"Runtime error","Failed on test"))</f>
        <v/>
      </c>
      <c r="R9" s="2">
        <f>COUNTIF('gpt-6.1-sol'!$B9:$AB9,"Passed on test")</f>
        <v/>
      </c>
      <c r="S9" s="2">
        <f>COUNTIF('gpt-6.1-sol'!$B9:$AB9,"Failed on test")</f>
        <v/>
      </c>
      <c r="T9" s="2">
        <f>COUNTIF('gpt-6.1-sol'!$B9:$AB9,"Runtime error")</f>
        <v/>
      </c>
      <c r="U9" s="2">
        <f>IF(MAX(F9,J9,N9,R9)=0,"None",IF(MIN(F9,J9,N9,R9)=MAX(F9,J9,N9,R9),"All four",_xlfn.TEXTJOIN(", ",TRUE,IF(F9=MAX(F9,J9,N9,R9),"gpt-5.6-luna",""),IF(J9=MAX(F9,J9,N9,R9),"gpt-6-luna",""),IF(N9=MAX(F9,J9,N9,R9),"gpt-6-astra",""),IF(R9=MAX(F9,J9,N9,R9),"gpt-6.1-sol",""))))</f>
        <v/>
      </c>
      <c r="V9" s="2">
        <f>IF(MAX(F9,J9,N9,R9)&lt;&gt;MIN(F9,J9,N9,R9),"differ",IF(F9=$D9,"all_pass",IF(F9=0,"all_zero","same_partial")))</f>
        <v/>
      </c>
      <c r="W9" s="3" t="inlineStr">
        <is>
          <t>All four pass (Maps qreg[5] to the unused qubit 15)</t>
        </is>
      </c>
    </row>
    <row r="10">
      <c r="A10" s="2" t="n">
        <v>1</v>
      </c>
      <c r="B10" s="2" t="inlineStr">
        <is>
          <t>issue_096</t>
        </is>
      </c>
      <c r="C10" s="2" t="inlineStr">
        <is>
          <t>Missing Qiskit / IPython config files</t>
        </is>
      </c>
      <c r="D10" s="2">
        <f>COUNTIF('gpt-5.6-luna'!$B10:$AB10,"Passed on test")+COUNTIF('gpt-5.6-luna'!$B10:$AB10,"Failed on test")+COUNTIF('gpt-5.6-luna'!$B10:$AB10,"Runtime error")</f>
        <v/>
      </c>
      <c r="E10" s="2">
        <f>IF(F10=$D10,"Passed on test",IF(H10&gt;0,"Runtime error","Failed on test"))</f>
        <v/>
      </c>
      <c r="F10" s="2">
        <f>COUNTIF('gpt-5.6-luna'!$B10:$AB10,"Passed on test")</f>
        <v/>
      </c>
      <c r="G10" s="2">
        <f>COUNTIF('gpt-5.6-luna'!$B10:$AB10,"Failed on test")</f>
        <v/>
      </c>
      <c r="H10" s="2">
        <f>COUNTIF('gpt-5.6-luna'!$B10:$AB10,"Runtime error")</f>
        <v/>
      </c>
      <c r="I10" s="2">
        <f>IF(J10=$D10,"Passed on test",IF(L10&gt;0,"Runtime error","Failed on test"))</f>
        <v/>
      </c>
      <c r="J10" s="2">
        <f>COUNTIF('gpt-6-luna'!$B10:$AB10,"Passed on test")</f>
        <v/>
      </c>
      <c r="K10" s="2">
        <f>COUNTIF('gpt-6-luna'!$B10:$AB10,"Failed on test")</f>
        <v/>
      </c>
      <c r="L10" s="2">
        <f>COUNTIF('gpt-6-luna'!$B10:$AB10,"Runtime error")</f>
        <v/>
      </c>
      <c r="M10" s="2">
        <f>IF(N10=$D10,"Passed on test",IF(P10&gt;0,"Runtime error","Failed on test"))</f>
        <v/>
      </c>
      <c r="N10" s="2">
        <f>COUNTIF('gpt-6-astra'!$B10:$AB10,"Passed on test")</f>
        <v/>
      </c>
      <c r="O10" s="2">
        <f>COUNTIF('gpt-6-astra'!$B10:$AB10,"Failed on test")</f>
        <v/>
      </c>
      <c r="P10" s="2">
        <f>COUNTIF('gpt-6-astra'!$B10:$AB10,"Runtime error")</f>
        <v/>
      </c>
      <c r="Q10" s="2">
        <f>IF(R10=$D10,"Passed on test",IF(T10&gt;0,"Runtime error","Failed on test"))</f>
        <v/>
      </c>
      <c r="R10" s="2">
        <f>COUNTIF('gpt-6.1-sol'!$B10:$AB10,"Passed on test")</f>
        <v/>
      </c>
      <c r="S10" s="2">
        <f>COUNTIF('gpt-6.1-sol'!$B10:$AB10,"Failed on test")</f>
        <v/>
      </c>
      <c r="T10" s="2">
        <f>COUNTIF('gpt-6.1-sol'!$B10:$AB10,"Runtime error")</f>
        <v/>
      </c>
      <c r="U10" s="2">
        <f>IF(MAX(F10,J10,N10,R10)=0,"None",IF(MIN(F10,J10,N10,R10)=MAX(F10,J10,N10,R10),"All four",_xlfn.TEXTJOIN(", ",TRUE,IF(F10=MAX(F10,J10,N10,R10),"gpt-5.6-luna",""),IF(J10=MAX(F10,J10,N10,R10),"gpt-6-luna",""),IF(N10=MAX(F10,J10,N10,R10),"gpt-6-astra",""),IF(R10=MAX(F10,J10,N10,R10),"gpt-6.1-sol",""))))</f>
        <v/>
      </c>
      <c r="V10" s="2">
        <f>IF(MAX(F10,J10,N10,R10)&lt;&gt;MIN(F10,J10,N10,R10),"differ",IF(F10=$D10,"all_pass",IF(F10=0,"all_zero","same_partial")))</f>
        <v/>
      </c>
      <c r="W10" s="3" t="inlineStr">
        <is>
          <t>All create an empty config file, but not the [default] content and IPython file the test expects</t>
        </is>
      </c>
    </row>
    <row r="11">
      <c r="A11" s="2" t="n">
        <v>2</v>
      </c>
      <c r="B11" s="2" t="inlineStr">
        <is>
          <t>issue_155</t>
        </is>
      </c>
      <c r="C11" s="2" t="inlineStr">
        <is>
          <t>Partial trace over registers</t>
        </is>
      </c>
      <c r="D11" s="2">
        <f>COUNTIF('gpt-5.6-luna'!$B11:$AB11,"Passed on test")+COUNTIF('gpt-5.6-luna'!$B11:$AB11,"Failed on test")+COUNTIF('gpt-5.6-luna'!$B11:$AB11,"Runtime error")</f>
        <v/>
      </c>
      <c r="E11" s="2">
        <f>IF(F11=$D11,"Passed on test",IF(H11&gt;0,"Runtime error","Failed on test"))</f>
        <v/>
      </c>
      <c r="F11" s="2">
        <f>COUNTIF('gpt-5.6-luna'!$B11:$AB11,"Passed on test")</f>
        <v/>
      </c>
      <c r="G11" s="2">
        <f>COUNTIF('gpt-5.6-luna'!$B11:$AB11,"Failed on test")</f>
        <v/>
      </c>
      <c r="H11" s="2">
        <f>COUNTIF('gpt-5.6-luna'!$B11:$AB11,"Runtime error")</f>
        <v/>
      </c>
      <c r="I11" s="2">
        <f>IF(J11=$D11,"Passed on test",IF(L11&gt;0,"Runtime error","Failed on test"))</f>
        <v/>
      </c>
      <c r="J11" s="2">
        <f>COUNTIF('gpt-6-luna'!$B11:$AB11,"Passed on test")</f>
        <v/>
      </c>
      <c r="K11" s="2">
        <f>COUNTIF('gpt-6-luna'!$B11:$AB11,"Failed on test")</f>
        <v/>
      </c>
      <c r="L11" s="2">
        <f>COUNTIF('gpt-6-luna'!$B11:$AB11,"Runtime error")</f>
        <v/>
      </c>
      <c r="M11" s="2">
        <f>IF(N11=$D11,"Passed on test",IF(P11&gt;0,"Runtime error","Failed on test"))</f>
        <v/>
      </c>
      <c r="N11" s="2">
        <f>COUNTIF('gpt-6-astra'!$B11:$AB11,"Passed on test")</f>
        <v/>
      </c>
      <c r="O11" s="2">
        <f>COUNTIF('gpt-6-astra'!$B11:$AB11,"Failed on test")</f>
        <v/>
      </c>
      <c r="P11" s="2">
        <f>COUNTIF('gpt-6-astra'!$B11:$AB11,"Runtime error")</f>
        <v/>
      </c>
      <c r="Q11" s="2">
        <f>IF(R11=$D11,"Passed on test",IF(T11&gt;0,"Runtime error","Failed on test"))</f>
        <v/>
      </c>
      <c r="R11" s="2">
        <f>COUNTIF('gpt-6.1-sol'!$B11:$AB11,"Passed on test")</f>
        <v/>
      </c>
      <c r="S11" s="2">
        <f>COUNTIF('gpt-6.1-sol'!$B11:$AB11,"Failed on test")</f>
        <v/>
      </c>
      <c r="T11" s="2">
        <f>COUNTIF('gpt-6.1-sol'!$B11:$AB11,"Runtime error")</f>
        <v/>
      </c>
      <c r="U11" s="2">
        <f>IF(MAX(F11,J11,N11,R11)=0,"None",IF(MIN(F11,J11,N11,R11)=MAX(F11,J11,N11,R11),"All four",_xlfn.TEXTJOIN(", ",TRUE,IF(F11=MAX(F11,J11,N11,R11),"gpt-5.6-luna",""),IF(J11=MAX(F11,J11,N11,R11),"gpt-6-luna",""),IF(N11=MAX(F11,J11,N11,R11),"gpt-6-astra",""),IF(R11=MAX(F11,J11,N11,R11),"gpt-6.1-sol",""))))</f>
        <v/>
      </c>
      <c r="V11" s="2">
        <f>IF(MAX(F11,J11,N11,R11)&lt;&gt;MIN(F11,J11,N11,R11),"differ",IF(F11=$D11,"all_pass",IF(F11=0,"all_zero","same_partial")))</f>
        <v/>
      </c>
      <c r="W11" s="3" t="inlineStr">
        <is>
          <t>gpt-5.6-luna used qc.qubits.index(), which works on 0.25; the other three used find_bit(), which doesn't exist there</t>
        </is>
      </c>
    </row>
    <row r="12">
      <c r="A12" s="2" t="n">
        <v>2</v>
      </c>
      <c r="B12" s="2" t="inlineStr">
        <is>
          <t>issue_157</t>
        </is>
      </c>
      <c r="C12" s="2" t="inlineStr">
        <is>
          <t>Controlled initialize</t>
        </is>
      </c>
      <c r="D12" s="2">
        <f>COUNTIF('gpt-5.6-luna'!$B12:$AB12,"Passed on test")+COUNTIF('gpt-5.6-luna'!$B12:$AB12,"Failed on test")+COUNTIF('gpt-5.6-luna'!$B12:$AB12,"Runtime error")</f>
        <v/>
      </c>
      <c r="E12" s="2">
        <f>IF(F12=$D12,"Passed on test",IF(H12&gt;0,"Runtime error","Failed on test"))</f>
        <v/>
      </c>
      <c r="F12" s="2">
        <f>COUNTIF('gpt-5.6-luna'!$B12:$AB12,"Passed on test")</f>
        <v/>
      </c>
      <c r="G12" s="2">
        <f>COUNTIF('gpt-5.6-luna'!$B12:$AB12,"Failed on test")</f>
        <v/>
      </c>
      <c r="H12" s="2">
        <f>COUNTIF('gpt-5.6-luna'!$B12:$AB12,"Runtime error")</f>
        <v/>
      </c>
      <c r="I12" s="2">
        <f>IF(J12=$D12,"Passed on test",IF(L12&gt;0,"Runtime error","Failed on test"))</f>
        <v/>
      </c>
      <c r="J12" s="2">
        <f>COUNTIF('gpt-6-luna'!$B12:$AB12,"Passed on test")</f>
        <v/>
      </c>
      <c r="K12" s="2">
        <f>COUNTIF('gpt-6-luna'!$B12:$AB12,"Failed on test")</f>
        <v/>
      </c>
      <c r="L12" s="2">
        <f>COUNTIF('gpt-6-luna'!$B12:$AB12,"Runtime error")</f>
        <v/>
      </c>
      <c r="M12" s="2">
        <f>IF(N12=$D12,"Passed on test",IF(P12&gt;0,"Runtime error","Failed on test"))</f>
        <v/>
      </c>
      <c r="N12" s="2">
        <f>COUNTIF('gpt-6-astra'!$B12:$AB12,"Passed on test")</f>
        <v/>
      </c>
      <c r="O12" s="2">
        <f>COUNTIF('gpt-6-astra'!$B12:$AB12,"Failed on test")</f>
        <v/>
      </c>
      <c r="P12" s="2">
        <f>COUNTIF('gpt-6-astra'!$B12:$AB12,"Runtime error")</f>
        <v/>
      </c>
      <c r="Q12" s="2">
        <f>IF(R12=$D12,"Passed on test",IF(T12&gt;0,"Runtime error","Failed on test"))</f>
        <v/>
      </c>
      <c r="R12" s="2">
        <f>COUNTIF('gpt-6.1-sol'!$B12:$AB12,"Passed on test")</f>
        <v/>
      </c>
      <c r="S12" s="2">
        <f>COUNTIF('gpt-6.1-sol'!$B12:$AB12,"Failed on test")</f>
        <v/>
      </c>
      <c r="T12" s="2">
        <f>COUNTIF('gpt-6.1-sol'!$B12:$AB12,"Runtime error")</f>
        <v/>
      </c>
      <c r="U12" s="2">
        <f>IF(MAX(F12,J12,N12,R12)=0,"None",IF(MIN(F12,J12,N12,R12)=MAX(F12,J12,N12,R12),"All four",_xlfn.TEXTJOIN(", ",TRUE,IF(F12=MAX(F12,J12,N12,R12),"gpt-5.6-luna",""),IF(J12=MAX(F12,J12,N12,R12),"gpt-6-luna",""),IF(N12=MAX(F12,J12,N12,R12),"gpt-6-astra",""),IF(R12=MAX(F12,J12,N12,R12),"gpt-6.1-sol",""))))</f>
        <v/>
      </c>
      <c r="V12" s="2">
        <f>IF(MAX(F12,J12,N12,R12)&lt;&gt;MIN(F12,J12,N12,R12),"differ",IF(F12=$D12,"all_pass",IF(F12=0,"all_zero","same_partial")))</f>
        <v/>
      </c>
      <c r="W12" s="3" t="inlineStr">
        <is>
          <t>All four use prepare_state(), which doesn't exist in 0.25</t>
        </is>
      </c>
    </row>
    <row r="13">
      <c r="A13" s="2" t="n">
        <v>2</v>
      </c>
      <c r="B13" s="2" t="inlineStr">
        <is>
          <t>issue_174</t>
        </is>
      </c>
      <c r="C13" s="2" t="inlineStr">
        <is>
          <t>Conditions on a classical register in OpenQASM 2</t>
        </is>
      </c>
      <c r="D13" s="2">
        <f>COUNTIF('gpt-5.6-luna'!$B13:$AB13,"Passed on test")+COUNTIF('gpt-5.6-luna'!$B13:$AB13,"Failed on test")+COUNTIF('gpt-5.6-luna'!$B13:$AB13,"Runtime error")</f>
        <v/>
      </c>
      <c r="E13" s="2">
        <f>IF(F13=$D13,"Passed on test",IF(H13&gt;0,"Runtime error","Failed on test"))</f>
        <v/>
      </c>
      <c r="F13" s="2">
        <f>COUNTIF('gpt-5.6-luna'!$B13:$AB13,"Passed on test")</f>
        <v/>
      </c>
      <c r="G13" s="2">
        <f>COUNTIF('gpt-5.6-luna'!$B13:$AB13,"Failed on test")</f>
        <v/>
      </c>
      <c r="H13" s="2">
        <f>COUNTIF('gpt-5.6-luna'!$B13:$AB13,"Runtime error")</f>
        <v/>
      </c>
      <c r="I13" s="2">
        <f>IF(J13=$D13,"Passed on test",IF(L13&gt;0,"Runtime error","Failed on test"))</f>
        <v/>
      </c>
      <c r="J13" s="2">
        <f>COUNTIF('gpt-6-luna'!$B13:$AB13,"Passed on test")</f>
        <v/>
      </c>
      <c r="K13" s="2">
        <f>COUNTIF('gpt-6-luna'!$B13:$AB13,"Failed on test")</f>
        <v/>
      </c>
      <c r="L13" s="2">
        <f>COUNTIF('gpt-6-luna'!$B13:$AB13,"Runtime error")</f>
        <v/>
      </c>
      <c r="M13" s="2">
        <f>IF(N13=$D13,"Passed on test",IF(P13&gt;0,"Runtime error","Failed on test"))</f>
        <v/>
      </c>
      <c r="N13" s="2">
        <f>COUNTIF('gpt-6-astra'!$B13:$AB13,"Passed on test")</f>
        <v/>
      </c>
      <c r="O13" s="2">
        <f>COUNTIF('gpt-6-astra'!$B13:$AB13,"Failed on test")</f>
        <v/>
      </c>
      <c r="P13" s="2">
        <f>COUNTIF('gpt-6-astra'!$B13:$AB13,"Runtime error")</f>
        <v/>
      </c>
      <c r="Q13" s="2">
        <f>IF(R13=$D13,"Passed on test",IF(T13&gt;0,"Runtime error","Failed on test"))</f>
        <v/>
      </c>
      <c r="R13" s="2">
        <f>COUNTIF('gpt-6.1-sol'!$B13:$AB13,"Passed on test")</f>
        <v/>
      </c>
      <c r="S13" s="2">
        <f>COUNTIF('gpt-6.1-sol'!$B13:$AB13,"Failed on test")</f>
        <v/>
      </c>
      <c r="T13" s="2">
        <f>COUNTIF('gpt-6.1-sol'!$B13:$AB13,"Runtime error")</f>
        <v/>
      </c>
      <c r="U13" s="2">
        <f>IF(MAX(F13,J13,N13,R13)=0,"None",IF(MIN(F13,J13,N13,R13)=MAX(F13,J13,N13,R13),"All four",_xlfn.TEXTJOIN(", ",TRUE,IF(F13=MAX(F13,J13,N13,R13),"gpt-5.6-luna",""),IF(J13=MAX(F13,J13,N13,R13),"gpt-6-luna",""),IF(N13=MAX(F13,J13,N13,R13),"gpt-6-astra",""),IF(R13=MAX(F13,J13,N13,R13),"gpt-6.1-sol",""))))</f>
        <v/>
      </c>
      <c r="V13" s="2">
        <f>IF(MAX(F13,J13,N13,R13)&lt;&gt;MIN(F13,J13,N13,R13),"differ",IF(F13=$D13,"all_pass",IF(F13=0,"all_zero","same_partial")))</f>
        <v/>
      </c>
      <c r="W13" s="3" t="inlineStr">
        <is>
          <t>Same QASM fix everywhere, but the luna fixes put the # FIX: comment inside the QASM string, which crashes the parser</t>
        </is>
      </c>
    </row>
    <row r="14">
      <c r="A14" s="2" t="n">
        <v>2</v>
      </c>
      <c r="B14" s="2" t="inlineStr">
        <is>
          <t>issue_189</t>
        </is>
      </c>
      <c r="C14" s="2" t="inlineStr">
        <is>
          <t>Qubit count mismatch in a QPE loop</t>
        </is>
      </c>
      <c r="D14" s="2">
        <f>COUNTIF('gpt-5.6-luna'!$B14:$AB14,"Passed on test")+COUNTIF('gpt-5.6-luna'!$B14:$AB14,"Failed on test")+COUNTIF('gpt-5.6-luna'!$B14:$AB14,"Runtime error")</f>
        <v/>
      </c>
      <c r="E14" s="2">
        <f>IF(F14=$D14,"Passed on test",IF(H14&gt;0,"Runtime error","Failed on test"))</f>
        <v/>
      </c>
      <c r="F14" s="2">
        <f>COUNTIF('gpt-5.6-luna'!$B14:$AB14,"Passed on test")</f>
        <v/>
      </c>
      <c r="G14" s="2">
        <f>COUNTIF('gpt-5.6-luna'!$B14:$AB14,"Failed on test")</f>
        <v/>
      </c>
      <c r="H14" s="2">
        <f>COUNTIF('gpt-5.6-luna'!$B14:$AB14,"Runtime error")</f>
        <v/>
      </c>
      <c r="I14" s="2">
        <f>IF(J14=$D14,"Passed on test",IF(L14&gt;0,"Runtime error","Failed on test"))</f>
        <v/>
      </c>
      <c r="J14" s="2">
        <f>COUNTIF('gpt-6-luna'!$B14:$AB14,"Passed on test")</f>
        <v/>
      </c>
      <c r="K14" s="2">
        <f>COUNTIF('gpt-6-luna'!$B14:$AB14,"Failed on test")</f>
        <v/>
      </c>
      <c r="L14" s="2">
        <f>COUNTIF('gpt-6-luna'!$B14:$AB14,"Runtime error")</f>
        <v/>
      </c>
      <c r="M14" s="2">
        <f>IF(N14=$D14,"Passed on test",IF(P14&gt;0,"Runtime error","Failed on test"))</f>
        <v/>
      </c>
      <c r="N14" s="2">
        <f>COUNTIF('gpt-6-astra'!$B14:$AB14,"Passed on test")</f>
        <v/>
      </c>
      <c r="O14" s="2">
        <f>COUNTIF('gpt-6-astra'!$B14:$AB14,"Failed on test")</f>
        <v/>
      </c>
      <c r="P14" s="2">
        <f>COUNTIF('gpt-6-astra'!$B14:$AB14,"Runtime error")</f>
        <v/>
      </c>
      <c r="Q14" s="2">
        <f>IF(R14=$D14,"Passed on test",IF(T14&gt;0,"Runtime error","Failed on test"))</f>
        <v/>
      </c>
      <c r="R14" s="2">
        <f>COUNTIF('gpt-6.1-sol'!$B14:$AB14,"Passed on test")</f>
        <v/>
      </c>
      <c r="S14" s="2">
        <f>COUNTIF('gpt-6.1-sol'!$B14:$AB14,"Failed on test")</f>
        <v/>
      </c>
      <c r="T14" s="2">
        <f>COUNTIF('gpt-6.1-sol'!$B14:$AB14,"Runtime error")</f>
        <v/>
      </c>
      <c r="U14" s="2">
        <f>IF(MAX(F14,J14,N14,R14)=0,"None",IF(MIN(F14,J14,N14,R14)=MAX(F14,J14,N14,R14),"All four",_xlfn.TEXTJOIN(", ",TRUE,IF(F14=MAX(F14,J14,N14,R14),"gpt-5.6-luna",""),IF(J14=MAX(F14,J14,N14,R14),"gpt-6-luna",""),IF(N14=MAX(F14,J14,N14,R14),"gpt-6-astra",""),IF(R14=MAX(F14,J14,N14,R14),"gpt-6.1-sol",""))))</f>
        <v/>
      </c>
      <c r="V14" s="2">
        <f>IF(MAX(F14,J14,N14,R14)&lt;&gt;MIN(F14,J14,N14,R14),"differ",IF(F14=$D14,"all_pass",IF(F14=0,"all_zero","same_partial")))</f>
        <v/>
      </c>
      <c r="W14" s="3" t="inlineStr">
        <is>
          <t>Rescored 19 Oct 2026 on Nick's main test. gpt-5.6-luna 0 pass / 23 fail / 0 error; gpt-6-luna 0 pass / 23 fail / 0 error; gpt-6-astra 0 pass / 23 fail / 0 error; gpt-6.1-sol 0 pass / 23 fail / 0 error.</t>
        </is>
      </c>
    </row>
    <row r="15">
      <c r="A15" s="2" t="n">
        <v>2</v>
      </c>
      <c r="B15" s="2" t="inlineStr">
        <is>
          <t>issue_225</t>
        </is>
      </c>
      <c r="C15" s="2" t="inlineStr">
        <is>
          <t>Statevector has no reshape</t>
        </is>
      </c>
      <c r="D15" s="2">
        <f>COUNTIF('gpt-5.6-luna'!$B15:$AB15,"Passed on test")+COUNTIF('gpt-5.6-luna'!$B15:$AB15,"Failed on test")+COUNTIF('gpt-5.6-luna'!$B15:$AB15,"Runtime error")</f>
        <v/>
      </c>
      <c r="E15" s="2">
        <f>IF(F15=$D15,"Passed on test",IF(H15&gt;0,"Runtime error","Failed on test"))</f>
        <v/>
      </c>
      <c r="F15" s="2">
        <f>COUNTIF('gpt-5.6-luna'!$B15:$AB15,"Passed on test")</f>
        <v/>
      </c>
      <c r="G15" s="2">
        <f>COUNTIF('gpt-5.6-luna'!$B15:$AB15,"Failed on test")</f>
        <v/>
      </c>
      <c r="H15" s="2">
        <f>COUNTIF('gpt-5.6-luna'!$B15:$AB15,"Runtime error")</f>
        <v/>
      </c>
      <c r="I15" s="2">
        <f>IF(J15=$D15,"Passed on test",IF(L15&gt;0,"Runtime error","Failed on test"))</f>
        <v/>
      </c>
      <c r="J15" s="2">
        <f>COUNTIF('gpt-6-luna'!$B15:$AB15,"Passed on test")</f>
        <v/>
      </c>
      <c r="K15" s="2">
        <f>COUNTIF('gpt-6-luna'!$B15:$AB15,"Failed on test")</f>
        <v/>
      </c>
      <c r="L15" s="2">
        <f>COUNTIF('gpt-6-luna'!$B15:$AB15,"Runtime error")</f>
        <v/>
      </c>
      <c r="M15" s="2">
        <f>IF(N15=$D15,"Passed on test",IF(P15&gt;0,"Runtime error","Failed on test"))</f>
        <v/>
      </c>
      <c r="N15" s="2">
        <f>COUNTIF('gpt-6-astra'!$B15:$AB15,"Passed on test")</f>
        <v/>
      </c>
      <c r="O15" s="2">
        <f>COUNTIF('gpt-6-astra'!$B15:$AB15,"Failed on test")</f>
        <v/>
      </c>
      <c r="P15" s="2">
        <f>COUNTIF('gpt-6-astra'!$B15:$AB15,"Runtime error")</f>
        <v/>
      </c>
      <c r="Q15" s="2">
        <f>IF(R15=$D15,"Passed on test",IF(T15&gt;0,"Runtime error","Failed on test"))</f>
        <v/>
      </c>
      <c r="R15" s="2">
        <f>COUNTIF('gpt-6.1-sol'!$B15:$AB15,"Passed on test")</f>
        <v/>
      </c>
      <c r="S15" s="2">
        <f>COUNTIF('gpt-6.1-sol'!$B15:$AB15,"Failed on test")</f>
        <v/>
      </c>
      <c r="T15" s="2">
        <f>COUNTIF('gpt-6.1-sol'!$B15:$AB15,"Runtime error")</f>
        <v/>
      </c>
      <c r="U15" s="2">
        <f>IF(MAX(F15,J15,N15,R15)=0,"None",IF(MIN(F15,J15,N15,R15)=MAX(F15,J15,N15,R15),"All four",_xlfn.TEXTJOIN(", ",TRUE,IF(F15=MAX(F15,J15,N15,R15),"gpt-5.6-luna",""),IF(J15=MAX(F15,J15,N15,R15),"gpt-6-luna",""),IF(N15=MAX(F15,J15,N15,R15),"gpt-6-astra",""),IF(R15=MAX(F15,J15,N15,R15),"gpt-6.1-sol",""))))</f>
        <v/>
      </c>
      <c r="V15" s="2">
        <f>IF(MAX(F15,J15,N15,R15)&lt;&gt;MIN(F15,J15,N15,R15),"differ",IF(F15=$D15,"all_pass",IF(F15=0,"all_zero","same_partial")))</f>
        <v/>
      </c>
      <c r="W15" s="3" t="inlineStr">
        <is>
          <t>All four pass (.data.reshape(-1, 1))</t>
        </is>
      </c>
    </row>
    <row r="16">
      <c r="A16" s="2" t="n">
        <v>2</v>
      </c>
      <c r="B16" s="2" t="inlineStr">
        <is>
          <t>issue_233</t>
        </is>
      </c>
      <c r="C16" s="2" t="inlineStr">
        <is>
          <t>Parameter count after compose</t>
        </is>
      </c>
      <c r="D16" s="2">
        <f>COUNTIF('gpt-5.6-luna'!$B16:$AB16,"Passed on test")+COUNTIF('gpt-5.6-luna'!$B16:$AB16,"Failed on test")+COUNTIF('gpt-5.6-luna'!$B16:$AB16,"Runtime error")</f>
        <v/>
      </c>
      <c r="E16" s="2">
        <f>IF(F16=$D16,"Passed on test",IF(H16&gt;0,"Runtime error","Failed on test"))</f>
        <v/>
      </c>
      <c r="F16" s="2">
        <f>COUNTIF('gpt-5.6-luna'!$B16:$AB16,"Passed on test")</f>
        <v/>
      </c>
      <c r="G16" s="2">
        <f>COUNTIF('gpt-5.6-luna'!$B16:$AB16,"Failed on test")</f>
        <v/>
      </c>
      <c r="H16" s="2">
        <f>COUNTIF('gpt-5.6-luna'!$B16:$AB16,"Runtime error")</f>
        <v/>
      </c>
      <c r="I16" s="2">
        <f>IF(J16=$D16,"Passed on test",IF(L16&gt;0,"Runtime error","Failed on test"))</f>
        <v/>
      </c>
      <c r="J16" s="2">
        <f>COUNTIF('gpt-6-luna'!$B16:$AB16,"Passed on test")</f>
        <v/>
      </c>
      <c r="K16" s="2">
        <f>COUNTIF('gpt-6-luna'!$B16:$AB16,"Failed on test")</f>
        <v/>
      </c>
      <c r="L16" s="2">
        <f>COUNTIF('gpt-6-luna'!$B16:$AB16,"Runtime error")</f>
        <v/>
      </c>
      <c r="M16" s="2">
        <f>IF(N16=$D16,"Passed on test",IF(P16&gt;0,"Runtime error","Failed on test"))</f>
        <v/>
      </c>
      <c r="N16" s="2">
        <f>COUNTIF('gpt-6-astra'!$B16:$AB16,"Passed on test")</f>
        <v/>
      </c>
      <c r="O16" s="2">
        <f>COUNTIF('gpt-6-astra'!$B16:$AB16,"Failed on test")</f>
        <v/>
      </c>
      <c r="P16" s="2">
        <f>COUNTIF('gpt-6-astra'!$B16:$AB16,"Runtime error")</f>
        <v/>
      </c>
      <c r="Q16" s="2">
        <f>IF(R16=$D16,"Passed on test",IF(T16&gt;0,"Runtime error","Failed on test"))</f>
        <v/>
      </c>
      <c r="R16" s="2">
        <f>COUNTIF('gpt-6.1-sol'!$B16:$AB16,"Passed on test")</f>
        <v/>
      </c>
      <c r="S16" s="2">
        <f>COUNTIF('gpt-6.1-sol'!$B16:$AB16,"Failed on test")</f>
        <v/>
      </c>
      <c r="T16" s="2">
        <f>COUNTIF('gpt-6.1-sol'!$B16:$AB16,"Runtime error")</f>
        <v/>
      </c>
      <c r="U16" s="2">
        <f>IF(MAX(F16,J16,N16,R16)=0,"None",IF(MIN(F16,J16,N16,R16)=MAX(F16,J16,N16,R16),"All four",_xlfn.TEXTJOIN(", ",TRUE,IF(F16=MAX(F16,J16,N16,R16),"gpt-5.6-luna",""),IF(J16=MAX(F16,J16,N16,R16),"gpt-6-luna",""),IF(N16=MAX(F16,J16,N16,R16),"gpt-6-astra",""),IF(R16=MAX(F16,J16,N16,R16),"gpt-6.1-sol",""))))</f>
        <v/>
      </c>
      <c r="V16" s="2">
        <f>IF(MAX(F16,J16,N16,R16)&lt;&gt;MIN(F16,J16,N16,R16),"differ",IF(F16=$D16,"all_pass",IF(F16=0,"all_zero","same_partial")))</f>
        <v/>
      </c>
      <c r="W16" s="3" t="inlineStr">
        <is>
          <t>Both luna models fixed only one of the two broken num_parameters_settable() calls</t>
        </is>
      </c>
    </row>
    <row r="17">
      <c r="A17" s="2" t="n">
        <v>2</v>
      </c>
      <c r="B17" s="2" t="inlineStr">
        <is>
          <t>issue_261</t>
        </is>
      </c>
      <c r="C17" s="2" t="inlineStr">
        <is>
          <t>PauliOp from a string</t>
        </is>
      </c>
      <c r="D17" s="2">
        <f>COUNTIF('gpt-5.6-luna'!$B17:$AB17,"Passed on test")+COUNTIF('gpt-5.6-luna'!$B17:$AB17,"Failed on test")+COUNTIF('gpt-5.6-luna'!$B17:$AB17,"Runtime error")</f>
        <v/>
      </c>
      <c r="E17" s="2">
        <f>IF(F17=$D17,"Passed on test",IF(H17&gt;0,"Runtime error","Failed on test"))</f>
        <v/>
      </c>
      <c r="F17" s="2">
        <f>COUNTIF('gpt-5.6-luna'!$B17:$AB17,"Passed on test")</f>
        <v/>
      </c>
      <c r="G17" s="2">
        <f>COUNTIF('gpt-5.6-luna'!$B17:$AB17,"Failed on test")</f>
        <v/>
      </c>
      <c r="H17" s="2">
        <f>COUNTIF('gpt-5.6-luna'!$B17:$AB17,"Runtime error")</f>
        <v/>
      </c>
      <c r="I17" s="2">
        <f>IF(J17=$D17,"Passed on test",IF(L17&gt;0,"Runtime error","Failed on test"))</f>
        <v/>
      </c>
      <c r="J17" s="2">
        <f>COUNTIF('gpt-6-luna'!$B17:$AB17,"Passed on test")</f>
        <v/>
      </c>
      <c r="K17" s="2">
        <f>COUNTIF('gpt-6-luna'!$B17:$AB17,"Failed on test")</f>
        <v/>
      </c>
      <c r="L17" s="2">
        <f>COUNTIF('gpt-6-luna'!$B17:$AB17,"Runtime error")</f>
        <v/>
      </c>
      <c r="M17" s="2">
        <f>IF(N17=$D17,"Passed on test",IF(P17&gt;0,"Runtime error","Failed on test"))</f>
        <v/>
      </c>
      <c r="N17" s="2">
        <f>COUNTIF('gpt-6-astra'!$B17:$AB17,"Passed on test")</f>
        <v/>
      </c>
      <c r="O17" s="2">
        <f>COUNTIF('gpt-6-astra'!$B17:$AB17,"Failed on test")</f>
        <v/>
      </c>
      <c r="P17" s="2">
        <f>COUNTIF('gpt-6-astra'!$B17:$AB17,"Runtime error")</f>
        <v/>
      </c>
      <c r="Q17" s="2">
        <f>IF(R17=$D17,"Passed on test",IF(T17&gt;0,"Runtime error","Failed on test"))</f>
        <v/>
      </c>
      <c r="R17" s="2">
        <f>COUNTIF('gpt-6.1-sol'!$B17:$AB17,"Passed on test")</f>
        <v/>
      </c>
      <c r="S17" s="2">
        <f>COUNTIF('gpt-6.1-sol'!$B17:$AB17,"Failed on test")</f>
        <v/>
      </c>
      <c r="T17" s="2">
        <f>COUNTIF('gpt-6.1-sol'!$B17:$AB17,"Runtime error")</f>
        <v/>
      </c>
      <c r="U17" s="2">
        <f>IF(MAX(F17,J17,N17,R17)=0,"None",IF(MIN(F17,J17,N17,R17)=MAX(F17,J17,N17,R17),"All four",_xlfn.TEXTJOIN(", ",TRUE,IF(F17=MAX(F17,J17,N17,R17),"gpt-5.6-luna",""),IF(J17=MAX(F17,J17,N17,R17),"gpt-6-luna",""),IF(N17=MAX(F17,J17,N17,R17),"gpt-6-astra",""),IF(R17=MAX(F17,J17,N17,R17),"gpt-6.1-sol",""))))</f>
        <v/>
      </c>
      <c r="V17" s="2">
        <f>IF(MAX(F17,J17,N17,R17)&lt;&gt;MIN(F17,J17,N17,R17),"differ",IF(F17=$D17,"all_pass",IF(F17=0,"all_zero","same_partial")))</f>
        <v/>
      </c>
      <c r="W17" s="3" t="inlineStr">
        <is>
          <t>All four pass (Builds the operator with eval() on the Hamiltonian string)</t>
        </is>
      </c>
    </row>
    <row r="18">
      <c r="A18" s="2" t="n">
        <v>2</v>
      </c>
      <c r="B18" s="2" t="inlineStr">
        <is>
          <t>issue_280</t>
        </is>
      </c>
      <c r="C18" s="2" t="inlineStr">
        <is>
          <t>2-qubit depolarizing error</t>
        </is>
      </c>
      <c r="D18" s="2">
        <f>COUNTIF('gpt-5.6-luna'!$B18:$AB18,"Passed on test")+COUNTIF('gpt-5.6-luna'!$B18:$AB18,"Failed on test")+COUNTIF('gpt-5.6-luna'!$B18:$AB18,"Runtime error")</f>
        <v/>
      </c>
      <c r="E18" s="2">
        <f>IF(F18=$D18,"Passed on test",IF(H18&gt;0,"Runtime error","Failed on test"))</f>
        <v/>
      </c>
      <c r="F18" s="2">
        <f>COUNTIF('gpt-5.6-luna'!$B18:$AB18,"Passed on test")</f>
        <v/>
      </c>
      <c r="G18" s="2">
        <f>COUNTIF('gpt-5.6-luna'!$B18:$AB18,"Failed on test")</f>
        <v/>
      </c>
      <c r="H18" s="2">
        <f>COUNTIF('gpt-5.6-luna'!$B18:$AB18,"Runtime error")</f>
        <v/>
      </c>
      <c r="I18" s="2">
        <f>IF(J18=$D18,"Passed on test",IF(L18&gt;0,"Runtime error","Failed on test"))</f>
        <v/>
      </c>
      <c r="J18" s="2">
        <f>COUNTIF('gpt-6-luna'!$B18:$AB18,"Passed on test")</f>
        <v/>
      </c>
      <c r="K18" s="2">
        <f>COUNTIF('gpt-6-luna'!$B18:$AB18,"Failed on test")</f>
        <v/>
      </c>
      <c r="L18" s="2">
        <f>COUNTIF('gpt-6-luna'!$B18:$AB18,"Runtime error")</f>
        <v/>
      </c>
      <c r="M18" s="2">
        <f>IF(N18=$D18,"Passed on test",IF(P18&gt;0,"Runtime error","Failed on test"))</f>
        <v/>
      </c>
      <c r="N18" s="2">
        <f>COUNTIF('gpt-6-astra'!$B18:$AB18,"Passed on test")</f>
        <v/>
      </c>
      <c r="O18" s="2">
        <f>COUNTIF('gpt-6-astra'!$B18:$AB18,"Failed on test")</f>
        <v/>
      </c>
      <c r="P18" s="2">
        <f>COUNTIF('gpt-6-astra'!$B18:$AB18,"Runtime error")</f>
        <v/>
      </c>
      <c r="Q18" s="2">
        <f>IF(R18=$D18,"Passed on test",IF(T18&gt;0,"Runtime error","Failed on test"))</f>
        <v/>
      </c>
      <c r="R18" s="2">
        <f>COUNTIF('gpt-6.1-sol'!$B18:$AB18,"Passed on test")</f>
        <v/>
      </c>
      <c r="S18" s="2">
        <f>COUNTIF('gpt-6.1-sol'!$B18:$AB18,"Failed on test")</f>
        <v/>
      </c>
      <c r="T18" s="2">
        <f>COUNTIF('gpt-6.1-sol'!$B18:$AB18,"Runtime error")</f>
        <v/>
      </c>
      <c r="U18" s="2">
        <f>IF(MAX(F18,J18,N18,R18)=0,"None",IF(MIN(F18,J18,N18,R18)=MAX(F18,J18,N18,R18),"All four",_xlfn.TEXTJOIN(", ",TRUE,IF(F18=MAX(F18,J18,N18,R18),"gpt-5.6-luna",""),IF(J18=MAX(F18,J18,N18,R18),"gpt-6-luna",""),IF(N18=MAX(F18,J18,N18,R18),"gpt-6-astra",""),IF(R18=MAX(F18,J18,N18,R18),"gpt-6.1-sol",""))))</f>
        <v/>
      </c>
      <c r="V18" s="2">
        <f>IF(MAX(F18,J18,N18,R18)&lt;&gt;MIN(F18,J18,N18,R18),"differ",IF(F18=$D18,"all_pass",IF(F18=0,"all_zero","same_partial")))</f>
        <v/>
      </c>
      <c r="W18" s="3" t="inlineStr">
        <is>
          <t>All four pass (depolarizing_error(0.05, 2) for cx)</t>
        </is>
      </c>
    </row>
    <row r="19">
      <c r="A19" s="2" t="n">
        <v>2</v>
      </c>
      <c r="B19" s="2" t="inlineStr">
        <is>
          <t>issue_295</t>
        </is>
      </c>
      <c r="C19" s="2" t="inlineStr">
        <is>
          <t>+= to append a circuit</t>
        </is>
      </c>
      <c r="D19" s="2">
        <f>COUNTIF('gpt-5.6-luna'!$B19:$AB19,"Passed on test")+COUNTIF('gpt-5.6-luna'!$B19:$AB19,"Failed on test")+COUNTIF('gpt-5.6-luna'!$B19:$AB19,"Runtime error")</f>
        <v/>
      </c>
      <c r="E19" s="2">
        <f>IF(F19=$D19,"Passed on test",IF(H19&gt;0,"Runtime error","Failed on test"))</f>
        <v/>
      </c>
      <c r="F19" s="2">
        <f>COUNTIF('gpt-5.6-luna'!$B19:$AB19,"Passed on test")</f>
        <v/>
      </c>
      <c r="G19" s="2">
        <f>COUNTIF('gpt-5.6-luna'!$B19:$AB19,"Failed on test")</f>
        <v/>
      </c>
      <c r="H19" s="2">
        <f>COUNTIF('gpt-5.6-luna'!$B19:$AB19,"Runtime error")</f>
        <v/>
      </c>
      <c r="I19" s="2">
        <f>IF(J19=$D19,"Passed on test",IF(L19&gt;0,"Runtime error","Failed on test"))</f>
        <v/>
      </c>
      <c r="J19" s="2">
        <f>COUNTIF('gpt-6-luna'!$B19:$AB19,"Passed on test")</f>
        <v/>
      </c>
      <c r="K19" s="2">
        <f>COUNTIF('gpt-6-luna'!$B19:$AB19,"Failed on test")</f>
        <v/>
      </c>
      <c r="L19" s="2">
        <f>COUNTIF('gpt-6-luna'!$B19:$AB19,"Runtime error")</f>
        <v/>
      </c>
      <c r="M19" s="2">
        <f>IF(N19=$D19,"Passed on test",IF(P19&gt;0,"Runtime error","Failed on test"))</f>
        <v/>
      </c>
      <c r="N19" s="2">
        <f>COUNTIF('gpt-6-astra'!$B19:$AB19,"Passed on test")</f>
        <v/>
      </c>
      <c r="O19" s="2">
        <f>COUNTIF('gpt-6-astra'!$B19:$AB19,"Failed on test")</f>
        <v/>
      </c>
      <c r="P19" s="2">
        <f>COUNTIF('gpt-6-astra'!$B19:$AB19,"Runtime error")</f>
        <v/>
      </c>
      <c r="Q19" s="2">
        <f>IF(R19=$D19,"Passed on test",IF(T19&gt;0,"Runtime error","Failed on test"))</f>
        <v/>
      </c>
      <c r="R19" s="2">
        <f>COUNTIF('gpt-6.1-sol'!$B19:$AB19,"Passed on test")</f>
        <v/>
      </c>
      <c r="S19" s="2">
        <f>COUNTIF('gpt-6.1-sol'!$B19:$AB19,"Failed on test")</f>
        <v/>
      </c>
      <c r="T19" s="2">
        <f>COUNTIF('gpt-6.1-sol'!$B19:$AB19,"Runtime error")</f>
        <v/>
      </c>
      <c r="U19" s="2">
        <f>IF(MAX(F19,J19,N19,R19)=0,"None",IF(MIN(F19,J19,N19,R19)=MAX(F19,J19,N19,R19),"All four",_xlfn.TEXTJOIN(", ",TRUE,IF(F19=MAX(F19,J19,N19,R19),"gpt-5.6-luna",""),IF(J19=MAX(F19,J19,N19,R19),"gpt-6-luna",""),IF(N19=MAX(F19,J19,N19,R19),"gpt-6-astra",""),IF(R19=MAX(F19,J19,N19,R19),"gpt-6.1-sol",""))))</f>
        <v/>
      </c>
      <c r="V19" s="2">
        <f>IF(MAX(F19,J19,N19,R19)&lt;&gt;MIN(F19,J19,N19,R19),"differ",IF(F19=$D19,"all_pass",IF(F19=0,"all_zero","same_partial")))</f>
        <v/>
      </c>
      <c r="W19" s="3" t="inlineStr">
        <is>
          <t>All four pass (compose(oracle, inplace=True))</t>
        </is>
      </c>
    </row>
    <row r="20">
      <c r="A20" s="2" t="n">
        <v>2</v>
      </c>
      <c r="B20" s="2" t="inlineStr">
        <is>
          <t>issue_315</t>
        </is>
      </c>
      <c r="C20" s="2" t="inlineStr">
        <is>
          <t>max_parallel_threads not valid for this backend</t>
        </is>
      </c>
      <c r="D20" s="2">
        <f>COUNTIF('gpt-5.6-luna'!$B20:$AB20,"Passed on test")+COUNTIF('gpt-5.6-luna'!$B20:$AB20,"Failed on test")+COUNTIF('gpt-5.6-luna'!$B20:$AB20,"Runtime error")</f>
        <v/>
      </c>
      <c r="E20" s="2">
        <f>IF(F20=$D20,"Passed on test",IF(H20&gt;0,"Runtime error","Failed on test"))</f>
        <v/>
      </c>
      <c r="F20" s="2">
        <f>COUNTIF('gpt-5.6-luna'!$B20:$AB20,"Passed on test")</f>
        <v/>
      </c>
      <c r="G20" s="2">
        <f>COUNTIF('gpt-5.6-luna'!$B20:$AB20,"Failed on test")</f>
        <v/>
      </c>
      <c r="H20" s="2">
        <f>COUNTIF('gpt-5.6-luna'!$B20:$AB20,"Runtime error")</f>
        <v/>
      </c>
      <c r="I20" s="2">
        <f>IF(J20=$D20,"Passed on test",IF(L20&gt;0,"Runtime error","Failed on test"))</f>
        <v/>
      </c>
      <c r="J20" s="2">
        <f>COUNTIF('gpt-6-luna'!$B20:$AB20,"Passed on test")</f>
        <v/>
      </c>
      <c r="K20" s="2">
        <f>COUNTIF('gpt-6-luna'!$B20:$AB20,"Failed on test")</f>
        <v/>
      </c>
      <c r="L20" s="2">
        <f>COUNTIF('gpt-6-luna'!$B20:$AB20,"Runtime error")</f>
        <v/>
      </c>
      <c r="M20" s="2">
        <f>IF(N20=$D20,"Passed on test",IF(P20&gt;0,"Runtime error","Failed on test"))</f>
        <v/>
      </c>
      <c r="N20" s="2">
        <f>COUNTIF('gpt-6-astra'!$B20:$AB20,"Passed on test")</f>
        <v/>
      </c>
      <c r="O20" s="2">
        <f>COUNTIF('gpt-6-astra'!$B20:$AB20,"Failed on test")</f>
        <v/>
      </c>
      <c r="P20" s="2">
        <f>COUNTIF('gpt-6-astra'!$B20:$AB20,"Runtime error")</f>
        <v/>
      </c>
      <c r="Q20" s="2">
        <f>IF(R20=$D20,"Passed on test",IF(T20&gt;0,"Runtime error","Failed on test"))</f>
        <v/>
      </c>
      <c r="R20" s="2">
        <f>COUNTIF('gpt-6.1-sol'!$B20:$AB20,"Passed on test")</f>
        <v/>
      </c>
      <c r="S20" s="2">
        <f>COUNTIF('gpt-6.1-sol'!$B20:$AB20,"Failed on test")</f>
        <v/>
      </c>
      <c r="T20" s="2">
        <f>COUNTIF('gpt-6.1-sol'!$B20:$AB20,"Runtime error")</f>
        <v/>
      </c>
      <c r="U20" s="2">
        <f>IF(MAX(F20,J20,N20,R20)=0,"None",IF(MIN(F20,J20,N20,R20)=MAX(F20,J20,N20,R20),"All four",_xlfn.TEXTJOIN(", ",TRUE,IF(F20=MAX(F20,J20,N20,R20),"gpt-5.6-luna",""),IF(J20=MAX(F20,J20,N20,R20),"gpt-6-luna",""),IF(N20=MAX(F20,J20,N20,R20),"gpt-6-astra",""),IF(R20=MAX(F20,J20,N20,R20),"gpt-6.1-sol",""))))</f>
        <v/>
      </c>
      <c r="V20" s="2">
        <f>IF(MAX(F20,J20,N20,R20)&lt;&gt;MIN(F20,J20,N20,R20),"differ",IF(F20=$D20,"all_pass",IF(F20=0,"all_zero","same_partial")))</f>
        <v/>
      </c>
      <c r="W20" s="3" t="inlineStr">
        <is>
          <t>Only gpt-6-luna switched to AerSimulator; the others deleted the user's set_options()</t>
        </is>
      </c>
    </row>
    <row r="21">
      <c r="A21" s="2" t="n">
        <v>3</v>
      </c>
      <c r="B21" s="2" t="inlineStr">
        <is>
          <t>issue_344</t>
        </is>
      </c>
      <c r="C21" s="2" t="inlineStr">
        <is>
          <t>entropy(): input state is not valid</t>
        </is>
      </c>
      <c r="D21" s="2">
        <f>COUNTIF('gpt-5.6-luna'!$B21:$AB21,"Passed on test")+COUNTIF('gpt-5.6-luna'!$B21:$AB21,"Failed on test")+COUNTIF('gpt-5.6-luna'!$B21:$AB21,"Runtime error")</f>
        <v/>
      </c>
      <c r="E21" s="2">
        <f>IF(F21=$D21,"Passed on test",IF(H21&gt;0,"Runtime error","Failed on test"))</f>
        <v/>
      </c>
      <c r="F21" s="2">
        <f>COUNTIF('gpt-5.6-luna'!$B21:$AB21,"Passed on test")</f>
        <v/>
      </c>
      <c r="G21" s="2">
        <f>COUNTIF('gpt-5.6-luna'!$B21:$AB21,"Failed on test")</f>
        <v/>
      </c>
      <c r="H21" s="2">
        <f>COUNTIF('gpt-5.6-luna'!$B21:$AB21,"Runtime error")</f>
        <v/>
      </c>
      <c r="I21" s="2">
        <f>IF(J21=$D21,"Passed on test",IF(L21&gt;0,"Runtime error","Failed on test"))</f>
        <v/>
      </c>
      <c r="J21" s="2">
        <f>COUNTIF('gpt-6-luna'!$B21:$AB21,"Passed on test")</f>
        <v/>
      </c>
      <c r="K21" s="2">
        <f>COUNTIF('gpt-6-luna'!$B21:$AB21,"Failed on test")</f>
        <v/>
      </c>
      <c r="L21" s="2">
        <f>COUNTIF('gpt-6-luna'!$B21:$AB21,"Runtime error")</f>
        <v/>
      </c>
      <c r="M21" s="2">
        <f>IF(N21=$D21,"Passed on test",IF(P21&gt;0,"Runtime error","Failed on test"))</f>
        <v/>
      </c>
      <c r="N21" s="2">
        <f>COUNTIF('gpt-6-astra'!$B21:$AB21,"Passed on test")</f>
        <v/>
      </c>
      <c r="O21" s="2">
        <f>COUNTIF('gpt-6-astra'!$B21:$AB21,"Failed on test")</f>
        <v/>
      </c>
      <c r="P21" s="2">
        <f>COUNTIF('gpt-6-astra'!$B21:$AB21,"Runtime error")</f>
        <v/>
      </c>
      <c r="Q21" s="2">
        <f>IF(R21=$D21,"Passed on test",IF(T21&gt;0,"Runtime error","Failed on test"))</f>
        <v/>
      </c>
      <c r="R21" s="2">
        <f>COUNTIF('gpt-6.1-sol'!$B21:$AB21,"Passed on test")</f>
        <v/>
      </c>
      <c r="S21" s="2">
        <f>COUNTIF('gpt-6.1-sol'!$B21:$AB21,"Failed on test")</f>
        <v/>
      </c>
      <c r="T21" s="2">
        <f>COUNTIF('gpt-6.1-sol'!$B21:$AB21,"Runtime error")</f>
        <v/>
      </c>
      <c r="U21" s="2">
        <f>IF(MAX(F21,J21,N21,R21)=0,"None",IF(MIN(F21,J21,N21,R21)=MAX(F21,J21,N21,R21),"All four",_xlfn.TEXTJOIN(", ",TRUE,IF(F21=MAX(F21,J21,N21,R21),"gpt-5.6-luna",""),IF(J21=MAX(F21,J21,N21,R21),"gpt-6-luna",""),IF(N21=MAX(F21,J21,N21,R21),"gpt-6-astra",""),IF(R21=MAX(F21,J21,N21,R21),"gpt-6.1-sol",""))))</f>
        <v/>
      </c>
      <c r="V21" s="2">
        <f>IF(MAX(F21,J21,N21,R21)&lt;&gt;MIN(F21,J21,N21,R21),"differ",IF(F21=$D21,"all_pass",IF(F21=0,"all_zero","same_partial")))</f>
        <v/>
      </c>
      <c r="W21" s="3" t="inlineStr">
        <is>
          <t>gpt-5.6-luna kept decimals=3, so the rounded statevector isn't normalized</t>
        </is>
      </c>
    </row>
    <row r="22">
      <c r="A22" s="2" t="n">
        <v>3</v>
      </c>
      <c r="B22" s="2" t="inlineStr">
        <is>
          <t>issue_362</t>
        </is>
      </c>
      <c r="C22" s="2" t="inlineStr">
        <is>
          <t>No unitary from AerSimulator</t>
        </is>
      </c>
      <c r="D22" s="2">
        <f>COUNTIF('gpt-5.6-luna'!$B22:$AB22,"Passed on test")+COUNTIF('gpt-5.6-luna'!$B22:$AB22,"Failed on test")+COUNTIF('gpt-5.6-luna'!$B22:$AB22,"Runtime error")</f>
        <v/>
      </c>
      <c r="E22" s="2">
        <f>IF(F22=$D22,"Passed on test",IF(H22&gt;0,"Runtime error","Failed on test"))</f>
        <v/>
      </c>
      <c r="F22" s="2">
        <f>COUNTIF('gpt-5.6-luna'!$B22:$AB22,"Passed on test")</f>
        <v/>
      </c>
      <c r="G22" s="2">
        <f>COUNTIF('gpt-5.6-luna'!$B22:$AB22,"Failed on test")</f>
        <v/>
      </c>
      <c r="H22" s="2">
        <f>COUNTIF('gpt-5.6-luna'!$B22:$AB22,"Runtime error")</f>
        <v/>
      </c>
      <c r="I22" s="2">
        <f>IF(J22=$D22,"Passed on test",IF(L22&gt;0,"Runtime error","Failed on test"))</f>
        <v/>
      </c>
      <c r="J22" s="2">
        <f>COUNTIF('gpt-6-luna'!$B22:$AB22,"Passed on test")</f>
        <v/>
      </c>
      <c r="K22" s="2">
        <f>COUNTIF('gpt-6-luna'!$B22:$AB22,"Failed on test")</f>
        <v/>
      </c>
      <c r="L22" s="2">
        <f>COUNTIF('gpt-6-luna'!$B22:$AB22,"Runtime error")</f>
        <v/>
      </c>
      <c r="M22" s="2">
        <f>IF(N22=$D22,"Passed on test",IF(P22&gt;0,"Runtime error","Failed on test"))</f>
        <v/>
      </c>
      <c r="N22" s="2">
        <f>COUNTIF('gpt-6-astra'!$B22:$AB22,"Passed on test")</f>
        <v/>
      </c>
      <c r="O22" s="2">
        <f>COUNTIF('gpt-6-astra'!$B22:$AB22,"Failed on test")</f>
        <v/>
      </c>
      <c r="P22" s="2">
        <f>COUNTIF('gpt-6-astra'!$B22:$AB22,"Runtime error")</f>
        <v/>
      </c>
      <c r="Q22" s="2">
        <f>IF(R22=$D22,"Passed on test",IF(T22&gt;0,"Runtime error","Failed on test"))</f>
        <v/>
      </c>
      <c r="R22" s="2">
        <f>COUNTIF('gpt-6.1-sol'!$B22:$AB22,"Passed on test")</f>
        <v/>
      </c>
      <c r="S22" s="2">
        <f>COUNTIF('gpt-6.1-sol'!$B22:$AB22,"Failed on test")</f>
        <v/>
      </c>
      <c r="T22" s="2">
        <f>COUNTIF('gpt-6.1-sol'!$B22:$AB22,"Runtime error")</f>
        <v/>
      </c>
      <c r="U22" s="2">
        <f>IF(MAX(F22,J22,N22,R22)=0,"None",IF(MIN(F22,J22,N22,R22)=MAX(F22,J22,N22,R22),"All four",_xlfn.TEXTJOIN(", ",TRUE,IF(F22=MAX(F22,J22,N22,R22),"gpt-5.6-luna",""),IF(J22=MAX(F22,J22,N22,R22),"gpt-6-luna",""),IF(N22=MAX(F22,J22,N22,R22),"gpt-6-astra",""),IF(R22=MAX(F22,J22,N22,R22),"gpt-6.1-sol",""))))</f>
        <v/>
      </c>
      <c r="V22" s="2">
        <f>IF(MAX(F22,J22,N22,R22)&lt;&gt;MIN(F22,J22,N22,R22),"differ",IF(F22=$D22,"all_pass",IF(F22=0,"all_zero","same_partial")))</f>
        <v/>
      </c>
      <c r="W22" s="3" t="inlineStr">
        <is>
          <t>All four pass (Added save_unitary())</t>
        </is>
      </c>
    </row>
    <row r="23">
      <c r="A23" s="2" t="n">
        <v>3</v>
      </c>
      <c r="B23" s="2" t="inlineStr">
        <is>
          <t>issue_369</t>
        </is>
      </c>
      <c r="C23" s="2" t="inlineStr">
        <is>
          <t>Composing a controlled subcircuit</t>
        </is>
      </c>
      <c r="D23" s="2">
        <f>COUNTIF('gpt-5.6-luna'!$B23:$AB23,"Passed on test")+COUNTIF('gpt-5.6-luna'!$B23:$AB23,"Failed on test")+COUNTIF('gpt-5.6-luna'!$B23:$AB23,"Runtime error")</f>
        <v/>
      </c>
      <c r="E23" s="2">
        <f>IF(F23=$D23,"Passed on test",IF(H23&gt;0,"Runtime error","Failed on test"))</f>
        <v/>
      </c>
      <c r="F23" s="2">
        <f>COUNTIF('gpt-5.6-luna'!$B23:$AB23,"Passed on test")</f>
        <v/>
      </c>
      <c r="G23" s="2">
        <f>COUNTIF('gpt-5.6-luna'!$B23:$AB23,"Failed on test")</f>
        <v/>
      </c>
      <c r="H23" s="2">
        <f>COUNTIF('gpt-5.6-luna'!$B23:$AB23,"Runtime error")</f>
        <v/>
      </c>
      <c r="I23" s="2">
        <f>IF(J23=$D23,"Passed on test",IF(L23&gt;0,"Runtime error","Failed on test"))</f>
        <v/>
      </c>
      <c r="J23" s="2">
        <f>COUNTIF('gpt-6-luna'!$B23:$AB23,"Passed on test")</f>
        <v/>
      </c>
      <c r="K23" s="2">
        <f>COUNTIF('gpt-6-luna'!$B23:$AB23,"Failed on test")</f>
        <v/>
      </c>
      <c r="L23" s="2">
        <f>COUNTIF('gpt-6-luna'!$B23:$AB23,"Runtime error")</f>
        <v/>
      </c>
      <c r="M23" s="2">
        <f>IF(N23=$D23,"Passed on test",IF(P23&gt;0,"Runtime error","Failed on test"))</f>
        <v/>
      </c>
      <c r="N23" s="2">
        <f>COUNTIF('gpt-6-astra'!$B23:$AB23,"Passed on test")</f>
        <v/>
      </c>
      <c r="O23" s="2">
        <f>COUNTIF('gpt-6-astra'!$B23:$AB23,"Failed on test")</f>
        <v/>
      </c>
      <c r="P23" s="2">
        <f>COUNTIF('gpt-6-astra'!$B23:$AB23,"Runtime error")</f>
        <v/>
      </c>
      <c r="Q23" s="2">
        <f>IF(R23=$D23,"Passed on test",IF(T23&gt;0,"Runtime error","Failed on test"))</f>
        <v/>
      </c>
      <c r="R23" s="2">
        <f>COUNTIF('gpt-6.1-sol'!$B23:$AB23,"Passed on test")</f>
        <v/>
      </c>
      <c r="S23" s="2">
        <f>COUNTIF('gpt-6.1-sol'!$B23:$AB23,"Failed on test")</f>
        <v/>
      </c>
      <c r="T23" s="2">
        <f>COUNTIF('gpt-6.1-sol'!$B23:$AB23,"Runtime error")</f>
        <v/>
      </c>
      <c r="U23" s="2">
        <f>IF(MAX(F23,J23,N23,R23)=0,"None",IF(MIN(F23,J23,N23,R23)=MAX(F23,J23,N23,R23),"All four",_xlfn.TEXTJOIN(", ",TRUE,IF(F23=MAX(F23,J23,N23,R23),"gpt-5.6-luna",""),IF(J23=MAX(F23,J23,N23,R23),"gpt-6-luna",""),IF(N23=MAX(F23,J23,N23,R23),"gpt-6-astra",""),IF(R23=MAX(F23,J23,N23,R23),"gpt-6.1-sol",""))))</f>
        <v/>
      </c>
      <c r="V23" s="2">
        <f>IF(MAX(F23,J23,N23,R23)&lt;&gt;MIN(F23,J23,N23,R23),"differ",IF(F23=$D23,"all_pass",IF(F23=0,"all_zero","same_partial")))</f>
        <v/>
      </c>
      <c r="W23" s="3" t="inlineStr">
        <is>
          <t>gpt-5.6-luna had the right compose() fix but invented an extra line that gives a 4-qubit gate 3 qubits</t>
        </is>
      </c>
    </row>
    <row r="24">
      <c r="A24" s="2" t="n">
        <v>3</v>
      </c>
      <c r="B24" s="2" t="inlineStr">
        <is>
          <t>issue_396</t>
        </is>
      </c>
      <c r="C24" s="2" t="inlineStr">
        <is>
          <t>Oracle with several marked states</t>
        </is>
      </c>
      <c r="D24" s="2">
        <f>COUNTIF('gpt-5.6-luna'!$B24:$AB24,"Passed on test")+COUNTIF('gpt-5.6-luna'!$B24:$AB24,"Failed on test")+COUNTIF('gpt-5.6-luna'!$B24:$AB24,"Runtime error")</f>
        <v/>
      </c>
      <c r="E24" s="2">
        <f>IF(F24=$D24,"Passed on test",IF(H24&gt;0,"Runtime error","Failed on test"))</f>
        <v/>
      </c>
      <c r="F24" s="2">
        <f>COUNTIF('gpt-5.6-luna'!$B24:$AB24,"Passed on test")</f>
        <v/>
      </c>
      <c r="G24" s="2">
        <f>COUNTIF('gpt-5.6-luna'!$B24:$AB24,"Failed on test")</f>
        <v/>
      </c>
      <c r="H24" s="2">
        <f>COUNTIF('gpt-5.6-luna'!$B24:$AB24,"Runtime error")</f>
        <v/>
      </c>
      <c r="I24" s="2">
        <f>IF(J24=$D24,"Passed on test",IF(L24&gt;0,"Runtime error","Failed on test"))</f>
        <v/>
      </c>
      <c r="J24" s="2">
        <f>COUNTIF('gpt-6-luna'!$B24:$AB24,"Passed on test")</f>
        <v/>
      </c>
      <c r="K24" s="2">
        <f>COUNTIF('gpt-6-luna'!$B24:$AB24,"Failed on test")</f>
        <v/>
      </c>
      <c r="L24" s="2">
        <f>COUNTIF('gpt-6-luna'!$B24:$AB24,"Runtime error")</f>
        <v/>
      </c>
      <c r="M24" s="2">
        <f>IF(N24=$D24,"Passed on test",IF(P24&gt;0,"Runtime error","Failed on test"))</f>
        <v/>
      </c>
      <c r="N24" s="2">
        <f>COUNTIF('gpt-6-astra'!$B24:$AB24,"Passed on test")</f>
        <v/>
      </c>
      <c r="O24" s="2">
        <f>COUNTIF('gpt-6-astra'!$B24:$AB24,"Failed on test")</f>
        <v/>
      </c>
      <c r="P24" s="2">
        <f>COUNTIF('gpt-6-astra'!$B24:$AB24,"Runtime error")</f>
        <v/>
      </c>
      <c r="Q24" s="2">
        <f>IF(R24=$D24,"Passed on test",IF(T24&gt;0,"Runtime error","Failed on test"))</f>
        <v/>
      </c>
      <c r="R24" s="2">
        <f>COUNTIF('gpt-6.1-sol'!$B24:$AB24,"Passed on test")</f>
        <v/>
      </c>
      <c r="S24" s="2">
        <f>COUNTIF('gpt-6.1-sol'!$B24:$AB24,"Failed on test")</f>
        <v/>
      </c>
      <c r="T24" s="2">
        <f>COUNTIF('gpt-6.1-sol'!$B24:$AB24,"Runtime error")</f>
        <v/>
      </c>
      <c r="U24" s="2">
        <f>IF(MAX(F24,J24,N24,R24)=0,"None",IF(MIN(F24,J24,N24,R24)=MAX(F24,J24,N24,R24),"All four",_xlfn.TEXTJOIN(", ",TRUE,IF(F24=MAX(F24,J24,N24,R24),"gpt-5.6-luna",""),IF(J24=MAX(F24,J24,N24,R24),"gpt-6-luna",""),IF(N24=MAX(F24,J24,N24,R24),"gpt-6-astra",""),IF(R24=MAX(F24,J24,N24,R24),"gpt-6.1-sol",""))))</f>
        <v/>
      </c>
      <c r="V24" s="2">
        <f>IF(MAX(F24,J24,N24,R24)&lt;&gt;MIN(F24,J24,N24,R24),"differ",IF(F24=$D24,"all_pass",IF(F24=0,"all_zero","same_partial")))</f>
        <v/>
      </c>
      <c r="W24" s="3" t="inlineStr">
        <is>
          <t>Same diagonal-oracle idea, different helpers: Diagonal (gpt-6-astra, fails on 0.25 only), QuantumCircuit.diagonal() (luna, removed in 1.x), DiagonalGate(...).definition (gpt-6.1-sol, global phase dropped; missing in 0.25)</t>
        </is>
      </c>
    </row>
    <row r="25">
      <c r="A25" s="2" t="n">
        <v>3</v>
      </c>
      <c r="B25" s="2" t="inlineStr">
        <is>
          <t>issue_415</t>
        </is>
      </c>
      <c r="C25" s="2" t="inlineStr">
        <is>
          <t>Complex u3 angles</t>
        </is>
      </c>
      <c r="D25" s="2">
        <f>COUNTIF('gpt-5.6-luna'!$B25:$AB25,"Passed on test")+COUNTIF('gpt-5.6-luna'!$B25:$AB25,"Failed on test")+COUNTIF('gpt-5.6-luna'!$B25:$AB25,"Runtime error")</f>
        <v/>
      </c>
      <c r="E25" s="2">
        <f>IF(F25=$D25,"Passed on test",IF(H25&gt;0,"Runtime error","Failed on test"))</f>
        <v/>
      </c>
      <c r="F25" s="2">
        <f>COUNTIF('gpt-5.6-luna'!$B25:$AB25,"Passed on test")</f>
        <v/>
      </c>
      <c r="G25" s="2">
        <f>COUNTIF('gpt-5.6-luna'!$B25:$AB25,"Failed on test")</f>
        <v/>
      </c>
      <c r="H25" s="2">
        <f>COUNTIF('gpt-5.6-luna'!$B25:$AB25,"Runtime error")</f>
        <v/>
      </c>
      <c r="I25" s="2">
        <f>IF(J25=$D25,"Passed on test",IF(L25&gt;0,"Runtime error","Failed on test"))</f>
        <v/>
      </c>
      <c r="J25" s="2">
        <f>COUNTIF('gpt-6-luna'!$B25:$AB25,"Passed on test")</f>
        <v/>
      </c>
      <c r="K25" s="2">
        <f>COUNTIF('gpt-6-luna'!$B25:$AB25,"Failed on test")</f>
        <v/>
      </c>
      <c r="L25" s="2">
        <f>COUNTIF('gpt-6-luna'!$B25:$AB25,"Runtime error")</f>
        <v/>
      </c>
      <c r="M25" s="2">
        <f>IF(N25=$D25,"Passed on test",IF(P25&gt;0,"Runtime error","Failed on test"))</f>
        <v/>
      </c>
      <c r="N25" s="2">
        <f>COUNTIF('gpt-6-astra'!$B25:$AB25,"Passed on test")</f>
        <v/>
      </c>
      <c r="O25" s="2">
        <f>COUNTIF('gpt-6-astra'!$B25:$AB25,"Failed on test")</f>
        <v/>
      </c>
      <c r="P25" s="2">
        <f>COUNTIF('gpt-6-astra'!$B25:$AB25,"Runtime error")</f>
        <v/>
      </c>
      <c r="Q25" s="2">
        <f>IF(R25=$D25,"Passed on test",IF(T25&gt;0,"Runtime error","Failed on test"))</f>
        <v/>
      </c>
      <c r="R25" s="2">
        <f>COUNTIF('gpt-6.1-sol'!$B25:$AB25,"Passed on test")</f>
        <v/>
      </c>
      <c r="S25" s="2">
        <f>COUNTIF('gpt-6.1-sol'!$B25:$AB25,"Failed on test")</f>
        <v/>
      </c>
      <c r="T25" s="2">
        <f>COUNTIF('gpt-6.1-sol'!$B25:$AB25,"Runtime error")</f>
        <v/>
      </c>
      <c r="U25" s="2">
        <f>IF(MAX(F25,J25,N25,R25)=0,"None",IF(MIN(F25,J25,N25,R25)=MAX(F25,J25,N25,R25),"All four",_xlfn.TEXTJOIN(", ",TRUE,IF(F25=MAX(F25,J25,N25,R25),"gpt-5.6-luna",""),IF(J25=MAX(F25,J25,N25,R25),"gpt-6-luna",""),IF(N25=MAX(F25,J25,N25,R25),"gpt-6-astra",""),IF(R25=MAX(F25,J25,N25,R25),"gpt-6.1-sol",""))))</f>
        <v/>
      </c>
      <c r="V25" s="2">
        <f>IF(MAX(F25,J25,N25,R25)&lt;&gt;MIN(F25,J25,N25,R25),"differ",IF(F25=$D25,"all_pass",IF(F25=0,"all_zero","same_partial")))</f>
        <v/>
      </c>
      <c r="W25" s="3" t="inlineStr">
        <is>
          <t>Only gpt-6-luna computed real U3 angles with the correct relative phase; gpt-5.6-luna got phi wrong, gpt-6-astra and gpt-6.1-sol used initialize() and left the angles complex</t>
        </is>
      </c>
    </row>
    <row r="26">
      <c r="A26" s="2" t="n">
        <v>3</v>
      </c>
      <c r="B26" s="2" t="inlineStr">
        <is>
          <t>issue_436</t>
        </is>
      </c>
      <c r="C26" s="2" t="inlineStr">
        <is>
          <t>set_frequency unsupported in the pulse simulator</t>
        </is>
      </c>
      <c r="D26" s="2">
        <f>COUNTIF('gpt-5.6-luna'!$B26:$AB26,"Passed on test")+COUNTIF('gpt-5.6-luna'!$B26:$AB26,"Failed on test")+COUNTIF('gpt-5.6-luna'!$B26:$AB26,"Runtime error")</f>
        <v/>
      </c>
      <c r="E26" s="2">
        <f>IF(F26=$D26,"Passed on test",IF(H26&gt;0,"Runtime error","Failed on test"))</f>
        <v/>
      </c>
      <c r="F26" s="2">
        <f>COUNTIF('gpt-5.6-luna'!$B26:$AB26,"Passed on test")</f>
        <v/>
      </c>
      <c r="G26" s="2">
        <f>COUNTIF('gpt-5.6-luna'!$B26:$AB26,"Failed on test")</f>
        <v/>
      </c>
      <c r="H26" s="2">
        <f>COUNTIF('gpt-5.6-luna'!$B26:$AB26,"Runtime error")</f>
        <v/>
      </c>
      <c r="I26" s="2">
        <f>IF(J26=$D26,"Passed on test",IF(L26&gt;0,"Runtime error","Failed on test"))</f>
        <v/>
      </c>
      <c r="J26" s="2">
        <f>COUNTIF('gpt-6-luna'!$B26:$AB26,"Passed on test")</f>
        <v/>
      </c>
      <c r="K26" s="2">
        <f>COUNTIF('gpt-6-luna'!$B26:$AB26,"Failed on test")</f>
        <v/>
      </c>
      <c r="L26" s="2">
        <f>COUNTIF('gpt-6-luna'!$B26:$AB26,"Runtime error")</f>
        <v/>
      </c>
      <c r="M26" s="2">
        <f>IF(N26=$D26,"Passed on test",IF(P26&gt;0,"Runtime error","Failed on test"))</f>
        <v/>
      </c>
      <c r="N26" s="2">
        <f>COUNTIF('gpt-6-astra'!$B26:$AB26,"Passed on test")</f>
        <v/>
      </c>
      <c r="O26" s="2">
        <f>COUNTIF('gpt-6-astra'!$B26:$AB26,"Failed on test")</f>
        <v/>
      </c>
      <c r="P26" s="2">
        <f>COUNTIF('gpt-6-astra'!$B26:$AB26,"Runtime error")</f>
        <v/>
      </c>
      <c r="Q26" s="2">
        <f>IF(R26=$D26,"Passed on test",IF(T26&gt;0,"Runtime error","Failed on test"))</f>
        <v/>
      </c>
      <c r="R26" s="2">
        <f>COUNTIF('gpt-6.1-sol'!$B26:$AB26,"Passed on test")</f>
        <v/>
      </c>
      <c r="S26" s="2">
        <f>COUNTIF('gpt-6.1-sol'!$B26:$AB26,"Failed on test")</f>
        <v/>
      </c>
      <c r="T26" s="2">
        <f>COUNTIF('gpt-6.1-sol'!$B26:$AB26,"Runtime error")</f>
        <v/>
      </c>
      <c r="U26" s="2">
        <f>IF(MAX(F26,J26,N26,R26)=0,"None",IF(MIN(F26,J26,N26,R26)=MAX(F26,J26,N26,R26),"All four",_xlfn.TEXTJOIN(", ",TRUE,IF(F26=MAX(F26,J26,N26,R26),"gpt-5.6-luna",""),IF(J26=MAX(F26,J26,N26,R26),"gpt-6-luna",""),IF(N26=MAX(F26,J26,N26,R26),"gpt-6-astra",""),IF(R26=MAX(F26,J26,N26,R26),"gpt-6.1-sol",""))))</f>
        <v/>
      </c>
      <c r="V26" s="2">
        <f>IF(MAX(F26,J26,N26,R26)&lt;&gt;MIN(F26,J26,N26,R26),"differ",IF(F26=$D26,"all_pass",IF(F26=0,"all_zero","same_partial")))</f>
        <v/>
      </c>
      <c r="W26" s="3" t="inlineStr">
        <is>
          <t>All four pass (Modulates the pulse samples instead of calling set_frequency())</t>
        </is>
      </c>
    </row>
    <row r="27">
      <c r="A27" s="2" t="n">
        <v>3</v>
      </c>
      <c r="B27" s="2" t="inlineStr">
        <is>
          <t>issue_443</t>
        </is>
      </c>
      <c r="C27" s="2" t="inlineStr">
        <is>
          <t>Registers as append arguments</t>
        </is>
      </c>
      <c r="D27" s="2">
        <f>COUNTIF('gpt-5.6-luna'!$B27:$AB27,"Passed on test")+COUNTIF('gpt-5.6-luna'!$B27:$AB27,"Failed on test")+COUNTIF('gpt-5.6-luna'!$B27:$AB27,"Runtime error")</f>
        <v/>
      </c>
      <c r="E27" s="2">
        <f>IF(F27=$D27,"Passed on test",IF(H27&gt;0,"Runtime error","Failed on test"))</f>
        <v/>
      </c>
      <c r="F27" s="2">
        <f>COUNTIF('gpt-5.6-luna'!$B27:$AB27,"Passed on test")</f>
        <v/>
      </c>
      <c r="G27" s="2">
        <f>COUNTIF('gpt-5.6-luna'!$B27:$AB27,"Failed on test")</f>
        <v/>
      </c>
      <c r="H27" s="2">
        <f>COUNTIF('gpt-5.6-luna'!$B27:$AB27,"Runtime error")</f>
        <v/>
      </c>
      <c r="I27" s="2">
        <f>IF(J27=$D27,"Passed on test",IF(L27&gt;0,"Runtime error","Failed on test"))</f>
        <v/>
      </c>
      <c r="J27" s="2">
        <f>COUNTIF('gpt-6-luna'!$B27:$AB27,"Passed on test")</f>
        <v/>
      </c>
      <c r="K27" s="2">
        <f>COUNTIF('gpt-6-luna'!$B27:$AB27,"Failed on test")</f>
        <v/>
      </c>
      <c r="L27" s="2">
        <f>COUNTIF('gpt-6-luna'!$B27:$AB27,"Runtime error")</f>
        <v/>
      </c>
      <c r="M27" s="2">
        <f>IF(N27=$D27,"Passed on test",IF(P27&gt;0,"Runtime error","Failed on test"))</f>
        <v/>
      </c>
      <c r="N27" s="2">
        <f>COUNTIF('gpt-6-astra'!$B27:$AB27,"Passed on test")</f>
        <v/>
      </c>
      <c r="O27" s="2">
        <f>COUNTIF('gpt-6-astra'!$B27:$AB27,"Failed on test")</f>
        <v/>
      </c>
      <c r="P27" s="2">
        <f>COUNTIF('gpt-6-astra'!$B27:$AB27,"Runtime error")</f>
        <v/>
      </c>
      <c r="Q27" s="2">
        <f>IF(R27=$D27,"Passed on test",IF(T27&gt;0,"Runtime error","Failed on test"))</f>
        <v/>
      </c>
      <c r="R27" s="2">
        <f>COUNTIF('gpt-6.1-sol'!$B27:$AB27,"Passed on test")</f>
        <v/>
      </c>
      <c r="S27" s="2">
        <f>COUNTIF('gpt-6.1-sol'!$B27:$AB27,"Failed on test")</f>
        <v/>
      </c>
      <c r="T27" s="2">
        <f>COUNTIF('gpt-6.1-sol'!$B27:$AB27,"Runtime error")</f>
        <v/>
      </c>
      <c r="U27" s="2">
        <f>IF(MAX(F27,J27,N27,R27)=0,"None",IF(MIN(F27,J27,N27,R27)=MAX(F27,J27,N27,R27),"All four",_xlfn.TEXTJOIN(", ",TRUE,IF(F27=MAX(F27,J27,N27,R27),"gpt-5.6-luna",""),IF(J27=MAX(F27,J27,N27,R27),"gpt-6-luna",""),IF(N27=MAX(F27,J27,N27,R27),"gpt-6-astra",""),IF(R27=MAX(F27,J27,N27,R27),"gpt-6.1-sol",""))))</f>
        <v/>
      </c>
      <c r="V27" s="2">
        <f>IF(MAX(F27,J27,N27,R27)&lt;&gt;MIN(F27,J27,N27,R27),"differ",IF(F27=$D27,"all_pass",IF(F27=0,"all_zero","same_partial")))</f>
        <v/>
      </c>
      <c r="W27" s="3" t="inlineStr">
        <is>
          <t>gpt-6.1-sol fixed the qubit list but also swapped the snippet's register unpacking, which moves the gates</t>
        </is>
      </c>
    </row>
    <row r="28">
      <c r="A28" s="2" t="n">
        <v>3</v>
      </c>
      <c r="B28" s="2" t="inlineStr">
        <is>
          <t>issue_453</t>
        </is>
      </c>
      <c r="C28" s="2" t="inlineStr">
        <is>
          <t>Composing a wider circuit with ancillas</t>
        </is>
      </c>
      <c r="D28" s="2">
        <f>COUNTIF('gpt-5.6-luna'!$B28:$AB28,"Passed on test")+COUNTIF('gpt-5.6-luna'!$B28:$AB28,"Failed on test")+COUNTIF('gpt-5.6-luna'!$B28:$AB28,"Runtime error")</f>
        <v/>
      </c>
      <c r="E28" s="2">
        <f>IF(F28=$D28,"Passed on test",IF(H28&gt;0,"Runtime error","Failed on test"))</f>
        <v/>
      </c>
      <c r="F28" s="2">
        <f>COUNTIF('gpt-5.6-luna'!$B28:$AB28,"Passed on test")</f>
        <v/>
      </c>
      <c r="G28" s="2">
        <f>COUNTIF('gpt-5.6-luna'!$B28:$AB28,"Failed on test")</f>
        <v/>
      </c>
      <c r="H28" s="2">
        <f>COUNTIF('gpt-5.6-luna'!$B28:$AB28,"Runtime error")</f>
        <v/>
      </c>
      <c r="I28" s="2">
        <f>IF(J28=$D28,"Passed on test",IF(L28&gt;0,"Runtime error","Failed on test"))</f>
        <v/>
      </c>
      <c r="J28" s="2">
        <f>COUNTIF('gpt-6-luna'!$B28:$AB28,"Passed on test")</f>
        <v/>
      </c>
      <c r="K28" s="2">
        <f>COUNTIF('gpt-6-luna'!$B28:$AB28,"Failed on test")</f>
        <v/>
      </c>
      <c r="L28" s="2">
        <f>COUNTIF('gpt-6-luna'!$B28:$AB28,"Runtime error")</f>
        <v/>
      </c>
      <c r="M28" s="2">
        <f>IF(N28=$D28,"Passed on test",IF(P28&gt;0,"Runtime error","Failed on test"))</f>
        <v/>
      </c>
      <c r="N28" s="2">
        <f>COUNTIF('gpt-6-astra'!$B28:$AB28,"Passed on test")</f>
        <v/>
      </c>
      <c r="O28" s="2">
        <f>COUNTIF('gpt-6-astra'!$B28:$AB28,"Failed on test")</f>
        <v/>
      </c>
      <c r="P28" s="2">
        <f>COUNTIF('gpt-6-astra'!$B28:$AB28,"Runtime error")</f>
        <v/>
      </c>
      <c r="Q28" s="2">
        <f>IF(R28=$D28,"Passed on test",IF(T28&gt;0,"Runtime error","Failed on test"))</f>
        <v/>
      </c>
      <c r="R28" s="2">
        <f>COUNTIF('gpt-6.1-sol'!$B28:$AB28,"Passed on test")</f>
        <v/>
      </c>
      <c r="S28" s="2">
        <f>COUNTIF('gpt-6.1-sol'!$B28:$AB28,"Failed on test")</f>
        <v/>
      </c>
      <c r="T28" s="2">
        <f>COUNTIF('gpt-6.1-sol'!$B28:$AB28,"Runtime error")</f>
        <v/>
      </c>
      <c r="U28" s="2">
        <f>IF(MAX(F28,J28,N28,R28)=0,"None",IF(MIN(F28,J28,N28,R28)=MAX(F28,J28,N28,R28),"All four",_xlfn.TEXTJOIN(", ",TRUE,IF(F28=MAX(F28,J28,N28,R28),"gpt-5.6-luna",""),IF(J28=MAX(F28,J28,N28,R28),"gpt-6-luna",""),IF(N28=MAX(F28,J28,N28,R28),"gpt-6-astra",""),IF(R28=MAX(F28,J28,N28,R28),"gpt-6.1-sol",""))))</f>
        <v/>
      </c>
      <c r="V28" s="2">
        <f>IF(MAX(F28,J28,N28,R28)&lt;&gt;MIN(F28,J28,N28,R28),"differ",IF(F28=$D28,"all_pass",IF(F28=0,"all_zero","same_partial")))</f>
        <v/>
      </c>
      <c r="W28" s="3" t="inlineStr">
        <is>
          <t>Over-specific test: it calls the answer's helper compose_with_auto_ancillas()</t>
        </is>
      </c>
    </row>
    <row r="29">
      <c r="A29" s="2" t="n">
        <v>3</v>
      </c>
      <c r="B29" s="2" t="inlineStr">
        <is>
          <t>issue_468</t>
        </is>
      </c>
      <c r="C29" s="2" t="inlineStr">
        <is>
          <t>Commutator of density matrices</t>
        </is>
      </c>
      <c r="D29" s="2">
        <f>COUNTIF('gpt-5.6-luna'!$B29:$AB29,"Passed on test")+COUNTIF('gpt-5.6-luna'!$B29:$AB29,"Failed on test")+COUNTIF('gpt-5.6-luna'!$B29:$AB29,"Runtime error")</f>
        <v/>
      </c>
      <c r="E29" s="2">
        <f>IF(F29=$D29,"Passed on test",IF(H29&gt;0,"Runtime error","Failed on test"))</f>
        <v/>
      </c>
      <c r="F29" s="2">
        <f>COUNTIF('gpt-5.6-luna'!$B29:$AB29,"Passed on test")</f>
        <v/>
      </c>
      <c r="G29" s="2">
        <f>COUNTIF('gpt-5.6-luna'!$B29:$AB29,"Failed on test")</f>
        <v/>
      </c>
      <c r="H29" s="2">
        <f>COUNTIF('gpt-5.6-luna'!$B29:$AB29,"Runtime error")</f>
        <v/>
      </c>
      <c r="I29" s="2">
        <f>IF(J29=$D29,"Passed on test",IF(L29&gt;0,"Runtime error","Failed on test"))</f>
        <v/>
      </c>
      <c r="J29" s="2">
        <f>COUNTIF('gpt-6-luna'!$B29:$AB29,"Passed on test")</f>
        <v/>
      </c>
      <c r="K29" s="2">
        <f>COUNTIF('gpt-6-luna'!$B29:$AB29,"Failed on test")</f>
        <v/>
      </c>
      <c r="L29" s="2">
        <f>COUNTIF('gpt-6-luna'!$B29:$AB29,"Runtime error")</f>
        <v/>
      </c>
      <c r="M29" s="2">
        <f>IF(N29=$D29,"Passed on test",IF(P29&gt;0,"Runtime error","Failed on test"))</f>
        <v/>
      </c>
      <c r="N29" s="2">
        <f>COUNTIF('gpt-6-astra'!$B29:$AB29,"Passed on test")</f>
        <v/>
      </c>
      <c r="O29" s="2">
        <f>COUNTIF('gpt-6-astra'!$B29:$AB29,"Failed on test")</f>
        <v/>
      </c>
      <c r="P29" s="2">
        <f>COUNTIF('gpt-6-astra'!$B29:$AB29,"Runtime error")</f>
        <v/>
      </c>
      <c r="Q29" s="2">
        <f>IF(R29=$D29,"Passed on test",IF(T29&gt;0,"Runtime error","Failed on test"))</f>
        <v/>
      </c>
      <c r="R29" s="2">
        <f>COUNTIF('gpt-6.1-sol'!$B29:$AB29,"Passed on test")</f>
        <v/>
      </c>
      <c r="S29" s="2">
        <f>COUNTIF('gpt-6.1-sol'!$B29:$AB29,"Failed on test")</f>
        <v/>
      </c>
      <c r="T29" s="2">
        <f>COUNTIF('gpt-6.1-sol'!$B29:$AB29,"Runtime error")</f>
        <v/>
      </c>
      <c r="U29" s="2">
        <f>IF(MAX(F29,J29,N29,R29)=0,"None",IF(MIN(F29,J29,N29,R29)=MAX(F29,J29,N29,R29),"All four",_xlfn.TEXTJOIN(", ",TRUE,IF(F29=MAX(F29,J29,N29,R29),"gpt-5.6-luna",""),IF(J29=MAX(F29,J29,N29,R29),"gpt-6-luna",""),IF(N29=MAX(F29,J29,N29,R29),"gpt-6-astra",""),IF(R29=MAX(F29,J29,N29,R29),"gpt-6.1-sol",""))))</f>
        <v/>
      </c>
      <c r="V29" s="2">
        <f>IF(MAX(F29,J29,N29,R29)&lt;&gt;MIN(F29,J29,N29,R29),"differ",IF(F29=$D29,"all_pass",IF(F29=0,"all_zero","same_partial")))</f>
        <v/>
      </c>
      <c r="W29" s="3" t="inlineStr">
        <is>
          <t>commutator() needs operators with simplify(); nobody rewrote them as WeightedPauliOperators like the reference</t>
        </is>
      </c>
    </row>
    <row r="30">
      <c r="A30" s="2" t="n">
        <v>3</v>
      </c>
      <c r="B30" s="2" t="inlineStr">
        <is>
          <t>issue_497</t>
        </is>
      </c>
      <c r="C30" s="2" t="inlineStr">
        <is>
          <t>Batching expectation values in one job</t>
        </is>
      </c>
      <c r="D30" s="2">
        <f>COUNTIF('gpt-5.6-luna'!$B30:$AB30,"Passed on test")+COUNTIF('gpt-5.6-luna'!$B30:$AB30,"Failed on test")+COUNTIF('gpt-5.6-luna'!$B30:$AB30,"Runtime error")</f>
        <v/>
      </c>
      <c r="E30" s="2">
        <f>IF(F30=$D30,"Passed on test",IF(H30&gt;0,"Runtime error","Failed on test"))</f>
        <v/>
      </c>
      <c r="F30" s="2">
        <f>COUNTIF('gpt-5.6-luna'!$B30:$AB30,"Passed on test")</f>
        <v/>
      </c>
      <c r="G30" s="2">
        <f>COUNTIF('gpt-5.6-luna'!$B30:$AB30,"Failed on test")</f>
        <v/>
      </c>
      <c r="H30" s="2">
        <f>COUNTIF('gpt-5.6-luna'!$B30:$AB30,"Runtime error")</f>
        <v/>
      </c>
      <c r="I30" s="2">
        <f>IF(J30=$D30,"Passed on test",IF(L30&gt;0,"Runtime error","Failed on test"))</f>
        <v/>
      </c>
      <c r="J30" s="2">
        <f>COUNTIF('gpt-6-luna'!$B30:$AB30,"Passed on test")</f>
        <v/>
      </c>
      <c r="K30" s="2">
        <f>COUNTIF('gpt-6-luna'!$B30:$AB30,"Failed on test")</f>
        <v/>
      </c>
      <c r="L30" s="2">
        <f>COUNTIF('gpt-6-luna'!$B30:$AB30,"Runtime error")</f>
        <v/>
      </c>
      <c r="M30" s="2">
        <f>IF(N30=$D30,"Passed on test",IF(P30&gt;0,"Runtime error","Failed on test"))</f>
        <v/>
      </c>
      <c r="N30" s="2">
        <f>COUNTIF('gpt-6-astra'!$B30:$AB30,"Passed on test")</f>
        <v/>
      </c>
      <c r="O30" s="2">
        <f>COUNTIF('gpt-6-astra'!$B30:$AB30,"Failed on test")</f>
        <v/>
      </c>
      <c r="P30" s="2">
        <f>COUNTIF('gpt-6-astra'!$B30:$AB30,"Runtime error")</f>
        <v/>
      </c>
      <c r="Q30" s="2">
        <f>IF(R30=$D30,"Passed on test",IF(T30&gt;0,"Runtime error","Failed on test"))</f>
        <v/>
      </c>
      <c r="R30" s="2">
        <f>COUNTIF('gpt-6.1-sol'!$B30:$AB30,"Passed on test")</f>
        <v/>
      </c>
      <c r="S30" s="2">
        <f>COUNTIF('gpt-6.1-sol'!$B30:$AB30,"Failed on test")</f>
        <v/>
      </c>
      <c r="T30" s="2">
        <f>COUNTIF('gpt-6.1-sol'!$B30:$AB30,"Runtime error")</f>
        <v/>
      </c>
      <c r="U30" s="2">
        <f>IF(MAX(F30,J30,N30,R30)=0,"None",IF(MIN(F30,J30,N30,R30)=MAX(F30,J30,N30,R30),"All four",_xlfn.TEXTJOIN(", ",TRUE,IF(F30=MAX(F30,J30,N30,R30),"gpt-5.6-luna",""),IF(J30=MAX(F30,J30,N30,R30),"gpt-6-luna",""),IF(N30=MAX(F30,J30,N30,R30),"gpt-6-astra",""),IF(R30=MAX(F30,J30,N30,R30),"gpt-6.1-sol",""))))</f>
        <v/>
      </c>
      <c r="V30" s="2">
        <f>IF(MAX(F30,J30,N30,R30)&lt;&gt;MIN(F30,J30,N30,R30),"differ",IF(F30=$D30,"all_pass",IF(F30=0,"all_zero","same_partial")))</f>
        <v/>
      </c>
      <c r="W30" s="3" t="inlineStr">
        <is>
          <t>All batch the two values except gpt-6-luna; only gpt-5.6-luna kept the variable name sampler the test reads</t>
        </is>
      </c>
    </row>
    <row r="31">
      <c r="A31" s="2" t="n">
        <v>4</v>
      </c>
      <c r="B31" s="2" t="inlineStr">
        <is>
          <t>issue_504</t>
        </is>
      </c>
      <c r="C31" s="2" t="inlineStr">
        <is>
          <t>Grover: "qubit not in the circuit"</t>
        </is>
      </c>
      <c r="D31" s="2">
        <f>COUNTIF('gpt-5.6-luna'!$B31:$AB31,"Passed on test")+COUNTIF('gpt-5.6-luna'!$B31:$AB31,"Failed on test")+COUNTIF('gpt-5.6-luna'!$B31:$AB31,"Runtime error")</f>
        <v/>
      </c>
      <c r="E31" s="2">
        <f>IF(F31=$D31,"Passed on test",IF(H31&gt;0,"Runtime error","Failed on test"))</f>
        <v/>
      </c>
      <c r="F31" s="2">
        <f>COUNTIF('gpt-5.6-luna'!$B31:$AB31,"Passed on test")</f>
        <v/>
      </c>
      <c r="G31" s="2">
        <f>COUNTIF('gpt-5.6-luna'!$B31:$AB31,"Failed on test")</f>
        <v/>
      </c>
      <c r="H31" s="2">
        <f>COUNTIF('gpt-5.6-luna'!$B31:$AB31,"Runtime error")</f>
        <v/>
      </c>
      <c r="I31" s="2">
        <f>IF(J31=$D31,"Passed on test",IF(L31&gt;0,"Runtime error","Failed on test"))</f>
        <v/>
      </c>
      <c r="J31" s="2">
        <f>COUNTIF('gpt-6-luna'!$B31:$AB31,"Passed on test")</f>
        <v/>
      </c>
      <c r="K31" s="2">
        <f>COUNTIF('gpt-6-luna'!$B31:$AB31,"Failed on test")</f>
        <v/>
      </c>
      <c r="L31" s="2">
        <f>COUNTIF('gpt-6-luna'!$B31:$AB31,"Runtime error")</f>
        <v/>
      </c>
      <c r="M31" s="2">
        <f>IF(N31=$D31,"Passed on test",IF(P31&gt;0,"Runtime error","Failed on test"))</f>
        <v/>
      </c>
      <c r="N31" s="2">
        <f>COUNTIF('gpt-6-astra'!$B31:$AB31,"Passed on test")</f>
        <v/>
      </c>
      <c r="O31" s="2">
        <f>COUNTIF('gpt-6-astra'!$B31:$AB31,"Failed on test")</f>
        <v/>
      </c>
      <c r="P31" s="2">
        <f>COUNTIF('gpt-6-astra'!$B31:$AB31,"Runtime error")</f>
        <v/>
      </c>
      <c r="Q31" s="2">
        <f>IF(R31=$D31,"Passed on test",IF(T31&gt;0,"Runtime error","Failed on test"))</f>
        <v/>
      </c>
      <c r="R31" s="2">
        <f>COUNTIF('gpt-6.1-sol'!$B31:$AB31,"Passed on test")</f>
        <v/>
      </c>
      <c r="S31" s="2">
        <f>COUNTIF('gpt-6.1-sol'!$B31:$AB31,"Failed on test")</f>
        <v/>
      </c>
      <c r="T31" s="2">
        <f>COUNTIF('gpt-6.1-sol'!$B31:$AB31,"Runtime error")</f>
        <v/>
      </c>
      <c r="U31" s="2">
        <f>IF(MAX(F31,J31,N31,R31)=0,"None",IF(MIN(F31,J31,N31,R31)=MAX(F31,J31,N31,R31),"All four",_xlfn.TEXTJOIN(", ",TRUE,IF(F31=MAX(F31,J31,N31,R31),"gpt-5.6-luna",""),IF(J31=MAX(F31,J31,N31,R31),"gpt-6-luna",""),IF(N31=MAX(F31,J31,N31,R31),"gpt-6-astra",""),IF(R31=MAX(F31,J31,N31,R31),"gpt-6.1-sol",""))))</f>
        <v/>
      </c>
      <c r="V31" s="2">
        <f>IF(MAX(F31,J31,N31,R31)&lt;&gt;MIN(F31,J31,N31,R31),"differ",IF(F31=$D31,"all_pass",IF(F31=0,"all_zero","same_partial")))</f>
        <v/>
      </c>
      <c r="W31" s="3" t="inlineStr">
        <is>
          <t>All four pass (Reuses the circuit's register and runs the transpiled circuit with backend.run())</t>
        </is>
      </c>
    </row>
    <row r="32">
      <c r="A32" s="2" t="n">
        <v>4</v>
      </c>
      <c r="B32" s="2" t="inlineStr">
        <is>
          <t>issue_505</t>
        </is>
      </c>
      <c r="C32" s="2" t="inlineStr">
        <is>
          <t>NumPy scalar times a PauliSumOp</t>
        </is>
      </c>
      <c r="D32" s="2">
        <f>COUNTIF('gpt-5.6-luna'!$B32:$AB32,"Passed on test")+COUNTIF('gpt-5.6-luna'!$B32:$AB32,"Failed on test")+COUNTIF('gpt-5.6-luna'!$B32:$AB32,"Runtime error")</f>
        <v/>
      </c>
      <c r="E32" s="2">
        <f>IF(F32=$D32,"Passed on test",IF(H32&gt;0,"Runtime error","Failed on test"))</f>
        <v/>
      </c>
      <c r="F32" s="2">
        <f>COUNTIF('gpt-5.6-luna'!$B32:$AB32,"Passed on test")</f>
        <v/>
      </c>
      <c r="G32" s="2">
        <f>COUNTIF('gpt-5.6-luna'!$B32:$AB32,"Failed on test")</f>
        <v/>
      </c>
      <c r="H32" s="2">
        <f>COUNTIF('gpt-5.6-luna'!$B32:$AB32,"Runtime error")</f>
        <v/>
      </c>
      <c r="I32" s="2">
        <f>IF(J32=$D32,"Passed on test",IF(L32&gt;0,"Runtime error","Failed on test"))</f>
        <v/>
      </c>
      <c r="J32" s="2">
        <f>COUNTIF('gpt-6-luna'!$B32:$AB32,"Passed on test")</f>
        <v/>
      </c>
      <c r="K32" s="2">
        <f>COUNTIF('gpt-6-luna'!$B32:$AB32,"Failed on test")</f>
        <v/>
      </c>
      <c r="L32" s="2">
        <f>COUNTIF('gpt-6-luna'!$B32:$AB32,"Runtime error")</f>
        <v/>
      </c>
      <c r="M32" s="2">
        <f>IF(N32=$D32,"Passed on test",IF(P32&gt;0,"Runtime error","Failed on test"))</f>
        <v/>
      </c>
      <c r="N32" s="2">
        <f>COUNTIF('gpt-6-astra'!$B32:$AB32,"Passed on test")</f>
        <v/>
      </c>
      <c r="O32" s="2">
        <f>COUNTIF('gpt-6-astra'!$B32:$AB32,"Failed on test")</f>
        <v/>
      </c>
      <c r="P32" s="2">
        <f>COUNTIF('gpt-6-astra'!$B32:$AB32,"Runtime error")</f>
        <v/>
      </c>
      <c r="Q32" s="2">
        <f>IF(R32=$D32,"Passed on test",IF(T32&gt;0,"Runtime error","Failed on test"))</f>
        <v/>
      </c>
      <c r="R32" s="2">
        <f>COUNTIF('gpt-6.1-sol'!$B32:$AB32,"Passed on test")</f>
        <v/>
      </c>
      <c r="S32" s="2">
        <f>COUNTIF('gpt-6.1-sol'!$B32:$AB32,"Failed on test")</f>
        <v/>
      </c>
      <c r="T32" s="2">
        <f>COUNTIF('gpt-6.1-sol'!$B32:$AB32,"Runtime error")</f>
        <v/>
      </c>
      <c r="U32" s="2">
        <f>IF(MAX(F32,J32,N32,R32)=0,"None",IF(MIN(F32,J32,N32,R32)=MAX(F32,J32,N32,R32),"All four",_xlfn.TEXTJOIN(", ",TRUE,IF(F32=MAX(F32,J32,N32,R32),"gpt-5.6-luna",""),IF(J32=MAX(F32,J32,N32,R32),"gpt-6-luna",""),IF(N32=MAX(F32,J32,N32,R32),"gpt-6-astra",""),IF(R32=MAX(F32,J32,N32,R32),"gpt-6.1-sol",""))))</f>
        <v/>
      </c>
      <c r="V32" s="2">
        <f>IF(MAX(F32,J32,N32,R32)&lt;&gt;MIN(F32,J32,N32,R32),"differ",IF(F32=$D32,"all_pass",IF(F32=0,"all_zero","same_partial")))</f>
        <v/>
      </c>
      <c r="W32" s="3" t="inlineStr">
        <is>
          <t>All four pass (float(x) * op, so Qiskit's multiplication is used)</t>
        </is>
      </c>
    </row>
    <row r="33">
      <c r="A33" s="2" t="n">
        <v>4</v>
      </c>
      <c r="B33" s="2" t="inlineStr">
        <is>
          <t>issue_565</t>
        </is>
      </c>
      <c r="C33" s="2" t="inlineStr">
        <is>
          <t>Custom QAOA mixer: no primitive_strings</t>
        </is>
      </c>
      <c r="D33" s="2">
        <f>COUNTIF('gpt-5.6-luna'!$B33:$AB33,"Passed on test")+COUNTIF('gpt-5.6-luna'!$B33:$AB33,"Failed on test")+COUNTIF('gpt-5.6-luna'!$B33:$AB33,"Runtime error")</f>
        <v/>
      </c>
      <c r="E33" s="2">
        <f>IF(F33=$D33,"Passed on test",IF(H33&gt;0,"Runtime error","Failed on test"))</f>
        <v/>
      </c>
      <c r="F33" s="2">
        <f>COUNTIF('gpt-5.6-luna'!$B33:$AB33,"Passed on test")</f>
        <v/>
      </c>
      <c r="G33" s="2">
        <f>COUNTIF('gpt-5.6-luna'!$B33:$AB33,"Failed on test")</f>
        <v/>
      </c>
      <c r="H33" s="2">
        <f>COUNTIF('gpt-5.6-luna'!$B33:$AB33,"Runtime error")</f>
        <v/>
      </c>
      <c r="I33" s="2">
        <f>IF(J33=$D33,"Passed on test",IF(L33&gt;0,"Runtime error","Failed on test"))</f>
        <v/>
      </c>
      <c r="J33" s="2">
        <f>COUNTIF('gpt-6-luna'!$B33:$AB33,"Passed on test")</f>
        <v/>
      </c>
      <c r="K33" s="2">
        <f>COUNTIF('gpt-6-luna'!$B33:$AB33,"Failed on test")</f>
        <v/>
      </c>
      <c r="L33" s="2">
        <f>COUNTIF('gpt-6-luna'!$B33:$AB33,"Runtime error")</f>
        <v/>
      </c>
      <c r="M33" s="2">
        <f>IF(N33=$D33,"Passed on test",IF(P33&gt;0,"Runtime error","Failed on test"))</f>
        <v/>
      </c>
      <c r="N33" s="2">
        <f>COUNTIF('gpt-6-astra'!$B33:$AB33,"Passed on test")</f>
        <v/>
      </c>
      <c r="O33" s="2">
        <f>COUNTIF('gpt-6-astra'!$B33:$AB33,"Failed on test")</f>
        <v/>
      </c>
      <c r="P33" s="2">
        <f>COUNTIF('gpt-6-astra'!$B33:$AB33,"Runtime error")</f>
        <v/>
      </c>
      <c r="Q33" s="2">
        <f>IF(R33=$D33,"Passed on test",IF(T33&gt;0,"Runtime error","Failed on test"))</f>
        <v/>
      </c>
      <c r="R33" s="2">
        <f>COUNTIF('gpt-6.1-sol'!$B33:$AB33,"Passed on test")</f>
        <v/>
      </c>
      <c r="S33" s="2">
        <f>COUNTIF('gpt-6.1-sol'!$B33:$AB33,"Failed on test")</f>
        <v/>
      </c>
      <c r="T33" s="2">
        <f>COUNTIF('gpt-6.1-sol'!$B33:$AB33,"Runtime error")</f>
        <v/>
      </c>
      <c r="U33" s="2">
        <f>IF(MAX(F33,J33,N33,R33)=0,"None",IF(MIN(F33,J33,N33,R33)=MAX(F33,J33,N33,R33),"All four",_xlfn.TEXTJOIN(", ",TRUE,IF(F33=MAX(F33,J33,N33,R33),"gpt-5.6-luna",""),IF(J33=MAX(F33,J33,N33,R33),"gpt-6-luna",""),IF(N33=MAX(F33,J33,N33,R33),"gpt-6-astra",""),IF(R33=MAX(F33,J33,N33,R33),"gpt-6.1-sol",""))))</f>
        <v/>
      </c>
      <c r="V33" s="2">
        <f>IF(MAX(F33,J33,N33,R33)&lt;&gt;MIN(F33,J33,N33,R33),"differ",IF(F33=$D33,"all_pass",IF(F33=0,"all_zero","same_partial")))</f>
        <v/>
      </c>
      <c r="W33" s="3" t="inlineStr">
        <is>
          <t>The luna fixes crash on Aqua's *; gpt-6-astra and gpt-6.1-sol time out building QAOA</t>
        </is>
      </c>
    </row>
    <row r="34">
      <c r="A34" s="2" t="n">
        <v>4</v>
      </c>
      <c r="B34" s="2" t="inlineStr">
        <is>
          <t>issue_595</t>
        </is>
      </c>
      <c r="C34" s="2" t="inlineStr">
        <is>
          <t>Unitary of a circuit from AerSimulator</t>
        </is>
      </c>
      <c r="D34" s="2">
        <f>COUNTIF('gpt-5.6-luna'!$B34:$AB34,"Passed on test")+COUNTIF('gpt-5.6-luna'!$B34:$AB34,"Failed on test")+COUNTIF('gpt-5.6-luna'!$B34:$AB34,"Runtime error")</f>
        <v/>
      </c>
      <c r="E34" s="2">
        <f>IF(F34=$D34,"Passed on test",IF(H34&gt;0,"Runtime error","Failed on test"))</f>
        <v/>
      </c>
      <c r="F34" s="2">
        <f>COUNTIF('gpt-5.6-luna'!$B34:$AB34,"Passed on test")</f>
        <v/>
      </c>
      <c r="G34" s="2">
        <f>COUNTIF('gpt-5.6-luna'!$B34:$AB34,"Failed on test")</f>
        <v/>
      </c>
      <c r="H34" s="2">
        <f>COUNTIF('gpt-5.6-luna'!$B34:$AB34,"Runtime error")</f>
        <v/>
      </c>
      <c r="I34" s="2">
        <f>IF(J34=$D34,"Passed on test",IF(L34&gt;0,"Runtime error","Failed on test"))</f>
        <v/>
      </c>
      <c r="J34" s="2">
        <f>COUNTIF('gpt-6-luna'!$B34:$AB34,"Passed on test")</f>
        <v/>
      </c>
      <c r="K34" s="2">
        <f>COUNTIF('gpt-6-luna'!$B34:$AB34,"Failed on test")</f>
        <v/>
      </c>
      <c r="L34" s="2">
        <f>COUNTIF('gpt-6-luna'!$B34:$AB34,"Runtime error")</f>
        <v/>
      </c>
      <c r="M34" s="2">
        <f>IF(N34=$D34,"Passed on test",IF(P34&gt;0,"Runtime error","Failed on test"))</f>
        <v/>
      </c>
      <c r="N34" s="2">
        <f>COUNTIF('gpt-6-astra'!$B34:$AB34,"Passed on test")</f>
        <v/>
      </c>
      <c r="O34" s="2">
        <f>COUNTIF('gpt-6-astra'!$B34:$AB34,"Failed on test")</f>
        <v/>
      </c>
      <c r="P34" s="2">
        <f>COUNTIF('gpt-6-astra'!$B34:$AB34,"Runtime error")</f>
        <v/>
      </c>
      <c r="Q34" s="2">
        <f>IF(R34=$D34,"Passed on test",IF(T34&gt;0,"Runtime error","Failed on test"))</f>
        <v/>
      </c>
      <c r="R34" s="2">
        <f>COUNTIF('gpt-6.1-sol'!$B34:$AB34,"Passed on test")</f>
        <v/>
      </c>
      <c r="S34" s="2">
        <f>COUNTIF('gpt-6.1-sol'!$B34:$AB34,"Failed on test")</f>
        <v/>
      </c>
      <c r="T34" s="2">
        <f>COUNTIF('gpt-6.1-sol'!$B34:$AB34,"Runtime error")</f>
        <v/>
      </c>
      <c r="U34" s="2">
        <f>IF(MAX(F34,J34,N34,R34)=0,"None",IF(MIN(F34,J34,N34,R34)=MAX(F34,J34,N34,R34),"All four",_xlfn.TEXTJOIN(", ",TRUE,IF(F34=MAX(F34,J34,N34,R34),"gpt-5.6-luna",""),IF(J34=MAX(F34,J34,N34,R34),"gpt-6-luna",""),IF(N34=MAX(F34,J34,N34,R34),"gpt-6-astra",""),IF(R34=MAX(F34,J34,N34,R34),"gpt-6.1-sol",""))))</f>
        <v/>
      </c>
      <c r="V34" s="2">
        <f>IF(MAX(F34,J34,N34,R34)&lt;&gt;MIN(F34,J34,N34,R34),"differ",IF(F34=$D34,"all_pass",IF(F34=0,"all_zero","same_partial")))</f>
        <v/>
      </c>
      <c r="W34" s="3" t="inlineStr">
        <is>
          <t>All four pass (method="unitary" and save_unitary())</t>
        </is>
      </c>
    </row>
    <row r="35">
      <c r="A35" s="2" t="n">
        <v>4</v>
      </c>
      <c r="B35" s="2" t="inlineStr">
        <is>
          <t>issue_596</t>
        </is>
      </c>
      <c r="C35" s="2" t="inlineStr">
        <is>
          <t>Parameter binds mismatch in assemble</t>
        </is>
      </c>
      <c r="D35" s="2">
        <f>COUNTIF('gpt-5.6-luna'!$B35:$AB35,"Passed on test")+COUNTIF('gpt-5.6-luna'!$B35:$AB35,"Failed on test")+COUNTIF('gpt-5.6-luna'!$B35:$AB35,"Runtime error")</f>
        <v/>
      </c>
      <c r="E35" s="2">
        <f>IF(F35=$D35,"Passed on test",IF(H35&gt;0,"Runtime error","Failed on test"))</f>
        <v/>
      </c>
      <c r="F35" s="2">
        <f>COUNTIF('gpt-5.6-luna'!$B35:$AB35,"Passed on test")</f>
        <v/>
      </c>
      <c r="G35" s="2">
        <f>COUNTIF('gpt-5.6-luna'!$B35:$AB35,"Failed on test")</f>
        <v/>
      </c>
      <c r="H35" s="2">
        <f>COUNTIF('gpt-5.6-luna'!$B35:$AB35,"Runtime error")</f>
        <v/>
      </c>
      <c r="I35" s="2">
        <f>IF(J35=$D35,"Passed on test",IF(L35&gt;0,"Runtime error","Failed on test"))</f>
        <v/>
      </c>
      <c r="J35" s="2">
        <f>COUNTIF('gpt-6-luna'!$B35:$AB35,"Passed on test")</f>
        <v/>
      </c>
      <c r="K35" s="2">
        <f>COUNTIF('gpt-6-luna'!$B35:$AB35,"Failed on test")</f>
        <v/>
      </c>
      <c r="L35" s="2">
        <f>COUNTIF('gpt-6-luna'!$B35:$AB35,"Runtime error")</f>
        <v/>
      </c>
      <c r="M35" s="2">
        <f>IF(N35=$D35,"Passed on test",IF(P35&gt;0,"Runtime error","Failed on test"))</f>
        <v/>
      </c>
      <c r="N35" s="2">
        <f>COUNTIF('gpt-6-astra'!$B35:$AB35,"Passed on test")</f>
        <v/>
      </c>
      <c r="O35" s="2">
        <f>COUNTIF('gpt-6-astra'!$B35:$AB35,"Failed on test")</f>
        <v/>
      </c>
      <c r="P35" s="2">
        <f>COUNTIF('gpt-6-astra'!$B35:$AB35,"Runtime error")</f>
        <v/>
      </c>
      <c r="Q35" s="2">
        <f>IF(R35=$D35,"Passed on test",IF(T35&gt;0,"Runtime error","Failed on test"))</f>
        <v/>
      </c>
      <c r="R35" s="2">
        <f>COUNTIF('gpt-6.1-sol'!$B35:$AB35,"Passed on test")</f>
        <v/>
      </c>
      <c r="S35" s="2">
        <f>COUNTIF('gpt-6.1-sol'!$B35:$AB35,"Failed on test")</f>
        <v/>
      </c>
      <c r="T35" s="2">
        <f>COUNTIF('gpt-6.1-sol'!$B35:$AB35,"Runtime error")</f>
        <v/>
      </c>
      <c r="U35" s="2">
        <f>IF(MAX(F35,J35,N35,R35)=0,"None",IF(MIN(F35,J35,N35,R35)=MAX(F35,J35,N35,R35),"All four",_xlfn.TEXTJOIN(", ",TRUE,IF(F35=MAX(F35,J35,N35,R35),"gpt-5.6-luna",""),IF(J35=MAX(F35,J35,N35,R35),"gpt-6-luna",""),IF(N35=MAX(F35,J35,N35,R35),"gpt-6-astra",""),IF(R35=MAX(F35,J35,N35,R35),"gpt-6.1-sol",""))))</f>
        <v/>
      </c>
      <c r="V35" s="2">
        <f>IF(MAX(F35,J35,N35,R35)&lt;&gt;MIN(F35,J35,N35,R35),"differ",IF(F35=$D35,"all_pass",IF(F35=0,"all_zero","same_partial")))</f>
        <v/>
      </c>
      <c r="W35" s="3" t="inlineStr">
        <is>
          <t>All four pass (Binds both parameter vectors at once and keeps the bound circuit)</t>
        </is>
      </c>
    </row>
    <row r="36">
      <c r="A36" s="2" t="n">
        <v>4</v>
      </c>
      <c r="B36" s="2" t="inlineStr">
        <is>
          <t>issue_600</t>
        </is>
      </c>
      <c r="C36" s="2" t="inlineStr">
        <is>
          <t>PauliGate.power() with a parameter</t>
        </is>
      </c>
      <c r="D36" s="2">
        <f>COUNTIF('gpt-5.6-luna'!$B36:$AB36,"Passed on test")+COUNTIF('gpt-5.6-luna'!$B36:$AB36,"Failed on test")+COUNTIF('gpt-5.6-luna'!$B36:$AB36,"Runtime error")</f>
        <v/>
      </c>
      <c r="E36" s="2">
        <f>IF(F36=$D36,"Passed on test",IF(H36&gt;0,"Runtime error","Failed on test"))</f>
        <v/>
      </c>
      <c r="F36" s="2">
        <f>COUNTIF('gpt-5.6-luna'!$B36:$AB36,"Passed on test")</f>
        <v/>
      </c>
      <c r="G36" s="2">
        <f>COUNTIF('gpt-5.6-luna'!$B36:$AB36,"Failed on test")</f>
        <v/>
      </c>
      <c r="H36" s="2">
        <f>COUNTIF('gpt-5.6-luna'!$B36:$AB36,"Runtime error")</f>
        <v/>
      </c>
      <c r="I36" s="2">
        <f>IF(J36=$D36,"Passed on test",IF(L36&gt;0,"Runtime error","Failed on test"))</f>
        <v/>
      </c>
      <c r="J36" s="2">
        <f>COUNTIF('gpt-6-luna'!$B36:$AB36,"Passed on test")</f>
        <v/>
      </c>
      <c r="K36" s="2">
        <f>COUNTIF('gpt-6-luna'!$B36:$AB36,"Failed on test")</f>
        <v/>
      </c>
      <c r="L36" s="2">
        <f>COUNTIF('gpt-6-luna'!$B36:$AB36,"Runtime error")</f>
        <v/>
      </c>
      <c r="M36" s="2">
        <f>IF(N36=$D36,"Passed on test",IF(P36&gt;0,"Runtime error","Failed on test"))</f>
        <v/>
      </c>
      <c r="N36" s="2">
        <f>COUNTIF('gpt-6-astra'!$B36:$AB36,"Passed on test")</f>
        <v/>
      </c>
      <c r="O36" s="2">
        <f>COUNTIF('gpt-6-astra'!$B36:$AB36,"Failed on test")</f>
        <v/>
      </c>
      <c r="P36" s="2">
        <f>COUNTIF('gpt-6-astra'!$B36:$AB36,"Runtime error")</f>
        <v/>
      </c>
      <c r="Q36" s="2">
        <f>IF(R36=$D36,"Passed on test",IF(T36&gt;0,"Runtime error","Failed on test"))</f>
        <v/>
      </c>
      <c r="R36" s="2">
        <f>COUNTIF('gpt-6.1-sol'!$B36:$AB36,"Passed on test")</f>
        <v/>
      </c>
      <c r="S36" s="2">
        <f>COUNTIF('gpt-6.1-sol'!$B36:$AB36,"Failed on test")</f>
        <v/>
      </c>
      <c r="T36" s="2">
        <f>COUNTIF('gpt-6.1-sol'!$B36:$AB36,"Runtime error")</f>
        <v/>
      </c>
      <c r="U36" s="2">
        <f>IF(MAX(F36,J36,N36,R36)=0,"None",IF(MIN(F36,J36,N36,R36)=MAX(F36,J36,N36,R36),"All four",_xlfn.TEXTJOIN(", ",TRUE,IF(F36=MAX(F36,J36,N36,R36),"gpt-5.6-luna",""),IF(J36=MAX(F36,J36,N36,R36),"gpt-6-luna",""),IF(N36=MAX(F36,J36,N36,R36),"gpt-6-astra",""),IF(R36=MAX(F36,J36,N36,R36),"gpt-6.1-sol",""))))</f>
        <v/>
      </c>
      <c r="V36" s="2">
        <f>IF(MAX(F36,J36,N36,R36)&lt;&gt;MIN(F36,J36,N36,R36),"differ",IF(F36=$D36,"all_pass",IF(F36=0,"all_zero","same_partial")))</f>
        <v/>
      </c>
      <c r="W36" s="3" t="inlineStr">
        <is>
          <t>The luna fixes use PauliGate / PauliEvolutionGate, which don't exist in 0.25; gpt-6-astra and gpt-6.1-sol use RXX/RYY/RZZ plus a global phase</t>
        </is>
      </c>
    </row>
    <row r="37">
      <c r="A37" s="2" t="n">
        <v>4</v>
      </c>
      <c r="B37" s="2" t="inlineStr">
        <is>
          <t>issue_622</t>
        </is>
      </c>
      <c r="C37" s="2" t="inlineStr">
        <is>
          <t>Too many qubits for the backend</t>
        </is>
      </c>
      <c r="D37" s="2">
        <f>COUNTIF('gpt-5.6-luna'!$B37:$AB37,"Passed on test")+COUNTIF('gpt-5.6-luna'!$B37:$AB37,"Failed on test")+COUNTIF('gpt-5.6-luna'!$B37:$AB37,"Runtime error")</f>
        <v/>
      </c>
      <c r="E37" s="2">
        <f>IF(F37=$D37,"Passed on test",IF(H37&gt;0,"Runtime error","Failed on test"))</f>
        <v/>
      </c>
      <c r="F37" s="2">
        <f>COUNTIF('gpt-5.6-luna'!$B37:$AB37,"Passed on test")</f>
        <v/>
      </c>
      <c r="G37" s="2">
        <f>COUNTIF('gpt-5.6-luna'!$B37:$AB37,"Failed on test")</f>
        <v/>
      </c>
      <c r="H37" s="2">
        <f>COUNTIF('gpt-5.6-luna'!$B37:$AB37,"Runtime error")</f>
        <v/>
      </c>
      <c r="I37" s="2">
        <f>IF(J37=$D37,"Passed on test",IF(L37&gt;0,"Runtime error","Failed on test"))</f>
        <v/>
      </c>
      <c r="J37" s="2">
        <f>COUNTIF('gpt-6-luna'!$B37:$AB37,"Passed on test")</f>
        <v/>
      </c>
      <c r="K37" s="2">
        <f>COUNTIF('gpt-6-luna'!$B37:$AB37,"Failed on test")</f>
        <v/>
      </c>
      <c r="L37" s="2">
        <f>COUNTIF('gpt-6-luna'!$B37:$AB37,"Runtime error")</f>
        <v/>
      </c>
      <c r="M37" s="2">
        <f>IF(N37=$D37,"Passed on test",IF(P37&gt;0,"Runtime error","Failed on test"))</f>
        <v/>
      </c>
      <c r="N37" s="2">
        <f>COUNTIF('gpt-6-astra'!$B37:$AB37,"Passed on test")</f>
        <v/>
      </c>
      <c r="O37" s="2">
        <f>COUNTIF('gpt-6-astra'!$B37:$AB37,"Failed on test")</f>
        <v/>
      </c>
      <c r="P37" s="2">
        <f>COUNTIF('gpt-6-astra'!$B37:$AB37,"Runtime error")</f>
        <v/>
      </c>
      <c r="Q37" s="2">
        <f>IF(R37=$D37,"Passed on test",IF(T37&gt;0,"Runtime error","Failed on test"))</f>
        <v/>
      </c>
      <c r="R37" s="2">
        <f>COUNTIF('gpt-6.1-sol'!$B37:$AB37,"Passed on test")</f>
        <v/>
      </c>
      <c r="S37" s="2">
        <f>COUNTIF('gpt-6.1-sol'!$B37:$AB37,"Failed on test")</f>
        <v/>
      </c>
      <c r="T37" s="2">
        <f>COUNTIF('gpt-6.1-sol'!$B37:$AB37,"Runtime error")</f>
        <v/>
      </c>
      <c r="U37" s="2">
        <f>IF(MAX(F37,J37,N37,R37)=0,"None",IF(MIN(F37,J37,N37,R37)=MAX(F37,J37,N37,R37),"All four",_xlfn.TEXTJOIN(", ",TRUE,IF(F37=MAX(F37,J37,N37,R37),"gpt-5.6-luna",""),IF(J37=MAX(F37,J37,N37,R37),"gpt-6-luna",""),IF(N37=MAX(F37,J37,N37,R37),"gpt-6-astra",""),IF(R37=MAX(F37,J37,N37,R37),"gpt-6.1-sol",""))))</f>
        <v/>
      </c>
      <c r="V37" s="2">
        <f>IF(MAX(F37,J37,N37,R37)&lt;&gt;MIN(F37,J37,N37,R37),"differ",IF(F37=$D37,"all_pass",IF(F37=0,"all_zero","same_partial")))</f>
        <v/>
      </c>
      <c r="W37" s="3" t="inlineStr">
        <is>
          <t>gpt-6-luna made the same backend switch but deleted import qiskit</t>
        </is>
      </c>
    </row>
    <row r="38">
      <c r="A38" s="2" t="n">
        <v>4</v>
      </c>
      <c r="B38" s="2" t="inlineStr">
        <is>
          <t>issue_624</t>
        </is>
      </c>
      <c r="C38" s="2" t="inlineStr">
        <is>
          <t>QAOA needs an operator, not a circuit</t>
        </is>
      </c>
      <c r="D38" s="2">
        <f>COUNTIF('gpt-5.6-luna'!$B38:$AB38,"Passed on test")+COUNTIF('gpt-5.6-luna'!$B38:$AB38,"Failed on test")+COUNTIF('gpt-5.6-luna'!$B38:$AB38,"Runtime error")</f>
        <v/>
      </c>
      <c r="E38" s="2">
        <f>IF(F38=$D38,"Passed on test",IF(H38&gt;0,"Runtime error","Failed on test"))</f>
        <v/>
      </c>
      <c r="F38" s="2">
        <f>COUNTIF('gpt-5.6-luna'!$B38:$AB38,"Passed on test")</f>
        <v/>
      </c>
      <c r="G38" s="2">
        <f>COUNTIF('gpt-5.6-luna'!$B38:$AB38,"Failed on test")</f>
        <v/>
      </c>
      <c r="H38" s="2">
        <f>COUNTIF('gpt-5.6-luna'!$B38:$AB38,"Runtime error")</f>
        <v/>
      </c>
      <c r="I38" s="2">
        <f>IF(J38=$D38,"Passed on test",IF(L38&gt;0,"Runtime error","Failed on test"))</f>
        <v/>
      </c>
      <c r="J38" s="2">
        <f>COUNTIF('gpt-6-luna'!$B38:$AB38,"Passed on test")</f>
        <v/>
      </c>
      <c r="K38" s="2">
        <f>COUNTIF('gpt-6-luna'!$B38:$AB38,"Failed on test")</f>
        <v/>
      </c>
      <c r="L38" s="2">
        <f>COUNTIF('gpt-6-luna'!$B38:$AB38,"Runtime error")</f>
        <v/>
      </c>
      <c r="M38" s="2">
        <f>IF(N38=$D38,"Passed on test",IF(P38&gt;0,"Runtime error","Failed on test"))</f>
        <v/>
      </c>
      <c r="N38" s="2">
        <f>COUNTIF('gpt-6-astra'!$B38:$AB38,"Passed on test")</f>
        <v/>
      </c>
      <c r="O38" s="2">
        <f>COUNTIF('gpt-6-astra'!$B38:$AB38,"Failed on test")</f>
        <v/>
      </c>
      <c r="P38" s="2">
        <f>COUNTIF('gpt-6-astra'!$B38:$AB38,"Runtime error")</f>
        <v/>
      </c>
      <c r="Q38" s="2">
        <f>IF(R38=$D38,"Passed on test",IF(T38&gt;0,"Runtime error","Failed on test"))</f>
        <v/>
      </c>
      <c r="R38" s="2">
        <f>COUNTIF('gpt-6.1-sol'!$B38:$AB38,"Passed on test")</f>
        <v/>
      </c>
      <c r="S38" s="2">
        <f>COUNTIF('gpt-6.1-sol'!$B38:$AB38,"Failed on test")</f>
        <v/>
      </c>
      <c r="T38" s="2">
        <f>COUNTIF('gpt-6.1-sol'!$B38:$AB38,"Runtime error")</f>
        <v/>
      </c>
      <c r="U38" s="2">
        <f>IF(MAX(F38,J38,N38,R38)=0,"None",IF(MIN(F38,J38,N38,R38)=MAX(F38,J38,N38,R38),"All four",_xlfn.TEXTJOIN(", ",TRUE,IF(F38=MAX(F38,J38,N38,R38),"gpt-5.6-luna",""),IF(J38=MAX(F38,J38,N38,R38),"gpt-6-luna",""),IF(N38=MAX(F38,J38,N38,R38),"gpt-6-astra",""),IF(R38=MAX(F38,J38,N38,R38),"gpt-6.1-sol",""))))</f>
        <v/>
      </c>
      <c r="V38" s="2">
        <f>IF(MAX(F38,J38,N38,R38)&lt;&gt;MIN(F38,J38,N38,R38),"differ",IF(F38=$D38,"all_pass",IF(F38=0,"all_zero","same_partial")))</f>
        <v/>
      </c>
      <c r="W38" s="3" t="inlineStr">
        <is>
          <t>gpt-5.6-luna passed an unconverted CircuitOp; gpt-6-luna called a non-existent PauliSumOp.from_operator()</t>
        </is>
      </c>
    </row>
    <row r="39">
      <c r="A39" s="2" t="n">
        <v>4</v>
      </c>
      <c r="B39" s="2" t="inlineStr">
        <is>
          <t>issue_635</t>
        </is>
      </c>
      <c r="C39" s="2" t="inlineStr">
        <is>
          <t>c_if on two classical bits at once</t>
        </is>
      </c>
      <c r="D39" s="2">
        <f>COUNTIF('gpt-5.6-luna'!$B39:$AB39,"Passed on test")+COUNTIF('gpt-5.6-luna'!$B39:$AB39,"Failed on test")+COUNTIF('gpt-5.6-luna'!$B39:$AB39,"Runtime error")</f>
        <v/>
      </c>
      <c r="E39" s="2">
        <f>IF(F39=$D39,"Passed on test",IF(H39&gt;0,"Runtime error","Failed on test"))</f>
        <v/>
      </c>
      <c r="F39" s="2">
        <f>COUNTIF('gpt-5.6-luna'!$B39:$AB39,"Passed on test")</f>
        <v/>
      </c>
      <c r="G39" s="2">
        <f>COUNTIF('gpt-5.6-luna'!$B39:$AB39,"Failed on test")</f>
        <v/>
      </c>
      <c r="H39" s="2">
        <f>COUNTIF('gpt-5.6-luna'!$B39:$AB39,"Runtime error")</f>
        <v/>
      </c>
      <c r="I39" s="2">
        <f>IF(J39=$D39,"Passed on test",IF(L39&gt;0,"Runtime error","Failed on test"))</f>
        <v/>
      </c>
      <c r="J39" s="2">
        <f>COUNTIF('gpt-6-luna'!$B39:$AB39,"Passed on test")</f>
        <v/>
      </c>
      <c r="K39" s="2">
        <f>COUNTIF('gpt-6-luna'!$B39:$AB39,"Failed on test")</f>
        <v/>
      </c>
      <c r="L39" s="2">
        <f>COUNTIF('gpt-6-luna'!$B39:$AB39,"Runtime error")</f>
        <v/>
      </c>
      <c r="M39" s="2">
        <f>IF(N39=$D39,"Passed on test",IF(P39&gt;0,"Runtime error","Failed on test"))</f>
        <v/>
      </c>
      <c r="N39" s="2">
        <f>COUNTIF('gpt-6-astra'!$B39:$AB39,"Passed on test")</f>
        <v/>
      </c>
      <c r="O39" s="2">
        <f>COUNTIF('gpt-6-astra'!$B39:$AB39,"Failed on test")</f>
        <v/>
      </c>
      <c r="P39" s="2">
        <f>COUNTIF('gpt-6-astra'!$B39:$AB39,"Runtime error")</f>
        <v/>
      </c>
      <c r="Q39" s="2">
        <f>IF(R39=$D39,"Passed on test",IF(T39&gt;0,"Runtime error","Failed on test"))</f>
        <v/>
      </c>
      <c r="R39" s="2">
        <f>COUNTIF('gpt-6.1-sol'!$B39:$AB39,"Passed on test")</f>
        <v/>
      </c>
      <c r="S39" s="2">
        <f>COUNTIF('gpt-6.1-sol'!$B39:$AB39,"Failed on test")</f>
        <v/>
      </c>
      <c r="T39" s="2">
        <f>COUNTIF('gpt-6.1-sol'!$B39:$AB39,"Runtime error")</f>
        <v/>
      </c>
      <c r="U39" s="2">
        <f>IF(MAX(F39,J39,N39,R39)=0,"None",IF(MIN(F39,J39,N39,R39)=MAX(F39,J39,N39,R39),"All four",_xlfn.TEXTJOIN(", ",TRUE,IF(F39=MAX(F39,J39,N39,R39),"gpt-5.6-luna",""),IF(J39=MAX(F39,J39,N39,R39),"gpt-6-luna",""),IF(N39=MAX(F39,J39,N39,R39),"gpt-6-astra",""),IF(R39=MAX(F39,J39,N39,R39),"gpt-6.1-sol",""))))</f>
        <v/>
      </c>
      <c r="V39" s="2">
        <f>IF(MAX(F39,J39,N39,R39)&lt;&gt;MIN(F39,J39,N39,R39),"differ",IF(F39=$D39,"all_pass",IF(F39=0,"all_zero","same_partial")))</f>
        <v/>
      </c>
      <c r="W39" s="3" t="inlineStr">
        <is>
          <t>Only gpt-6.1-sol passes: c_if(c, 3) / c_if(c, 7) works on 0.25; gpt-6-astra's nested if_test() doesn't exist there, and the luna conditions are wrong</t>
        </is>
      </c>
    </row>
    <row r="40">
      <c r="A40" s="2" t="n">
        <v>4</v>
      </c>
      <c r="B40" s="2" t="inlineStr">
        <is>
          <t>issue_662</t>
        </is>
      </c>
      <c r="C40" s="2" t="inlineStr">
        <is>
          <t>Count every gate in a circuit</t>
        </is>
      </c>
      <c r="D40" s="2">
        <f>COUNTIF('gpt-5.6-luna'!$B40:$AB40,"Passed on test")+COUNTIF('gpt-5.6-luna'!$B40:$AB40,"Failed on test")+COUNTIF('gpt-5.6-luna'!$B40:$AB40,"Runtime error")</f>
        <v/>
      </c>
      <c r="E40" s="2">
        <f>IF(F40=$D40,"Passed on test",IF(H40&gt;0,"Runtime error","Failed on test"))</f>
        <v/>
      </c>
      <c r="F40" s="2">
        <f>COUNTIF('gpt-5.6-luna'!$B40:$AB40,"Passed on test")</f>
        <v/>
      </c>
      <c r="G40" s="2">
        <f>COUNTIF('gpt-5.6-luna'!$B40:$AB40,"Failed on test")</f>
        <v/>
      </c>
      <c r="H40" s="2">
        <f>COUNTIF('gpt-5.6-luna'!$B40:$AB40,"Runtime error")</f>
        <v/>
      </c>
      <c r="I40" s="2">
        <f>IF(J40=$D40,"Passed on test",IF(L40&gt;0,"Runtime error","Failed on test"))</f>
        <v/>
      </c>
      <c r="J40" s="2">
        <f>COUNTIF('gpt-6-luna'!$B40:$AB40,"Passed on test")</f>
        <v/>
      </c>
      <c r="K40" s="2">
        <f>COUNTIF('gpt-6-luna'!$B40:$AB40,"Failed on test")</f>
        <v/>
      </c>
      <c r="L40" s="2">
        <f>COUNTIF('gpt-6-luna'!$B40:$AB40,"Runtime error")</f>
        <v/>
      </c>
      <c r="M40" s="2">
        <f>IF(N40=$D40,"Passed on test",IF(P40&gt;0,"Runtime error","Failed on test"))</f>
        <v/>
      </c>
      <c r="N40" s="2">
        <f>COUNTIF('gpt-6-astra'!$B40:$AB40,"Passed on test")</f>
        <v/>
      </c>
      <c r="O40" s="2">
        <f>COUNTIF('gpt-6-astra'!$B40:$AB40,"Failed on test")</f>
        <v/>
      </c>
      <c r="P40" s="2">
        <f>COUNTIF('gpt-6-astra'!$B40:$AB40,"Runtime error")</f>
        <v/>
      </c>
      <c r="Q40" s="2">
        <f>IF(R40=$D40,"Passed on test",IF(T40&gt;0,"Runtime error","Failed on test"))</f>
        <v/>
      </c>
      <c r="R40" s="2">
        <f>COUNTIF('gpt-6.1-sol'!$B40:$AB40,"Passed on test")</f>
        <v/>
      </c>
      <c r="S40" s="2">
        <f>COUNTIF('gpt-6.1-sol'!$B40:$AB40,"Failed on test")</f>
        <v/>
      </c>
      <c r="T40" s="2">
        <f>COUNTIF('gpt-6.1-sol'!$B40:$AB40,"Runtime error")</f>
        <v/>
      </c>
      <c r="U40" s="2">
        <f>IF(MAX(F40,J40,N40,R40)=0,"None",IF(MIN(F40,J40,N40,R40)=MAX(F40,J40,N40,R40),"All four",_xlfn.TEXTJOIN(", ",TRUE,IF(F40=MAX(F40,J40,N40,R40),"gpt-5.6-luna",""),IF(J40=MAX(F40,J40,N40,R40),"gpt-6-luna",""),IF(N40=MAX(F40,J40,N40,R40),"gpt-6-astra",""),IF(R40=MAX(F40,J40,N40,R40),"gpt-6.1-sol",""))))</f>
        <v/>
      </c>
      <c r="V40" s="2">
        <f>IF(MAX(F40,J40,N40,R40)&lt;&gt;MIN(F40,J40,N40,R40),"differ",IF(F40=$D40,"all_pass",IF(F40=0,"all_zero","same_partial")))</f>
        <v/>
      </c>
      <c r="W40" s="3" t="inlineStr">
        <is>
          <t>Both luna models kept the node.type check, which no longer exists</t>
        </is>
      </c>
    </row>
    <row r="41">
      <c r="A41" s="2" t="n">
        <v>5</v>
      </c>
      <c r="B41" s="2" t="inlineStr">
        <is>
          <t>issue_663</t>
        </is>
      </c>
      <c r="C41" s="2" t="inlineStr">
        <is>
          <t>Counts are always 000</t>
        </is>
      </c>
      <c r="D41" s="2">
        <f>COUNTIF('gpt-5.6-luna'!$B41:$AB41,"Passed on test")+COUNTIF('gpt-5.6-luna'!$B41:$AB41,"Failed on test")+COUNTIF('gpt-5.6-luna'!$B41:$AB41,"Runtime error")</f>
        <v/>
      </c>
      <c r="E41" s="2">
        <f>IF(F41=$D41,"Passed on test",IF(H41&gt;0,"Runtime error","Failed on test"))</f>
        <v/>
      </c>
      <c r="F41" s="2">
        <f>COUNTIF('gpt-5.6-luna'!$B41:$AB41,"Passed on test")</f>
        <v/>
      </c>
      <c r="G41" s="2">
        <f>COUNTIF('gpt-5.6-luna'!$B41:$AB41,"Failed on test")</f>
        <v/>
      </c>
      <c r="H41" s="2">
        <f>COUNTIF('gpt-5.6-luna'!$B41:$AB41,"Runtime error")</f>
        <v/>
      </c>
      <c r="I41" s="2">
        <f>IF(J41=$D41,"Passed on test",IF(L41&gt;0,"Runtime error","Failed on test"))</f>
        <v/>
      </c>
      <c r="J41" s="2">
        <f>COUNTIF('gpt-6-luna'!$B41:$AB41,"Passed on test")</f>
        <v/>
      </c>
      <c r="K41" s="2">
        <f>COUNTIF('gpt-6-luna'!$B41:$AB41,"Failed on test")</f>
        <v/>
      </c>
      <c r="L41" s="2">
        <f>COUNTIF('gpt-6-luna'!$B41:$AB41,"Runtime error")</f>
        <v/>
      </c>
      <c r="M41" s="2">
        <f>IF(N41=$D41,"Passed on test",IF(P41&gt;0,"Runtime error","Failed on test"))</f>
        <v/>
      </c>
      <c r="N41" s="2">
        <f>COUNTIF('gpt-6-astra'!$B41:$AB41,"Passed on test")</f>
        <v/>
      </c>
      <c r="O41" s="2">
        <f>COUNTIF('gpt-6-astra'!$B41:$AB41,"Failed on test")</f>
        <v/>
      </c>
      <c r="P41" s="2">
        <f>COUNTIF('gpt-6-astra'!$B41:$AB41,"Runtime error")</f>
        <v/>
      </c>
      <c r="Q41" s="2">
        <f>IF(R41=$D41,"Passed on test",IF(T41&gt;0,"Runtime error","Failed on test"))</f>
        <v/>
      </c>
      <c r="R41" s="2">
        <f>COUNTIF('gpt-6.1-sol'!$B41:$AB41,"Passed on test")</f>
        <v/>
      </c>
      <c r="S41" s="2">
        <f>COUNTIF('gpt-6.1-sol'!$B41:$AB41,"Failed on test")</f>
        <v/>
      </c>
      <c r="T41" s="2">
        <f>COUNTIF('gpt-6.1-sol'!$B41:$AB41,"Runtime error")</f>
        <v/>
      </c>
      <c r="U41" s="2">
        <f>IF(MAX(F41,J41,N41,R41)=0,"None",IF(MIN(F41,J41,N41,R41)=MAX(F41,J41,N41,R41),"All four",_xlfn.TEXTJOIN(", ",TRUE,IF(F41=MAX(F41,J41,N41,R41),"gpt-5.6-luna",""),IF(J41=MAX(F41,J41,N41,R41),"gpt-6-luna",""),IF(N41=MAX(F41,J41,N41,R41),"gpt-6-astra",""),IF(R41=MAX(F41,J41,N41,R41),"gpt-6.1-sol",""))))</f>
        <v/>
      </c>
      <c r="V41" s="2">
        <f>IF(MAX(F41,J41,N41,R41)&lt;&gt;MIN(F41,J41,N41,R41),"differ",IF(F41=$D41,"all_pass",IF(F41=0,"all_zero","same_partial")))</f>
        <v/>
      </c>
      <c r="W41" s="3" t="inlineStr">
        <is>
          <t>All four pass (Added the missing measurements)</t>
        </is>
      </c>
    </row>
    <row r="42">
      <c r="A42" s="2" t="n">
        <v>5</v>
      </c>
      <c r="B42" s="2" t="inlineStr">
        <is>
          <t>issue_671</t>
        </is>
      </c>
      <c r="C42" s="2" t="inlineStr">
        <is>
          <t>A list of registers in QuantumCircuit()</t>
        </is>
      </c>
      <c r="D42" s="2">
        <f>COUNTIF('gpt-5.6-luna'!$B42:$AB42,"Passed on test")+COUNTIF('gpt-5.6-luna'!$B42:$AB42,"Failed on test")+COUNTIF('gpt-5.6-luna'!$B42:$AB42,"Runtime error")</f>
        <v/>
      </c>
      <c r="E42" s="2">
        <f>IF(F42=$D42,"Passed on test",IF(H42&gt;0,"Runtime error","Failed on test"))</f>
        <v/>
      </c>
      <c r="F42" s="2">
        <f>COUNTIF('gpt-5.6-luna'!$B42:$AB42,"Passed on test")</f>
        <v/>
      </c>
      <c r="G42" s="2">
        <f>COUNTIF('gpt-5.6-luna'!$B42:$AB42,"Failed on test")</f>
        <v/>
      </c>
      <c r="H42" s="2">
        <f>COUNTIF('gpt-5.6-luna'!$B42:$AB42,"Runtime error")</f>
        <v/>
      </c>
      <c r="I42" s="2">
        <f>IF(J42=$D42,"Passed on test",IF(L42&gt;0,"Runtime error","Failed on test"))</f>
        <v/>
      </c>
      <c r="J42" s="2">
        <f>COUNTIF('gpt-6-luna'!$B42:$AB42,"Passed on test")</f>
        <v/>
      </c>
      <c r="K42" s="2">
        <f>COUNTIF('gpt-6-luna'!$B42:$AB42,"Failed on test")</f>
        <v/>
      </c>
      <c r="L42" s="2">
        <f>COUNTIF('gpt-6-luna'!$B42:$AB42,"Runtime error")</f>
        <v/>
      </c>
      <c r="M42" s="2">
        <f>IF(N42=$D42,"Passed on test",IF(P42&gt;0,"Runtime error","Failed on test"))</f>
        <v/>
      </c>
      <c r="N42" s="2">
        <f>COUNTIF('gpt-6-astra'!$B42:$AB42,"Passed on test")</f>
        <v/>
      </c>
      <c r="O42" s="2">
        <f>COUNTIF('gpt-6-astra'!$B42:$AB42,"Failed on test")</f>
        <v/>
      </c>
      <c r="P42" s="2">
        <f>COUNTIF('gpt-6-astra'!$B42:$AB42,"Runtime error")</f>
        <v/>
      </c>
      <c r="Q42" s="2">
        <f>IF(R42=$D42,"Passed on test",IF(T42&gt;0,"Runtime error","Failed on test"))</f>
        <v/>
      </c>
      <c r="R42" s="2">
        <f>COUNTIF('gpt-6.1-sol'!$B42:$AB42,"Passed on test")</f>
        <v/>
      </c>
      <c r="S42" s="2">
        <f>COUNTIF('gpt-6.1-sol'!$B42:$AB42,"Failed on test")</f>
        <v/>
      </c>
      <c r="T42" s="2">
        <f>COUNTIF('gpt-6.1-sol'!$B42:$AB42,"Runtime error")</f>
        <v/>
      </c>
      <c r="U42" s="2">
        <f>IF(MAX(F42,J42,N42,R42)=0,"None",IF(MIN(F42,J42,N42,R42)=MAX(F42,J42,N42,R42),"All four",_xlfn.TEXTJOIN(", ",TRUE,IF(F42=MAX(F42,J42,N42,R42),"gpt-5.6-luna",""),IF(J42=MAX(F42,J42,N42,R42),"gpt-6-luna",""),IF(N42=MAX(F42,J42,N42,R42),"gpt-6-astra",""),IF(R42=MAX(F42,J42,N42,R42),"gpt-6.1-sol",""))))</f>
        <v/>
      </c>
      <c r="V42" s="2">
        <f>IF(MAX(F42,J42,N42,R42)&lt;&gt;MIN(F42,J42,N42,R42),"differ",IF(F42=$D42,"all_pass",IF(F42=0,"all_zero","same_partial")))</f>
        <v/>
      </c>
      <c r="W42" s="3" t="inlineStr">
        <is>
          <t>Rescored 19 Oct 2026 on Nick's main test. gpt-5.6-luna 0 pass / 27 fail / 0 error; gpt-6-luna 0 pass / 27 fail / 0 error; gpt-6-astra 0 pass / 27 fail / 0 error; gpt-6.1-sol 0 pass / 27 fail / 0 error.</t>
        </is>
      </c>
    </row>
    <row r="43">
      <c r="A43" s="2" t="n">
        <v>5</v>
      </c>
      <c r="B43" s="2" t="inlineStr">
        <is>
          <t>issue_727</t>
        </is>
      </c>
      <c r="C43" s="2" t="inlineStr">
        <is>
          <t>2**k with a Parameter</t>
        </is>
      </c>
      <c r="D43" s="2">
        <f>COUNTIF('gpt-5.6-luna'!$B43:$AB43,"Passed on test")+COUNTIF('gpt-5.6-luna'!$B43:$AB43,"Failed on test")+COUNTIF('gpt-5.6-luna'!$B43:$AB43,"Runtime error")</f>
        <v/>
      </c>
      <c r="E43" s="2">
        <f>IF(F43=$D43,"Passed on test",IF(H43&gt;0,"Runtime error","Failed on test"))</f>
        <v/>
      </c>
      <c r="F43" s="2">
        <f>COUNTIF('gpt-5.6-luna'!$B43:$AB43,"Passed on test")</f>
        <v/>
      </c>
      <c r="G43" s="2">
        <f>COUNTIF('gpt-5.6-luna'!$B43:$AB43,"Failed on test")</f>
        <v/>
      </c>
      <c r="H43" s="2">
        <f>COUNTIF('gpt-5.6-luna'!$B43:$AB43,"Runtime error")</f>
        <v/>
      </c>
      <c r="I43" s="2">
        <f>IF(J43=$D43,"Passed on test",IF(L43&gt;0,"Runtime error","Failed on test"))</f>
        <v/>
      </c>
      <c r="J43" s="2">
        <f>COUNTIF('gpt-6-luna'!$B43:$AB43,"Passed on test")</f>
        <v/>
      </c>
      <c r="K43" s="2">
        <f>COUNTIF('gpt-6-luna'!$B43:$AB43,"Failed on test")</f>
        <v/>
      </c>
      <c r="L43" s="2">
        <f>COUNTIF('gpt-6-luna'!$B43:$AB43,"Runtime error")</f>
        <v/>
      </c>
      <c r="M43" s="2">
        <f>IF(N43=$D43,"Passed on test",IF(P43&gt;0,"Runtime error","Failed on test"))</f>
        <v/>
      </c>
      <c r="N43" s="2">
        <f>COUNTIF('gpt-6-astra'!$B43:$AB43,"Passed on test")</f>
        <v/>
      </c>
      <c r="O43" s="2">
        <f>COUNTIF('gpt-6-astra'!$B43:$AB43,"Failed on test")</f>
        <v/>
      </c>
      <c r="P43" s="2">
        <f>COUNTIF('gpt-6-astra'!$B43:$AB43,"Runtime error")</f>
        <v/>
      </c>
      <c r="Q43" s="2">
        <f>IF(R43=$D43,"Passed on test",IF(T43&gt;0,"Runtime error","Failed on test"))</f>
        <v/>
      </c>
      <c r="R43" s="2">
        <f>COUNTIF('gpt-6.1-sol'!$B43:$AB43,"Passed on test")</f>
        <v/>
      </c>
      <c r="S43" s="2">
        <f>COUNTIF('gpt-6.1-sol'!$B43:$AB43,"Failed on test")</f>
        <v/>
      </c>
      <c r="T43" s="2">
        <f>COUNTIF('gpt-6.1-sol'!$B43:$AB43,"Runtime error")</f>
        <v/>
      </c>
      <c r="U43" s="2">
        <f>IF(MAX(F43,J43,N43,R43)=0,"None",IF(MIN(F43,J43,N43,R43)=MAX(F43,J43,N43,R43),"All four",_xlfn.TEXTJOIN(", ",TRUE,IF(F43=MAX(F43,J43,N43,R43),"gpt-5.6-luna",""),IF(J43=MAX(F43,J43,N43,R43),"gpt-6-luna",""),IF(N43=MAX(F43,J43,N43,R43),"gpt-6-astra",""),IF(R43=MAX(F43,J43,N43,R43),"gpt-6.1-sol",""))))</f>
        <v/>
      </c>
      <c r="V43" s="2">
        <f>IF(MAX(F43,J43,N43,R43)&lt;&gt;MIN(F43,J43,N43,R43),"differ",IF(F43=$D43,"all_pass",IF(F43=0,"all_zero","same_partial")))</f>
        <v/>
      </c>
      <c r="W43" s="3" t="inlineStr">
        <is>
          <t>All four pass ((k * numpy.log(2)).exp())</t>
        </is>
      </c>
    </row>
    <row r="44">
      <c r="A44" s="2" t="n">
        <v>5</v>
      </c>
      <c r="B44" s="2" t="inlineStr">
        <is>
          <t>issue_742</t>
        </is>
      </c>
      <c r="C44" s="2" t="inlineStr">
        <is>
          <t>Operator as an EstimatorV2 observable</t>
        </is>
      </c>
      <c r="D44" s="2">
        <f>COUNTIF('gpt-5.6-luna'!$B44:$AB44,"Passed on test")+COUNTIF('gpt-5.6-luna'!$B44:$AB44,"Failed on test")+COUNTIF('gpt-5.6-luna'!$B44:$AB44,"Runtime error")</f>
        <v/>
      </c>
      <c r="E44" s="2">
        <f>IF(F44=$D44,"Passed on test",IF(H44&gt;0,"Runtime error","Failed on test"))</f>
        <v/>
      </c>
      <c r="F44" s="2">
        <f>COUNTIF('gpt-5.6-luna'!$B44:$AB44,"Passed on test")</f>
        <v/>
      </c>
      <c r="G44" s="2">
        <f>COUNTIF('gpt-5.6-luna'!$B44:$AB44,"Failed on test")</f>
        <v/>
      </c>
      <c r="H44" s="2">
        <f>COUNTIF('gpt-5.6-luna'!$B44:$AB44,"Runtime error")</f>
        <v/>
      </c>
      <c r="I44" s="2">
        <f>IF(J44=$D44,"Passed on test",IF(L44&gt;0,"Runtime error","Failed on test"))</f>
        <v/>
      </c>
      <c r="J44" s="2">
        <f>COUNTIF('gpt-6-luna'!$B44:$AB44,"Passed on test")</f>
        <v/>
      </c>
      <c r="K44" s="2">
        <f>COUNTIF('gpt-6-luna'!$B44:$AB44,"Failed on test")</f>
        <v/>
      </c>
      <c r="L44" s="2">
        <f>COUNTIF('gpt-6-luna'!$B44:$AB44,"Runtime error")</f>
        <v/>
      </c>
      <c r="M44" s="2">
        <f>IF(N44=$D44,"Passed on test",IF(P44&gt;0,"Runtime error","Failed on test"))</f>
        <v/>
      </c>
      <c r="N44" s="2">
        <f>COUNTIF('gpt-6-astra'!$B44:$AB44,"Passed on test")</f>
        <v/>
      </c>
      <c r="O44" s="2">
        <f>COUNTIF('gpt-6-astra'!$B44:$AB44,"Failed on test")</f>
        <v/>
      </c>
      <c r="P44" s="2">
        <f>COUNTIF('gpt-6-astra'!$B44:$AB44,"Runtime error")</f>
        <v/>
      </c>
      <c r="Q44" s="2">
        <f>IF(R44=$D44,"Passed on test",IF(T44&gt;0,"Runtime error","Failed on test"))</f>
        <v/>
      </c>
      <c r="R44" s="2">
        <f>COUNTIF('gpt-6.1-sol'!$B44:$AB44,"Passed on test")</f>
        <v/>
      </c>
      <c r="S44" s="2">
        <f>COUNTIF('gpt-6.1-sol'!$B44:$AB44,"Failed on test")</f>
        <v/>
      </c>
      <c r="T44" s="2">
        <f>COUNTIF('gpt-6.1-sol'!$B44:$AB44,"Runtime error")</f>
        <v/>
      </c>
      <c r="U44" s="2">
        <f>IF(MAX(F44,J44,N44,R44)=0,"None",IF(MIN(F44,J44,N44,R44)=MAX(F44,J44,N44,R44),"All four",_xlfn.TEXTJOIN(", ",TRUE,IF(F44=MAX(F44,J44,N44,R44),"gpt-5.6-luna",""),IF(J44=MAX(F44,J44,N44,R44),"gpt-6-luna",""),IF(N44=MAX(F44,J44,N44,R44),"gpt-6-astra",""),IF(R44=MAX(F44,J44,N44,R44),"gpt-6.1-sol",""))))</f>
        <v/>
      </c>
      <c r="V44" s="2">
        <f>IF(MAX(F44,J44,N44,R44)&lt;&gt;MIN(F44,J44,N44,R44),"differ",IF(F44=$D44,"all_pass",IF(F44=0,"all_zero","same_partial")))</f>
        <v/>
      </c>
      <c r="W44" s="3" t="inlineStr">
        <is>
          <t>All four pass (SparsePauliOp.from_operator(O))</t>
        </is>
      </c>
    </row>
    <row r="45">
      <c r="A45" s="2" t="n">
        <v>5</v>
      </c>
      <c r="B45" s="2" t="inlineStr">
        <is>
          <t>issue_747</t>
        </is>
      </c>
      <c r="C45" s="2" t="inlineStr">
        <is>
          <t>Counts without measure_all()</t>
        </is>
      </c>
      <c r="D45" s="2">
        <f>COUNTIF('gpt-5.6-luna'!$B45:$AB45,"Passed on test")+COUNTIF('gpt-5.6-luna'!$B45:$AB45,"Failed on test")+COUNTIF('gpt-5.6-luna'!$B45:$AB45,"Runtime error")</f>
        <v/>
      </c>
      <c r="E45" s="2">
        <f>IF(F45=$D45,"Passed on test",IF(H45&gt;0,"Runtime error","Failed on test"))</f>
        <v/>
      </c>
      <c r="F45" s="2">
        <f>COUNTIF('gpt-5.6-luna'!$B45:$AB45,"Passed on test")</f>
        <v/>
      </c>
      <c r="G45" s="2">
        <f>COUNTIF('gpt-5.6-luna'!$B45:$AB45,"Failed on test")</f>
        <v/>
      </c>
      <c r="H45" s="2">
        <f>COUNTIF('gpt-5.6-luna'!$B45:$AB45,"Runtime error")</f>
        <v/>
      </c>
      <c r="I45" s="2">
        <f>IF(J45=$D45,"Passed on test",IF(L45&gt;0,"Runtime error","Failed on test"))</f>
        <v/>
      </c>
      <c r="J45" s="2">
        <f>COUNTIF('gpt-6-luna'!$B45:$AB45,"Passed on test")</f>
        <v/>
      </c>
      <c r="K45" s="2">
        <f>COUNTIF('gpt-6-luna'!$B45:$AB45,"Failed on test")</f>
        <v/>
      </c>
      <c r="L45" s="2">
        <f>COUNTIF('gpt-6-luna'!$B45:$AB45,"Runtime error")</f>
        <v/>
      </c>
      <c r="M45" s="2">
        <f>IF(N45=$D45,"Passed on test",IF(P45&gt;0,"Runtime error","Failed on test"))</f>
        <v/>
      </c>
      <c r="N45" s="2">
        <f>COUNTIF('gpt-6-astra'!$B45:$AB45,"Passed on test")</f>
        <v/>
      </c>
      <c r="O45" s="2">
        <f>COUNTIF('gpt-6-astra'!$B45:$AB45,"Failed on test")</f>
        <v/>
      </c>
      <c r="P45" s="2">
        <f>COUNTIF('gpt-6-astra'!$B45:$AB45,"Runtime error")</f>
        <v/>
      </c>
      <c r="Q45" s="2">
        <f>IF(R45=$D45,"Passed on test",IF(T45&gt;0,"Runtime error","Failed on test"))</f>
        <v/>
      </c>
      <c r="R45" s="2">
        <f>COUNTIF('gpt-6.1-sol'!$B45:$AB45,"Passed on test")</f>
        <v/>
      </c>
      <c r="S45" s="2">
        <f>COUNTIF('gpt-6.1-sol'!$B45:$AB45,"Failed on test")</f>
        <v/>
      </c>
      <c r="T45" s="2">
        <f>COUNTIF('gpt-6.1-sol'!$B45:$AB45,"Runtime error")</f>
        <v/>
      </c>
      <c r="U45" s="2">
        <f>IF(MAX(F45,J45,N45,R45)=0,"None",IF(MIN(F45,J45,N45,R45)=MAX(F45,J45,N45,R45),"All four",_xlfn.TEXTJOIN(", ",TRUE,IF(F45=MAX(F45,J45,N45,R45),"gpt-5.6-luna",""),IF(J45=MAX(F45,J45,N45,R45),"gpt-6-luna",""),IF(N45=MAX(F45,J45,N45,R45),"gpt-6-astra",""),IF(R45=MAX(F45,J45,N45,R45),"gpt-6.1-sol",""))))</f>
        <v/>
      </c>
      <c r="V45" s="2">
        <f>IF(MAX(F45,J45,N45,R45)&lt;&gt;MIN(F45,J45,N45,R45),"differ",IF(F45=$D45,"all_pass",IF(F45=0,"all_zero","same_partial")))</f>
        <v/>
      </c>
      <c r="W45" s="3" t="inlineStr">
        <is>
          <t>Rescored 19 Oct 2026 on Nick's main test. gpt-5.6-luna 0 pass / 8 fail / 0 error; gpt-6-luna 8 pass / 0 fail / 0 error; gpt-6-astra 8 pass / 0 fail / 0 error; gpt-6.1-sol 8 pass / 0 fail / 0 error.</t>
        </is>
      </c>
    </row>
    <row r="46">
      <c r="A46" s="2" t="n">
        <v>5</v>
      </c>
      <c r="B46" s="2" t="inlineStr">
        <is>
          <t>issue_750</t>
        </is>
      </c>
      <c r="C46" s="2" t="inlineStr">
        <is>
          <t>Pauli(label=...) subsystem composition</t>
        </is>
      </c>
      <c r="D46" s="2">
        <f>COUNTIF('gpt-5.6-luna'!$B46:$AB46,"Passed on test")+COUNTIF('gpt-5.6-luna'!$B46:$AB46,"Failed on test")+COUNTIF('gpt-5.6-luna'!$B46:$AB46,"Runtime error")</f>
        <v/>
      </c>
      <c r="E46" s="2">
        <f>IF(F46=$D46,"Passed on test",IF(H46&gt;0,"Runtime error","Failed on test"))</f>
        <v/>
      </c>
      <c r="F46" s="2">
        <f>COUNTIF('gpt-5.6-luna'!$B46:$AB46,"Passed on test")</f>
        <v/>
      </c>
      <c r="G46" s="2">
        <f>COUNTIF('gpt-5.6-luna'!$B46:$AB46,"Failed on test")</f>
        <v/>
      </c>
      <c r="H46" s="2">
        <f>COUNTIF('gpt-5.6-luna'!$B46:$AB46,"Runtime error")</f>
        <v/>
      </c>
      <c r="I46" s="2">
        <f>IF(J46=$D46,"Passed on test",IF(L46&gt;0,"Runtime error","Failed on test"))</f>
        <v/>
      </c>
      <c r="J46" s="2">
        <f>COUNTIF('gpt-6-luna'!$B46:$AB46,"Passed on test")</f>
        <v/>
      </c>
      <c r="K46" s="2">
        <f>COUNTIF('gpt-6-luna'!$B46:$AB46,"Failed on test")</f>
        <v/>
      </c>
      <c r="L46" s="2">
        <f>COUNTIF('gpt-6-luna'!$B46:$AB46,"Runtime error")</f>
        <v/>
      </c>
      <c r="M46" s="2">
        <f>IF(N46=$D46,"Passed on test",IF(P46&gt;0,"Runtime error","Failed on test"))</f>
        <v/>
      </c>
      <c r="N46" s="2">
        <f>COUNTIF('gpt-6-astra'!$B46:$AB46,"Passed on test")</f>
        <v/>
      </c>
      <c r="O46" s="2">
        <f>COUNTIF('gpt-6-astra'!$B46:$AB46,"Failed on test")</f>
        <v/>
      </c>
      <c r="P46" s="2">
        <f>COUNTIF('gpt-6-astra'!$B46:$AB46,"Runtime error")</f>
        <v/>
      </c>
      <c r="Q46" s="2">
        <f>IF(R46=$D46,"Passed on test",IF(T46&gt;0,"Runtime error","Failed on test"))</f>
        <v/>
      </c>
      <c r="R46" s="2">
        <f>COUNTIF('gpt-6.1-sol'!$B46:$AB46,"Passed on test")</f>
        <v/>
      </c>
      <c r="S46" s="2">
        <f>COUNTIF('gpt-6.1-sol'!$B46:$AB46,"Failed on test")</f>
        <v/>
      </c>
      <c r="T46" s="2">
        <f>COUNTIF('gpt-6.1-sol'!$B46:$AB46,"Runtime error")</f>
        <v/>
      </c>
      <c r="U46" s="2">
        <f>IF(MAX(F46,J46,N46,R46)=0,"None",IF(MIN(F46,J46,N46,R46)=MAX(F46,J46,N46,R46),"All four",_xlfn.TEXTJOIN(", ",TRUE,IF(F46=MAX(F46,J46,N46,R46),"gpt-5.6-luna",""),IF(J46=MAX(F46,J46,N46,R46),"gpt-6-luna",""),IF(N46=MAX(F46,J46,N46,R46),"gpt-6-astra",""),IF(R46=MAX(F46,J46,N46,R46),"gpt-6.1-sol",""))))</f>
        <v/>
      </c>
      <c r="V46" s="2">
        <f>IF(MAX(F46,J46,N46,R46)&lt;&gt;MIN(F46,J46,N46,R46),"differ",IF(F46=$D46,"all_pass",IF(F46=0,"all_zero","same_partial")))</f>
        <v/>
      </c>
      <c r="W46" s="3" t="inlineStr">
        <is>
          <t>Both luna models said "no bug" and kept Pauli(label=...)</t>
        </is>
      </c>
    </row>
    <row r="47">
      <c r="A47" s="2" t="n">
        <v>5</v>
      </c>
      <c r="B47" s="2" t="inlineStr">
        <is>
          <t>issue_769</t>
        </is>
      </c>
      <c r="C47" s="2" t="inlineStr">
        <is>
          <t>Gate name from a unitary</t>
        </is>
      </c>
      <c r="D47" s="2">
        <f>COUNTIF('gpt-5.6-luna'!$B47:$AB47,"Passed on test")+COUNTIF('gpt-5.6-luna'!$B47:$AB47,"Failed on test")+COUNTIF('gpt-5.6-luna'!$B47:$AB47,"Runtime error")</f>
        <v/>
      </c>
      <c r="E47" s="2">
        <f>IF(F47=$D47,"Passed on test",IF(H47&gt;0,"Runtime error","Failed on test"))</f>
        <v/>
      </c>
      <c r="F47" s="2">
        <f>COUNTIF('gpt-5.6-luna'!$B47:$AB47,"Passed on test")</f>
        <v/>
      </c>
      <c r="G47" s="2">
        <f>COUNTIF('gpt-5.6-luna'!$B47:$AB47,"Failed on test")</f>
        <v/>
      </c>
      <c r="H47" s="2">
        <f>COUNTIF('gpt-5.6-luna'!$B47:$AB47,"Runtime error")</f>
        <v/>
      </c>
      <c r="I47" s="2">
        <f>IF(J47=$D47,"Passed on test",IF(L47&gt;0,"Runtime error","Failed on test"))</f>
        <v/>
      </c>
      <c r="J47" s="2">
        <f>COUNTIF('gpt-6-luna'!$B47:$AB47,"Passed on test")</f>
        <v/>
      </c>
      <c r="K47" s="2">
        <f>COUNTIF('gpt-6-luna'!$B47:$AB47,"Failed on test")</f>
        <v/>
      </c>
      <c r="L47" s="2">
        <f>COUNTIF('gpt-6-luna'!$B47:$AB47,"Runtime error")</f>
        <v/>
      </c>
      <c r="M47" s="2">
        <f>IF(N47=$D47,"Passed on test",IF(P47&gt;0,"Runtime error","Failed on test"))</f>
        <v/>
      </c>
      <c r="N47" s="2">
        <f>COUNTIF('gpt-6-astra'!$B47:$AB47,"Passed on test")</f>
        <v/>
      </c>
      <c r="O47" s="2">
        <f>COUNTIF('gpt-6-astra'!$B47:$AB47,"Failed on test")</f>
        <v/>
      </c>
      <c r="P47" s="2">
        <f>COUNTIF('gpt-6-astra'!$B47:$AB47,"Runtime error")</f>
        <v/>
      </c>
      <c r="Q47" s="2">
        <f>IF(R47=$D47,"Passed on test",IF(T47&gt;0,"Runtime error","Failed on test"))</f>
        <v/>
      </c>
      <c r="R47" s="2">
        <f>COUNTIF('gpt-6.1-sol'!$B47:$AB47,"Passed on test")</f>
        <v/>
      </c>
      <c r="S47" s="2">
        <f>COUNTIF('gpt-6.1-sol'!$B47:$AB47,"Failed on test")</f>
        <v/>
      </c>
      <c r="T47" s="2">
        <f>COUNTIF('gpt-6.1-sol'!$B47:$AB47,"Runtime error")</f>
        <v/>
      </c>
      <c r="U47" s="2">
        <f>IF(MAX(F47,J47,N47,R47)=0,"None",IF(MIN(F47,J47,N47,R47)=MAX(F47,J47,N47,R47),"All four",_xlfn.TEXTJOIN(", ",TRUE,IF(F47=MAX(F47,J47,N47,R47),"gpt-5.6-luna",""),IF(J47=MAX(F47,J47,N47,R47),"gpt-6-luna",""),IF(N47=MAX(F47,J47,N47,R47),"gpt-6-astra",""),IF(R47=MAX(F47,J47,N47,R47),"gpt-6.1-sol",""))))</f>
        <v/>
      </c>
      <c r="V47" s="2">
        <f>IF(MAX(F47,J47,N47,R47)&lt;&gt;MIN(F47,J47,N47,R47),"differ",IF(F47=$D47,"all_pass",IF(F47=0,"all_zero","same_partial")))</f>
        <v/>
      </c>
      <c r="W47" s="3" t="inlineStr">
        <is>
          <t>Over-specific test: it calls the answer's get_qiskit_gate()</t>
        </is>
      </c>
    </row>
    <row r="48">
      <c r="A48" s="2" t="n">
        <v>5</v>
      </c>
      <c r="B48" s="2" t="inlineStr">
        <is>
          <t>issue_773</t>
        </is>
      </c>
      <c r="C48" s="2" t="inlineStr">
        <is>
          <t>Two job_monitor imports</t>
        </is>
      </c>
      <c r="D48" s="2">
        <f>COUNTIF('gpt-5.6-luna'!$B48:$AB48,"Passed on test")+COUNTIF('gpt-5.6-luna'!$B48:$AB48,"Failed on test")+COUNTIF('gpt-5.6-luna'!$B48:$AB48,"Runtime error")</f>
        <v/>
      </c>
      <c r="E48" s="2">
        <f>IF(F48=$D48,"Passed on test",IF(H48&gt;0,"Runtime error","Failed on test"))</f>
        <v/>
      </c>
      <c r="F48" s="2">
        <f>COUNTIF('gpt-5.6-luna'!$B48:$AB48,"Passed on test")</f>
        <v/>
      </c>
      <c r="G48" s="2">
        <f>COUNTIF('gpt-5.6-luna'!$B48:$AB48,"Failed on test")</f>
        <v/>
      </c>
      <c r="H48" s="2">
        <f>COUNTIF('gpt-5.6-luna'!$B48:$AB48,"Runtime error")</f>
        <v/>
      </c>
      <c r="I48" s="2">
        <f>IF(J48=$D48,"Passed on test",IF(L48&gt;0,"Runtime error","Failed on test"))</f>
        <v/>
      </c>
      <c r="J48" s="2">
        <f>COUNTIF('gpt-6-luna'!$B48:$AB48,"Passed on test")</f>
        <v/>
      </c>
      <c r="K48" s="2">
        <f>COUNTIF('gpt-6-luna'!$B48:$AB48,"Failed on test")</f>
        <v/>
      </c>
      <c r="L48" s="2">
        <f>COUNTIF('gpt-6-luna'!$B48:$AB48,"Runtime error")</f>
        <v/>
      </c>
      <c r="M48" s="2">
        <f>IF(N48=$D48,"Passed on test",IF(P48&gt;0,"Runtime error","Failed on test"))</f>
        <v/>
      </c>
      <c r="N48" s="2">
        <f>COUNTIF('gpt-6-astra'!$B48:$AB48,"Passed on test")</f>
        <v/>
      </c>
      <c r="O48" s="2">
        <f>COUNTIF('gpt-6-astra'!$B48:$AB48,"Failed on test")</f>
        <v/>
      </c>
      <c r="P48" s="2">
        <f>COUNTIF('gpt-6-astra'!$B48:$AB48,"Runtime error")</f>
        <v/>
      </c>
      <c r="Q48" s="2">
        <f>IF(R48=$D48,"Passed on test",IF(T48&gt;0,"Runtime error","Failed on test"))</f>
        <v/>
      </c>
      <c r="R48" s="2">
        <f>COUNTIF('gpt-6.1-sol'!$B48:$AB48,"Passed on test")</f>
        <v/>
      </c>
      <c r="S48" s="2">
        <f>COUNTIF('gpt-6.1-sol'!$B48:$AB48,"Failed on test")</f>
        <v/>
      </c>
      <c r="T48" s="2">
        <f>COUNTIF('gpt-6.1-sol'!$B48:$AB48,"Runtime error")</f>
        <v/>
      </c>
      <c r="U48" s="2">
        <f>IF(MAX(F48,J48,N48,R48)=0,"None",IF(MIN(F48,J48,N48,R48)=MAX(F48,J48,N48,R48),"All four",_xlfn.TEXTJOIN(", ",TRUE,IF(F48=MAX(F48,J48,N48,R48),"gpt-5.6-luna",""),IF(J48=MAX(F48,J48,N48,R48),"gpt-6-luna",""),IF(N48=MAX(F48,J48,N48,R48),"gpt-6-astra",""),IF(R48=MAX(F48,J48,N48,R48),"gpt-6.1-sol",""))))</f>
        <v/>
      </c>
      <c r="V48" s="2">
        <f>IF(MAX(F48,J48,N48,R48)&lt;&gt;MIN(F48,J48,N48,R48),"differ",IF(F48=$D48,"all_pass",IF(F48=0,"all_zero","same_partial")))</f>
        <v/>
      </c>
      <c r="W48" s="3" t="inlineStr">
        <is>
          <t>All four pass (Removed the shadowing IBMQ import)</t>
        </is>
      </c>
    </row>
    <row r="49">
      <c r="A49" s="2" t="n">
        <v>5</v>
      </c>
      <c r="B49" s="2" t="inlineStr">
        <is>
          <t>issue_775</t>
        </is>
      </c>
      <c r="C49" s="2" t="inlineStr">
        <is>
          <t>Running OpenQASM 2.0 in Qiskit</t>
        </is>
      </c>
      <c r="D49" s="2">
        <f>COUNTIF('gpt-5.6-luna'!$B49:$AB49,"Passed on test")+COUNTIF('gpt-5.6-luna'!$B49:$AB49,"Failed on test")+COUNTIF('gpt-5.6-luna'!$B49:$AB49,"Runtime error")</f>
        <v/>
      </c>
      <c r="E49" s="2">
        <f>IF(F49=$D49,"Passed on test",IF(H49&gt;0,"Runtime error","Failed on test"))</f>
        <v/>
      </c>
      <c r="F49" s="2">
        <f>COUNTIF('gpt-5.6-luna'!$B49:$AB49,"Passed on test")</f>
        <v/>
      </c>
      <c r="G49" s="2">
        <f>COUNTIF('gpt-5.6-luna'!$B49:$AB49,"Failed on test")</f>
        <v/>
      </c>
      <c r="H49" s="2">
        <f>COUNTIF('gpt-5.6-luna'!$B49:$AB49,"Runtime error")</f>
        <v/>
      </c>
      <c r="I49" s="2">
        <f>IF(J49=$D49,"Passed on test",IF(L49&gt;0,"Runtime error","Failed on test"))</f>
        <v/>
      </c>
      <c r="J49" s="2">
        <f>COUNTIF('gpt-6-luna'!$B49:$AB49,"Passed on test")</f>
        <v/>
      </c>
      <c r="K49" s="2">
        <f>COUNTIF('gpt-6-luna'!$B49:$AB49,"Failed on test")</f>
        <v/>
      </c>
      <c r="L49" s="2">
        <f>COUNTIF('gpt-6-luna'!$B49:$AB49,"Runtime error")</f>
        <v/>
      </c>
      <c r="M49" s="2">
        <f>IF(N49=$D49,"Passed on test",IF(P49&gt;0,"Runtime error","Failed on test"))</f>
        <v/>
      </c>
      <c r="N49" s="2">
        <f>COUNTIF('gpt-6-astra'!$B49:$AB49,"Passed on test")</f>
        <v/>
      </c>
      <c r="O49" s="2">
        <f>COUNTIF('gpt-6-astra'!$B49:$AB49,"Failed on test")</f>
        <v/>
      </c>
      <c r="P49" s="2">
        <f>COUNTIF('gpt-6-astra'!$B49:$AB49,"Runtime error")</f>
        <v/>
      </c>
      <c r="Q49" s="2">
        <f>IF(R49=$D49,"Passed on test",IF(T49&gt;0,"Runtime error","Failed on test"))</f>
        <v/>
      </c>
      <c r="R49" s="2">
        <f>COUNTIF('gpt-6.1-sol'!$B49:$AB49,"Passed on test")</f>
        <v/>
      </c>
      <c r="S49" s="2">
        <f>COUNTIF('gpt-6.1-sol'!$B49:$AB49,"Failed on test")</f>
        <v/>
      </c>
      <c r="T49" s="2">
        <f>COUNTIF('gpt-6.1-sol'!$B49:$AB49,"Runtime error")</f>
        <v/>
      </c>
      <c r="U49" s="2">
        <f>IF(MAX(F49,J49,N49,R49)=0,"None",IF(MIN(F49,J49,N49,R49)=MAX(F49,J49,N49,R49),"All four",_xlfn.TEXTJOIN(", ",TRUE,IF(F49=MAX(F49,J49,N49,R49),"gpt-5.6-luna",""),IF(J49=MAX(F49,J49,N49,R49),"gpt-6-luna",""),IF(N49=MAX(F49,J49,N49,R49),"gpt-6-astra",""),IF(R49=MAX(F49,J49,N49,R49),"gpt-6.1-sol",""))))</f>
        <v/>
      </c>
      <c r="V49" s="2">
        <f>IF(MAX(F49,J49,N49,R49)&lt;&gt;MIN(F49,J49,N49,R49),"differ",IF(F49=$D49,"all_pass",IF(F49=0,"all_zero","same_partial")))</f>
        <v/>
      </c>
      <c r="W49" s="3" t="inlineStr">
        <is>
          <t>Rescored 19 Oct 2026 on Nick's main test. gpt-5.6-luna 0 pass / 0 fail / 12 error; gpt-6-luna 0 pass / 0 fail / 12 error; gpt-6-astra 0 pass / 0 fail / 12 error; gpt-6.1-sol 0 pass / 0 fail / 12 error.</t>
        </is>
      </c>
    </row>
    <row r="50">
      <c r="A50" s="2" t="n">
        <v>5</v>
      </c>
      <c r="B50" s="2" t="inlineStr">
        <is>
          <t>issue_795</t>
        </is>
      </c>
      <c r="C50" s="2" t="inlineStr">
        <is>
          <t>to_gate() with an opflow expression</t>
        </is>
      </c>
      <c r="D50" s="2">
        <f>COUNTIF('gpt-5.6-luna'!$B50:$AB50,"Passed on test")+COUNTIF('gpt-5.6-luna'!$B50:$AB50,"Failed on test")+COUNTIF('gpt-5.6-luna'!$B50:$AB50,"Runtime error")</f>
        <v/>
      </c>
      <c r="E50" s="2">
        <f>IF(F50=$D50,"Passed on test",IF(H50&gt;0,"Runtime error","Failed on test"))</f>
        <v/>
      </c>
      <c r="F50" s="2">
        <f>COUNTIF('gpt-5.6-luna'!$B50:$AB50,"Passed on test")</f>
        <v/>
      </c>
      <c r="G50" s="2">
        <f>COUNTIF('gpt-5.6-luna'!$B50:$AB50,"Failed on test")</f>
        <v/>
      </c>
      <c r="H50" s="2">
        <f>COUNTIF('gpt-5.6-luna'!$B50:$AB50,"Runtime error")</f>
        <v/>
      </c>
      <c r="I50" s="2">
        <f>IF(J50=$D50,"Passed on test",IF(L50&gt;0,"Runtime error","Failed on test"))</f>
        <v/>
      </c>
      <c r="J50" s="2">
        <f>COUNTIF('gpt-6-luna'!$B50:$AB50,"Passed on test")</f>
        <v/>
      </c>
      <c r="K50" s="2">
        <f>COUNTIF('gpt-6-luna'!$B50:$AB50,"Failed on test")</f>
        <v/>
      </c>
      <c r="L50" s="2">
        <f>COUNTIF('gpt-6-luna'!$B50:$AB50,"Runtime error")</f>
        <v/>
      </c>
      <c r="M50" s="2">
        <f>IF(N50=$D50,"Passed on test",IF(P50&gt;0,"Runtime error","Failed on test"))</f>
        <v/>
      </c>
      <c r="N50" s="2">
        <f>COUNTIF('gpt-6-astra'!$B50:$AB50,"Passed on test")</f>
        <v/>
      </c>
      <c r="O50" s="2">
        <f>COUNTIF('gpt-6-astra'!$B50:$AB50,"Failed on test")</f>
        <v/>
      </c>
      <c r="P50" s="2">
        <f>COUNTIF('gpt-6-astra'!$B50:$AB50,"Runtime error")</f>
        <v/>
      </c>
      <c r="Q50" s="2">
        <f>IF(R50=$D50,"Passed on test",IF(T50&gt;0,"Runtime error","Failed on test"))</f>
        <v/>
      </c>
      <c r="R50" s="2">
        <f>COUNTIF('gpt-6.1-sol'!$B50:$AB50,"Passed on test")</f>
        <v/>
      </c>
      <c r="S50" s="2">
        <f>COUNTIF('gpt-6.1-sol'!$B50:$AB50,"Failed on test")</f>
        <v/>
      </c>
      <c r="T50" s="2">
        <f>COUNTIF('gpt-6.1-sol'!$B50:$AB50,"Runtime error")</f>
        <v/>
      </c>
      <c r="U50" s="2">
        <f>IF(MAX(F50,J50,N50,R50)=0,"None",IF(MIN(F50,J50,N50,R50)=MAX(F50,J50,N50,R50),"All four",_xlfn.TEXTJOIN(", ",TRUE,IF(F50=MAX(F50,J50,N50,R50),"gpt-5.6-luna",""),IF(J50=MAX(F50,J50,N50,R50),"gpt-6-luna",""),IF(N50=MAX(F50,J50,N50,R50),"gpt-6-astra",""),IF(R50=MAX(F50,J50,N50,R50),"gpt-6.1-sol",""))))</f>
        <v/>
      </c>
      <c r="V50" s="2">
        <f>IF(MAX(F50,J50,N50,R50)&lt;&gt;MIN(F50,J50,N50,R50),"differ",IF(F50=$D50,"all_pass",IF(F50=0,"all_zero","same_partial")))</f>
        <v/>
      </c>
      <c r="W50" s="3" t="inlineStr">
        <is>
          <t>All four pass (Appends the operator's matrix with unitary())</t>
        </is>
      </c>
    </row>
    <row r="51">
      <c r="A51" s="2" t="n">
        <v>6</v>
      </c>
      <c r="B51" s="2" t="inlineStr">
        <is>
          <t>issue_803</t>
        </is>
      </c>
      <c r="C51" s="2" t="inlineStr">
        <is>
          <t>get_counts() for several circuits</t>
        </is>
      </c>
      <c r="D51" s="2">
        <f>COUNTIF('gpt-5.6-luna'!$B51:$AB51,"Passed on test")+COUNTIF('gpt-5.6-luna'!$B51:$AB51,"Failed on test")+COUNTIF('gpt-5.6-luna'!$B51:$AB51,"Runtime error")</f>
        <v/>
      </c>
      <c r="E51" s="2">
        <f>IF(F51=$D51,"Passed on test",IF(H51&gt;0,"Runtime error","Failed on test"))</f>
        <v/>
      </c>
      <c r="F51" s="2">
        <f>COUNTIF('gpt-5.6-luna'!$B51:$AB51,"Passed on test")</f>
        <v/>
      </c>
      <c r="G51" s="2">
        <f>COUNTIF('gpt-5.6-luna'!$B51:$AB51,"Failed on test")</f>
        <v/>
      </c>
      <c r="H51" s="2">
        <f>COUNTIF('gpt-5.6-luna'!$B51:$AB51,"Runtime error")</f>
        <v/>
      </c>
      <c r="I51" s="2">
        <f>IF(J51=$D51,"Passed on test",IF(L51&gt;0,"Runtime error","Failed on test"))</f>
        <v/>
      </c>
      <c r="J51" s="2">
        <f>COUNTIF('gpt-6-luna'!$B51:$AB51,"Passed on test")</f>
        <v/>
      </c>
      <c r="K51" s="2">
        <f>COUNTIF('gpt-6-luna'!$B51:$AB51,"Failed on test")</f>
        <v/>
      </c>
      <c r="L51" s="2">
        <f>COUNTIF('gpt-6-luna'!$B51:$AB51,"Runtime error")</f>
        <v/>
      </c>
      <c r="M51" s="2">
        <f>IF(N51=$D51,"Passed on test",IF(P51&gt;0,"Runtime error","Failed on test"))</f>
        <v/>
      </c>
      <c r="N51" s="2">
        <f>COUNTIF('gpt-6-astra'!$B51:$AB51,"Passed on test")</f>
        <v/>
      </c>
      <c r="O51" s="2">
        <f>COUNTIF('gpt-6-astra'!$B51:$AB51,"Failed on test")</f>
        <v/>
      </c>
      <c r="P51" s="2">
        <f>COUNTIF('gpt-6-astra'!$B51:$AB51,"Runtime error")</f>
        <v/>
      </c>
      <c r="Q51" s="2">
        <f>IF(R51=$D51,"Passed on test",IF(T51&gt;0,"Runtime error","Failed on test"))</f>
        <v/>
      </c>
      <c r="R51" s="2">
        <f>COUNTIF('gpt-6.1-sol'!$B51:$AB51,"Passed on test")</f>
        <v/>
      </c>
      <c r="S51" s="2">
        <f>COUNTIF('gpt-6.1-sol'!$B51:$AB51,"Failed on test")</f>
        <v/>
      </c>
      <c r="T51" s="2">
        <f>COUNTIF('gpt-6.1-sol'!$B51:$AB51,"Runtime error")</f>
        <v/>
      </c>
      <c r="U51" s="2">
        <f>IF(MAX(F51,J51,N51,R51)=0,"None",IF(MIN(F51,J51,N51,R51)=MAX(F51,J51,N51,R51),"All four",_xlfn.TEXTJOIN(", ",TRUE,IF(F51=MAX(F51,J51,N51,R51),"gpt-5.6-luna",""),IF(J51=MAX(F51,J51,N51,R51),"gpt-6-luna",""),IF(N51=MAX(F51,J51,N51,R51),"gpt-6-astra",""),IF(R51=MAX(F51,J51,N51,R51),"gpt-6.1-sol",""))))</f>
        <v/>
      </c>
      <c r="V51" s="2">
        <f>IF(MAX(F51,J51,N51,R51)&lt;&gt;MIN(F51,J51,N51,R51),"differ",IF(F51=$D51,"all_pass",IF(F51=0,"all_zero","same_partial")))</f>
        <v/>
      </c>
      <c r="W51" s="3" t="inlineStr">
        <is>
          <t>All turn the counts into value lists and lose the outcome keys</t>
        </is>
      </c>
    </row>
    <row r="52">
      <c r="A52" s="2" t="n">
        <v>6</v>
      </c>
      <c r="B52" s="2" t="inlineStr">
        <is>
          <t>issue_810</t>
        </is>
      </c>
      <c r="C52" s="2" t="inlineStr">
        <is>
          <t>Raw data from a job</t>
        </is>
      </c>
      <c r="D52" s="2">
        <f>COUNTIF('gpt-5.6-luna'!$B52:$AB52,"Passed on test")+COUNTIF('gpt-5.6-luna'!$B52:$AB52,"Failed on test")+COUNTIF('gpt-5.6-luna'!$B52:$AB52,"Runtime error")</f>
        <v/>
      </c>
      <c r="E52" s="2">
        <f>IF(F52=$D52,"Passed on test",IF(H52&gt;0,"Runtime error","Failed on test"))</f>
        <v/>
      </c>
      <c r="F52" s="2">
        <f>COUNTIF('gpt-5.6-luna'!$B52:$AB52,"Passed on test")</f>
        <v/>
      </c>
      <c r="G52" s="2">
        <f>COUNTIF('gpt-5.6-luna'!$B52:$AB52,"Failed on test")</f>
        <v/>
      </c>
      <c r="H52" s="2">
        <f>COUNTIF('gpt-5.6-luna'!$B52:$AB52,"Runtime error")</f>
        <v/>
      </c>
      <c r="I52" s="2">
        <f>IF(J52=$D52,"Passed on test",IF(L52&gt;0,"Runtime error","Failed on test"))</f>
        <v/>
      </c>
      <c r="J52" s="2">
        <f>COUNTIF('gpt-6-luna'!$B52:$AB52,"Passed on test")</f>
        <v/>
      </c>
      <c r="K52" s="2">
        <f>COUNTIF('gpt-6-luna'!$B52:$AB52,"Failed on test")</f>
        <v/>
      </c>
      <c r="L52" s="2">
        <f>COUNTIF('gpt-6-luna'!$B52:$AB52,"Runtime error")</f>
        <v/>
      </c>
      <c r="M52" s="2">
        <f>IF(N52=$D52,"Passed on test",IF(P52&gt;0,"Runtime error","Failed on test"))</f>
        <v/>
      </c>
      <c r="N52" s="2">
        <f>COUNTIF('gpt-6-astra'!$B52:$AB52,"Passed on test")</f>
        <v/>
      </c>
      <c r="O52" s="2">
        <f>COUNTIF('gpt-6-astra'!$B52:$AB52,"Failed on test")</f>
        <v/>
      </c>
      <c r="P52" s="2">
        <f>COUNTIF('gpt-6-astra'!$B52:$AB52,"Runtime error")</f>
        <v/>
      </c>
      <c r="Q52" s="2">
        <f>IF(R52=$D52,"Passed on test",IF(T52&gt;0,"Runtime error","Failed on test"))</f>
        <v/>
      </c>
      <c r="R52" s="2">
        <f>COUNTIF('gpt-6.1-sol'!$B52:$AB52,"Passed on test")</f>
        <v/>
      </c>
      <c r="S52" s="2">
        <f>COUNTIF('gpt-6.1-sol'!$B52:$AB52,"Failed on test")</f>
        <v/>
      </c>
      <c r="T52" s="2">
        <f>COUNTIF('gpt-6.1-sol'!$B52:$AB52,"Runtime error")</f>
        <v/>
      </c>
      <c r="U52" s="2">
        <f>IF(MAX(F52,J52,N52,R52)=0,"None",IF(MIN(F52,J52,N52,R52)=MAX(F52,J52,N52,R52),"All four",_xlfn.TEXTJOIN(", ",TRUE,IF(F52=MAX(F52,J52,N52,R52),"gpt-5.6-luna",""),IF(J52=MAX(F52,J52,N52,R52),"gpt-6-luna",""),IF(N52=MAX(F52,J52,N52,R52),"gpt-6-astra",""),IF(R52=MAX(F52,J52,N52,R52),"gpt-6.1-sol",""))))</f>
        <v/>
      </c>
      <c r="V52" s="2">
        <f>IF(MAX(F52,J52,N52,R52)&lt;&gt;MIN(F52,J52,N52,R52),"differ",IF(F52=$D52,"all_pass",IF(F52=0,"all_zero","same_partial")))</f>
        <v/>
      </c>
      <c r="W52" s="3" t="inlineStr">
        <is>
          <t>Rescored 19 Oct 2026 on Nick's main test. gpt-5.6-luna 0 pass / 2 fail / 0 error; gpt-6-luna 0 pass / 2 fail / 0 error; gpt-6-astra 0 pass / 2 fail / 0 error; gpt-6.1-sol 0 pass / 2 fail / 0 error.</t>
        </is>
      </c>
    </row>
    <row r="53">
      <c r="A53" s="2" t="n">
        <v>6</v>
      </c>
      <c r="B53" s="2" t="inlineStr">
        <is>
          <t>issue_816</t>
        </is>
      </c>
      <c r="C53" s="2" t="inlineStr">
        <is>
          <t>AerSimulator(memory=True)</t>
        </is>
      </c>
      <c r="D53" s="2">
        <f>COUNTIF('gpt-5.6-luna'!$B53:$AB53,"Passed on test")+COUNTIF('gpt-5.6-luna'!$B53:$AB53,"Failed on test")+COUNTIF('gpt-5.6-luna'!$B53:$AB53,"Runtime error")</f>
        <v/>
      </c>
      <c r="E53" s="2">
        <f>IF(F53=$D53,"Passed on test",IF(H53&gt;0,"Runtime error","Failed on test"))</f>
        <v/>
      </c>
      <c r="F53" s="2">
        <f>COUNTIF('gpt-5.6-luna'!$B53:$AB53,"Passed on test")</f>
        <v/>
      </c>
      <c r="G53" s="2">
        <f>COUNTIF('gpt-5.6-luna'!$B53:$AB53,"Failed on test")</f>
        <v/>
      </c>
      <c r="H53" s="2">
        <f>COUNTIF('gpt-5.6-luna'!$B53:$AB53,"Runtime error")</f>
        <v/>
      </c>
      <c r="I53" s="2">
        <f>IF(J53=$D53,"Passed on test",IF(L53&gt;0,"Runtime error","Failed on test"))</f>
        <v/>
      </c>
      <c r="J53" s="2">
        <f>COUNTIF('gpt-6-luna'!$B53:$AB53,"Passed on test")</f>
        <v/>
      </c>
      <c r="K53" s="2">
        <f>COUNTIF('gpt-6-luna'!$B53:$AB53,"Failed on test")</f>
        <v/>
      </c>
      <c r="L53" s="2">
        <f>COUNTIF('gpt-6-luna'!$B53:$AB53,"Runtime error")</f>
        <v/>
      </c>
      <c r="M53" s="2">
        <f>IF(N53=$D53,"Passed on test",IF(P53&gt;0,"Runtime error","Failed on test"))</f>
        <v/>
      </c>
      <c r="N53" s="2">
        <f>COUNTIF('gpt-6-astra'!$B53:$AB53,"Passed on test")</f>
        <v/>
      </c>
      <c r="O53" s="2">
        <f>COUNTIF('gpt-6-astra'!$B53:$AB53,"Failed on test")</f>
        <v/>
      </c>
      <c r="P53" s="2">
        <f>COUNTIF('gpt-6-astra'!$B53:$AB53,"Runtime error")</f>
        <v/>
      </c>
      <c r="Q53" s="2">
        <f>IF(R53=$D53,"Passed on test",IF(T53&gt;0,"Runtime error","Failed on test"))</f>
        <v/>
      </c>
      <c r="R53" s="2">
        <f>COUNTIF('gpt-6.1-sol'!$B53:$AB53,"Passed on test")</f>
        <v/>
      </c>
      <c r="S53" s="2">
        <f>COUNTIF('gpt-6.1-sol'!$B53:$AB53,"Failed on test")</f>
        <v/>
      </c>
      <c r="T53" s="2">
        <f>COUNTIF('gpt-6.1-sol'!$B53:$AB53,"Runtime error")</f>
        <v/>
      </c>
      <c r="U53" s="2">
        <f>IF(MAX(F53,J53,N53,R53)=0,"None",IF(MIN(F53,J53,N53,R53)=MAX(F53,J53,N53,R53),"All four",_xlfn.TEXTJOIN(", ",TRUE,IF(F53=MAX(F53,J53,N53,R53),"gpt-5.6-luna",""),IF(J53=MAX(F53,J53,N53,R53),"gpt-6-luna",""),IF(N53=MAX(F53,J53,N53,R53),"gpt-6-astra",""),IF(R53=MAX(F53,J53,N53,R53),"gpt-6.1-sol",""))))</f>
        <v/>
      </c>
      <c r="V53" s="2">
        <f>IF(MAX(F53,J53,N53,R53)&lt;&gt;MIN(F53,J53,N53,R53),"differ",IF(F53=$D53,"all_pass",IF(F53=0,"all_zero","same_partial")))</f>
        <v/>
      </c>
      <c r="W53" s="3" t="inlineStr">
        <is>
          <t>All four pass (memory=True)</t>
        </is>
      </c>
    </row>
    <row r="54">
      <c r="A54" s="2" t="n">
        <v>6</v>
      </c>
      <c r="B54" s="2" t="inlineStr">
        <is>
          <t>issue_876</t>
        </is>
      </c>
      <c r="C54" s="2" t="inlineStr">
        <is>
          <t>Noisy QFT fidelity with a real backend</t>
        </is>
      </c>
      <c r="D54" s="2">
        <f>COUNTIF('gpt-5.6-luna'!$B54:$AB54,"Passed on test")+COUNTIF('gpt-5.6-luna'!$B54:$AB54,"Failed on test")+COUNTIF('gpt-5.6-luna'!$B54:$AB54,"Runtime error")</f>
        <v/>
      </c>
      <c r="E54" s="2">
        <f>IF(F54=$D54,"Passed on test",IF(H54&gt;0,"Runtime error","Failed on test"))</f>
        <v/>
      </c>
      <c r="F54" s="2">
        <f>COUNTIF('gpt-5.6-luna'!$B54:$AB54,"Passed on test")</f>
        <v/>
      </c>
      <c r="G54" s="2">
        <f>COUNTIF('gpt-5.6-luna'!$B54:$AB54,"Failed on test")</f>
        <v/>
      </c>
      <c r="H54" s="2">
        <f>COUNTIF('gpt-5.6-luna'!$B54:$AB54,"Runtime error")</f>
        <v/>
      </c>
      <c r="I54" s="2">
        <f>IF(J54=$D54,"Passed on test",IF(L54&gt;0,"Runtime error","Failed on test"))</f>
        <v/>
      </c>
      <c r="J54" s="2">
        <f>COUNTIF('gpt-6-luna'!$B54:$AB54,"Passed on test")</f>
        <v/>
      </c>
      <c r="K54" s="2">
        <f>COUNTIF('gpt-6-luna'!$B54:$AB54,"Failed on test")</f>
        <v/>
      </c>
      <c r="L54" s="2">
        <f>COUNTIF('gpt-6-luna'!$B54:$AB54,"Runtime error")</f>
        <v/>
      </c>
      <c r="M54" s="2">
        <f>IF(N54=$D54,"Passed on test",IF(P54&gt;0,"Runtime error","Failed on test"))</f>
        <v/>
      </c>
      <c r="N54" s="2">
        <f>COUNTIF('gpt-6-astra'!$B54:$AB54,"Passed on test")</f>
        <v/>
      </c>
      <c r="O54" s="2">
        <f>COUNTIF('gpt-6-astra'!$B54:$AB54,"Failed on test")</f>
        <v/>
      </c>
      <c r="P54" s="2">
        <f>COUNTIF('gpt-6-astra'!$B54:$AB54,"Runtime error")</f>
        <v/>
      </c>
      <c r="Q54" s="2">
        <f>IF(R54=$D54,"Passed on test",IF(T54&gt;0,"Runtime error","Failed on test"))</f>
        <v/>
      </c>
      <c r="R54" s="2">
        <f>COUNTIF('gpt-6.1-sol'!$B54:$AB54,"Passed on test")</f>
        <v/>
      </c>
      <c r="S54" s="2">
        <f>COUNTIF('gpt-6.1-sol'!$B54:$AB54,"Failed on test")</f>
        <v/>
      </c>
      <c r="T54" s="2">
        <f>COUNTIF('gpt-6.1-sol'!$B54:$AB54,"Runtime error")</f>
        <v/>
      </c>
      <c r="U54" s="2">
        <f>IF(MAX(F54,J54,N54,R54)=0,"None",IF(MIN(F54,J54,N54,R54)=MAX(F54,J54,N54,R54),"All four",_xlfn.TEXTJOIN(", ",TRUE,IF(F54=MAX(F54,J54,N54,R54),"gpt-5.6-luna",""),IF(J54=MAX(F54,J54,N54,R54),"gpt-6-luna",""),IF(N54=MAX(F54,J54,N54,R54),"gpt-6-astra",""),IF(R54=MAX(F54,J54,N54,R54),"gpt-6.1-sol",""))))</f>
        <v/>
      </c>
      <c r="V54" s="2">
        <f>IF(MAX(F54,J54,N54,R54)&lt;&gt;MIN(F54,J54,N54,R54),"differ",IF(F54=$D54,"all_pass",IF(F54=0,"all_zero","same_partial")))</f>
        <v/>
      </c>
      <c r="W54" s="3" t="inlineStr">
        <is>
          <t>Over-specific test: it reads the reference's variable rho_real</t>
        </is>
      </c>
    </row>
    <row r="55">
      <c r="A55" s="2" t="n">
        <v>6</v>
      </c>
      <c r="B55" s="2" t="inlineStr">
        <is>
          <t>issue_877</t>
        </is>
      </c>
      <c r="C55" s="2" t="inlineStr">
        <is>
          <t>Noise model without device access</t>
        </is>
      </c>
      <c r="D55" s="2">
        <f>COUNTIF('gpt-5.6-luna'!$B55:$AB55,"Passed on test")+COUNTIF('gpt-5.6-luna'!$B55:$AB55,"Failed on test")+COUNTIF('gpt-5.6-luna'!$B55:$AB55,"Runtime error")</f>
        <v/>
      </c>
      <c r="E55" s="2">
        <f>IF(F55=$D55,"Passed on test",IF(H55&gt;0,"Runtime error","Failed on test"))</f>
        <v/>
      </c>
      <c r="F55" s="2">
        <f>COUNTIF('gpt-5.6-luna'!$B55:$AB55,"Passed on test")</f>
        <v/>
      </c>
      <c r="G55" s="2">
        <f>COUNTIF('gpt-5.6-luna'!$B55:$AB55,"Failed on test")</f>
        <v/>
      </c>
      <c r="H55" s="2">
        <f>COUNTIF('gpt-5.6-luna'!$B55:$AB55,"Runtime error")</f>
        <v/>
      </c>
      <c r="I55" s="2">
        <f>IF(J55=$D55,"Passed on test",IF(L55&gt;0,"Runtime error","Failed on test"))</f>
        <v/>
      </c>
      <c r="J55" s="2">
        <f>COUNTIF('gpt-6-luna'!$B55:$AB55,"Passed on test")</f>
        <v/>
      </c>
      <c r="K55" s="2">
        <f>COUNTIF('gpt-6-luna'!$B55:$AB55,"Failed on test")</f>
        <v/>
      </c>
      <c r="L55" s="2">
        <f>COUNTIF('gpt-6-luna'!$B55:$AB55,"Runtime error")</f>
        <v/>
      </c>
      <c r="M55" s="2">
        <f>IF(N55=$D55,"Passed on test",IF(P55&gt;0,"Runtime error","Failed on test"))</f>
        <v/>
      </c>
      <c r="N55" s="2">
        <f>COUNTIF('gpt-6-astra'!$B55:$AB55,"Passed on test")</f>
        <v/>
      </c>
      <c r="O55" s="2">
        <f>COUNTIF('gpt-6-astra'!$B55:$AB55,"Failed on test")</f>
        <v/>
      </c>
      <c r="P55" s="2">
        <f>COUNTIF('gpt-6-astra'!$B55:$AB55,"Runtime error")</f>
        <v/>
      </c>
      <c r="Q55" s="2">
        <f>IF(R55=$D55,"Passed on test",IF(T55&gt;0,"Runtime error","Failed on test"))</f>
        <v/>
      </c>
      <c r="R55" s="2">
        <f>COUNTIF('gpt-6.1-sol'!$B55:$AB55,"Passed on test")</f>
        <v/>
      </c>
      <c r="S55" s="2">
        <f>COUNTIF('gpt-6.1-sol'!$B55:$AB55,"Failed on test")</f>
        <v/>
      </c>
      <c r="T55" s="2">
        <f>COUNTIF('gpt-6.1-sol'!$B55:$AB55,"Runtime error")</f>
        <v/>
      </c>
      <c r="U55" s="2">
        <f>IF(MAX(F55,J55,N55,R55)=0,"None",IF(MIN(F55,J55,N55,R55)=MAX(F55,J55,N55,R55),"All four",_xlfn.TEXTJOIN(", ",TRUE,IF(F55=MAX(F55,J55,N55,R55),"gpt-5.6-luna",""),IF(J55=MAX(F55,J55,N55,R55),"gpt-6-luna",""),IF(N55=MAX(F55,J55,N55,R55),"gpt-6-astra",""),IF(R55=MAX(F55,J55,N55,R55),"gpt-6.1-sol",""))))</f>
        <v/>
      </c>
      <c r="V55" s="2">
        <f>IF(MAX(F55,J55,N55,R55)&lt;&gt;MIN(F55,J55,N55,R55),"differ",IF(F55=$D55,"all_pass",IF(F55=0,"all_zero","same_partial")))</f>
        <v/>
      </c>
      <c r="W55" s="3" t="inlineStr">
        <is>
          <t>gpt-6-luna's 27-qubit FakeMontreal passes; gpt-6.1-sol's 127-qubit FakeWashington fails the test's 27-qubit check, gpt-6-astra imports qiskit_ibm_runtime (not installed), gpt-5.6-luna uses an empty NoiseModel()</t>
        </is>
      </c>
    </row>
    <row r="56">
      <c r="A56" s="2" t="n">
        <v>6</v>
      </c>
      <c r="B56" s="2" t="inlineStr">
        <is>
          <t>issue_886</t>
        </is>
      </c>
      <c r="C56" s="2" t="inlineStr">
        <is>
          <t>crx unknown to Aer</t>
        </is>
      </c>
      <c r="D56" s="2">
        <f>COUNTIF('gpt-5.6-luna'!$B56:$AB56,"Passed on test")+COUNTIF('gpt-5.6-luna'!$B56:$AB56,"Failed on test")+COUNTIF('gpt-5.6-luna'!$B56:$AB56,"Runtime error")</f>
        <v/>
      </c>
      <c r="E56" s="2">
        <f>IF(F56=$D56,"Passed on test",IF(H56&gt;0,"Runtime error","Failed on test"))</f>
        <v/>
      </c>
      <c r="F56" s="2">
        <f>COUNTIF('gpt-5.6-luna'!$B56:$AB56,"Passed on test")</f>
        <v/>
      </c>
      <c r="G56" s="2">
        <f>COUNTIF('gpt-5.6-luna'!$B56:$AB56,"Failed on test")</f>
        <v/>
      </c>
      <c r="H56" s="2">
        <f>COUNTIF('gpt-5.6-luna'!$B56:$AB56,"Runtime error")</f>
        <v/>
      </c>
      <c r="I56" s="2">
        <f>IF(J56=$D56,"Passed on test",IF(L56&gt;0,"Runtime error","Failed on test"))</f>
        <v/>
      </c>
      <c r="J56" s="2">
        <f>COUNTIF('gpt-6-luna'!$B56:$AB56,"Passed on test")</f>
        <v/>
      </c>
      <c r="K56" s="2">
        <f>COUNTIF('gpt-6-luna'!$B56:$AB56,"Failed on test")</f>
        <v/>
      </c>
      <c r="L56" s="2">
        <f>COUNTIF('gpt-6-luna'!$B56:$AB56,"Runtime error")</f>
        <v/>
      </c>
      <c r="M56" s="2">
        <f>IF(N56=$D56,"Passed on test",IF(P56&gt;0,"Runtime error","Failed on test"))</f>
        <v/>
      </c>
      <c r="N56" s="2">
        <f>COUNTIF('gpt-6-astra'!$B56:$AB56,"Passed on test")</f>
        <v/>
      </c>
      <c r="O56" s="2">
        <f>COUNTIF('gpt-6-astra'!$B56:$AB56,"Failed on test")</f>
        <v/>
      </c>
      <c r="P56" s="2">
        <f>COUNTIF('gpt-6-astra'!$B56:$AB56,"Runtime error")</f>
        <v/>
      </c>
      <c r="Q56" s="2">
        <f>IF(R56=$D56,"Passed on test",IF(T56&gt;0,"Runtime error","Failed on test"))</f>
        <v/>
      </c>
      <c r="R56" s="2">
        <f>COUNTIF('gpt-6.1-sol'!$B56:$AB56,"Passed on test")</f>
        <v/>
      </c>
      <c r="S56" s="2">
        <f>COUNTIF('gpt-6.1-sol'!$B56:$AB56,"Failed on test")</f>
        <v/>
      </c>
      <c r="T56" s="2">
        <f>COUNTIF('gpt-6.1-sol'!$B56:$AB56,"Runtime error")</f>
        <v/>
      </c>
      <c r="U56" s="2">
        <f>IF(MAX(F56,J56,N56,R56)=0,"None",IF(MIN(F56,J56,N56,R56)=MAX(F56,J56,N56,R56),"All four",_xlfn.TEXTJOIN(", ",TRUE,IF(F56=MAX(F56,J56,N56,R56),"gpt-5.6-luna",""),IF(J56=MAX(F56,J56,N56,R56),"gpt-6-luna",""),IF(N56=MAX(F56,J56,N56,R56),"gpt-6-astra",""),IF(R56=MAX(F56,J56,N56,R56),"gpt-6.1-sol",""))))</f>
        <v/>
      </c>
      <c r="V56" s="2">
        <f>IF(MAX(F56,J56,N56,R56)&lt;&gt;MIN(F56,J56,N56,R56),"differ",IF(F56=$D56,"all_pass",IF(F56=0,"all_zero","same_partial")))</f>
        <v/>
      </c>
      <c r="W56" s="3" t="inlineStr">
        <is>
          <t>Rescored 19 Oct 2026 on Nick's main test. gpt-5.6-luna 0 pass / 2 fail / 0 error; gpt-6-luna 0 pass / 2 fail / 0 error; gpt-6-astra 0 pass / 2 fail / 0 error; gpt-6.1-sol 0 pass / 2 fail / 0 error.</t>
        </is>
      </c>
    </row>
    <row r="57">
      <c r="A57" s="2" t="n">
        <v>6</v>
      </c>
      <c r="B57" s="2" t="inlineStr">
        <is>
          <t>issue_889</t>
        </is>
      </c>
      <c r="C57" s="2" t="inlineStr">
        <is>
          <t>Time evolution of a Pauli-sum Hamiltonian</t>
        </is>
      </c>
      <c r="D57" s="2">
        <f>COUNTIF('gpt-5.6-luna'!$B57:$AB57,"Passed on test")+COUNTIF('gpt-5.6-luna'!$B57:$AB57,"Failed on test")+COUNTIF('gpt-5.6-luna'!$B57:$AB57,"Runtime error")</f>
        <v/>
      </c>
      <c r="E57" s="2">
        <f>IF(F57=$D57,"Passed on test",IF(H57&gt;0,"Runtime error","Failed on test"))</f>
        <v/>
      </c>
      <c r="F57" s="2">
        <f>COUNTIF('gpt-5.6-luna'!$B57:$AB57,"Passed on test")</f>
        <v/>
      </c>
      <c r="G57" s="2">
        <f>COUNTIF('gpt-5.6-luna'!$B57:$AB57,"Failed on test")</f>
        <v/>
      </c>
      <c r="H57" s="2">
        <f>COUNTIF('gpt-5.6-luna'!$B57:$AB57,"Runtime error")</f>
        <v/>
      </c>
      <c r="I57" s="2">
        <f>IF(J57=$D57,"Passed on test",IF(L57&gt;0,"Runtime error","Failed on test"))</f>
        <v/>
      </c>
      <c r="J57" s="2">
        <f>COUNTIF('gpt-6-luna'!$B57:$AB57,"Passed on test")</f>
        <v/>
      </c>
      <c r="K57" s="2">
        <f>COUNTIF('gpt-6-luna'!$B57:$AB57,"Failed on test")</f>
        <v/>
      </c>
      <c r="L57" s="2">
        <f>COUNTIF('gpt-6-luna'!$B57:$AB57,"Runtime error")</f>
        <v/>
      </c>
      <c r="M57" s="2">
        <f>IF(N57=$D57,"Passed on test",IF(P57&gt;0,"Runtime error","Failed on test"))</f>
        <v/>
      </c>
      <c r="N57" s="2">
        <f>COUNTIF('gpt-6-astra'!$B57:$AB57,"Passed on test")</f>
        <v/>
      </c>
      <c r="O57" s="2">
        <f>COUNTIF('gpt-6-astra'!$B57:$AB57,"Failed on test")</f>
        <v/>
      </c>
      <c r="P57" s="2">
        <f>COUNTIF('gpt-6-astra'!$B57:$AB57,"Runtime error")</f>
        <v/>
      </c>
      <c r="Q57" s="2">
        <f>IF(R57=$D57,"Passed on test",IF(T57&gt;0,"Runtime error","Failed on test"))</f>
        <v/>
      </c>
      <c r="R57" s="2">
        <f>COUNTIF('gpt-6.1-sol'!$B57:$AB57,"Passed on test")</f>
        <v/>
      </c>
      <c r="S57" s="2">
        <f>COUNTIF('gpt-6.1-sol'!$B57:$AB57,"Failed on test")</f>
        <v/>
      </c>
      <c r="T57" s="2">
        <f>COUNTIF('gpt-6.1-sol'!$B57:$AB57,"Runtime error")</f>
        <v/>
      </c>
      <c r="U57" s="2">
        <f>IF(MAX(F57,J57,N57,R57)=0,"None",IF(MIN(F57,J57,N57,R57)=MAX(F57,J57,N57,R57),"All four",_xlfn.TEXTJOIN(", ",TRUE,IF(F57=MAX(F57,J57,N57,R57),"gpt-5.6-luna",""),IF(J57=MAX(F57,J57,N57,R57),"gpt-6-luna",""),IF(N57=MAX(F57,J57,N57,R57),"gpt-6-astra",""),IF(R57=MAX(F57,J57,N57,R57),"gpt-6.1-sol",""))))</f>
        <v/>
      </c>
      <c r="V57" s="2">
        <f>IF(MAX(F57,J57,N57,R57)&lt;&gt;MIN(F57,J57,N57,R57),"differ",IF(F57=$D57,"all_pass",IF(F57=0,"all_zero","same_partial")))</f>
        <v/>
      </c>
      <c r="W57" s="3" t="inlineStr">
        <is>
          <t>All rewrite the Hamiltonian, which then no longer matches the question's</t>
        </is>
      </c>
    </row>
    <row r="58">
      <c r="A58" s="2" t="n">
        <v>6</v>
      </c>
      <c r="B58" s="2" t="inlineStr">
        <is>
          <t>issue_911</t>
        </is>
      </c>
      <c r="C58" s="2" t="inlineStr">
        <is>
          <t>Register/index of a gate's qubits</t>
        </is>
      </c>
      <c r="D58" s="2">
        <f>COUNTIF('gpt-5.6-luna'!$B58:$AB58,"Passed on test")+COUNTIF('gpt-5.6-luna'!$B58:$AB58,"Failed on test")+COUNTIF('gpt-5.6-luna'!$B58:$AB58,"Runtime error")</f>
        <v/>
      </c>
      <c r="E58" s="2">
        <f>IF(F58=$D58,"Passed on test",IF(H58&gt;0,"Runtime error","Failed on test"))</f>
        <v/>
      </c>
      <c r="F58" s="2">
        <f>COUNTIF('gpt-5.6-luna'!$B58:$AB58,"Passed on test")</f>
        <v/>
      </c>
      <c r="G58" s="2">
        <f>COUNTIF('gpt-5.6-luna'!$B58:$AB58,"Failed on test")</f>
        <v/>
      </c>
      <c r="H58" s="2">
        <f>COUNTIF('gpt-5.6-luna'!$B58:$AB58,"Runtime error")</f>
        <v/>
      </c>
      <c r="I58" s="2">
        <f>IF(J58=$D58,"Passed on test",IF(L58&gt;0,"Runtime error","Failed on test"))</f>
        <v/>
      </c>
      <c r="J58" s="2">
        <f>COUNTIF('gpt-6-luna'!$B58:$AB58,"Passed on test")</f>
        <v/>
      </c>
      <c r="K58" s="2">
        <f>COUNTIF('gpt-6-luna'!$B58:$AB58,"Failed on test")</f>
        <v/>
      </c>
      <c r="L58" s="2">
        <f>COUNTIF('gpt-6-luna'!$B58:$AB58,"Runtime error")</f>
        <v/>
      </c>
      <c r="M58" s="2">
        <f>IF(N58=$D58,"Passed on test",IF(P58&gt;0,"Runtime error","Failed on test"))</f>
        <v/>
      </c>
      <c r="N58" s="2">
        <f>COUNTIF('gpt-6-astra'!$B58:$AB58,"Passed on test")</f>
        <v/>
      </c>
      <c r="O58" s="2">
        <f>COUNTIF('gpt-6-astra'!$B58:$AB58,"Failed on test")</f>
        <v/>
      </c>
      <c r="P58" s="2">
        <f>COUNTIF('gpt-6-astra'!$B58:$AB58,"Runtime error")</f>
        <v/>
      </c>
      <c r="Q58" s="2">
        <f>IF(R58=$D58,"Passed on test",IF(T58&gt;0,"Runtime error","Failed on test"))</f>
        <v/>
      </c>
      <c r="R58" s="2">
        <f>COUNTIF('gpt-6.1-sol'!$B58:$AB58,"Passed on test")</f>
        <v/>
      </c>
      <c r="S58" s="2">
        <f>COUNTIF('gpt-6.1-sol'!$B58:$AB58,"Failed on test")</f>
        <v/>
      </c>
      <c r="T58" s="2">
        <f>COUNTIF('gpt-6.1-sol'!$B58:$AB58,"Runtime error")</f>
        <v/>
      </c>
      <c r="U58" s="2">
        <f>IF(MAX(F58,J58,N58,R58)=0,"None",IF(MIN(F58,J58,N58,R58)=MAX(F58,J58,N58,R58),"All four",_xlfn.TEXTJOIN(", ",TRUE,IF(F58=MAX(F58,J58,N58,R58),"gpt-5.6-luna",""),IF(J58=MAX(F58,J58,N58,R58),"gpt-6-luna",""),IF(N58=MAX(F58,J58,N58,R58),"gpt-6-astra",""),IF(R58=MAX(F58,J58,N58,R58),"gpt-6.1-sol",""))))</f>
        <v/>
      </c>
      <c r="V58" s="2">
        <f>IF(MAX(F58,J58,N58,R58)&lt;&gt;MIN(F58,J58,N58,R58),"differ",IF(F58=$D58,"all_pass",IF(F58=0,"all_zero","same_partial")))</f>
        <v/>
      </c>
      <c r="W58" s="3" t="inlineStr">
        <is>
          <t>Rescored 19 Oct 2026 on Nick's main test. gpt-5.6-luna 0 pass / 0 fail / 23 error; gpt-6-luna 0 pass / 0 fail / 23 error; gpt-6-astra 0 pass / 0 fail / 23 error; gpt-6.1-sol 0 pass / 0 fail / 23 error.</t>
        </is>
      </c>
    </row>
    <row r="59">
      <c r="A59" s="2" t="n">
        <v>6</v>
      </c>
      <c r="B59" s="2" t="inlineStr">
        <is>
          <t>issue_925</t>
        </is>
      </c>
      <c r="C59" s="2" t="inlineStr">
        <is>
          <t>Qubits Shor needs for N=15</t>
        </is>
      </c>
      <c r="D59" s="2">
        <f>COUNTIF('gpt-5.6-luna'!$B59:$AB59,"Passed on test")+COUNTIF('gpt-5.6-luna'!$B59:$AB59,"Failed on test")+COUNTIF('gpt-5.6-luna'!$B59:$AB59,"Runtime error")</f>
        <v/>
      </c>
      <c r="E59" s="2">
        <f>IF(F59=$D59,"Passed on test",IF(H59&gt;0,"Runtime error","Failed on test"))</f>
        <v/>
      </c>
      <c r="F59" s="2">
        <f>COUNTIF('gpt-5.6-luna'!$B59:$AB59,"Passed on test")</f>
        <v/>
      </c>
      <c r="G59" s="2">
        <f>COUNTIF('gpt-5.6-luna'!$B59:$AB59,"Failed on test")</f>
        <v/>
      </c>
      <c r="H59" s="2">
        <f>COUNTIF('gpt-5.6-luna'!$B59:$AB59,"Runtime error")</f>
        <v/>
      </c>
      <c r="I59" s="2">
        <f>IF(J59=$D59,"Passed on test",IF(L59&gt;0,"Runtime error","Failed on test"))</f>
        <v/>
      </c>
      <c r="J59" s="2">
        <f>COUNTIF('gpt-6-luna'!$B59:$AB59,"Passed on test")</f>
        <v/>
      </c>
      <c r="K59" s="2">
        <f>COUNTIF('gpt-6-luna'!$B59:$AB59,"Failed on test")</f>
        <v/>
      </c>
      <c r="L59" s="2">
        <f>COUNTIF('gpt-6-luna'!$B59:$AB59,"Runtime error")</f>
        <v/>
      </c>
      <c r="M59" s="2">
        <f>IF(N59=$D59,"Passed on test",IF(P59&gt;0,"Runtime error","Failed on test"))</f>
        <v/>
      </c>
      <c r="N59" s="2">
        <f>COUNTIF('gpt-6-astra'!$B59:$AB59,"Passed on test")</f>
        <v/>
      </c>
      <c r="O59" s="2">
        <f>COUNTIF('gpt-6-astra'!$B59:$AB59,"Failed on test")</f>
        <v/>
      </c>
      <c r="P59" s="2">
        <f>COUNTIF('gpt-6-astra'!$B59:$AB59,"Runtime error")</f>
        <v/>
      </c>
      <c r="Q59" s="2">
        <f>IF(R59=$D59,"Passed on test",IF(T59&gt;0,"Runtime error","Failed on test"))</f>
        <v/>
      </c>
      <c r="R59" s="2">
        <f>COUNTIF('gpt-6.1-sol'!$B59:$AB59,"Passed on test")</f>
        <v/>
      </c>
      <c r="S59" s="2">
        <f>COUNTIF('gpt-6.1-sol'!$B59:$AB59,"Failed on test")</f>
        <v/>
      </c>
      <c r="T59" s="2">
        <f>COUNTIF('gpt-6.1-sol'!$B59:$AB59,"Runtime error")</f>
        <v/>
      </c>
      <c r="U59" s="2">
        <f>IF(MAX(F59,J59,N59,R59)=0,"None",IF(MIN(F59,J59,N59,R59)=MAX(F59,J59,N59,R59),"All four",_xlfn.TEXTJOIN(", ",TRUE,IF(F59=MAX(F59,J59,N59,R59),"gpt-5.6-luna",""),IF(J59=MAX(F59,J59,N59,R59),"gpt-6-luna",""),IF(N59=MAX(F59,J59,N59,R59),"gpt-6-astra",""),IF(R59=MAX(F59,J59,N59,R59),"gpt-6.1-sol",""))))</f>
        <v/>
      </c>
      <c r="V59" s="2">
        <f>IF(MAX(F59,J59,N59,R59)&lt;&gt;MIN(F59,J59,N59,R59),"differ",IF(F59=$D59,"all_pass",IF(F59=0,"all_zero","same_partial")))</f>
        <v/>
      </c>
      <c r="W59" s="3" t="inlineStr">
        <is>
          <t>gpt-6-astra and gpt-6.1-sol said "NO BUG", gpt-5.6-luna left the code unchanged, gpt-6-luna's bigger backend times out</t>
        </is>
      </c>
    </row>
    <row r="60">
      <c r="A60" s="2" t="n">
        <v>6</v>
      </c>
      <c r="B60" s="2" t="inlineStr">
        <is>
          <t>issue_944</t>
        </is>
      </c>
      <c r="C60" s="2" t="inlineStr">
        <is>
          <t>Projection operator in opflow</t>
        </is>
      </c>
      <c r="D60" s="2">
        <f>COUNTIF('gpt-5.6-luna'!$B60:$AB60,"Passed on test")+COUNTIF('gpt-5.6-luna'!$B60:$AB60,"Failed on test")+COUNTIF('gpt-5.6-luna'!$B60:$AB60,"Runtime error")</f>
        <v/>
      </c>
      <c r="E60" s="2">
        <f>IF(F60=$D60,"Passed on test",IF(H60&gt;0,"Runtime error","Failed on test"))</f>
        <v/>
      </c>
      <c r="F60" s="2">
        <f>COUNTIF('gpt-5.6-luna'!$B60:$AB60,"Passed on test")</f>
        <v/>
      </c>
      <c r="G60" s="2">
        <f>COUNTIF('gpt-5.6-luna'!$B60:$AB60,"Failed on test")</f>
        <v/>
      </c>
      <c r="H60" s="2">
        <f>COUNTIF('gpt-5.6-luna'!$B60:$AB60,"Runtime error")</f>
        <v/>
      </c>
      <c r="I60" s="2">
        <f>IF(J60=$D60,"Passed on test",IF(L60&gt;0,"Runtime error","Failed on test"))</f>
        <v/>
      </c>
      <c r="J60" s="2">
        <f>COUNTIF('gpt-6-luna'!$B60:$AB60,"Passed on test")</f>
        <v/>
      </c>
      <c r="K60" s="2">
        <f>COUNTIF('gpt-6-luna'!$B60:$AB60,"Failed on test")</f>
        <v/>
      </c>
      <c r="L60" s="2">
        <f>COUNTIF('gpt-6-luna'!$B60:$AB60,"Runtime error")</f>
        <v/>
      </c>
      <c r="M60" s="2">
        <f>IF(N60=$D60,"Passed on test",IF(P60&gt;0,"Runtime error","Failed on test"))</f>
        <v/>
      </c>
      <c r="N60" s="2">
        <f>COUNTIF('gpt-6-astra'!$B60:$AB60,"Passed on test")</f>
        <v/>
      </c>
      <c r="O60" s="2">
        <f>COUNTIF('gpt-6-astra'!$B60:$AB60,"Failed on test")</f>
        <v/>
      </c>
      <c r="P60" s="2">
        <f>COUNTIF('gpt-6-astra'!$B60:$AB60,"Runtime error")</f>
        <v/>
      </c>
      <c r="Q60" s="2">
        <f>IF(R60=$D60,"Passed on test",IF(T60&gt;0,"Runtime error","Failed on test"))</f>
        <v/>
      </c>
      <c r="R60" s="2">
        <f>COUNTIF('gpt-6.1-sol'!$B60:$AB60,"Passed on test")</f>
        <v/>
      </c>
      <c r="S60" s="2">
        <f>COUNTIF('gpt-6.1-sol'!$B60:$AB60,"Failed on test")</f>
        <v/>
      </c>
      <c r="T60" s="2">
        <f>COUNTIF('gpt-6.1-sol'!$B60:$AB60,"Runtime error")</f>
        <v/>
      </c>
      <c r="U60" s="2">
        <f>IF(MAX(F60,J60,N60,R60)=0,"None",IF(MIN(F60,J60,N60,R60)=MAX(F60,J60,N60,R60),"All four",_xlfn.TEXTJOIN(", ",TRUE,IF(F60=MAX(F60,J60,N60,R60),"gpt-5.6-luna",""),IF(J60=MAX(F60,J60,N60,R60),"gpt-6-luna",""),IF(N60=MAX(F60,J60,N60,R60),"gpt-6-astra",""),IF(R60=MAX(F60,J60,N60,R60),"gpt-6.1-sol",""))))</f>
        <v/>
      </c>
      <c r="V60" s="2">
        <f>IF(MAX(F60,J60,N60,R60)&lt;&gt;MIN(F60,J60,N60,R60),"differ",IF(F60=$D60,"all_pass",IF(F60=0,"all_zero","same_partial")))</f>
        <v/>
      </c>
      <c r="W60" s="3" t="inlineStr">
        <is>
          <t>Rescored 19 Oct 2026 on Nick's main test. gpt-5.6-luna 0 pass / 0 fail / 12 error; gpt-6-luna 0 pass / 0 fail / 12 error; gpt-6-astra 0 pass / 0 fail / 12 error; gpt-6.1-sol 0 pass / 0 fail / 12 error.</t>
        </is>
      </c>
    </row>
    <row r="61">
      <c r="A61" s="2" t="n">
        <v>7</v>
      </c>
      <c r="B61" s="2" t="inlineStr">
        <is>
          <t>issue_950</t>
        </is>
      </c>
      <c r="C61" s="2" t="inlineStr">
        <is>
          <t>Operator acting on certain qubits</t>
        </is>
      </c>
      <c r="D61" s="2">
        <f>COUNTIF('gpt-5.6-luna'!$B61:$AB61,"Passed on test")+COUNTIF('gpt-5.6-luna'!$B61:$AB61,"Failed on test")+COUNTIF('gpt-5.6-luna'!$B61:$AB61,"Runtime error")</f>
        <v/>
      </c>
      <c r="E61" s="2">
        <f>IF(F61=$D61,"Passed on test",IF(H61&gt;0,"Runtime error","Failed on test"))</f>
        <v/>
      </c>
      <c r="F61" s="2">
        <f>COUNTIF('gpt-5.6-luna'!$B61:$AB61,"Passed on test")</f>
        <v/>
      </c>
      <c r="G61" s="2">
        <f>COUNTIF('gpt-5.6-luna'!$B61:$AB61,"Failed on test")</f>
        <v/>
      </c>
      <c r="H61" s="2">
        <f>COUNTIF('gpt-5.6-luna'!$B61:$AB61,"Runtime error")</f>
        <v/>
      </c>
      <c r="I61" s="2">
        <f>IF(J61=$D61,"Passed on test",IF(L61&gt;0,"Runtime error","Failed on test"))</f>
        <v/>
      </c>
      <c r="J61" s="2">
        <f>COUNTIF('gpt-6-luna'!$B61:$AB61,"Passed on test")</f>
        <v/>
      </c>
      <c r="K61" s="2">
        <f>COUNTIF('gpt-6-luna'!$B61:$AB61,"Failed on test")</f>
        <v/>
      </c>
      <c r="L61" s="2">
        <f>COUNTIF('gpt-6-luna'!$B61:$AB61,"Runtime error")</f>
        <v/>
      </c>
      <c r="M61" s="2">
        <f>IF(N61=$D61,"Passed on test",IF(P61&gt;0,"Runtime error","Failed on test"))</f>
        <v/>
      </c>
      <c r="N61" s="2">
        <f>COUNTIF('gpt-6-astra'!$B61:$AB61,"Passed on test")</f>
        <v/>
      </c>
      <c r="O61" s="2">
        <f>COUNTIF('gpt-6-astra'!$B61:$AB61,"Failed on test")</f>
        <v/>
      </c>
      <c r="P61" s="2">
        <f>COUNTIF('gpt-6-astra'!$B61:$AB61,"Runtime error")</f>
        <v/>
      </c>
      <c r="Q61" s="2">
        <f>IF(R61=$D61,"Passed on test",IF(T61&gt;0,"Runtime error","Failed on test"))</f>
        <v/>
      </c>
      <c r="R61" s="2">
        <f>COUNTIF('gpt-6.1-sol'!$B61:$AB61,"Passed on test")</f>
        <v/>
      </c>
      <c r="S61" s="2">
        <f>COUNTIF('gpt-6.1-sol'!$B61:$AB61,"Failed on test")</f>
        <v/>
      </c>
      <c r="T61" s="2">
        <f>COUNTIF('gpt-6.1-sol'!$B61:$AB61,"Runtime error")</f>
        <v/>
      </c>
      <c r="U61" s="2">
        <f>IF(MAX(F61,J61,N61,R61)=0,"None",IF(MIN(F61,J61,N61,R61)=MAX(F61,J61,N61,R61),"All four",_xlfn.TEXTJOIN(", ",TRUE,IF(F61=MAX(F61,J61,N61,R61),"gpt-5.6-luna",""),IF(J61=MAX(F61,J61,N61,R61),"gpt-6-luna",""),IF(N61=MAX(F61,J61,N61,R61),"gpt-6-astra",""),IF(R61=MAX(F61,J61,N61,R61),"gpt-6.1-sol",""))))</f>
        <v/>
      </c>
      <c r="V61" s="2">
        <f>IF(MAX(F61,J61,N61,R61)&lt;&gt;MIN(F61,J61,N61,R61),"differ",IF(F61=$D61,"all_pass",IF(F61=0,"all_zero","same_partial")))</f>
        <v/>
      </c>
      <c r="W61" s="3" t="inlineStr">
        <is>
          <t>Both luna models kept _add(), which adds the operators instead of composing them</t>
        </is>
      </c>
    </row>
    <row r="62">
      <c r="A62" s="2" t="n">
        <v>7</v>
      </c>
      <c r="B62" s="2" t="inlineStr">
        <is>
          <t>issue_958</t>
        </is>
      </c>
      <c r="C62" s="2" t="inlineStr">
        <is>
          <t>Negative of a gate</t>
        </is>
      </c>
      <c r="D62" s="2">
        <f>COUNTIF('gpt-5.6-luna'!$B62:$AB62,"Passed on test")+COUNTIF('gpt-5.6-luna'!$B62:$AB62,"Failed on test")+COUNTIF('gpt-5.6-luna'!$B62:$AB62,"Runtime error")</f>
        <v/>
      </c>
      <c r="E62" s="2">
        <f>IF(F62=$D62,"Passed on test",IF(H62&gt;0,"Runtime error","Failed on test"))</f>
        <v/>
      </c>
      <c r="F62" s="2">
        <f>COUNTIF('gpt-5.6-luna'!$B62:$AB62,"Passed on test")</f>
        <v/>
      </c>
      <c r="G62" s="2">
        <f>COUNTIF('gpt-5.6-luna'!$B62:$AB62,"Failed on test")</f>
        <v/>
      </c>
      <c r="H62" s="2">
        <f>COUNTIF('gpt-5.6-luna'!$B62:$AB62,"Runtime error")</f>
        <v/>
      </c>
      <c r="I62" s="2">
        <f>IF(J62=$D62,"Passed on test",IF(L62&gt;0,"Runtime error","Failed on test"))</f>
        <v/>
      </c>
      <c r="J62" s="2">
        <f>COUNTIF('gpt-6-luna'!$B62:$AB62,"Passed on test")</f>
        <v/>
      </c>
      <c r="K62" s="2">
        <f>COUNTIF('gpt-6-luna'!$B62:$AB62,"Failed on test")</f>
        <v/>
      </c>
      <c r="L62" s="2">
        <f>COUNTIF('gpt-6-luna'!$B62:$AB62,"Runtime error")</f>
        <v/>
      </c>
      <c r="M62" s="2">
        <f>IF(N62=$D62,"Passed on test",IF(P62&gt;0,"Runtime error","Failed on test"))</f>
        <v/>
      </c>
      <c r="N62" s="2">
        <f>COUNTIF('gpt-6-astra'!$B62:$AB62,"Passed on test")</f>
        <v/>
      </c>
      <c r="O62" s="2">
        <f>COUNTIF('gpt-6-astra'!$B62:$AB62,"Failed on test")</f>
        <v/>
      </c>
      <c r="P62" s="2">
        <f>COUNTIF('gpt-6-astra'!$B62:$AB62,"Runtime error")</f>
        <v/>
      </c>
      <c r="Q62" s="2">
        <f>IF(R62=$D62,"Passed on test",IF(T62&gt;0,"Runtime error","Failed on test"))</f>
        <v/>
      </c>
      <c r="R62" s="2">
        <f>COUNTIF('gpt-6.1-sol'!$B62:$AB62,"Passed on test")</f>
        <v/>
      </c>
      <c r="S62" s="2">
        <f>COUNTIF('gpt-6.1-sol'!$B62:$AB62,"Failed on test")</f>
        <v/>
      </c>
      <c r="T62" s="2">
        <f>COUNTIF('gpt-6.1-sol'!$B62:$AB62,"Runtime error")</f>
        <v/>
      </c>
      <c r="U62" s="2">
        <f>IF(MAX(F62,J62,N62,R62)=0,"None",IF(MIN(F62,J62,N62,R62)=MAX(F62,J62,N62,R62),"All four",_xlfn.TEXTJOIN(", ",TRUE,IF(F62=MAX(F62,J62,N62,R62),"gpt-5.6-luna",""),IF(J62=MAX(F62,J62,N62,R62),"gpt-6-luna",""),IF(N62=MAX(F62,J62,N62,R62),"gpt-6-astra",""),IF(R62=MAX(F62,J62,N62,R62),"gpt-6.1-sol",""))))</f>
        <v/>
      </c>
      <c r="V62" s="2">
        <f>IF(MAX(F62,J62,N62,R62)&lt;&gt;MIN(F62,J62,N62,R62),"differ",IF(F62=$D62,"all_pass",IF(F62=0,"all_zero","same_partial")))</f>
        <v/>
      </c>
      <c r="W62" s="3" t="inlineStr">
        <is>
          <t>Over-specific test: it also wants the reference's second circuit qc2</t>
        </is>
      </c>
    </row>
    <row r="63">
      <c r="A63" s="2" t="n">
        <v>7</v>
      </c>
      <c r="B63" s="2" t="inlineStr">
        <is>
          <t>issue_977</t>
        </is>
      </c>
      <c r="C63" s="2" t="inlineStr">
        <is>
          <t>Matrix to SparsePauliOp</t>
        </is>
      </c>
      <c r="D63" s="2">
        <f>COUNTIF('gpt-5.6-luna'!$B63:$AB63,"Passed on test")+COUNTIF('gpt-5.6-luna'!$B63:$AB63,"Failed on test")+COUNTIF('gpt-5.6-luna'!$B63:$AB63,"Runtime error")</f>
        <v/>
      </c>
      <c r="E63" s="2">
        <f>IF(F63=$D63,"Passed on test",IF(H63&gt;0,"Runtime error","Failed on test"))</f>
        <v/>
      </c>
      <c r="F63" s="2">
        <f>COUNTIF('gpt-5.6-luna'!$B63:$AB63,"Passed on test")</f>
        <v/>
      </c>
      <c r="G63" s="2">
        <f>COUNTIF('gpt-5.6-luna'!$B63:$AB63,"Failed on test")</f>
        <v/>
      </c>
      <c r="H63" s="2">
        <f>COUNTIF('gpt-5.6-luna'!$B63:$AB63,"Runtime error")</f>
        <v/>
      </c>
      <c r="I63" s="2">
        <f>IF(J63=$D63,"Passed on test",IF(L63&gt;0,"Runtime error","Failed on test"))</f>
        <v/>
      </c>
      <c r="J63" s="2">
        <f>COUNTIF('gpt-6-luna'!$B63:$AB63,"Passed on test")</f>
        <v/>
      </c>
      <c r="K63" s="2">
        <f>COUNTIF('gpt-6-luna'!$B63:$AB63,"Failed on test")</f>
        <v/>
      </c>
      <c r="L63" s="2">
        <f>COUNTIF('gpt-6-luna'!$B63:$AB63,"Runtime error")</f>
        <v/>
      </c>
      <c r="M63" s="2">
        <f>IF(N63=$D63,"Passed on test",IF(P63&gt;0,"Runtime error","Failed on test"))</f>
        <v/>
      </c>
      <c r="N63" s="2">
        <f>COUNTIF('gpt-6-astra'!$B63:$AB63,"Passed on test")</f>
        <v/>
      </c>
      <c r="O63" s="2">
        <f>COUNTIF('gpt-6-astra'!$B63:$AB63,"Failed on test")</f>
        <v/>
      </c>
      <c r="P63" s="2">
        <f>COUNTIF('gpt-6-astra'!$B63:$AB63,"Runtime error")</f>
        <v/>
      </c>
      <c r="Q63" s="2">
        <f>IF(R63=$D63,"Passed on test",IF(T63&gt;0,"Runtime error","Failed on test"))</f>
        <v/>
      </c>
      <c r="R63" s="2">
        <f>COUNTIF('gpt-6.1-sol'!$B63:$AB63,"Passed on test")</f>
        <v/>
      </c>
      <c r="S63" s="2">
        <f>COUNTIF('gpt-6.1-sol'!$B63:$AB63,"Failed on test")</f>
        <v/>
      </c>
      <c r="T63" s="2">
        <f>COUNTIF('gpt-6.1-sol'!$B63:$AB63,"Runtime error")</f>
        <v/>
      </c>
      <c r="U63" s="2">
        <f>IF(MAX(F63,J63,N63,R63)=0,"None",IF(MIN(F63,J63,N63,R63)=MAX(F63,J63,N63,R63),"All four",_xlfn.TEXTJOIN(", ",TRUE,IF(F63=MAX(F63,J63,N63,R63),"gpt-5.6-luna",""),IF(J63=MAX(F63,J63,N63,R63),"gpt-6-luna",""),IF(N63=MAX(F63,J63,N63,R63),"gpt-6-astra",""),IF(R63=MAX(F63,J63,N63,R63),"gpt-6.1-sol",""))))</f>
        <v/>
      </c>
      <c r="V63" s="2">
        <f>IF(MAX(F63,J63,N63,R63)&lt;&gt;MIN(F63,J63,N63,R63),"differ",IF(F63=$D63,"all_pass",IF(F63=0,"all_zero","same_partial")))</f>
        <v/>
      </c>
      <c r="W63" s="3" t="inlineStr">
        <is>
          <t>Rescored 19 Oct 2026 on Nick's main test. gpt-5.6-luna 0 pass / 0 fail / 23 error; gpt-6-luna 0 pass / 0 fail / 23 error; gpt-6-astra 0 pass / 0 fail / 23 error; gpt-6.1-sol 0 pass / 0 fail / 23 error.</t>
        </is>
      </c>
    </row>
    <row r="64">
      <c r="A64" s="2" t="n">
        <v>7</v>
      </c>
      <c r="B64" s="2" t="inlineStr">
        <is>
          <t>issue_985</t>
        </is>
      </c>
      <c r="C64" s="2" t="inlineStr">
        <is>
          <t>U1 from Rx, Ry, Rz keeping the phase</t>
        </is>
      </c>
      <c r="D64" s="2">
        <f>COUNTIF('gpt-5.6-luna'!$B64:$AB64,"Passed on test")+COUNTIF('gpt-5.6-luna'!$B64:$AB64,"Failed on test")+COUNTIF('gpt-5.6-luna'!$B64:$AB64,"Runtime error")</f>
        <v/>
      </c>
      <c r="E64" s="2">
        <f>IF(F64=$D64,"Passed on test",IF(H64&gt;0,"Runtime error","Failed on test"))</f>
        <v/>
      </c>
      <c r="F64" s="2">
        <f>COUNTIF('gpt-5.6-luna'!$B64:$AB64,"Passed on test")</f>
        <v/>
      </c>
      <c r="G64" s="2">
        <f>COUNTIF('gpt-5.6-luna'!$B64:$AB64,"Failed on test")</f>
        <v/>
      </c>
      <c r="H64" s="2">
        <f>COUNTIF('gpt-5.6-luna'!$B64:$AB64,"Runtime error")</f>
        <v/>
      </c>
      <c r="I64" s="2">
        <f>IF(J64=$D64,"Passed on test",IF(L64&gt;0,"Runtime error","Failed on test"))</f>
        <v/>
      </c>
      <c r="J64" s="2">
        <f>COUNTIF('gpt-6-luna'!$B64:$AB64,"Passed on test")</f>
        <v/>
      </c>
      <c r="K64" s="2">
        <f>COUNTIF('gpt-6-luna'!$B64:$AB64,"Failed on test")</f>
        <v/>
      </c>
      <c r="L64" s="2">
        <f>COUNTIF('gpt-6-luna'!$B64:$AB64,"Runtime error")</f>
        <v/>
      </c>
      <c r="M64" s="2">
        <f>IF(N64=$D64,"Passed on test",IF(P64&gt;0,"Runtime error","Failed on test"))</f>
        <v/>
      </c>
      <c r="N64" s="2">
        <f>COUNTIF('gpt-6-astra'!$B64:$AB64,"Passed on test")</f>
        <v/>
      </c>
      <c r="O64" s="2">
        <f>COUNTIF('gpt-6-astra'!$B64:$AB64,"Failed on test")</f>
        <v/>
      </c>
      <c r="P64" s="2">
        <f>COUNTIF('gpt-6-astra'!$B64:$AB64,"Runtime error")</f>
        <v/>
      </c>
      <c r="Q64" s="2">
        <f>IF(R64=$D64,"Passed on test",IF(T64&gt;0,"Runtime error","Failed on test"))</f>
        <v/>
      </c>
      <c r="R64" s="2">
        <f>COUNTIF('gpt-6.1-sol'!$B64:$AB64,"Passed on test")</f>
        <v/>
      </c>
      <c r="S64" s="2">
        <f>COUNTIF('gpt-6.1-sol'!$B64:$AB64,"Failed on test")</f>
        <v/>
      </c>
      <c r="T64" s="2">
        <f>COUNTIF('gpt-6.1-sol'!$B64:$AB64,"Runtime error")</f>
        <v/>
      </c>
      <c r="U64" s="2">
        <f>IF(MAX(F64,J64,N64,R64)=0,"None",IF(MIN(F64,J64,N64,R64)=MAX(F64,J64,N64,R64),"All four",_xlfn.TEXTJOIN(", ",TRUE,IF(F64=MAX(F64,J64,N64,R64),"gpt-5.6-luna",""),IF(J64=MAX(F64,J64,N64,R64),"gpt-6-luna",""),IF(N64=MAX(F64,J64,N64,R64),"gpt-6-astra",""),IF(R64=MAX(F64,J64,N64,R64),"gpt-6.1-sol",""))))</f>
        <v/>
      </c>
      <c r="V64" s="2">
        <f>IF(MAX(F64,J64,N64,R64)&lt;&gt;MIN(F64,J64,N64,R64),"differ",IF(F64=$D64,"all_pass",IF(F64=0,"all_zero","same_partial")))</f>
        <v/>
      </c>
      <c r="W64" s="3" t="inlineStr">
        <is>
          <t>Debatable test: p(lam) keeps the U1 phase, the test wants it dropped</t>
        </is>
      </c>
    </row>
    <row r="65">
      <c r="A65" s="2" t="n">
        <v>7</v>
      </c>
      <c r="B65" s="2" t="inlineStr">
        <is>
          <t>issue_989</t>
        </is>
      </c>
      <c r="C65" s="2" t="inlineStr">
        <is>
          <t>Aer simulator after the upgrade</t>
        </is>
      </c>
      <c r="D65" s="2">
        <f>COUNTIF('gpt-5.6-luna'!$B65:$AB65,"Passed on test")+COUNTIF('gpt-5.6-luna'!$B65:$AB65,"Failed on test")+COUNTIF('gpt-5.6-luna'!$B65:$AB65,"Runtime error")</f>
        <v/>
      </c>
      <c r="E65" s="2">
        <f>IF(F65=$D65,"Passed on test",IF(H65&gt;0,"Runtime error","Failed on test"))</f>
        <v/>
      </c>
      <c r="F65" s="2">
        <f>COUNTIF('gpt-5.6-luna'!$B65:$AB65,"Passed on test")</f>
        <v/>
      </c>
      <c r="G65" s="2">
        <f>COUNTIF('gpt-5.6-luna'!$B65:$AB65,"Failed on test")</f>
        <v/>
      </c>
      <c r="H65" s="2">
        <f>COUNTIF('gpt-5.6-luna'!$B65:$AB65,"Runtime error")</f>
        <v/>
      </c>
      <c r="I65" s="2">
        <f>IF(J65=$D65,"Passed on test",IF(L65&gt;0,"Runtime error","Failed on test"))</f>
        <v/>
      </c>
      <c r="J65" s="2">
        <f>COUNTIF('gpt-6-luna'!$B65:$AB65,"Passed on test")</f>
        <v/>
      </c>
      <c r="K65" s="2">
        <f>COUNTIF('gpt-6-luna'!$B65:$AB65,"Failed on test")</f>
        <v/>
      </c>
      <c r="L65" s="2">
        <f>COUNTIF('gpt-6-luna'!$B65:$AB65,"Runtime error")</f>
        <v/>
      </c>
      <c r="M65" s="2">
        <f>IF(N65=$D65,"Passed on test",IF(P65&gt;0,"Runtime error","Failed on test"))</f>
        <v/>
      </c>
      <c r="N65" s="2">
        <f>COUNTIF('gpt-6-astra'!$B65:$AB65,"Passed on test")</f>
        <v/>
      </c>
      <c r="O65" s="2">
        <f>COUNTIF('gpt-6-astra'!$B65:$AB65,"Failed on test")</f>
        <v/>
      </c>
      <c r="P65" s="2">
        <f>COUNTIF('gpt-6-astra'!$B65:$AB65,"Runtime error")</f>
        <v/>
      </c>
      <c r="Q65" s="2">
        <f>IF(R65=$D65,"Passed on test",IF(T65&gt;0,"Runtime error","Failed on test"))</f>
        <v/>
      </c>
      <c r="R65" s="2">
        <f>COUNTIF('gpt-6.1-sol'!$B65:$AB65,"Passed on test")</f>
        <v/>
      </c>
      <c r="S65" s="2">
        <f>COUNTIF('gpt-6.1-sol'!$B65:$AB65,"Failed on test")</f>
        <v/>
      </c>
      <c r="T65" s="2">
        <f>COUNTIF('gpt-6.1-sol'!$B65:$AB65,"Runtime error")</f>
        <v/>
      </c>
      <c r="U65" s="2">
        <f>IF(MAX(F65,J65,N65,R65)=0,"None",IF(MIN(F65,J65,N65,R65)=MAX(F65,J65,N65,R65),"All four",_xlfn.TEXTJOIN(", ",TRUE,IF(F65=MAX(F65,J65,N65,R65),"gpt-5.6-luna",""),IF(J65=MAX(F65,J65,N65,R65),"gpt-6-luna",""),IF(N65=MAX(F65,J65,N65,R65),"gpt-6-astra",""),IF(R65=MAX(F65,J65,N65,R65),"gpt-6.1-sol",""))))</f>
        <v/>
      </c>
      <c r="V65" s="2">
        <f>IF(MAX(F65,J65,N65,R65)&lt;&gt;MIN(F65,J65,N65,R65),"differ",IF(F65=$D65,"all_pass",IF(F65=0,"all_zero","same_partial")))</f>
        <v/>
      </c>
      <c r="W65" s="3" t="inlineStr">
        <is>
          <t>All four pass (from qiskit_aer import Aer)</t>
        </is>
      </c>
    </row>
    <row r="66">
      <c r="A66" s="2" t="n">
        <v>7</v>
      </c>
      <c r="B66" s="2" t="inlineStr">
        <is>
          <t>issue_994</t>
        </is>
      </c>
      <c r="C66" s="2" t="inlineStr">
        <is>
          <t>Statevector from QasmSimulator</t>
        </is>
      </c>
      <c r="D66" s="2">
        <f>COUNTIF('gpt-5.6-luna'!$B66:$AB66,"Passed on test")+COUNTIF('gpt-5.6-luna'!$B66:$AB66,"Failed on test")+COUNTIF('gpt-5.6-luna'!$B66:$AB66,"Runtime error")</f>
        <v/>
      </c>
      <c r="E66" s="2">
        <f>IF(F66=$D66,"Passed on test",IF(H66&gt;0,"Runtime error","Failed on test"))</f>
        <v/>
      </c>
      <c r="F66" s="2">
        <f>COUNTIF('gpt-5.6-luna'!$B66:$AB66,"Passed on test")</f>
        <v/>
      </c>
      <c r="G66" s="2">
        <f>COUNTIF('gpt-5.6-luna'!$B66:$AB66,"Failed on test")</f>
        <v/>
      </c>
      <c r="H66" s="2">
        <f>COUNTIF('gpt-5.6-luna'!$B66:$AB66,"Runtime error")</f>
        <v/>
      </c>
      <c r="I66" s="2">
        <f>IF(J66=$D66,"Passed on test",IF(L66&gt;0,"Runtime error","Failed on test"))</f>
        <v/>
      </c>
      <c r="J66" s="2">
        <f>COUNTIF('gpt-6-luna'!$B66:$AB66,"Passed on test")</f>
        <v/>
      </c>
      <c r="K66" s="2">
        <f>COUNTIF('gpt-6-luna'!$B66:$AB66,"Failed on test")</f>
        <v/>
      </c>
      <c r="L66" s="2">
        <f>COUNTIF('gpt-6-luna'!$B66:$AB66,"Runtime error")</f>
        <v/>
      </c>
      <c r="M66" s="2">
        <f>IF(N66=$D66,"Passed on test",IF(P66&gt;0,"Runtime error","Failed on test"))</f>
        <v/>
      </c>
      <c r="N66" s="2">
        <f>COUNTIF('gpt-6-astra'!$B66:$AB66,"Passed on test")</f>
        <v/>
      </c>
      <c r="O66" s="2">
        <f>COUNTIF('gpt-6-astra'!$B66:$AB66,"Failed on test")</f>
        <v/>
      </c>
      <c r="P66" s="2">
        <f>COUNTIF('gpt-6-astra'!$B66:$AB66,"Runtime error")</f>
        <v/>
      </c>
      <c r="Q66" s="2">
        <f>IF(R66=$D66,"Passed on test",IF(T66&gt;0,"Runtime error","Failed on test"))</f>
        <v/>
      </c>
      <c r="R66" s="2">
        <f>COUNTIF('gpt-6.1-sol'!$B66:$AB66,"Passed on test")</f>
        <v/>
      </c>
      <c r="S66" s="2">
        <f>COUNTIF('gpt-6.1-sol'!$B66:$AB66,"Failed on test")</f>
        <v/>
      </c>
      <c r="T66" s="2">
        <f>COUNTIF('gpt-6.1-sol'!$B66:$AB66,"Runtime error")</f>
        <v/>
      </c>
      <c r="U66" s="2">
        <f>IF(MAX(F66,J66,N66,R66)=0,"None",IF(MIN(F66,J66,N66,R66)=MAX(F66,J66,N66,R66),"All four",_xlfn.TEXTJOIN(", ",TRUE,IF(F66=MAX(F66,J66,N66,R66),"gpt-5.6-luna",""),IF(J66=MAX(F66,J66,N66,R66),"gpt-6-luna",""),IF(N66=MAX(F66,J66,N66,R66),"gpt-6-astra",""),IF(R66=MAX(F66,J66,N66,R66),"gpt-6.1-sol",""))))</f>
        <v/>
      </c>
      <c r="V66" s="2">
        <f>IF(MAX(F66,J66,N66,R66)&lt;&gt;MIN(F66,J66,N66,R66),"differ",IF(F66=$D66,"all_pass",IF(F66=0,"all_zero","same_partial")))</f>
        <v/>
      </c>
      <c r="W66" s="3" t="inlineStr">
        <is>
          <t>Rescored 19 Oct 2026 on Nick's main test. gpt-5.6-luna 0 pass / 0 fail / 4 error; gpt-6-luna 0 pass / 0 fail / 4 error; gpt-6-astra 0 pass / 0 fail / 4 error; gpt-6.1-sol 0 pass / 0 fail / 4 error.</t>
        </is>
      </c>
    </row>
    <row r="67">
      <c r="A67" s="2" t="n">
        <v>7</v>
      </c>
      <c r="B67" s="2" t="inlineStr">
        <is>
          <t>issue_1035</t>
        </is>
      </c>
      <c r="C67" s="2" t="inlineStr">
        <is>
          <t>Fake backends with Runtime primitives</t>
        </is>
      </c>
      <c r="D67" s="2">
        <f>COUNTIF('gpt-5.6-luna'!$B67:$AB67,"Passed on test")+COUNTIF('gpt-5.6-luna'!$B67:$AB67,"Failed on test")+COUNTIF('gpt-5.6-luna'!$B67:$AB67,"Runtime error")</f>
        <v/>
      </c>
      <c r="E67" s="2">
        <f>IF(F67=$D67,"Passed on test",IF(H67&gt;0,"Runtime error","Failed on test"))</f>
        <v/>
      </c>
      <c r="F67" s="2">
        <f>COUNTIF('gpt-5.6-luna'!$B67:$AB67,"Passed on test")</f>
        <v/>
      </c>
      <c r="G67" s="2">
        <f>COUNTIF('gpt-5.6-luna'!$B67:$AB67,"Failed on test")</f>
        <v/>
      </c>
      <c r="H67" s="2">
        <f>COUNTIF('gpt-5.6-luna'!$B67:$AB67,"Runtime error")</f>
        <v/>
      </c>
      <c r="I67" s="2">
        <f>IF(J67=$D67,"Passed on test",IF(L67&gt;0,"Runtime error","Failed on test"))</f>
        <v/>
      </c>
      <c r="J67" s="2">
        <f>COUNTIF('gpt-6-luna'!$B67:$AB67,"Passed on test")</f>
        <v/>
      </c>
      <c r="K67" s="2">
        <f>COUNTIF('gpt-6-luna'!$B67:$AB67,"Failed on test")</f>
        <v/>
      </c>
      <c r="L67" s="2">
        <f>COUNTIF('gpt-6-luna'!$B67:$AB67,"Runtime error")</f>
        <v/>
      </c>
      <c r="M67" s="2">
        <f>IF(N67=$D67,"Passed on test",IF(P67&gt;0,"Runtime error","Failed on test"))</f>
        <v/>
      </c>
      <c r="N67" s="2">
        <f>COUNTIF('gpt-6-astra'!$B67:$AB67,"Passed on test")</f>
        <v/>
      </c>
      <c r="O67" s="2">
        <f>COUNTIF('gpt-6-astra'!$B67:$AB67,"Failed on test")</f>
        <v/>
      </c>
      <c r="P67" s="2">
        <f>COUNTIF('gpt-6-astra'!$B67:$AB67,"Runtime error")</f>
        <v/>
      </c>
      <c r="Q67" s="2">
        <f>IF(R67=$D67,"Passed on test",IF(T67&gt;0,"Runtime error","Failed on test"))</f>
        <v/>
      </c>
      <c r="R67" s="2">
        <f>COUNTIF('gpt-6.1-sol'!$B67:$AB67,"Passed on test")</f>
        <v/>
      </c>
      <c r="S67" s="2">
        <f>COUNTIF('gpt-6.1-sol'!$B67:$AB67,"Failed on test")</f>
        <v/>
      </c>
      <c r="T67" s="2">
        <f>COUNTIF('gpt-6.1-sol'!$B67:$AB67,"Runtime error")</f>
        <v/>
      </c>
      <c r="U67" s="2">
        <f>IF(MAX(F67,J67,N67,R67)=0,"None",IF(MIN(F67,J67,N67,R67)=MAX(F67,J67,N67,R67),"All four",_xlfn.TEXTJOIN(", ",TRUE,IF(F67=MAX(F67,J67,N67,R67),"gpt-5.6-luna",""),IF(J67=MAX(F67,J67,N67,R67),"gpt-6-luna",""),IF(N67=MAX(F67,J67,N67,R67),"gpt-6-astra",""),IF(R67=MAX(F67,J67,N67,R67),"gpt-6.1-sol",""))))</f>
        <v/>
      </c>
      <c r="V67" s="2">
        <f>IF(MAX(F67,J67,N67,R67)&lt;&gt;MIN(F67,J67,N67,R67),"differ",IF(F67=$D67,"all_pass",IF(F67=0,"all_zero","same_partial")))</f>
        <v/>
      </c>
      <c r="W67" s="3" t="inlineStr">
        <is>
          <t>Rescored 19 Oct 2026 on Nick's main test. gpt-5.6-luna 0 pass / 0 fail / 8 error; gpt-6-luna 0 pass / 0 fail / 8 error; gpt-6-astra 0 pass / 8 fail / 0 error; gpt-6.1-sol 0 pass / 8 fail / 0 error.</t>
        </is>
      </c>
    </row>
    <row r="68">
      <c r="A68" s="2" t="n">
        <v>8</v>
      </c>
      <c r="B68" s="2" t="inlineStr">
        <is>
          <t>issue_772</t>
        </is>
      </c>
      <c r="C68" s="2" t="inlineStr">
        <is>
          <t>Custom gate on qubits in two registers</t>
        </is>
      </c>
      <c r="D68" s="2">
        <f>COUNTIF('gpt-5.6-luna'!$B68:$AB68,"Passed on test")+COUNTIF('gpt-5.6-luna'!$B68:$AB68,"Failed on test")+COUNTIF('gpt-5.6-luna'!$B68:$AB68,"Runtime error")</f>
        <v/>
      </c>
      <c r="E68" s="2">
        <f>IF(F68=$D68,"Passed on test",IF(H68&gt;0,"Runtime error","Failed on test"))</f>
        <v/>
      </c>
      <c r="F68" s="2">
        <f>COUNTIF('gpt-5.6-luna'!$B68:$AB68,"Passed on test")</f>
        <v/>
      </c>
      <c r="G68" s="2">
        <f>COUNTIF('gpt-5.6-luna'!$B68:$AB68,"Failed on test")</f>
        <v/>
      </c>
      <c r="H68" s="2">
        <f>COUNTIF('gpt-5.6-luna'!$B68:$AB68,"Runtime error")</f>
        <v/>
      </c>
      <c r="I68" s="2">
        <f>IF(J68=$D68,"Passed on test",IF(L68&gt;0,"Runtime error","Failed on test"))</f>
        <v/>
      </c>
      <c r="J68" s="2">
        <f>COUNTIF('gpt-6-luna'!$B68:$AB68,"Passed on test")</f>
        <v/>
      </c>
      <c r="K68" s="2">
        <f>COUNTIF('gpt-6-luna'!$B68:$AB68,"Failed on test")</f>
        <v/>
      </c>
      <c r="L68" s="2">
        <f>COUNTIF('gpt-6-luna'!$B68:$AB68,"Runtime error")</f>
        <v/>
      </c>
      <c r="M68" s="2">
        <f>IF(N68=$D68,"Passed on test",IF(P68&gt;0,"Runtime error","Failed on test"))</f>
        <v/>
      </c>
      <c r="N68" s="2">
        <f>COUNTIF('gpt-6-astra'!$B68:$AB68,"Passed on test")</f>
        <v/>
      </c>
      <c r="O68" s="2">
        <f>COUNTIF('gpt-6-astra'!$B68:$AB68,"Failed on test")</f>
        <v/>
      </c>
      <c r="P68" s="2">
        <f>COUNTIF('gpt-6-astra'!$B68:$AB68,"Runtime error")</f>
        <v/>
      </c>
      <c r="Q68" s="2">
        <f>IF(R68=$D68,"Passed on test",IF(T68&gt;0,"Runtime error","Failed on test"))</f>
        <v/>
      </c>
      <c r="R68" s="2">
        <f>COUNTIF('gpt-6.1-sol'!$B68:$AB68,"Passed on test")</f>
        <v/>
      </c>
      <c r="S68" s="2">
        <f>COUNTIF('gpt-6.1-sol'!$B68:$AB68,"Failed on test")</f>
        <v/>
      </c>
      <c r="T68" s="2">
        <f>COUNTIF('gpt-6.1-sol'!$B68:$AB68,"Runtime error")</f>
        <v/>
      </c>
      <c r="U68" s="2">
        <f>IF(MAX(F68,J68,N68,R68)=0,"None",IF(MIN(F68,J68,N68,R68)=MAX(F68,J68,N68,R68),"All four",_xlfn.TEXTJOIN(", ",TRUE,IF(F68=MAX(F68,J68,N68,R68),"gpt-5.6-luna",""),IF(J68=MAX(F68,J68,N68,R68),"gpt-6-luna",""),IF(N68=MAX(F68,J68,N68,R68),"gpt-6-astra",""),IF(R68=MAX(F68,J68,N68,R68),"gpt-6.1-sol",""))))</f>
        <v/>
      </c>
      <c r="V68" s="2">
        <f>IF(MAX(F68,J68,N68,R68)&lt;&gt;MIN(F68,J68,N68,R68),"differ",IF(F68=$D68,"all_pass",IF(F68=0,"all_zero","same_partial")))</f>
        <v/>
      </c>
      <c r="W68" s="3" t="inlineStr">
        <is>
          <t>All four pass (One qubit list qr1[1:2] + qr2[0:3])</t>
        </is>
      </c>
    </row>
    <row r="69">
      <c r="A69" s="2" t="n">
        <v>8</v>
      </c>
      <c r="B69" s="2" t="inlineStr">
        <is>
          <t>issue_790</t>
        </is>
      </c>
      <c r="C69" s="2" t="inlineStr">
        <is>
          <t>Suzuki-Trotter on a circuit</t>
        </is>
      </c>
      <c r="D69" s="2">
        <f>COUNTIF('gpt-5.6-luna'!$B69:$AB69,"Passed on test")+COUNTIF('gpt-5.6-luna'!$B69:$AB69,"Failed on test")+COUNTIF('gpt-5.6-luna'!$B69:$AB69,"Runtime error")</f>
        <v/>
      </c>
      <c r="E69" s="2">
        <f>IF(F69=$D69,"Passed on test",IF(H69&gt;0,"Runtime error","Failed on test"))</f>
        <v/>
      </c>
      <c r="F69" s="2">
        <f>COUNTIF('gpt-5.6-luna'!$B69:$AB69,"Passed on test")</f>
        <v/>
      </c>
      <c r="G69" s="2">
        <f>COUNTIF('gpt-5.6-luna'!$B69:$AB69,"Failed on test")</f>
        <v/>
      </c>
      <c r="H69" s="2">
        <f>COUNTIF('gpt-5.6-luna'!$B69:$AB69,"Runtime error")</f>
        <v/>
      </c>
      <c r="I69" s="2">
        <f>IF(J69=$D69,"Passed on test",IF(L69&gt;0,"Runtime error","Failed on test"))</f>
        <v/>
      </c>
      <c r="J69" s="2">
        <f>COUNTIF('gpt-6-luna'!$B69:$AB69,"Passed on test")</f>
        <v/>
      </c>
      <c r="K69" s="2">
        <f>COUNTIF('gpt-6-luna'!$B69:$AB69,"Failed on test")</f>
        <v/>
      </c>
      <c r="L69" s="2">
        <f>COUNTIF('gpt-6-luna'!$B69:$AB69,"Runtime error")</f>
        <v/>
      </c>
      <c r="M69" s="2">
        <f>IF(N69=$D69,"Passed on test",IF(P69&gt;0,"Runtime error","Failed on test"))</f>
        <v/>
      </c>
      <c r="N69" s="2">
        <f>COUNTIF('gpt-6-astra'!$B69:$AB69,"Passed on test")</f>
        <v/>
      </c>
      <c r="O69" s="2">
        <f>COUNTIF('gpt-6-astra'!$B69:$AB69,"Failed on test")</f>
        <v/>
      </c>
      <c r="P69" s="2">
        <f>COUNTIF('gpt-6-astra'!$B69:$AB69,"Runtime error")</f>
        <v/>
      </c>
      <c r="Q69" s="2">
        <f>IF(R69=$D69,"Passed on test",IF(T69&gt;0,"Runtime error","Failed on test"))</f>
        <v/>
      </c>
      <c r="R69" s="2">
        <f>COUNTIF('gpt-6.1-sol'!$B69:$AB69,"Passed on test")</f>
        <v/>
      </c>
      <c r="S69" s="2">
        <f>COUNTIF('gpt-6.1-sol'!$B69:$AB69,"Failed on test")</f>
        <v/>
      </c>
      <c r="T69" s="2">
        <f>COUNTIF('gpt-6.1-sol'!$B69:$AB69,"Runtime error")</f>
        <v/>
      </c>
      <c r="U69" s="2">
        <f>IF(MAX(F69,J69,N69,R69)=0,"None",IF(MIN(F69,J69,N69,R69)=MAX(F69,J69,N69,R69),"All four",_xlfn.TEXTJOIN(", ",TRUE,IF(F69=MAX(F69,J69,N69,R69),"gpt-5.6-luna",""),IF(J69=MAX(F69,J69,N69,R69),"gpt-6-luna",""),IF(N69=MAX(F69,J69,N69,R69),"gpt-6-astra",""),IF(R69=MAX(F69,J69,N69,R69),"gpt-6.1-sol",""))))</f>
        <v/>
      </c>
      <c r="V69" s="2">
        <f>IF(MAX(F69,J69,N69,R69)&lt;&gt;MIN(F69,J69,N69,R69),"differ",IF(F69=$D69,"all_pass",IF(F69=0,"all_zero","same_partial")))</f>
        <v/>
      </c>
      <c r="W69" s="3" t="inlineStr">
        <is>
          <t>The luna fixes crash on Pauli subtraction; gpt-6-astra and gpt-6.1-sol run but the Trotter step is too coarse</t>
        </is>
      </c>
    </row>
    <row r="70">
      <c r="A70" s="2" t="n">
        <v>8</v>
      </c>
      <c r="B70" s="2" t="inlineStr">
        <is>
          <t>issue_827</t>
        </is>
      </c>
      <c r="C70" s="2" t="inlineStr">
        <is>
          <t>Running parallel circuits</t>
        </is>
      </c>
      <c r="D70" s="2">
        <f>COUNTIF('gpt-5.6-luna'!$B70:$AB70,"Passed on test")+COUNTIF('gpt-5.6-luna'!$B70:$AB70,"Failed on test")+COUNTIF('gpt-5.6-luna'!$B70:$AB70,"Runtime error")</f>
        <v/>
      </c>
      <c r="E70" s="2">
        <f>IF(F70=$D70,"Passed on test",IF(H70&gt;0,"Runtime error","Failed on test"))</f>
        <v/>
      </c>
      <c r="F70" s="2">
        <f>COUNTIF('gpt-5.6-luna'!$B70:$AB70,"Passed on test")</f>
        <v/>
      </c>
      <c r="G70" s="2">
        <f>COUNTIF('gpt-5.6-luna'!$B70:$AB70,"Failed on test")</f>
        <v/>
      </c>
      <c r="H70" s="2">
        <f>COUNTIF('gpt-5.6-luna'!$B70:$AB70,"Runtime error")</f>
        <v/>
      </c>
      <c r="I70" s="2">
        <f>IF(J70=$D70,"Passed on test",IF(L70&gt;0,"Runtime error","Failed on test"))</f>
        <v/>
      </c>
      <c r="J70" s="2">
        <f>COUNTIF('gpt-6-luna'!$B70:$AB70,"Passed on test")</f>
        <v/>
      </c>
      <c r="K70" s="2">
        <f>COUNTIF('gpt-6-luna'!$B70:$AB70,"Failed on test")</f>
        <v/>
      </c>
      <c r="L70" s="2">
        <f>COUNTIF('gpt-6-luna'!$B70:$AB70,"Runtime error")</f>
        <v/>
      </c>
      <c r="M70" s="2">
        <f>IF(N70=$D70,"Passed on test",IF(P70&gt;0,"Runtime error","Failed on test"))</f>
        <v/>
      </c>
      <c r="N70" s="2">
        <f>COUNTIF('gpt-6-astra'!$B70:$AB70,"Passed on test")</f>
        <v/>
      </c>
      <c r="O70" s="2">
        <f>COUNTIF('gpt-6-astra'!$B70:$AB70,"Failed on test")</f>
        <v/>
      </c>
      <c r="P70" s="2">
        <f>COUNTIF('gpt-6-astra'!$B70:$AB70,"Runtime error")</f>
        <v/>
      </c>
      <c r="Q70" s="2">
        <f>IF(R70=$D70,"Passed on test",IF(T70&gt;0,"Runtime error","Failed on test"))</f>
        <v/>
      </c>
      <c r="R70" s="2">
        <f>COUNTIF('gpt-6.1-sol'!$B70:$AB70,"Passed on test")</f>
        <v/>
      </c>
      <c r="S70" s="2">
        <f>COUNTIF('gpt-6.1-sol'!$B70:$AB70,"Failed on test")</f>
        <v/>
      </c>
      <c r="T70" s="2">
        <f>COUNTIF('gpt-6.1-sol'!$B70:$AB70,"Runtime error")</f>
        <v/>
      </c>
      <c r="U70" s="2">
        <f>IF(MAX(F70,J70,N70,R70)=0,"None",IF(MIN(F70,J70,N70,R70)=MAX(F70,J70,N70,R70),"All four",_xlfn.TEXTJOIN(", ",TRUE,IF(F70=MAX(F70,J70,N70,R70),"gpt-5.6-luna",""),IF(J70=MAX(F70,J70,N70,R70),"gpt-6-luna",""),IF(N70=MAX(F70,J70,N70,R70),"gpt-6-astra",""),IF(R70=MAX(F70,J70,N70,R70),"gpt-6.1-sol",""))))</f>
        <v/>
      </c>
      <c r="V70" s="2">
        <f>IF(MAX(F70,J70,N70,R70)&lt;&gt;MIN(F70,J70,N70,R70),"differ",IF(F70=$D70,"all_pass",IF(F70=0,"all_zero","same_partial")))</f>
        <v/>
      </c>
      <c r="W70" s="3" t="inlineStr">
        <is>
          <t>All keep the removed qiskit.backends import</t>
        </is>
      </c>
    </row>
    <row r="71">
      <c r="A71" s="2" t="n">
        <v>8</v>
      </c>
      <c r="B71" s="2" t="inlineStr">
        <is>
          <t>issue_858</t>
        </is>
      </c>
      <c r="C71" s="2" t="inlineStr">
        <is>
          <t>T1 of a retired IBM system</t>
        </is>
      </c>
      <c r="D71" s="2">
        <f>COUNTIF('gpt-5.6-luna'!$B71:$AB71,"Passed on test")+COUNTIF('gpt-5.6-luna'!$B71:$AB71,"Failed on test")+COUNTIF('gpt-5.6-luna'!$B71:$AB71,"Runtime error")</f>
        <v/>
      </c>
      <c r="E71" s="2">
        <f>IF(F71=$D71,"Passed on test",IF(H71&gt;0,"Runtime error","Failed on test"))</f>
        <v/>
      </c>
      <c r="F71" s="2">
        <f>COUNTIF('gpt-5.6-luna'!$B71:$AB71,"Passed on test")</f>
        <v/>
      </c>
      <c r="G71" s="2">
        <f>COUNTIF('gpt-5.6-luna'!$B71:$AB71,"Failed on test")</f>
        <v/>
      </c>
      <c r="H71" s="2">
        <f>COUNTIF('gpt-5.6-luna'!$B71:$AB71,"Runtime error")</f>
        <v/>
      </c>
      <c r="I71" s="2">
        <f>IF(J71=$D71,"Passed on test",IF(L71&gt;0,"Runtime error","Failed on test"))</f>
        <v/>
      </c>
      <c r="J71" s="2">
        <f>COUNTIF('gpt-6-luna'!$B71:$AB71,"Passed on test")</f>
        <v/>
      </c>
      <c r="K71" s="2">
        <f>COUNTIF('gpt-6-luna'!$B71:$AB71,"Failed on test")</f>
        <v/>
      </c>
      <c r="L71" s="2">
        <f>COUNTIF('gpt-6-luna'!$B71:$AB71,"Runtime error")</f>
        <v/>
      </c>
      <c r="M71" s="2">
        <f>IF(N71=$D71,"Passed on test",IF(P71&gt;0,"Runtime error","Failed on test"))</f>
        <v/>
      </c>
      <c r="N71" s="2">
        <f>COUNTIF('gpt-6-astra'!$B71:$AB71,"Passed on test")</f>
        <v/>
      </c>
      <c r="O71" s="2">
        <f>COUNTIF('gpt-6-astra'!$B71:$AB71,"Failed on test")</f>
        <v/>
      </c>
      <c r="P71" s="2">
        <f>COUNTIF('gpt-6-astra'!$B71:$AB71,"Runtime error")</f>
        <v/>
      </c>
      <c r="Q71" s="2">
        <f>IF(R71=$D71,"Passed on test",IF(T71&gt;0,"Runtime error","Failed on test"))</f>
        <v/>
      </c>
      <c r="R71" s="2">
        <f>COUNTIF('gpt-6.1-sol'!$B71:$AB71,"Passed on test")</f>
        <v/>
      </c>
      <c r="S71" s="2">
        <f>COUNTIF('gpt-6.1-sol'!$B71:$AB71,"Failed on test")</f>
        <v/>
      </c>
      <c r="T71" s="2">
        <f>COUNTIF('gpt-6.1-sol'!$B71:$AB71,"Runtime error")</f>
        <v/>
      </c>
      <c r="U71" s="2">
        <f>IF(MAX(F71,J71,N71,R71)=0,"None",IF(MIN(F71,J71,N71,R71)=MAX(F71,J71,N71,R71),"All four",_xlfn.TEXTJOIN(", ",TRUE,IF(F71=MAX(F71,J71,N71,R71),"gpt-5.6-luna",""),IF(J71=MAX(F71,J71,N71,R71),"gpt-6-luna",""),IF(N71=MAX(F71,J71,N71,R71),"gpt-6-astra",""),IF(R71=MAX(F71,J71,N71,R71),"gpt-6.1-sol",""))))</f>
        <v/>
      </c>
      <c r="V71" s="2">
        <f>IF(MAX(F71,J71,N71,R71)&lt;&gt;MIN(F71,J71,N71,R71),"differ",IF(F71=$D71,"all_pass",IF(F71=0,"all_zero","same_partial")))</f>
        <v/>
      </c>
      <c r="W71" s="3" t="inlineStr">
        <is>
          <t>All still need properties() or a live IBM account, which the offline fake backend can't provide</t>
        </is>
      </c>
    </row>
    <row r="72">
      <c r="A72" s="2" t="n">
        <v>8</v>
      </c>
      <c r="B72" s="2" t="inlineStr">
        <is>
          <t>issue_901</t>
        </is>
      </c>
      <c r="C72" s="2" t="inlineStr">
        <is>
          <t>Transpile to {H, T, CNOT}</t>
        </is>
      </c>
      <c r="D72" s="2">
        <f>COUNTIF('gpt-5.6-luna'!$B72:$AB72,"Passed on test")+COUNTIF('gpt-5.6-luna'!$B72:$AB72,"Failed on test")+COUNTIF('gpt-5.6-luna'!$B72:$AB72,"Runtime error")</f>
        <v/>
      </c>
      <c r="E72" s="2">
        <f>IF(F72=$D72,"Passed on test",IF(H72&gt;0,"Runtime error","Failed on test"))</f>
        <v/>
      </c>
      <c r="F72" s="2">
        <f>COUNTIF('gpt-5.6-luna'!$B72:$AB72,"Passed on test")</f>
        <v/>
      </c>
      <c r="G72" s="2">
        <f>COUNTIF('gpt-5.6-luna'!$B72:$AB72,"Failed on test")</f>
        <v/>
      </c>
      <c r="H72" s="2">
        <f>COUNTIF('gpt-5.6-luna'!$B72:$AB72,"Runtime error")</f>
        <v/>
      </c>
      <c r="I72" s="2">
        <f>IF(J72=$D72,"Passed on test",IF(L72&gt;0,"Runtime error","Failed on test"))</f>
        <v/>
      </c>
      <c r="J72" s="2">
        <f>COUNTIF('gpt-6-luna'!$B72:$AB72,"Passed on test")</f>
        <v/>
      </c>
      <c r="K72" s="2">
        <f>COUNTIF('gpt-6-luna'!$B72:$AB72,"Failed on test")</f>
        <v/>
      </c>
      <c r="L72" s="2">
        <f>COUNTIF('gpt-6-luna'!$B72:$AB72,"Runtime error")</f>
        <v/>
      </c>
      <c r="M72" s="2">
        <f>IF(N72=$D72,"Passed on test",IF(P72&gt;0,"Runtime error","Failed on test"))</f>
        <v/>
      </c>
      <c r="N72" s="2">
        <f>COUNTIF('gpt-6-astra'!$B72:$AB72,"Passed on test")</f>
        <v/>
      </c>
      <c r="O72" s="2">
        <f>COUNTIF('gpt-6-astra'!$B72:$AB72,"Failed on test")</f>
        <v/>
      </c>
      <c r="P72" s="2">
        <f>COUNTIF('gpt-6-astra'!$B72:$AB72,"Runtime error")</f>
        <v/>
      </c>
      <c r="Q72" s="2">
        <f>IF(R72=$D72,"Passed on test",IF(T72&gt;0,"Runtime error","Failed on test"))</f>
        <v/>
      </c>
      <c r="R72" s="2">
        <f>COUNTIF('gpt-6.1-sol'!$B72:$AB72,"Passed on test")</f>
        <v/>
      </c>
      <c r="S72" s="2">
        <f>COUNTIF('gpt-6.1-sol'!$B72:$AB72,"Failed on test")</f>
        <v/>
      </c>
      <c r="T72" s="2">
        <f>COUNTIF('gpt-6.1-sol'!$B72:$AB72,"Runtime error")</f>
        <v/>
      </c>
      <c r="U72" s="2">
        <f>IF(MAX(F72,J72,N72,R72)=0,"None",IF(MIN(F72,J72,N72,R72)=MAX(F72,J72,N72,R72),"All four",_xlfn.TEXTJOIN(", ",TRUE,IF(F72=MAX(F72,J72,N72,R72),"gpt-5.6-luna",""),IF(J72=MAX(F72,J72,N72,R72),"gpt-6-luna",""),IF(N72=MAX(F72,J72,N72,R72),"gpt-6-astra",""),IF(R72=MAX(F72,J72,N72,R72),"gpt-6.1-sol",""))))</f>
        <v/>
      </c>
      <c r="V72" s="2">
        <f>IF(MAX(F72,J72,N72,R72)&lt;&gt;MIN(F72,J72,N72,R72),"differ",IF(F72=$D72,"all_pass",IF(F72=0,"all_zero","same_partial")))</f>
        <v/>
      </c>
      <c r="W72" s="3" t="inlineStr">
        <is>
          <t>All four pass (Registered the exact decomposition S = T T)</t>
        </is>
      </c>
    </row>
    <row r="73">
      <c r="A73" s="2" t="n">
        <v>8</v>
      </c>
      <c r="B73" s="2" t="inlineStr">
        <is>
          <t>issue_921</t>
        </is>
      </c>
      <c r="C73" s="2" t="inlineStr">
        <is>
          <t>run_algorithm() inputs</t>
        </is>
      </c>
      <c r="D73" s="2">
        <f>COUNTIF('gpt-5.6-luna'!$B73:$AB73,"Passed on test")+COUNTIF('gpt-5.6-luna'!$B73:$AB73,"Failed on test")+COUNTIF('gpt-5.6-luna'!$B73:$AB73,"Runtime error")</f>
        <v/>
      </c>
      <c r="E73" s="2">
        <f>IF(F73=$D73,"Passed on test",IF(H73&gt;0,"Runtime error","Failed on test"))</f>
        <v/>
      </c>
      <c r="F73" s="2">
        <f>COUNTIF('gpt-5.6-luna'!$B73:$AB73,"Passed on test")</f>
        <v/>
      </c>
      <c r="G73" s="2">
        <f>COUNTIF('gpt-5.6-luna'!$B73:$AB73,"Failed on test")</f>
        <v/>
      </c>
      <c r="H73" s="2">
        <f>COUNTIF('gpt-5.6-luna'!$B73:$AB73,"Runtime error")</f>
        <v/>
      </c>
      <c r="I73" s="2">
        <f>IF(J73=$D73,"Passed on test",IF(L73&gt;0,"Runtime error","Failed on test"))</f>
        <v/>
      </c>
      <c r="J73" s="2">
        <f>COUNTIF('gpt-6-luna'!$B73:$AB73,"Passed on test")</f>
        <v/>
      </c>
      <c r="K73" s="2">
        <f>COUNTIF('gpt-6-luna'!$B73:$AB73,"Failed on test")</f>
        <v/>
      </c>
      <c r="L73" s="2">
        <f>COUNTIF('gpt-6-luna'!$B73:$AB73,"Runtime error")</f>
        <v/>
      </c>
      <c r="M73" s="2">
        <f>IF(N73=$D73,"Passed on test",IF(P73&gt;0,"Runtime error","Failed on test"))</f>
        <v/>
      </c>
      <c r="N73" s="2">
        <f>COUNTIF('gpt-6-astra'!$B73:$AB73,"Passed on test")</f>
        <v/>
      </c>
      <c r="O73" s="2">
        <f>COUNTIF('gpt-6-astra'!$B73:$AB73,"Failed on test")</f>
        <v/>
      </c>
      <c r="P73" s="2">
        <f>COUNTIF('gpt-6-astra'!$B73:$AB73,"Runtime error")</f>
        <v/>
      </c>
      <c r="Q73" s="2">
        <f>IF(R73=$D73,"Passed on test",IF(T73&gt;0,"Runtime error","Failed on test"))</f>
        <v/>
      </c>
      <c r="R73" s="2">
        <f>COUNTIF('gpt-6.1-sol'!$B73:$AB73,"Passed on test")</f>
        <v/>
      </c>
      <c r="S73" s="2">
        <f>COUNTIF('gpt-6.1-sol'!$B73:$AB73,"Failed on test")</f>
        <v/>
      </c>
      <c r="T73" s="2">
        <f>COUNTIF('gpt-6.1-sol'!$B73:$AB73,"Runtime error")</f>
        <v/>
      </c>
      <c r="U73" s="2">
        <f>IF(MAX(F73,J73,N73,R73)=0,"None",IF(MIN(F73,J73,N73,R73)=MAX(F73,J73,N73,R73),"All four",_xlfn.TEXTJOIN(", ",TRUE,IF(F73=MAX(F73,J73,N73,R73),"gpt-5.6-luna",""),IF(J73=MAX(F73,J73,N73,R73),"gpt-6-luna",""),IF(N73=MAX(F73,J73,N73,R73),"gpt-6-astra",""),IF(R73=MAX(F73,J73,N73,R73),"gpt-6.1-sol",""))))</f>
        <v/>
      </c>
      <c r="V73" s="2">
        <f>IF(MAX(F73,J73,N73,R73)&lt;&gt;MIN(F73,J73,N73,R73),"differ",IF(F73=$D73,"all_pass",IF(F73=0,"all_zero","same_partial")))</f>
        <v/>
      </c>
      <c r="W73" s="3" t="inlineStr">
        <is>
          <t>All keep run_algorithm, which no longer exists (gpt-6-luna said "NO BUG")</t>
        </is>
      </c>
    </row>
  </sheetData>
  <autoFilter ref="A1:W74"/>
  <conditionalFormatting sqref="E2:E74">
    <cfRule type="cellIs" priority="1" operator="equal" dxfId="0">
      <formula>"Passed on test"</formula>
    </cfRule>
    <cfRule type="cellIs" priority="2" operator="equal" dxfId="1">
      <formula>"Failed on test"</formula>
    </cfRule>
    <cfRule type="cellIs" priority="3" operator="equal" dxfId="2">
      <formula>"Runtime error"</formula>
    </cfRule>
  </conditionalFormatting>
  <conditionalFormatting sqref="I2:I74">
    <cfRule type="cellIs" priority="4" operator="equal" dxfId="0">
      <formula>"Passed on test"</formula>
    </cfRule>
    <cfRule type="cellIs" priority="5" operator="equal" dxfId="1">
      <formula>"Failed on test"</formula>
    </cfRule>
    <cfRule type="cellIs" priority="6" operator="equal" dxfId="2">
      <formula>"Runtime error"</formula>
    </cfRule>
  </conditionalFormatting>
  <conditionalFormatting sqref="M2:M74">
    <cfRule type="cellIs" priority="7" operator="equal" dxfId="0">
      <formula>"Passed on test"</formula>
    </cfRule>
    <cfRule type="cellIs" priority="8" operator="equal" dxfId="1">
      <formula>"Failed on test"</formula>
    </cfRule>
    <cfRule type="cellIs" priority="9" operator="equal" dxfId="2">
      <formula>"Runtime error"</formula>
    </cfRule>
  </conditionalFormatting>
  <conditionalFormatting sqref="Q2:Q74">
    <cfRule type="cellIs" priority="10" operator="equal" dxfId="0">
      <formula>"Passed on test"</formula>
    </cfRule>
    <cfRule type="cellIs" priority="11" operator="equal" dxfId="1">
      <formula>"Failed on test"</formula>
    </cfRule>
    <cfRule type="cellIs" priority="12" operator="equal" dxfId="2">
      <formula>"Runtime error"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9" customWidth="1" min="3" max="3"/>
    <col width="13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LLM bug-repair results: the four GPT models on the same 72 cases (1000 case × version pairs)</t>
        </is>
      </c>
    </row>
    <row r="2" ht="45" customHeight="1">
      <c r="A2" s="5" t="inlineStr">
        <is>
          <t>All numbers are formulas over the four model sheets (one status per case × version, same layout as each model's own Summary sheet) and the Overview sheet, except section 7, which compares the fix files. Timeouts (120 s) count as Runtime error. issue_096, issue_453, issue_497, issue_622, issue_769, issue_876, issue_877, issue_958 and issue_985 were rescored on 19 Oct 2026 using Nick's updated Part 2 test.py files from origin/main. issue_189, issue_671, issue_747, issue_775, issue_810, issue_886, issue_911, issue_944, issue_977, issue_994 and issue_1035 were rescored the same day on Nick's main test.py files. Timeouts (120 s) count as runtime errors.</t>
        </is>
      </c>
    </row>
    <row r="4">
      <c r="A4" s="6" t="inlineStr">
        <is>
          <t>1. Case × version pairs</t>
        </is>
      </c>
    </row>
    <row r="5">
      <c r="A5" s="1" t="inlineStr">
        <is>
          <t>Result</t>
        </is>
      </c>
      <c r="B5" s="1" t="inlineStr">
        <is>
          <t>gpt-5.6-luna</t>
        </is>
      </c>
      <c r="C5" s="1" t="inlineStr">
        <is>
          <t>%</t>
        </is>
      </c>
      <c r="D5" s="1" t="inlineStr">
        <is>
          <t>gpt-6-luna</t>
        </is>
      </c>
      <c r="E5" s="1" t="inlineStr">
        <is>
          <t>%</t>
        </is>
      </c>
      <c r="F5" s="1" t="inlineStr">
        <is>
          <t>gpt-6-astra</t>
        </is>
      </c>
      <c r="G5" s="1" t="inlineStr">
        <is>
          <t>%</t>
        </is>
      </c>
      <c r="H5" s="1" t="inlineStr">
        <is>
          <t>gpt-6.1-sol</t>
        </is>
      </c>
      <c r="I5" s="1" t="inlineStr">
        <is>
          <t>%</t>
        </is>
      </c>
    </row>
    <row r="6">
      <c r="A6" s="7" t="inlineStr">
        <is>
          <t>Passed on test</t>
        </is>
      </c>
      <c r="B6" s="2">
        <f>COUNTIF('gpt-5.6-luna'!$B$2:$AB$73,"Passed on test")</f>
        <v/>
      </c>
      <c r="C6" s="8">
        <f>IF(B$9=0,0,B6/B$9)</f>
        <v/>
      </c>
      <c r="D6" s="2">
        <f>COUNTIF('gpt-6-luna'!$B$2:$AB$73,"Passed on test")</f>
        <v/>
      </c>
      <c r="E6" s="8">
        <f>IF(D$9=0,0,D6/D$9)</f>
        <v/>
      </c>
      <c r="F6" s="2">
        <f>COUNTIF('gpt-6-astra'!$B$2:$AB$73,"Passed on test")</f>
        <v/>
      </c>
      <c r="G6" s="8">
        <f>IF(F$9=0,0,F6/F$9)</f>
        <v/>
      </c>
      <c r="H6" s="2">
        <f>COUNTIF('gpt-6.1-sol'!$B$2:$AB$73,"Passed on test")</f>
        <v/>
      </c>
      <c r="I6" s="8">
        <f>IF(H$9=0,0,H6/H$9)</f>
        <v/>
      </c>
    </row>
    <row r="7">
      <c r="A7" s="9" t="inlineStr">
        <is>
          <t>Failed on test</t>
        </is>
      </c>
      <c r="B7" s="2">
        <f>COUNTIF('gpt-5.6-luna'!$B$2:$AB$73,"Failed on test")</f>
        <v/>
      </c>
      <c r="C7" s="8">
        <f>IF(B$9=0,0,B7/B$9)</f>
        <v/>
      </c>
      <c r="D7" s="2">
        <f>COUNTIF('gpt-6-luna'!$B$2:$AB$73,"Failed on test")</f>
        <v/>
      </c>
      <c r="E7" s="8">
        <f>IF(D$9=0,0,D7/D$9)</f>
        <v/>
      </c>
      <c r="F7" s="2">
        <f>COUNTIF('gpt-6-astra'!$B$2:$AB$73,"Failed on test")</f>
        <v/>
      </c>
      <c r="G7" s="8">
        <f>IF(F$9=0,0,F7/F$9)</f>
        <v/>
      </c>
      <c r="H7" s="2">
        <f>COUNTIF('gpt-6.1-sol'!$B$2:$AB$73,"Failed on test")</f>
        <v/>
      </c>
      <c r="I7" s="8">
        <f>IF(H$9=0,0,H7/H$9)</f>
        <v/>
      </c>
    </row>
    <row r="8">
      <c r="A8" s="10" t="inlineStr">
        <is>
          <t>Runtime error</t>
        </is>
      </c>
      <c r="B8" s="2">
        <f>COUNTIF('gpt-5.6-luna'!$B$2:$AB$73,"Runtime error")</f>
        <v/>
      </c>
      <c r="C8" s="8">
        <f>IF(B$9=0,0,B8/B$9)</f>
        <v/>
      </c>
      <c r="D8" s="2">
        <f>COUNTIF('gpt-6-luna'!$B$2:$AB$73,"Runtime error")</f>
        <v/>
      </c>
      <c r="E8" s="8">
        <f>IF(D$9=0,0,D8/D$9)</f>
        <v/>
      </c>
      <c r="F8" s="2">
        <f>COUNTIF('gpt-6-astra'!$B$2:$AB$73,"Runtime error")</f>
        <v/>
      </c>
      <c r="G8" s="8">
        <f>IF(F$9=0,0,F8/F$9)</f>
        <v/>
      </c>
      <c r="H8" s="2">
        <f>COUNTIF('gpt-6.1-sol'!$B$2:$AB$73,"Runtime error")</f>
        <v/>
      </c>
      <c r="I8" s="8">
        <f>IF(H$9=0,0,H8/H$9)</f>
        <v/>
      </c>
    </row>
    <row r="9">
      <c r="A9" s="11" t="inlineStr">
        <is>
          <t>Total tested</t>
        </is>
      </c>
      <c r="B9" s="11">
        <f>SUM(B6:B8)</f>
        <v/>
      </c>
      <c r="C9" s="12">
        <f>SUM(C6:C8)</f>
        <v/>
      </c>
      <c r="D9" s="11">
        <f>SUM(D6:D8)</f>
        <v/>
      </c>
      <c r="E9" s="12">
        <f>SUM(E6:E8)</f>
        <v/>
      </c>
      <c r="F9" s="11">
        <f>SUM(F6:F8)</f>
        <v/>
      </c>
      <c r="G9" s="12">
        <f>SUM(G6:G8)</f>
        <v/>
      </c>
      <c r="H9" s="11">
        <f>SUM(H6:H8)</f>
        <v/>
      </c>
      <c r="I9" s="12">
        <f>SUM(I6:I8)</f>
        <v/>
      </c>
    </row>
    <row r="10">
      <c r="A10" s="2" t="inlineStr">
        <is>
          <t>Not tested (version not listed for that case)</t>
        </is>
      </c>
      <c r="B10" s="2">
        <f>COUNTIF('gpt-5.6-luna'!$B$2:$AB$73,"NOT_TESTED")</f>
        <v/>
      </c>
      <c r="D10" s="2">
        <f>COUNTIF('gpt-6-luna'!$B$2:$AB$73,"NOT_TESTED")</f>
        <v/>
      </c>
      <c r="F10" s="2">
        <f>COUNTIF('gpt-6-astra'!$B$2:$AB$73,"NOT_TESTED")</f>
        <v/>
      </c>
      <c r="H10" s="2">
        <f>COUNTIF('gpt-6.1-sol'!$B$2:$AB$73,"NOT_TESTED")</f>
        <v/>
      </c>
    </row>
    <row r="12">
      <c r="A12" s="6" t="inlineStr">
        <is>
          <t>2. Cases by outcome ("Passed on test" only if every version passed)</t>
        </is>
      </c>
    </row>
    <row r="13">
      <c r="A13" s="1" t="inlineStr">
        <is>
          <t>Outcome</t>
        </is>
      </c>
      <c r="B13" s="1" t="inlineStr">
        <is>
          <t>gpt-5.6-luna</t>
        </is>
      </c>
      <c r="C13" s="1" t="inlineStr">
        <is>
          <t>%</t>
        </is>
      </c>
      <c r="D13" s="1" t="inlineStr">
        <is>
          <t>gpt-6-luna</t>
        </is>
      </c>
      <c r="E13" s="1" t="inlineStr">
        <is>
          <t>%</t>
        </is>
      </c>
      <c r="F13" s="1" t="inlineStr">
        <is>
          <t>gpt-6-astra</t>
        </is>
      </c>
      <c r="G13" s="1" t="inlineStr">
        <is>
          <t>%</t>
        </is>
      </c>
      <c r="H13" s="1" t="inlineStr">
        <is>
          <t>gpt-6.1-sol</t>
        </is>
      </c>
      <c r="I13" s="1" t="inlineStr">
        <is>
          <t>%</t>
        </is>
      </c>
    </row>
    <row r="14">
      <c r="A14" s="7" t="inlineStr">
        <is>
          <t>Passed on test</t>
        </is>
      </c>
      <c r="B14" s="2">
        <f>COUNTIF(Overview!$E$2:$E$73,"Passed on test")</f>
        <v/>
      </c>
      <c r="C14" s="8">
        <f>IF(B$17=0,0,B14/B$17)</f>
        <v/>
      </c>
      <c r="D14" s="2">
        <f>COUNTIF(Overview!$I$2:$I$73,"Passed on test")</f>
        <v/>
      </c>
      <c r="E14" s="8">
        <f>IF(D$17=0,0,D14/D$17)</f>
        <v/>
      </c>
      <c r="F14" s="2">
        <f>COUNTIF(Overview!$M$2:$M$73,"Passed on test")</f>
        <v/>
      </c>
      <c r="G14" s="8">
        <f>IF(F$17=0,0,F14/F$17)</f>
        <v/>
      </c>
      <c r="H14" s="2">
        <f>COUNTIF(Overview!$Q$2:$Q$73,"Passed on test")</f>
        <v/>
      </c>
      <c r="I14" s="8">
        <f>IF(H$17=0,0,H14/H$17)</f>
        <v/>
      </c>
    </row>
    <row r="15">
      <c r="A15" s="9" t="inlineStr">
        <is>
          <t>Failed on test</t>
        </is>
      </c>
      <c r="B15" s="2">
        <f>COUNTIF(Overview!$E$2:$E$73,"Failed on test")</f>
        <v/>
      </c>
      <c r="C15" s="8">
        <f>IF(B$17=0,0,B15/B$17)</f>
        <v/>
      </c>
      <c r="D15" s="2">
        <f>COUNTIF(Overview!$I$2:$I$73,"Failed on test")</f>
        <v/>
      </c>
      <c r="E15" s="8">
        <f>IF(D$17=0,0,D15/D$17)</f>
        <v/>
      </c>
      <c r="F15" s="2">
        <f>COUNTIF(Overview!$M$2:$M$73,"Failed on test")</f>
        <v/>
      </c>
      <c r="G15" s="8">
        <f>IF(F$17=0,0,F15/F$17)</f>
        <v/>
      </c>
      <c r="H15" s="2">
        <f>COUNTIF(Overview!$Q$2:$Q$73,"Failed on test")</f>
        <v/>
      </c>
      <c r="I15" s="8">
        <f>IF(H$17=0,0,H15/H$17)</f>
        <v/>
      </c>
    </row>
    <row r="16">
      <c r="A16" s="10" t="inlineStr">
        <is>
          <t>Runtime error</t>
        </is>
      </c>
      <c r="B16" s="2">
        <f>COUNTIF(Overview!$E$2:$E$73,"Runtime error")</f>
        <v/>
      </c>
      <c r="C16" s="8">
        <f>IF(B$17=0,0,B16/B$17)</f>
        <v/>
      </c>
      <c r="D16" s="2">
        <f>COUNTIF(Overview!$I$2:$I$73,"Runtime error")</f>
        <v/>
      </c>
      <c r="E16" s="8">
        <f>IF(D$17=0,0,D16/D$17)</f>
        <v/>
      </c>
      <c r="F16" s="2">
        <f>COUNTIF(Overview!$M$2:$M$73,"Runtime error")</f>
        <v/>
      </c>
      <c r="G16" s="8">
        <f>IF(F$17=0,0,F16/F$17)</f>
        <v/>
      </c>
      <c r="H16" s="2">
        <f>COUNTIF(Overview!$Q$2:$Q$73,"Runtime error")</f>
        <v/>
      </c>
      <c r="I16" s="8">
        <f>IF(H$17=0,0,H16/H$17)</f>
        <v/>
      </c>
    </row>
    <row r="17">
      <c r="A17" s="11" t="inlineStr">
        <is>
          <t>Total cases</t>
        </is>
      </c>
      <c r="B17" s="11">
        <f>SUM(B14:B16)</f>
        <v/>
      </c>
      <c r="C17" s="12">
        <f>SUM(C14:C16)</f>
        <v/>
      </c>
      <c r="D17" s="11">
        <f>SUM(D14:D16)</f>
        <v/>
      </c>
      <c r="E17" s="12">
        <f>SUM(E14:E16)</f>
        <v/>
      </c>
      <c r="F17" s="11">
        <f>SUM(F14:F16)</f>
        <v/>
      </c>
      <c r="G17" s="12">
        <f>SUM(G14:G16)</f>
        <v/>
      </c>
      <c r="H17" s="11">
        <f>SUM(H14:H16)</f>
        <v/>
      </c>
      <c r="I17" s="12">
        <f>SUM(I14:I16)</f>
        <v/>
      </c>
    </row>
    <row r="18">
      <c r="A18" t="inlineStr">
        <is>
          <t>A case counts as "Runtime error" if any version crashed or timed out, otherwise "Failed on test".</t>
        </is>
      </c>
    </row>
    <row r="20">
      <c r="A20" s="6" t="inlineStr">
        <is>
          <t>3. Cases that passed on at least one version</t>
        </is>
      </c>
    </row>
    <row r="21">
      <c r="A21" s="1" t="inlineStr">
        <is>
          <t>Measure</t>
        </is>
      </c>
      <c r="B21" s="1" t="inlineStr">
        <is>
          <t>gpt-5.6-luna</t>
        </is>
      </c>
      <c r="C21" s="1" t="inlineStr">
        <is>
          <t>%</t>
        </is>
      </c>
      <c r="D21" s="1" t="inlineStr">
        <is>
          <t>gpt-6-luna</t>
        </is>
      </c>
      <c r="E21" s="1" t="inlineStr">
        <is>
          <t>%</t>
        </is>
      </c>
      <c r="F21" s="1" t="inlineStr">
        <is>
          <t>gpt-6-astra</t>
        </is>
      </c>
      <c r="G21" s="1" t="inlineStr">
        <is>
          <t>%</t>
        </is>
      </c>
      <c r="H21" s="1" t="inlineStr">
        <is>
          <t>gpt-6.1-sol</t>
        </is>
      </c>
      <c r="I21" s="1" t="inlineStr">
        <is>
          <t>%</t>
        </is>
      </c>
    </row>
    <row r="22">
      <c r="A22" s="2" t="inlineStr">
        <is>
          <t>Passed on at least one version</t>
        </is>
      </c>
      <c r="B22" s="2">
        <f>COUNTIF(Overview!$F$2:$F$73,"&gt;0")</f>
        <v/>
      </c>
      <c r="C22" s="8">
        <f>IF(COUNTA(Overview!$B$2:$B$73)=0,0,B22/COUNTA(Overview!$B$2:$B$73))</f>
        <v/>
      </c>
      <c r="D22" s="2">
        <f>COUNTIF(Overview!$J$2:$J$73,"&gt;0")</f>
        <v/>
      </c>
      <c r="E22" s="8">
        <f>IF(COUNTA(Overview!$B$2:$B$73)=0,0,D22/COUNTA(Overview!$B$2:$B$73))</f>
        <v/>
      </c>
      <c r="F22" s="2">
        <f>COUNTIF(Overview!$N$2:$N$73,"&gt;0")</f>
        <v/>
      </c>
      <c r="G22" s="8">
        <f>IF(COUNTA(Overview!$B$2:$B$73)=0,0,F22/COUNTA(Overview!$B$2:$B$73))</f>
        <v/>
      </c>
      <c r="H22" s="2">
        <f>COUNTIF(Overview!$R$2:$R$73,"&gt;0")</f>
        <v/>
      </c>
      <c r="I22" s="8">
        <f>IF(COUNTA(Overview!$B$2:$B$73)=0,0,H22/COUNTA(Overview!$B$2:$B$73))</f>
        <v/>
      </c>
    </row>
    <row r="23">
      <c r="A23" s="2" t="inlineStr">
        <is>
          <t>Passed on every version (as in section 2)</t>
        </is>
      </c>
      <c r="B23" s="2">
        <f>B14</f>
        <v/>
      </c>
      <c r="C23" s="8">
        <f>IF(COUNTA(Overview!$B$2:$B$73)=0,0,B23/COUNTA(Overview!$B$2:$B$73))</f>
        <v/>
      </c>
      <c r="D23" s="2">
        <f>D14</f>
        <v/>
      </c>
      <c r="E23" s="8">
        <f>IF(COUNTA(Overview!$B$2:$B$73)=0,0,D23/COUNTA(Overview!$B$2:$B$73))</f>
        <v/>
      </c>
      <c r="F23" s="2">
        <f>F14</f>
        <v/>
      </c>
      <c r="G23" s="8">
        <f>IF(COUNTA(Overview!$B$2:$B$73)=0,0,F23/COUNTA(Overview!$B$2:$B$73))</f>
        <v/>
      </c>
      <c r="H23" s="2">
        <f>H14</f>
        <v/>
      </c>
      <c r="I23" s="8">
        <f>IF(COUNTA(Overview!$B$2:$B$73)=0,0,H23/COUNTA(Overview!$B$2:$B$73))</f>
        <v/>
      </c>
    </row>
    <row r="24">
      <c r="A24" s="2" t="inlineStr">
        <is>
          <t>Passed on some but not all versions</t>
        </is>
      </c>
      <c r="B24" s="2">
        <f>B22-B23</f>
        <v/>
      </c>
      <c r="C24" s="8">
        <f>IF(COUNTA(Overview!$B$2:$B$73)=0,0,B24/COUNTA(Overview!$B$2:$B$73))</f>
        <v/>
      </c>
      <c r="D24" s="2">
        <f>D22-D23</f>
        <v/>
      </c>
      <c r="E24" s="8">
        <f>IF(COUNTA(Overview!$B$2:$B$73)=0,0,D24/COUNTA(Overview!$B$2:$B$73))</f>
        <v/>
      </c>
      <c r="F24" s="2">
        <f>F22-F23</f>
        <v/>
      </c>
      <c r="G24" s="8">
        <f>IF(COUNTA(Overview!$B$2:$B$73)=0,0,F24/COUNTA(Overview!$B$2:$B$73))</f>
        <v/>
      </c>
      <c r="H24" s="2">
        <f>H22-H23</f>
        <v/>
      </c>
      <c r="I24" s="8">
        <f>IF(COUNTA(Overview!$B$2:$B$73)=0,0,H24/COUNTA(Overview!$B$2:$B$73))</f>
        <v/>
      </c>
    </row>
    <row r="25">
      <c r="A25" s="2" t="inlineStr">
        <is>
          <t>Passed on no version</t>
        </is>
      </c>
      <c r="B25" s="2">
        <f>COUNTIF(Overview!$F$2:$F$73,0)</f>
        <v/>
      </c>
      <c r="C25" s="8">
        <f>IF(COUNTA(Overview!$B$2:$B$73)=0,0,B25/COUNTA(Overview!$B$2:$B$73))</f>
        <v/>
      </c>
      <c r="D25" s="2">
        <f>COUNTIF(Overview!$J$2:$J$73,0)</f>
        <v/>
      </c>
      <c r="E25" s="8">
        <f>IF(COUNTA(Overview!$B$2:$B$73)=0,0,D25/COUNTA(Overview!$B$2:$B$73))</f>
        <v/>
      </c>
      <c r="F25" s="2">
        <f>COUNTIF(Overview!$N$2:$N$73,0)</f>
        <v/>
      </c>
      <c r="G25" s="8">
        <f>IF(COUNTA(Overview!$B$2:$B$73)=0,0,F25/COUNTA(Overview!$B$2:$B$73))</f>
        <v/>
      </c>
      <c r="H25" s="2">
        <f>COUNTIF(Overview!$R$2:$R$73,0)</f>
        <v/>
      </c>
      <c r="I25" s="8">
        <f>IF(COUNTA(Overview!$B$2:$B$73)=0,0,H25/COUNTA(Overview!$B$2:$B$73))</f>
        <v/>
      </c>
    </row>
    <row r="28">
      <c r="A28" s="6" t="inlineStr">
        <is>
          <t>4. By batch</t>
        </is>
      </c>
    </row>
    <row r="29">
      <c r="A29" s="1" t="inlineStr">
        <is>
          <t>Batch</t>
        </is>
      </c>
      <c r="B29" s="1" t="inlineStr">
        <is>
          <t>Cases</t>
        </is>
      </c>
      <c r="C29" s="1" t="inlineStr">
        <is>
          <t>Pairs tested</t>
        </is>
      </c>
      <c r="D29" s="1" t="inlineStr">
        <is>
          <t>gpt-5.6-luna: Every version</t>
        </is>
      </c>
      <c r="E29" s="1" t="inlineStr">
        <is>
          <t>gpt-5.6-luna: ≥1 version</t>
        </is>
      </c>
      <c r="F29" s="1" t="inlineStr">
        <is>
          <t>gpt-5.6-luna: Pairs passed</t>
        </is>
      </c>
      <c r="G29" s="1" t="inlineStr">
        <is>
          <t>gpt-5.6-luna: Pairs %</t>
        </is>
      </c>
      <c r="H29" s="1" t="inlineStr">
        <is>
          <t>gpt-6-luna: Every version</t>
        </is>
      </c>
      <c r="I29" s="1" t="inlineStr">
        <is>
          <t>gpt-6-luna: ≥1 version</t>
        </is>
      </c>
      <c r="J29" s="1" t="inlineStr">
        <is>
          <t>gpt-6-luna: Pairs passed</t>
        </is>
      </c>
      <c r="K29" s="1" t="inlineStr">
        <is>
          <t>gpt-6-luna: Pairs %</t>
        </is>
      </c>
      <c r="L29" s="1" t="inlineStr">
        <is>
          <t>gpt-6-astra: Every version</t>
        </is>
      </c>
      <c r="M29" s="1" t="inlineStr">
        <is>
          <t>gpt-6-astra: ≥1 version</t>
        </is>
      </c>
      <c r="N29" s="1" t="inlineStr">
        <is>
          <t>gpt-6-astra: Pairs passed</t>
        </is>
      </c>
      <c r="O29" s="1" t="inlineStr">
        <is>
          <t>gpt-6-astra: Pairs %</t>
        </is>
      </c>
      <c r="P29" s="1" t="inlineStr">
        <is>
          <t>gpt-6.1-sol: Every version</t>
        </is>
      </c>
      <c r="Q29" s="1" t="inlineStr">
        <is>
          <t>gpt-6.1-sol: ≥1 version</t>
        </is>
      </c>
      <c r="R29" s="1" t="inlineStr">
        <is>
          <t>gpt-6.1-sol: Pairs passed</t>
        </is>
      </c>
      <c r="S29" s="1" t="inlineStr">
        <is>
          <t>gpt-6.1-sol: Pairs %</t>
        </is>
      </c>
    </row>
    <row r="30">
      <c r="A30" s="2" t="n">
        <v>1</v>
      </c>
      <c r="B30" s="2">
        <f>COUNTIF(Overview!$A$2:$A$73,1)</f>
        <v/>
      </c>
      <c r="C30" s="2">
        <f>SUMIF(Overview!$A$2:$A$73,1,Overview!$D$2:$D$73)</f>
        <v/>
      </c>
      <c r="D30" s="2">
        <f>COUNTIFS(Overview!$A$2:$A$73,1,Overview!$E$2:$E$73,"Passed on test")</f>
        <v/>
      </c>
      <c r="E30" s="2">
        <f>COUNTIFS(Overview!$A$2:$A$73,1,Overview!$F$2:$F$73,"&gt;0")</f>
        <v/>
      </c>
      <c r="F30" s="2">
        <f>SUMIF(Overview!$A$2:$A$73,1,Overview!$F$2:$F$73)</f>
        <v/>
      </c>
      <c r="G30" s="8">
        <f>IF($C30=0,0,F30/$C30)</f>
        <v/>
      </c>
      <c r="H30" s="2">
        <f>COUNTIFS(Overview!$A$2:$A$73,1,Overview!$I$2:$I$73,"Passed on test")</f>
        <v/>
      </c>
      <c r="I30" s="2">
        <f>COUNTIFS(Overview!$A$2:$A$73,1,Overview!$J$2:$J$73,"&gt;0")</f>
        <v/>
      </c>
      <c r="J30" s="2">
        <f>SUMIF(Overview!$A$2:$A$73,1,Overview!$J$2:$J$73)</f>
        <v/>
      </c>
      <c r="K30" s="8">
        <f>IF($C30=0,0,J30/$C30)</f>
        <v/>
      </c>
      <c r="L30" s="2">
        <f>COUNTIFS(Overview!$A$2:$A$73,1,Overview!$M$2:$M$73,"Passed on test")</f>
        <v/>
      </c>
      <c r="M30" s="2">
        <f>COUNTIFS(Overview!$A$2:$A$73,1,Overview!$N$2:$N$73,"&gt;0")</f>
        <v/>
      </c>
      <c r="N30" s="2">
        <f>SUMIF(Overview!$A$2:$A$73,1,Overview!$N$2:$N$73)</f>
        <v/>
      </c>
      <c r="O30" s="8">
        <f>IF($C30=0,0,N30/$C30)</f>
        <v/>
      </c>
      <c r="P30" s="2">
        <f>COUNTIFS(Overview!$A$2:$A$73,1,Overview!$Q$2:$Q$73,"Passed on test")</f>
        <v/>
      </c>
      <c r="Q30" s="2">
        <f>COUNTIFS(Overview!$A$2:$A$73,1,Overview!$R$2:$R$73,"&gt;0")</f>
        <v/>
      </c>
      <c r="R30" s="2">
        <f>SUMIF(Overview!$A$2:$A$73,1,Overview!$R$2:$R$73)</f>
        <v/>
      </c>
      <c r="S30" s="8">
        <f>IF($C30=0,0,R30/$C30)</f>
        <v/>
      </c>
    </row>
    <row r="31">
      <c r="A31" s="2" t="n">
        <v>2</v>
      </c>
      <c r="B31" s="2">
        <f>COUNTIF(Overview!$A$2:$A$73,2)</f>
        <v/>
      </c>
      <c r="C31" s="2">
        <f>SUMIF(Overview!$A$2:$A$73,2,Overview!$D$2:$D$73)</f>
        <v/>
      </c>
      <c r="D31" s="2">
        <f>COUNTIFS(Overview!$A$2:$A$73,2,Overview!$E$2:$E$73,"Passed on test")</f>
        <v/>
      </c>
      <c r="E31" s="2">
        <f>COUNTIFS(Overview!$A$2:$A$73,2,Overview!$F$2:$F$73,"&gt;0")</f>
        <v/>
      </c>
      <c r="F31" s="2">
        <f>SUMIF(Overview!$A$2:$A$73,2,Overview!$F$2:$F$73)</f>
        <v/>
      </c>
      <c r="G31" s="8">
        <f>IF($C31=0,0,F31/$C31)</f>
        <v/>
      </c>
      <c r="H31" s="2">
        <f>COUNTIFS(Overview!$A$2:$A$73,2,Overview!$I$2:$I$73,"Passed on test")</f>
        <v/>
      </c>
      <c r="I31" s="2">
        <f>COUNTIFS(Overview!$A$2:$A$73,2,Overview!$J$2:$J$73,"&gt;0")</f>
        <v/>
      </c>
      <c r="J31" s="2">
        <f>SUMIF(Overview!$A$2:$A$73,2,Overview!$J$2:$J$73)</f>
        <v/>
      </c>
      <c r="K31" s="8">
        <f>IF($C31=0,0,J31/$C31)</f>
        <v/>
      </c>
      <c r="L31" s="2">
        <f>COUNTIFS(Overview!$A$2:$A$73,2,Overview!$M$2:$M$73,"Passed on test")</f>
        <v/>
      </c>
      <c r="M31" s="2">
        <f>COUNTIFS(Overview!$A$2:$A$73,2,Overview!$N$2:$N$73,"&gt;0")</f>
        <v/>
      </c>
      <c r="N31" s="2">
        <f>SUMIF(Overview!$A$2:$A$73,2,Overview!$N$2:$N$73)</f>
        <v/>
      </c>
      <c r="O31" s="8">
        <f>IF($C31=0,0,N31/$C31)</f>
        <v/>
      </c>
      <c r="P31" s="2">
        <f>COUNTIFS(Overview!$A$2:$A$73,2,Overview!$Q$2:$Q$73,"Passed on test")</f>
        <v/>
      </c>
      <c r="Q31" s="2">
        <f>COUNTIFS(Overview!$A$2:$A$73,2,Overview!$R$2:$R$73,"&gt;0")</f>
        <v/>
      </c>
      <c r="R31" s="2">
        <f>SUMIF(Overview!$A$2:$A$73,2,Overview!$R$2:$R$73)</f>
        <v/>
      </c>
      <c r="S31" s="8">
        <f>IF($C31=0,0,R31/$C31)</f>
        <v/>
      </c>
    </row>
    <row r="32">
      <c r="A32" s="2" t="n">
        <v>3</v>
      </c>
      <c r="B32" s="2">
        <f>COUNTIF(Overview!$A$2:$A$73,3)</f>
        <v/>
      </c>
      <c r="C32" s="2">
        <f>SUMIF(Overview!$A$2:$A$73,3,Overview!$D$2:$D$73)</f>
        <v/>
      </c>
      <c r="D32" s="2">
        <f>COUNTIFS(Overview!$A$2:$A$73,3,Overview!$E$2:$E$73,"Passed on test")</f>
        <v/>
      </c>
      <c r="E32" s="2">
        <f>COUNTIFS(Overview!$A$2:$A$73,3,Overview!$F$2:$F$73,"&gt;0")</f>
        <v/>
      </c>
      <c r="F32" s="2">
        <f>SUMIF(Overview!$A$2:$A$73,3,Overview!$F$2:$F$73)</f>
        <v/>
      </c>
      <c r="G32" s="8">
        <f>IF($C32=0,0,F32/$C32)</f>
        <v/>
      </c>
      <c r="H32" s="2">
        <f>COUNTIFS(Overview!$A$2:$A$73,3,Overview!$I$2:$I$73,"Passed on test")</f>
        <v/>
      </c>
      <c r="I32" s="2">
        <f>COUNTIFS(Overview!$A$2:$A$73,3,Overview!$J$2:$J$73,"&gt;0")</f>
        <v/>
      </c>
      <c r="J32" s="2">
        <f>SUMIF(Overview!$A$2:$A$73,3,Overview!$J$2:$J$73)</f>
        <v/>
      </c>
      <c r="K32" s="8">
        <f>IF($C32=0,0,J32/$C32)</f>
        <v/>
      </c>
      <c r="L32" s="2">
        <f>COUNTIFS(Overview!$A$2:$A$73,3,Overview!$M$2:$M$73,"Passed on test")</f>
        <v/>
      </c>
      <c r="M32" s="2">
        <f>COUNTIFS(Overview!$A$2:$A$73,3,Overview!$N$2:$N$73,"&gt;0")</f>
        <v/>
      </c>
      <c r="N32" s="2">
        <f>SUMIF(Overview!$A$2:$A$73,3,Overview!$N$2:$N$73)</f>
        <v/>
      </c>
      <c r="O32" s="8">
        <f>IF($C32=0,0,N32/$C32)</f>
        <v/>
      </c>
      <c r="P32" s="2">
        <f>COUNTIFS(Overview!$A$2:$A$73,3,Overview!$Q$2:$Q$73,"Passed on test")</f>
        <v/>
      </c>
      <c r="Q32" s="2">
        <f>COUNTIFS(Overview!$A$2:$A$73,3,Overview!$R$2:$R$73,"&gt;0")</f>
        <v/>
      </c>
      <c r="R32" s="2">
        <f>SUMIF(Overview!$A$2:$A$73,3,Overview!$R$2:$R$73)</f>
        <v/>
      </c>
      <c r="S32" s="8">
        <f>IF($C32=0,0,R32/$C32)</f>
        <v/>
      </c>
    </row>
    <row r="33">
      <c r="A33" s="2" t="n">
        <v>4</v>
      </c>
      <c r="B33" s="2">
        <f>COUNTIF(Overview!$A$2:$A$73,4)</f>
        <v/>
      </c>
      <c r="C33" s="2">
        <f>SUMIF(Overview!$A$2:$A$73,4,Overview!$D$2:$D$73)</f>
        <v/>
      </c>
      <c r="D33" s="2">
        <f>COUNTIFS(Overview!$A$2:$A$73,4,Overview!$E$2:$E$73,"Passed on test")</f>
        <v/>
      </c>
      <c r="E33" s="2">
        <f>COUNTIFS(Overview!$A$2:$A$73,4,Overview!$F$2:$F$73,"&gt;0")</f>
        <v/>
      </c>
      <c r="F33" s="2">
        <f>SUMIF(Overview!$A$2:$A$73,4,Overview!$F$2:$F$73)</f>
        <v/>
      </c>
      <c r="G33" s="8">
        <f>IF($C33=0,0,F33/$C33)</f>
        <v/>
      </c>
      <c r="H33" s="2">
        <f>COUNTIFS(Overview!$A$2:$A$73,4,Overview!$I$2:$I$73,"Passed on test")</f>
        <v/>
      </c>
      <c r="I33" s="2">
        <f>COUNTIFS(Overview!$A$2:$A$73,4,Overview!$J$2:$J$73,"&gt;0")</f>
        <v/>
      </c>
      <c r="J33" s="2">
        <f>SUMIF(Overview!$A$2:$A$73,4,Overview!$J$2:$J$73)</f>
        <v/>
      </c>
      <c r="K33" s="8">
        <f>IF($C33=0,0,J33/$C33)</f>
        <v/>
      </c>
      <c r="L33" s="2">
        <f>COUNTIFS(Overview!$A$2:$A$73,4,Overview!$M$2:$M$73,"Passed on test")</f>
        <v/>
      </c>
      <c r="M33" s="2">
        <f>COUNTIFS(Overview!$A$2:$A$73,4,Overview!$N$2:$N$73,"&gt;0")</f>
        <v/>
      </c>
      <c r="N33" s="2">
        <f>SUMIF(Overview!$A$2:$A$73,4,Overview!$N$2:$N$73)</f>
        <v/>
      </c>
      <c r="O33" s="8">
        <f>IF($C33=0,0,N33/$C33)</f>
        <v/>
      </c>
      <c r="P33" s="2">
        <f>COUNTIFS(Overview!$A$2:$A$73,4,Overview!$Q$2:$Q$73,"Passed on test")</f>
        <v/>
      </c>
      <c r="Q33" s="2">
        <f>COUNTIFS(Overview!$A$2:$A$73,4,Overview!$R$2:$R$73,"&gt;0")</f>
        <v/>
      </c>
      <c r="R33" s="2">
        <f>SUMIF(Overview!$A$2:$A$73,4,Overview!$R$2:$R$73)</f>
        <v/>
      </c>
      <c r="S33" s="8">
        <f>IF($C33=0,0,R33/$C33)</f>
        <v/>
      </c>
    </row>
    <row r="34">
      <c r="A34" s="2" t="n">
        <v>5</v>
      </c>
      <c r="B34" s="2">
        <f>COUNTIF(Overview!$A$2:$A$73,5)</f>
        <v/>
      </c>
      <c r="C34" s="2">
        <f>SUMIF(Overview!$A$2:$A$73,5,Overview!$D$2:$D$73)</f>
        <v/>
      </c>
      <c r="D34" s="2">
        <f>COUNTIFS(Overview!$A$2:$A$73,5,Overview!$E$2:$E$73,"Passed on test")</f>
        <v/>
      </c>
      <c r="E34" s="2">
        <f>COUNTIFS(Overview!$A$2:$A$73,5,Overview!$F$2:$F$73,"&gt;0")</f>
        <v/>
      </c>
      <c r="F34" s="2">
        <f>SUMIF(Overview!$A$2:$A$73,5,Overview!$F$2:$F$73)</f>
        <v/>
      </c>
      <c r="G34" s="8">
        <f>IF($C34=0,0,F34/$C34)</f>
        <v/>
      </c>
      <c r="H34" s="2">
        <f>COUNTIFS(Overview!$A$2:$A$73,5,Overview!$I$2:$I$73,"Passed on test")</f>
        <v/>
      </c>
      <c r="I34" s="2">
        <f>COUNTIFS(Overview!$A$2:$A$73,5,Overview!$J$2:$J$73,"&gt;0")</f>
        <v/>
      </c>
      <c r="J34" s="2">
        <f>SUMIF(Overview!$A$2:$A$73,5,Overview!$J$2:$J$73)</f>
        <v/>
      </c>
      <c r="K34" s="8">
        <f>IF($C34=0,0,J34/$C34)</f>
        <v/>
      </c>
      <c r="L34" s="2">
        <f>COUNTIFS(Overview!$A$2:$A$73,5,Overview!$M$2:$M$73,"Passed on test")</f>
        <v/>
      </c>
      <c r="M34" s="2">
        <f>COUNTIFS(Overview!$A$2:$A$73,5,Overview!$N$2:$N$73,"&gt;0")</f>
        <v/>
      </c>
      <c r="N34" s="2">
        <f>SUMIF(Overview!$A$2:$A$73,5,Overview!$N$2:$N$73)</f>
        <v/>
      </c>
      <c r="O34" s="8">
        <f>IF($C34=0,0,N34/$C34)</f>
        <v/>
      </c>
      <c r="P34" s="2">
        <f>COUNTIFS(Overview!$A$2:$A$73,5,Overview!$Q$2:$Q$73,"Passed on test")</f>
        <v/>
      </c>
      <c r="Q34" s="2">
        <f>COUNTIFS(Overview!$A$2:$A$73,5,Overview!$R$2:$R$73,"&gt;0")</f>
        <v/>
      </c>
      <c r="R34" s="2">
        <f>SUMIF(Overview!$A$2:$A$73,5,Overview!$R$2:$R$73)</f>
        <v/>
      </c>
      <c r="S34" s="8">
        <f>IF($C34=0,0,R34/$C34)</f>
        <v/>
      </c>
    </row>
    <row r="35">
      <c r="A35" s="2" t="n">
        <v>6</v>
      </c>
      <c r="B35" s="2">
        <f>COUNTIF(Overview!$A$2:$A$73,6)</f>
        <v/>
      </c>
      <c r="C35" s="2">
        <f>SUMIF(Overview!$A$2:$A$73,6,Overview!$D$2:$D$73)</f>
        <v/>
      </c>
      <c r="D35" s="2">
        <f>COUNTIFS(Overview!$A$2:$A$73,6,Overview!$E$2:$E$73,"Passed on test")</f>
        <v/>
      </c>
      <c r="E35" s="2">
        <f>COUNTIFS(Overview!$A$2:$A$73,6,Overview!$F$2:$F$73,"&gt;0")</f>
        <v/>
      </c>
      <c r="F35" s="2">
        <f>SUMIF(Overview!$A$2:$A$73,6,Overview!$F$2:$F$73)</f>
        <v/>
      </c>
      <c r="G35" s="8">
        <f>IF($C35=0,0,F35/$C35)</f>
        <v/>
      </c>
      <c r="H35" s="2">
        <f>COUNTIFS(Overview!$A$2:$A$73,6,Overview!$I$2:$I$73,"Passed on test")</f>
        <v/>
      </c>
      <c r="I35" s="2">
        <f>COUNTIFS(Overview!$A$2:$A$73,6,Overview!$J$2:$J$73,"&gt;0")</f>
        <v/>
      </c>
      <c r="J35" s="2">
        <f>SUMIF(Overview!$A$2:$A$73,6,Overview!$J$2:$J$73)</f>
        <v/>
      </c>
      <c r="K35" s="8">
        <f>IF($C35=0,0,J35/$C35)</f>
        <v/>
      </c>
      <c r="L35" s="2">
        <f>COUNTIFS(Overview!$A$2:$A$73,6,Overview!$M$2:$M$73,"Passed on test")</f>
        <v/>
      </c>
      <c r="M35" s="2">
        <f>COUNTIFS(Overview!$A$2:$A$73,6,Overview!$N$2:$N$73,"&gt;0")</f>
        <v/>
      </c>
      <c r="N35" s="2">
        <f>SUMIF(Overview!$A$2:$A$73,6,Overview!$N$2:$N$73)</f>
        <v/>
      </c>
      <c r="O35" s="8">
        <f>IF($C35=0,0,N35/$C35)</f>
        <v/>
      </c>
      <c r="P35" s="2">
        <f>COUNTIFS(Overview!$A$2:$A$73,6,Overview!$Q$2:$Q$73,"Passed on test")</f>
        <v/>
      </c>
      <c r="Q35" s="2">
        <f>COUNTIFS(Overview!$A$2:$A$73,6,Overview!$R$2:$R$73,"&gt;0")</f>
        <v/>
      </c>
      <c r="R35" s="2">
        <f>SUMIF(Overview!$A$2:$A$73,6,Overview!$R$2:$R$73)</f>
        <v/>
      </c>
      <c r="S35" s="8">
        <f>IF($C35=0,0,R35/$C35)</f>
        <v/>
      </c>
    </row>
    <row r="36">
      <c r="A36" s="2" t="n">
        <v>7</v>
      </c>
      <c r="B36" s="2">
        <f>COUNTIF(Overview!$A$2:$A$73,7)</f>
        <v/>
      </c>
      <c r="C36" s="2">
        <f>SUMIF(Overview!$A$2:$A$73,7,Overview!$D$2:$D$73)</f>
        <v/>
      </c>
      <c r="D36" s="2">
        <f>COUNTIFS(Overview!$A$2:$A$73,7,Overview!$E$2:$E$73,"Passed on test")</f>
        <v/>
      </c>
      <c r="E36" s="2">
        <f>COUNTIFS(Overview!$A$2:$A$73,7,Overview!$F$2:$F$73,"&gt;0")</f>
        <v/>
      </c>
      <c r="F36" s="2">
        <f>SUMIF(Overview!$A$2:$A$73,7,Overview!$F$2:$F$73)</f>
        <v/>
      </c>
      <c r="G36" s="8">
        <f>IF($C36=0,0,F36/$C36)</f>
        <v/>
      </c>
      <c r="H36" s="2">
        <f>COUNTIFS(Overview!$A$2:$A$73,7,Overview!$I$2:$I$73,"Passed on test")</f>
        <v/>
      </c>
      <c r="I36" s="2">
        <f>COUNTIFS(Overview!$A$2:$A$73,7,Overview!$J$2:$J$73,"&gt;0")</f>
        <v/>
      </c>
      <c r="J36" s="2">
        <f>SUMIF(Overview!$A$2:$A$73,7,Overview!$J$2:$J$73)</f>
        <v/>
      </c>
      <c r="K36" s="8">
        <f>IF($C36=0,0,J36/$C36)</f>
        <v/>
      </c>
      <c r="L36" s="2">
        <f>COUNTIFS(Overview!$A$2:$A$73,7,Overview!$M$2:$M$73,"Passed on test")</f>
        <v/>
      </c>
      <c r="M36" s="2">
        <f>COUNTIFS(Overview!$A$2:$A$73,7,Overview!$N$2:$N$73,"&gt;0")</f>
        <v/>
      </c>
      <c r="N36" s="2">
        <f>SUMIF(Overview!$A$2:$A$73,7,Overview!$N$2:$N$73)</f>
        <v/>
      </c>
      <c r="O36" s="8">
        <f>IF($C36=0,0,N36/$C36)</f>
        <v/>
      </c>
      <c r="P36" s="2">
        <f>COUNTIFS(Overview!$A$2:$A$73,7,Overview!$Q$2:$Q$73,"Passed on test")</f>
        <v/>
      </c>
      <c r="Q36" s="2">
        <f>COUNTIFS(Overview!$A$2:$A$73,7,Overview!$R$2:$R$73,"&gt;0")</f>
        <v/>
      </c>
      <c r="R36" s="2">
        <f>SUMIF(Overview!$A$2:$A$73,7,Overview!$R$2:$R$73)</f>
        <v/>
      </c>
      <c r="S36" s="8">
        <f>IF($C36=0,0,R36/$C36)</f>
        <v/>
      </c>
    </row>
    <row r="37">
      <c r="A37" s="2" t="n">
        <v>8</v>
      </c>
      <c r="B37" s="2">
        <f>COUNTIF(Overview!$A$2:$A$73,8)</f>
        <v/>
      </c>
      <c r="C37" s="2">
        <f>SUMIF(Overview!$A$2:$A$73,8,Overview!$D$2:$D$73)</f>
        <v/>
      </c>
      <c r="D37" s="2">
        <f>COUNTIFS(Overview!$A$2:$A$73,8,Overview!$E$2:$E$73,"Passed on test")</f>
        <v/>
      </c>
      <c r="E37" s="2">
        <f>COUNTIFS(Overview!$A$2:$A$73,8,Overview!$F$2:$F$73,"&gt;0")</f>
        <v/>
      </c>
      <c r="F37" s="2">
        <f>SUMIF(Overview!$A$2:$A$73,8,Overview!$F$2:$F$73)</f>
        <v/>
      </c>
      <c r="G37" s="8">
        <f>IF($C37=0,0,F37/$C37)</f>
        <v/>
      </c>
      <c r="H37" s="2">
        <f>COUNTIFS(Overview!$A$2:$A$73,8,Overview!$I$2:$I$73,"Passed on test")</f>
        <v/>
      </c>
      <c r="I37" s="2">
        <f>COUNTIFS(Overview!$A$2:$A$73,8,Overview!$J$2:$J$73,"&gt;0")</f>
        <v/>
      </c>
      <c r="J37" s="2">
        <f>SUMIF(Overview!$A$2:$A$73,8,Overview!$J$2:$J$73)</f>
        <v/>
      </c>
      <c r="K37" s="8">
        <f>IF($C37=0,0,J37/$C37)</f>
        <v/>
      </c>
      <c r="L37" s="2">
        <f>COUNTIFS(Overview!$A$2:$A$73,8,Overview!$M$2:$M$73,"Passed on test")</f>
        <v/>
      </c>
      <c r="M37" s="2">
        <f>COUNTIFS(Overview!$A$2:$A$73,8,Overview!$N$2:$N$73,"&gt;0")</f>
        <v/>
      </c>
      <c r="N37" s="2">
        <f>SUMIF(Overview!$A$2:$A$73,8,Overview!$N$2:$N$73)</f>
        <v/>
      </c>
      <c r="O37" s="8">
        <f>IF($C37=0,0,N37/$C37)</f>
        <v/>
      </c>
      <c r="P37" s="2">
        <f>COUNTIFS(Overview!$A$2:$A$73,8,Overview!$Q$2:$Q$73,"Passed on test")</f>
        <v/>
      </c>
      <c r="Q37" s="2">
        <f>COUNTIFS(Overview!$A$2:$A$73,8,Overview!$R$2:$R$73,"&gt;0")</f>
        <v/>
      </c>
      <c r="R37" s="2">
        <f>SUMIF(Overview!$A$2:$A$73,8,Overview!$R$2:$R$73)</f>
        <v/>
      </c>
      <c r="S37" s="8">
        <f>IF($C37=0,0,R37/$C37)</f>
        <v/>
      </c>
    </row>
    <row r="38">
      <c r="A38" s="11" t="inlineStr">
        <is>
          <t>Total</t>
        </is>
      </c>
      <c r="B38" s="11">
        <f>COUNTA(Overview!$B$2:$B$73)</f>
        <v/>
      </c>
      <c r="C38" s="11">
        <f>SUM(Overview!$D$2:$D$73)</f>
        <v/>
      </c>
      <c r="D38" s="11">
        <f>COUNTIF(Overview!$E$2:$E$73,"Passed on test")</f>
        <v/>
      </c>
      <c r="E38" s="11">
        <f>COUNTIF(Overview!$F$2:$F$73,"&gt;0")</f>
        <v/>
      </c>
      <c r="F38" s="11">
        <f>SUM(Overview!$F$2:$F$73)</f>
        <v/>
      </c>
      <c r="G38" s="12">
        <f>IF($C38=0,0,F38/$C38)</f>
        <v/>
      </c>
      <c r="H38" s="11">
        <f>COUNTIF(Overview!$I$2:$I$73,"Passed on test")</f>
        <v/>
      </c>
      <c r="I38" s="11">
        <f>COUNTIF(Overview!$J$2:$J$73,"&gt;0")</f>
        <v/>
      </c>
      <c r="J38" s="11">
        <f>SUM(Overview!$J$2:$J$73)</f>
        <v/>
      </c>
      <c r="K38" s="12">
        <f>IF($C38=0,0,J38/$C38)</f>
        <v/>
      </c>
      <c r="L38" s="11">
        <f>COUNTIF(Overview!$M$2:$M$73,"Passed on test")</f>
        <v/>
      </c>
      <c r="M38" s="11">
        <f>COUNTIF(Overview!$N$2:$N$73,"&gt;0")</f>
        <v/>
      </c>
      <c r="N38" s="11">
        <f>SUM(Overview!$N$2:$N$73)</f>
        <v/>
      </c>
      <c r="O38" s="12">
        <f>IF($C38=0,0,N38/$C38)</f>
        <v/>
      </c>
      <c r="P38" s="11">
        <f>COUNTIF(Overview!$Q$2:$Q$73,"Passed on test")</f>
        <v/>
      </c>
      <c r="Q38" s="11">
        <f>COUNTIF(Overview!$R$2:$R$73,"&gt;0")</f>
        <v/>
      </c>
      <c r="R38" s="11">
        <f>SUM(Overview!$R$2:$R$73)</f>
        <v/>
      </c>
      <c r="S38" s="12">
        <f>IF($C38=0,0,R38/$C38)</f>
        <v/>
      </c>
    </row>
    <row r="41">
      <c r="A41" s="6" t="inlineStr">
        <is>
          <t>5. Head to head: cases where the row model passed more versions than the column model</t>
        </is>
      </c>
    </row>
    <row r="42">
      <c r="A42" s="1" t="inlineStr">
        <is>
          <t>Row model \ column model</t>
        </is>
      </c>
      <c r="B42" s="1" t="inlineStr">
        <is>
          <t>gpt-5.6-luna</t>
        </is>
      </c>
      <c r="C42" s="1" t="inlineStr">
        <is>
          <t>gpt-6-luna</t>
        </is>
      </c>
      <c r="D42" s="1" t="inlineStr">
        <is>
          <t>gpt-6-astra</t>
        </is>
      </c>
      <c r="E42" s="1" t="inlineStr">
        <is>
          <t>gpt-6.1-sol</t>
        </is>
      </c>
    </row>
    <row r="43">
      <c r="A43" s="11" t="inlineStr">
        <is>
          <t>gpt-5.6-luna</t>
        </is>
      </c>
      <c r="B43" s="2" t="inlineStr">
        <is>
          <t>-</t>
        </is>
      </c>
      <c r="C43" s="2">
        <f>SUMPRODUCT(--(Overview!$F$2:$F$73&gt;Overview!$J$2:$J$73))</f>
        <v/>
      </c>
      <c r="D43" s="2">
        <f>SUMPRODUCT(--(Overview!$F$2:$F$73&gt;Overview!$N$2:$N$73))</f>
        <v/>
      </c>
      <c r="E43" s="2">
        <f>SUMPRODUCT(--(Overview!$F$2:$F$73&gt;Overview!$R$2:$R$73))</f>
        <v/>
      </c>
    </row>
    <row r="44">
      <c r="A44" s="11" t="inlineStr">
        <is>
          <t>gpt-6-luna</t>
        </is>
      </c>
      <c r="B44" s="2">
        <f>SUMPRODUCT(--(Overview!$J$2:$J$73&gt;Overview!$F$2:$F$73))</f>
        <v/>
      </c>
      <c r="C44" s="2" t="inlineStr">
        <is>
          <t>-</t>
        </is>
      </c>
      <c r="D44" s="2">
        <f>SUMPRODUCT(--(Overview!$J$2:$J$73&gt;Overview!$N$2:$N$73))</f>
        <v/>
      </c>
      <c r="E44" s="2">
        <f>SUMPRODUCT(--(Overview!$J$2:$J$73&gt;Overview!$R$2:$R$73))</f>
        <v/>
      </c>
    </row>
    <row r="45">
      <c r="A45" s="11" t="inlineStr">
        <is>
          <t>gpt-6-astra</t>
        </is>
      </c>
      <c r="B45" s="2">
        <f>SUMPRODUCT(--(Overview!$N$2:$N$73&gt;Overview!$F$2:$F$73))</f>
        <v/>
      </c>
      <c r="C45" s="2">
        <f>SUMPRODUCT(--(Overview!$N$2:$N$73&gt;Overview!$J$2:$J$73))</f>
        <v/>
      </c>
      <c r="D45" s="2" t="inlineStr">
        <is>
          <t>-</t>
        </is>
      </c>
      <c r="E45" s="2">
        <f>SUMPRODUCT(--(Overview!$N$2:$N$73&gt;Overview!$R$2:$R$73))</f>
        <v/>
      </c>
    </row>
    <row r="46">
      <c r="A46" s="11" t="inlineStr">
        <is>
          <t>gpt-6.1-sol</t>
        </is>
      </c>
      <c r="B46" s="2">
        <f>SUMPRODUCT(--(Overview!$R$2:$R$73&gt;Overview!$F$2:$F$73))</f>
        <v/>
      </c>
      <c r="C46" s="2">
        <f>SUMPRODUCT(--(Overview!$R$2:$R$73&gt;Overview!$J$2:$J$73))</f>
        <v/>
      </c>
      <c r="D46" s="2">
        <f>SUMPRODUCT(--(Overview!$R$2:$R$73&gt;Overview!$N$2:$N$73))</f>
        <v/>
      </c>
      <c r="E46" s="2" t="inlineStr">
        <is>
          <t>-</t>
        </is>
      </c>
    </row>
    <row r="49">
      <c r="A49" s="6" t="inlineStr">
        <is>
          <t>6. Agreement: did the four GPT models get the same score on a case?</t>
        </is>
      </c>
    </row>
    <row r="50">
      <c r="A50" s="1" t="inlineStr">
        <is>
          <t>Agreement</t>
        </is>
      </c>
      <c r="B50" s="1" t="inlineStr">
        <is>
          <t>Cases</t>
        </is>
      </c>
      <c r="C50" s="1" t="inlineStr">
        <is>
          <t>% of cases</t>
        </is>
      </c>
      <c r="D50" s="1" t="inlineStr">
        <is>
          <t>Meaning</t>
        </is>
      </c>
    </row>
    <row r="51">
      <c r="A51" s="2" t="inlineStr">
        <is>
          <t>all_pass</t>
        </is>
      </c>
      <c r="B51" s="2">
        <f>COUNTIF(Overview!$V$2:$V$73,"all_pass")</f>
        <v/>
      </c>
      <c r="C51" s="8">
        <f>IF(COUNTA(Overview!$B$2:$B$73)=0,0,B51/COUNTA(Overview!$B$2:$B$73))</f>
        <v/>
      </c>
      <c r="D51" s="2" t="inlineStr">
        <is>
          <t>All four passed every version</t>
        </is>
      </c>
    </row>
    <row r="52">
      <c r="A52" s="2" t="inlineStr">
        <is>
          <t>all_zero</t>
        </is>
      </c>
      <c r="B52" s="2">
        <f>COUNTIF(Overview!$V$2:$V$73,"all_zero")</f>
        <v/>
      </c>
      <c r="C52" s="8">
        <f>IF(COUNTA(Overview!$B$2:$B$73)=0,0,B52/COUNTA(Overview!$B$2:$B$73))</f>
        <v/>
      </c>
      <c r="D52" s="2" t="inlineStr">
        <is>
          <t>All four passed no version</t>
        </is>
      </c>
    </row>
    <row r="53">
      <c r="A53" s="2" t="inlineStr">
        <is>
          <t>same_partial</t>
        </is>
      </c>
      <c r="B53" s="2">
        <f>COUNTIF(Overview!$V$2:$V$73,"same_partial")</f>
        <v/>
      </c>
      <c r="C53" s="8">
        <f>IF(COUNTA(Overview!$B$2:$B$73)=0,0,B53/COUNTA(Overview!$B$2:$B$73))</f>
        <v/>
      </c>
      <c r="D53" s="2" t="inlineStr">
        <is>
          <t>All four passed the same versions, but not all</t>
        </is>
      </c>
    </row>
    <row r="54">
      <c r="A54" s="2" t="inlineStr">
        <is>
          <t>differ</t>
        </is>
      </c>
      <c r="B54" s="2">
        <f>COUNTIF(Overview!$V$2:$V$73,"differ")</f>
        <v/>
      </c>
      <c r="C54" s="8">
        <f>IF(COUNTA(Overview!$B$2:$B$73)=0,0,B54/COUNTA(Overview!$B$2:$B$73))</f>
        <v/>
      </c>
      <c r="D54" s="2" t="inlineStr">
        <is>
          <t>The models' scores differ</t>
        </is>
      </c>
    </row>
    <row r="55">
      <c r="A55" s="11" t="inlineStr">
        <is>
          <t>Total</t>
        </is>
      </c>
      <c r="B55" s="11">
        <f>SUM(B51:B54)</f>
        <v/>
      </c>
      <c r="C55" s="12">
        <f>SUM(C51:C54)</f>
        <v/>
      </c>
    </row>
    <row r="58">
      <c r="A58" s="6" t="inlineStr">
        <is>
          <t>7. Same code: cases where two models' fixes are identical (comment and blank lines ignored)</t>
        </is>
      </c>
    </row>
    <row r="59">
      <c r="A59" s="1" t="inlineStr"/>
      <c r="B59" s="1" t="inlineStr">
        <is>
          <t>gpt-5.6-luna</t>
        </is>
      </c>
      <c r="C59" s="1" t="inlineStr">
        <is>
          <t>gpt-6-luna</t>
        </is>
      </c>
      <c r="D59" s="1" t="inlineStr">
        <is>
          <t>gpt-6-astra</t>
        </is>
      </c>
      <c r="E59" s="1" t="inlineStr">
        <is>
          <t>gpt-6.1-sol</t>
        </is>
      </c>
    </row>
    <row r="60">
      <c r="A60" s="11" t="inlineStr">
        <is>
          <t>gpt-5.6-luna</t>
        </is>
      </c>
      <c r="B60" s="2" t="inlineStr">
        <is>
          <t>-</t>
        </is>
      </c>
      <c r="C60" s="2" t="n">
        <v>29</v>
      </c>
      <c r="D60" s="2" t="n">
        <v>25</v>
      </c>
      <c r="E60" s="2" t="n">
        <v>24</v>
      </c>
    </row>
    <row r="61">
      <c r="A61" s="11" t="inlineStr">
        <is>
          <t>gpt-6-luna</t>
        </is>
      </c>
      <c r="B61" s="2" t="n">
        <v>29</v>
      </c>
      <c r="C61" s="2" t="inlineStr">
        <is>
          <t>-</t>
        </is>
      </c>
      <c r="D61" s="2" t="n">
        <v>22</v>
      </c>
      <c r="E61" s="2" t="n">
        <v>25</v>
      </c>
    </row>
    <row r="62">
      <c r="A62" s="11" t="inlineStr">
        <is>
          <t>gpt-6-astra</t>
        </is>
      </c>
      <c r="B62" s="2" t="n">
        <v>25</v>
      </c>
      <c r="C62" s="2" t="n">
        <v>22</v>
      </c>
      <c r="D62" s="2" t="inlineStr">
        <is>
          <t>-</t>
        </is>
      </c>
      <c r="E62" s="2" t="n">
        <v>55</v>
      </c>
    </row>
    <row r="63">
      <c r="A63" s="11" t="inlineStr">
        <is>
          <t>gpt-6.1-sol</t>
        </is>
      </c>
      <c r="B63" s="2" t="n">
        <v>24</v>
      </c>
      <c r="C63" s="2" t="n">
        <v>25</v>
      </c>
      <c r="D63" s="2" t="n">
        <v>55</v>
      </c>
      <c r="E63" s="2" t="inlineStr">
        <is>
          <t>-</t>
        </is>
      </c>
    </row>
    <row r="64">
      <c r="A64" t="inlineStr">
        <is>
          <t>Counted by comparing the llm_&lt;model&gt;_fix.py files, so these are values, not formulas.</t>
        </is>
      </c>
    </row>
  </sheetData>
  <mergeCells count="1"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case_id</t>
        </is>
      </c>
      <c r="B1" s="1" t="inlineStr">
        <is>
          <t>0.25.0</t>
        </is>
      </c>
      <c r="C1" s="1" t="inlineStr">
        <is>
          <t>0.25.1</t>
        </is>
      </c>
      <c r="D1" s="1" t="inlineStr">
        <is>
          <t>0.25.2</t>
        </is>
      </c>
      <c r="E1" s="1" t="inlineStr">
        <is>
          <t>0.25.3</t>
        </is>
      </c>
      <c r="F1" s="1" t="inlineStr">
        <is>
          <t>0.45.0</t>
        </is>
      </c>
      <c r="G1" s="1" t="inlineStr">
        <is>
          <t>0.45.1</t>
        </is>
      </c>
      <c r="H1" s="1" t="inlineStr">
        <is>
          <t>0.45.2</t>
        </is>
      </c>
      <c r="I1" s="1" t="inlineStr">
        <is>
          <t>0.45.3</t>
        </is>
      </c>
      <c r="J1" s="1" t="inlineStr">
        <is>
          <t>0.46.0</t>
        </is>
      </c>
      <c r="K1" s="1" t="inlineStr">
        <is>
          <t>0.46.1</t>
        </is>
      </c>
      <c r="L1" s="1" t="inlineStr">
        <is>
          <t>0.46.2</t>
        </is>
      </c>
      <c r="M1" s="1" t="inlineStr">
        <is>
          <t>0.46.3</t>
        </is>
      </c>
      <c r="N1" s="1" t="inlineStr">
        <is>
          <t>1.0.0</t>
        </is>
      </c>
      <c r="O1" s="1" t="inlineStr">
        <is>
          <t>1.0.1</t>
        </is>
      </c>
      <c r="P1" s="1" t="inlineStr">
        <is>
          <t>1.0.2</t>
        </is>
      </c>
      <c r="Q1" s="1" t="inlineStr">
        <is>
          <t>1.1.0</t>
        </is>
      </c>
      <c r="R1" s="1" t="inlineStr">
        <is>
          <t>1.1.1</t>
        </is>
      </c>
      <c r="S1" s="1" t="inlineStr">
        <is>
          <t>1.1.2</t>
        </is>
      </c>
      <c r="T1" s="1" t="inlineStr">
        <is>
          <t>1.2.0</t>
        </is>
      </c>
      <c r="U1" s="1" t="inlineStr">
        <is>
          <t>1.2.1</t>
        </is>
      </c>
      <c r="V1" s="1" t="inlineStr">
        <is>
          <t>1.2.2</t>
        </is>
      </c>
      <c r="W1" s="1" t="inlineStr">
        <is>
          <t>1.2.4</t>
        </is>
      </c>
      <c r="X1" s="1" t="inlineStr">
        <is>
          <t>2.0.0</t>
        </is>
      </c>
      <c r="Y1" s="1" t="inlineStr">
        <is>
          <t>2.2.0</t>
        </is>
      </c>
      <c r="Z1" s="1" t="inlineStr">
        <is>
          <t>2.3.0</t>
        </is>
      </c>
      <c r="AA1" s="1" t="inlineStr">
        <is>
          <t>2.4.0</t>
        </is>
      </c>
      <c r="AB1" s="1" t="inlineStr">
        <is>
          <t>2.5.0</t>
        </is>
      </c>
    </row>
    <row r="2">
      <c r="A2" s="2" t="inlineStr">
        <is>
          <t>issue_009</t>
        </is>
      </c>
      <c r="B2" s="13" t="inlineStr">
        <is>
          <t>NOT_TESTED</t>
        </is>
      </c>
      <c r="C2" s="13" t="inlineStr">
        <is>
          <t>NOT_TESTED</t>
        </is>
      </c>
      <c r="D2" s="13" t="inlineStr">
        <is>
          <t>NOT_TESTED</t>
        </is>
      </c>
      <c r="E2" s="13" t="inlineStr">
        <is>
          <t>NOT_TESTED</t>
        </is>
      </c>
      <c r="F2" s="14" t="inlineStr">
        <is>
          <t>Runtime error</t>
        </is>
      </c>
      <c r="G2" s="14" t="inlineStr">
        <is>
          <t>Runtime error</t>
        </is>
      </c>
      <c r="H2" s="15" t="inlineStr">
        <is>
          <t>Failed on test</t>
        </is>
      </c>
      <c r="I2" s="15" t="inlineStr">
        <is>
          <t>Failed on test</t>
        </is>
      </c>
      <c r="J2" s="14" t="inlineStr">
        <is>
          <t>Runtime error</t>
        </is>
      </c>
      <c r="K2" s="14" t="inlineStr">
        <is>
          <t>Runtime error</t>
        </is>
      </c>
      <c r="L2" s="14" t="inlineStr">
        <is>
          <t>Runtime error</t>
        </is>
      </c>
      <c r="M2" s="14" t="inlineStr">
        <is>
          <t>Runtime error</t>
        </is>
      </c>
      <c r="N2" s="13" t="inlineStr">
        <is>
          <t>NOT_TESTED</t>
        </is>
      </c>
      <c r="O2" s="13" t="inlineStr">
        <is>
          <t>NOT_TESTED</t>
        </is>
      </c>
      <c r="P2" s="13" t="inlineStr">
        <is>
          <t>NOT_TESTED</t>
        </is>
      </c>
      <c r="Q2" s="13" t="inlineStr">
        <is>
          <t>NOT_TESTED</t>
        </is>
      </c>
      <c r="R2" s="13" t="inlineStr">
        <is>
          <t>NOT_TESTED</t>
        </is>
      </c>
      <c r="S2" s="13" t="inlineStr">
        <is>
          <t>NOT_TESTED</t>
        </is>
      </c>
      <c r="T2" s="13" t="inlineStr">
        <is>
          <t>NOT_TESTED</t>
        </is>
      </c>
      <c r="U2" s="13" t="inlineStr">
        <is>
          <t>NOT_TESTED</t>
        </is>
      </c>
      <c r="V2" s="13" t="inlineStr">
        <is>
          <t>NOT_TESTED</t>
        </is>
      </c>
      <c r="W2" s="13" t="inlineStr">
        <is>
          <t>NOT_TESTED</t>
        </is>
      </c>
      <c r="X2" s="13" t="inlineStr">
        <is>
          <t>NOT_TESTED</t>
        </is>
      </c>
      <c r="Y2" s="13" t="inlineStr">
        <is>
          <t>NOT_TESTED</t>
        </is>
      </c>
      <c r="Z2" s="13" t="inlineStr">
        <is>
          <t>NOT_TESTED</t>
        </is>
      </c>
      <c r="AA2" s="13" t="inlineStr">
        <is>
          <t>NOT_TESTED</t>
        </is>
      </c>
      <c r="AB2" s="13" t="inlineStr">
        <is>
          <t>NOT_TESTED</t>
        </is>
      </c>
    </row>
    <row r="3">
      <c r="A3" s="2" t="inlineStr">
        <is>
          <t>issue_021_se</t>
        </is>
      </c>
      <c r="B3" s="14" t="inlineStr">
        <is>
          <t>Runtime error</t>
        </is>
      </c>
      <c r="C3" s="14" t="inlineStr">
        <is>
          <t>Runtime error</t>
        </is>
      </c>
      <c r="D3" s="14" t="inlineStr">
        <is>
          <t>Runtime error</t>
        </is>
      </c>
      <c r="E3" s="14" t="inlineStr">
        <is>
          <t>Runtime error</t>
        </is>
      </c>
      <c r="F3" s="14" t="inlineStr">
        <is>
          <t>Runtime error</t>
        </is>
      </c>
      <c r="G3" s="14" t="inlineStr">
        <is>
          <t>Runtime error</t>
        </is>
      </c>
      <c r="H3" s="14" t="inlineStr">
        <is>
          <t>Runtime error</t>
        </is>
      </c>
      <c r="I3" s="14" t="inlineStr">
        <is>
          <t>Runtime error</t>
        </is>
      </c>
      <c r="J3" s="14" t="inlineStr">
        <is>
          <t>Runtime error</t>
        </is>
      </c>
      <c r="K3" s="14" t="inlineStr">
        <is>
          <t>Runtime error</t>
        </is>
      </c>
      <c r="L3" s="14" t="inlineStr">
        <is>
          <t>Runtime error</t>
        </is>
      </c>
      <c r="M3" s="14" t="inlineStr">
        <is>
          <t>Runtime error</t>
        </is>
      </c>
      <c r="N3" s="13" t="inlineStr">
        <is>
          <t>NOT_TESTED</t>
        </is>
      </c>
      <c r="O3" s="13" t="inlineStr">
        <is>
          <t>NOT_TESTED</t>
        </is>
      </c>
      <c r="P3" s="13" t="inlineStr">
        <is>
          <t>NOT_TESTED</t>
        </is>
      </c>
      <c r="Q3" s="13" t="inlineStr">
        <is>
          <t>NOT_TESTED</t>
        </is>
      </c>
      <c r="R3" s="13" t="inlineStr">
        <is>
          <t>NOT_TESTED</t>
        </is>
      </c>
      <c r="S3" s="13" t="inlineStr">
        <is>
          <t>NOT_TESTED</t>
        </is>
      </c>
      <c r="T3" s="13" t="inlineStr">
        <is>
          <t>NOT_TESTED</t>
        </is>
      </c>
      <c r="U3" s="13" t="inlineStr">
        <is>
          <t>NOT_TESTED</t>
        </is>
      </c>
      <c r="V3" s="13" t="inlineStr">
        <is>
          <t>NOT_TESTED</t>
        </is>
      </c>
      <c r="W3" s="13" t="inlineStr">
        <is>
          <t>NOT_TESTED</t>
        </is>
      </c>
      <c r="X3" s="13" t="inlineStr">
        <is>
          <t>NOT_TESTED</t>
        </is>
      </c>
      <c r="Y3" s="13" t="inlineStr">
        <is>
          <t>NOT_TESTED</t>
        </is>
      </c>
      <c r="Z3" s="13" t="inlineStr">
        <is>
          <t>NOT_TESTED</t>
        </is>
      </c>
      <c r="AA3" s="13" t="inlineStr">
        <is>
          <t>NOT_TESTED</t>
        </is>
      </c>
      <c r="AB3" s="13" t="inlineStr">
        <is>
          <t>NOT_TESTED</t>
        </is>
      </c>
    </row>
    <row r="4">
      <c r="A4" s="2" t="inlineStr">
        <is>
          <t>issue_032_se</t>
        </is>
      </c>
      <c r="B4" s="16" t="inlineStr">
        <is>
          <t>Passed on test</t>
        </is>
      </c>
      <c r="C4" s="16" t="inlineStr">
        <is>
          <t>Passed on test</t>
        </is>
      </c>
      <c r="D4" s="16" t="inlineStr">
        <is>
          <t>Passed on test</t>
        </is>
      </c>
      <c r="E4" s="16" t="inlineStr">
        <is>
          <t>Passed on test</t>
        </is>
      </c>
      <c r="F4" s="13" t="inlineStr">
        <is>
          <t>NOT_TESTED</t>
        </is>
      </c>
      <c r="G4" s="13" t="inlineStr">
        <is>
          <t>NOT_TESTED</t>
        </is>
      </c>
      <c r="H4" s="13" t="inlineStr">
        <is>
          <t>NOT_TESTED</t>
        </is>
      </c>
      <c r="I4" s="13" t="inlineStr">
        <is>
          <t>NOT_TESTED</t>
        </is>
      </c>
      <c r="J4" s="13" t="inlineStr">
        <is>
          <t>NOT_TESTED</t>
        </is>
      </c>
      <c r="K4" s="13" t="inlineStr">
        <is>
          <t>NOT_TESTED</t>
        </is>
      </c>
      <c r="L4" s="13" t="inlineStr">
        <is>
          <t>NOT_TESTED</t>
        </is>
      </c>
      <c r="M4" s="13" t="inlineStr">
        <is>
          <t>NOT_TESTED</t>
        </is>
      </c>
      <c r="N4" s="13" t="inlineStr">
        <is>
          <t>NOT_TESTED</t>
        </is>
      </c>
      <c r="O4" s="13" t="inlineStr">
        <is>
          <t>NOT_TESTED</t>
        </is>
      </c>
      <c r="P4" s="13" t="inlineStr">
        <is>
          <t>NOT_TESTED</t>
        </is>
      </c>
      <c r="Q4" s="13" t="inlineStr">
        <is>
          <t>NOT_TESTED</t>
        </is>
      </c>
      <c r="R4" s="13" t="inlineStr">
        <is>
          <t>NOT_TESTED</t>
        </is>
      </c>
      <c r="S4" s="13" t="inlineStr">
        <is>
          <t>NOT_TESTED</t>
        </is>
      </c>
      <c r="T4" s="13" t="inlineStr">
        <is>
          <t>NOT_TESTED</t>
        </is>
      </c>
      <c r="U4" s="13" t="inlineStr">
        <is>
          <t>NOT_TESTED</t>
        </is>
      </c>
      <c r="V4" s="13" t="inlineStr">
        <is>
          <t>NOT_TESTED</t>
        </is>
      </c>
      <c r="W4" s="13" t="inlineStr">
        <is>
          <t>NOT_TESTED</t>
        </is>
      </c>
      <c r="X4" s="13" t="inlineStr">
        <is>
          <t>NOT_TESTED</t>
        </is>
      </c>
      <c r="Y4" s="13" t="inlineStr">
        <is>
          <t>NOT_TESTED</t>
        </is>
      </c>
      <c r="Z4" s="13" t="inlineStr">
        <is>
          <t>NOT_TESTED</t>
        </is>
      </c>
      <c r="AA4" s="13" t="inlineStr">
        <is>
          <t>NOT_TESTED</t>
        </is>
      </c>
      <c r="AB4" s="13" t="inlineStr">
        <is>
          <t>NOT_TESTED</t>
        </is>
      </c>
    </row>
    <row r="5">
      <c r="A5" s="2" t="inlineStr">
        <is>
          <t>issue_034</t>
        </is>
      </c>
      <c r="B5" s="13" t="inlineStr">
        <is>
          <t>NOT_TESTED</t>
        </is>
      </c>
      <c r="C5" s="13" t="inlineStr">
        <is>
          <t>NOT_TESTED</t>
        </is>
      </c>
      <c r="D5" s="13" t="inlineStr">
        <is>
          <t>NOT_TESTED</t>
        </is>
      </c>
      <c r="E5" s="13" t="inlineStr">
        <is>
          <t>NOT_TESTED</t>
        </is>
      </c>
      <c r="F5" s="13" t="inlineStr">
        <is>
          <t>NOT_TESTED</t>
        </is>
      </c>
      <c r="G5" s="13" t="inlineStr">
        <is>
          <t>NOT_TESTED</t>
        </is>
      </c>
      <c r="H5" s="13" t="inlineStr">
        <is>
          <t>NOT_TESTED</t>
        </is>
      </c>
      <c r="I5" s="13" t="inlineStr">
        <is>
          <t>NOT_TESTED</t>
        </is>
      </c>
      <c r="J5" s="13" t="inlineStr">
        <is>
          <t>NOT_TESTED</t>
        </is>
      </c>
      <c r="K5" s="13" t="inlineStr">
        <is>
          <t>NOT_TESTED</t>
        </is>
      </c>
      <c r="L5" s="13" t="inlineStr">
        <is>
          <t>NOT_TESTED</t>
        </is>
      </c>
      <c r="M5" s="13" t="inlineStr">
        <is>
          <t>NOT_TESTED</t>
        </is>
      </c>
      <c r="N5" s="16" t="inlineStr">
        <is>
          <t>Passed on test</t>
        </is>
      </c>
      <c r="O5" s="16" t="inlineStr">
        <is>
          <t>Passed on test</t>
        </is>
      </c>
      <c r="P5" s="16" t="inlineStr">
        <is>
          <t>Passed on test</t>
        </is>
      </c>
      <c r="Q5" s="16" t="inlineStr">
        <is>
          <t>Passed on test</t>
        </is>
      </c>
      <c r="R5" s="16" t="inlineStr">
        <is>
          <t>Passed on test</t>
        </is>
      </c>
      <c r="S5" s="16" t="inlineStr">
        <is>
          <t>Passed on test</t>
        </is>
      </c>
      <c r="T5" s="16" t="inlineStr">
        <is>
          <t>Passed on test</t>
        </is>
      </c>
      <c r="U5" s="16" t="inlineStr">
        <is>
          <t>Passed on test</t>
        </is>
      </c>
      <c r="V5" s="16" t="inlineStr">
        <is>
          <t>Passed on test</t>
        </is>
      </c>
      <c r="W5" s="16" t="inlineStr">
        <is>
          <t>Passed on test</t>
        </is>
      </c>
      <c r="X5" s="16" t="inlineStr">
        <is>
          <t>Passed on test</t>
        </is>
      </c>
      <c r="Y5" s="16" t="inlineStr">
        <is>
          <t>Passed on test</t>
        </is>
      </c>
      <c r="Z5" s="16" t="inlineStr">
        <is>
          <t>Passed on test</t>
        </is>
      </c>
      <c r="AA5" s="16" t="inlineStr">
        <is>
          <t>Passed on test</t>
        </is>
      </c>
      <c r="AB5" s="16" t="inlineStr">
        <is>
          <t>Passed on test</t>
        </is>
      </c>
    </row>
    <row r="6">
      <c r="A6" s="2" t="inlineStr">
        <is>
          <t>issue_036</t>
        </is>
      </c>
      <c r="B6" s="13" t="inlineStr">
        <is>
          <t>NOT_TESTED</t>
        </is>
      </c>
      <c r="C6" s="13" t="inlineStr">
        <is>
          <t>NOT_TESTED</t>
        </is>
      </c>
      <c r="D6" s="13" t="inlineStr">
        <is>
          <t>NOT_TESTED</t>
        </is>
      </c>
      <c r="E6" s="13" t="inlineStr">
        <is>
          <t>NOT_TESTED</t>
        </is>
      </c>
      <c r="F6" s="13" t="inlineStr">
        <is>
          <t>NOT_TESTED</t>
        </is>
      </c>
      <c r="G6" s="13" t="inlineStr">
        <is>
          <t>NOT_TESTED</t>
        </is>
      </c>
      <c r="H6" s="13" t="inlineStr">
        <is>
          <t>NOT_TESTED</t>
        </is>
      </c>
      <c r="I6" s="13" t="inlineStr">
        <is>
          <t>NOT_TESTED</t>
        </is>
      </c>
      <c r="J6" s="13" t="inlineStr">
        <is>
          <t>NOT_TESTED</t>
        </is>
      </c>
      <c r="K6" s="13" t="inlineStr">
        <is>
          <t>NOT_TESTED</t>
        </is>
      </c>
      <c r="L6" s="13" t="inlineStr">
        <is>
          <t>NOT_TESTED</t>
        </is>
      </c>
      <c r="M6" s="13" t="inlineStr">
        <is>
          <t>NOT_TESTED</t>
        </is>
      </c>
      <c r="N6" s="16" t="inlineStr">
        <is>
          <t>Passed on test</t>
        </is>
      </c>
      <c r="O6" s="16" t="inlineStr">
        <is>
          <t>Passed on test</t>
        </is>
      </c>
      <c r="P6" s="16" t="inlineStr">
        <is>
          <t>Passed on test</t>
        </is>
      </c>
      <c r="Q6" s="16" t="inlineStr">
        <is>
          <t>Passed on test</t>
        </is>
      </c>
      <c r="R6" s="16" t="inlineStr">
        <is>
          <t>Passed on test</t>
        </is>
      </c>
      <c r="S6" s="16" t="inlineStr">
        <is>
          <t>Passed on test</t>
        </is>
      </c>
      <c r="T6" s="16" t="inlineStr">
        <is>
          <t>Passed on test</t>
        </is>
      </c>
      <c r="U6" s="16" t="inlineStr">
        <is>
          <t>Passed on test</t>
        </is>
      </c>
      <c r="V6" s="16" t="inlineStr">
        <is>
          <t>Passed on test</t>
        </is>
      </c>
      <c r="W6" s="16" t="inlineStr">
        <is>
          <t>Passed on test</t>
        </is>
      </c>
      <c r="X6" s="16" t="inlineStr">
        <is>
          <t>Passed on test</t>
        </is>
      </c>
      <c r="Y6" s="16" t="inlineStr">
        <is>
          <t>Passed on test</t>
        </is>
      </c>
      <c r="Z6" s="16" t="inlineStr">
        <is>
          <t>Passed on test</t>
        </is>
      </c>
      <c r="AA6" s="16" t="inlineStr">
        <is>
          <t>Passed on test</t>
        </is>
      </c>
      <c r="AB6" s="16" t="inlineStr">
        <is>
          <t>Passed on test</t>
        </is>
      </c>
    </row>
    <row r="7">
      <c r="A7" s="2" t="inlineStr">
        <is>
          <t>issue_058_se</t>
        </is>
      </c>
      <c r="B7" s="16" t="inlineStr">
        <is>
          <t>Passed on test</t>
        </is>
      </c>
      <c r="C7" s="16" t="inlineStr">
        <is>
          <t>Passed on test</t>
        </is>
      </c>
      <c r="D7" s="16" t="inlineStr">
        <is>
          <t>Passed on test</t>
        </is>
      </c>
      <c r="E7" s="16" t="inlineStr">
        <is>
          <t>Passed on test</t>
        </is>
      </c>
      <c r="F7" s="16" t="inlineStr">
        <is>
          <t>Passed on test</t>
        </is>
      </c>
      <c r="G7" s="16" t="inlineStr">
        <is>
          <t>Passed on test</t>
        </is>
      </c>
      <c r="H7" s="16" t="inlineStr">
        <is>
          <t>Passed on test</t>
        </is>
      </c>
      <c r="I7" s="16" t="inlineStr">
        <is>
          <t>Passed on test</t>
        </is>
      </c>
      <c r="J7" s="16" t="inlineStr">
        <is>
          <t>Passed on test</t>
        </is>
      </c>
      <c r="K7" s="16" t="inlineStr">
        <is>
          <t>Passed on test</t>
        </is>
      </c>
      <c r="L7" s="16" t="inlineStr">
        <is>
          <t>Passed on test</t>
        </is>
      </c>
      <c r="M7" s="16" t="inlineStr">
        <is>
          <t>Passed on test</t>
        </is>
      </c>
      <c r="N7" s="13" t="inlineStr">
        <is>
          <t>NOT_TESTED</t>
        </is>
      </c>
      <c r="O7" s="13" t="inlineStr">
        <is>
          <t>NOT_TESTED</t>
        </is>
      </c>
      <c r="P7" s="13" t="inlineStr">
        <is>
          <t>NOT_TESTED</t>
        </is>
      </c>
      <c r="Q7" s="13" t="inlineStr">
        <is>
          <t>NOT_TESTED</t>
        </is>
      </c>
      <c r="R7" s="13" t="inlineStr">
        <is>
          <t>NOT_TESTED</t>
        </is>
      </c>
      <c r="S7" s="13" t="inlineStr">
        <is>
          <t>NOT_TESTED</t>
        </is>
      </c>
      <c r="T7" s="13" t="inlineStr">
        <is>
          <t>NOT_TESTED</t>
        </is>
      </c>
      <c r="U7" s="13" t="inlineStr">
        <is>
          <t>NOT_TESTED</t>
        </is>
      </c>
      <c r="V7" s="13" t="inlineStr">
        <is>
          <t>NOT_TESTED</t>
        </is>
      </c>
      <c r="W7" s="13" t="inlineStr">
        <is>
          <t>NOT_TESTED</t>
        </is>
      </c>
      <c r="X7" s="13" t="inlineStr">
        <is>
          <t>NOT_TESTED</t>
        </is>
      </c>
      <c r="Y7" s="13" t="inlineStr">
        <is>
          <t>NOT_TESTED</t>
        </is>
      </c>
      <c r="Z7" s="13" t="inlineStr">
        <is>
          <t>NOT_TESTED</t>
        </is>
      </c>
      <c r="AA7" s="13" t="inlineStr">
        <is>
          <t>NOT_TESTED</t>
        </is>
      </c>
      <c r="AB7" s="13" t="inlineStr">
        <is>
          <t>NOT_TESTED</t>
        </is>
      </c>
    </row>
    <row r="8">
      <c r="A8" s="2" t="inlineStr">
        <is>
          <t>issue_061</t>
        </is>
      </c>
      <c r="B8" s="13" t="inlineStr">
        <is>
          <t>NOT_TESTED</t>
        </is>
      </c>
      <c r="C8" s="13" t="inlineStr">
        <is>
          <t>NOT_TESTED</t>
        </is>
      </c>
      <c r="D8" s="13" t="inlineStr">
        <is>
          <t>NOT_TESTED</t>
        </is>
      </c>
      <c r="E8" s="13" t="inlineStr">
        <is>
          <t>NOT_TESTED</t>
        </is>
      </c>
      <c r="F8" s="13" t="inlineStr">
        <is>
          <t>NOT_TESTED</t>
        </is>
      </c>
      <c r="G8" s="13" t="inlineStr">
        <is>
          <t>NOT_TESTED</t>
        </is>
      </c>
      <c r="H8" s="13" t="inlineStr">
        <is>
          <t>NOT_TESTED</t>
        </is>
      </c>
      <c r="I8" s="13" t="inlineStr">
        <is>
          <t>NOT_TESTED</t>
        </is>
      </c>
      <c r="J8" s="13" t="inlineStr">
        <is>
          <t>NOT_TESTED</t>
        </is>
      </c>
      <c r="K8" s="13" t="inlineStr">
        <is>
          <t>NOT_TESTED</t>
        </is>
      </c>
      <c r="L8" s="13" t="inlineStr">
        <is>
          <t>NOT_TESTED</t>
        </is>
      </c>
      <c r="M8" s="13" t="inlineStr">
        <is>
          <t>NOT_TESTED</t>
        </is>
      </c>
      <c r="N8" s="16" t="inlineStr">
        <is>
          <t>Passed on test</t>
        </is>
      </c>
      <c r="O8" s="16" t="inlineStr">
        <is>
          <t>Passed on test</t>
        </is>
      </c>
      <c r="P8" s="16" t="inlineStr">
        <is>
          <t>Passed on test</t>
        </is>
      </c>
      <c r="Q8" s="16" t="inlineStr">
        <is>
          <t>Passed on test</t>
        </is>
      </c>
      <c r="R8" s="16" t="inlineStr">
        <is>
          <t>Passed on test</t>
        </is>
      </c>
      <c r="S8" s="16" t="inlineStr">
        <is>
          <t>Passed on test</t>
        </is>
      </c>
      <c r="T8" s="16" t="inlineStr">
        <is>
          <t>Passed on test</t>
        </is>
      </c>
      <c r="U8" s="16" t="inlineStr">
        <is>
          <t>Passed on test</t>
        </is>
      </c>
      <c r="V8" s="16" t="inlineStr">
        <is>
          <t>Passed on test</t>
        </is>
      </c>
      <c r="W8" s="16" t="inlineStr">
        <is>
          <t>Passed on test</t>
        </is>
      </c>
      <c r="X8" s="16" t="inlineStr">
        <is>
          <t>Passed on test</t>
        </is>
      </c>
      <c r="Y8" s="16" t="inlineStr">
        <is>
          <t>Passed on test</t>
        </is>
      </c>
      <c r="Z8" s="16" t="inlineStr">
        <is>
          <t>Passed on test</t>
        </is>
      </c>
      <c r="AA8" s="16" t="inlineStr">
        <is>
          <t>Passed on test</t>
        </is>
      </c>
      <c r="AB8" s="16" t="inlineStr">
        <is>
          <t>Passed on test</t>
        </is>
      </c>
    </row>
    <row r="9">
      <c r="A9" s="2" t="inlineStr">
        <is>
          <t>issue_072</t>
        </is>
      </c>
      <c r="B9" s="16" t="inlineStr">
        <is>
          <t>Passed on test</t>
        </is>
      </c>
      <c r="C9" s="16" t="inlineStr">
        <is>
          <t>Passed on test</t>
        </is>
      </c>
      <c r="D9" s="16" t="inlineStr">
        <is>
          <t>Passed on test</t>
        </is>
      </c>
      <c r="E9" s="16" t="inlineStr">
        <is>
          <t>Passed on test</t>
        </is>
      </c>
      <c r="F9" s="13" t="inlineStr">
        <is>
          <t>NOT_TESTED</t>
        </is>
      </c>
      <c r="G9" s="13" t="inlineStr">
        <is>
          <t>NOT_TESTED</t>
        </is>
      </c>
      <c r="H9" s="13" t="inlineStr">
        <is>
          <t>NOT_TESTED</t>
        </is>
      </c>
      <c r="I9" s="13" t="inlineStr">
        <is>
          <t>NOT_TESTED</t>
        </is>
      </c>
      <c r="J9" s="13" t="inlineStr">
        <is>
          <t>NOT_TESTED</t>
        </is>
      </c>
      <c r="K9" s="13" t="inlineStr">
        <is>
          <t>NOT_TESTED</t>
        </is>
      </c>
      <c r="L9" s="13" t="inlineStr">
        <is>
          <t>NOT_TESTED</t>
        </is>
      </c>
      <c r="M9" s="13" t="inlineStr">
        <is>
          <t>NOT_TESTED</t>
        </is>
      </c>
      <c r="N9" s="13" t="inlineStr">
        <is>
          <t>NOT_TESTED</t>
        </is>
      </c>
      <c r="O9" s="13" t="inlineStr">
        <is>
          <t>NOT_TESTED</t>
        </is>
      </c>
      <c r="P9" s="13" t="inlineStr">
        <is>
          <t>NOT_TESTED</t>
        </is>
      </c>
      <c r="Q9" s="13" t="inlineStr">
        <is>
          <t>NOT_TESTED</t>
        </is>
      </c>
      <c r="R9" s="13" t="inlineStr">
        <is>
          <t>NOT_TESTED</t>
        </is>
      </c>
      <c r="S9" s="13" t="inlineStr">
        <is>
          <t>NOT_TESTED</t>
        </is>
      </c>
      <c r="T9" s="13" t="inlineStr">
        <is>
          <t>NOT_TESTED</t>
        </is>
      </c>
      <c r="U9" s="13" t="inlineStr">
        <is>
          <t>NOT_TESTED</t>
        </is>
      </c>
      <c r="V9" s="13" t="inlineStr">
        <is>
          <t>NOT_TESTED</t>
        </is>
      </c>
      <c r="W9" s="13" t="inlineStr">
        <is>
          <t>NOT_TESTED</t>
        </is>
      </c>
      <c r="X9" s="13" t="inlineStr">
        <is>
          <t>NOT_TESTED</t>
        </is>
      </c>
      <c r="Y9" s="13" t="inlineStr">
        <is>
          <t>NOT_TESTED</t>
        </is>
      </c>
      <c r="Z9" s="13" t="inlineStr">
        <is>
          <t>NOT_TESTED</t>
        </is>
      </c>
      <c r="AA9" s="13" t="inlineStr">
        <is>
          <t>NOT_TESTED</t>
        </is>
      </c>
      <c r="AB9" s="13" t="inlineStr">
        <is>
          <t>NOT_TESTED</t>
        </is>
      </c>
    </row>
    <row r="10">
      <c r="A10" s="2" t="inlineStr">
        <is>
          <t>issue_096</t>
        </is>
      </c>
      <c r="B10" s="15" t="inlineStr">
        <is>
          <t>Failed on test</t>
        </is>
      </c>
      <c r="C10" s="15" t="inlineStr">
        <is>
          <t>Failed on test</t>
        </is>
      </c>
      <c r="D10" s="15" t="inlineStr">
        <is>
          <t>Failed on test</t>
        </is>
      </c>
      <c r="E10" s="15" t="inlineStr">
        <is>
          <t>Failed on test</t>
        </is>
      </c>
      <c r="F10" s="15" t="inlineStr">
        <is>
          <t>Failed on test</t>
        </is>
      </c>
      <c r="G10" s="15" t="inlineStr">
        <is>
          <t>Failed on test</t>
        </is>
      </c>
      <c r="H10" s="15" t="inlineStr">
        <is>
          <t>Failed on test</t>
        </is>
      </c>
      <c r="I10" s="15" t="inlineStr">
        <is>
          <t>Failed on test</t>
        </is>
      </c>
      <c r="J10" s="15" t="inlineStr">
        <is>
          <t>Failed on test</t>
        </is>
      </c>
      <c r="K10" s="15" t="inlineStr">
        <is>
          <t>Failed on test</t>
        </is>
      </c>
      <c r="L10" s="15" t="inlineStr">
        <is>
          <t>Failed on test</t>
        </is>
      </c>
      <c r="M10" s="15" t="inlineStr">
        <is>
          <t>Failed on test</t>
        </is>
      </c>
      <c r="N10" s="15" t="inlineStr">
        <is>
          <t>Failed on test</t>
        </is>
      </c>
      <c r="O10" s="15" t="inlineStr">
        <is>
          <t>Failed on test</t>
        </is>
      </c>
      <c r="P10" s="15" t="inlineStr">
        <is>
          <t>Failed on test</t>
        </is>
      </c>
      <c r="Q10" s="15" t="inlineStr">
        <is>
          <t>Failed on test</t>
        </is>
      </c>
      <c r="R10" s="15" t="inlineStr">
        <is>
          <t>Failed on test</t>
        </is>
      </c>
      <c r="S10" s="15" t="inlineStr">
        <is>
          <t>Failed on test</t>
        </is>
      </c>
      <c r="T10" s="15" t="inlineStr">
        <is>
          <t>Failed on test</t>
        </is>
      </c>
      <c r="U10" s="15" t="inlineStr">
        <is>
          <t>Failed on test</t>
        </is>
      </c>
      <c r="V10" s="15" t="inlineStr">
        <is>
          <t>Failed on test</t>
        </is>
      </c>
      <c r="W10" s="15" t="inlineStr">
        <is>
          <t>Failed on test</t>
        </is>
      </c>
      <c r="X10" s="15" t="inlineStr">
        <is>
          <t>Failed on test</t>
        </is>
      </c>
      <c r="Y10" s="15" t="inlineStr">
        <is>
          <t>Failed on test</t>
        </is>
      </c>
      <c r="Z10" s="15" t="inlineStr">
        <is>
          <t>Failed on test</t>
        </is>
      </c>
      <c r="AA10" s="15" t="inlineStr">
        <is>
          <t>Failed on test</t>
        </is>
      </c>
      <c r="AB10" s="15" t="inlineStr">
        <is>
          <t>Failed on test</t>
        </is>
      </c>
    </row>
    <row r="11">
      <c r="A11" s="2" t="inlineStr">
        <is>
          <t>issue_155</t>
        </is>
      </c>
      <c r="B11" s="16" t="inlineStr">
        <is>
          <t>Passed on test</t>
        </is>
      </c>
      <c r="C11" s="16" t="inlineStr">
        <is>
          <t>Passed on test</t>
        </is>
      </c>
      <c r="D11" s="16" t="inlineStr">
        <is>
          <t>Passed on test</t>
        </is>
      </c>
      <c r="E11" s="16" t="inlineStr">
        <is>
          <t>Passed on test</t>
        </is>
      </c>
      <c r="F11" s="16" t="inlineStr">
        <is>
          <t>Passed on test</t>
        </is>
      </c>
      <c r="G11" s="16" t="inlineStr">
        <is>
          <t>Passed on test</t>
        </is>
      </c>
      <c r="H11" s="16" t="inlineStr">
        <is>
          <t>Passed on test</t>
        </is>
      </c>
      <c r="I11" s="16" t="inlineStr">
        <is>
          <t>Passed on test</t>
        </is>
      </c>
      <c r="J11" s="16" t="inlineStr">
        <is>
          <t>Passed on test</t>
        </is>
      </c>
      <c r="K11" s="16" t="inlineStr">
        <is>
          <t>Passed on test</t>
        </is>
      </c>
      <c r="L11" s="16" t="inlineStr">
        <is>
          <t>Passed on test</t>
        </is>
      </c>
      <c r="M11" s="16" t="inlineStr">
        <is>
          <t>Passed on test</t>
        </is>
      </c>
      <c r="N11" s="13" t="inlineStr">
        <is>
          <t>NOT_TESTED</t>
        </is>
      </c>
      <c r="O11" s="13" t="inlineStr">
        <is>
          <t>NOT_TESTED</t>
        </is>
      </c>
      <c r="P11" s="13" t="inlineStr">
        <is>
          <t>NOT_TESTED</t>
        </is>
      </c>
      <c r="Q11" s="13" t="inlineStr">
        <is>
          <t>NOT_TESTED</t>
        </is>
      </c>
      <c r="R11" s="13" t="inlineStr">
        <is>
          <t>NOT_TESTED</t>
        </is>
      </c>
      <c r="S11" s="13" t="inlineStr">
        <is>
          <t>NOT_TESTED</t>
        </is>
      </c>
      <c r="T11" s="13" t="inlineStr">
        <is>
          <t>NOT_TESTED</t>
        </is>
      </c>
      <c r="U11" s="13" t="inlineStr">
        <is>
          <t>NOT_TESTED</t>
        </is>
      </c>
      <c r="V11" s="13" t="inlineStr">
        <is>
          <t>NOT_TESTED</t>
        </is>
      </c>
      <c r="W11" s="13" t="inlineStr">
        <is>
          <t>NOT_TESTED</t>
        </is>
      </c>
      <c r="X11" s="13" t="inlineStr">
        <is>
          <t>NOT_TESTED</t>
        </is>
      </c>
      <c r="Y11" s="13" t="inlineStr">
        <is>
          <t>NOT_TESTED</t>
        </is>
      </c>
      <c r="Z11" s="13" t="inlineStr">
        <is>
          <t>NOT_TESTED</t>
        </is>
      </c>
      <c r="AA11" s="13" t="inlineStr">
        <is>
          <t>NOT_TESTED</t>
        </is>
      </c>
      <c r="AB11" s="13" t="inlineStr">
        <is>
          <t>NOT_TESTED</t>
        </is>
      </c>
    </row>
    <row r="12">
      <c r="A12" s="2" t="inlineStr">
        <is>
          <t>issue_157</t>
        </is>
      </c>
      <c r="B12" s="14" t="inlineStr">
        <is>
          <t>Runtime error</t>
        </is>
      </c>
      <c r="C12" s="14" t="inlineStr">
        <is>
          <t>Runtime error</t>
        </is>
      </c>
      <c r="D12" s="14" t="inlineStr">
        <is>
          <t>Runtime error</t>
        </is>
      </c>
      <c r="E12" s="14" t="inlineStr">
        <is>
          <t>Runtime error</t>
        </is>
      </c>
      <c r="F12" s="16" t="inlineStr">
        <is>
          <t>Passed on test</t>
        </is>
      </c>
      <c r="G12" s="16" t="inlineStr">
        <is>
          <t>Passed on test</t>
        </is>
      </c>
      <c r="H12" s="16" t="inlineStr">
        <is>
          <t>Passed on test</t>
        </is>
      </c>
      <c r="I12" s="16" t="inlineStr">
        <is>
          <t>Passed on test</t>
        </is>
      </c>
      <c r="J12" s="16" t="inlineStr">
        <is>
          <t>Passed on test</t>
        </is>
      </c>
      <c r="K12" s="16" t="inlineStr">
        <is>
          <t>Passed on test</t>
        </is>
      </c>
      <c r="L12" s="16" t="inlineStr">
        <is>
          <t>Passed on test</t>
        </is>
      </c>
      <c r="M12" s="16" t="inlineStr">
        <is>
          <t>Passed on test</t>
        </is>
      </c>
      <c r="N12" s="13" t="inlineStr">
        <is>
          <t>NOT_TESTED</t>
        </is>
      </c>
      <c r="O12" s="13" t="inlineStr">
        <is>
          <t>NOT_TESTED</t>
        </is>
      </c>
      <c r="P12" s="13" t="inlineStr">
        <is>
          <t>NOT_TESTED</t>
        </is>
      </c>
      <c r="Q12" s="13" t="inlineStr">
        <is>
          <t>NOT_TESTED</t>
        </is>
      </c>
      <c r="R12" s="13" t="inlineStr">
        <is>
          <t>NOT_TESTED</t>
        </is>
      </c>
      <c r="S12" s="13" t="inlineStr">
        <is>
          <t>NOT_TESTED</t>
        </is>
      </c>
      <c r="T12" s="13" t="inlineStr">
        <is>
          <t>NOT_TESTED</t>
        </is>
      </c>
      <c r="U12" s="13" t="inlineStr">
        <is>
          <t>NOT_TESTED</t>
        </is>
      </c>
      <c r="V12" s="13" t="inlineStr">
        <is>
          <t>NOT_TESTED</t>
        </is>
      </c>
      <c r="W12" s="13" t="inlineStr">
        <is>
          <t>NOT_TESTED</t>
        </is>
      </c>
      <c r="X12" s="13" t="inlineStr">
        <is>
          <t>NOT_TESTED</t>
        </is>
      </c>
      <c r="Y12" s="13" t="inlineStr">
        <is>
          <t>NOT_TESTED</t>
        </is>
      </c>
      <c r="Z12" s="13" t="inlineStr">
        <is>
          <t>NOT_TESTED</t>
        </is>
      </c>
      <c r="AA12" s="13" t="inlineStr">
        <is>
          <t>NOT_TESTED</t>
        </is>
      </c>
      <c r="AB12" s="13" t="inlineStr">
        <is>
          <t>NOT_TESTED</t>
        </is>
      </c>
    </row>
    <row r="13">
      <c r="A13" s="2" t="inlineStr">
        <is>
          <t>issue_174</t>
        </is>
      </c>
      <c r="B13" s="14" t="inlineStr">
        <is>
          <t>Runtime error</t>
        </is>
      </c>
      <c r="C13" s="14" t="inlineStr">
        <is>
          <t>Runtime error</t>
        </is>
      </c>
      <c r="D13" s="14" t="inlineStr">
        <is>
          <t>Runtime error</t>
        </is>
      </c>
      <c r="E13" s="14" t="inlineStr">
        <is>
          <t>Runtime error</t>
        </is>
      </c>
      <c r="F13" s="14" t="inlineStr">
        <is>
          <t>Runtime error</t>
        </is>
      </c>
      <c r="G13" s="14" t="inlineStr">
        <is>
          <t>Runtime error</t>
        </is>
      </c>
      <c r="H13" s="14" t="inlineStr">
        <is>
          <t>Runtime error</t>
        </is>
      </c>
      <c r="I13" s="14" t="inlineStr">
        <is>
          <t>Runtime error</t>
        </is>
      </c>
      <c r="J13" s="14" t="inlineStr">
        <is>
          <t>Runtime error</t>
        </is>
      </c>
      <c r="K13" s="14" t="inlineStr">
        <is>
          <t>Runtime error</t>
        </is>
      </c>
      <c r="L13" s="14" t="inlineStr">
        <is>
          <t>Runtime error</t>
        </is>
      </c>
      <c r="M13" s="14" t="inlineStr">
        <is>
          <t>Runtime error</t>
        </is>
      </c>
      <c r="N13" s="13" t="inlineStr">
        <is>
          <t>NOT_TESTED</t>
        </is>
      </c>
      <c r="O13" s="13" t="inlineStr">
        <is>
          <t>NOT_TESTED</t>
        </is>
      </c>
      <c r="P13" s="13" t="inlineStr">
        <is>
          <t>NOT_TESTED</t>
        </is>
      </c>
      <c r="Q13" s="13" t="inlineStr">
        <is>
          <t>NOT_TESTED</t>
        </is>
      </c>
      <c r="R13" s="13" t="inlineStr">
        <is>
          <t>NOT_TESTED</t>
        </is>
      </c>
      <c r="S13" s="13" t="inlineStr">
        <is>
          <t>NOT_TESTED</t>
        </is>
      </c>
      <c r="T13" s="13" t="inlineStr">
        <is>
          <t>NOT_TESTED</t>
        </is>
      </c>
      <c r="U13" s="13" t="inlineStr">
        <is>
          <t>NOT_TESTED</t>
        </is>
      </c>
      <c r="V13" s="13" t="inlineStr">
        <is>
          <t>NOT_TESTED</t>
        </is>
      </c>
      <c r="W13" s="13" t="inlineStr">
        <is>
          <t>NOT_TESTED</t>
        </is>
      </c>
      <c r="X13" s="13" t="inlineStr">
        <is>
          <t>NOT_TESTED</t>
        </is>
      </c>
      <c r="Y13" s="13" t="inlineStr">
        <is>
          <t>NOT_TESTED</t>
        </is>
      </c>
      <c r="Z13" s="13" t="inlineStr">
        <is>
          <t>NOT_TESTED</t>
        </is>
      </c>
      <c r="AA13" s="13" t="inlineStr">
        <is>
          <t>NOT_TESTED</t>
        </is>
      </c>
      <c r="AB13" s="13" t="inlineStr">
        <is>
          <t>NOT_TESTED</t>
        </is>
      </c>
    </row>
    <row r="14">
      <c r="A14" s="2" t="inlineStr">
        <is>
          <t>issue_189</t>
        </is>
      </c>
      <c r="B14" s="13" t="inlineStr">
        <is>
          <t>NOT_TESTED</t>
        </is>
      </c>
      <c r="C14" s="13" t="inlineStr">
        <is>
          <t>NOT_TESTED</t>
        </is>
      </c>
      <c r="D14" s="13" t="inlineStr">
        <is>
          <t>NOT_TESTED</t>
        </is>
      </c>
      <c r="E14" s="13" t="inlineStr">
        <is>
          <t>NOT_TESTED</t>
        </is>
      </c>
      <c r="F14" s="16" t="inlineStr">
        <is>
          <t>Failed on test</t>
        </is>
      </c>
      <c r="G14" s="16" t="inlineStr">
        <is>
          <t>Failed on test</t>
        </is>
      </c>
      <c r="H14" s="16" t="inlineStr">
        <is>
          <t>Failed on test</t>
        </is>
      </c>
      <c r="I14" s="16" t="inlineStr">
        <is>
          <t>Failed on test</t>
        </is>
      </c>
      <c r="J14" s="16" t="inlineStr">
        <is>
          <t>Failed on test</t>
        </is>
      </c>
      <c r="K14" s="16" t="inlineStr">
        <is>
          <t>Failed on test</t>
        </is>
      </c>
      <c r="L14" s="16" t="inlineStr">
        <is>
          <t>Failed on test</t>
        </is>
      </c>
      <c r="M14" s="16" t="inlineStr">
        <is>
          <t>Failed on test</t>
        </is>
      </c>
      <c r="N14" s="16" t="inlineStr">
        <is>
          <t>Failed on test</t>
        </is>
      </c>
      <c r="O14" s="16" t="inlineStr">
        <is>
          <t>Failed on test</t>
        </is>
      </c>
      <c r="P14" s="16" t="inlineStr">
        <is>
          <t>Failed on test</t>
        </is>
      </c>
      <c r="Q14" s="16" t="inlineStr">
        <is>
          <t>Failed on test</t>
        </is>
      </c>
      <c r="R14" s="16" t="inlineStr">
        <is>
          <t>Failed on test</t>
        </is>
      </c>
      <c r="S14" s="16" t="inlineStr">
        <is>
          <t>Failed on test</t>
        </is>
      </c>
      <c r="T14" s="16" t="inlineStr">
        <is>
          <t>Failed on test</t>
        </is>
      </c>
      <c r="U14" s="16" t="inlineStr">
        <is>
          <t>Failed on test</t>
        </is>
      </c>
      <c r="V14" s="16" t="inlineStr">
        <is>
          <t>Failed on test</t>
        </is>
      </c>
      <c r="W14" s="16" t="inlineStr">
        <is>
          <t>Failed on test</t>
        </is>
      </c>
      <c r="X14" s="16" t="inlineStr">
        <is>
          <t>Failed on test</t>
        </is>
      </c>
      <c r="Y14" s="16" t="inlineStr">
        <is>
          <t>Failed on test</t>
        </is>
      </c>
      <c r="Z14" s="16" t="inlineStr">
        <is>
          <t>Failed on test</t>
        </is>
      </c>
      <c r="AA14" s="16" t="inlineStr">
        <is>
          <t>Failed on test</t>
        </is>
      </c>
      <c r="AB14" s="16" t="inlineStr">
        <is>
          <t>Failed on test</t>
        </is>
      </c>
    </row>
    <row r="15">
      <c r="A15" s="2" t="inlineStr">
        <is>
          <t>issue_225</t>
        </is>
      </c>
      <c r="B15" s="13" t="inlineStr">
        <is>
          <t>NOT_TESTED</t>
        </is>
      </c>
      <c r="C15" s="13" t="inlineStr">
        <is>
          <t>NOT_TESTED</t>
        </is>
      </c>
      <c r="D15" s="13" t="inlineStr">
        <is>
          <t>NOT_TESTED</t>
        </is>
      </c>
      <c r="E15" s="13" t="inlineStr">
        <is>
          <t>NOT_TESTED</t>
        </is>
      </c>
      <c r="F15" s="16" t="inlineStr">
        <is>
          <t>Passed on test</t>
        </is>
      </c>
      <c r="G15" s="16" t="inlineStr">
        <is>
          <t>Passed on test</t>
        </is>
      </c>
      <c r="H15" s="16" t="inlineStr">
        <is>
          <t>Passed on test</t>
        </is>
      </c>
      <c r="I15" s="16" t="inlineStr">
        <is>
          <t>Passed on test</t>
        </is>
      </c>
      <c r="J15" s="16" t="inlineStr">
        <is>
          <t>Passed on test</t>
        </is>
      </c>
      <c r="K15" s="16" t="inlineStr">
        <is>
          <t>Passed on test</t>
        </is>
      </c>
      <c r="L15" s="16" t="inlineStr">
        <is>
          <t>Passed on test</t>
        </is>
      </c>
      <c r="M15" s="16" t="inlineStr">
        <is>
          <t>Passed on test</t>
        </is>
      </c>
      <c r="N15" s="13" t="inlineStr">
        <is>
          <t>NOT_TESTED</t>
        </is>
      </c>
      <c r="O15" s="13" t="inlineStr">
        <is>
          <t>NOT_TESTED</t>
        </is>
      </c>
      <c r="P15" s="13" t="inlineStr">
        <is>
          <t>NOT_TESTED</t>
        </is>
      </c>
      <c r="Q15" s="13" t="inlineStr">
        <is>
          <t>NOT_TESTED</t>
        </is>
      </c>
      <c r="R15" s="13" t="inlineStr">
        <is>
          <t>NOT_TESTED</t>
        </is>
      </c>
      <c r="S15" s="13" t="inlineStr">
        <is>
          <t>NOT_TESTED</t>
        </is>
      </c>
      <c r="T15" s="13" t="inlineStr">
        <is>
          <t>NOT_TESTED</t>
        </is>
      </c>
      <c r="U15" s="13" t="inlineStr">
        <is>
          <t>NOT_TESTED</t>
        </is>
      </c>
      <c r="V15" s="13" t="inlineStr">
        <is>
          <t>NOT_TESTED</t>
        </is>
      </c>
      <c r="W15" s="13" t="inlineStr">
        <is>
          <t>NOT_TESTED</t>
        </is>
      </c>
      <c r="X15" s="13" t="inlineStr">
        <is>
          <t>NOT_TESTED</t>
        </is>
      </c>
      <c r="Y15" s="13" t="inlineStr">
        <is>
          <t>NOT_TESTED</t>
        </is>
      </c>
      <c r="Z15" s="13" t="inlineStr">
        <is>
          <t>NOT_TESTED</t>
        </is>
      </c>
      <c r="AA15" s="13" t="inlineStr">
        <is>
          <t>NOT_TESTED</t>
        </is>
      </c>
      <c r="AB15" s="13" t="inlineStr">
        <is>
          <t>NOT_TESTED</t>
        </is>
      </c>
    </row>
    <row r="16">
      <c r="A16" s="2" t="inlineStr">
        <is>
          <t>issue_233</t>
        </is>
      </c>
      <c r="B16" s="14" t="inlineStr">
        <is>
          <t>Runtime error</t>
        </is>
      </c>
      <c r="C16" s="14" t="inlineStr">
        <is>
          <t>Runtime error</t>
        </is>
      </c>
      <c r="D16" s="14" t="inlineStr">
        <is>
          <t>Runtime error</t>
        </is>
      </c>
      <c r="E16" s="14" t="inlineStr">
        <is>
          <t>Runtime error</t>
        </is>
      </c>
      <c r="F16" s="14" t="inlineStr">
        <is>
          <t>Runtime error</t>
        </is>
      </c>
      <c r="G16" s="14" t="inlineStr">
        <is>
          <t>Runtime error</t>
        </is>
      </c>
      <c r="H16" s="14" t="inlineStr">
        <is>
          <t>Runtime error</t>
        </is>
      </c>
      <c r="I16" s="14" t="inlineStr">
        <is>
          <t>Runtime error</t>
        </is>
      </c>
      <c r="J16" s="14" t="inlineStr">
        <is>
          <t>Runtime error</t>
        </is>
      </c>
      <c r="K16" s="14" t="inlineStr">
        <is>
          <t>Runtime error</t>
        </is>
      </c>
      <c r="L16" s="14" t="inlineStr">
        <is>
          <t>Runtime error</t>
        </is>
      </c>
      <c r="M16" s="14" t="inlineStr">
        <is>
          <t>Runtime error</t>
        </is>
      </c>
      <c r="N16" s="14" t="inlineStr">
        <is>
          <t>Runtime error</t>
        </is>
      </c>
      <c r="O16" s="14" t="inlineStr">
        <is>
          <t>Runtime error</t>
        </is>
      </c>
      <c r="P16" s="14" t="inlineStr">
        <is>
          <t>Runtime error</t>
        </is>
      </c>
      <c r="Q16" s="14" t="inlineStr">
        <is>
          <t>Runtime error</t>
        </is>
      </c>
      <c r="R16" s="14" t="inlineStr">
        <is>
          <t>Runtime error</t>
        </is>
      </c>
      <c r="S16" s="14" t="inlineStr">
        <is>
          <t>Runtime error</t>
        </is>
      </c>
      <c r="T16" s="14" t="inlineStr">
        <is>
          <t>Runtime error</t>
        </is>
      </c>
      <c r="U16" s="14" t="inlineStr">
        <is>
          <t>Runtime error</t>
        </is>
      </c>
      <c r="V16" s="14" t="inlineStr">
        <is>
          <t>Runtime error</t>
        </is>
      </c>
      <c r="W16" s="14" t="inlineStr">
        <is>
          <t>Runtime error</t>
        </is>
      </c>
      <c r="X16" s="14" t="inlineStr">
        <is>
          <t>Runtime error</t>
        </is>
      </c>
      <c r="Y16" s="14" t="inlineStr">
        <is>
          <t>Runtime error</t>
        </is>
      </c>
      <c r="Z16" s="14" t="inlineStr">
        <is>
          <t>Runtime error</t>
        </is>
      </c>
      <c r="AA16" s="14" t="inlineStr">
        <is>
          <t>Runtime error</t>
        </is>
      </c>
      <c r="AB16" s="14" t="inlineStr">
        <is>
          <t>Runtime error</t>
        </is>
      </c>
    </row>
    <row r="17">
      <c r="A17" s="2" t="inlineStr">
        <is>
          <t>issue_261</t>
        </is>
      </c>
      <c r="B17" s="16" t="inlineStr">
        <is>
          <t>Passed on test</t>
        </is>
      </c>
      <c r="C17" s="16" t="inlineStr">
        <is>
          <t>Passed on test</t>
        </is>
      </c>
      <c r="D17" s="16" t="inlineStr">
        <is>
          <t>Passed on test</t>
        </is>
      </c>
      <c r="E17" s="16" t="inlineStr">
        <is>
          <t>Passed on test</t>
        </is>
      </c>
      <c r="F17" s="16" t="inlineStr">
        <is>
          <t>Passed on test</t>
        </is>
      </c>
      <c r="G17" s="16" t="inlineStr">
        <is>
          <t>Passed on test</t>
        </is>
      </c>
      <c r="H17" s="16" t="inlineStr">
        <is>
          <t>Passed on test</t>
        </is>
      </c>
      <c r="I17" s="16" t="inlineStr">
        <is>
          <t>Passed on test</t>
        </is>
      </c>
      <c r="J17" s="16" t="inlineStr">
        <is>
          <t>Passed on test</t>
        </is>
      </c>
      <c r="K17" s="16" t="inlineStr">
        <is>
          <t>Passed on test</t>
        </is>
      </c>
      <c r="L17" s="16" t="inlineStr">
        <is>
          <t>Passed on test</t>
        </is>
      </c>
      <c r="M17" s="16" t="inlineStr">
        <is>
          <t>Passed on test</t>
        </is>
      </c>
      <c r="N17" s="13" t="inlineStr">
        <is>
          <t>NOT_TESTED</t>
        </is>
      </c>
      <c r="O17" s="13" t="inlineStr">
        <is>
          <t>NOT_TESTED</t>
        </is>
      </c>
      <c r="P17" s="13" t="inlineStr">
        <is>
          <t>NOT_TESTED</t>
        </is>
      </c>
      <c r="Q17" s="13" t="inlineStr">
        <is>
          <t>NOT_TESTED</t>
        </is>
      </c>
      <c r="R17" s="13" t="inlineStr">
        <is>
          <t>NOT_TESTED</t>
        </is>
      </c>
      <c r="S17" s="13" t="inlineStr">
        <is>
          <t>NOT_TESTED</t>
        </is>
      </c>
      <c r="T17" s="13" t="inlineStr">
        <is>
          <t>NOT_TESTED</t>
        </is>
      </c>
      <c r="U17" s="13" t="inlineStr">
        <is>
          <t>NOT_TESTED</t>
        </is>
      </c>
      <c r="V17" s="13" t="inlineStr">
        <is>
          <t>NOT_TESTED</t>
        </is>
      </c>
      <c r="W17" s="13" t="inlineStr">
        <is>
          <t>NOT_TESTED</t>
        </is>
      </c>
      <c r="X17" s="13" t="inlineStr">
        <is>
          <t>NOT_TESTED</t>
        </is>
      </c>
      <c r="Y17" s="13" t="inlineStr">
        <is>
          <t>NOT_TESTED</t>
        </is>
      </c>
      <c r="Z17" s="13" t="inlineStr">
        <is>
          <t>NOT_TESTED</t>
        </is>
      </c>
      <c r="AA17" s="13" t="inlineStr">
        <is>
          <t>NOT_TESTED</t>
        </is>
      </c>
      <c r="AB17" s="13" t="inlineStr">
        <is>
          <t>NOT_TESTED</t>
        </is>
      </c>
    </row>
    <row r="18">
      <c r="A18" s="2" t="inlineStr">
        <is>
          <t>issue_280</t>
        </is>
      </c>
      <c r="B18" s="16" t="inlineStr">
        <is>
          <t>Passed on test</t>
        </is>
      </c>
      <c r="C18" s="16" t="inlineStr">
        <is>
          <t>Passed on test</t>
        </is>
      </c>
      <c r="D18" s="16" t="inlineStr">
        <is>
          <t>Passed on test</t>
        </is>
      </c>
      <c r="E18" s="16" t="inlineStr">
        <is>
          <t>Passed on test</t>
        </is>
      </c>
      <c r="F18" s="16" t="inlineStr">
        <is>
          <t>Passed on test</t>
        </is>
      </c>
      <c r="G18" s="16" t="inlineStr">
        <is>
          <t>Passed on test</t>
        </is>
      </c>
      <c r="H18" s="16" t="inlineStr">
        <is>
          <t>Passed on test</t>
        </is>
      </c>
      <c r="I18" s="16" t="inlineStr">
        <is>
          <t>Passed on test</t>
        </is>
      </c>
      <c r="J18" s="16" t="inlineStr">
        <is>
          <t>Passed on test</t>
        </is>
      </c>
      <c r="K18" s="16" t="inlineStr">
        <is>
          <t>Passed on test</t>
        </is>
      </c>
      <c r="L18" s="16" t="inlineStr">
        <is>
          <t>Passed on test</t>
        </is>
      </c>
      <c r="M18" s="16" t="inlineStr">
        <is>
          <t>Passed on test</t>
        </is>
      </c>
      <c r="N18" s="13" t="inlineStr">
        <is>
          <t>NOT_TESTED</t>
        </is>
      </c>
      <c r="O18" s="13" t="inlineStr">
        <is>
          <t>NOT_TESTED</t>
        </is>
      </c>
      <c r="P18" s="13" t="inlineStr">
        <is>
          <t>NOT_TESTED</t>
        </is>
      </c>
      <c r="Q18" s="13" t="inlineStr">
        <is>
          <t>NOT_TESTED</t>
        </is>
      </c>
      <c r="R18" s="13" t="inlineStr">
        <is>
          <t>NOT_TESTED</t>
        </is>
      </c>
      <c r="S18" s="13" t="inlineStr">
        <is>
          <t>NOT_TESTED</t>
        </is>
      </c>
      <c r="T18" s="13" t="inlineStr">
        <is>
          <t>NOT_TESTED</t>
        </is>
      </c>
      <c r="U18" s="13" t="inlineStr">
        <is>
          <t>NOT_TESTED</t>
        </is>
      </c>
      <c r="V18" s="13" t="inlineStr">
        <is>
          <t>NOT_TESTED</t>
        </is>
      </c>
      <c r="W18" s="13" t="inlineStr">
        <is>
          <t>NOT_TESTED</t>
        </is>
      </c>
      <c r="X18" s="13" t="inlineStr">
        <is>
          <t>NOT_TESTED</t>
        </is>
      </c>
      <c r="Y18" s="13" t="inlineStr">
        <is>
          <t>NOT_TESTED</t>
        </is>
      </c>
      <c r="Z18" s="13" t="inlineStr">
        <is>
          <t>NOT_TESTED</t>
        </is>
      </c>
      <c r="AA18" s="13" t="inlineStr">
        <is>
          <t>NOT_TESTED</t>
        </is>
      </c>
      <c r="AB18" s="13" t="inlineStr">
        <is>
          <t>NOT_TESTED</t>
        </is>
      </c>
    </row>
    <row r="19">
      <c r="A19" s="2" t="inlineStr">
        <is>
          <t>issue_295</t>
        </is>
      </c>
      <c r="B19" s="13" t="inlineStr">
        <is>
          <t>NOT_TESTED</t>
        </is>
      </c>
      <c r="C19" s="13" t="inlineStr">
        <is>
          <t>NOT_TESTED</t>
        </is>
      </c>
      <c r="D19" s="13" t="inlineStr">
        <is>
          <t>NOT_TESTED</t>
        </is>
      </c>
      <c r="E19" s="13" t="inlineStr">
        <is>
          <t>NOT_TESTED</t>
        </is>
      </c>
      <c r="F19" s="16" t="inlineStr">
        <is>
          <t>Passed on test</t>
        </is>
      </c>
      <c r="G19" s="16" t="inlineStr">
        <is>
          <t>Passed on test</t>
        </is>
      </c>
      <c r="H19" s="16" t="inlineStr">
        <is>
          <t>Passed on test</t>
        </is>
      </c>
      <c r="I19" s="16" t="inlineStr">
        <is>
          <t>Passed on test</t>
        </is>
      </c>
      <c r="J19" s="16" t="inlineStr">
        <is>
          <t>Passed on test</t>
        </is>
      </c>
      <c r="K19" s="16" t="inlineStr">
        <is>
          <t>Passed on test</t>
        </is>
      </c>
      <c r="L19" s="16" t="inlineStr">
        <is>
          <t>Passed on test</t>
        </is>
      </c>
      <c r="M19" s="16" t="inlineStr">
        <is>
          <t>Passed on test</t>
        </is>
      </c>
      <c r="N19" s="13" t="inlineStr">
        <is>
          <t>NOT_TESTED</t>
        </is>
      </c>
      <c r="O19" s="13" t="inlineStr">
        <is>
          <t>NOT_TESTED</t>
        </is>
      </c>
      <c r="P19" s="13" t="inlineStr">
        <is>
          <t>NOT_TESTED</t>
        </is>
      </c>
      <c r="Q19" s="13" t="inlineStr">
        <is>
          <t>NOT_TESTED</t>
        </is>
      </c>
      <c r="R19" s="13" t="inlineStr">
        <is>
          <t>NOT_TESTED</t>
        </is>
      </c>
      <c r="S19" s="13" t="inlineStr">
        <is>
          <t>NOT_TESTED</t>
        </is>
      </c>
      <c r="T19" s="13" t="inlineStr">
        <is>
          <t>NOT_TESTED</t>
        </is>
      </c>
      <c r="U19" s="13" t="inlineStr">
        <is>
          <t>NOT_TESTED</t>
        </is>
      </c>
      <c r="V19" s="13" t="inlineStr">
        <is>
          <t>NOT_TESTED</t>
        </is>
      </c>
      <c r="W19" s="13" t="inlineStr">
        <is>
          <t>NOT_TESTED</t>
        </is>
      </c>
      <c r="X19" s="13" t="inlineStr">
        <is>
          <t>NOT_TESTED</t>
        </is>
      </c>
      <c r="Y19" s="13" t="inlineStr">
        <is>
          <t>NOT_TESTED</t>
        </is>
      </c>
      <c r="Z19" s="13" t="inlineStr">
        <is>
          <t>NOT_TESTED</t>
        </is>
      </c>
      <c r="AA19" s="13" t="inlineStr">
        <is>
          <t>NOT_TESTED</t>
        </is>
      </c>
      <c r="AB19" s="13" t="inlineStr">
        <is>
          <t>NOT_TESTED</t>
        </is>
      </c>
    </row>
    <row r="20">
      <c r="A20" s="2" t="inlineStr">
        <is>
          <t>issue_315</t>
        </is>
      </c>
      <c r="B20" s="13" t="inlineStr">
        <is>
          <t>NOT_TESTED</t>
        </is>
      </c>
      <c r="C20" s="13" t="inlineStr">
        <is>
          <t>NOT_TESTED</t>
        </is>
      </c>
      <c r="D20" s="13" t="inlineStr">
        <is>
          <t>NOT_TESTED</t>
        </is>
      </c>
      <c r="E20" s="13" t="inlineStr">
        <is>
          <t>NOT_TESTED</t>
        </is>
      </c>
      <c r="F20" s="14" t="inlineStr">
        <is>
          <t>Runtime error</t>
        </is>
      </c>
      <c r="G20" s="14" t="inlineStr">
        <is>
          <t>Runtime error</t>
        </is>
      </c>
      <c r="H20" s="14" t="inlineStr">
        <is>
          <t>Runtime error</t>
        </is>
      </c>
      <c r="I20" s="14" t="inlineStr">
        <is>
          <t>Runtime error</t>
        </is>
      </c>
      <c r="J20" s="14" t="inlineStr">
        <is>
          <t>Runtime error</t>
        </is>
      </c>
      <c r="K20" s="14" t="inlineStr">
        <is>
          <t>Runtime error</t>
        </is>
      </c>
      <c r="L20" s="14" t="inlineStr">
        <is>
          <t>Runtime error</t>
        </is>
      </c>
      <c r="M20" s="14" t="inlineStr">
        <is>
          <t>Runtime error</t>
        </is>
      </c>
      <c r="N20" s="14" t="inlineStr">
        <is>
          <t>Runtime error</t>
        </is>
      </c>
      <c r="O20" s="14" t="inlineStr">
        <is>
          <t>Runtime error</t>
        </is>
      </c>
      <c r="P20" s="14" t="inlineStr">
        <is>
          <t>Runtime error</t>
        </is>
      </c>
      <c r="Q20" s="14" t="inlineStr">
        <is>
          <t>Runtime error</t>
        </is>
      </c>
      <c r="R20" s="14" t="inlineStr">
        <is>
          <t>Runtime error</t>
        </is>
      </c>
      <c r="S20" s="14" t="inlineStr">
        <is>
          <t>Runtime error</t>
        </is>
      </c>
      <c r="T20" s="14" t="inlineStr">
        <is>
          <t>Runtime error</t>
        </is>
      </c>
      <c r="U20" s="14" t="inlineStr">
        <is>
          <t>Runtime error</t>
        </is>
      </c>
      <c r="V20" s="14" t="inlineStr">
        <is>
          <t>Runtime error</t>
        </is>
      </c>
      <c r="W20" s="14" t="inlineStr">
        <is>
          <t>Runtime error</t>
        </is>
      </c>
      <c r="X20" s="14" t="inlineStr">
        <is>
          <t>Runtime error</t>
        </is>
      </c>
      <c r="Y20" s="14" t="inlineStr">
        <is>
          <t>Runtime error</t>
        </is>
      </c>
      <c r="Z20" s="14" t="inlineStr">
        <is>
          <t>Runtime error</t>
        </is>
      </c>
      <c r="AA20" s="14" t="inlineStr">
        <is>
          <t>Runtime error</t>
        </is>
      </c>
      <c r="AB20" s="14" t="inlineStr">
        <is>
          <t>Runtime error</t>
        </is>
      </c>
    </row>
    <row r="21">
      <c r="A21" s="2" t="inlineStr">
        <is>
          <t>issue_344</t>
        </is>
      </c>
      <c r="B21" s="14" t="inlineStr">
        <is>
          <t>Runtime error</t>
        </is>
      </c>
      <c r="C21" s="14" t="inlineStr">
        <is>
          <t>Runtime error</t>
        </is>
      </c>
      <c r="D21" s="14" t="inlineStr">
        <is>
          <t>Runtime error</t>
        </is>
      </c>
      <c r="E21" s="14" t="inlineStr">
        <is>
          <t>Runtime error</t>
        </is>
      </c>
      <c r="F21" s="14" t="inlineStr">
        <is>
          <t>Runtime error</t>
        </is>
      </c>
      <c r="G21" s="14" t="inlineStr">
        <is>
          <t>Runtime error</t>
        </is>
      </c>
      <c r="H21" s="14" t="inlineStr">
        <is>
          <t>Runtime error</t>
        </is>
      </c>
      <c r="I21" s="14" t="inlineStr">
        <is>
          <t>Runtime error</t>
        </is>
      </c>
      <c r="J21" s="14" t="inlineStr">
        <is>
          <t>Runtime error</t>
        </is>
      </c>
      <c r="K21" s="14" t="inlineStr">
        <is>
          <t>Runtime error</t>
        </is>
      </c>
      <c r="L21" s="14" t="inlineStr">
        <is>
          <t>Runtime error</t>
        </is>
      </c>
      <c r="M21" s="14" t="inlineStr">
        <is>
          <t>Runtime error</t>
        </is>
      </c>
      <c r="N21" s="13" t="inlineStr">
        <is>
          <t>NOT_TESTED</t>
        </is>
      </c>
      <c r="O21" s="13" t="inlineStr">
        <is>
          <t>NOT_TESTED</t>
        </is>
      </c>
      <c r="P21" s="13" t="inlineStr">
        <is>
          <t>NOT_TESTED</t>
        </is>
      </c>
      <c r="Q21" s="13" t="inlineStr">
        <is>
          <t>NOT_TESTED</t>
        </is>
      </c>
      <c r="R21" s="13" t="inlineStr">
        <is>
          <t>NOT_TESTED</t>
        </is>
      </c>
      <c r="S21" s="13" t="inlineStr">
        <is>
          <t>NOT_TESTED</t>
        </is>
      </c>
      <c r="T21" s="13" t="inlineStr">
        <is>
          <t>NOT_TESTED</t>
        </is>
      </c>
      <c r="U21" s="13" t="inlineStr">
        <is>
          <t>NOT_TESTED</t>
        </is>
      </c>
      <c r="V21" s="13" t="inlineStr">
        <is>
          <t>NOT_TESTED</t>
        </is>
      </c>
      <c r="W21" s="13" t="inlineStr">
        <is>
          <t>NOT_TESTED</t>
        </is>
      </c>
      <c r="X21" s="13" t="inlineStr">
        <is>
          <t>NOT_TESTED</t>
        </is>
      </c>
      <c r="Y21" s="13" t="inlineStr">
        <is>
          <t>NOT_TESTED</t>
        </is>
      </c>
      <c r="Z21" s="13" t="inlineStr">
        <is>
          <t>NOT_TESTED</t>
        </is>
      </c>
      <c r="AA21" s="13" t="inlineStr">
        <is>
          <t>NOT_TESTED</t>
        </is>
      </c>
      <c r="AB21" s="13" t="inlineStr">
        <is>
          <t>NOT_TESTED</t>
        </is>
      </c>
    </row>
    <row r="22">
      <c r="A22" s="2" t="inlineStr">
        <is>
          <t>issue_362</t>
        </is>
      </c>
      <c r="B22" s="13" t="inlineStr">
        <is>
          <t>NOT_TESTED</t>
        </is>
      </c>
      <c r="C22" s="13" t="inlineStr">
        <is>
          <t>NOT_TESTED</t>
        </is>
      </c>
      <c r="D22" s="13" t="inlineStr">
        <is>
          <t>NOT_TESTED</t>
        </is>
      </c>
      <c r="E22" s="13" t="inlineStr">
        <is>
          <t>NOT_TESTED</t>
        </is>
      </c>
      <c r="F22" s="16" t="inlineStr">
        <is>
          <t>Passed on test</t>
        </is>
      </c>
      <c r="G22" s="16" t="inlineStr">
        <is>
          <t>Passed on test</t>
        </is>
      </c>
      <c r="H22" s="16" t="inlineStr">
        <is>
          <t>Passed on test</t>
        </is>
      </c>
      <c r="I22" s="16" t="inlineStr">
        <is>
          <t>Passed on test</t>
        </is>
      </c>
      <c r="J22" s="16" t="inlineStr">
        <is>
          <t>Passed on test</t>
        </is>
      </c>
      <c r="K22" s="16" t="inlineStr">
        <is>
          <t>Passed on test</t>
        </is>
      </c>
      <c r="L22" s="16" t="inlineStr">
        <is>
          <t>Passed on test</t>
        </is>
      </c>
      <c r="M22" s="16" t="inlineStr">
        <is>
          <t>Passed on test</t>
        </is>
      </c>
      <c r="N22" s="16" t="inlineStr">
        <is>
          <t>Passed on test</t>
        </is>
      </c>
      <c r="O22" s="16" t="inlineStr">
        <is>
          <t>Passed on test</t>
        </is>
      </c>
      <c r="P22" s="16" t="inlineStr">
        <is>
          <t>Passed on test</t>
        </is>
      </c>
      <c r="Q22" s="16" t="inlineStr">
        <is>
          <t>Passed on test</t>
        </is>
      </c>
      <c r="R22" s="16" t="inlineStr">
        <is>
          <t>Passed on test</t>
        </is>
      </c>
      <c r="S22" s="16" t="inlineStr">
        <is>
          <t>Passed on test</t>
        </is>
      </c>
      <c r="T22" s="16" t="inlineStr">
        <is>
          <t>Passed on test</t>
        </is>
      </c>
      <c r="U22" s="16" t="inlineStr">
        <is>
          <t>Passed on test</t>
        </is>
      </c>
      <c r="V22" s="16" t="inlineStr">
        <is>
          <t>Passed on test</t>
        </is>
      </c>
      <c r="W22" s="16" t="inlineStr">
        <is>
          <t>Passed on test</t>
        </is>
      </c>
      <c r="X22" s="16" t="inlineStr">
        <is>
          <t>Passed on test</t>
        </is>
      </c>
      <c r="Y22" s="16" t="inlineStr">
        <is>
          <t>Passed on test</t>
        </is>
      </c>
      <c r="Z22" s="16" t="inlineStr">
        <is>
          <t>Passed on test</t>
        </is>
      </c>
      <c r="AA22" s="16" t="inlineStr">
        <is>
          <t>Passed on test</t>
        </is>
      </c>
      <c r="AB22" s="16" t="inlineStr">
        <is>
          <t>Passed on test</t>
        </is>
      </c>
    </row>
    <row r="23">
      <c r="A23" s="2" t="inlineStr">
        <is>
          <t>issue_369</t>
        </is>
      </c>
      <c r="B23" s="14" t="inlineStr">
        <is>
          <t>Runtime error</t>
        </is>
      </c>
      <c r="C23" s="14" t="inlineStr">
        <is>
          <t>Runtime error</t>
        </is>
      </c>
      <c r="D23" s="14" t="inlineStr">
        <is>
          <t>Runtime error</t>
        </is>
      </c>
      <c r="E23" s="14" t="inlineStr">
        <is>
          <t>Runtime error</t>
        </is>
      </c>
      <c r="F23" s="14" t="inlineStr">
        <is>
          <t>Runtime error</t>
        </is>
      </c>
      <c r="G23" s="14" t="inlineStr">
        <is>
          <t>Runtime error</t>
        </is>
      </c>
      <c r="H23" s="14" t="inlineStr">
        <is>
          <t>Runtime error</t>
        </is>
      </c>
      <c r="I23" s="14" t="inlineStr">
        <is>
          <t>Runtime error</t>
        </is>
      </c>
      <c r="J23" s="14" t="inlineStr">
        <is>
          <t>Runtime error</t>
        </is>
      </c>
      <c r="K23" s="14" t="inlineStr">
        <is>
          <t>Runtime error</t>
        </is>
      </c>
      <c r="L23" s="14" t="inlineStr">
        <is>
          <t>Runtime error</t>
        </is>
      </c>
      <c r="M23" s="14" t="inlineStr">
        <is>
          <t>Runtime error</t>
        </is>
      </c>
      <c r="N23" s="14" t="inlineStr">
        <is>
          <t>Runtime error</t>
        </is>
      </c>
      <c r="O23" s="14" t="inlineStr">
        <is>
          <t>Runtime error</t>
        </is>
      </c>
      <c r="P23" s="14" t="inlineStr">
        <is>
          <t>Runtime error</t>
        </is>
      </c>
      <c r="Q23" s="14" t="inlineStr">
        <is>
          <t>Runtime error</t>
        </is>
      </c>
      <c r="R23" s="14" t="inlineStr">
        <is>
          <t>Runtime error</t>
        </is>
      </c>
      <c r="S23" s="14" t="inlineStr">
        <is>
          <t>Runtime error</t>
        </is>
      </c>
      <c r="T23" s="14" t="inlineStr">
        <is>
          <t>Runtime error</t>
        </is>
      </c>
      <c r="U23" s="14" t="inlineStr">
        <is>
          <t>Runtime error</t>
        </is>
      </c>
      <c r="V23" s="14" t="inlineStr">
        <is>
          <t>Runtime error</t>
        </is>
      </c>
      <c r="W23" s="14" t="inlineStr">
        <is>
          <t>Runtime error</t>
        </is>
      </c>
      <c r="X23" s="14" t="inlineStr">
        <is>
          <t>Runtime error</t>
        </is>
      </c>
      <c r="Y23" s="14" t="inlineStr">
        <is>
          <t>Runtime error</t>
        </is>
      </c>
      <c r="Z23" s="14" t="inlineStr">
        <is>
          <t>Runtime error</t>
        </is>
      </c>
      <c r="AA23" s="14" t="inlineStr">
        <is>
          <t>Runtime error</t>
        </is>
      </c>
      <c r="AB23" s="14" t="inlineStr">
        <is>
          <t>Runtime error</t>
        </is>
      </c>
    </row>
    <row r="24">
      <c r="A24" s="2" t="inlineStr">
        <is>
          <t>issue_396</t>
        </is>
      </c>
      <c r="B24" s="16" t="inlineStr">
        <is>
          <t>Passed on test</t>
        </is>
      </c>
      <c r="C24" s="16" t="inlineStr">
        <is>
          <t>Passed on test</t>
        </is>
      </c>
      <c r="D24" s="16" t="inlineStr">
        <is>
          <t>Passed on test</t>
        </is>
      </c>
      <c r="E24" s="16" t="inlineStr">
        <is>
          <t>Passed on test</t>
        </is>
      </c>
      <c r="F24" s="16" t="inlineStr">
        <is>
          <t>Passed on test</t>
        </is>
      </c>
      <c r="G24" s="16" t="inlineStr">
        <is>
          <t>Passed on test</t>
        </is>
      </c>
      <c r="H24" s="16" t="inlineStr">
        <is>
          <t>Passed on test</t>
        </is>
      </c>
      <c r="I24" s="16" t="inlineStr">
        <is>
          <t>Passed on test</t>
        </is>
      </c>
      <c r="J24" s="16" t="inlineStr">
        <is>
          <t>Passed on test</t>
        </is>
      </c>
      <c r="K24" s="16" t="inlineStr">
        <is>
          <t>Passed on test</t>
        </is>
      </c>
      <c r="L24" s="16" t="inlineStr">
        <is>
          <t>Passed on test</t>
        </is>
      </c>
      <c r="M24" s="16" t="inlineStr">
        <is>
          <t>Passed on test</t>
        </is>
      </c>
      <c r="N24" s="14" t="inlineStr">
        <is>
          <t>Runtime error</t>
        </is>
      </c>
      <c r="O24" s="14" t="inlineStr">
        <is>
          <t>Runtime error</t>
        </is>
      </c>
      <c r="P24" s="14" t="inlineStr">
        <is>
          <t>Runtime error</t>
        </is>
      </c>
      <c r="Q24" s="14" t="inlineStr">
        <is>
          <t>Runtime error</t>
        </is>
      </c>
      <c r="R24" s="14" t="inlineStr">
        <is>
          <t>Runtime error</t>
        </is>
      </c>
      <c r="S24" s="14" t="inlineStr">
        <is>
          <t>Runtime error</t>
        </is>
      </c>
      <c r="T24" s="14" t="inlineStr">
        <is>
          <t>Runtime error</t>
        </is>
      </c>
      <c r="U24" s="14" t="inlineStr">
        <is>
          <t>Runtime error</t>
        </is>
      </c>
      <c r="V24" s="14" t="inlineStr">
        <is>
          <t>Runtime error</t>
        </is>
      </c>
      <c r="W24" s="14" t="inlineStr">
        <is>
          <t>Runtime error</t>
        </is>
      </c>
      <c r="X24" s="14" t="inlineStr">
        <is>
          <t>Runtime error</t>
        </is>
      </c>
      <c r="Y24" s="14" t="inlineStr">
        <is>
          <t>Runtime error</t>
        </is>
      </c>
      <c r="Z24" s="14" t="inlineStr">
        <is>
          <t>Runtime error</t>
        </is>
      </c>
      <c r="AA24" s="14" t="inlineStr">
        <is>
          <t>Runtime error</t>
        </is>
      </c>
      <c r="AB24" s="14" t="inlineStr">
        <is>
          <t>Runtime error</t>
        </is>
      </c>
    </row>
    <row r="25">
      <c r="A25" s="2" t="inlineStr">
        <is>
          <t>issue_415</t>
        </is>
      </c>
      <c r="B25" s="15" t="inlineStr">
        <is>
          <t>Failed on test</t>
        </is>
      </c>
      <c r="C25" s="15" t="inlineStr">
        <is>
          <t>Failed on test</t>
        </is>
      </c>
      <c r="D25" s="15" t="inlineStr">
        <is>
          <t>Failed on test</t>
        </is>
      </c>
      <c r="E25" s="15" t="inlineStr">
        <is>
          <t>Failed on test</t>
        </is>
      </c>
      <c r="F25" s="13" t="inlineStr">
        <is>
          <t>NOT_TESTED</t>
        </is>
      </c>
      <c r="G25" s="13" t="inlineStr">
        <is>
          <t>NOT_TESTED</t>
        </is>
      </c>
      <c r="H25" s="13" t="inlineStr">
        <is>
          <t>NOT_TESTED</t>
        </is>
      </c>
      <c r="I25" s="13" t="inlineStr">
        <is>
          <t>NOT_TESTED</t>
        </is>
      </c>
      <c r="J25" s="13" t="inlineStr">
        <is>
          <t>NOT_TESTED</t>
        </is>
      </c>
      <c r="K25" s="13" t="inlineStr">
        <is>
          <t>NOT_TESTED</t>
        </is>
      </c>
      <c r="L25" s="13" t="inlineStr">
        <is>
          <t>NOT_TESTED</t>
        </is>
      </c>
      <c r="M25" s="13" t="inlineStr">
        <is>
          <t>NOT_TESTED</t>
        </is>
      </c>
      <c r="N25" s="13" t="inlineStr">
        <is>
          <t>NOT_TESTED</t>
        </is>
      </c>
      <c r="O25" s="13" t="inlineStr">
        <is>
          <t>NOT_TESTED</t>
        </is>
      </c>
      <c r="P25" s="13" t="inlineStr">
        <is>
          <t>NOT_TESTED</t>
        </is>
      </c>
      <c r="Q25" s="13" t="inlineStr">
        <is>
          <t>NOT_TESTED</t>
        </is>
      </c>
      <c r="R25" s="13" t="inlineStr">
        <is>
          <t>NOT_TESTED</t>
        </is>
      </c>
      <c r="S25" s="13" t="inlineStr">
        <is>
          <t>NOT_TESTED</t>
        </is>
      </c>
      <c r="T25" s="13" t="inlineStr">
        <is>
          <t>NOT_TESTED</t>
        </is>
      </c>
      <c r="U25" s="13" t="inlineStr">
        <is>
          <t>NOT_TESTED</t>
        </is>
      </c>
      <c r="V25" s="13" t="inlineStr">
        <is>
          <t>NOT_TESTED</t>
        </is>
      </c>
      <c r="W25" s="13" t="inlineStr">
        <is>
          <t>NOT_TESTED</t>
        </is>
      </c>
      <c r="X25" s="13" t="inlineStr">
        <is>
          <t>NOT_TESTED</t>
        </is>
      </c>
      <c r="Y25" s="13" t="inlineStr">
        <is>
          <t>NOT_TESTED</t>
        </is>
      </c>
      <c r="Z25" s="13" t="inlineStr">
        <is>
          <t>NOT_TESTED</t>
        </is>
      </c>
      <c r="AA25" s="13" t="inlineStr">
        <is>
          <t>NOT_TESTED</t>
        </is>
      </c>
      <c r="AB25" s="13" t="inlineStr">
        <is>
          <t>NOT_TESTED</t>
        </is>
      </c>
    </row>
    <row r="26">
      <c r="A26" s="2" t="inlineStr">
        <is>
          <t>issue_436</t>
        </is>
      </c>
      <c r="B26" s="16" t="inlineStr">
        <is>
          <t>Passed on test</t>
        </is>
      </c>
      <c r="C26" s="16" t="inlineStr">
        <is>
          <t>Passed on test</t>
        </is>
      </c>
      <c r="D26" s="16" t="inlineStr">
        <is>
          <t>Passed on test</t>
        </is>
      </c>
      <c r="E26" s="16" t="inlineStr">
        <is>
          <t>Passed on test</t>
        </is>
      </c>
      <c r="F26" s="13" t="inlineStr">
        <is>
          <t>NOT_TESTED</t>
        </is>
      </c>
      <c r="G26" s="13" t="inlineStr">
        <is>
          <t>NOT_TESTED</t>
        </is>
      </c>
      <c r="H26" s="13" t="inlineStr">
        <is>
          <t>NOT_TESTED</t>
        </is>
      </c>
      <c r="I26" s="13" t="inlineStr">
        <is>
          <t>NOT_TESTED</t>
        </is>
      </c>
      <c r="J26" s="13" t="inlineStr">
        <is>
          <t>NOT_TESTED</t>
        </is>
      </c>
      <c r="K26" s="13" t="inlineStr">
        <is>
          <t>NOT_TESTED</t>
        </is>
      </c>
      <c r="L26" s="13" t="inlineStr">
        <is>
          <t>NOT_TESTED</t>
        </is>
      </c>
      <c r="M26" s="13" t="inlineStr">
        <is>
          <t>NOT_TESTED</t>
        </is>
      </c>
      <c r="N26" s="13" t="inlineStr">
        <is>
          <t>NOT_TESTED</t>
        </is>
      </c>
      <c r="O26" s="13" t="inlineStr">
        <is>
          <t>NOT_TESTED</t>
        </is>
      </c>
      <c r="P26" s="13" t="inlineStr">
        <is>
          <t>NOT_TESTED</t>
        </is>
      </c>
      <c r="Q26" s="13" t="inlineStr">
        <is>
          <t>NOT_TESTED</t>
        </is>
      </c>
      <c r="R26" s="13" t="inlineStr">
        <is>
          <t>NOT_TESTED</t>
        </is>
      </c>
      <c r="S26" s="13" t="inlineStr">
        <is>
          <t>NOT_TESTED</t>
        </is>
      </c>
      <c r="T26" s="13" t="inlineStr">
        <is>
          <t>NOT_TESTED</t>
        </is>
      </c>
      <c r="U26" s="13" t="inlineStr">
        <is>
          <t>NOT_TESTED</t>
        </is>
      </c>
      <c r="V26" s="13" t="inlineStr">
        <is>
          <t>NOT_TESTED</t>
        </is>
      </c>
      <c r="W26" s="13" t="inlineStr">
        <is>
          <t>NOT_TESTED</t>
        </is>
      </c>
      <c r="X26" s="13" t="inlineStr">
        <is>
          <t>NOT_TESTED</t>
        </is>
      </c>
      <c r="Y26" s="13" t="inlineStr">
        <is>
          <t>NOT_TESTED</t>
        </is>
      </c>
      <c r="Z26" s="13" t="inlineStr">
        <is>
          <t>NOT_TESTED</t>
        </is>
      </c>
      <c r="AA26" s="13" t="inlineStr">
        <is>
          <t>NOT_TESTED</t>
        </is>
      </c>
      <c r="AB26" s="13" t="inlineStr">
        <is>
          <t>NOT_TESTED</t>
        </is>
      </c>
    </row>
    <row r="27">
      <c r="A27" s="2" t="inlineStr">
        <is>
          <t>issue_443</t>
        </is>
      </c>
      <c r="B27" s="16" t="inlineStr">
        <is>
          <t>Passed on test</t>
        </is>
      </c>
      <c r="C27" s="16" t="inlineStr">
        <is>
          <t>Passed on test</t>
        </is>
      </c>
      <c r="D27" s="16" t="inlineStr">
        <is>
          <t>Passed on test</t>
        </is>
      </c>
      <c r="E27" s="16" t="inlineStr">
        <is>
          <t>Passed on test</t>
        </is>
      </c>
      <c r="F27" s="16" t="inlineStr">
        <is>
          <t>Passed on test</t>
        </is>
      </c>
      <c r="G27" s="16" t="inlineStr">
        <is>
          <t>Passed on test</t>
        </is>
      </c>
      <c r="H27" s="16" t="inlineStr">
        <is>
          <t>Passed on test</t>
        </is>
      </c>
      <c r="I27" s="16" t="inlineStr">
        <is>
          <t>Passed on test</t>
        </is>
      </c>
      <c r="J27" s="16" t="inlineStr">
        <is>
          <t>Passed on test</t>
        </is>
      </c>
      <c r="K27" s="16" t="inlineStr">
        <is>
          <t>Passed on test</t>
        </is>
      </c>
      <c r="L27" s="16" t="inlineStr">
        <is>
          <t>Passed on test</t>
        </is>
      </c>
      <c r="M27" s="16" t="inlineStr">
        <is>
          <t>Passed on test</t>
        </is>
      </c>
      <c r="N27" s="16" t="inlineStr">
        <is>
          <t>Passed on test</t>
        </is>
      </c>
      <c r="O27" s="16" t="inlineStr">
        <is>
          <t>Passed on test</t>
        </is>
      </c>
      <c r="P27" s="16" t="inlineStr">
        <is>
          <t>Passed on test</t>
        </is>
      </c>
      <c r="Q27" s="16" t="inlineStr">
        <is>
          <t>Passed on test</t>
        </is>
      </c>
      <c r="R27" s="16" t="inlineStr">
        <is>
          <t>Passed on test</t>
        </is>
      </c>
      <c r="S27" s="16" t="inlineStr">
        <is>
          <t>Passed on test</t>
        </is>
      </c>
      <c r="T27" s="16" t="inlineStr">
        <is>
          <t>Passed on test</t>
        </is>
      </c>
      <c r="U27" s="16" t="inlineStr">
        <is>
          <t>Passed on test</t>
        </is>
      </c>
      <c r="V27" s="16" t="inlineStr">
        <is>
          <t>Passed on test</t>
        </is>
      </c>
      <c r="W27" s="16" t="inlineStr">
        <is>
          <t>Passed on test</t>
        </is>
      </c>
      <c r="X27" s="16" t="inlineStr">
        <is>
          <t>Passed on test</t>
        </is>
      </c>
      <c r="Y27" s="16" t="inlineStr">
        <is>
          <t>Passed on test</t>
        </is>
      </c>
      <c r="Z27" s="16" t="inlineStr">
        <is>
          <t>Passed on test</t>
        </is>
      </c>
      <c r="AA27" s="16" t="inlineStr">
        <is>
          <t>Passed on test</t>
        </is>
      </c>
      <c r="AB27" s="16" t="inlineStr">
        <is>
          <t>Passed on test</t>
        </is>
      </c>
    </row>
    <row r="28">
      <c r="A28" s="2" t="inlineStr">
        <is>
          <t>issue_453</t>
        </is>
      </c>
      <c r="B28" s="13" t="inlineStr">
        <is>
          <t>NOT_TESTED</t>
        </is>
      </c>
      <c r="C28" s="13" t="inlineStr">
        <is>
          <t>NOT_TESTED</t>
        </is>
      </c>
      <c r="D28" s="13" t="inlineStr">
        <is>
          <t>NOT_TESTED</t>
        </is>
      </c>
      <c r="E28" s="13" t="inlineStr">
        <is>
          <t>NOT_TESTED</t>
        </is>
      </c>
      <c r="F28" s="15" t="inlineStr">
        <is>
          <t>Passed on test</t>
        </is>
      </c>
      <c r="G28" s="15" t="inlineStr">
        <is>
          <t>Passed on test</t>
        </is>
      </c>
      <c r="H28" s="15" t="inlineStr">
        <is>
          <t>Passed on test</t>
        </is>
      </c>
      <c r="I28" s="15" t="inlineStr">
        <is>
          <t>Passed on test</t>
        </is>
      </c>
      <c r="J28" s="15" t="inlineStr">
        <is>
          <t>Passed on test</t>
        </is>
      </c>
      <c r="K28" s="15" t="inlineStr">
        <is>
          <t>Passed on test</t>
        </is>
      </c>
      <c r="L28" s="15" t="inlineStr">
        <is>
          <t>Passed on test</t>
        </is>
      </c>
      <c r="M28" s="15" t="inlineStr">
        <is>
          <t>Passed on test</t>
        </is>
      </c>
      <c r="N28" s="15" t="inlineStr">
        <is>
          <t>Passed on test</t>
        </is>
      </c>
      <c r="O28" s="15" t="inlineStr">
        <is>
          <t>Passed on test</t>
        </is>
      </c>
      <c r="P28" s="15" t="inlineStr">
        <is>
          <t>Passed on test</t>
        </is>
      </c>
      <c r="Q28" s="15" t="inlineStr">
        <is>
          <t>Passed on test</t>
        </is>
      </c>
      <c r="R28" s="15" t="inlineStr">
        <is>
          <t>Passed on test</t>
        </is>
      </c>
      <c r="S28" s="15" t="inlineStr">
        <is>
          <t>Passed on test</t>
        </is>
      </c>
      <c r="T28" s="15" t="inlineStr">
        <is>
          <t>Passed on test</t>
        </is>
      </c>
      <c r="U28" s="15" t="inlineStr">
        <is>
          <t>Passed on test</t>
        </is>
      </c>
      <c r="V28" s="15" t="inlineStr">
        <is>
          <t>Passed on test</t>
        </is>
      </c>
      <c r="W28" s="15" t="inlineStr">
        <is>
          <t>Passed on test</t>
        </is>
      </c>
      <c r="X28" s="15" t="inlineStr">
        <is>
          <t>Passed on test</t>
        </is>
      </c>
      <c r="Y28" s="15" t="inlineStr">
        <is>
          <t>Passed on test</t>
        </is>
      </c>
      <c r="Z28" s="15" t="inlineStr">
        <is>
          <t>Passed on test</t>
        </is>
      </c>
      <c r="AA28" s="15" t="inlineStr">
        <is>
          <t>Passed on test</t>
        </is>
      </c>
      <c r="AB28" s="15" t="inlineStr">
        <is>
          <t>Passed on test</t>
        </is>
      </c>
    </row>
    <row r="29">
      <c r="A29" s="2" t="inlineStr">
        <is>
          <t>issue_468</t>
        </is>
      </c>
      <c r="B29" s="14" t="inlineStr">
        <is>
          <t>Runtime error</t>
        </is>
      </c>
      <c r="C29" s="14" t="inlineStr">
        <is>
          <t>Runtime error</t>
        </is>
      </c>
      <c r="D29" s="14" t="inlineStr">
        <is>
          <t>Runtime error</t>
        </is>
      </c>
      <c r="E29" s="14" t="inlineStr">
        <is>
          <t>Runtime error</t>
        </is>
      </c>
      <c r="F29" s="13" t="inlineStr">
        <is>
          <t>NOT_TESTED</t>
        </is>
      </c>
      <c r="G29" s="13" t="inlineStr">
        <is>
          <t>NOT_TESTED</t>
        </is>
      </c>
      <c r="H29" s="13" t="inlineStr">
        <is>
          <t>NOT_TESTED</t>
        </is>
      </c>
      <c r="I29" s="13" t="inlineStr">
        <is>
          <t>NOT_TESTED</t>
        </is>
      </c>
      <c r="J29" s="13" t="inlineStr">
        <is>
          <t>NOT_TESTED</t>
        </is>
      </c>
      <c r="K29" s="13" t="inlineStr">
        <is>
          <t>NOT_TESTED</t>
        </is>
      </c>
      <c r="L29" s="13" t="inlineStr">
        <is>
          <t>NOT_TESTED</t>
        </is>
      </c>
      <c r="M29" s="13" t="inlineStr">
        <is>
          <t>NOT_TESTED</t>
        </is>
      </c>
      <c r="N29" s="13" t="inlineStr">
        <is>
          <t>NOT_TESTED</t>
        </is>
      </c>
      <c r="O29" s="13" t="inlineStr">
        <is>
          <t>NOT_TESTED</t>
        </is>
      </c>
      <c r="P29" s="13" t="inlineStr">
        <is>
          <t>NOT_TESTED</t>
        </is>
      </c>
      <c r="Q29" s="13" t="inlineStr">
        <is>
          <t>NOT_TESTED</t>
        </is>
      </c>
      <c r="R29" s="13" t="inlineStr">
        <is>
          <t>NOT_TESTED</t>
        </is>
      </c>
      <c r="S29" s="13" t="inlineStr">
        <is>
          <t>NOT_TESTED</t>
        </is>
      </c>
      <c r="T29" s="13" t="inlineStr">
        <is>
          <t>NOT_TESTED</t>
        </is>
      </c>
      <c r="U29" s="13" t="inlineStr">
        <is>
          <t>NOT_TESTED</t>
        </is>
      </c>
      <c r="V29" s="13" t="inlineStr">
        <is>
          <t>NOT_TESTED</t>
        </is>
      </c>
      <c r="W29" s="13" t="inlineStr">
        <is>
          <t>NOT_TESTED</t>
        </is>
      </c>
      <c r="X29" s="13" t="inlineStr">
        <is>
          <t>NOT_TESTED</t>
        </is>
      </c>
      <c r="Y29" s="13" t="inlineStr">
        <is>
          <t>NOT_TESTED</t>
        </is>
      </c>
      <c r="Z29" s="13" t="inlineStr">
        <is>
          <t>NOT_TESTED</t>
        </is>
      </c>
      <c r="AA29" s="13" t="inlineStr">
        <is>
          <t>NOT_TESTED</t>
        </is>
      </c>
      <c r="AB29" s="13" t="inlineStr">
        <is>
          <t>NOT_TESTED</t>
        </is>
      </c>
    </row>
    <row r="30">
      <c r="A30" s="2" t="inlineStr">
        <is>
          <t>issue_497</t>
        </is>
      </c>
      <c r="B30" s="16" t="inlineStr">
        <is>
          <t>Passed on test</t>
        </is>
      </c>
      <c r="C30" s="16" t="inlineStr">
        <is>
          <t>Passed on test</t>
        </is>
      </c>
      <c r="D30" s="16" t="inlineStr">
        <is>
          <t>Passed on test</t>
        </is>
      </c>
      <c r="E30" s="16" t="inlineStr">
        <is>
          <t>Passed on test</t>
        </is>
      </c>
      <c r="F30" s="13" t="inlineStr">
        <is>
          <t>NOT_TESTED</t>
        </is>
      </c>
      <c r="G30" s="13" t="inlineStr">
        <is>
          <t>NOT_TESTED</t>
        </is>
      </c>
      <c r="H30" s="13" t="inlineStr">
        <is>
          <t>NOT_TESTED</t>
        </is>
      </c>
      <c r="I30" s="13" t="inlineStr">
        <is>
          <t>NOT_TESTED</t>
        </is>
      </c>
      <c r="J30" s="13" t="inlineStr">
        <is>
          <t>NOT_TESTED</t>
        </is>
      </c>
      <c r="K30" s="13" t="inlineStr">
        <is>
          <t>NOT_TESTED</t>
        </is>
      </c>
      <c r="L30" s="13" t="inlineStr">
        <is>
          <t>NOT_TESTED</t>
        </is>
      </c>
      <c r="M30" s="13" t="inlineStr">
        <is>
          <t>NOT_TESTED</t>
        </is>
      </c>
      <c r="N30" s="13" t="inlineStr">
        <is>
          <t>NOT_TESTED</t>
        </is>
      </c>
      <c r="O30" s="13" t="inlineStr">
        <is>
          <t>NOT_TESTED</t>
        </is>
      </c>
      <c r="P30" s="13" t="inlineStr">
        <is>
          <t>NOT_TESTED</t>
        </is>
      </c>
      <c r="Q30" s="13" t="inlineStr">
        <is>
          <t>NOT_TESTED</t>
        </is>
      </c>
      <c r="R30" s="13" t="inlineStr">
        <is>
          <t>NOT_TESTED</t>
        </is>
      </c>
      <c r="S30" s="13" t="inlineStr">
        <is>
          <t>NOT_TESTED</t>
        </is>
      </c>
      <c r="T30" s="13" t="inlineStr">
        <is>
          <t>NOT_TESTED</t>
        </is>
      </c>
      <c r="U30" s="13" t="inlineStr">
        <is>
          <t>NOT_TESTED</t>
        </is>
      </c>
      <c r="V30" s="13" t="inlineStr">
        <is>
          <t>NOT_TESTED</t>
        </is>
      </c>
      <c r="W30" s="13" t="inlineStr">
        <is>
          <t>NOT_TESTED</t>
        </is>
      </c>
      <c r="X30" s="13" t="inlineStr">
        <is>
          <t>NOT_TESTED</t>
        </is>
      </c>
      <c r="Y30" s="13" t="inlineStr">
        <is>
          <t>NOT_TESTED</t>
        </is>
      </c>
      <c r="Z30" s="13" t="inlineStr">
        <is>
          <t>NOT_TESTED</t>
        </is>
      </c>
      <c r="AA30" s="13" t="inlineStr">
        <is>
          <t>NOT_TESTED</t>
        </is>
      </c>
      <c r="AB30" s="13" t="inlineStr">
        <is>
          <t>NOT_TESTED</t>
        </is>
      </c>
    </row>
    <row r="31">
      <c r="A31" s="2" t="inlineStr">
        <is>
          <t>issue_504</t>
        </is>
      </c>
      <c r="B31" s="13" t="inlineStr">
        <is>
          <t>NOT_TESTED</t>
        </is>
      </c>
      <c r="C31" s="13" t="inlineStr">
        <is>
          <t>NOT_TESTED</t>
        </is>
      </c>
      <c r="D31" s="13" t="inlineStr">
        <is>
          <t>NOT_TESTED</t>
        </is>
      </c>
      <c r="E31" s="13" t="inlineStr">
        <is>
          <t>NOT_TESTED</t>
        </is>
      </c>
      <c r="F31" s="16" t="inlineStr">
        <is>
          <t>Passed on test</t>
        </is>
      </c>
      <c r="G31" s="16" t="inlineStr">
        <is>
          <t>Passed on test</t>
        </is>
      </c>
      <c r="H31" s="16" t="inlineStr">
        <is>
          <t>Passed on test</t>
        </is>
      </c>
      <c r="I31" s="16" t="inlineStr">
        <is>
          <t>Passed on test</t>
        </is>
      </c>
      <c r="J31" s="16" t="inlineStr">
        <is>
          <t>Passed on test</t>
        </is>
      </c>
      <c r="K31" s="16" t="inlineStr">
        <is>
          <t>Passed on test</t>
        </is>
      </c>
      <c r="L31" s="16" t="inlineStr">
        <is>
          <t>Passed on test</t>
        </is>
      </c>
      <c r="M31" s="16" t="inlineStr">
        <is>
          <t>Passed on test</t>
        </is>
      </c>
      <c r="N31" s="16" t="inlineStr">
        <is>
          <t>Passed on test</t>
        </is>
      </c>
      <c r="O31" s="16" t="inlineStr">
        <is>
          <t>Passed on test</t>
        </is>
      </c>
      <c r="P31" s="16" t="inlineStr">
        <is>
          <t>Passed on test</t>
        </is>
      </c>
      <c r="Q31" s="16" t="inlineStr">
        <is>
          <t>Passed on test</t>
        </is>
      </c>
      <c r="R31" s="16" t="inlineStr">
        <is>
          <t>Passed on test</t>
        </is>
      </c>
      <c r="S31" s="16" t="inlineStr">
        <is>
          <t>Passed on test</t>
        </is>
      </c>
      <c r="T31" s="16" t="inlineStr">
        <is>
          <t>Passed on test</t>
        </is>
      </c>
      <c r="U31" s="16" t="inlineStr">
        <is>
          <t>Passed on test</t>
        </is>
      </c>
      <c r="V31" s="16" t="inlineStr">
        <is>
          <t>Passed on test</t>
        </is>
      </c>
      <c r="W31" s="16" t="inlineStr">
        <is>
          <t>Passed on test</t>
        </is>
      </c>
      <c r="X31" s="16" t="inlineStr">
        <is>
          <t>Passed on test</t>
        </is>
      </c>
      <c r="Y31" s="16" t="inlineStr">
        <is>
          <t>Passed on test</t>
        </is>
      </c>
      <c r="Z31" s="16" t="inlineStr">
        <is>
          <t>Passed on test</t>
        </is>
      </c>
      <c r="AA31" s="16" t="inlineStr">
        <is>
          <t>Passed on test</t>
        </is>
      </c>
      <c r="AB31" s="16" t="inlineStr">
        <is>
          <t>Passed on test</t>
        </is>
      </c>
    </row>
    <row r="32">
      <c r="A32" s="2" t="inlineStr">
        <is>
          <t>issue_505</t>
        </is>
      </c>
      <c r="B32" s="13" t="inlineStr">
        <is>
          <t>NOT_TESTED</t>
        </is>
      </c>
      <c r="C32" s="13" t="inlineStr">
        <is>
          <t>NOT_TESTED</t>
        </is>
      </c>
      <c r="D32" s="13" t="inlineStr">
        <is>
          <t>NOT_TESTED</t>
        </is>
      </c>
      <c r="E32" s="13" t="inlineStr">
        <is>
          <t>NOT_TESTED</t>
        </is>
      </c>
      <c r="F32" s="16" t="inlineStr">
        <is>
          <t>Passed on test</t>
        </is>
      </c>
      <c r="G32" s="16" t="inlineStr">
        <is>
          <t>Passed on test</t>
        </is>
      </c>
      <c r="H32" s="16" t="inlineStr">
        <is>
          <t>Passed on test</t>
        </is>
      </c>
      <c r="I32" s="16" t="inlineStr">
        <is>
          <t>Passed on test</t>
        </is>
      </c>
      <c r="J32" s="16" t="inlineStr">
        <is>
          <t>Passed on test</t>
        </is>
      </c>
      <c r="K32" s="16" t="inlineStr">
        <is>
          <t>Passed on test</t>
        </is>
      </c>
      <c r="L32" s="16" t="inlineStr">
        <is>
          <t>Passed on test</t>
        </is>
      </c>
      <c r="M32" s="16" t="inlineStr">
        <is>
          <t>Passed on test</t>
        </is>
      </c>
      <c r="N32" s="13" t="inlineStr">
        <is>
          <t>NOT_TESTED</t>
        </is>
      </c>
      <c r="O32" s="13" t="inlineStr">
        <is>
          <t>NOT_TESTED</t>
        </is>
      </c>
      <c r="P32" s="13" t="inlineStr">
        <is>
          <t>NOT_TESTED</t>
        </is>
      </c>
      <c r="Q32" s="13" t="inlineStr">
        <is>
          <t>NOT_TESTED</t>
        </is>
      </c>
      <c r="R32" s="13" t="inlineStr">
        <is>
          <t>NOT_TESTED</t>
        </is>
      </c>
      <c r="S32" s="13" t="inlineStr">
        <is>
          <t>NOT_TESTED</t>
        </is>
      </c>
      <c r="T32" s="13" t="inlineStr">
        <is>
          <t>NOT_TESTED</t>
        </is>
      </c>
      <c r="U32" s="13" t="inlineStr">
        <is>
          <t>NOT_TESTED</t>
        </is>
      </c>
      <c r="V32" s="13" t="inlineStr">
        <is>
          <t>NOT_TESTED</t>
        </is>
      </c>
      <c r="W32" s="13" t="inlineStr">
        <is>
          <t>NOT_TESTED</t>
        </is>
      </c>
      <c r="X32" s="13" t="inlineStr">
        <is>
          <t>NOT_TESTED</t>
        </is>
      </c>
      <c r="Y32" s="13" t="inlineStr">
        <is>
          <t>NOT_TESTED</t>
        </is>
      </c>
      <c r="Z32" s="13" t="inlineStr">
        <is>
          <t>NOT_TESTED</t>
        </is>
      </c>
      <c r="AA32" s="13" t="inlineStr">
        <is>
          <t>NOT_TESTED</t>
        </is>
      </c>
      <c r="AB32" s="13" t="inlineStr">
        <is>
          <t>NOT_TESTED</t>
        </is>
      </c>
    </row>
    <row r="33">
      <c r="A33" s="2" t="inlineStr">
        <is>
          <t>issue_565</t>
        </is>
      </c>
      <c r="B33" s="14" t="inlineStr">
        <is>
          <t>Runtime error</t>
        </is>
      </c>
      <c r="C33" s="14" t="inlineStr">
        <is>
          <t>Runtime error</t>
        </is>
      </c>
      <c r="D33" s="14" t="inlineStr">
        <is>
          <t>Runtime error</t>
        </is>
      </c>
      <c r="E33" s="14" t="inlineStr">
        <is>
          <t>Runtime error</t>
        </is>
      </c>
      <c r="F33" s="13" t="inlineStr">
        <is>
          <t>NOT_TESTED</t>
        </is>
      </c>
      <c r="G33" s="13" t="inlineStr">
        <is>
          <t>NOT_TESTED</t>
        </is>
      </c>
      <c r="H33" s="13" t="inlineStr">
        <is>
          <t>NOT_TESTED</t>
        </is>
      </c>
      <c r="I33" s="13" t="inlineStr">
        <is>
          <t>NOT_TESTED</t>
        </is>
      </c>
      <c r="J33" s="13" t="inlineStr">
        <is>
          <t>NOT_TESTED</t>
        </is>
      </c>
      <c r="K33" s="13" t="inlineStr">
        <is>
          <t>NOT_TESTED</t>
        </is>
      </c>
      <c r="L33" s="13" t="inlineStr">
        <is>
          <t>NOT_TESTED</t>
        </is>
      </c>
      <c r="M33" s="13" t="inlineStr">
        <is>
          <t>NOT_TESTED</t>
        </is>
      </c>
      <c r="N33" s="13" t="inlineStr">
        <is>
          <t>NOT_TESTED</t>
        </is>
      </c>
      <c r="O33" s="13" t="inlineStr">
        <is>
          <t>NOT_TESTED</t>
        </is>
      </c>
      <c r="P33" s="13" t="inlineStr">
        <is>
          <t>NOT_TESTED</t>
        </is>
      </c>
      <c r="Q33" s="13" t="inlineStr">
        <is>
          <t>NOT_TESTED</t>
        </is>
      </c>
      <c r="R33" s="13" t="inlineStr">
        <is>
          <t>NOT_TESTED</t>
        </is>
      </c>
      <c r="S33" s="13" t="inlineStr">
        <is>
          <t>NOT_TESTED</t>
        </is>
      </c>
      <c r="T33" s="13" t="inlineStr">
        <is>
          <t>NOT_TESTED</t>
        </is>
      </c>
      <c r="U33" s="13" t="inlineStr">
        <is>
          <t>NOT_TESTED</t>
        </is>
      </c>
      <c r="V33" s="13" t="inlineStr">
        <is>
          <t>NOT_TESTED</t>
        </is>
      </c>
      <c r="W33" s="13" t="inlineStr">
        <is>
          <t>NOT_TESTED</t>
        </is>
      </c>
      <c r="X33" s="13" t="inlineStr">
        <is>
          <t>NOT_TESTED</t>
        </is>
      </c>
      <c r="Y33" s="13" t="inlineStr">
        <is>
          <t>NOT_TESTED</t>
        </is>
      </c>
      <c r="Z33" s="13" t="inlineStr">
        <is>
          <t>NOT_TESTED</t>
        </is>
      </c>
      <c r="AA33" s="13" t="inlineStr">
        <is>
          <t>NOT_TESTED</t>
        </is>
      </c>
      <c r="AB33" s="13" t="inlineStr">
        <is>
          <t>NOT_TESTED</t>
        </is>
      </c>
    </row>
    <row r="34">
      <c r="A34" s="2" t="inlineStr">
        <is>
          <t>issue_595</t>
        </is>
      </c>
      <c r="B34" s="13" t="inlineStr">
        <is>
          <t>NOT_TESTED</t>
        </is>
      </c>
      <c r="C34" s="13" t="inlineStr">
        <is>
          <t>NOT_TESTED</t>
        </is>
      </c>
      <c r="D34" s="13" t="inlineStr">
        <is>
          <t>NOT_TESTED</t>
        </is>
      </c>
      <c r="E34" s="13" t="inlineStr">
        <is>
          <t>NOT_TESTED</t>
        </is>
      </c>
      <c r="F34" s="16" t="inlineStr">
        <is>
          <t>Passed on test</t>
        </is>
      </c>
      <c r="G34" s="16" t="inlineStr">
        <is>
          <t>Passed on test</t>
        </is>
      </c>
      <c r="H34" s="16" t="inlineStr">
        <is>
          <t>Passed on test</t>
        </is>
      </c>
      <c r="I34" s="16" t="inlineStr">
        <is>
          <t>Passed on test</t>
        </is>
      </c>
      <c r="J34" s="16" t="inlineStr">
        <is>
          <t>Passed on test</t>
        </is>
      </c>
      <c r="K34" s="16" t="inlineStr">
        <is>
          <t>Passed on test</t>
        </is>
      </c>
      <c r="L34" s="16" t="inlineStr">
        <is>
          <t>Passed on test</t>
        </is>
      </c>
      <c r="M34" s="16" t="inlineStr">
        <is>
          <t>Passed on test</t>
        </is>
      </c>
      <c r="N34" s="16" t="inlineStr">
        <is>
          <t>Passed on test</t>
        </is>
      </c>
      <c r="O34" s="16" t="inlineStr">
        <is>
          <t>Passed on test</t>
        </is>
      </c>
      <c r="P34" s="16" t="inlineStr">
        <is>
          <t>Passed on test</t>
        </is>
      </c>
      <c r="Q34" s="16" t="inlineStr">
        <is>
          <t>Passed on test</t>
        </is>
      </c>
      <c r="R34" s="16" t="inlineStr">
        <is>
          <t>Passed on test</t>
        </is>
      </c>
      <c r="S34" s="16" t="inlineStr">
        <is>
          <t>Passed on test</t>
        </is>
      </c>
      <c r="T34" s="16" t="inlineStr">
        <is>
          <t>Passed on test</t>
        </is>
      </c>
      <c r="U34" s="16" t="inlineStr">
        <is>
          <t>Passed on test</t>
        </is>
      </c>
      <c r="V34" s="16" t="inlineStr">
        <is>
          <t>Passed on test</t>
        </is>
      </c>
      <c r="W34" s="16" t="inlineStr">
        <is>
          <t>Passed on test</t>
        </is>
      </c>
      <c r="X34" s="16" t="inlineStr">
        <is>
          <t>Passed on test</t>
        </is>
      </c>
      <c r="Y34" s="16" t="inlineStr">
        <is>
          <t>Passed on test</t>
        </is>
      </c>
      <c r="Z34" s="16" t="inlineStr">
        <is>
          <t>Passed on test</t>
        </is>
      </c>
      <c r="AA34" s="16" t="inlineStr">
        <is>
          <t>Passed on test</t>
        </is>
      </c>
      <c r="AB34" s="16" t="inlineStr">
        <is>
          <t>Passed on test</t>
        </is>
      </c>
    </row>
    <row r="35">
      <c r="A35" s="2" t="inlineStr">
        <is>
          <t>issue_596</t>
        </is>
      </c>
      <c r="B35" s="16" t="inlineStr">
        <is>
          <t>Passed on test</t>
        </is>
      </c>
      <c r="C35" s="16" t="inlineStr">
        <is>
          <t>Passed on test</t>
        </is>
      </c>
      <c r="D35" s="16" t="inlineStr">
        <is>
          <t>Passed on test</t>
        </is>
      </c>
      <c r="E35" s="16" t="inlineStr">
        <is>
          <t>Passed on test</t>
        </is>
      </c>
      <c r="F35" s="16" t="inlineStr">
        <is>
          <t>Passed on test</t>
        </is>
      </c>
      <c r="G35" s="16" t="inlineStr">
        <is>
          <t>Passed on test</t>
        </is>
      </c>
      <c r="H35" s="16" t="inlineStr">
        <is>
          <t>Passed on test</t>
        </is>
      </c>
      <c r="I35" s="16" t="inlineStr">
        <is>
          <t>Passed on test</t>
        </is>
      </c>
      <c r="J35" s="16" t="inlineStr">
        <is>
          <t>Passed on test</t>
        </is>
      </c>
      <c r="K35" s="16" t="inlineStr">
        <is>
          <t>Passed on test</t>
        </is>
      </c>
      <c r="L35" s="16" t="inlineStr">
        <is>
          <t>Passed on test</t>
        </is>
      </c>
      <c r="M35" s="16" t="inlineStr">
        <is>
          <t>Passed on test</t>
        </is>
      </c>
      <c r="N35" s="13" t="inlineStr">
        <is>
          <t>NOT_TESTED</t>
        </is>
      </c>
      <c r="O35" s="13" t="inlineStr">
        <is>
          <t>NOT_TESTED</t>
        </is>
      </c>
      <c r="P35" s="13" t="inlineStr">
        <is>
          <t>NOT_TESTED</t>
        </is>
      </c>
      <c r="Q35" s="13" t="inlineStr">
        <is>
          <t>NOT_TESTED</t>
        </is>
      </c>
      <c r="R35" s="13" t="inlineStr">
        <is>
          <t>NOT_TESTED</t>
        </is>
      </c>
      <c r="S35" s="13" t="inlineStr">
        <is>
          <t>NOT_TESTED</t>
        </is>
      </c>
      <c r="T35" s="13" t="inlineStr">
        <is>
          <t>NOT_TESTED</t>
        </is>
      </c>
      <c r="U35" s="13" t="inlineStr">
        <is>
          <t>NOT_TESTED</t>
        </is>
      </c>
      <c r="V35" s="13" t="inlineStr">
        <is>
          <t>NOT_TESTED</t>
        </is>
      </c>
      <c r="W35" s="13" t="inlineStr">
        <is>
          <t>NOT_TESTED</t>
        </is>
      </c>
      <c r="X35" s="13" t="inlineStr">
        <is>
          <t>NOT_TESTED</t>
        </is>
      </c>
      <c r="Y35" s="13" t="inlineStr">
        <is>
          <t>NOT_TESTED</t>
        </is>
      </c>
      <c r="Z35" s="13" t="inlineStr">
        <is>
          <t>NOT_TESTED</t>
        </is>
      </c>
      <c r="AA35" s="13" t="inlineStr">
        <is>
          <t>NOT_TESTED</t>
        </is>
      </c>
      <c r="AB35" s="13" t="inlineStr">
        <is>
          <t>NOT_TESTED</t>
        </is>
      </c>
    </row>
    <row r="36">
      <c r="A36" s="2" t="inlineStr">
        <is>
          <t>issue_600</t>
        </is>
      </c>
      <c r="B36" s="14" t="inlineStr">
        <is>
          <t>Runtime error</t>
        </is>
      </c>
      <c r="C36" s="14" t="inlineStr">
        <is>
          <t>Runtime error</t>
        </is>
      </c>
      <c r="D36" s="14" t="inlineStr">
        <is>
          <t>Runtime error</t>
        </is>
      </c>
      <c r="E36" s="14" t="inlineStr">
        <is>
          <t>Runtime error</t>
        </is>
      </c>
      <c r="F36" s="16" t="inlineStr">
        <is>
          <t>Passed on test</t>
        </is>
      </c>
      <c r="G36" s="16" t="inlineStr">
        <is>
          <t>Passed on test</t>
        </is>
      </c>
      <c r="H36" s="16" t="inlineStr">
        <is>
          <t>Passed on test</t>
        </is>
      </c>
      <c r="I36" s="16" t="inlineStr">
        <is>
          <t>Passed on test</t>
        </is>
      </c>
      <c r="J36" s="16" t="inlineStr">
        <is>
          <t>Passed on test</t>
        </is>
      </c>
      <c r="K36" s="16" t="inlineStr">
        <is>
          <t>Passed on test</t>
        </is>
      </c>
      <c r="L36" s="16" t="inlineStr">
        <is>
          <t>Passed on test</t>
        </is>
      </c>
      <c r="M36" s="16" t="inlineStr">
        <is>
          <t>Passed on test</t>
        </is>
      </c>
      <c r="N36" s="13" t="inlineStr">
        <is>
          <t>NOT_TESTED</t>
        </is>
      </c>
      <c r="O36" s="13" t="inlineStr">
        <is>
          <t>NOT_TESTED</t>
        </is>
      </c>
      <c r="P36" s="13" t="inlineStr">
        <is>
          <t>NOT_TESTED</t>
        </is>
      </c>
      <c r="Q36" s="13" t="inlineStr">
        <is>
          <t>NOT_TESTED</t>
        </is>
      </c>
      <c r="R36" s="13" t="inlineStr">
        <is>
          <t>NOT_TESTED</t>
        </is>
      </c>
      <c r="S36" s="13" t="inlineStr">
        <is>
          <t>NOT_TESTED</t>
        </is>
      </c>
      <c r="T36" s="13" t="inlineStr">
        <is>
          <t>NOT_TESTED</t>
        </is>
      </c>
      <c r="U36" s="13" t="inlineStr">
        <is>
          <t>NOT_TESTED</t>
        </is>
      </c>
      <c r="V36" s="13" t="inlineStr">
        <is>
          <t>NOT_TESTED</t>
        </is>
      </c>
      <c r="W36" s="13" t="inlineStr">
        <is>
          <t>NOT_TESTED</t>
        </is>
      </c>
      <c r="X36" s="13" t="inlineStr">
        <is>
          <t>NOT_TESTED</t>
        </is>
      </c>
      <c r="Y36" s="13" t="inlineStr">
        <is>
          <t>NOT_TESTED</t>
        </is>
      </c>
      <c r="Z36" s="13" t="inlineStr">
        <is>
          <t>NOT_TESTED</t>
        </is>
      </c>
      <c r="AA36" s="13" t="inlineStr">
        <is>
          <t>NOT_TESTED</t>
        </is>
      </c>
      <c r="AB36" s="13" t="inlineStr">
        <is>
          <t>NOT_TESTED</t>
        </is>
      </c>
    </row>
    <row r="37">
      <c r="A37" s="2" t="inlineStr">
        <is>
          <t>issue_622</t>
        </is>
      </c>
      <c r="B37" s="16" t="inlineStr">
        <is>
          <t>Passed on test</t>
        </is>
      </c>
      <c r="C37" s="16" t="inlineStr">
        <is>
          <t>Passed on test</t>
        </is>
      </c>
      <c r="D37" s="16" t="inlineStr">
        <is>
          <t>Passed on test</t>
        </is>
      </c>
      <c r="E37" s="16" t="inlineStr">
        <is>
          <t>Passed on test</t>
        </is>
      </c>
      <c r="F37" s="16" t="inlineStr">
        <is>
          <t>Passed on test</t>
        </is>
      </c>
      <c r="G37" s="16" t="inlineStr">
        <is>
          <t>Passed on test</t>
        </is>
      </c>
      <c r="H37" s="16" t="inlineStr">
        <is>
          <t>Passed on test</t>
        </is>
      </c>
      <c r="I37" s="16" t="inlineStr">
        <is>
          <t>Passed on test</t>
        </is>
      </c>
      <c r="J37" s="16" t="inlineStr">
        <is>
          <t>Passed on test</t>
        </is>
      </c>
      <c r="K37" s="16" t="inlineStr">
        <is>
          <t>Passed on test</t>
        </is>
      </c>
      <c r="L37" s="16" t="inlineStr">
        <is>
          <t>Passed on test</t>
        </is>
      </c>
      <c r="M37" s="16" t="inlineStr">
        <is>
          <t>Passed on test</t>
        </is>
      </c>
      <c r="N37" s="13" t="inlineStr">
        <is>
          <t>NOT_TESTED</t>
        </is>
      </c>
      <c r="O37" s="13" t="inlineStr">
        <is>
          <t>NOT_TESTED</t>
        </is>
      </c>
      <c r="P37" s="13" t="inlineStr">
        <is>
          <t>NOT_TESTED</t>
        </is>
      </c>
      <c r="Q37" s="13" t="inlineStr">
        <is>
          <t>NOT_TESTED</t>
        </is>
      </c>
      <c r="R37" s="13" t="inlineStr">
        <is>
          <t>NOT_TESTED</t>
        </is>
      </c>
      <c r="S37" s="13" t="inlineStr">
        <is>
          <t>NOT_TESTED</t>
        </is>
      </c>
      <c r="T37" s="13" t="inlineStr">
        <is>
          <t>NOT_TESTED</t>
        </is>
      </c>
      <c r="U37" s="13" t="inlineStr">
        <is>
          <t>NOT_TESTED</t>
        </is>
      </c>
      <c r="V37" s="13" t="inlineStr">
        <is>
          <t>NOT_TESTED</t>
        </is>
      </c>
      <c r="W37" s="13" t="inlineStr">
        <is>
          <t>NOT_TESTED</t>
        </is>
      </c>
      <c r="X37" s="13" t="inlineStr">
        <is>
          <t>NOT_TESTED</t>
        </is>
      </c>
      <c r="Y37" s="13" t="inlineStr">
        <is>
          <t>NOT_TESTED</t>
        </is>
      </c>
      <c r="Z37" s="13" t="inlineStr">
        <is>
          <t>NOT_TESTED</t>
        </is>
      </c>
      <c r="AA37" s="13" t="inlineStr">
        <is>
          <t>NOT_TESTED</t>
        </is>
      </c>
      <c r="AB37" s="13" t="inlineStr">
        <is>
          <t>NOT_TESTED</t>
        </is>
      </c>
    </row>
    <row r="38">
      <c r="A38" s="2" t="inlineStr">
        <is>
          <t>issue_624</t>
        </is>
      </c>
      <c r="B38" s="14" t="inlineStr">
        <is>
          <t>Runtime error</t>
        </is>
      </c>
      <c r="C38" s="14" t="inlineStr">
        <is>
          <t>Runtime error</t>
        </is>
      </c>
      <c r="D38" s="14" t="inlineStr">
        <is>
          <t>Runtime error</t>
        </is>
      </c>
      <c r="E38" s="14" t="inlineStr">
        <is>
          <t>Runtime error</t>
        </is>
      </c>
      <c r="F38" s="14" t="inlineStr">
        <is>
          <t>Runtime error</t>
        </is>
      </c>
      <c r="G38" s="14" t="inlineStr">
        <is>
          <t>Runtime error</t>
        </is>
      </c>
      <c r="H38" s="14" t="inlineStr">
        <is>
          <t>Runtime error</t>
        </is>
      </c>
      <c r="I38" s="14" t="inlineStr">
        <is>
          <t>Runtime error</t>
        </is>
      </c>
      <c r="J38" s="14" t="inlineStr">
        <is>
          <t>Runtime error</t>
        </is>
      </c>
      <c r="K38" s="14" t="inlineStr">
        <is>
          <t>Runtime error</t>
        </is>
      </c>
      <c r="L38" s="14" t="inlineStr">
        <is>
          <t>Runtime error</t>
        </is>
      </c>
      <c r="M38" s="14" t="inlineStr">
        <is>
          <t>Runtime error</t>
        </is>
      </c>
      <c r="N38" s="13" t="inlineStr">
        <is>
          <t>NOT_TESTED</t>
        </is>
      </c>
      <c r="O38" s="13" t="inlineStr">
        <is>
          <t>NOT_TESTED</t>
        </is>
      </c>
      <c r="P38" s="13" t="inlineStr">
        <is>
          <t>NOT_TESTED</t>
        </is>
      </c>
      <c r="Q38" s="13" t="inlineStr">
        <is>
          <t>NOT_TESTED</t>
        </is>
      </c>
      <c r="R38" s="13" t="inlineStr">
        <is>
          <t>NOT_TESTED</t>
        </is>
      </c>
      <c r="S38" s="13" t="inlineStr">
        <is>
          <t>NOT_TESTED</t>
        </is>
      </c>
      <c r="T38" s="13" t="inlineStr">
        <is>
          <t>NOT_TESTED</t>
        </is>
      </c>
      <c r="U38" s="13" t="inlineStr">
        <is>
          <t>NOT_TESTED</t>
        </is>
      </c>
      <c r="V38" s="13" t="inlineStr">
        <is>
          <t>NOT_TESTED</t>
        </is>
      </c>
      <c r="W38" s="13" t="inlineStr">
        <is>
          <t>NOT_TESTED</t>
        </is>
      </c>
      <c r="X38" s="13" t="inlineStr">
        <is>
          <t>NOT_TESTED</t>
        </is>
      </c>
      <c r="Y38" s="13" t="inlineStr">
        <is>
          <t>NOT_TESTED</t>
        </is>
      </c>
      <c r="Z38" s="13" t="inlineStr">
        <is>
          <t>NOT_TESTED</t>
        </is>
      </c>
      <c r="AA38" s="13" t="inlineStr">
        <is>
          <t>NOT_TESTED</t>
        </is>
      </c>
      <c r="AB38" s="13" t="inlineStr">
        <is>
          <t>NOT_TESTED</t>
        </is>
      </c>
    </row>
    <row r="39">
      <c r="A39" s="2" t="inlineStr">
        <is>
          <t>issue_635</t>
        </is>
      </c>
      <c r="B39" s="15" t="inlineStr">
        <is>
          <t>Failed on test</t>
        </is>
      </c>
      <c r="C39" s="15" t="inlineStr">
        <is>
          <t>Failed on test</t>
        </is>
      </c>
      <c r="D39" s="15" t="inlineStr">
        <is>
          <t>Failed on test</t>
        </is>
      </c>
      <c r="E39" s="15" t="inlineStr">
        <is>
          <t>Failed on test</t>
        </is>
      </c>
      <c r="F39" s="13" t="inlineStr">
        <is>
          <t>NOT_TESTED</t>
        </is>
      </c>
      <c r="G39" s="13" t="inlineStr">
        <is>
          <t>NOT_TESTED</t>
        </is>
      </c>
      <c r="H39" s="13" t="inlineStr">
        <is>
          <t>NOT_TESTED</t>
        </is>
      </c>
      <c r="I39" s="13" t="inlineStr">
        <is>
          <t>NOT_TESTED</t>
        </is>
      </c>
      <c r="J39" s="13" t="inlineStr">
        <is>
          <t>NOT_TESTED</t>
        </is>
      </c>
      <c r="K39" s="13" t="inlineStr">
        <is>
          <t>NOT_TESTED</t>
        </is>
      </c>
      <c r="L39" s="13" t="inlineStr">
        <is>
          <t>NOT_TESTED</t>
        </is>
      </c>
      <c r="M39" s="13" t="inlineStr">
        <is>
          <t>NOT_TESTED</t>
        </is>
      </c>
      <c r="N39" s="13" t="inlineStr">
        <is>
          <t>NOT_TESTED</t>
        </is>
      </c>
      <c r="O39" s="13" t="inlineStr">
        <is>
          <t>NOT_TESTED</t>
        </is>
      </c>
      <c r="P39" s="13" t="inlineStr">
        <is>
          <t>NOT_TESTED</t>
        </is>
      </c>
      <c r="Q39" s="13" t="inlineStr">
        <is>
          <t>NOT_TESTED</t>
        </is>
      </c>
      <c r="R39" s="13" t="inlineStr">
        <is>
          <t>NOT_TESTED</t>
        </is>
      </c>
      <c r="S39" s="13" t="inlineStr">
        <is>
          <t>NOT_TESTED</t>
        </is>
      </c>
      <c r="T39" s="13" t="inlineStr">
        <is>
          <t>NOT_TESTED</t>
        </is>
      </c>
      <c r="U39" s="13" t="inlineStr">
        <is>
          <t>NOT_TESTED</t>
        </is>
      </c>
      <c r="V39" s="13" t="inlineStr">
        <is>
          <t>NOT_TESTED</t>
        </is>
      </c>
      <c r="W39" s="13" t="inlineStr">
        <is>
          <t>NOT_TESTED</t>
        </is>
      </c>
      <c r="X39" s="13" t="inlineStr">
        <is>
          <t>NOT_TESTED</t>
        </is>
      </c>
      <c r="Y39" s="13" t="inlineStr">
        <is>
          <t>NOT_TESTED</t>
        </is>
      </c>
      <c r="Z39" s="13" t="inlineStr">
        <is>
          <t>NOT_TESTED</t>
        </is>
      </c>
      <c r="AA39" s="13" t="inlineStr">
        <is>
          <t>NOT_TESTED</t>
        </is>
      </c>
      <c r="AB39" s="13" t="inlineStr">
        <is>
          <t>NOT_TESTED</t>
        </is>
      </c>
    </row>
    <row r="40">
      <c r="A40" s="2" t="inlineStr">
        <is>
          <t>issue_662</t>
        </is>
      </c>
      <c r="B40" s="13" t="inlineStr">
        <is>
          <t>NOT_TESTED</t>
        </is>
      </c>
      <c r="C40" s="13" t="inlineStr">
        <is>
          <t>NOT_TESTED</t>
        </is>
      </c>
      <c r="D40" s="13" t="inlineStr">
        <is>
          <t>NOT_TESTED</t>
        </is>
      </c>
      <c r="E40" s="13" t="inlineStr">
        <is>
          <t>NOT_TESTED</t>
        </is>
      </c>
      <c r="F40" s="14" t="inlineStr">
        <is>
          <t>Runtime error</t>
        </is>
      </c>
      <c r="G40" s="14" t="inlineStr">
        <is>
          <t>Runtime error</t>
        </is>
      </c>
      <c r="H40" s="14" t="inlineStr">
        <is>
          <t>Runtime error</t>
        </is>
      </c>
      <c r="I40" s="14" t="inlineStr">
        <is>
          <t>Runtime error</t>
        </is>
      </c>
      <c r="J40" s="14" t="inlineStr">
        <is>
          <t>Runtime error</t>
        </is>
      </c>
      <c r="K40" s="14" t="inlineStr">
        <is>
          <t>Runtime error</t>
        </is>
      </c>
      <c r="L40" s="14" t="inlineStr">
        <is>
          <t>Runtime error</t>
        </is>
      </c>
      <c r="M40" s="14" t="inlineStr">
        <is>
          <t>Runtime error</t>
        </is>
      </c>
      <c r="N40" s="14" t="inlineStr">
        <is>
          <t>Runtime error</t>
        </is>
      </c>
      <c r="O40" s="14" t="inlineStr">
        <is>
          <t>Runtime error</t>
        </is>
      </c>
      <c r="P40" s="14" t="inlineStr">
        <is>
          <t>Runtime error</t>
        </is>
      </c>
      <c r="Q40" s="14" t="inlineStr">
        <is>
          <t>Runtime error</t>
        </is>
      </c>
      <c r="R40" s="14" t="inlineStr">
        <is>
          <t>Runtime error</t>
        </is>
      </c>
      <c r="S40" s="14" t="inlineStr">
        <is>
          <t>Runtime error</t>
        </is>
      </c>
      <c r="T40" s="14" t="inlineStr">
        <is>
          <t>Runtime error</t>
        </is>
      </c>
      <c r="U40" s="14" t="inlineStr">
        <is>
          <t>Runtime error</t>
        </is>
      </c>
      <c r="V40" s="14" t="inlineStr">
        <is>
          <t>Runtime error</t>
        </is>
      </c>
      <c r="W40" s="14" t="inlineStr">
        <is>
          <t>Runtime error</t>
        </is>
      </c>
      <c r="X40" s="14" t="inlineStr">
        <is>
          <t>Runtime error</t>
        </is>
      </c>
      <c r="Y40" s="14" t="inlineStr">
        <is>
          <t>Runtime error</t>
        </is>
      </c>
      <c r="Z40" s="14" t="inlineStr">
        <is>
          <t>Runtime error</t>
        </is>
      </c>
      <c r="AA40" s="14" t="inlineStr">
        <is>
          <t>Runtime error</t>
        </is>
      </c>
      <c r="AB40" s="14" t="inlineStr">
        <is>
          <t>Runtime error</t>
        </is>
      </c>
    </row>
    <row r="41">
      <c r="A41" s="2" t="inlineStr">
        <is>
          <t>issue_663</t>
        </is>
      </c>
      <c r="B41" s="13" t="inlineStr">
        <is>
          <t>NOT_TESTED</t>
        </is>
      </c>
      <c r="C41" s="13" t="inlineStr">
        <is>
          <t>NOT_TESTED</t>
        </is>
      </c>
      <c r="D41" s="13" t="inlineStr">
        <is>
          <t>NOT_TESTED</t>
        </is>
      </c>
      <c r="E41" s="13" t="inlineStr">
        <is>
          <t>NOT_TESTED</t>
        </is>
      </c>
      <c r="F41" s="16" t="inlineStr">
        <is>
          <t>Passed on test</t>
        </is>
      </c>
      <c r="G41" s="16" t="inlineStr">
        <is>
          <t>Passed on test</t>
        </is>
      </c>
      <c r="H41" s="16" t="inlineStr">
        <is>
          <t>Passed on test</t>
        </is>
      </c>
      <c r="I41" s="16" t="inlineStr">
        <is>
          <t>Passed on test</t>
        </is>
      </c>
      <c r="J41" s="16" t="inlineStr">
        <is>
          <t>Passed on test</t>
        </is>
      </c>
      <c r="K41" s="16" t="inlineStr">
        <is>
          <t>Passed on test</t>
        </is>
      </c>
      <c r="L41" s="16" t="inlineStr">
        <is>
          <t>Passed on test</t>
        </is>
      </c>
      <c r="M41" s="16" t="inlineStr">
        <is>
          <t>Passed on test</t>
        </is>
      </c>
      <c r="N41" s="13" t="inlineStr">
        <is>
          <t>NOT_TESTED</t>
        </is>
      </c>
      <c r="O41" s="13" t="inlineStr">
        <is>
          <t>NOT_TESTED</t>
        </is>
      </c>
      <c r="P41" s="13" t="inlineStr">
        <is>
          <t>NOT_TESTED</t>
        </is>
      </c>
      <c r="Q41" s="13" t="inlineStr">
        <is>
          <t>NOT_TESTED</t>
        </is>
      </c>
      <c r="R41" s="13" t="inlineStr">
        <is>
          <t>NOT_TESTED</t>
        </is>
      </c>
      <c r="S41" s="13" t="inlineStr">
        <is>
          <t>NOT_TESTED</t>
        </is>
      </c>
      <c r="T41" s="13" t="inlineStr">
        <is>
          <t>NOT_TESTED</t>
        </is>
      </c>
      <c r="U41" s="13" t="inlineStr">
        <is>
          <t>NOT_TESTED</t>
        </is>
      </c>
      <c r="V41" s="13" t="inlineStr">
        <is>
          <t>NOT_TESTED</t>
        </is>
      </c>
      <c r="W41" s="13" t="inlineStr">
        <is>
          <t>NOT_TESTED</t>
        </is>
      </c>
      <c r="X41" s="13" t="inlineStr">
        <is>
          <t>NOT_TESTED</t>
        </is>
      </c>
      <c r="Y41" s="13" t="inlineStr">
        <is>
          <t>NOT_TESTED</t>
        </is>
      </c>
      <c r="Z41" s="13" t="inlineStr">
        <is>
          <t>NOT_TESTED</t>
        </is>
      </c>
      <c r="AA41" s="13" t="inlineStr">
        <is>
          <t>NOT_TESTED</t>
        </is>
      </c>
      <c r="AB41" s="13" t="inlineStr">
        <is>
          <t>NOT_TESTED</t>
        </is>
      </c>
    </row>
    <row r="42">
      <c r="A42" s="2" t="inlineStr">
        <is>
          <t>issue_671</t>
        </is>
      </c>
      <c r="B42" s="16" t="inlineStr">
        <is>
          <t>Failed on test</t>
        </is>
      </c>
      <c r="C42" s="16" t="inlineStr">
        <is>
          <t>Failed on test</t>
        </is>
      </c>
      <c r="D42" s="16" t="inlineStr">
        <is>
          <t>Failed on test</t>
        </is>
      </c>
      <c r="E42" s="16" t="inlineStr">
        <is>
          <t>Failed on test</t>
        </is>
      </c>
      <c r="F42" s="16" t="inlineStr">
        <is>
          <t>Failed on test</t>
        </is>
      </c>
      <c r="G42" s="16" t="inlineStr">
        <is>
          <t>Failed on test</t>
        </is>
      </c>
      <c r="H42" s="16" t="inlineStr">
        <is>
          <t>Failed on test</t>
        </is>
      </c>
      <c r="I42" s="16" t="inlineStr">
        <is>
          <t>Failed on test</t>
        </is>
      </c>
      <c r="J42" s="16" t="inlineStr">
        <is>
          <t>Failed on test</t>
        </is>
      </c>
      <c r="K42" s="16" t="inlineStr">
        <is>
          <t>Failed on test</t>
        </is>
      </c>
      <c r="L42" s="16" t="inlineStr">
        <is>
          <t>Failed on test</t>
        </is>
      </c>
      <c r="M42" s="16" t="inlineStr">
        <is>
          <t>Failed on test</t>
        </is>
      </c>
      <c r="N42" s="16" t="inlineStr">
        <is>
          <t>Failed on test</t>
        </is>
      </c>
      <c r="O42" s="16" t="inlineStr">
        <is>
          <t>Failed on test</t>
        </is>
      </c>
      <c r="P42" s="16" t="inlineStr">
        <is>
          <t>Failed on test</t>
        </is>
      </c>
      <c r="Q42" s="16" t="inlineStr">
        <is>
          <t>Failed on test</t>
        </is>
      </c>
      <c r="R42" s="16" t="inlineStr">
        <is>
          <t>Failed on test</t>
        </is>
      </c>
      <c r="S42" s="16" t="inlineStr">
        <is>
          <t>Failed on test</t>
        </is>
      </c>
      <c r="T42" s="16" t="inlineStr">
        <is>
          <t>Failed on test</t>
        </is>
      </c>
      <c r="U42" s="16" t="inlineStr">
        <is>
          <t>Failed on test</t>
        </is>
      </c>
      <c r="V42" s="16" t="inlineStr">
        <is>
          <t>Failed on test</t>
        </is>
      </c>
      <c r="W42" s="16" t="inlineStr">
        <is>
          <t>Failed on test</t>
        </is>
      </c>
      <c r="X42" s="16" t="inlineStr">
        <is>
          <t>Failed on test</t>
        </is>
      </c>
      <c r="Y42" s="16" t="inlineStr">
        <is>
          <t>Failed on test</t>
        </is>
      </c>
      <c r="Z42" s="16" t="inlineStr">
        <is>
          <t>Failed on test</t>
        </is>
      </c>
      <c r="AA42" s="16" t="inlineStr">
        <is>
          <t>Failed on test</t>
        </is>
      </c>
      <c r="AB42" s="16" t="inlineStr">
        <is>
          <t>Failed on test</t>
        </is>
      </c>
    </row>
    <row r="43">
      <c r="A43" s="2" t="inlineStr">
        <is>
          <t>issue_727</t>
        </is>
      </c>
      <c r="B43" s="16" t="inlineStr">
        <is>
          <t>Passed on test</t>
        </is>
      </c>
      <c r="C43" s="16" t="inlineStr">
        <is>
          <t>Passed on test</t>
        </is>
      </c>
      <c r="D43" s="16" t="inlineStr">
        <is>
          <t>Passed on test</t>
        </is>
      </c>
      <c r="E43" s="16" t="inlineStr">
        <is>
          <t>Passed on test</t>
        </is>
      </c>
      <c r="F43" s="16" t="inlineStr">
        <is>
          <t>Passed on test</t>
        </is>
      </c>
      <c r="G43" s="16" t="inlineStr">
        <is>
          <t>Passed on test</t>
        </is>
      </c>
      <c r="H43" s="16" t="inlineStr">
        <is>
          <t>Passed on test</t>
        </is>
      </c>
      <c r="I43" s="16" t="inlineStr">
        <is>
          <t>Passed on test</t>
        </is>
      </c>
      <c r="J43" s="16" t="inlineStr">
        <is>
          <t>Passed on test</t>
        </is>
      </c>
      <c r="K43" s="16" t="inlineStr">
        <is>
          <t>Passed on test</t>
        </is>
      </c>
      <c r="L43" s="16" t="inlineStr">
        <is>
          <t>Passed on test</t>
        </is>
      </c>
      <c r="M43" s="16" t="inlineStr">
        <is>
          <t>Passed on test</t>
        </is>
      </c>
      <c r="N43" s="13" t="inlineStr">
        <is>
          <t>NOT_TESTED</t>
        </is>
      </c>
      <c r="O43" s="13" t="inlineStr">
        <is>
          <t>NOT_TESTED</t>
        </is>
      </c>
      <c r="P43" s="13" t="inlineStr">
        <is>
          <t>NOT_TESTED</t>
        </is>
      </c>
      <c r="Q43" s="13" t="inlineStr">
        <is>
          <t>NOT_TESTED</t>
        </is>
      </c>
      <c r="R43" s="13" t="inlineStr">
        <is>
          <t>NOT_TESTED</t>
        </is>
      </c>
      <c r="S43" s="13" t="inlineStr">
        <is>
          <t>NOT_TESTED</t>
        </is>
      </c>
      <c r="T43" s="13" t="inlineStr">
        <is>
          <t>NOT_TESTED</t>
        </is>
      </c>
      <c r="U43" s="13" t="inlineStr">
        <is>
          <t>NOT_TESTED</t>
        </is>
      </c>
      <c r="V43" s="13" t="inlineStr">
        <is>
          <t>NOT_TESTED</t>
        </is>
      </c>
      <c r="W43" s="13" t="inlineStr">
        <is>
          <t>NOT_TESTED</t>
        </is>
      </c>
      <c r="X43" s="13" t="inlineStr">
        <is>
          <t>NOT_TESTED</t>
        </is>
      </c>
      <c r="Y43" s="13" t="inlineStr">
        <is>
          <t>NOT_TESTED</t>
        </is>
      </c>
      <c r="Z43" s="13" t="inlineStr">
        <is>
          <t>NOT_TESTED</t>
        </is>
      </c>
      <c r="AA43" s="13" t="inlineStr">
        <is>
          <t>NOT_TESTED</t>
        </is>
      </c>
      <c r="AB43" s="13" t="inlineStr">
        <is>
          <t>NOT_TESTED</t>
        </is>
      </c>
    </row>
    <row r="44">
      <c r="A44" s="2" t="inlineStr">
        <is>
          <t>issue_742</t>
        </is>
      </c>
      <c r="B44" s="13" t="inlineStr">
        <is>
          <t>NOT_TESTED</t>
        </is>
      </c>
      <c r="C44" s="13" t="inlineStr">
        <is>
          <t>NOT_TESTED</t>
        </is>
      </c>
      <c r="D44" s="13" t="inlineStr">
        <is>
          <t>NOT_TESTED</t>
        </is>
      </c>
      <c r="E44" s="13" t="inlineStr">
        <is>
          <t>NOT_TESTED</t>
        </is>
      </c>
      <c r="F44" s="13" t="inlineStr">
        <is>
          <t>NOT_TESTED</t>
        </is>
      </c>
      <c r="G44" s="13" t="inlineStr">
        <is>
          <t>NOT_TESTED</t>
        </is>
      </c>
      <c r="H44" s="13" t="inlineStr">
        <is>
          <t>NOT_TESTED</t>
        </is>
      </c>
      <c r="I44" s="13" t="inlineStr">
        <is>
          <t>NOT_TESTED</t>
        </is>
      </c>
      <c r="J44" s="13" t="inlineStr">
        <is>
          <t>NOT_TESTED</t>
        </is>
      </c>
      <c r="K44" s="13" t="inlineStr">
        <is>
          <t>NOT_TESTED</t>
        </is>
      </c>
      <c r="L44" s="13" t="inlineStr">
        <is>
          <t>NOT_TESTED</t>
        </is>
      </c>
      <c r="M44" s="13" t="inlineStr">
        <is>
          <t>NOT_TESTED</t>
        </is>
      </c>
      <c r="N44" s="13" t="inlineStr">
        <is>
          <t>NOT_TESTED</t>
        </is>
      </c>
      <c r="O44" s="13" t="inlineStr">
        <is>
          <t>NOT_TESTED</t>
        </is>
      </c>
      <c r="P44" s="13" t="inlineStr">
        <is>
          <t>NOT_TESTED</t>
        </is>
      </c>
      <c r="Q44" s="16" t="inlineStr">
        <is>
          <t>Passed on test</t>
        </is>
      </c>
      <c r="R44" s="16" t="inlineStr">
        <is>
          <t>Passed on test</t>
        </is>
      </c>
      <c r="S44" s="16" t="inlineStr">
        <is>
          <t>Passed on test</t>
        </is>
      </c>
      <c r="T44" s="16" t="inlineStr">
        <is>
          <t>Passed on test</t>
        </is>
      </c>
      <c r="U44" s="16" t="inlineStr">
        <is>
          <t>Passed on test</t>
        </is>
      </c>
      <c r="V44" s="16" t="inlineStr">
        <is>
          <t>Passed on test</t>
        </is>
      </c>
      <c r="W44" s="16" t="inlineStr">
        <is>
          <t>Passed on test</t>
        </is>
      </c>
      <c r="X44" s="16" t="inlineStr">
        <is>
          <t>Passed on test</t>
        </is>
      </c>
      <c r="Y44" s="16" t="inlineStr">
        <is>
          <t>Passed on test</t>
        </is>
      </c>
      <c r="Z44" s="16" t="inlineStr">
        <is>
          <t>Passed on test</t>
        </is>
      </c>
      <c r="AA44" s="16" t="inlineStr">
        <is>
          <t>Passed on test</t>
        </is>
      </c>
      <c r="AB44" s="16" t="inlineStr">
        <is>
          <t>Passed on test</t>
        </is>
      </c>
    </row>
    <row r="45">
      <c r="A45" s="2" t="inlineStr">
        <is>
          <t>issue_747</t>
        </is>
      </c>
      <c r="B45" s="13" t="inlineStr">
        <is>
          <t>NOT_TESTED</t>
        </is>
      </c>
      <c r="C45" s="13" t="inlineStr">
        <is>
          <t>NOT_TESTED</t>
        </is>
      </c>
      <c r="D45" s="13" t="inlineStr">
        <is>
          <t>NOT_TESTED</t>
        </is>
      </c>
      <c r="E45" s="13" t="inlineStr">
        <is>
          <t>NOT_TESTED</t>
        </is>
      </c>
      <c r="F45" s="16" t="inlineStr">
        <is>
          <t>Failed on test</t>
        </is>
      </c>
      <c r="G45" s="16" t="inlineStr">
        <is>
          <t>Failed on test</t>
        </is>
      </c>
      <c r="H45" s="16" t="inlineStr">
        <is>
          <t>Failed on test</t>
        </is>
      </c>
      <c r="I45" s="16" t="inlineStr">
        <is>
          <t>Failed on test</t>
        </is>
      </c>
      <c r="J45" s="16" t="inlineStr">
        <is>
          <t>Failed on test</t>
        </is>
      </c>
      <c r="K45" s="16" t="inlineStr">
        <is>
          <t>Failed on test</t>
        </is>
      </c>
      <c r="L45" s="16" t="inlineStr">
        <is>
          <t>Failed on test</t>
        </is>
      </c>
      <c r="M45" s="16" t="inlineStr">
        <is>
          <t>Failed on test</t>
        </is>
      </c>
      <c r="N45" s="13" t="inlineStr">
        <is>
          <t>NOT_TESTED</t>
        </is>
      </c>
      <c r="O45" s="13" t="inlineStr">
        <is>
          <t>NOT_TESTED</t>
        </is>
      </c>
      <c r="P45" s="13" t="inlineStr">
        <is>
          <t>NOT_TESTED</t>
        </is>
      </c>
      <c r="Q45" s="13" t="inlineStr">
        <is>
          <t>NOT_TESTED</t>
        </is>
      </c>
      <c r="R45" s="13" t="inlineStr">
        <is>
          <t>NOT_TESTED</t>
        </is>
      </c>
      <c r="S45" s="13" t="inlineStr">
        <is>
          <t>NOT_TESTED</t>
        </is>
      </c>
      <c r="T45" s="13" t="inlineStr">
        <is>
          <t>NOT_TESTED</t>
        </is>
      </c>
      <c r="U45" s="13" t="inlineStr">
        <is>
          <t>NOT_TESTED</t>
        </is>
      </c>
      <c r="V45" s="13" t="inlineStr">
        <is>
          <t>NOT_TESTED</t>
        </is>
      </c>
      <c r="W45" s="13" t="inlineStr">
        <is>
          <t>NOT_TESTED</t>
        </is>
      </c>
      <c r="X45" s="13" t="inlineStr">
        <is>
          <t>NOT_TESTED</t>
        </is>
      </c>
      <c r="Y45" s="13" t="inlineStr">
        <is>
          <t>NOT_TESTED</t>
        </is>
      </c>
      <c r="Z45" s="13" t="inlineStr">
        <is>
          <t>NOT_TESTED</t>
        </is>
      </c>
      <c r="AA45" s="13" t="inlineStr">
        <is>
          <t>NOT_TESTED</t>
        </is>
      </c>
      <c r="AB45" s="13" t="inlineStr">
        <is>
          <t>NOT_TESTED</t>
        </is>
      </c>
    </row>
    <row r="46">
      <c r="A46" s="2" t="inlineStr">
        <is>
          <t>issue_750</t>
        </is>
      </c>
      <c r="B46" s="13" t="inlineStr">
        <is>
          <t>NOT_TESTED</t>
        </is>
      </c>
      <c r="C46" s="13" t="inlineStr">
        <is>
          <t>NOT_TESTED</t>
        </is>
      </c>
      <c r="D46" s="13" t="inlineStr">
        <is>
          <t>NOT_TESTED</t>
        </is>
      </c>
      <c r="E46" s="13" t="inlineStr">
        <is>
          <t>NOT_TESTED</t>
        </is>
      </c>
      <c r="F46" s="14" t="inlineStr">
        <is>
          <t>Runtime error</t>
        </is>
      </c>
      <c r="G46" s="14" t="inlineStr">
        <is>
          <t>Runtime error</t>
        </is>
      </c>
      <c r="H46" s="14" t="inlineStr">
        <is>
          <t>Runtime error</t>
        </is>
      </c>
      <c r="I46" s="14" t="inlineStr">
        <is>
          <t>Runtime error</t>
        </is>
      </c>
      <c r="J46" s="14" t="inlineStr">
        <is>
          <t>Runtime error</t>
        </is>
      </c>
      <c r="K46" s="14" t="inlineStr">
        <is>
          <t>Runtime error</t>
        </is>
      </c>
      <c r="L46" s="14" t="inlineStr">
        <is>
          <t>Runtime error</t>
        </is>
      </c>
      <c r="M46" s="14" t="inlineStr">
        <is>
          <t>Runtime error</t>
        </is>
      </c>
      <c r="N46" s="14" t="inlineStr">
        <is>
          <t>Runtime error</t>
        </is>
      </c>
      <c r="O46" s="14" t="inlineStr">
        <is>
          <t>Runtime error</t>
        </is>
      </c>
      <c r="P46" s="14" t="inlineStr">
        <is>
          <t>Runtime error</t>
        </is>
      </c>
      <c r="Q46" s="14" t="inlineStr">
        <is>
          <t>Runtime error</t>
        </is>
      </c>
      <c r="R46" s="14" t="inlineStr">
        <is>
          <t>Runtime error</t>
        </is>
      </c>
      <c r="S46" s="14" t="inlineStr">
        <is>
          <t>Runtime error</t>
        </is>
      </c>
      <c r="T46" s="14" t="inlineStr">
        <is>
          <t>Runtime error</t>
        </is>
      </c>
      <c r="U46" s="14" t="inlineStr">
        <is>
          <t>Runtime error</t>
        </is>
      </c>
      <c r="V46" s="14" t="inlineStr">
        <is>
          <t>Runtime error</t>
        </is>
      </c>
      <c r="W46" s="14" t="inlineStr">
        <is>
          <t>Runtime error</t>
        </is>
      </c>
      <c r="X46" s="14" t="inlineStr">
        <is>
          <t>Runtime error</t>
        </is>
      </c>
      <c r="Y46" s="14" t="inlineStr">
        <is>
          <t>Runtime error</t>
        </is>
      </c>
      <c r="Z46" s="14" t="inlineStr">
        <is>
          <t>Runtime error</t>
        </is>
      </c>
      <c r="AA46" s="14" t="inlineStr">
        <is>
          <t>Runtime error</t>
        </is>
      </c>
      <c r="AB46" s="14" t="inlineStr">
        <is>
          <t>Runtime error</t>
        </is>
      </c>
    </row>
    <row r="47">
      <c r="A47" s="2" t="inlineStr">
        <is>
          <t>issue_769</t>
        </is>
      </c>
      <c r="B47" s="13" t="inlineStr">
        <is>
          <t>NOT_TESTED</t>
        </is>
      </c>
      <c r="C47" s="13" t="inlineStr">
        <is>
          <t>NOT_TESTED</t>
        </is>
      </c>
      <c r="D47" s="13" t="inlineStr">
        <is>
          <t>NOT_TESTED</t>
        </is>
      </c>
      <c r="E47" s="13" t="inlineStr">
        <is>
          <t>NOT_TESTED</t>
        </is>
      </c>
      <c r="F47" s="13" t="inlineStr">
        <is>
          <t>NOT_TESTED</t>
        </is>
      </c>
      <c r="G47" s="13" t="inlineStr">
        <is>
          <t>NOT_TESTED</t>
        </is>
      </c>
      <c r="H47" s="13" t="inlineStr">
        <is>
          <t>NOT_TESTED</t>
        </is>
      </c>
      <c r="I47" s="13" t="inlineStr">
        <is>
          <t>NOT_TESTED</t>
        </is>
      </c>
      <c r="J47" s="13" t="inlineStr">
        <is>
          <t>NOT_TESTED</t>
        </is>
      </c>
      <c r="K47" s="13" t="inlineStr">
        <is>
          <t>NOT_TESTED</t>
        </is>
      </c>
      <c r="L47" s="13" t="inlineStr">
        <is>
          <t>NOT_TESTED</t>
        </is>
      </c>
      <c r="M47" s="13" t="inlineStr">
        <is>
          <t>NOT_TESTED</t>
        </is>
      </c>
      <c r="N47" s="14" t="inlineStr">
        <is>
          <t>Runtime error</t>
        </is>
      </c>
      <c r="O47" s="14" t="inlineStr">
        <is>
          <t>Runtime error</t>
        </is>
      </c>
      <c r="P47" s="14" t="inlineStr">
        <is>
          <t>Runtime error</t>
        </is>
      </c>
      <c r="Q47" s="14" t="inlineStr">
        <is>
          <t>Runtime error</t>
        </is>
      </c>
      <c r="R47" s="14" t="inlineStr">
        <is>
          <t>Runtime error</t>
        </is>
      </c>
      <c r="S47" s="14" t="inlineStr">
        <is>
          <t>Runtime error</t>
        </is>
      </c>
      <c r="T47" s="14" t="inlineStr">
        <is>
          <t>Runtime error</t>
        </is>
      </c>
      <c r="U47" s="14" t="inlineStr">
        <is>
          <t>Runtime error</t>
        </is>
      </c>
      <c r="V47" s="14" t="inlineStr">
        <is>
          <t>Runtime error</t>
        </is>
      </c>
      <c r="W47" s="14" t="inlineStr">
        <is>
          <t>Runtime error</t>
        </is>
      </c>
      <c r="X47" s="14" t="inlineStr">
        <is>
          <t>Runtime error</t>
        </is>
      </c>
      <c r="Y47" s="14" t="inlineStr">
        <is>
          <t>Runtime error</t>
        </is>
      </c>
      <c r="Z47" s="14" t="inlineStr">
        <is>
          <t>Runtime error</t>
        </is>
      </c>
      <c r="AA47" s="14" t="inlineStr">
        <is>
          <t>Runtime error</t>
        </is>
      </c>
      <c r="AB47" s="14" t="inlineStr">
        <is>
          <t>Runtime error</t>
        </is>
      </c>
    </row>
    <row r="48">
      <c r="A48" s="2" t="inlineStr">
        <is>
          <t>issue_773</t>
        </is>
      </c>
      <c r="B48" s="13" t="inlineStr">
        <is>
          <t>NOT_TESTED</t>
        </is>
      </c>
      <c r="C48" s="13" t="inlineStr">
        <is>
          <t>NOT_TESTED</t>
        </is>
      </c>
      <c r="D48" s="13" t="inlineStr">
        <is>
          <t>NOT_TESTED</t>
        </is>
      </c>
      <c r="E48" s="13" t="inlineStr">
        <is>
          <t>NOT_TESTED</t>
        </is>
      </c>
      <c r="F48" s="16" t="inlineStr">
        <is>
          <t>Passed on test</t>
        </is>
      </c>
      <c r="G48" s="16" t="inlineStr">
        <is>
          <t>Passed on test</t>
        </is>
      </c>
      <c r="H48" s="16" t="inlineStr">
        <is>
          <t>Passed on test</t>
        </is>
      </c>
      <c r="I48" s="16" t="inlineStr">
        <is>
          <t>Passed on test</t>
        </is>
      </c>
      <c r="J48" s="16" t="inlineStr">
        <is>
          <t>Passed on test</t>
        </is>
      </c>
      <c r="K48" s="16" t="inlineStr">
        <is>
          <t>Passed on test</t>
        </is>
      </c>
      <c r="L48" s="16" t="inlineStr">
        <is>
          <t>Passed on test</t>
        </is>
      </c>
      <c r="M48" s="16" t="inlineStr">
        <is>
          <t>Passed on test</t>
        </is>
      </c>
      <c r="N48" s="13" t="inlineStr">
        <is>
          <t>NOT_TESTED</t>
        </is>
      </c>
      <c r="O48" s="13" t="inlineStr">
        <is>
          <t>NOT_TESTED</t>
        </is>
      </c>
      <c r="P48" s="13" t="inlineStr">
        <is>
          <t>NOT_TESTED</t>
        </is>
      </c>
      <c r="Q48" s="13" t="inlineStr">
        <is>
          <t>NOT_TESTED</t>
        </is>
      </c>
      <c r="R48" s="13" t="inlineStr">
        <is>
          <t>NOT_TESTED</t>
        </is>
      </c>
      <c r="S48" s="13" t="inlineStr">
        <is>
          <t>NOT_TESTED</t>
        </is>
      </c>
      <c r="T48" s="13" t="inlineStr">
        <is>
          <t>NOT_TESTED</t>
        </is>
      </c>
      <c r="U48" s="13" t="inlineStr">
        <is>
          <t>NOT_TESTED</t>
        </is>
      </c>
      <c r="V48" s="13" t="inlineStr">
        <is>
          <t>NOT_TESTED</t>
        </is>
      </c>
      <c r="W48" s="13" t="inlineStr">
        <is>
          <t>NOT_TESTED</t>
        </is>
      </c>
      <c r="X48" s="13" t="inlineStr">
        <is>
          <t>NOT_TESTED</t>
        </is>
      </c>
      <c r="Y48" s="13" t="inlineStr">
        <is>
          <t>NOT_TESTED</t>
        </is>
      </c>
      <c r="Z48" s="13" t="inlineStr">
        <is>
          <t>NOT_TESTED</t>
        </is>
      </c>
      <c r="AA48" s="13" t="inlineStr">
        <is>
          <t>NOT_TESTED</t>
        </is>
      </c>
      <c r="AB48" s="13" t="inlineStr">
        <is>
          <t>NOT_TESTED</t>
        </is>
      </c>
    </row>
    <row r="49">
      <c r="A49" s="2" t="inlineStr">
        <is>
          <t>issue_775</t>
        </is>
      </c>
      <c r="B49" s="16" t="inlineStr">
        <is>
          <t>Runtime error</t>
        </is>
      </c>
      <c r="C49" s="16" t="inlineStr">
        <is>
          <t>Runtime error</t>
        </is>
      </c>
      <c r="D49" s="16" t="inlineStr">
        <is>
          <t>Runtime error</t>
        </is>
      </c>
      <c r="E49" s="16" t="inlineStr">
        <is>
          <t>Runtime error</t>
        </is>
      </c>
      <c r="F49" s="16" t="inlineStr">
        <is>
          <t>Runtime error</t>
        </is>
      </c>
      <c r="G49" s="16" t="inlineStr">
        <is>
          <t>Runtime error</t>
        </is>
      </c>
      <c r="H49" s="16" t="inlineStr">
        <is>
          <t>Runtime error</t>
        </is>
      </c>
      <c r="I49" s="16" t="inlineStr">
        <is>
          <t>Runtime error</t>
        </is>
      </c>
      <c r="J49" s="16" t="inlineStr">
        <is>
          <t>Runtime error</t>
        </is>
      </c>
      <c r="K49" s="16" t="inlineStr">
        <is>
          <t>Runtime error</t>
        </is>
      </c>
      <c r="L49" s="16" t="inlineStr">
        <is>
          <t>Runtime error</t>
        </is>
      </c>
      <c r="M49" s="16" t="inlineStr">
        <is>
          <t>Runtime error</t>
        </is>
      </c>
      <c r="N49" s="13" t="inlineStr">
        <is>
          <t>NOT_TESTED</t>
        </is>
      </c>
      <c r="O49" s="13" t="inlineStr">
        <is>
          <t>NOT_TESTED</t>
        </is>
      </c>
      <c r="P49" s="13" t="inlineStr">
        <is>
          <t>NOT_TESTED</t>
        </is>
      </c>
      <c r="Q49" s="13" t="inlineStr">
        <is>
          <t>NOT_TESTED</t>
        </is>
      </c>
      <c r="R49" s="13" t="inlineStr">
        <is>
          <t>NOT_TESTED</t>
        </is>
      </c>
      <c r="S49" s="13" t="inlineStr">
        <is>
          <t>NOT_TESTED</t>
        </is>
      </c>
      <c r="T49" s="13" t="inlineStr">
        <is>
          <t>NOT_TESTED</t>
        </is>
      </c>
      <c r="U49" s="13" t="inlineStr">
        <is>
          <t>NOT_TESTED</t>
        </is>
      </c>
      <c r="V49" s="13" t="inlineStr">
        <is>
          <t>NOT_TESTED</t>
        </is>
      </c>
      <c r="W49" s="13" t="inlineStr">
        <is>
          <t>NOT_TESTED</t>
        </is>
      </c>
      <c r="X49" s="13" t="inlineStr">
        <is>
          <t>NOT_TESTED</t>
        </is>
      </c>
      <c r="Y49" s="13" t="inlineStr">
        <is>
          <t>NOT_TESTED</t>
        </is>
      </c>
      <c r="Z49" s="13" t="inlineStr">
        <is>
          <t>NOT_TESTED</t>
        </is>
      </c>
      <c r="AA49" s="13" t="inlineStr">
        <is>
          <t>NOT_TESTED</t>
        </is>
      </c>
      <c r="AB49" s="13" t="inlineStr">
        <is>
          <t>NOT_TESTED</t>
        </is>
      </c>
    </row>
    <row r="50">
      <c r="A50" s="2" t="inlineStr">
        <is>
          <t>issue_795</t>
        </is>
      </c>
      <c r="B50" s="16" t="inlineStr">
        <is>
          <t>Passed on test</t>
        </is>
      </c>
      <c r="C50" s="16" t="inlineStr">
        <is>
          <t>Passed on test</t>
        </is>
      </c>
      <c r="D50" s="16" t="inlineStr">
        <is>
          <t>Passed on test</t>
        </is>
      </c>
      <c r="E50" s="16" t="inlineStr">
        <is>
          <t>Passed on test</t>
        </is>
      </c>
      <c r="F50" s="16" t="inlineStr">
        <is>
          <t>Passed on test</t>
        </is>
      </c>
      <c r="G50" s="16" t="inlineStr">
        <is>
          <t>Passed on test</t>
        </is>
      </c>
      <c r="H50" s="16" t="inlineStr">
        <is>
          <t>Passed on test</t>
        </is>
      </c>
      <c r="I50" s="16" t="inlineStr">
        <is>
          <t>Passed on test</t>
        </is>
      </c>
      <c r="J50" s="16" t="inlineStr">
        <is>
          <t>Passed on test</t>
        </is>
      </c>
      <c r="K50" s="16" t="inlineStr">
        <is>
          <t>Passed on test</t>
        </is>
      </c>
      <c r="L50" s="16" t="inlineStr">
        <is>
          <t>Passed on test</t>
        </is>
      </c>
      <c r="M50" s="16" t="inlineStr">
        <is>
          <t>Passed on test</t>
        </is>
      </c>
      <c r="N50" s="13" t="inlineStr">
        <is>
          <t>NOT_TESTED</t>
        </is>
      </c>
      <c r="O50" s="13" t="inlineStr">
        <is>
          <t>NOT_TESTED</t>
        </is>
      </c>
      <c r="P50" s="13" t="inlineStr">
        <is>
          <t>NOT_TESTED</t>
        </is>
      </c>
      <c r="Q50" s="13" t="inlineStr">
        <is>
          <t>NOT_TESTED</t>
        </is>
      </c>
      <c r="R50" s="13" t="inlineStr">
        <is>
          <t>NOT_TESTED</t>
        </is>
      </c>
      <c r="S50" s="13" t="inlineStr">
        <is>
          <t>NOT_TESTED</t>
        </is>
      </c>
      <c r="T50" s="13" t="inlineStr">
        <is>
          <t>NOT_TESTED</t>
        </is>
      </c>
      <c r="U50" s="13" t="inlineStr">
        <is>
          <t>NOT_TESTED</t>
        </is>
      </c>
      <c r="V50" s="13" t="inlineStr">
        <is>
          <t>NOT_TESTED</t>
        </is>
      </c>
      <c r="W50" s="13" t="inlineStr">
        <is>
          <t>NOT_TESTED</t>
        </is>
      </c>
      <c r="X50" s="13" t="inlineStr">
        <is>
          <t>NOT_TESTED</t>
        </is>
      </c>
      <c r="Y50" s="13" t="inlineStr">
        <is>
          <t>NOT_TESTED</t>
        </is>
      </c>
      <c r="Z50" s="13" t="inlineStr">
        <is>
          <t>NOT_TESTED</t>
        </is>
      </c>
      <c r="AA50" s="13" t="inlineStr">
        <is>
          <t>NOT_TESTED</t>
        </is>
      </c>
      <c r="AB50" s="13" t="inlineStr">
        <is>
          <t>NOT_TESTED</t>
        </is>
      </c>
    </row>
    <row r="51">
      <c r="A51" s="2" t="inlineStr">
        <is>
          <t>issue_803</t>
        </is>
      </c>
      <c r="B51" s="15" t="inlineStr">
        <is>
          <t>Failed on test</t>
        </is>
      </c>
      <c r="C51" s="15" t="inlineStr">
        <is>
          <t>Failed on test</t>
        </is>
      </c>
      <c r="D51" s="15" t="inlineStr">
        <is>
          <t>Failed on test</t>
        </is>
      </c>
      <c r="E51" s="15" t="inlineStr">
        <is>
          <t>Failed on test</t>
        </is>
      </c>
      <c r="F51" s="14" t="inlineStr">
        <is>
          <t>Runtime error</t>
        </is>
      </c>
      <c r="G51" s="14" t="inlineStr">
        <is>
          <t>Runtime error</t>
        </is>
      </c>
      <c r="H51" s="14" t="inlineStr">
        <is>
          <t>Runtime error</t>
        </is>
      </c>
      <c r="I51" s="14" t="inlineStr">
        <is>
          <t>Runtime error</t>
        </is>
      </c>
      <c r="J51" s="14" t="inlineStr">
        <is>
          <t>Runtime error</t>
        </is>
      </c>
      <c r="K51" s="14" t="inlineStr">
        <is>
          <t>Runtime error</t>
        </is>
      </c>
      <c r="L51" s="14" t="inlineStr">
        <is>
          <t>Runtime error</t>
        </is>
      </c>
      <c r="M51" s="14" t="inlineStr">
        <is>
          <t>Runtime error</t>
        </is>
      </c>
      <c r="N51" s="13" t="inlineStr">
        <is>
          <t>NOT_TESTED</t>
        </is>
      </c>
      <c r="O51" s="13" t="inlineStr">
        <is>
          <t>NOT_TESTED</t>
        </is>
      </c>
      <c r="P51" s="13" t="inlineStr">
        <is>
          <t>NOT_TESTED</t>
        </is>
      </c>
      <c r="Q51" s="13" t="inlineStr">
        <is>
          <t>NOT_TESTED</t>
        </is>
      </c>
      <c r="R51" s="13" t="inlineStr">
        <is>
          <t>NOT_TESTED</t>
        </is>
      </c>
      <c r="S51" s="13" t="inlineStr">
        <is>
          <t>NOT_TESTED</t>
        </is>
      </c>
      <c r="T51" s="13" t="inlineStr">
        <is>
          <t>NOT_TESTED</t>
        </is>
      </c>
      <c r="U51" s="13" t="inlineStr">
        <is>
          <t>NOT_TESTED</t>
        </is>
      </c>
      <c r="V51" s="13" t="inlineStr">
        <is>
          <t>NOT_TESTED</t>
        </is>
      </c>
      <c r="W51" s="13" t="inlineStr">
        <is>
          <t>NOT_TESTED</t>
        </is>
      </c>
      <c r="X51" s="13" t="inlineStr">
        <is>
          <t>NOT_TESTED</t>
        </is>
      </c>
      <c r="Y51" s="13" t="inlineStr">
        <is>
          <t>NOT_TESTED</t>
        </is>
      </c>
      <c r="Z51" s="13" t="inlineStr">
        <is>
          <t>NOT_TESTED</t>
        </is>
      </c>
      <c r="AA51" s="13" t="inlineStr">
        <is>
          <t>NOT_TESTED</t>
        </is>
      </c>
      <c r="AB51" s="13" t="inlineStr">
        <is>
          <t>NOT_TESTED</t>
        </is>
      </c>
    </row>
    <row r="52">
      <c r="A52" s="2" t="inlineStr">
        <is>
          <t>issue_810</t>
        </is>
      </c>
      <c r="B52" s="13" t="inlineStr">
        <is>
          <t>NOT_TESTED</t>
        </is>
      </c>
      <c r="C52" s="13" t="inlineStr">
        <is>
          <t>NOT_TESTED</t>
        </is>
      </c>
      <c r="D52" s="13" t="inlineStr">
        <is>
          <t>NOT_TESTED</t>
        </is>
      </c>
      <c r="E52" s="13" t="inlineStr">
        <is>
          <t>NOT_TESTED</t>
        </is>
      </c>
      <c r="F52" s="13" t="inlineStr">
        <is>
          <t>NOT_TESTED</t>
        </is>
      </c>
      <c r="G52" s="16" t="inlineStr">
        <is>
          <t>Failed on test</t>
        </is>
      </c>
      <c r="H52" s="13" t="inlineStr">
        <is>
          <t>NOT_TESTED</t>
        </is>
      </c>
      <c r="I52" s="13" t="inlineStr">
        <is>
          <t>NOT_TESTED</t>
        </is>
      </c>
      <c r="J52" s="13" t="inlineStr">
        <is>
          <t>NOT_TESTED</t>
        </is>
      </c>
      <c r="K52" s="13" t="inlineStr">
        <is>
          <t>NOT_TESTED</t>
        </is>
      </c>
      <c r="L52" s="16" t="inlineStr">
        <is>
          <t>Failed on test</t>
        </is>
      </c>
      <c r="M52" s="13" t="inlineStr">
        <is>
          <t>NOT_TESTED</t>
        </is>
      </c>
      <c r="N52" s="13" t="inlineStr">
        <is>
          <t>NOT_TESTED</t>
        </is>
      </c>
      <c r="O52" s="13" t="inlineStr">
        <is>
          <t>NOT_TESTED</t>
        </is>
      </c>
      <c r="P52" s="13" t="inlineStr">
        <is>
          <t>NOT_TESTED</t>
        </is>
      </c>
      <c r="Q52" s="13" t="inlineStr">
        <is>
          <t>NOT_TESTED</t>
        </is>
      </c>
      <c r="R52" s="13" t="inlineStr">
        <is>
          <t>NOT_TESTED</t>
        </is>
      </c>
      <c r="S52" s="13" t="inlineStr">
        <is>
          <t>NOT_TESTED</t>
        </is>
      </c>
      <c r="T52" s="13" t="inlineStr">
        <is>
          <t>NOT_TESTED</t>
        </is>
      </c>
      <c r="U52" s="13" t="inlineStr">
        <is>
          <t>NOT_TESTED</t>
        </is>
      </c>
      <c r="V52" s="13" t="inlineStr">
        <is>
          <t>NOT_TESTED</t>
        </is>
      </c>
      <c r="W52" s="13" t="inlineStr">
        <is>
          <t>NOT_TESTED</t>
        </is>
      </c>
      <c r="X52" s="13" t="inlineStr">
        <is>
          <t>NOT_TESTED</t>
        </is>
      </c>
      <c r="Y52" s="13" t="inlineStr">
        <is>
          <t>NOT_TESTED</t>
        </is>
      </c>
      <c r="Z52" s="13" t="inlineStr">
        <is>
          <t>NOT_TESTED</t>
        </is>
      </c>
      <c r="AA52" s="13" t="inlineStr">
        <is>
          <t>NOT_TESTED</t>
        </is>
      </c>
      <c r="AB52" s="13" t="inlineStr">
        <is>
          <t>NOT_TESTED</t>
        </is>
      </c>
    </row>
    <row r="53">
      <c r="A53" s="2" t="inlineStr">
        <is>
          <t>issue_816</t>
        </is>
      </c>
      <c r="B53" s="13" t="inlineStr">
        <is>
          <t>NOT_TESTED</t>
        </is>
      </c>
      <c r="C53" s="13" t="inlineStr">
        <is>
          <t>NOT_TESTED</t>
        </is>
      </c>
      <c r="D53" s="13" t="inlineStr">
        <is>
          <t>NOT_TESTED</t>
        </is>
      </c>
      <c r="E53" s="13" t="inlineStr">
        <is>
          <t>NOT_TESTED</t>
        </is>
      </c>
      <c r="F53" s="16" t="inlineStr">
        <is>
          <t>Passed on test</t>
        </is>
      </c>
      <c r="G53" s="16" t="inlineStr">
        <is>
          <t>Passed on test</t>
        </is>
      </c>
      <c r="H53" s="16" t="inlineStr">
        <is>
          <t>Passed on test</t>
        </is>
      </c>
      <c r="I53" s="16" t="inlineStr">
        <is>
          <t>Passed on test</t>
        </is>
      </c>
      <c r="J53" s="16" t="inlineStr">
        <is>
          <t>Passed on test</t>
        </is>
      </c>
      <c r="K53" s="16" t="inlineStr">
        <is>
          <t>Passed on test</t>
        </is>
      </c>
      <c r="L53" s="16" t="inlineStr">
        <is>
          <t>Passed on test</t>
        </is>
      </c>
      <c r="M53" s="16" t="inlineStr">
        <is>
          <t>Passed on test</t>
        </is>
      </c>
      <c r="N53" s="16" t="inlineStr">
        <is>
          <t>Passed on test</t>
        </is>
      </c>
      <c r="O53" s="16" t="inlineStr">
        <is>
          <t>Passed on test</t>
        </is>
      </c>
      <c r="P53" s="16" t="inlineStr">
        <is>
          <t>Passed on test</t>
        </is>
      </c>
      <c r="Q53" s="16" t="inlineStr">
        <is>
          <t>Passed on test</t>
        </is>
      </c>
      <c r="R53" s="16" t="inlineStr">
        <is>
          <t>Passed on test</t>
        </is>
      </c>
      <c r="S53" s="16" t="inlineStr">
        <is>
          <t>Passed on test</t>
        </is>
      </c>
      <c r="T53" s="16" t="inlineStr">
        <is>
          <t>Passed on test</t>
        </is>
      </c>
      <c r="U53" s="16" t="inlineStr">
        <is>
          <t>Passed on test</t>
        </is>
      </c>
      <c r="V53" s="16" t="inlineStr">
        <is>
          <t>Passed on test</t>
        </is>
      </c>
      <c r="W53" s="16" t="inlineStr">
        <is>
          <t>Passed on test</t>
        </is>
      </c>
      <c r="X53" s="16" t="inlineStr">
        <is>
          <t>Passed on test</t>
        </is>
      </c>
      <c r="Y53" s="16" t="inlineStr">
        <is>
          <t>Passed on test</t>
        </is>
      </c>
      <c r="Z53" s="16" t="inlineStr">
        <is>
          <t>Passed on test</t>
        </is>
      </c>
      <c r="AA53" s="16" t="inlineStr">
        <is>
          <t>Passed on test</t>
        </is>
      </c>
      <c r="AB53" s="16" t="inlineStr">
        <is>
          <t>Passed on test</t>
        </is>
      </c>
    </row>
    <row r="54">
      <c r="A54" s="2" t="inlineStr">
        <is>
          <t>issue_876</t>
        </is>
      </c>
      <c r="B54" s="13" t="inlineStr">
        <is>
          <t>NOT_TESTED</t>
        </is>
      </c>
      <c r="C54" s="13" t="inlineStr">
        <is>
          <t>NOT_TESTED</t>
        </is>
      </c>
      <c r="D54" s="13" t="inlineStr">
        <is>
          <t>NOT_TESTED</t>
        </is>
      </c>
      <c r="E54" s="13" t="inlineStr">
        <is>
          <t>NOT_TESTED</t>
        </is>
      </c>
      <c r="F54" s="13" t="inlineStr">
        <is>
          <t>NOT_TESTED</t>
        </is>
      </c>
      <c r="G54" s="13" t="inlineStr">
        <is>
          <t>NOT_TESTED</t>
        </is>
      </c>
      <c r="H54" s="13" t="inlineStr">
        <is>
          <t>NOT_TESTED</t>
        </is>
      </c>
      <c r="I54" s="13" t="inlineStr">
        <is>
          <t>NOT_TESTED</t>
        </is>
      </c>
      <c r="J54" s="13" t="inlineStr">
        <is>
          <t>NOT_TESTED</t>
        </is>
      </c>
      <c r="K54" s="13" t="inlineStr">
        <is>
          <t>NOT_TESTED</t>
        </is>
      </c>
      <c r="L54" s="13" t="inlineStr">
        <is>
          <t>NOT_TESTED</t>
        </is>
      </c>
      <c r="M54" s="13" t="inlineStr">
        <is>
          <t>NOT_TESTED</t>
        </is>
      </c>
      <c r="N54" s="14" t="inlineStr">
        <is>
          <t>Runtime error</t>
        </is>
      </c>
      <c r="O54" s="14" t="inlineStr">
        <is>
          <t>Runtime error</t>
        </is>
      </c>
      <c r="P54" s="14" t="inlineStr">
        <is>
          <t>Runtime error</t>
        </is>
      </c>
      <c r="Q54" s="14" t="inlineStr">
        <is>
          <t>Runtime error</t>
        </is>
      </c>
      <c r="R54" s="14" t="inlineStr">
        <is>
          <t>Runtime error</t>
        </is>
      </c>
      <c r="S54" s="14" t="inlineStr">
        <is>
          <t>Runtime error</t>
        </is>
      </c>
      <c r="T54" s="14" t="inlineStr">
        <is>
          <t>Runtime error</t>
        </is>
      </c>
      <c r="U54" s="14" t="inlineStr">
        <is>
          <t>Runtime error</t>
        </is>
      </c>
      <c r="V54" s="14" t="inlineStr">
        <is>
          <t>Runtime error</t>
        </is>
      </c>
      <c r="W54" s="14" t="inlineStr">
        <is>
          <t>Runtime error</t>
        </is>
      </c>
      <c r="X54" s="14" t="inlineStr">
        <is>
          <t>Runtime error</t>
        </is>
      </c>
      <c r="Y54" s="14" t="inlineStr">
        <is>
          <t>Runtime error</t>
        </is>
      </c>
      <c r="Z54" s="14" t="inlineStr">
        <is>
          <t>Runtime error</t>
        </is>
      </c>
      <c r="AA54" s="14" t="inlineStr">
        <is>
          <t>Runtime error</t>
        </is>
      </c>
      <c r="AB54" s="14" t="inlineStr">
        <is>
          <t>Runtime error</t>
        </is>
      </c>
    </row>
    <row r="55">
      <c r="A55" s="2" t="inlineStr">
        <is>
          <t>issue_877</t>
        </is>
      </c>
      <c r="B55" s="13" t="inlineStr">
        <is>
          <t>NOT_TESTED</t>
        </is>
      </c>
      <c r="C55" s="13" t="inlineStr">
        <is>
          <t>NOT_TESTED</t>
        </is>
      </c>
      <c r="D55" s="13" t="inlineStr">
        <is>
          <t>NOT_TESTED</t>
        </is>
      </c>
      <c r="E55" s="13" t="inlineStr">
        <is>
          <t>NOT_TESTED</t>
        </is>
      </c>
      <c r="F55" s="14" t="inlineStr">
        <is>
          <t>Runtime error</t>
        </is>
      </c>
      <c r="G55" s="14" t="inlineStr">
        <is>
          <t>Runtime error</t>
        </is>
      </c>
      <c r="H55" s="14" t="inlineStr">
        <is>
          <t>Runtime error</t>
        </is>
      </c>
      <c r="I55" s="14" t="inlineStr">
        <is>
          <t>Runtime error</t>
        </is>
      </c>
      <c r="J55" s="14" t="inlineStr">
        <is>
          <t>Runtime error</t>
        </is>
      </c>
      <c r="K55" s="14" t="inlineStr">
        <is>
          <t>Runtime error</t>
        </is>
      </c>
      <c r="L55" s="14" t="inlineStr">
        <is>
          <t>Runtime error</t>
        </is>
      </c>
      <c r="M55" s="14" t="inlineStr">
        <is>
          <t>Runtime error</t>
        </is>
      </c>
      <c r="N55" s="13" t="inlineStr">
        <is>
          <t>NOT_TESTED</t>
        </is>
      </c>
      <c r="O55" s="13" t="inlineStr">
        <is>
          <t>NOT_TESTED</t>
        </is>
      </c>
      <c r="P55" s="13" t="inlineStr">
        <is>
          <t>NOT_TESTED</t>
        </is>
      </c>
      <c r="Q55" s="13" t="inlineStr">
        <is>
          <t>NOT_TESTED</t>
        </is>
      </c>
      <c r="R55" s="13" t="inlineStr">
        <is>
          <t>NOT_TESTED</t>
        </is>
      </c>
      <c r="S55" s="13" t="inlineStr">
        <is>
          <t>NOT_TESTED</t>
        </is>
      </c>
      <c r="T55" s="13" t="inlineStr">
        <is>
          <t>NOT_TESTED</t>
        </is>
      </c>
      <c r="U55" s="13" t="inlineStr">
        <is>
          <t>NOT_TESTED</t>
        </is>
      </c>
      <c r="V55" s="13" t="inlineStr">
        <is>
          <t>NOT_TESTED</t>
        </is>
      </c>
      <c r="W55" s="13" t="inlineStr">
        <is>
          <t>NOT_TESTED</t>
        </is>
      </c>
      <c r="X55" s="13" t="inlineStr">
        <is>
          <t>NOT_TESTED</t>
        </is>
      </c>
      <c r="Y55" s="13" t="inlineStr">
        <is>
          <t>NOT_TESTED</t>
        </is>
      </c>
      <c r="Z55" s="13" t="inlineStr">
        <is>
          <t>NOT_TESTED</t>
        </is>
      </c>
      <c r="AA55" s="13" t="inlineStr">
        <is>
          <t>NOT_TESTED</t>
        </is>
      </c>
      <c r="AB55" s="13" t="inlineStr">
        <is>
          <t>NOT_TESTED</t>
        </is>
      </c>
    </row>
    <row r="56">
      <c r="A56" s="2" t="inlineStr">
        <is>
          <t>issue_886</t>
        </is>
      </c>
      <c r="B56" s="13" t="inlineStr">
        <is>
          <t>NOT_TESTED</t>
        </is>
      </c>
      <c r="C56" s="13" t="inlineStr">
        <is>
          <t>NOT_TESTED</t>
        </is>
      </c>
      <c r="D56" s="13" t="inlineStr">
        <is>
          <t>NOT_TESTED</t>
        </is>
      </c>
      <c r="E56" s="13" t="inlineStr">
        <is>
          <t>NOT_TESTED</t>
        </is>
      </c>
      <c r="F56" s="16" t="inlineStr">
        <is>
          <t>Failed on test</t>
        </is>
      </c>
      <c r="G56" s="16" t="inlineStr">
        <is>
          <t>Failed on test</t>
        </is>
      </c>
      <c r="H56" s="13" t="inlineStr">
        <is>
          <t>NOT_TESTED</t>
        </is>
      </c>
      <c r="I56" s="13" t="inlineStr">
        <is>
          <t>NOT_TESTED</t>
        </is>
      </c>
      <c r="J56" s="13" t="inlineStr">
        <is>
          <t>NOT_TESTED</t>
        </is>
      </c>
      <c r="K56" s="13" t="inlineStr">
        <is>
          <t>NOT_TESTED</t>
        </is>
      </c>
      <c r="L56" s="13" t="inlineStr">
        <is>
          <t>NOT_TESTED</t>
        </is>
      </c>
      <c r="M56" s="13" t="inlineStr">
        <is>
          <t>NOT_TESTED</t>
        </is>
      </c>
      <c r="N56" s="13" t="inlineStr">
        <is>
          <t>NOT_TESTED</t>
        </is>
      </c>
      <c r="O56" s="13" t="inlineStr">
        <is>
          <t>NOT_TESTED</t>
        </is>
      </c>
      <c r="P56" s="13" t="inlineStr">
        <is>
          <t>NOT_TESTED</t>
        </is>
      </c>
      <c r="Q56" s="13" t="inlineStr">
        <is>
          <t>NOT_TESTED</t>
        </is>
      </c>
      <c r="R56" s="13" t="inlineStr">
        <is>
          <t>NOT_TESTED</t>
        </is>
      </c>
      <c r="S56" s="13" t="inlineStr">
        <is>
          <t>NOT_TESTED</t>
        </is>
      </c>
      <c r="T56" s="13" t="inlineStr">
        <is>
          <t>NOT_TESTED</t>
        </is>
      </c>
      <c r="U56" s="13" t="inlineStr">
        <is>
          <t>NOT_TESTED</t>
        </is>
      </c>
      <c r="V56" s="13" t="inlineStr">
        <is>
          <t>NOT_TESTED</t>
        </is>
      </c>
      <c r="W56" s="13" t="inlineStr">
        <is>
          <t>NOT_TESTED</t>
        </is>
      </c>
      <c r="X56" s="13" t="inlineStr">
        <is>
          <t>NOT_TESTED</t>
        </is>
      </c>
      <c r="Y56" s="13" t="inlineStr">
        <is>
          <t>NOT_TESTED</t>
        </is>
      </c>
      <c r="Z56" s="13" t="inlineStr">
        <is>
          <t>NOT_TESTED</t>
        </is>
      </c>
      <c r="AA56" s="13" t="inlineStr">
        <is>
          <t>NOT_TESTED</t>
        </is>
      </c>
      <c r="AB56" s="13" t="inlineStr">
        <is>
          <t>NOT_TESTED</t>
        </is>
      </c>
    </row>
    <row r="57">
      <c r="A57" s="2" t="inlineStr">
        <is>
          <t>issue_889</t>
        </is>
      </c>
      <c r="B57" s="14" t="inlineStr">
        <is>
          <t>Runtime error</t>
        </is>
      </c>
      <c r="C57" s="14" t="inlineStr">
        <is>
          <t>Runtime error</t>
        </is>
      </c>
      <c r="D57" s="14" t="inlineStr">
        <is>
          <t>Runtime error</t>
        </is>
      </c>
      <c r="E57" s="14" t="inlineStr">
        <is>
          <t>Runtime error</t>
        </is>
      </c>
      <c r="F57" s="15" t="inlineStr">
        <is>
          <t>Failed on test</t>
        </is>
      </c>
      <c r="G57" s="15" t="inlineStr">
        <is>
          <t>Failed on test</t>
        </is>
      </c>
      <c r="H57" s="15" t="inlineStr">
        <is>
          <t>Failed on test</t>
        </is>
      </c>
      <c r="I57" s="15" t="inlineStr">
        <is>
          <t>Failed on test</t>
        </is>
      </c>
      <c r="J57" s="15" t="inlineStr">
        <is>
          <t>Failed on test</t>
        </is>
      </c>
      <c r="K57" s="15" t="inlineStr">
        <is>
          <t>Failed on test</t>
        </is>
      </c>
      <c r="L57" s="15" t="inlineStr">
        <is>
          <t>Failed on test</t>
        </is>
      </c>
      <c r="M57" s="15" t="inlineStr">
        <is>
          <t>Failed on test</t>
        </is>
      </c>
      <c r="N57" s="13" t="inlineStr">
        <is>
          <t>NOT_TESTED</t>
        </is>
      </c>
      <c r="O57" s="13" t="inlineStr">
        <is>
          <t>NOT_TESTED</t>
        </is>
      </c>
      <c r="P57" s="13" t="inlineStr">
        <is>
          <t>NOT_TESTED</t>
        </is>
      </c>
      <c r="Q57" s="13" t="inlineStr">
        <is>
          <t>NOT_TESTED</t>
        </is>
      </c>
      <c r="R57" s="13" t="inlineStr">
        <is>
          <t>NOT_TESTED</t>
        </is>
      </c>
      <c r="S57" s="13" t="inlineStr">
        <is>
          <t>NOT_TESTED</t>
        </is>
      </c>
      <c r="T57" s="13" t="inlineStr">
        <is>
          <t>NOT_TESTED</t>
        </is>
      </c>
      <c r="U57" s="13" t="inlineStr">
        <is>
          <t>NOT_TESTED</t>
        </is>
      </c>
      <c r="V57" s="13" t="inlineStr">
        <is>
          <t>NOT_TESTED</t>
        </is>
      </c>
      <c r="W57" s="13" t="inlineStr">
        <is>
          <t>NOT_TESTED</t>
        </is>
      </c>
      <c r="X57" s="13" t="inlineStr">
        <is>
          <t>NOT_TESTED</t>
        </is>
      </c>
      <c r="Y57" s="13" t="inlineStr">
        <is>
          <t>NOT_TESTED</t>
        </is>
      </c>
      <c r="Z57" s="13" t="inlineStr">
        <is>
          <t>NOT_TESTED</t>
        </is>
      </c>
      <c r="AA57" s="13" t="inlineStr">
        <is>
          <t>NOT_TESTED</t>
        </is>
      </c>
      <c r="AB57" s="13" t="inlineStr">
        <is>
          <t>NOT_TESTED</t>
        </is>
      </c>
    </row>
    <row r="58">
      <c r="A58" s="2" t="inlineStr">
        <is>
          <t>issue_911</t>
        </is>
      </c>
      <c r="B58" s="13" t="inlineStr">
        <is>
          <t>NOT_TESTED</t>
        </is>
      </c>
      <c r="C58" s="13" t="inlineStr">
        <is>
          <t>NOT_TESTED</t>
        </is>
      </c>
      <c r="D58" s="13" t="inlineStr">
        <is>
          <t>NOT_TESTED</t>
        </is>
      </c>
      <c r="E58" s="13" t="inlineStr">
        <is>
          <t>NOT_TESTED</t>
        </is>
      </c>
      <c r="F58" s="16" t="inlineStr">
        <is>
          <t>Runtime error</t>
        </is>
      </c>
      <c r="G58" s="16" t="inlineStr">
        <is>
          <t>Runtime error</t>
        </is>
      </c>
      <c r="H58" s="16" t="inlineStr">
        <is>
          <t>Runtime error</t>
        </is>
      </c>
      <c r="I58" s="16" t="inlineStr">
        <is>
          <t>Runtime error</t>
        </is>
      </c>
      <c r="J58" s="16" t="inlineStr">
        <is>
          <t>Runtime error</t>
        </is>
      </c>
      <c r="K58" s="16" t="inlineStr">
        <is>
          <t>Runtime error</t>
        </is>
      </c>
      <c r="L58" s="16" t="inlineStr">
        <is>
          <t>Runtime error</t>
        </is>
      </c>
      <c r="M58" s="16" t="inlineStr">
        <is>
          <t>Runtime error</t>
        </is>
      </c>
      <c r="N58" s="16" t="inlineStr">
        <is>
          <t>Runtime error</t>
        </is>
      </c>
      <c r="O58" s="16" t="inlineStr">
        <is>
          <t>Runtime error</t>
        </is>
      </c>
      <c r="P58" s="16" t="inlineStr">
        <is>
          <t>Runtime error</t>
        </is>
      </c>
      <c r="Q58" s="16" t="inlineStr">
        <is>
          <t>Runtime error</t>
        </is>
      </c>
      <c r="R58" s="16" t="inlineStr">
        <is>
          <t>Runtime error</t>
        </is>
      </c>
      <c r="S58" s="16" t="inlineStr">
        <is>
          <t>Runtime error</t>
        </is>
      </c>
      <c r="T58" s="16" t="inlineStr">
        <is>
          <t>Runtime error</t>
        </is>
      </c>
      <c r="U58" s="16" t="inlineStr">
        <is>
          <t>Runtime error</t>
        </is>
      </c>
      <c r="V58" s="16" t="inlineStr">
        <is>
          <t>Runtime error</t>
        </is>
      </c>
      <c r="W58" s="16" t="inlineStr">
        <is>
          <t>Runtime error</t>
        </is>
      </c>
      <c r="X58" s="16" t="inlineStr">
        <is>
          <t>Runtime error</t>
        </is>
      </c>
      <c r="Y58" s="16" t="inlineStr">
        <is>
          <t>Runtime error</t>
        </is>
      </c>
      <c r="Z58" s="16" t="inlineStr">
        <is>
          <t>Runtime error</t>
        </is>
      </c>
      <c r="AA58" s="16" t="inlineStr">
        <is>
          <t>Runtime error</t>
        </is>
      </c>
      <c r="AB58" s="16" t="inlineStr">
        <is>
          <t>Runtime error</t>
        </is>
      </c>
    </row>
    <row r="59">
      <c r="A59" s="2" t="inlineStr">
        <is>
          <t>issue_925</t>
        </is>
      </c>
      <c r="B59" s="14" t="inlineStr">
        <is>
          <t>Runtime error</t>
        </is>
      </c>
      <c r="C59" s="14" t="inlineStr">
        <is>
          <t>Runtime error</t>
        </is>
      </c>
      <c r="D59" s="14" t="inlineStr">
        <is>
          <t>Runtime error</t>
        </is>
      </c>
      <c r="E59" s="14" t="inlineStr">
        <is>
          <t>Runtime error</t>
        </is>
      </c>
      <c r="F59" s="13" t="inlineStr">
        <is>
          <t>NOT_TESTED</t>
        </is>
      </c>
      <c r="G59" s="13" t="inlineStr">
        <is>
          <t>NOT_TESTED</t>
        </is>
      </c>
      <c r="H59" s="13" t="inlineStr">
        <is>
          <t>NOT_TESTED</t>
        </is>
      </c>
      <c r="I59" s="13" t="inlineStr">
        <is>
          <t>NOT_TESTED</t>
        </is>
      </c>
      <c r="J59" s="13" t="inlineStr">
        <is>
          <t>NOT_TESTED</t>
        </is>
      </c>
      <c r="K59" s="13" t="inlineStr">
        <is>
          <t>NOT_TESTED</t>
        </is>
      </c>
      <c r="L59" s="13" t="inlineStr">
        <is>
          <t>NOT_TESTED</t>
        </is>
      </c>
      <c r="M59" s="13" t="inlineStr">
        <is>
          <t>NOT_TESTED</t>
        </is>
      </c>
      <c r="N59" s="13" t="inlineStr">
        <is>
          <t>NOT_TESTED</t>
        </is>
      </c>
      <c r="O59" s="13" t="inlineStr">
        <is>
          <t>NOT_TESTED</t>
        </is>
      </c>
      <c r="P59" s="13" t="inlineStr">
        <is>
          <t>NOT_TESTED</t>
        </is>
      </c>
      <c r="Q59" s="13" t="inlineStr">
        <is>
          <t>NOT_TESTED</t>
        </is>
      </c>
      <c r="R59" s="13" t="inlineStr">
        <is>
          <t>NOT_TESTED</t>
        </is>
      </c>
      <c r="S59" s="13" t="inlineStr">
        <is>
          <t>NOT_TESTED</t>
        </is>
      </c>
      <c r="T59" s="13" t="inlineStr">
        <is>
          <t>NOT_TESTED</t>
        </is>
      </c>
      <c r="U59" s="13" t="inlineStr">
        <is>
          <t>NOT_TESTED</t>
        </is>
      </c>
      <c r="V59" s="13" t="inlineStr">
        <is>
          <t>NOT_TESTED</t>
        </is>
      </c>
      <c r="W59" s="13" t="inlineStr">
        <is>
          <t>NOT_TESTED</t>
        </is>
      </c>
      <c r="X59" s="13" t="inlineStr">
        <is>
          <t>NOT_TESTED</t>
        </is>
      </c>
      <c r="Y59" s="13" t="inlineStr">
        <is>
          <t>NOT_TESTED</t>
        </is>
      </c>
      <c r="Z59" s="13" t="inlineStr">
        <is>
          <t>NOT_TESTED</t>
        </is>
      </c>
      <c r="AA59" s="13" t="inlineStr">
        <is>
          <t>NOT_TESTED</t>
        </is>
      </c>
      <c r="AB59" s="13" t="inlineStr">
        <is>
          <t>NOT_TESTED</t>
        </is>
      </c>
    </row>
    <row r="60">
      <c r="A60" s="2" t="inlineStr">
        <is>
          <t>issue_944</t>
        </is>
      </c>
      <c r="B60" s="16" t="inlineStr">
        <is>
          <t>Runtime error</t>
        </is>
      </c>
      <c r="C60" s="16" t="inlineStr">
        <is>
          <t>Runtime error</t>
        </is>
      </c>
      <c r="D60" s="16" t="inlineStr">
        <is>
          <t>Runtime error</t>
        </is>
      </c>
      <c r="E60" s="16" t="inlineStr">
        <is>
          <t>Runtime error</t>
        </is>
      </c>
      <c r="F60" s="16" t="inlineStr">
        <is>
          <t>Runtime error</t>
        </is>
      </c>
      <c r="G60" s="16" t="inlineStr">
        <is>
          <t>Runtime error</t>
        </is>
      </c>
      <c r="H60" s="16" t="inlineStr">
        <is>
          <t>Runtime error</t>
        </is>
      </c>
      <c r="I60" s="16" t="inlineStr">
        <is>
          <t>Runtime error</t>
        </is>
      </c>
      <c r="J60" s="16" t="inlineStr">
        <is>
          <t>Runtime error</t>
        </is>
      </c>
      <c r="K60" s="16" t="inlineStr">
        <is>
          <t>Runtime error</t>
        </is>
      </c>
      <c r="L60" s="16" t="inlineStr">
        <is>
          <t>Runtime error</t>
        </is>
      </c>
      <c r="M60" s="16" t="inlineStr">
        <is>
          <t>Runtime error</t>
        </is>
      </c>
      <c r="N60" s="13" t="inlineStr">
        <is>
          <t>NOT_TESTED</t>
        </is>
      </c>
      <c r="O60" s="13" t="inlineStr">
        <is>
          <t>NOT_TESTED</t>
        </is>
      </c>
      <c r="P60" s="13" t="inlineStr">
        <is>
          <t>NOT_TESTED</t>
        </is>
      </c>
      <c r="Q60" s="13" t="inlineStr">
        <is>
          <t>NOT_TESTED</t>
        </is>
      </c>
      <c r="R60" s="13" t="inlineStr">
        <is>
          <t>NOT_TESTED</t>
        </is>
      </c>
      <c r="S60" s="13" t="inlineStr">
        <is>
          <t>NOT_TESTED</t>
        </is>
      </c>
      <c r="T60" s="13" t="inlineStr">
        <is>
          <t>NOT_TESTED</t>
        </is>
      </c>
      <c r="U60" s="13" t="inlineStr">
        <is>
          <t>NOT_TESTED</t>
        </is>
      </c>
      <c r="V60" s="13" t="inlineStr">
        <is>
          <t>NOT_TESTED</t>
        </is>
      </c>
      <c r="W60" s="13" t="inlineStr">
        <is>
          <t>NOT_TESTED</t>
        </is>
      </c>
      <c r="X60" s="13" t="inlineStr">
        <is>
          <t>NOT_TESTED</t>
        </is>
      </c>
      <c r="Y60" s="13" t="inlineStr">
        <is>
          <t>NOT_TESTED</t>
        </is>
      </c>
      <c r="Z60" s="13" t="inlineStr">
        <is>
          <t>NOT_TESTED</t>
        </is>
      </c>
      <c r="AA60" s="13" t="inlineStr">
        <is>
          <t>NOT_TESTED</t>
        </is>
      </c>
      <c r="AB60" s="13" t="inlineStr">
        <is>
          <t>NOT_TESTED</t>
        </is>
      </c>
    </row>
    <row r="61">
      <c r="A61" s="2" t="inlineStr">
        <is>
          <t>issue_950</t>
        </is>
      </c>
      <c r="B61" s="15" t="inlineStr">
        <is>
          <t>Failed on test</t>
        </is>
      </c>
      <c r="C61" s="15" t="inlineStr">
        <is>
          <t>Failed on test</t>
        </is>
      </c>
      <c r="D61" s="15" t="inlineStr">
        <is>
          <t>Failed on test</t>
        </is>
      </c>
      <c r="E61" s="15" t="inlineStr">
        <is>
          <t>Failed on test</t>
        </is>
      </c>
      <c r="F61" s="15" t="inlineStr">
        <is>
          <t>Failed on test</t>
        </is>
      </c>
      <c r="G61" s="15" t="inlineStr">
        <is>
          <t>Failed on test</t>
        </is>
      </c>
      <c r="H61" s="15" t="inlineStr">
        <is>
          <t>Failed on test</t>
        </is>
      </c>
      <c r="I61" s="15" t="inlineStr">
        <is>
          <t>Failed on test</t>
        </is>
      </c>
      <c r="J61" s="15" t="inlineStr">
        <is>
          <t>Failed on test</t>
        </is>
      </c>
      <c r="K61" s="15" t="inlineStr">
        <is>
          <t>Failed on test</t>
        </is>
      </c>
      <c r="L61" s="15" t="inlineStr">
        <is>
          <t>Failed on test</t>
        </is>
      </c>
      <c r="M61" s="15" t="inlineStr">
        <is>
          <t>Failed on test</t>
        </is>
      </c>
      <c r="N61" s="15" t="inlineStr">
        <is>
          <t>Failed on test</t>
        </is>
      </c>
      <c r="O61" s="15" t="inlineStr">
        <is>
          <t>Failed on test</t>
        </is>
      </c>
      <c r="P61" s="15" t="inlineStr">
        <is>
          <t>Failed on test</t>
        </is>
      </c>
      <c r="Q61" s="15" t="inlineStr">
        <is>
          <t>Failed on test</t>
        </is>
      </c>
      <c r="R61" s="15" t="inlineStr">
        <is>
          <t>Failed on test</t>
        </is>
      </c>
      <c r="S61" s="15" t="inlineStr">
        <is>
          <t>Failed on test</t>
        </is>
      </c>
      <c r="T61" s="15" t="inlineStr">
        <is>
          <t>Failed on test</t>
        </is>
      </c>
      <c r="U61" s="15" t="inlineStr">
        <is>
          <t>Failed on test</t>
        </is>
      </c>
      <c r="V61" s="15" t="inlineStr">
        <is>
          <t>Failed on test</t>
        </is>
      </c>
      <c r="W61" s="15" t="inlineStr">
        <is>
          <t>Failed on test</t>
        </is>
      </c>
      <c r="X61" s="15" t="inlineStr">
        <is>
          <t>Failed on test</t>
        </is>
      </c>
      <c r="Y61" s="15" t="inlineStr">
        <is>
          <t>Failed on test</t>
        </is>
      </c>
      <c r="Z61" s="15" t="inlineStr">
        <is>
          <t>Failed on test</t>
        </is>
      </c>
      <c r="AA61" s="15" t="inlineStr">
        <is>
          <t>Failed on test</t>
        </is>
      </c>
      <c r="AB61" s="15" t="inlineStr">
        <is>
          <t>Failed on test</t>
        </is>
      </c>
    </row>
    <row r="62">
      <c r="A62" s="2" t="inlineStr">
        <is>
          <t>issue_958</t>
        </is>
      </c>
      <c r="B62" s="13" t="inlineStr">
        <is>
          <t>NOT_TESTED</t>
        </is>
      </c>
      <c r="C62" s="13" t="inlineStr">
        <is>
          <t>NOT_TESTED</t>
        </is>
      </c>
      <c r="D62" s="13" t="inlineStr">
        <is>
          <t>NOT_TESTED</t>
        </is>
      </c>
      <c r="E62" s="13" t="inlineStr">
        <is>
          <t>NOT_TESTED</t>
        </is>
      </c>
      <c r="F62" s="15" t="inlineStr">
        <is>
          <t>Failed on test</t>
        </is>
      </c>
      <c r="G62" s="15" t="inlineStr">
        <is>
          <t>Failed on test</t>
        </is>
      </c>
      <c r="H62" s="15" t="inlineStr">
        <is>
          <t>Failed on test</t>
        </is>
      </c>
      <c r="I62" s="15" t="inlineStr">
        <is>
          <t>Failed on test</t>
        </is>
      </c>
      <c r="J62" s="15" t="inlineStr">
        <is>
          <t>Failed on test</t>
        </is>
      </c>
      <c r="K62" s="15" t="inlineStr">
        <is>
          <t>Failed on test</t>
        </is>
      </c>
      <c r="L62" s="15" t="inlineStr">
        <is>
          <t>Failed on test</t>
        </is>
      </c>
      <c r="M62" s="15" t="inlineStr">
        <is>
          <t>Failed on test</t>
        </is>
      </c>
      <c r="N62" s="15" t="inlineStr">
        <is>
          <t>Failed on test</t>
        </is>
      </c>
      <c r="O62" s="15" t="inlineStr">
        <is>
          <t>Failed on test</t>
        </is>
      </c>
      <c r="P62" s="15" t="inlineStr">
        <is>
          <t>Failed on test</t>
        </is>
      </c>
      <c r="Q62" s="15" t="inlineStr">
        <is>
          <t>Failed on test</t>
        </is>
      </c>
      <c r="R62" s="15" t="inlineStr">
        <is>
          <t>Failed on test</t>
        </is>
      </c>
      <c r="S62" s="15" t="inlineStr">
        <is>
          <t>Failed on test</t>
        </is>
      </c>
      <c r="T62" s="15" t="inlineStr">
        <is>
          <t>Failed on test</t>
        </is>
      </c>
      <c r="U62" s="15" t="inlineStr">
        <is>
          <t>Failed on test</t>
        </is>
      </c>
      <c r="V62" s="15" t="inlineStr">
        <is>
          <t>Failed on test</t>
        </is>
      </c>
      <c r="W62" s="15" t="inlineStr">
        <is>
          <t>Failed on test</t>
        </is>
      </c>
      <c r="X62" s="15" t="inlineStr">
        <is>
          <t>Failed on test</t>
        </is>
      </c>
      <c r="Y62" s="15" t="inlineStr">
        <is>
          <t>Failed on test</t>
        </is>
      </c>
      <c r="Z62" s="15" t="inlineStr">
        <is>
          <t>Failed on test</t>
        </is>
      </c>
      <c r="AA62" s="15" t="inlineStr">
        <is>
          <t>Failed on test</t>
        </is>
      </c>
      <c r="AB62" s="15" t="inlineStr">
        <is>
          <t>Failed on test</t>
        </is>
      </c>
    </row>
    <row r="63">
      <c r="A63" s="2" t="inlineStr">
        <is>
          <t>issue_977</t>
        </is>
      </c>
      <c r="B63" s="13" t="inlineStr">
        <is>
          <t>NOT_TESTED</t>
        </is>
      </c>
      <c r="C63" s="13" t="inlineStr">
        <is>
          <t>NOT_TESTED</t>
        </is>
      </c>
      <c r="D63" s="13" t="inlineStr">
        <is>
          <t>NOT_TESTED</t>
        </is>
      </c>
      <c r="E63" s="13" t="inlineStr">
        <is>
          <t>NOT_TESTED</t>
        </is>
      </c>
      <c r="F63" s="16" t="inlineStr">
        <is>
          <t>Runtime error</t>
        </is>
      </c>
      <c r="G63" s="16" t="inlineStr">
        <is>
          <t>Runtime error</t>
        </is>
      </c>
      <c r="H63" s="16" t="inlineStr">
        <is>
          <t>Runtime error</t>
        </is>
      </c>
      <c r="I63" s="16" t="inlineStr">
        <is>
          <t>Runtime error</t>
        </is>
      </c>
      <c r="J63" s="16" t="inlineStr">
        <is>
          <t>Runtime error</t>
        </is>
      </c>
      <c r="K63" s="16" t="inlineStr">
        <is>
          <t>Runtime error</t>
        </is>
      </c>
      <c r="L63" s="16" t="inlineStr">
        <is>
          <t>Runtime error</t>
        </is>
      </c>
      <c r="M63" s="16" t="inlineStr">
        <is>
          <t>Runtime error</t>
        </is>
      </c>
      <c r="N63" s="16" t="inlineStr">
        <is>
          <t>Runtime error</t>
        </is>
      </c>
      <c r="O63" s="16" t="inlineStr">
        <is>
          <t>Runtime error</t>
        </is>
      </c>
      <c r="P63" s="16" t="inlineStr">
        <is>
          <t>Runtime error</t>
        </is>
      </c>
      <c r="Q63" s="16" t="inlineStr">
        <is>
          <t>Runtime error</t>
        </is>
      </c>
      <c r="R63" s="16" t="inlineStr">
        <is>
          <t>Runtime error</t>
        </is>
      </c>
      <c r="S63" s="16" t="inlineStr">
        <is>
          <t>Runtime error</t>
        </is>
      </c>
      <c r="T63" s="16" t="inlineStr">
        <is>
          <t>Runtime error</t>
        </is>
      </c>
      <c r="U63" s="16" t="inlineStr">
        <is>
          <t>Runtime error</t>
        </is>
      </c>
      <c r="V63" s="16" t="inlineStr">
        <is>
          <t>Runtime error</t>
        </is>
      </c>
      <c r="W63" s="16" t="inlineStr">
        <is>
          <t>Runtime error</t>
        </is>
      </c>
      <c r="X63" s="16" t="inlineStr">
        <is>
          <t>Runtime error</t>
        </is>
      </c>
      <c r="Y63" s="16" t="inlineStr">
        <is>
          <t>Runtime error</t>
        </is>
      </c>
      <c r="Z63" s="16" t="inlineStr">
        <is>
          <t>Runtime error</t>
        </is>
      </c>
      <c r="AA63" s="16" t="inlineStr">
        <is>
          <t>Runtime error</t>
        </is>
      </c>
      <c r="AB63" s="16" t="inlineStr">
        <is>
          <t>Runtime error</t>
        </is>
      </c>
    </row>
    <row r="64">
      <c r="A64" s="2" t="inlineStr">
        <is>
          <t>issue_985</t>
        </is>
      </c>
      <c r="B64" s="13" t="inlineStr">
        <is>
          <t>NOT_TESTED</t>
        </is>
      </c>
      <c r="C64" s="13" t="inlineStr">
        <is>
          <t>NOT_TESTED</t>
        </is>
      </c>
      <c r="D64" s="13" t="inlineStr">
        <is>
          <t>NOT_TESTED</t>
        </is>
      </c>
      <c r="E64" s="13" t="inlineStr">
        <is>
          <t>NOT_TESTED</t>
        </is>
      </c>
      <c r="F64" s="15" t="inlineStr">
        <is>
          <t>Passed on test</t>
        </is>
      </c>
      <c r="G64" s="15" t="inlineStr">
        <is>
          <t>Passed on test</t>
        </is>
      </c>
      <c r="H64" s="15" t="inlineStr">
        <is>
          <t>Passed on test</t>
        </is>
      </c>
      <c r="I64" s="15" t="inlineStr">
        <is>
          <t>Passed on test</t>
        </is>
      </c>
      <c r="J64" s="15" t="inlineStr">
        <is>
          <t>Passed on test</t>
        </is>
      </c>
      <c r="K64" s="15" t="inlineStr">
        <is>
          <t>Passed on test</t>
        </is>
      </c>
      <c r="L64" s="15" t="inlineStr">
        <is>
          <t>Passed on test</t>
        </is>
      </c>
      <c r="M64" s="15" t="inlineStr">
        <is>
          <t>Passed on test</t>
        </is>
      </c>
      <c r="N64" s="15" t="inlineStr">
        <is>
          <t>Passed on test</t>
        </is>
      </c>
      <c r="O64" s="15" t="inlineStr">
        <is>
          <t>Passed on test</t>
        </is>
      </c>
      <c r="P64" s="15" t="inlineStr">
        <is>
          <t>Passed on test</t>
        </is>
      </c>
      <c r="Q64" s="15" t="inlineStr">
        <is>
          <t>Passed on test</t>
        </is>
      </c>
      <c r="R64" s="15" t="inlineStr">
        <is>
          <t>Passed on test</t>
        </is>
      </c>
      <c r="S64" s="15" t="inlineStr">
        <is>
          <t>Passed on test</t>
        </is>
      </c>
      <c r="T64" s="15" t="inlineStr">
        <is>
          <t>Passed on test</t>
        </is>
      </c>
      <c r="U64" s="15" t="inlineStr">
        <is>
          <t>Passed on test</t>
        </is>
      </c>
      <c r="V64" s="15" t="inlineStr">
        <is>
          <t>Passed on test</t>
        </is>
      </c>
      <c r="W64" s="15" t="inlineStr">
        <is>
          <t>Passed on test</t>
        </is>
      </c>
      <c r="X64" s="15" t="inlineStr">
        <is>
          <t>Passed on test</t>
        </is>
      </c>
      <c r="Y64" s="15" t="inlineStr">
        <is>
          <t>Passed on test</t>
        </is>
      </c>
      <c r="Z64" s="15" t="inlineStr">
        <is>
          <t>Passed on test</t>
        </is>
      </c>
      <c r="AA64" s="15" t="inlineStr">
        <is>
          <t>Passed on test</t>
        </is>
      </c>
      <c r="AB64" s="15" t="inlineStr">
        <is>
          <t>Passed on test</t>
        </is>
      </c>
    </row>
    <row r="65">
      <c r="A65" s="2" t="inlineStr">
        <is>
          <t>issue_989</t>
        </is>
      </c>
      <c r="B65" s="13" t="inlineStr">
        <is>
          <t>NOT_TESTED</t>
        </is>
      </c>
      <c r="C65" s="13" t="inlineStr">
        <is>
          <t>NOT_TESTED</t>
        </is>
      </c>
      <c r="D65" s="13" t="inlineStr">
        <is>
          <t>NOT_TESTED</t>
        </is>
      </c>
      <c r="E65" s="13" t="inlineStr">
        <is>
          <t>NOT_TESTED</t>
        </is>
      </c>
      <c r="F65" s="13" t="inlineStr">
        <is>
          <t>NOT_TESTED</t>
        </is>
      </c>
      <c r="G65" s="13" t="inlineStr">
        <is>
          <t>NOT_TESTED</t>
        </is>
      </c>
      <c r="H65" s="13" t="inlineStr">
        <is>
          <t>NOT_TESTED</t>
        </is>
      </c>
      <c r="I65" s="13" t="inlineStr">
        <is>
          <t>NOT_TESTED</t>
        </is>
      </c>
      <c r="J65" s="13" t="inlineStr">
        <is>
          <t>NOT_TESTED</t>
        </is>
      </c>
      <c r="K65" s="13" t="inlineStr">
        <is>
          <t>NOT_TESTED</t>
        </is>
      </c>
      <c r="L65" s="13" t="inlineStr">
        <is>
          <t>NOT_TESTED</t>
        </is>
      </c>
      <c r="M65" s="13" t="inlineStr">
        <is>
          <t>NOT_TESTED</t>
        </is>
      </c>
      <c r="N65" s="16" t="inlineStr">
        <is>
          <t>Passed on test</t>
        </is>
      </c>
      <c r="O65" s="16" t="inlineStr">
        <is>
          <t>Passed on test</t>
        </is>
      </c>
      <c r="P65" s="16" t="inlineStr">
        <is>
          <t>Passed on test</t>
        </is>
      </c>
      <c r="Q65" s="16" t="inlineStr">
        <is>
          <t>Passed on test</t>
        </is>
      </c>
      <c r="R65" s="16" t="inlineStr">
        <is>
          <t>Passed on test</t>
        </is>
      </c>
      <c r="S65" s="16" t="inlineStr">
        <is>
          <t>Passed on test</t>
        </is>
      </c>
      <c r="T65" s="16" t="inlineStr">
        <is>
          <t>Passed on test</t>
        </is>
      </c>
      <c r="U65" s="16" t="inlineStr">
        <is>
          <t>Passed on test</t>
        </is>
      </c>
      <c r="V65" s="16" t="inlineStr">
        <is>
          <t>Passed on test</t>
        </is>
      </c>
      <c r="W65" s="16" t="inlineStr">
        <is>
          <t>Passed on test</t>
        </is>
      </c>
      <c r="X65" s="16" t="inlineStr">
        <is>
          <t>Passed on test</t>
        </is>
      </c>
      <c r="Y65" s="16" t="inlineStr">
        <is>
          <t>Passed on test</t>
        </is>
      </c>
      <c r="Z65" s="16" t="inlineStr">
        <is>
          <t>Passed on test</t>
        </is>
      </c>
      <c r="AA65" s="16" t="inlineStr">
        <is>
          <t>Passed on test</t>
        </is>
      </c>
      <c r="AB65" s="16" t="inlineStr">
        <is>
          <t>Passed on test</t>
        </is>
      </c>
    </row>
    <row r="66">
      <c r="A66" s="2" t="inlineStr">
        <is>
          <t>issue_994</t>
        </is>
      </c>
      <c r="B66" s="16" t="inlineStr">
        <is>
          <t>Runtime error</t>
        </is>
      </c>
      <c r="C66" s="16" t="inlineStr">
        <is>
          <t>Runtime error</t>
        </is>
      </c>
      <c r="D66" s="16" t="inlineStr">
        <is>
          <t>Runtime error</t>
        </is>
      </c>
      <c r="E66" s="16" t="inlineStr">
        <is>
          <t>Runtime error</t>
        </is>
      </c>
      <c r="F66" s="13" t="inlineStr">
        <is>
          <t>NOT_TESTED</t>
        </is>
      </c>
      <c r="G66" s="13" t="inlineStr">
        <is>
          <t>NOT_TESTED</t>
        </is>
      </c>
      <c r="H66" s="13" t="inlineStr">
        <is>
          <t>NOT_TESTED</t>
        </is>
      </c>
      <c r="I66" s="13" t="inlineStr">
        <is>
          <t>NOT_TESTED</t>
        </is>
      </c>
      <c r="J66" s="13" t="inlineStr">
        <is>
          <t>NOT_TESTED</t>
        </is>
      </c>
      <c r="K66" s="13" t="inlineStr">
        <is>
          <t>NOT_TESTED</t>
        </is>
      </c>
      <c r="L66" s="13" t="inlineStr">
        <is>
          <t>NOT_TESTED</t>
        </is>
      </c>
      <c r="M66" s="13" t="inlineStr">
        <is>
          <t>NOT_TESTED</t>
        </is>
      </c>
      <c r="N66" s="13" t="inlineStr">
        <is>
          <t>NOT_TESTED</t>
        </is>
      </c>
      <c r="O66" s="13" t="inlineStr">
        <is>
          <t>NOT_TESTED</t>
        </is>
      </c>
      <c r="P66" s="13" t="inlineStr">
        <is>
          <t>NOT_TESTED</t>
        </is>
      </c>
      <c r="Q66" s="13" t="inlineStr">
        <is>
          <t>NOT_TESTED</t>
        </is>
      </c>
      <c r="R66" s="13" t="inlineStr">
        <is>
          <t>NOT_TESTED</t>
        </is>
      </c>
      <c r="S66" s="13" t="inlineStr">
        <is>
          <t>NOT_TESTED</t>
        </is>
      </c>
      <c r="T66" s="13" t="inlineStr">
        <is>
          <t>NOT_TESTED</t>
        </is>
      </c>
      <c r="U66" s="13" t="inlineStr">
        <is>
          <t>NOT_TESTED</t>
        </is>
      </c>
      <c r="V66" s="13" t="inlineStr">
        <is>
          <t>NOT_TESTED</t>
        </is>
      </c>
      <c r="W66" s="13" t="inlineStr">
        <is>
          <t>NOT_TESTED</t>
        </is>
      </c>
      <c r="X66" s="13" t="inlineStr">
        <is>
          <t>NOT_TESTED</t>
        </is>
      </c>
      <c r="Y66" s="13" t="inlineStr">
        <is>
          <t>NOT_TESTED</t>
        </is>
      </c>
      <c r="Z66" s="13" t="inlineStr">
        <is>
          <t>NOT_TESTED</t>
        </is>
      </c>
      <c r="AA66" s="13" t="inlineStr">
        <is>
          <t>NOT_TESTED</t>
        </is>
      </c>
      <c r="AB66" s="13" t="inlineStr">
        <is>
          <t>NOT_TESTED</t>
        </is>
      </c>
    </row>
    <row r="67">
      <c r="A67" s="2" t="inlineStr">
        <is>
          <t>issue_1035</t>
        </is>
      </c>
      <c r="B67" s="13" t="inlineStr">
        <is>
          <t>NOT_TESTED</t>
        </is>
      </c>
      <c r="C67" s="13" t="inlineStr">
        <is>
          <t>NOT_TESTED</t>
        </is>
      </c>
      <c r="D67" s="13" t="inlineStr">
        <is>
          <t>NOT_TESTED</t>
        </is>
      </c>
      <c r="E67" s="13" t="inlineStr">
        <is>
          <t>NOT_TESTED</t>
        </is>
      </c>
      <c r="F67" s="16" t="inlineStr">
        <is>
          <t>Runtime error</t>
        </is>
      </c>
      <c r="G67" s="16" t="inlineStr">
        <is>
          <t>Runtime error</t>
        </is>
      </c>
      <c r="H67" s="16" t="inlineStr">
        <is>
          <t>Runtime error</t>
        </is>
      </c>
      <c r="I67" s="16" t="inlineStr">
        <is>
          <t>Runtime error</t>
        </is>
      </c>
      <c r="J67" s="16" t="inlineStr">
        <is>
          <t>Runtime error</t>
        </is>
      </c>
      <c r="K67" s="16" t="inlineStr">
        <is>
          <t>Runtime error</t>
        </is>
      </c>
      <c r="L67" s="16" t="inlineStr">
        <is>
          <t>Runtime error</t>
        </is>
      </c>
      <c r="M67" s="16" t="inlineStr">
        <is>
          <t>Runtime error</t>
        </is>
      </c>
      <c r="N67" s="13" t="inlineStr">
        <is>
          <t>NOT_TESTED</t>
        </is>
      </c>
      <c r="O67" s="13" t="inlineStr">
        <is>
          <t>NOT_TESTED</t>
        </is>
      </c>
      <c r="P67" s="13" t="inlineStr">
        <is>
          <t>NOT_TESTED</t>
        </is>
      </c>
      <c r="Q67" s="13" t="inlineStr">
        <is>
          <t>NOT_TESTED</t>
        </is>
      </c>
      <c r="R67" s="13" t="inlineStr">
        <is>
          <t>NOT_TESTED</t>
        </is>
      </c>
      <c r="S67" s="13" t="inlineStr">
        <is>
          <t>NOT_TESTED</t>
        </is>
      </c>
      <c r="T67" s="13" t="inlineStr">
        <is>
          <t>NOT_TESTED</t>
        </is>
      </c>
      <c r="U67" s="13" t="inlineStr">
        <is>
          <t>NOT_TESTED</t>
        </is>
      </c>
      <c r="V67" s="13" t="inlineStr">
        <is>
          <t>NOT_TESTED</t>
        </is>
      </c>
      <c r="W67" s="13" t="inlineStr">
        <is>
          <t>NOT_TESTED</t>
        </is>
      </c>
      <c r="X67" s="13" t="inlineStr">
        <is>
          <t>NOT_TESTED</t>
        </is>
      </c>
      <c r="Y67" s="13" t="inlineStr">
        <is>
          <t>NOT_TESTED</t>
        </is>
      </c>
      <c r="Z67" s="13" t="inlineStr">
        <is>
          <t>NOT_TESTED</t>
        </is>
      </c>
      <c r="AA67" s="13" t="inlineStr">
        <is>
          <t>NOT_TESTED</t>
        </is>
      </c>
      <c r="AB67" s="13" t="inlineStr">
        <is>
          <t>NOT_TESTED</t>
        </is>
      </c>
    </row>
    <row r="68">
      <c r="A68" s="2" t="inlineStr">
        <is>
          <t>issue_772</t>
        </is>
      </c>
      <c r="B68" s="16" t="inlineStr">
        <is>
          <t>Passed on test</t>
        </is>
      </c>
      <c r="C68" s="16" t="inlineStr">
        <is>
          <t>Passed on test</t>
        </is>
      </c>
      <c r="D68" s="16" t="inlineStr">
        <is>
          <t>Passed on test</t>
        </is>
      </c>
      <c r="E68" s="16" t="inlineStr">
        <is>
          <t>Passed on test</t>
        </is>
      </c>
      <c r="F68" s="16" t="inlineStr">
        <is>
          <t>Passed on test</t>
        </is>
      </c>
      <c r="G68" s="16" t="inlineStr">
        <is>
          <t>Passed on test</t>
        </is>
      </c>
      <c r="H68" s="16" t="inlineStr">
        <is>
          <t>Passed on test</t>
        </is>
      </c>
      <c r="I68" s="16" t="inlineStr">
        <is>
          <t>Passed on test</t>
        </is>
      </c>
      <c r="J68" s="16" t="inlineStr">
        <is>
          <t>Passed on test</t>
        </is>
      </c>
      <c r="K68" s="16" t="inlineStr">
        <is>
          <t>Passed on test</t>
        </is>
      </c>
      <c r="L68" s="16" t="inlineStr">
        <is>
          <t>Passed on test</t>
        </is>
      </c>
      <c r="M68" s="16" t="inlineStr">
        <is>
          <t>Passed on test</t>
        </is>
      </c>
      <c r="N68" s="13" t="inlineStr">
        <is>
          <t>NOT_TESTED</t>
        </is>
      </c>
      <c r="O68" s="13" t="inlineStr">
        <is>
          <t>NOT_TESTED</t>
        </is>
      </c>
      <c r="P68" s="13" t="inlineStr">
        <is>
          <t>NOT_TESTED</t>
        </is>
      </c>
      <c r="Q68" s="13" t="inlineStr">
        <is>
          <t>NOT_TESTED</t>
        </is>
      </c>
      <c r="R68" s="13" t="inlineStr">
        <is>
          <t>NOT_TESTED</t>
        </is>
      </c>
      <c r="S68" s="13" t="inlineStr">
        <is>
          <t>NOT_TESTED</t>
        </is>
      </c>
      <c r="T68" s="13" t="inlineStr">
        <is>
          <t>NOT_TESTED</t>
        </is>
      </c>
      <c r="U68" s="13" t="inlineStr">
        <is>
          <t>NOT_TESTED</t>
        </is>
      </c>
      <c r="V68" s="13" t="inlineStr">
        <is>
          <t>NOT_TESTED</t>
        </is>
      </c>
      <c r="W68" s="13" t="inlineStr">
        <is>
          <t>NOT_TESTED</t>
        </is>
      </c>
      <c r="X68" s="13" t="inlineStr">
        <is>
          <t>NOT_TESTED</t>
        </is>
      </c>
      <c r="Y68" s="13" t="inlineStr">
        <is>
          <t>NOT_TESTED</t>
        </is>
      </c>
      <c r="Z68" s="13" t="inlineStr">
        <is>
          <t>NOT_TESTED</t>
        </is>
      </c>
      <c r="AA68" s="13" t="inlineStr">
        <is>
          <t>NOT_TESTED</t>
        </is>
      </c>
      <c r="AB68" s="13" t="inlineStr">
        <is>
          <t>NOT_TESTED</t>
        </is>
      </c>
    </row>
    <row r="69">
      <c r="A69" s="2" t="inlineStr">
        <is>
          <t>issue_790</t>
        </is>
      </c>
      <c r="B69" s="13" t="inlineStr">
        <is>
          <t>NOT_TESTED</t>
        </is>
      </c>
      <c r="C69" s="13" t="inlineStr">
        <is>
          <t>NOT_TESTED</t>
        </is>
      </c>
      <c r="D69" s="13" t="inlineStr">
        <is>
          <t>NOT_TESTED</t>
        </is>
      </c>
      <c r="E69" s="13" t="inlineStr">
        <is>
          <t>NOT_TESTED</t>
        </is>
      </c>
      <c r="F69" s="14" t="inlineStr">
        <is>
          <t>Runtime error</t>
        </is>
      </c>
      <c r="G69" s="14" t="inlineStr">
        <is>
          <t>Runtime error</t>
        </is>
      </c>
      <c r="H69" s="14" t="inlineStr">
        <is>
          <t>Runtime error</t>
        </is>
      </c>
      <c r="I69" s="14" t="inlineStr">
        <is>
          <t>Runtime error</t>
        </is>
      </c>
      <c r="J69" s="14" t="inlineStr">
        <is>
          <t>Runtime error</t>
        </is>
      </c>
      <c r="K69" s="14" t="inlineStr">
        <is>
          <t>Runtime error</t>
        </is>
      </c>
      <c r="L69" s="14" t="inlineStr">
        <is>
          <t>Runtime error</t>
        </is>
      </c>
      <c r="M69" s="14" t="inlineStr">
        <is>
          <t>Runtime error</t>
        </is>
      </c>
      <c r="N69" s="14" t="inlineStr">
        <is>
          <t>Runtime error</t>
        </is>
      </c>
      <c r="O69" s="14" t="inlineStr">
        <is>
          <t>Runtime error</t>
        </is>
      </c>
      <c r="P69" s="14" t="inlineStr">
        <is>
          <t>Runtime error</t>
        </is>
      </c>
      <c r="Q69" s="14" t="inlineStr">
        <is>
          <t>Runtime error</t>
        </is>
      </c>
      <c r="R69" s="14" t="inlineStr">
        <is>
          <t>Runtime error</t>
        </is>
      </c>
      <c r="S69" s="14" t="inlineStr">
        <is>
          <t>Runtime error</t>
        </is>
      </c>
      <c r="T69" s="14" t="inlineStr">
        <is>
          <t>Runtime error</t>
        </is>
      </c>
      <c r="U69" s="14" t="inlineStr">
        <is>
          <t>Runtime error</t>
        </is>
      </c>
      <c r="V69" s="14" t="inlineStr">
        <is>
          <t>Runtime error</t>
        </is>
      </c>
      <c r="W69" s="14" t="inlineStr">
        <is>
          <t>Runtime error</t>
        </is>
      </c>
      <c r="X69" s="14" t="inlineStr">
        <is>
          <t>Runtime error</t>
        </is>
      </c>
      <c r="Y69" s="14" t="inlineStr">
        <is>
          <t>Runtime error</t>
        </is>
      </c>
      <c r="Z69" s="14" t="inlineStr">
        <is>
          <t>Runtime error</t>
        </is>
      </c>
      <c r="AA69" s="14" t="inlineStr">
        <is>
          <t>Runtime error</t>
        </is>
      </c>
      <c r="AB69" s="14" t="inlineStr">
        <is>
          <t>Runtime error</t>
        </is>
      </c>
    </row>
    <row r="70">
      <c r="A70" s="2" t="inlineStr">
        <is>
          <t>issue_827</t>
        </is>
      </c>
      <c r="B70" s="14" t="inlineStr">
        <is>
          <t>Runtime error</t>
        </is>
      </c>
      <c r="C70" s="14" t="inlineStr">
        <is>
          <t>Runtime error</t>
        </is>
      </c>
      <c r="D70" s="14" t="inlineStr">
        <is>
          <t>Runtime error</t>
        </is>
      </c>
      <c r="E70" s="14" t="inlineStr">
        <is>
          <t>Runtime error</t>
        </is>
      </c>
      <c r="F70" s="14" t="inlineStr">
        <is>
          <t>Runtime error</t>
        </is>
      </c>
      <c r="G70" s="14" t="inlineStr">
        <is>
          <t>Runtime error</t>
        </is>
      </c>
      <c r="H70" s="14" t="inlineStr">
        <is>
          <t>Runtime error</t>
        </is>
      </c>
      <c r="I70" s="14" t="inlineStr">
        <is>
          <t>Runtime error</t>
        </is>
      </c>
      <c r="J70" s="14" t="inlineStr">
        <is>
          <t>Runtime error</t>
        </is>
      </c>
      <c r="K70" s="14" t="inlineStr">
        <is>
          <t>Runtime error</t>
        </is>
      </c>
      <c r="L70" s="14" t="inlineStr">
        <is>
          <t>Runtime error</t>
        </is>
      </c>
      <c r="M70" s="14" t="inlineStr">
        <is>
          <t>Runtime error</t>
        </is>
      </c>
      <c r="N70" s="13" t="inlineStr">
        <is>
          <t>NOT_TESTED</t>
        </is>
      </c>
      <c r="O70" s="13" t="inlineStr">
        <is>
          <t>NOT_TESTED</t>
        </is>
      </c>
      <c r="P70" s="13" t="inlineStr">
        <is>
          <t>NOT_TESTED</t>
        </is>
      </c>
      <c r="Q70" s="13" t="inlineStr">
        <is>
          <t>NOT_TESTED</t>
        </is>
      </c>
      <c r="R70" s="13" t="inlineStr">
        <is>
          <t>NOT_TESTED</t>
        </is>
      </c>
      <c r="S70" s="13" t="inlineStr">
        <is>
          <t>NOT_TESTED</t>
        </is>
      </c>
      <c r="T70" s="13" t="inlineStr">
        <is>
          <t>NOT_TESTED</t>
        </is>
      </c>
      <c r="U70" s="13" t="inlineStr">
        <is>
          <t>NOT_TESTED</t>
        </is>
      </c>
      <c r="V70" s="13" t="inlineStr">
        <is>
          <t>NOT_TESTED</t>
        </is>
      </c>
      <c r="W70" s="13" t="inlineStr">
        <is>
          <t>NOT_TESTED</t>
        </is>
      </c>
      <c r="X70" s="13" t="inlineStr">
        <is>
          <t>NOT_TESTED</t>
        </is>
      </c>
      <c r="Y70" s="13" t="inlineStr">
        <is>
          <t>NOT_TESTED</t>
        </is>
      </c>
      <c r="Z70" s="13" t="inlineStr">
        <is>
          <t>NOT_TESTED</t>
        </is>
      </c>
      <c r="AA70" s="13" t="inlineStr">
        <is>
          <t>NOT_TESTED</t>
        </is>
      </c>
      <c r="AB70" s="13" t="inlineStr">
        <is>
          <t>NOT_TESTED</t>
        </is>
      </c>
    </row>
    <row r="71">
      <c r="A71" s="2" t="inlineStr">
        <is>
          <t>issue_858</t>
        </is>
      </c>
      <c r="B71" s="13" t="inlineStr">
        <is>
          <t>NOT_TESTED</t>
        </is>
      </c>
      <c r="C71" s="13" t="inlineStr">
        <is>
          <t>NOT_TESTED</t>
        </is>
      </c>
      <c r="D71" s="13" t="inlineStr">
        <is>
          <t>NOT_TESTED</t>
        </is>
      </c>
      <c r="E71" s="13" t="inlineStr">
        <is>
          <t>NOT_TESTED</t>
        </is>
      </c>
      <c r="F71" s="14" t="inlineStr">
        <is>
          <t>Runtime error</t>
        </is>
      </c>
      <c r="G71" s="14" t="inlineStr">
        <is>
          <t>Runtime error</t>
        </is>
      </c>
      <c r="H71" s="14" t="inlineStr">
        <is>
          <t>Runtime error</t>
        </is>
      </c>
      <c r="I71" s="14" t="inlineStr">
        <is>
          <t>Runtime error</t>
        </is>
      </c>
      <c r="J71" s="14" t="inlineStr">
        <is>
          <t>Runtime error</t>
        </is>
      </c>
      <c r="K71" s="14" t="inlineStr">
        <is>
          <t>Runtime error</t>
        </is>
      </c>
      <c r="L71" s="14" t="inlineStr">
        <is>
          <t>Runtime error</t>
        </is>
      </c>
      <c r="M71" s="14" t="inlineStr">
        <is>
          <t>Runtime error</t>
        </is>
      </c>
      <c r="N71" s="13" t="inlineStr">
        <is>
          <t>NOT_TESTED</t>
        </is>
      </c>
      <c r="O71" s="13" t="inlineStr">
        <is>
          <t>NOT_TESTED</t>
        </is>
      </c>
      <c r="P71" s="13" t="inlineStr">
        <is>
          <t>NOT_TESTED</t>
        </is>
      </c>
      <c r="Q71" s="13" t="inlineStr">
        <is>
          <t>NOT_TESTED</t>
        </is>
      </c>
      <c r="R71" s="13" t="inlineStr">
        <is>
          <t>NOT_TESTED</t>
        </is>
      </c>
      <c r="S71" s="13" t="inlineStr">
        <is>
          <t>NOT_TESTED</t>
        </is>
      </c>
      <c r="T71" s="13" t="inlineStr">
        <is>
          <t>NOT_TESTED</t>
        </is>
      </c>
      <c r="U71" s="13" t="inlineStr">
        <is>
          <t>NOT_TESTED</t>
        </is>
      </c>
      <c r="V71" s="13" t="inlineStr">
        <is>
          <t>NOT_TESTED</t>
        </is>
      </c>
      <c r="W71" s="13" t="inlineStr">
        <is>
          <t>NOT_TESTED</t>
        </is>
      </c>
      <c r="X71" s="13" t="inlineStr">
        <is>
          <t>NOT_TESTED</t>
        </is>
      </c>
      <c r="Y71" s="13" t="inlineStr">
        <is>
          <t>NOT_TESTED</t>
        </is>
      </c>
      <c r="Z71" s="13" t="inlineStr">
        <is>
          <t>NOT_TESTED</t>
        </is>
      </c>
      <c r="AA71" s="13" t="inlineStr">
        <is>
          <t>NOT_TESTED</t>
        </is>
      </c>
      <c r="AB71" s="13" t="inlineStr">
        <is>
          <t>NOT_TESTED</t>
        </is>
      </c>
    </row>
    <row r="72">
      <c r="A72" s="2" t="inlineStr">
        <is>
          <t>issue_901</t>
        </is>
      </c>
      <c r="B72" s="13" t="inlineStr">
        <is>
          <t>NOT_TESTED</t>
        </is>
      </c>
      <c r="C72" s="13" t="inlineStr">
        <is>
          <t>NOT_TESTED</t>
        </is>
      </c>
      <c r="D72" s="13" t="inlineStr">
        <is>
          <t>NOT_TESTED</t>
        </is>
      </c>
      <c r="E72" s="13" t="inlineStr">
        <is>
          <t>NOT_TESTED</t>
        </is>
      </c>
      <c r="F72" s="16" t="inlineStr">
        <is>
          <t>Passed on test</t>
        </is>
      </c>
      <c r="G72" s="16" t="inlineStr">
        <is>
          <t>Passed on test</t>
        </is>
      </c>
      <c r="H72" s="16" t="inlineStr">
        <is>
          <t>Passed on test</t>
        </is>
      </c>
      <c r="I72" s="16" t="inlineStr">
        <is>
          <t>Passed on test</t>
        </is>
      </c>
      <c r="J72" s="16" t="inlineStr">
        <is>
          <t>Passed on test</t>
        </is>
      </c>
      <c r="K72" s="16" t="inlineStr">
        <is>
          <t>Passed on test</t>
        </is>
      </c>
      <c r="L72" s="16" t="inlineStr">
        <is>
          <t>Passed on test</t>
        </is>
      </c>
      <c r="M72" s="16" t="inlineStr">
        <is>
          <t>Passed on test</t>
        </is>
      </c>
      <c r="N72" s="16" t="inlineStr">
        <is>
          <t>Passed on test</t>
        </is>
      </c>
      <c r="O72" s="16" t="inlineStr">
        <is>
          <t>Passed on test</t>
        </is>
      </c>
      <c r="P72" s="16" t="inlineStr">
        <is>
          <t>Passed on test</t>
        </is>
      </c>
      <c r="Q72" s="16" t="inlineStr">
        <is>
          <t>Passed on test</t>
        </is>
      </c>
      <c r="R72" s="16" t="inlineStr">
        <is>
          <t>Passed on test</t>
        </is>
      </c>
      <c r="S72" s="16" t="inlineStr">
        <is>
          <t>Passed on test</t>
        </is>
      </c>
      <c r="T72" s="16" t="inlineStr">
        <is>
          <t>Passed on test</t>
        </is>
      </c>
      <c r="U72" s="16" t="inlineStr">
        <is>
          <t>Passed on test</t>
        </is>
      </c>
      <c r="V72" s="16" t="inlineStr">
        <is>
          <t>Passed on test</t>
        </is>
      </c>
      <c r="W72" s="16" t="inlineStr">
        <is>
          <t>Passed on test</t>
        </is>
      </c>
      <c r="X72" s="16" t="inlineStr">
        <is>
          <t>Passed on test</t>
        </is>
      </c>
      <c r="Y72" s="13" t="inlineStr">
        <is>
          <t>NOT_TESTED</t>
        </is>
      </c>
      <c r="Z72" s="13" t="inlineStr">
        <is>
          <t>NOT_TESTED</t>
        </is>
      </c>
      <c r="AA72" s="13" t="inlineStr">
        <is>
          <t>NOT_TESTED</t>
        </is>
      </c>
      <c r="AB72" s="13" t="inlineStr">
        <is>
          <t>NOT_TESTED</t>
        </is>
      </c>
    </row>
    <row r="73">
      <c r="A73" s="2" t="inlineStr">
        <is>
          <t>issue_921</t>
        </is>
      </c>
      <c r="B73" s="14" t="inlineStr">
        <is>
          <t>Runtime error</t>
        </is>
      </c>
      <c r="C73" s="14" t="inlineStr">
        <is>
          <t>Runtime error</t>
        </is>
      </c>
      <c r="D73" s="14" t="inlineStr">
        <is>
          <t>Runtime error</t>
        </is>
      </c>
      <c r="E73" s="14" t="inlineStr">
        <is>
          <t>Runtime error</t>
        </is>
      </c>
      <c r="F73" s="13" t="inlineStr">
        <is>
          <t>NOT_TESTED</t>
        </is>
      </c>
      <c r="G73" s="13" t="inlineStr">
        <is>
          <t>NOT_TESTED</t>
        </is>
      </c>
      <c r="H73" s="13" t="inlineStr">
        <is>
          <t>NOT_TESTED</t>
        </is>
      </c>
      <c r="I73" s="13" t="inlineStr">
        <is>
          <t>NOT_TESTED</t>
        </is>
      </c>
      <c r="J73" s="13" t="inlineStr">
        <is>
          <t>NOT_TESTED</t>
        </is>
      </c>
      <c r="K73" s="13" t="inlineStr">
        <is>
          <t>NOT_TESTED</t>
        </is>
      </c>
      <c r="L73" s="13" t="inlineStr">
        <is>
          <t>NOT_TESTED</t>
        </is>
      </c>
      <c r="M73" s="13" t="inlineStr">
        <is>
          <t>NOT_TESTED</t>
        </is>
      </c>
      <c r="N73" s="13" t="inlineStr">
        <is>
          <t>NOT_TESTED</t>
        </is>
      </c>
      <c r="O73" s="13" t="inlineStr">
        <is>
          <t>NOT_TESTED</t>
        </is>
      </c>
      <c r="P73" s="13" t="inlineStr">
        <is>
          <t>NOT_TESTED</t>
        </is>
      </c>
      <c r="Q73" s="13" t="inlineStr">
        <is>
          <t>NOT_TESTED</t>
        </is>
      </c>
      <c r="R73" s="13" t="inlineStr">
        <is>
          <t>NOT_TESTED</t>
        </is>
      </c>
      <c r="S73" s="13" t="inlineStr">
        <is>
          <t>NOT_TESTED</t>
        </is>
      </c>
      <c r="T73" s="13" t="inlineStr">
        <is>
          <t>NOT_TESTED</t>
        </is>
      </c>
      <c r="U73" s="13" t="inlineStr">
        <is>
          <t>NOT_TESTED</t>
        </is>
      </c>
      <c r="V73" s="13" t="inlineStr">
        <is>
          <t>NOT_TESTED</t>
        </is>
      </c>
      <c r="W73" s="13" t="inlineStr">
        <is>
          <t>NOT_TESTED</t>
        </is>
      </c>
      <c r="X73" s="13" t="inlineStr">
        <is>
          <t>NOT_TESTED</t>
        </is>
      </c>
      <c r="Y73" s="13" t="inlineStr">
        <is>
          <t>NOT_TESTED</t>
        </is>
      </c>
      <c r="Z73" s="13" t="inlineStr">
        <is>
          <t>NOT_TESTED</t>
        </is>
      </c>
      <c r="AA73" s="13" t="inlineStr">
        <is>
          <t>NOT_TESTED</t>
        </is>
      </c>
      <c r="AB73" s="13" t="inlineStr">
        <is>
          <t>NOT_TESTED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case_id</t>
        </is>
      </c>
      <c r="B1" s="1" t="inlineStr">
        <is>
          <t>0.25.0</t>
        </is>
      </c>
      <c r="C1" s="1" t="inlineStr">
        <is>
          <t>0.25.1</t>
        </is>
      </c>
      <c r="D1" s="1" t="inlineStr">
        <is>
          <t>0.25.2</t>
        </is>
      </c>
      <c r="E1" s="1" t="inlineStr">
        <is>
          <t>0.25.3</t>
        </is>
      </c>
      <c r="F1" s="1" t="inlineStr">
        <is>
          <t>0.45.0</t>
        </is>
      </c>
      <c r="G1" s="1" t="inlineStr">
        <is>
          <t>0.45.1</t>
        </is>
      </c>
      <c r="H1" s="1" t="inlineStr">
        <is>
          <t>0.45.2</t>
        </is>
      </c>
      <c r="I1" s="1" t="inlineStr">
        <is>
          <t>0.45.3</t>
        </is>
      </c>
      <c r="J1" s="1" t="inlineStr">
        <is>
          <t>0.46.0</t>
        </is>
      </c>
      <c r="K1" s="1" t="inlineStr">
        <is>
          <t>0.46.1</t>
        </is>
      </c>
      <c r="L1" s="1" t="inlineStr">
        <is>
          <t>0.46.2</t>
        </is>
      </c>
      <c r="M1" s="1" t="inlineStr">
        <is>
          <t>0.46.3</t>
        </is>
      </c>
      <c r="N1" s="1" t="inlineStr">
        <is>
          <t>1.0.0</t>
        </is>
      </c>
      <c r="O1" s="1" t="inlineStr">
        <is>
          <t>1.0.1</t>
        </is>
      </c>
      <c r="P1" s="1" t="inlineStr">
        <is>
          <t>1.0.2</t>
        </is>
      </c>
      <c r="Q1" s="1" t="inlineStr">
        <is>
          <t>1.1.0</t>
        </is>
      </c>
      <c r="R1" s="1" t="inlineStr">
        <is>
          <t>1.1.1</t>
        </is>
      </c>
      <c r="S1" s="1" t="inlineStr">
        <is>
          <t>1.1.2</t>
        </is>
      </c>
      <c r="T1" s="1" t="inlineStr">
        <is>
          <t>1.2.0</t>
        </is>
      </c>
      <c r="U1" s="1" t="inlineStr">
        <is>
          <t>1.2.1</t>
        </is>
      </c>
      <c r="V1" s="1" t="inlineStr">
        <is>
          <t>1.2.2</t>
        </is>
      </c>
      <c r="W1" s="1" t="inlineStr">
        <is>
          <t>1.2.4</t>
        </is>
      </c>
      <c r="X1" s="1" t="inlineStr">
        <is>
          <t>2.0.0</t>
        </is>
      </c>
      <c r="Y1" s="1" t="inlineStr">
        <is>
          <t>2.2.0</t>
        </is>
      </c>
      <c r="Z1" s="1" t="inlineStr">
        <is>
          <t>2.3.0</t>
        </is>
      </c>
      <c r="AA1" s="1" t="inlineStr">
        <is>
          <t>2.4.0</t>
        </is>
      </c>
      <c r="AB1" s="1" t="inlineStr">
        <is>
          <t>2.5.0</t>
        </is>
      </c>
    </row>
    <row r="2">
      <c r="A2" s="2" t="inlineStr">
        <is>
          <t>issue_009</t>
        </is>
      </c>
      <c r="B2" s="13" t="inlineStr">
        <is>
          <t>NOT_TESTED</t>
        </is>
      </c>
      <c r="C2" s="13" t="inlineStr">
        <is>
          <t>NOT_TESTED</t>
        </is>
      </c>
      <c r="D2" s="13" t="inlineStr">
        <is>
          <t>NOT_TESTED</t>
        </is>
      </c>
      <c r="E2" s="13" t="inlineStr">
        <is>
          <t>NOT_TESTED</t>
        </is>
      </c>
      <c r="F2" s="16" t="inlineStr">
        <is>
          <t>Passed on test</t>
        </is>
      </c>
      <c r="G2" s="16" t="inlineStr">
        <is>
          <t>Passed on test</t>
        </is>
      </c>
      <c r="H2" s="16" t="inlineStr">
        <is>
          <t>Passed on test</t>
        </is>
      </c>
      <c r="I2" s="16" t="inlineStr">
        <is>
          <t>Passed on test</t>
        </is>
      </c>
      <c r="J2" s="16" t="inlineStr">
        <is>
          <t>Passed on test</t>
        </is>
      </c>
      <c r="K2" s="16" t="inlineStr">
        <is>
          <t>Passed on test</t>
        </is>
      </c>
      <c r="L2" s="16" t="inlineStr">
        <is>
          <t>Passed on test</t>
        </is>
      </c>
      <c r="M2" s="16" t="inlineStr">
        <is>
          <t>Passed on test</t>
        </is>
      </c>
      <c r="N2" s="13" t="inlineStr">
        <is>
          <t>NOT_TESTED</t>
        </is>
      </c>
      <c r="O2" s="13" t="inlineStr">
        <is>
          <t>NOT_TESTED</t>
        </is>
      </c>
      <c r="P2" s="13" t="inlineStr">
        <is>
          <t>NOT_TESTED</t>
        </is>
      </c>
      <c r="Q2" s="13" t="inlineStr">
        <is>
          <t>NOT_TESTED</t>
        </is>
      </c>
      <c r="R2" s="13" t="inlineStr">
        <is>
          <t>NOT_TESTED</t>
        </is>
      </c>
      <c r="S2" s="13" t="inlineStr">
        <is>
          <t>NOT_TESTED</t>
        </is>
      </c>
      <c r="T2" s="13" t="inlineStr">
        <is>
          <t>NOT_TESTED</t>
        </is>
      </c>
      <c r="U2" s="13" t="inlineStr">
        <is>
          <t>NOT_TESTED</t>
        </is>
      </c>
      <c r="V2" s="13" t="inlineStr">
        <is>
          <t>NOT_TESTED</t>
        </is>
      </c>
      <c r="W2" s="13" t="inlineStr">
        <is>
          <t>NOT_TESTED</t>
        </is>
      </c>
      <c r="X2" s="13" t="inlineStr">
        <is>
          <t>NOT_TESTED</t>
        </is>
      </c>
      <c r="Y2" s="13" t="inlineStr">
        <is>
          <t>NOT_TESTED</t>
        </is>
      </c>
      <c r="Z2" s="13" t="inlineStr">
        <is>
          <t>NOT_TESTED</t>
        </is>
      </c>
      <c r="AA2" s="13" t="inlineStr">
        <is>
          <t>NOT_TESTED</t>
        </is>
      </c>
      <c r="AB2" s="13" t="inlineStr">
        <is>
          <t>NOT_TESTED</t>
        </is>
      </c>
    </row>
    <row r="3">
      <c r="A3" s="2" t="inlineStr">
        <is>
          <t>issue_021_se</t>
        </is>
      </c>
      <c r="B3" s="14" t="inlineStr">
        <is>
          <t>Runtime error</t>
        </is>
      </c>
      <c r="C3" s="14" t="inlineStr">
        <is>
          <t>Runtime error</t>
        </is>
      </c>
      <c r="D3" s="14" t="inlineStr">
        <is>
          <t>Runtime error</t>
        </is>
      </c>
      <c r="E3" s="14" t="inlineStr">
        <is>
          <t>Runtime error</t>
        </is>
      </c>
      <c r="F3" s="14" t="inlineStr">
        <is>
          <t>Runtime error</t>
        </is>
      </c>
      <c r="G3" s="14" t="inlineStr">
        <is>
          <t>Runtime error</t>
        </is>
      </c>
      <c r="H3" s="14" t="inlineStr">
        <is>
          <t>Runtime error</t>
        </is>
      </c>
      <c r="I3" s="14" t="inlineStr">
        <is>
          <t>Runtime error</t>
        </is>
      </c>
      <c r="J3" s="14" t="inlineStr">
        <is>
          <t>Runtime error</t>
        </is>
      </c>
      <c r="K3" s="14" t="inlineStr">
        <is>
          <t>Runtime error</t>
        </is>
      </c>
      <c r="L3" s="14" t="inlineStr">
        <is>
          <t>Runtime error</t>
        </is>
      </c>
      <c r="M3" s="14" t="inlineStr">
        <is>
          <t>Runtime error</t>
        </is>
      </c>
      <c r="N3" s="13" t="inlineStr">
        <is>
          <t>NOT_TESTED</t>
        </is>
      </c>
      <c r="O3" s="13" t="inlineStr">
        <is>
          <t>NOT_TESTED</t>
        </is>
      </c>
      <c r="P3" s="13" t="inlineStr">
        <is>
          <t>NOT_TESTED</t>
        </is>
      </c>
      <c r="Q3" s="13" t="inlineStr">
        <is>
          <t>NOT_TESTED</t>
        </is>
      </c>
      <c r="R3" s="13" t="inlineStr">
        <is>
          <t>NOT_TESTED</t>
        </is>
      </c>
      <c r="S3" s="13" t="inlineStr">
        <is>
          <t>NOT_TESTED</t>
        </is>
      </c>
      <c r="T3" s="13" t="inlineStr">
        <is>
          <t>NOT_TESTED</t>
        </is>
      </c>
      <c r="U3" s="13" t="inlineStr">
        <is>
          <t>NOT_TESTED</t>
        </is>
      </c>
      <c r="V3" s="13" t="inlineStr">
        <is>
          <t>NOT_TESTED</t>
        </is>
      </c>
      <c r="W3" s="13" t="inlineStr">
        <is>
          <t>NOT_TESTED</t>
        </is>
      </c>
      <c r="X3" s="13" t="inlineStr">
        <is>
          <t>NOT_TESTED</t>
        </is>
      </c>
      <c r="Y3" s="13" t="inlineStr">
        <is>
          <t>NOT_TESTED</t>
        </is>
      </c>
      <c r="Z3" s="13" t="inlineStr">
        <is>
          <t>NOT_TESTED</t>
        </is>
      </c>
      <c r="AA3" s="13" t="inlineStr">
        <is>
          <t>NOT_TESTED</t>
        </is>
      </c>
      <c r="AB3" s="13" t="inlineStr">
        <is>
          <t>NOT_TESTED</t>
        </is>
      </c>
    </row>
    <row r="4">
      <c r="A4" s="2" t="inlineStr">
        <is>
          <t>issue_032_se</t>
        </is>
      </c>
      <c r="B4" s="16" t="inlineStr">
        <is>
          <t>Passed on test</t>
        </is>
      </c>
      <c r="C4" s="16" t="inlineStr">
        <is>
          <t>Passed on test</t>
        </is>
      </c>
      <c r="D4" s="16" t="inlineStr">
        <is>
          <t>Passed on test</t>
        </is>
      </c>
      <c r="E4" s="16" t="inlineStr">
        <is>
          <t>Passed on test</t>
        </is>
      </c>
      <c r="F4" s="13" t="inlineStr">
        <is>
          <t>NOT_TESTED</t>
        </is>
      </c>
      <c r="G4" s="13" t="inlineStr">
        <is>
          <t>NOT_TESTED</t>
        </is>
      </c>
      <c r="H4" s="13" t="inlineStr">
        <is>
          <t>NOT_TESTED</t>
        </is>
      </c>
      <c r="I4" s="13" t="inlineStr">
        <is>
          <t>NOT_TESTED</t>
        </is>
      </c>
      <c r="J4" s="13" t="inlineStr">
        <is>
          <t>NOT_TESTED</t>
        </is>
      </c>
      <c r="K4" s="13" t="inlineStr">
        <is>
          <t>NOT_TESTED</t>
        </is>
      </c>
      <c r="L4" s="13" t="inlineStr">
        <is>
          <t>NOT_TESTED</t>
        </is>
      </c>
      <c r="M4" s="13" t="inlineStr">
        <is>
          <t>NOT_TESTED</t>
        </is>
      </c>
      <c r="N4" s="13" t="inlineStr">
        <is>
          <t>NOT_TESTED</t>
        </is>
      </c>
      <c r="O4" s="13" t="inlineStr">
        <is>
          <t>NOT_TESTED</t>
        </is>
      </c>
      <c r="P4" s="13" t="inlineStr">
        <is>
          <t>NOT_TESTED</t>
        </is>
      </c>
      <c r="Q4" s="13" t="inlineStr">
        <is>
          <t>NOT_TESTED</t>
        </is>
      </c>
      <c r="R4" s="13" t="inlineStr">
        <is>
          <t>NOT_TESTED</t>
        </is>
      </c>
      <c r="S4" s="13" t="inlineStr">
        <is>
          <t>NOT_TESTED</t>
        </is>
      </c>
      <c r="T4" s="13" t="inlineStr">
        <is>
          <t>NOT_TESTED</t>
        </is>
      </c>
      <c r="U4" s="13" t="inlineStr">
        <is>
          <t>NOT_TESTED</t>
        </is>
      </c>
      <c r="V4" s="13" t="inlineStr">
        <is>
          <t>NOT_TESTED</t>
        </is>
      </c>
      <c r="W4" s="13" t="inlineStr">
        <is>
          <t>NOT_TESTED</t>
        </is>
      </c>
      <c r="X4" s="13" t="inlineStr">
        <is>
          <t>NOT_TESTED</t>
        </is>
      </c>
      <c r="Y4" s="13" t="inlineStr">
        <is>
          <t>NOT_TESTED</t>
        </is>
      </c>
      <c r="Z4" s="13" t="inlineStr">
        <is>
          <t>NOT_TESTED</t>
        </is>
      </c>
      <c r="AA4" s="13" t="inlineStr">
        <is>
          <t>NOT_TESTED</t>
        </is>
      </c>
      <c r="AB4" s="13" t="inlineStr">
        <is>
          <t>NOT_TESTED</t>
        </is>
      </c>
    </row>
    <row r="5">
      <c r="A5" s="2" t="inlineStr">
        <is>
          <t>issue_034</t>
        </is>
      </c>
      <c r="B5" s="13" t="inlineStr">
        <is>
          <t>NOT_TESTED</t>
        </is>
      </c>
      <c r="C5" s="13" t="inlineStr">
        <is>
          <t>NOT_TESTED</t>
        </is>
      </c>
      <c r="D5" s="13" t="inlineStr">
        <is>
          <t>NOT_TESTED</t>
        </is>
      </c>
      <c r="E5" s="13" t="inlineStr">
        <is>
          <t>NOT_TESTED</t>
        </is>
      </c>
      <c r="F5" s="13" t="inlineStr">
        <is>
          <t>NOT_TESTED</t>
        </is>
      </c>
      <c r="G5" s="13" t="inlineStr">
        <is>
          <t>NOT_TESTED</t>
        </is>
      </c>
      <c r="H5" s="13" t="inlineStr">
        <is>
          <t>NOT_TESTED</t>
        </is>
      </c>
      <c r="I5" s="13" t="inlineStr">
        <is>
          <t>NOT_TESTED</t>
        </is>
      </c>
      <c r="J5" s="13" t="inlineStr">
        <is>
          <t>NOT_TESTED</t>
        </is>
      </c>
      <c r="K5" s="13" t="inlineStr">
        <is>
          <t>NOT_TESTED</t>
        </is>
      </c>
      <c r="L5" s="13" t="inlineStr">
        <is>
          <t>NOT_TESTED</t>
        </is>
      </c>
      <c r="M5" s="13" t="inlineStr">
        <is>
          <t>NOT_TESTED</t>
        </is>
      </c>
      <c r="N5" s="16" t="inlineStr">
        <is>
          <t>Passed on test</t>
        </is>
      </c>
      <c r="O5" s="16" t="inlineStr">
        <is>
          <t>Passed on test</t>
        </is>
      </c>
      <c r="P5" s="16" t="inlineStr">
        <is>
          <t>Passed on test</t>
        </is>
      </c>
      <c r="Q5" s="16" t="inlineStr">
        <is>
          <t>Passed on test</t>
        </is>
      </c>
      <c r="R5" s="16" t="inlineStr">
        <is>
          <t>Passed on test</t>
        </is>
      </c>
      <c r="S5" s="16" t="inlineStr">
        <is>
          <t>Passed on test</t>
        </is>
      </c>
      <c r="T5" s="16" t="inlineStr">
        <is>
          <t>Passed on test</t>
        </is>
      </c>
      <c r="U5" s="16" t="inlineStr">
        <is>
          <t>Passed on test</t>
        </is>
      </c>
      <c r="V5" s="16" t="inlineStr">
        <is>
          <t>Passed on test</t>
        </is>
      </c>
      <c r="W5" s="16" t="inlineStr">
        <is>
          <t>Passed on test</t>
        </is>
      </c>
      <c r="X5" s="16" t="inlineStr">
        <is>
          <t>Passed on test</t>
        </is>
      </c>
      <c r="Y5" s="16" t="inlineStr">
        <is>
          <t>Passed on test</t>
        </is>
      </c>
      <c r="Z5" s="16" t="inlineStr">
        <is>
          <t>Passed on test</t>
        </is>
      </c>
      <c r="AA5" s="16" t="inlineStr">
        <is>
          <t>Passed on test</t>
        </is>
      </c>
      <c r="AB5" s="16" t="inlineStr">
        <is>
          <t>Passed on test</t>
        </is>
      </c>
    </row>
    <row r="6">
      <c r="A6" s="2" t="inlineStr">
        <is>
          <t>issue_036</t>
        </is>
      </c>
      <c r="B6" s="13" t="inlineStr">
        <is>
          <t>NOT_TESTED</t>
        </is>
      </c>
      <c r="C6" s="13" t="inlineStr">
        <is>
          <t>NOT_TESTED</t>
        </is>
      </c>
      <c r="D6" s="13" t="inlineStr">
        <is>
          <t>NOT_TESTED</t>
        </is>
      </c>
      <c r="E6" s="13" t="inlineStr">
        <is>
          <t>NOT_TESTED</t>
        </is>
      </c>
      <c r="F6" s="13" t="inlineStr">
        <is>
          <t>NOT_TESTED</t>
        </is>
      </c>
      <c r="G6" s="13" t="inlineStr">
        <is>
          <t>NOT_TESTED</t>
        </is>
      </c>
      <c r="H6" s="13" t="inlineStr">
        <is>
          <t>NOT_TESTED</t>
        </is>
      </c>
      <c r="I6" s="13" t="inlineStr">
        <is>
          <t>NOT_TESTED</t>
        </is>
      </c>
      <c r="J6" s="13" t="inlineStr">
        <is>
          <t>NOT_TESTED</t>
        </is>
      </c>
      <c r="K6" s="13" t="inlineStr">
        <is>
          <t>NOT_TESTED</t>
        </is>
      </c>
      <c r="L6" s="13" t="inlineStr">
        <is>
          <t>NOT_TESTED</t>
        </is>
      </c>
      <c r="M6" s="13" t="inlineStr">
        <is>
          <t>NOT_TESTED</t>
        </is>
      </c>
      <c r="N6" s="16" t="inlineStr">
        <is>
          <t>Passed on test</t>
        </is>
      </c>
      <c r="O6" s="16" t="inlineStr">
        <is>
          <t>Passed on test</t>
        </is>
      </c>
      <c r="P6" s="16" t="inlineStr">
        <is>
          <t>Passed on test</t>
        </is>
      </c>
      <c r="Q6" s="16" t="inlineStr">
        <is>
          <t>Passed on test</t>
        </is>
      </c>
      <c r="R6" s="16" t="inlineStr">
        <is>
          <t>Passed on test</t>
        </is>
      </c>
      <c r="S6" s="16" t="inlineStr">
        <is>
          <t>Passed on test</t>
        </is>
      </c>
      <c r="T6" s="16" t="inlineStr">
        <is>
          <t>Passed on test</t>
        </is>
      </c>
      <c r="U6" s="16" t="inlineStr">
        <is>
          <t>Passed on test</t>
        </is>
      </c>
      <c r="V6" s="16" t="inlineStr">
        <is>
          <t>Passed on test</t>
        </is>
      </c>
      <c r="W6" s="16" t="inlineStr">
        <is>
          <t>Passed on test</t>
        </is>
      </c>
      <c r="X6" s="16" t="inlineStr">
        <is>
          <t>Passed on test</t>
        </is>
      </c>
      <c r="Y6" s="16" t="inlineStr">
        <is>
          <t>Passed on test</t>
        </is>
      </c>
      <c r="Z6" s="16" t="inlineStr">
        <is>
          <t>Passed on test</t>
        </is>
      </c>
      <c r="AA6" s="16" t="inlineStr">
        <is>
          <t>Passed on test</t>
        </is>
      </c>
      <c r="AB6" s="16" t="inlineStr">
        <is>
          <t>Passed on test</t>
        </is>
      </c>
    </row>
    <row r="7">
      <c r="A7" s="2" t="inlineStr">
        <is>
          <t>issue_058_se</t>
        </is>
      </c>
      <c r="B7" s="16" t="inlineStr">
        <is>
          <t>Passed on test</t>
        </is>
      </c>
      <c r="C7" s="16" t="inlineStr">
        <is>
          <t>Passed on test</t>
        </is>
      </c>
      <c r="D7" s="16" t="inlineStr">
        <is>
          <t>Passed on test</t>
        </is>
      </c>
      <c r="E7" s="16" t="inlineStr">
        <is>
          <t>Passed on test</t>
        </is>
      </c>
      <c r="F7" s="16" t="inlineStr">
        <is>
          <t>Passed on test</t>
        </is>
      </c>
      <c r="G7" s="16" t="inlineStr">
        <is>
          <t>Passed on test</t>
        </is>
      </c>
      <c r="H7" s="16" t="inlineStr">
        <is>
          <t>Passed on test</t>
        </is>
      </c>
      <c r="I7" s="16" t="inlineStr">
        <is>
          <t>Passed on test</t>
        </is>
      </c>
      <c r="J7" s="16" t="inlineStr">
        <is>
          <t>Passed on test</t>
        </is>
      </c>
      <c r="K7" s="16" t="inlineStr">
        <is>
          <t>Passed on test</t>
        </is>
      </c>
      <c r="L7" s="16" t="inlineStr">
        <is>
          <t>Passed on test</t>
        </is>
      </c>
      <c r="M7" s="16" t="inlineStr">
        <is>
          <t>Passed on test</t>
        </is>
      </c>
      <c r="N7" s="13" t="inlineStr">
        <is>
          <t>NOT_TESTED</t>
        </is>
      </c>
      <c r="O7" s="13" t="inlineStr">
        <is>
          <t>NOT_TESTED</t>
        </is>
      </c>
      <c r="P7" s="13" t="inlineStr">
        <is>
          <t>NOT_TESTED</t>
        </is>
      </c>
      <c r="Q7" s="13" t="inlineStr">
        <is>
          <t>NOT_TESTED</t>
        </is>
      </c>
      <c r="R7" s="13" t="inlineStr">
        <is>
          <t>NOT_TESTED</t>
        </is>
      </c>
      <c r="S7" s="13" t="inlineStr">
        <is>
          <t>NOT_TESTED</t>
        </is>
      </c>
      <c r="T7" s="13" t="inlineStr">
        <is>
          <t>NOT_TESTED</t>
        </is>
      </c>
      <c r="U7" s="13" t="inlineStr">
        <is>
          <t>NOT_TESTED</t>
        </is>
      </c>
      <c r="V7" s="13" t="inlineStr">
        <is>
          <t>NOT_TESTED</t>
        </is>
      </c>
      <c r="W7" s="13" t="inlineStr">
        <is>
          <t>NOT_TESTED</t>
        </is>
      </c>
      <c r="X7" s="13" t="inlineStr">
        <is>
          <t>NOT_TESTED</t>
        </is>
      </c>
      <c r="Y7" s="13" t="inlineStr">
        <is>
          <t>NOT_TESTED</t>
        </is>
      </c>
      <c r="Z7" s="13" t="inlineStr">
        <is>
          <t>NOT_TESTED</t>
        </is>
      </c>
      <c r="AA7" s="13" t="inlineStr">
        <is>
          <t>NOT_TESTED</t>
        </is>
      </c>
      <c r="AB7" s="13" t="inlineStr">
        <is>
          <t>NOT_TESTED</t>
        </is>
      </c>
    </row>
    <row r="8">
      <c r="A8" s="2" t="inlineStr">
        <is>
          <t>issue_061</t>
        </is>
      </c>
      <c r="B8" s="13" t="inlineStr">
        <is>
          <t>NOT_TESTED</t>
        </is>
      </c>
      <c r="C8" s="13" t="inlineStr">
        <is>
          <t>NOT_TESTED</t>
        </is>
      </c>
      <c r="D8" s="13" t="inlineStr">
        <is>
          <t>NOT_TESTED</t>
        </is>
      </c>
      <c r="E8" s="13" t="inlineStr">
        <is>
          <t>NOT_TESTED</t>
        </is>
      </c>
      <c r="F8" s="13" t="inlineStr">
        <is>
          <t>NOT_TESTED</t>
        </is>
      </c>
      <c r="G8" s="13" t="inlineStr">
        <is>
          <t>NOT_TESTED</t>
        </is>
      </c>
      <c r="H8" s="13" t="inlineStr">
        <is>
          <t>NOT_TESTED</t>
        </is>
      </c>
      <c r="I8" s="13" t="inlineStr">
        <is>
          <t>NOT_TESTED</t>
        </is>
      </c>
      <c r="J8" s="13" t="inlineStr">
        <is>
          <t>NOT_TESTED</t>
        </is>
      </c>
      <c r="K8" s="13" t="inlineStr">
        <is>
          <t>NOT_TESTED</t>
        </is>
      </c>
      <c r="L8" s="13" t="inlineStr">
        <is>
          <t>NOT_TESTED</t>
        </is>
      </c>
      <c r="M8" s="13" t="inlineStr">
        <is>
          <t>NOT_TESTED</t>
        </is>
      </c>
      <c r="N8" s="16" t="inlineStr">
        <is>
          <t>Passed on test</t>
        </is>
      </c>
      <c r="O8" s="16" t="inlineStr">
        <is>
          <t>Passed on test</t>
        </is>
      </c>
      <c r="P8" s="16" t="inlineStr">
        <is>
          <t>Passed on test</t>
        </is>
      </c>
      <c r="Q8" s="16" t="inlineStr">
        <is>
          <t>Passed on test</t>
        </is>
      </c>
      <c r="R8" s="16" t="inlineStr">
        <is>
          <t>Passed on test</t>
        </is>
      </c>
      <c r="S8" s="16" t="inlineStr">
        <is>
          <t>Passed on test</t>
        </is>
      </c>
      <c r="T8" s="16" t="inlineStr">
        <is>
          <t>Passed on test</t>
        </is>
      </c>
      <c r="U8" s="16" t="inlineStr">
        <is>
          <t>Passed on test</t>
        </is>
      </c>
      <c r="V8" s="16" t="inlineStr">
        <is>
          <t>Passed on test</t>
        </is>
      </c>
      <c r="W8" s="16" t="inlineStr">
        <is>
          <t>Passed on test</t>
        </is>
      </c>
      <c r="X8" s="16" t="inlineStr">
        <is>
          <t>Passed on test</t>
        </is>
      </c>
      <c r="Y8" s="16" t="inlineStr">
        <is>
          <t>Passed on test</t>
        </is>
      </c>
      <c r="Z8" s="16" t="inlineStr">
        <is>
          <t>Passed on test</t>
        </is>
      </c>
      <c r="AA8" s="16" t="inlineStr">
        <is>
          <t>Passed on test</t>
        </is>
      </c>
      <c r="AB8" s="16" t="inlineStr">
        <is>
          <t>Passed on test</t>
        </is>
      </c>
    </row>
    <row r="9">
      <c r="A9" s="2" t="inlineStr">
        <is>
          <t>issue_072</t>
        </is>
      </c>
      <c r="B9" s="16" t="inlineStr">
        <is>
          <t>Passed on test</t>
        </is>
      </c>
      <c r="C9" s="16" t="inlineStr">
        <is>
          <t>Passed on test</t>
        </is>
      </c>
      <c r="D9" s="16" t="inlineStr">
        <is>
          <t>Passed on test</t>
        </is>
      </c>
      <c r="E9" s="16" t="inlineStr">
        <is>
          <t>Passed on test</t>
        </is>
      </c>
      <c r="F9" s="13" t="inlineStr">
        <is>
          <t>NOT_TESTED</t>
        </is>
      </c>
      <c r="G9" s="13" t="inlineStr">
        <is>
          <t>NOT_TESTED</t>
        </is>
      </c>
      <c r="H9" s="13" t="inlineStr">
        <is>
          <t>NOT_TESTED</t>
        </is>
      </c>
      <c r="I9" s="13" t="inlineStr">
        <is>
          <t>NOT_TESTED</t>
        </is>
      </c>
      <c r="J9" s="13" t="inlineStr">
        <is>
          <t>NOT_TESTED</t>
        </is>
      </c>
      <c r="K9" s="13" t="inlineStr">
        <is>
          <t>NOT_TESTED</t>
        </is>
      </c>
      <c r="L9" s="13" t="inlineStr">
        <is>
          <t>NOT_TESTED</t>
        </is>
      </c>
      <c r="M9" s="13" t="inlineStr">
        <is>
          <t>NOT_TESTED</t>
        </is>
      </c>
      <c r="N9" s="13" t="inlineStr">
        <is>
          <t>NOT_TESTED</t>
        </is>
      </c>
      <c r="O9" s="13" t="inlineStr">
        <is>
          <t>NOT_TESTED</t>
        </is>
      </c>
      <c r="P9" s="13" t="inlineStr">
        <is>
          <t>NOT_TESTED</t>
        </is>
      </c>
      <c r="Q9" s="13" t="inlineStr">
        <is>
          <t>NOT_TESTED</t>
        </is>
      </c>
      <c r="R9" s="13" t="inlineStr">
        <is>
          <t>NOT_TESTED</t>
        </is>
      </c>
      <c r="S9" s="13" t="inlineStr">
        <is>
          <t>NOT_TESTED</t>
        </is>
      </c>
      <c r="T9" s="13" t="inlineStr">
        <is>
          <t>NOT_TESTED</t>
        </is>
      </c>
      <c r="U9" s="13" t="inlineStr">
        <is>
          <t>NOT_TESTED</t>
        </is>
      </c>
      <c r="V9" s="13" t="inlineStr">
        <is>
          <t>NOT_TESTED</t>
        </is>
      </c>
      <c r="W9" s="13" t="inlineStr">
        <is>
          <t>NOT_TESTED</t>
        </is>
      </c>
      <c r="X9" s="13" t="inlineStr">
        <is>
          <t>NOT_TESTED</t>
        </is>
      </c>
      <c r="Y9" s="13" t="inlineStr">
        <is>
          <t>NOT_TESTED</t>
        </is>
      </c>
      <c r="Z9" s="13" t="inlineStr">
        <is>
          <t>NOT_TESTED</t>
        </is>
      </c>
      <c r="AA9" s="13" t="inlineStr">
        <is>
          <t>NOT_TESTED</t>
        </is>
      </c>
      <c r="AB9" s="13" t="inlineStr">
        <is>
          <t>NOT_TESTED</t>
        </is>
      </c>
    </row>
    <row r="10">
      <c r="A10" s="2" t="inlineStr">
        <is>
          <t>issue_096</t>
        </is>
      </c>
      <c r="B10" s="15" t="inlineStr">
        <is>
          <t>Failed on test</t>
        </is>
      </c>
      <c r="C10" s="15" t="inlineStr">
        <is>
          <t>Failed on test</t>
        </is>
      </c>
      <c r="D10" s="15" t="inlineStr">
        <is>
          <t>Failed on test</t>
        </is>
      </c>
      <c r="E10" s="15" t="inlineStr">
        <is>
          <t>Failed on test</t>
        </is>
      </c>
      <c r="F10" s="15" t="inlineStr">
        <is>
          <t>Failed on test</t>
        </is>
      </c>
      <c r="G10" s="15" t="inlineStr">
        <is>
          <t>Failed on test</t>
        </is>
      </c>
      <c r="H10" s="15" t="inlineStr">
        <is>
          <t>Failed on test</t>
        </is>
      </c>
      <c r="I10" s="15" t="inlineStr">
        <is>
          <t>Failed on test</t>
        </is>
      </c>
      <c r="J10" s="15" t="inlineStr">
        <is>
          <t>Failed on test</t>
        </is>
      </c>
      <c r="K10" s="15" t="inlineStr">
        <is>
          <t>Failed on test</t>
        </is>
      </c>
      <c r="L10" s="15" t="inlineStr">
        <is>
          <t>Failed on test</t>
        </is>
      </c>
      <c r="M10" s="15" t="inlineStr">
        <is>
          <t>Failed on test</t>
        </is>
      </c>
      <c r="N10" s="15" t="inlineStr">
        <is>
          <t>Failed on test</t>
        </is>
      </c>
      <c r="O10" s="15" t="inlineStr">
        <is>
          <t>Failed on test</t>
        </is>
      </c>
      <c r="P10" s="15" t="inlineStr">
        <is>
          <t>Failed on test</t>
        </is>
      </c>
      <c r="Q10" s="15" t="inlineStr">
        <is>
          <t>Failed on test</t>
        </is>
      </c>
      <c r="R10" s="15" t="inlineStr">
        <is>
          <t>Failed on test</t>
        </is>
      </c>
      <c r="S10" s="15" t="inlineStr">
        <is>
          <t>Failed on test</t>
        </is>
      </c>
      <c r="T10" s="15" t="inlineStr">
        <is>
          <t>Failed on test</t>
        </is>
      </c>
      <c r="U10" s="15" t="inlineStr">
        <is>
          <t>Failed on test</t>
        </is>
      </c>
      <c r="V10" s="15" t="inlineStr">
        <is>
          <t>Failed on test</t>
        </is>
      </c>
      <c r="W10" s="15" t="inlineStr">
        <is>
          <t>Failed on test</t>
        </is>
      </c>
      <c r="X10" s="15" t="inlineStr">
        <is>
          <t>Failed on test</t>
        </is>
      </c>
      <c r="Y10" s="15" t="inlineStr">
        <is>
          <t>Failed on test</t>
        </is>
      </c>
      <c r="Z10" s="15" t="inlineStr">
        <is>
          <t>Failed on test</t>
        </is>
      </c>
      <c r="AA10" s="15" t="inlineStr">
        <is>
          <t>Failed on test</t>
        </is>
      </c>
      <c r="AB10" s="15" t="inlineStr">
        <is>
          <t>Failed on test</t>
        </is>
      </c>
    </row>
    <row r="11">
      <c r="A11" s="2" t="inlineStr">
        <is>
          <t>issue_155</t>
        </is>
      </c>
      <c r="B11" s="14" t="inlineStr">
        <is>
          <t>Runtime error</t>
        </is>
      </c>
      <c r="C11" s="14" t="inlineStr">
        <is>
          <t>Runtime error</t>
        </is>
      </c>
      <c r="D11" s="14" t="inlineStr">
        <is>
          <t>Runtime error</t>
        </is>
      </c>
      <c r="E11" s="14" t="inlineStr">
        <is>
          <t>Runtime error</t>
        </is>
      </c>
      <c r="F11" s="16" t="inlineStr">
        <is>
          <t>Passed on test</t>
        </is>
      </c>
      <c r="G11" s="16" t="inlineStr">
        <is>
          <t>Passed on test</t>
        </is>
      </c>
      <c r="H11" s="16" t="inlineStr">
        <is>
          <t>Passed on test</t>
        </is>
      </c>
      <c r="I11" s="16" t="inlineStr">
        <is>
          <t>Passed on test</t>
        </is>
      </c>
      <c r="J11" s="16" t="inlineStr">
        <is>
          <t>Passed on test</t>
        </is>
      </c>
      <c r="K11" s="16" t="inlineStr">
        <is>
          <t>Passed on test</t>
        </is>
      </c>
      <c r="L11" s="16" t="inlineStr">
        <is>
          <t>Passed on test</t>
        </is>
      </c>
      <c r="M11" s="16" t="inlineStr">
        <is>
          <t>Passed on test</t>
        </is>
      </c>
      <c r="N11" s="13" t="inlineStr">
        <is>
          <t>NOT_TESTED</t>
        </is>
      </c>
      <c r="O11" s="13" t="inlineStr">
        <is>
          <t>NOT_TESTED</t>
        </is>
      </c>
      <c r="P11" s="13" t="inlineStr">
        <is>
          <t>NOT_TESTED</t>
        </is>
      </c>
      <c r="Q11" s="13" t="inlineStr">
        <is>
          <t>NOT_TESTED</t>
        </is>
      </c>
      <c r="R11" s="13" t="inlineStr">
        <is>
          <t>NOT_TESTED</t>
        </is>
      </c>
      <c r="S11" s="13" t="inlineStr">
        <is>
          <t>NOT_TESTED</t>
        </is>
      </c>
      <c r="T11" s="13" t="inlineStr">
        <is>
          <t>NOT_TESTED</t>
        </is>
      </c>
      <c r="U11" s="13" t="inlineStr">
        <is>
          <t>NOT_TESTED</t>
        </is>
      </c>
      <c r="V11" s="13" t="inlineStr">
        <is>
          <t>NOT_TESTED</t>
        </is>
      </c>
      <c r="W11" s="13" t="inlineStr">
        <is>
          <t>NOT_TESTED</t>
        </is>
      </c>
      <c r="X11" s="13" t="inlineStr">
        <is>
          <t>NOT_TESTED</t>
        </is>
      </c>
      <c r="Y11" s="13" t="inlineStr">
        <is>
          <t>NOT_TESTED</t>
        </is>
      </c>
      <c r="Z11" s="13" t="inlineStr">
        <is>
          <t>NOT_TESTED</t>
        </is>
      </c>
      <c r="AA11" s="13" t="inlineStr">
        <is>
          <t>NOT_TESTED</t>
        </is>
      </c>
      <c r="AB11" s="13" t="inlineStr">
        <is>
          <t>NOT_TESTED</t>
        </is>
      </c>
    </row>
    <row r="12">
      <c r="A12" s="2" t="inlineStr">
        <is>
          <t>issue_157</t>
        </is>
      </c>
      <c r="B12" s="14" t="inlineStr">
        <is>
          <t>Runtime error</t>
        </is>
      </c>
      <c r="C12" s="14" t="inlineStr">
        <is>
          <t>Runtime error</t>
        </is>
      </c>
      <c r="D12" s="14" t="inlineStr">
        <is>
          <t>Runtime error</t>
        </is>
      </c>
      <c r="E12" s="14" t="inlineStr">
        <is>
          <t>Runtime error</t>
        </is>
      </c>
      <c r="F12" s="16" t="inlineStr">
        <is>
          <t>Passed on test</t>
        </is>
      </c>
      <c r="G12" s="16" t="inlineStr">
        <is>
          <t>Passed on test</t>
        </is>
      </c>
      <c r="H12" s="16" t="inlineStr">
        <is>
          <t>Passed on test</t>
        </is>
      </c>
      <c r="I12" s="16" t="inlineStr">
        <is>
          <t>Passed on test</t>
        </is>
      </c>
      <c r="J12" s="16" t="inlineStr">
        <is>
          <t>Passed on test</t>
        </is>
      </c>
      <c r="K12" s="16" t="inlineStr">
        <is>
          <t>Passed on test</t>
        </is>
      </c>
      <c r="L12" s="16" t="inlineStr">
        <is>
          <t>Passed on test</t>
        </is>
      </c>
      <c r="M12" s="16" t="inlineStr">
        <is>
          <t>Passed on test</t>
        </is>
      </c>
      <c r="N12" s="13" t="inlineStr">
        <is>
          <t>NOT_TESTED</t>
        </is>
      </c>
      <c r="O12" s="13" t="inlineStr">
        <is>
          <t>NOT_TESTED</t>
        </is>
      </c>
      <c r="P12" s="13" t="inlineStr">
        <is>
          <t>NOT_TESTED</t>
        </is>
      </c>
      <c r="Q12" s="13" t="inlineStr">
        <is>
          <t>NOT_TESTED</t>
        </is>
      </c>
      <c r="R12" s="13" t="inlineStr">
        <is>
          <t>NOT_TESTED</t>
        </is>
      </c>
      <c r="S12" s="13" t="inlineStr">
        <is>
          <t>NOT_TESTED</t>
        </is>
      </c>
      <c r="T12" s="13" t="inlineStr">
        <is>
          <t>NOT_TESTED</t>
        </is>
      </c>
      <c r="U12" s="13" t="inlineStr">
        <is>
          <t>NOT_TESTED</t>
        </is>
      </c>
      <c r="V12" s="13" t="inlineStr">
        <is>
          <t>NOT_TESTED</t>
        </is>
      </c>
      <c r="W12" s="13" t="inlineStr">
        <is>
          <t>NOT_TESTED</t>
        </is>
      </c>
      <c r="X12" s="13" t="inlineStr">
        <is>
          <t>NOT_TESTED</t>
        </is>
      </c>
      <c r="Y12" s="13" t="inlineStr">
        <is>
          <t>NOT_TESTED</t>
        </is>
      </c>
      <c r="Z12" s="13" t="inlineStr">
        <is>
          <t>NOT_TESTED</t>
        </is>
      </c>
      <c r="AA12" s="13" t="inlineStr">
        <is>
          <t>NOT_TESTED</t>
        </is>
      </c>
      <c r="AB12" s="13" t="inlineStr">
        <is>
          <t>NOT_TESTED</t>
        </is>
      </c>
    </row>
    <row r="13">
      <c r="A13" s="2" t="inlineStr">
        <is>
          <t>issue_174</t>
        </is>
      </c>
      <c r="B13" s="14" t="inlineStr">
        <is>
          <t>Runtime error</t>
        </is>
      </c>
      <c r="C13" s="14" t="inlineStr">
        <is>
          <t>Runtime error</t>
        </is>
      </c>
      <c r="D13" s="14" t="inlineStr">
        <is>
          <t>Runtime error</t>
        </is>
      </c>
      <c r="E13" s="14" t="inlineStr">
        <is>
          <t>Runtime error</t>
        </is>
      </c>
      <c r="F13" s="14" t="inlineStr">
        <is>
          <t>Runtime error</t>
        </is>
      </c>
      <c r="G13" s="14" t="inlineStr">
        <is>
          <t>Runtime error</t>
        </is>
      </c>
      <c r="H13" s="14" t="inlineStr">
        <is>
          <t>Runtime error</t>
        </is>
      </c>
      <c r="I13" s="14" t="inlineStr">
        <is>
          <t>Runtime error</t>
        </is>
      </c>
      <c r="J13" s="14" t="inlineStr">
        <is>
          <t>Runtime error</t>
        </is>
      </c>
      <c r="K13" s="14" t="inlineStr">
        <is>
          <t>Runtime error</t>
        </is>
      </c>
      <c r="L13" s="14" t="inlineStr">
        <is>
          <t>Runtime error</t>
        </is>
      </c>
      <c r="M13" s="14" t="inlineStr">
        <is>
          <t>Runtime error</t>
        </is>
      </c>
      <c r="N13" s="13" t="inlineStr">
        <is>
          <t>NOT_TESTED</t>
        </is>
      </c>
      <c r="O13" s="13" t="inlineStr">
        <is>
          <t>NOT_TESTED</t>
        </is>
      </c>
      <c r="P13" s="13" t="inlineStr">
        <is>
          <t>NOT_TESTED</t>
        </is>
      </c>
      <c r="Q13" s="13" t="inlineStr">
        <is>
          <t>NOT_TESTED</t>
        </is>
      </c>
      <c r="R13" s="13" t="inlineStr">
        <is>
          <t>NOT_TESTED</t>
        </is>
      </c>
      <c r="S13" s="13" t="inlineStr">
        <is>
          <t>NOT_TESTED</t>
        </is>
      </c>
      <c r="T13" s="13" t="inlineStr">
        <is>
          <t>NOT_TESTED</t>
        </is>
      </c>
      <c r="U13" s="13" t="inlineStr">
        <is>
          <t>NOT_TESTED</t>
        </is>
      </c>
      <c r="V13" s="13" t="inlineStr">
        <is>
          <t>NOT_TESTED</t>
        </is>
      </c>
      <c r="W13" s="13" t="inlineStr">
        <is>
          <t>NOT_TESTED</t>
        </is>
      </c>
      <c r="X13" s="13" t="inlineStr">
        <is>
          <t>NOT_TESTED</t>
        </is>
      </c>
      <c r="Y13" s="13" t="inlineStr">
        <is>
          <t>NOT_TESTED</t>
        </is>
      </c>
      <c r="Z13" s="13" t="inlineStr">
        <is>
          <t>NOT_TESTED</t>
        </is>
      </c>
      <c r="AA13" s="13" t="inlineStr">
        <is>
          <t>NOT_TESTED</t>
        </is>
      </c>
      <c r="AB13" s="13" t="inlineStr">
        <is>
          <t>NOT_TESTED</t>
        </is>
      </c>
    </row>
    <row r="14">
      <c r="A14" s="2" t="inlineStr">
        <is>
          <t>issue_189</t>
        </is>
      </c>
      <c r="B14" s="13" t="inlineStr">
        <is>
          <t>NOT_TESTED</t>
        </is>
      </c>
      <c r="C14" s="13" t="inlineStr">
        <is>
          <t>NOT_TESTED</t>
        </is>
      </c>
      <c r="D14" s="13" t="inlineStr">
        <is>
          <t>NOT_TESTED</t>
        </is>
      </c>
      <c r="E14" s="13" t="inlineStr">
        <is>
          <t>NOT_TESTED</t>
        </is>
      </c>
      <c r="F14" s="16" t="inlineStr">
        <is>
          <t>Failed on test</t>
        </is>
      </c>
      <c r="G14" s="16" t="inlineStr">
        <is>
          <t>Failed on test</t>
        </is>
      </c>
      <c r="H14" s="16" t="inlineStr">
        <is>
          <t>Failed on test</t>
        </is>
      </c>
      <c r="I14" s="16" t="inlineStr">
        <is>
          <t>Failed on test</t>
        </is>
      </c>
      <c r="J14" s="16" t="inlineStr">
        <is>
          <t>Failed on test</t>
        </is>
      </c>
      <c r="K14" s="16" t="inlineStr">
        <is>
          <t>Failed on test</t>
        </is>
      </c>
      <c r="L14" s="16" t="inlineStr">
        <is>
          <t>Failed on test</t>
        </is>
      </c>
      <c r="M14" s="16" t="inlineStr">
        <is>
          <t>Failed on test</t>
        </is>
      </c>
      <c r="N14" s="16" t="inlineStr">
        <is>
          <t>Failed on test</t>
        </is>
      </c>
      <c r="O14" s="16" t="inlineStr">
        <is>
          <t>Failed on test</t>
        </is>
      </c>
      <c r="P14" s="16" t="inlineStr">
        <is>
          <t>Failed on test</t>
        </is>
      </c>
      <c r="Q14" s="16" t="inlineStr">
        <is>
          <t>Failed on test</t>
        </is>
      </c>
      <c r="R14" s="16" t="inlineStr">
        <is>
          <t>Failed on test</t>
        </is>
      </c>
      <c r="S14" s="16" t="inlineStr">
        <is>
          <t>Failed on test</t>
        </is>
      </c>
      <c r="T14" s="16" t="inlineStr">
        <is>
          <t>Failed on test</t>
        </is>
      </c>
      <c r="U14" s="16" t="inlineStr">
        <is>
          <t>Failed on test</t>
        </is>
      </c>
      <c r="V14" s="16" t="inlineStr">
        <is>
          <t>Failed on test</t>
        </is>
      </c>
      <c r="W14" s="16" t="inlineStr">
        <is>
          <t>Failed on test</t>
        </is>
      </c>
      <c r="X14" s="16" t="inlineStr">
        <is>
          <t>Failed on test</t>
        </is>
      </c>
      <c r="Y14" s="16" t="inlineStr">
        <is>
          <t>Failed on test</t>
        </is>
      </c>
      <c r="Z14" s="16" t="inlineStr">
        <is>
          <t>Failed on test</t>
        </is>
      </c>
      <c r="AA14" s="16" t="inlineStr">
        <is>
          <t>Failed on test</t>
        </is>
      </c>
      <c r="AB14" s="16" t="inlineStr">
        <is>
          <t>Failed on test</t>
        </is>
      </c>
    </row>
    <row r="15">
      <c r="A15" s="2" t="inlineStr">
        <is>
          <t>issue_225</t>
        </is>
      </c>
      <c r="B15" s="13" t="inlineStr">
        <is>
          <t>NOT_TESTED</t>
        </is>
      </c>
      <c r="C15" s="13" t="inlineStr">
        <is>
          <t>NOT_TESTED</t>
        </is>
      </c>
      <c r="D15" s="13" t="inlineStr">
        <is>
          <t>NOT_TESTED</t>
        </is>
      </c>
      <c r="E15" s="13" t="inlineStr">
        <is>
          <t>NOT_TESTED</t>
        </is>
      </c>
      <c r="F15" s="16" t="inlineStr">
        <is>
          <t>Passed on test</t>
        </is>
      </c>
      <c r="G15" s="16" t="inlineStr">
        <is>
          <t>Passed on test</t>
        </is>
      </c>
      <c r="H15" s="16" t="inlineStr">
        <is>
          <t>Passed on test</t>
        </is>
      </c>
      <c r="I15" s="16" t="inlineStr">
        <is>
          <t>Passed on test</t>
        </is>
      </c>
      <c r="J15" s="16" t="inlineStr">
        <is>
          <t>Passed on test</t>
        </is>
      </c>
      <c r="K15" s="16" t="inlineStr">
        <is>
          <t>Passed on test</t>
        </is>
      </c>
      <c r="L15" s="16" t="inlineStr">
        <is>
          <t>Passed on test</t>
        </is>
      </c>
      <c r="M15" s="16" t="inlineStr">
        <is>
          <t>Passed on test</t>
        </is>
      </c>
      <c r="N15" s="13" t="inlineStr">
        <is>
          <t>NOT_TESTED</t>
        </is>
      </c>
      <c r="O15" s="13" t="inlineStr">
        <is>
          <t>NOT_TESTED</t>
        </is>
      </c>
      <c r="P15" s="13" t="inlineStr">
        <is>
          <t>NOT_TESTED</t>
        </is>
      </c>
      <c r="Q15" s="13" t="inlineStr">
        <is>
          <t>NOT_TESTED</t>
        </is>
      </c>
      <c r="R15" s="13" t="inlineStr">
        <is>
          <t>NOT_TESTED</t>
        </is>
      </c>
      <c r="S15" s="13" t="inlineStr">
        <is>
          <t>NOT_TESTED</t>
        </is>
      </c>
      <c r="T15" s="13" t="inlineStr">
        <is>
          <t>NOT_TESTED</t>
        </is>
      </c>
      <c r="U15" s="13" t="inlineStr">
        <is>
          <t>NOT_TESTED</t>
        </is>
      </c>
      <c r="V15" s="13" t="inlineStr">
        <is>
          <t>NOT_TESTED</t>
        </is>
      </c>
      <c r="W15" s="13" t="inlineStr">
        <is>
          <t>NOT_TESTED</t>
        </is>
      </c>
      <c r="X15" s="13" t="inlineStr">
        <is>
          <t>NOT_TESTED</t>
        </is>
      </c>
      <c r="Y15" s="13" t="inlineStr">
        <is>
          <t>NOT_TESTED</t>
        </is>
      </c>
      <c r="Z15" s="13" t="inlineStr">
        <is>
          <t>NOT_TESTED</t>
        </is>
      </c>
      <c r="AA15" s="13" t="inlineStr">
        <is>
          <t>NOT_TESTED</t>
        </is>
      </c>
      <c r="AB15" s="13" t="inlineStr">
        <is>
          <t>NOT_TESTED</t>
        </is>
      </c>
    </row>
    <row r="16">
      <c r="A16" s="2" t="inlineStr">
        <is>
          <t>issue_233</t>
        </is>
      </c>
      <c r="B16" s="14" t="inlineStr">
        <is>
          <t>Runtime error</t>
        </is>
      </c>
      <c r="C16" s="14" t="inlineStr">
        <is>
          <t>Runtime error</t>
        </is>
      </c>
      <c r="D16" s="14" t="inlineStr">
        <is>
          <t>Runtime error</t>
        </is>
      </c>
      <c r="E16" s="14" t="inlineStr">
        <is>
          <t>Runtime error</t>
        </is>
      </c>
      <c r="F16" s="14" t="inlineStr">
        <is>
          <t>Runtime error</t>
        </is>
      </c>
      <c r="G16" s="14" t="inlineStr">
        <is>
          <t>Runtime error</t>
        </is>
      </c>
      <c r="H16" s="14" t="inlineStr">
        <is>
          <t>Runtime error</t>
        </is>
      </c>
      <c r="I16" s="14" t="inlineStr">
        <is>
          <t>Runtime error</t>
        </is>
      </c>
      <c r="J16" s="14" t="inlineStr">
        <is>
          <t>Runtime error</t>
        </is>
      </c>
      <c r="K16" s="14" t="inlineStr">
        <is>
          <t>Runtime error</t>
        </is>
      </c>
      <c r="L16" s="14" t="inlineStr">
        <is>
          <t>Runtime error</t>
        </is>
      </c>
      <c r="M16" s="14" t="inlineStr">
        <is>
          <t>Runtime error</t>
        </is>
      </c>
      <c r="N16" s="14" t="inlineStr">
        <is>
          <t>Runtime error</t>
        </is>
      </c>
      <c r="O16" s="14" t="inlineStr">
        <is>
          <t>Runtime error</t>
        </is>
      </c>
      <c r="P16" s="14" t="inlineStr">
        <is>
          <t>Runtime error</t>
        </is>
      </c>
      <c r="Q16" s="14" t="inlineStr">
        <is>
          <t>Runtime error</t>
        </is>
      </c>
      <c r="R16" s="14" t="inlineStr">
        <is>
          <t>Runtime error</t>
        </is>
      </c>
      <c r="S16" s="14" t="inlineStr">
        <is>
          <t>Runtime error</t>
        </is>
      </c>
      <c r="T16" s="14" t="inlineStr">
        <is>
          <t>Runtime error</t>
        </is>
      </c>
      <c r="U16" s="14" t="inlineStr">
        <is>
          <t>Runtime error</t>
        </is>
      </c>
      <c r="V16" s="14" t="inlineStr">
        <is>
          <t>Runtime error</t>
        </is>
      </c>
      <c r="W16" s="14" t="inlineStr">
        <is>
          <t>Runtime error</t>
        </is>
      </c>
      <c r="X16" s="14" t="inlineStr">
        <is>
          <t>Runtime error</t>
        </is>
      </c>
      <c r="Y16" s="14" t="inlineStr">
        <is>
          <t>Runtime error</t>
        </is>
      </c>
      <c r="Z16" s="14" t="inlineStr">
        <is>
          <t>Runtime error</t>
        </is>
      </c>
      <c r="AA16" s="14" t="inlineStr">
        <is>
          <t>Runtime error</t>
        </is>
      </c>
      <c r="AB16" s="14" t="inlineStr">
        <is>
          <t>Runtime error</t>
        </is>
      </c>
    </row>
    <row r="17">
      <c r="A17" s="2" t="inlineStr">
        <is>
          <t>issue_261</t>
        </is>
      </c>
      <c r="B17" s="16" t="inlineStr">
        <is>
          <t>Passed on test</t>
        </is>
      </c>
      <c r="C17" s="16" t="inlineStr">
        <is>
          <t>Passed on test</t>
        </is>
      </c>
      <c r="D17" s="16" t="inlineStr">
        <is>
          <t>Passed on test</t>
        </is>
      </c>
      <c r="E17" s="16" t="inlineStr">
        <is>
          <t>Passed on test</t>
        </is>
      </c>
      <c r="F17" s="16" t="inlineStr">
        <is>
          <t>Passed on test</t>
        </is>
      </c>
      <c r="G17" s="16" t="inlineStr">
        <is>
          <t>Passed on test</t>
        </is>
      </c>
      <c r="H17" s="16" t="inlineStr">
        <is>
          <t>Passed on test</t>
        </is>
      </c>
      <c r="I17" s="16" t="inlineStr">
        <is>
          <t>Passed on test</t>
        </is>
      </c>
      <c r="J17" s="16" t="inlineStr">
        <is>
          <t>Passed on test</t>
        </is>
      </c>
      <c r="K17" s="16" t="inlineStr">
        <is>
          <t>Passed on test</t>
        </is>
      </c>
      <c r="L17" s="16" t="inlineStr">
        <is>
          <t>Passed on test</t>
        </is>
      </c>
      <c r="M17" s="16" t="inlineStr">
        <is>
          <t>Passed on test</t>
        </is>
      </c>
      <c r="N17" s="13" t="inlineStr">
        <is>
          <t>NOT_TESTED</t>
        </is>
      </c>
      <c r="O17" s="13" t="inlineStr">
        <is>
          <t>NOT_TESTED</t>
        </is>
      </c>
      <c r="P17" s="13" t="inlineStr">
        <is>
          <t>NOT_TESTED</t>
        </is>
      </c>
      <c r="Q17" s="13" t="inlineStr">
        <is>
          <t>NOT_TESTED</t>
        </is>
      </c>
      <c r="R17" s="13" t="inlineStr">
        <is>
          <t>NOT_TESTED</t>
        </is>
      </c>
      <c r="S17" s="13" t="inlineStr">
        <is>
          <t>NOT_TESTED</t>
        </is>
      </c>
      <c r="T17" s="13" t="inlineStr">
        <is>
          <t>NOT_TESTED</t>
        </is>
      </c>
      <c r="U17" s="13" t="inlineStr">
        <is>
          <t>NOT_TESTED</t>
        </is>
      </c>
      <c r="V17" s="13" t="inlineStr">
        <is>
          <t>NOT_TESTED</t>
        </is>
      </c>
      <c r="W17" s="13" t="inlineStr">
        <is>
          <t>NOT_TESTED</t>
        </is>
      </c>
      <c r="X17" s="13" t="inlineStr">
        <is>
          <t>NOT_TESTED</t>
        </is>
      </c>
      <c r="Y17" s="13" t="inlineStr">
        <is>
          <t>NOT_TESTED</t>
        </is>
      </c>
      <c r="Z17" s="13" t="inlineStr">
        <is>
          <t>NOT_TESTED</t>
        </is>
      </c>
      <c r="AA17" s="13" t="inlineStr">
        <is>
          <t>NOT_TESTED</t>
        </is>
      </c>
      <c r="AB17" s="13" t="inlineStr">
        <is>
          <t>NOT_TESTED</t>
        </is>
      </c>
    </row>
    <row r="18">
      <c r="A18" s="2" t="inlineStr">
        <is>
          <t>issue_280</t>
        </is>
      </c>
      <c r="B18" s="16" t="inlineStr">
        <is>
          <t>Passed on test</t>
        </is>
      </c>
      <c r="C18" s="16" t="inlineStr">
        <is>
          <t>Passed on test</t>
        </is>
      </c>
      <c r="D18" s="16" t="inlineStr">
        <is>
          <t>Passed on test</t>
        </is>
      </c>
      <c r="E18" s="16" t="inlineStr">
        <is>
          <t>Passed on test</t>
        </is>
      </c>
      <c r="F18" s="16" t="inlineStr">
        <is>
          <t>Passed on test</t>
        </is>
      </c>
      <c r="G18" s="16" t="inlineStr">
        <is>
          <t>Passed on test</t>
        </is>
      </c>
      <c r="H18" s="16" t="inlineStr">
        <is>
          <t>Passed on test</t>
        </is>
      </c>
      <c r="I18" s="16" t="inlineStr">
        <is>
          <t>Passed on test</t>
        </is>
      </c>
      <c r="J18" s="16" t="inlineStr">
        <is>
          <t>Passed on test</t>
        </is>
      </c>
      <c r="K18" s="16" t="inlineStr">
        <is>
          <t>Passed on test</t>
        </is>
      </c>
      <c r="L18" s="16" t="inlineStr">
        <is>
          <t>Passed on test</t>
        </is>
      </c>
      <c r="M18" s="16" t="inlineStr">
        <is>
          <t>Passed on test</t>
        </is>
      </c>
      <c r="N18" s="13" t="inlineStr">
        <is>
          <t>NOT_TESTED</t>
        </is>
      </c>
      <c r="O18" s="13" t="inlineStr">
        <is>
          <t>NOT_TESTED</t>
        </is>
      </c>
      <c r="P18" s="13" t="inlineStr">
        <is>
          <t>NOT_TESTED</t>
        </is>
      </c>
      <c r="Q18" s="13" t="inlineStr">
        <is>
          <t>NOT_TESTED</t>
        </is>
      </c>
      <c r="R18" s="13" t="inlineStr">
        <is>
          <t>NOT_TESTED</t>
        </is>
      </c>
      <c r="S18" s="13" t="inlineStr">
        <is>
          <t>NOT_TESTED</t>
        </is>
      </c>
      <c r="T18" s="13" t="inlineStr">
        <is>
          <t>NOT_TESTED</t>
        </is>
      </c>
      <c r="U18" s="13" t="inlineStr">
        <is>
          <t>NOT_TESTED</t>
        </is>
      </c>
      <c r="V18" s="13" t="inlineStr">
        <is>
          <t>NOT_TESTED</t>
        </is>
      </c>
      <c r="W18" s="13" t="inlineStr">
        <is>
          <t>NOT_TESTED</t>
        </is>
      </c>
      <c r="X18" s="13" t="inlineStr">
        <is>
          <t>NOT_TESTED</t>
        </is>
      </c>
      <c r="Y18" s="13" t="inlineStr">
        <is>
          <t>NOT_TESTED</t>
        </is>
      </c>
      <c r="Z18" s="13" t="inlineStr">
        <is>
          <t>NOT_TESTED</t>
        </is>
      </c>
      <c r="AA18" s="13" t="inlineStr">
        <is>
          <t>NOT_TESTED</t>
        </is>
      </c>
      <c r="AB18" s="13" t="inlineStr">
        <is>
          <t>NOT_TESTED</t>
        </is>
      </c>
    </row>
    <row r="19">
      <c r="A19" s="2" t="inlineStr">
        <is>
          <t>issue_295</t>
        </is>
      </c>
      <c r="B19" s="13" t="inlineStr">
        <is>
          <t>NOT_TESTED</t>
        </is>
      </c>
      <c r="C19" s="13" t="inlineStr">
        <is>
          <t>NOT_TESTED</t>
        </is>
      </c>
      <c r="D19" s="13" t="inlineStr">
        <is>
          <t>NOT_TESTED</t>
        </is>
      </c>
      <c r="E19" s="13" t="inlineStr">
        <is>
          <t>NOT_TESTED</t>
        </is>
      </c>
      <c r="F19" s="16" t="inlineStr">
        <is>
          <t>Passed on test</t>
        </is>
      </c>
      <c r="G19" s="16" t="inlineStr">
        <is>
          <t>Passed on test</t>
        </is>
      </c>
      <c r="H19" s="16" t="inlineStr">
        <is>
          <t>Passed on test</t>
        </is>
      </c>
      <c r="I19" s="16" t="inlineStr">
        <is>
          <t>Passed on test</t>
        </is>
      </c>
      <c r="J19" s="16" t="inlineStr">
        <is>
          <t>Passed on test</t>
        </is>
      </c>
      <c r="K19" s="16" t="inlineStr">
        <is>
          <t>Passed on test</t>
        </is>
      </c>
      <c r="L19" s="16" t="inlineStr">
        <is>
          <t>Passed on test</t>
        </is>
      </c>
      <c r="M19" s="16" t="inlineStr">
        <is>
          <t>Passed on test</t>
        </is>
      </c>
      <c r="N19" s="13" t="inlineStr">
        <is>
          <t>NOT_TESTED</t>
        </is>
      </c>
      <c r="O19" s="13" t="inlineStr">
        <is>
          <t>NOT_TESTED</t>
        </is>
      </c>
      <c r="P19" s="13" t="inlineStr">
        <is>
          <t>NOT_TESTED</t>
        </is>
      </c>
      <c r="Q19" s="13" t="inlineStr">
        <is>
          <t>NOT_TESTED</t>
        </is>
      </c>
      <c r="R19" s="13" t="inlineStr">
        <is>
          <t>NOT_TESTED</t>
        </is>
      </c>
      <c r="S19" s="13" t="inlineStr">
        <is>
          <t>NOT_TESTED</t>
        </is>
      </c>
      <c r="T19" s="13" t="inlineStr">
        <is>
          <t>NOT_TESTED</t>
        </is>
      </c>
      <c r="U19" s="13" t="inlineStr">
        <is>
          <t>NOT_TESTED</t>
        </is>
      </c>
      <c r="V19" s="13" t="inlineStr">
        <is>
          <t>NOT_TESTED</t>
        </is>
      </c>
      <c r="W19" s="13" t="inlineStr">
        <is>
          <t>NOT_TESTED</t>
        </is>
      </c>
      <c r="X19" s="13" t="inlineStr">
        <is>
          <t>NOT_TESTED</t>
        </is>
      </c>
      <c r="Y19" s="13" t="inlineStr">
        <is>
          <t>NOT_TESTED</t>
        </is>
      </c>
      <c r="Z19" s="13" t="inlineStr">
        <is>
          <t>NOT_TESTED</t>
        </is>
      </c>
      <c r="AA19" s="13" t="inlineStr">
        <is>
          <t>NOT_TESTED</t>
        </is>
      </c>
      <c r="AB19" s="13" t="inlineStr">
        <is>
          <t>NOT_TESTED</t>
        </is>
      </c>
    </row>
    <row r="20">
      <c r="A20" s="2" t="inlineStr">
        <is>
          <t>issue_315</t>
        </is>
      </c>
      <c r="B20" s="13" t="inlineStr">
        <is>
          <t>NOT_TESTED</t>
        </is>
      </c>
      <c r="C20" s="13" t="inlineStr">
        <is>
          <t>NOT_TESTED</t>
        </is>
      </c>
      <c r="D20" s="13" t="inlineStr">
        <is>
          <t>NOT_TESTED</t>
        </is>
      </c>
      <c r="E20" s="13" t="inlineStr">
        <is>
          <t>NOT_TESTED</t>
        </is>
      </c>
      <c r="F20" s="16" t="inlineStr">
        <is>
          <t>Passed on test</t>
        </is>
      </c>
      <c r="G20" s="16" t="inlineStr">
        <is>
          <t>Passed on test</t>
        </is>
      </c>
      <c r="H20" s="16" t="inlineStr">
        <is>
          <t>Passed on test</t>
        </is>
      </c>
      <c r="I20" s="16" t="inlineStr">
        <is>
          <t>Passed on test</t>
        </is>
      </c>
      <c r="J20" s="16" t="inlineStr">
        <is>
          <t>Passed on test</t>
        </is>
      </c>
      <c r="K20" s="16" t="inlineStr">
        <is>
          <t>Passed on test</t>
        </is>
      </c>
      <c r="L20" s="16" t="inlineStr">
        <is>
          <t>Passed on test</t>
        </is>
      </c>
      <c r="M20" s="16" t="inlineStr">
        <is>
          <t>Passed on test</t>
        </is>
      </c>
      <c r="N20" s="16" t="inlineStr">
        <is>
          <t>Passed on test</t>
        </is>
      </c>
      <c r="O20" s="16" t="inlineStr">
        <is>
          <t>Passed on test</t>
        </is>
      </c>
      <c r="P20" s="16" t="inlineStr">
        <is>
          <t>Passed on test</t>
        </is>
      </c>
      <c r="Q20" s="16" t="inlineStr">
        <is>
          <t>Passed on test</t>
        </is>
      </c>
      <c r="R20" s="16" t="inlineStr">
        <is>
          <t>Passed on test</t>
        </is>
      </c>
      <c r="S20" s="16" t="inlineStr">
        <is>
          <t>Passed on test</t>
        </is>
      </c>
      <c r="T20" s="16" t="inlineStr">
        <is>
          <t>Passed on test</t>
        </is>
      </c>
      <c r="U20" s="16" t="inlineStr">
        <is>
          <t>Passed on test</t>
        </is>
      </c>
      <c r="V20" s="16" t="inlineStr">
        <is>
          <t>Passed on test</t>
        </is>
      </c>
      <c r="W20" s="16" t="inlineStr">
        <is>
          <t>Passed on test</t>
        </is>
      </c>
      <c r="X20" s="16" t="inlineStr">
        <is>
          <t>Passed on test</t>
        </is>
      </c>
      <c r="Y20" s="16" t="inlineStr">
        <is>
          <t>Passed on test</t>
        </is>
      </c>
      <c r="Z20" s="16" t="inlineStr">
        <is>
          <t>Passed on test</t>
        </is>
      </c>
      <c r="AA20" s="16" t="inlineStr">
        <is>
          <t>Passed on test</t>
        </is>
      </c>
      <c r="AB20" s="16" t="inlineStr">
        <is>
          <t>Passed on test</t>
        </is>
      </c>
    </row>
    <row r="21">
      <c r="A21" s="2" t="inlineStr">
        <is>
          <t>issue_344</t>
        </is>
      </c>
      <c r="B21" s="16" t="inlineStr">
        <is>
          <t>Passed on test</t>
        </is>
      </c>
      <c r="C21" s="16" t="inlineStr">
        <is>
          <t>Passed on test</t>
        </is>
      </c>
      <c r="D21" s="16" t="inlineStr">
        <is>
          <t>Passed on test</t>
        </is>
      </c>
      <c r="E21" s="16" t="inlineStr">
        <is>
          <t>Passed on test</t>
        </is>
      </c>
      <c r="F21" s="16" t="inlineStr">
        <is>
          <t>Passed on test</t>
        </is>
      </c>
      <c r="G21" s="16" t="inlineStr">
        <is>
          <t>Passed on test</t>
        </is>
      </c>
      <c r="H21" s="16" t="inlineStr">
        <is>
          <t>Passed on test</t>
        </is>
      </c>
      <c r="I21" s="16" t="inlineStr">
        <is>
          <t>Passed on test</t>
        </is>
      </c>
      <c r="J21" s="16" t="inlineStr">
        <is>
          <t>Passed on test</t>
        </is>
      </c>
      <c r="K21" s="16" t="inlineStr">
        <is>
          <t>Passed on test</t>
        </is>
      </c>
      <c r="L21" s="16" t="inlineStr">
        <is>
          <t>Passed on test</t>
        </is>
      </c>
      <c r="M21" s="16" t="inlineStr">
        <is>
          <t>Passed on test</t>
        </is>
      </c>
      <c r="N21" s="13" t="inlineStr">
        <is>
          <t>NOT_TESTED</t>
        </is>
      </c>
      <c r="O21" s="13" t="inlineStr">
        <is>
          <t>NOT_TESTED</t>
        </is>
      </c>
      <c r="P21" s="13" t="inlineStr">
        <is>
          <t>NOT_TESTED</t>
        </is>
      </c>
      <c r="Q21" s="13" t="inlineStr">
        <is>
          <t>NOT_TESTED</t>
        </is>
      </c>
      <c r="R21" s="13" t="inlineStr">
        <is>
          <t>NOT_TESTED</t>
        </is>
      </c>
      <c r="S21" s="13" t="inlineStr">
        <is>
          <t>NOT_TESTED</t>
        </is>
      </c>
      <c r="T21" s="13" t="inlineStr">
        <is>
          <t>NOT_TESTED</t>
        </is>
      </c>
      <c r="U21" s="13" t="inlineStr">
        <is>
          <t>NOT_TESTED</t>
        </is>
      </c>
      <c r="V21" s="13" t="inlineStr">
        <is>
          <t>NOT_TESTED</t>
        </is>
      </c>
      <c r="W21" s="13" t="inlineStr">
        <is>
          <t>NOT_TESTED</t>
        </is>
      </c>
      <c r="X21" s="13" t="inlineStr">
        <is>
          <t>NOT_TESTED</t>
        </is>
      </c>
      <c r="Y21" s="13" t="inlineStr">
        <is>
          <t>NOT_TESTED</t>
        </is>
      </c>
      <c r="Z21" s="13" t="inlineStr">
        <is>
          <t>NOT_TESTED</t>
        </is>
      </c>
      <c r="AA21" s="13" t="inlineStr">
        <is>
          <t>NOT_TESTED</t>
        </is>
      </c>
      <c r="AB21" s="13" t="inlineStr">
        <is>
          <t>NOT_TESTED</t>
        </is>
      </c>
    </row>
    <row r="22">
      <c r="A22" s="2" t="inlineStr">
        <is>
          <t>issue_362</t>
        </is>
      </c>
      <c r="B22" s="13" t="inlineStr">
        <is>
          <t>NOT_TESTED</t>
        </is>
      </c>
      <c r="C22" s="13" t="inlineStr">
        <is>
          <t>NOT_TESTED</t>
        </is>
      </c>
      <c r="D22" s="13" t="inlineStr">
        <is>
          <t>NOT_TESTED</t>
        </is>
      </c>
      <c r="E22" s="13" t="inlineStr">
        <is>
          <t>NOT_TESTED</t>
        </is>
      </c>
      <c r="F22" s="16" t="inlineStr">
        <is>
          <t>Passed on test</t>
        </is>
      </c>
      <c r="G22" s="16" t="inlineStr">
        <is>
          <t>Passed on test</t>
        </is>
      </c>
      <c r="H22" s="16" t="inlineStr">
        <is>
          <t>Passed on test</t>
        </is>
      </c>
      <c r="I22" s="16" t="inlineStr">
        <is>
          <t>Passed on test</t>
        </is>
      </c>
      <c r="J22" s="16" t="inlineStr">
        <is>
          <t>Passed on test</t>
        </is>
      </c>
      <c r="K22" s="16" t="inlineStr">
        <is>
          <t>Passed on test</t>
        </is>
      </c>
      <c r="L22" s="16" t="inlineStr">
        <is>
          <t>Passed on test</t>
        </is>
      </c>
      <c r="M22" s="16" t="inlineStr">
        <is>
          <t>Passed on test</t>
        </is>
      </c>
      <c r="N22" s="16" t="inlineStr">
        <is>
          <t>Passed on test</t>
        </is>
      </c>
      <c r="O22" s="16" t="inlineStr">
        <is>
          <t>Passed on test</t>
        </is>
      </c>
      <c r="P22" s="16" t="inlineStr">
        <is>
          <t>Passed on test</t>
        </is>
      </c>
      <c r="Q22" s="16" t="inlineStr">
        <is>
          <t>Passed on test</t>
        </is>
      </c>
      <c r="R22" s="16" t="inlineStr">
        <is>
          <t>Passed on test</t>
        </is>
      </c>
      <c r="S22" s="16" t="inlineStr">
        <is>
          <t>Passed on test</t>
        </is>
      </c>
      <c r="T22" s="16" t="inlineStr">
        <is>
          <t>Passed on test</t>
        </is>
      </c>
      <c r="U22" s="16" t="inlineStr">
        <is>
          <t>Passed on test</t>
        </is>
      </c>
      <c r="V22" s="16" t="inlineStr">
        <is>
          <t>Passed on test</t>
        </is>
      </c>
      <c r="W22" s="16" t="inlineStr">
        <is>
          <t>Passed on test</t>
        </is>
      </c>
      <c r="X22" s="16" t="inlineStr">
        <is>
          <t>Passed on test</t>
        </is>
      </c>
      <c r="Y22" s="16" t="inlineStr">
        <is>
          <t>Passed on test</t>
        </is>
      </c>
      <c r="Z22" s="16" t="inlineStr">
        <is>
          <t>Passed on test</t>
        </is>
      </c>
      <c r="AA22" s="16" t="inlineStr">
        <is>
          <t>Passed on test</t>
        </is>
      </c>
      <c r="AB22" s="16" t="inlineStr">
        <is>
          <t>Passed on test</t>
        </is>
      </c>
    </row>
    <row r="23">
      <c r="A23" s="2" t="inlineStr">
        <is>
          <t>issue_369</t>
        </is>
      </c>
      <c r="B23" s="16" t="inlineStr">
        <is>
          <t>Passed on test</t>
        </is>
      </c>
      <c r="C23" s="16" t="inlineStr">
        <is>
          <t>Passed on test</t>
        </is>
      </c>
      <c r="D23" s="16" t="inlineStr">
        <is>
          <t>Passed on test</t>
        </is>
      </c>
      <c r="E23" s="16" t="inlineStr">
        <is>
          <t>Passed on test</t>
        </is>
      </c>
      <c r="F23" s="16" t="inlineStr">
        <is>
          <t>Passed on test</t>
        </is>
      </c>
      <c r="G23" s="16" t="inlineStr">
        <is>
          <t>Passed on test</t>
        </is>
      </c>
      <c r="H23" s="16" t="inlineStr">
        <is>
          <t>Passed on test</t>
        </is>
      </c>
      <c r="I23" s="16" t="inlineStr">
        <is>
          <t>Passed on test</t>
        </is>
      </c>
      <c r="J23" s="16" t="inlineStr">
        <is>
          <t>Passed on test</t>
        </is>
      </c>
      <c r="K23" s="16" t="inlineStr">
        <is>
          <t>Passed on test</t>
        </is>
      </c>
      <c r="L23" s="16" t="inlineStr">
        <is>
          <t>Passed on test</t>
        </is>
      </c>
      <c r="M23" s="16" t="inlineStr">
        <is>
          <t>Passed on test</t>
        </is>
      </c>
      <c r="N23" s="16" t="inlineStr">
        <is>
          <t>Passed on test</t>
        </is>
      </c>
      <c r="O23" s="16" t="inlineStr">
        <is>
          <t>Passed on test</t>
        </is>
      </c>
      <c r="P23" s="16" t="inlineStr">
        <is>
          <t>Passed on test</t>
        </is>
      </c>
      <c r="Q23" s="16" t="inlineStr">
        <is>
          <t>Passed on test</t>
        </is>
      </c>
      <c r="R23" s="16" t="inlineStr">
        <is>
          <t>Passed on test</t>
        </is>
      </c>
      <c r="S23" s="16" t="inlineStr">
        <is>
          <t>Passed on test</t>
        </is>
      </c>
      <c r="T23" s="16" t="inlineStr">
        <is>
          <t>Passed on test</t>
        </is>
      </c>
      <c r="U23" s="16" t="inlineStr">
        <is>
          <t>Passed on test</t>
        </is>
      </c>
      <c r="V23" s="16" t="inlineStr">
        <is>
          <t>Passed on test</t>
        </is>
      </c>
      <c r="W23" s="16" t="inlineStr">
        <is>
          <t>Passed on test</t>
        </is>
      </c>
      <c r="X23" s="16" t="inlineStr">
        <is>
          <t>Passed on test</t>
        </is>
      </c>
      <c r="Y23" s="16" t="inlineStr">
        <is>
          <t>Passed on test</t>
        </is>
      </c>
      <c r="Z23" s="16" t="inlineStr">
        <is>
          <t>Passed on test</t>
        </is>
      </c>
      <c r="AA23" s="16" t="inlineStr">
        <is>
          <t>Passed on test</t>
        </is>
      </c>
      <c r="AB23" s="16" t="inlineStr">
        <is>
          <t>Passed on test</t>
        </is>
      </c>
    </row>
    <row r="24">
      <c r="A24" s="2" t="inlineStr">
        <is>
          <t>issue_396</t>
        </is>
      </c>
      <c r="B24" s="16" t="inlineStr">
        <is>
          <t>Passed on test</t>
        </is>
      </c>
      <c r="C24" s="16" t="inlineStr">
        <is>
          <t>Passed on test</t>
        </is>
      </c>
      <c r="D24" s="16" t="inlineStr">
        <is>
          <t>Passed on test</t>
        </is>
      </c>
      <c r="E24" s="16" t="inlineStr">
        <is>
          <t>Passed on test</t>
        </is>
      </c>
      <c r="F24" s="16" t="inlineStr">
        <is>
          <t>Passed on test</t>
        </is>
      </c>
      <c r="G24" s="16" t="inlineStr">
        <is>
          <t>Passed on test</t>
        </is>
      </c>
      <c r="H24" s="16" t="inlineStr">
        <is>
          <t>Passed on test</t>
        </is>
      </c>
      <c r="I24" s="16" t="inlineStr">
        <is>
          <t>Passed on test</t>
        </is>
      </c>
      <c r="J24" s="16" t="inlineStr">
        <is>
          <t>Passed on test</t>
        </is>
      </c>
      <c r="K24" s="16" t="inlineStr">
        <is>
          <t>Passed on test</t>
        </is>
      </c>
      <c r="L24" s="16" t="inlineStr">
        <is>
          <t>Passed on test</t>
        </is>
      </c>
      <c r="M24" s="16" t="inlineStr">
        <is>
          <t>Passed on test</t>
        </is>
      </c>
      <c r="N24" s="14" t="inlineStr">
        <is>
          <t>Runtime error</t>
        </is>
      </c>
      <c r="O24" s="14" t="inlineStr">
        <is>
          <t>Runtime error</t>
        </is>
      </c>
      <c r="P24" s="14" t="inlineStr">
        <is>
          <t>Runtime error</t>
        </is>
      </c>
      <c r="Q24" s="14" t="inlineStr">
        <is>
          <t>Runtime error</t>
        </is>
      </c>
      <c r="R24" s="14" t="inlineStr">
        <is>
          <t>Runtime error</t>
        </is>
      </c>
      <c r="S24" s="14" t="inlineStr">
        <is>
          <t>Runtime error</t>
        </is>
      </c>
      <c r="T24" s="14" t="inlineStr">
        <is>
          <t>Runtime error</t>
        </is>
      </c>
      <c r="U24" s="14" t="inlineStr">
        <is>
          <t>Runtime error</t>
        </is>
      </c>
      <c r="V24" s="14" t="inlineStr">
        <is>
          <t>Runtime error</t>
        </is>
      </c>
      <c r="W24" s="14" t="inlineStr">
        <is>
          <t>Runtime error</t>
        </is>
      </c>
      <c r="X24" s="14" t="inlineStr">
        <is>
          <t>Runtime error</t>
        </is>
      </c>
      <c r="Y24" s="14" t="inlineStr">
        <is>
          <t>Runtime error</t>
        </is>
      </c>
      <c r="Z24" s="14" t="inlineStr">
        <is>
          <t>Runtime error</t>
        </is>
      </c>
      <c r="AA24" s="14" t="inlineStr">
        <is>
          <t>Runtime error</t>
        </is>
      </c>
      <c r="AB24" s="14" t="inlineStr">
        <is>
          <t>Runtime error</t>
        </is>
      </c>
    </row>
    <row r="25">
      <c r="A25" s="2" t="inlineStr">
        <is>
          <t>issue_415</t>
        </is>
      </c>
      <c r="B25" s="16" t="inlineStr">
        <is>
          <t>Passed on test</t>
        </is>
      </c>
      <c r="C25" s="16" t="inlineStr">
        <is>
          <t>Passed on test</t>
        </is>
      </c>
      <c r="D25" s="16" t="inlineStr">
        <is>
          <t>Passed on test</t>
        </is>
      </c>
      <c r="E25" s="16" t="inlineStr">
        <is>
          <t>Passed on test</t>
        </is>
      </c>
      <c r="F25" s="13" t="inlineStr">
        <is>
          <t>NOT_TESTED</t>
        </is>
      </c>
      <c r="G25" s="13" t="inlineStr">
        <is>
          <t>NOT_TESTED</t>
        </is>
      </c>
      <c r="H25" s="13" t="inlineStr">
        <is>
          <t>NOT_TESTED</t>
        </is>
      </c>
      <c r="I25" s="13" t="inlineStr">
        <is>
          <t>NOT_TESTED</t>
        </is>
      </c>
      <c r="J25" s="13" t="inlineStr">
        <is>
          <t>NOT_TESTED</t>
        </is>
      </c>
      <c r="K25" s="13" t="inlineStr">
        <is>
          <t>NOT_TESTED</t>
        </is>
      </c>
      <c r="L25" s="13" t="inlineStr">
        <is>
          <t>NOT_TESTED</t>
        </is>
      </c>
      <c r="M25" s="13" t="inlineStr">
        <is>
          <t>NOT_TESTED</t>
        </is>
      </c>
      <c r="N25" s="13" t="inlineStr">
        <is>
          <t>NOT_TESTED</t>
        </is>
      </c>
      <c r="O25" s="13" t="inlineStr">
        <is>
          <t>NOT_TESTED</t>
        </is>
      </c>
      <c r="P25" s="13" t="inlineStr">
        <is>
          <t>NOT_TESTED</t>
        </is>
      </c>
      <c r="Q25" s="13" t="inlineStr">
        <is>
          <t>NOT_TESTED</t>
        </is>
      </c>
      <c r="R25" s="13" t="inlineStr">
        <is>
          <t>NOT_TESTED</t>
        </is>
      </c>
      <c r="S25" s="13" t="inlineStr">
        <is>
          <t>NOT_TESTED</t>
        </is>
      </c>
      <c r="T25" s="13" t="inlineStr">
        <is>
          <t>NOT_TESTED</t>
        </is>
      </c>
      <c r="U25" s="13" t="inlineStr">
        <is>
          <t>NOT_TESTED</t>
        </is>
      </c>
      <c r="V25" s="13" t="inlineStr">
        <is>
          <t>NOT_TESTED</t>
        </is>
      </c>
      <c r="W25" s="13" t="inlineStr">
        <is>
          <t>NOT_TESTED</t>
        </is>
      </c>
      <c r="X25" s="13" t="inlineStr">
        <is>
          <t>NOT_TESTED</t>
        </is>
      </c>
      <c r="Y25" s="13" t="inlineStr">
        <is>
          <t>NOT_TESTED</t>
        </is>
      </c>
      <c r="Z25" s="13" t="inlineStr">
        <is>
          <t>NOT_TESTED</t>
        </is>
      </c>
      <c r="AA25" s="13" t="inlineStr">
        <is>
          <t>NOT_TESTED</t>
        </is>
      </c>
      <c r="AB25" s="13" t="inlineStr">
        <is>
          <t>NOT_TESTED</t>
        </is>
      </c>
    </row>
    <row r="26">
      <c r="A26" s="2" t="inlineStr">
        <is>
          <t>issue_436</t>
        </is>
      </c>
      <c r="B26" s="16" t="inlineStr">
        <is>
          <t>Passed on test</t>
        </is>
      </c>
      <c r="C26" s="16" t="inlineStr">
        <is>
          <t>Passed on test</t>
        </is>
      </c>
      <c r="D26" s="16" t="inlineStr">
        <is>
          <t>Passed on test</t>
        </is>
      </c>
      <c r="E26" s="16" t="inlineStr">
        <is>
          <t>Passed on test</t>
        </is>
      </c>
      <c r="F26" s="13" t="inlineStr">
        <is>
          <t>NOT_TESTED</t>
        </is>
      </c>
      <c r="G26" s="13" t="inlineStr">
        <is>
          <t>NOT_TESTED</t>
        </is>
      </c>
      <c r="H26" s="13" t="inlineStr">
        <is>
          <t>NOT_TESTED</t>
        </is>
      </c>
      <c r="I26" s="13" t="inlineStr">
        <is>
          <t>NOT_TESTED</t>
        </is>
      </c>
      <c r="J26" s="13" t="inlineStr">
        <is>
          <t>NOT_TESTED</t>
        </is>
      </c>
      <c r="K26" s="13" t="inlineStr">
        <is>
          <t>NOT_TESTED</t>
        </is>
      </c>
      <c r="L26" s="13" t="inlineStr">
        <is>
          <t>NOT_TESTED</t>
        </is>
      </c>
      <c r="M26" s="13" t="inlineStr">
        <is>
          <t>NOT_TESTED</t>
        </is>
      </c>
      <c r="N26" s="13" t="inlineStr">
        <is>
          <t>NOT_TESTED</t>
        </is>
      </c>
      <c r="O26" s="13" t="inlineStr">
        <is>
          <t>NOT_TESTED</t>
        </is>
      </c>
      <c r="P26" s="13" t="inlineStr">
        <is>
          <t>NOT_TESTED</t>
        </is>
      </c>
      <c r="Q26" s="13" t="inlineStr">
        <is>
          <t>NOT_TESTED</t>
        </is>
      </c>
      <c r="R26" s="13" t="inlineStr">
        <is>
          <t>NOT_TESTED</t>
        </is>
      </c>
      <c r="S26" s="13" t="inlineStr">
        <is>
          <t>NOT_TESTED</t>
        </is>
      </c>
      <c r="T26" s="13" t="inlineStr">
        <is>
          <t>NOT_TESTED</t>
        </is>
      </c>
      <c r="U26" s="13" t="inlineStr">
        <is>
          <t>NOT_TESTED</t>
        </is>
      </c>
      <c r="V26" s="13" t="inlineStr">
        <is>
          <t>NOT_TESTED</t>
        </is>
      </c>
      <c r="W26" s="13" t="inlineStr">
        <is>
          <t>NOT_TESTED</t>
        </is>
      </c>
      <c r="X26" s="13" t="inlineStr">
        <is>
          <t>NOT_TESTED</t>
        </is>
      </c>
      <c r="Y26" s="13" t="inlineStr">
        <is>
          <t>NOT_TESTED</t>
        </is>
      </c>
      <c r="Z26" s="13" t="inlineStr">
        <is>
          <t>NOT_TESTED</t>
        </is>
      </c>
      <c r="AA26" s="13" t="inlineStr">
        <is>
          <t>NOT_TESTED</t>
        </is>
      </c>
      <c r="AB26" s="13" t="inlineStr">
        <is>
          <t>NOT_TESTED</t>
        </is>
      </c>
    </row>
    <row r="27">
      <c r="A27" s="2" t="inlineStr">
        <is>
          <t>issue_443</t>
        </is>
      </c>
      <c r="B27" s="16" t="inlineStr">
        <is>
          <t>Passed on test</t>
        </is>
      </c>
      <c r="C27" s="16" t="inlineStr">
        <is>
          <t>Passed on test</t>
        </is>
      </c>
      <c r="D27" s="16" t="inlineStr">
        <is>
          <t>Passed on test</t>
        </is>
      </c>
      <c r="E27" s="16" t="inlineStr">
        <is>
          <t>Passed on test</t>
        </is>
      </c>
      <c r="F27" s="16" t="inlineStr">
        <is>
          <t>Passed on test</t>
        </is>
      </c>
      <c r="G27" s="16" t="inlineStr">
        <is>
          <t>Passed on test</t>
        </is>
      </c>
      <c r="H27" s="16" t="inlineStr">
        <is>
          <t>Passed on test</t>
        </is>
      </c>
      <c r="I27" s="16" t="inlineStr">
        <is>
          <t>Passed on test</t>
        </is>
      </c>
      <c r="J27" s="16" t="inlineStr">
        <is>
          <t>Passed on test</t>
        </is>
      </c>
      <c r="K27" s="16" t="inlineStr">
        <is>
          <t>Passed on test</t>
        </is>
      </c>
      <c r="L27" s="16" t="inlineStr">
        <is>
          <t>Passed on test</t>
        </is>
      </c>
      <c r="M27" s="16" t="inlineStr">
        <is>
          <t>Passed on test</t>
        </is>
      </c>
      <c r="N27" s="16" t="inlineStr">
        <is>
          <t>Passed on test</t>
        </is>
      </c>
      <c r="O27" s="16" t="inlineStr">
        <is>
          <t>Passed on test</t>
        </is>
      </c>
      <c r="P27" s="16" t="inlineStr">
        <is>
          <t>Passed on test</t>
        </is>
      </c>
      <c r="Q27" s="16" t="inlineStr">
        <is>
          <t>Passed on test</t>
        </is>
      </c>
      <c r="R27" s="16" t="inlineStr">
        <is>
          <t>Passed on test</t>
        </is>
      </c>
      <c r="S27" s="16" t="inlineStr">
        <is>
          <t>Passed on test</t>
        </is>
      </c>
      <c r="T27" s="16" t="inlineStr">
        <is>
          <t>Passed on test</t>
        </is>
      </c>
      <c r="U27" s="16" t="inlineStr">
        <is>
          <t>Passed on test</t>
        </is>
      </c>
      <c r="V27" s="16" t="inlineStr">
        <is>
          <t>Passed on test</t>
        </is>
      </c>
      <c r="W27" s="16" t="inlineStr">
        <is>
          <t>Passed on test</t>
        </is>
      </c>
      <c r="X27" s="16" t="inlineStr">
        <is>
          <t>Passed on test</t>
        </is>
      </c>
      <c r="Y27" s="16" t="inlineStr">
        <is>
          <t>Passed on test</t>
        </is>
      </c>
      <c r="Z27" s="16" t="inlineStr">
        <is>
          <t>Passed on test</t>
        </is>
      </c>
      <c r="AA27" s="16" t="inlineStr">
        <is>
          <t>Passed on test</t>
        </is>
      </c>
      <c r="AB27" s="16" t="inlineStr">
        <is>
          <t>Passed on test</t>
        </is>
      </c>
    </row>
    <row r="28">
      <c r="A28" s="2" t="inlineStr">
        <is>
          <t>issue_453</t>
        </is>
      </c>
      <c r="B28" s="13" t="inlineStr">
        <is>
          <t>NOT_TESTED</t>
        </is>
      </c>
      <c r="C28" s="13" t="inlineStr">
        <is>
          <t>NOT_TESTED</t>
        </is>
      </c>
      <c r="D28" s="13" t="inlineStr">
        <is>
          <t>NOT_TESTED</t>
        </is>
      </c>
      <c r="E28" s="13" t="inlineStr">
        <is>
          <t>NOT_TESTED</t>
        </is>
      </c>
      <c r="F28" s="14" t="inlineStr">
        <is>
          <t>Passed on test</t>
        </is>
      </c>
      <c r="G28" s="14" t="inlineStr">
        <is>
          <t>Passed on test</t>
        </is>
      </c>
      <c r="H28" s="14" t="inlineStr">
        <is>
          <t>Passed on test</t>
        </is>
      </c>
      <c r="I28" s="14" t="inlineStr">
        <is>
          <t>Passed on test</t>
        </is>
      </c>
      <c r="J28" s="14" t="inlineStr">
        <is>
          <t>Passed on test</t>
        </is>
      </c>
      <c r="K28" s="14" t="inlineStr">
        <is>
          <t>Passed on test</t>
        </is>
      </c>
      <c r="L28" s="14" t="inlineStr">
        <is>
          <t>Passed on test</t>
        </is>
      </c>
      <c r="M28" s="14" t="inlineStr">
        <is>
          <t>Passed on test</t>
        </is>
      </c>
      <c r="N28" s="14" t="inlineStr">
        <is>
          <t>Passed on test</t>
        </is>
      </c>
      <c r="O28" s="14" t="inlineStr">
        <is>
          <t>Passed on test</t>
        </is>
      </c>
      <c r="P28" s="14" t="inlineStr">
        <is>
          <t>Passed on test</t>
        </is>
      </c>
      <c r="Q28" s="14" t="inlineStr">
        <is>
          <t>Passed on test</t>
        </is>
      </c>
      <c r="R28" s="14" t="inlineStr">
        <is>
          <t>Passed on test</t>
        </is>
      </c>
      <c r="S28" s="14" t="inlineStr">
        <is>
          <t>Passed on test</t>
        </is>
      </c>
      <c r="T28" s="14" t="inlineStr">
        <is>
          <t>Passed on test</t>
        </is>
      </c>
      <c r="U28" s="14" t="inlineStr">
        <is>
          <t>Passed on test</t>
        </is>
      </c>
      <c r="V28" s="14" t="inlineStr">
        <is>
          <t>Passed on test</t>
        </is>
      </c>
      <c r="W28" s="14" t="inlineStr">
        <is>
          <t>Passed on test</t>
        </is>
      </c>
      <c r="X28" s="14" t="inlineStr">
        <is>
          <t>Passed on test</t>
        </is>
      </c>
      <c r="Y28" s="14" t="inlineStr">
        <is>
          <t>Passed on test</t>
        </is>
      </c>
      <c r="Z28" s="14" t="inlineStr">
        <is>
          <t>Passed on test</t>
        </is>
      </c>
      <c r="AA28" s="14" t="inlineStr">
        <is>
          <t>Passed on test</t>
        </is>
      </c>
      <c r="AB28" s="14" t="inlineStr">
        <is>
          <t>Passed on test</t>
        </is>
      </c>
    </row>
    <row r="29">
      <c r="A29" s="2" t="inlineStr">
        <is>
          <t>issue_468</t>
        </is>
      </c>
      <c r="B29" s="14" t="inlineStr">
        <is>
          <t>Runtime error</t>
        </is>
      </c>
      <c r="C29" s="14" t="inlineStr">
        <is>
          <t>Runtime error</t>
        </is>
      </c>
      <c r="D29" s="14" t="inlineStr">
        <is>
          <t>Runtime error</t>
        </is>
      </c>
      <c r="E29" s="14" t="inlineStr">
        <is>
          <t>Runtime error</t>
        </is>
      </c>
      <c r="F29" s="13" t="inlineStr">
        <is>
          <t>NOT_TESTED</t>
        </is>
      </c>
      <c r="G29" s="13" t="inlineStr">
        <is>
          <t>NOT_TESTED</t>
        </is>
      </c>
      <c r="H29" s="13" t="inlineStr">
        <is>
          <t>NOT_TESTED</t>
        </is>
      </c>
      <c r="I29" s="13" t="inlineStr">
        <is>
          <t>NOT_TESTED</t>
        </is>
      </c>
      <c r="J29" s="13" t="inlineStr">
        <is>
          <t>NOT_TESTED</t>
        </is>
      </c>
      <c r="K29" s="13" t="inlineStr">
        <is>
          <t>NOT_TESTED</t>
        </is>
      </c>
      <c r="L29" s="13" t="inlineStr">
        <is>
          <t>NOT_TESTED</t>
        </is>
      </c>
      <c r="M29" s="13" t="inlineStr">
        <is>
          <t>NOT_TESTED</t>
        </is>
      </c>
      <c r="N29" s="13" t="inlineStr">
        <is>
          <t>NOT_TESTED</t>
        </is>
      </c>
      <c r="O29" s="13" t="inlineStr">
        <is>
          <t>NOT_TESTED</t>
        </is>
      </c>
      <c r="P29" s="13" t="inlineStr">
        <is>
          <t>NOT_TESTED</t>
        </is>
      </c>
      <c r="Q29" s="13" t="inlineStr">
        <is>
          <t>NOT_TESTED</t>
        </is>
      </c>
      <c r="R29" s="13" t="inlineStr">
        <is>
          <t>NOT_TESTED</t>
        </is>
      </c>
      <c r="S29" s="13" t="inlineStr">
        <is>
          <t>NOT_TESTED</t>
        </is>
      </c>
      <c r="T29" s="13" t="inlineStr">
        <is>
          <t>NOT_TESTED</t>
        </is>
      </c>
      <c r="U29" s="13" t="inlineStr">
        <is>
          <t>NOT_TESTED</t>
        </is>
      </c>
      <c r="V29" s="13" t="inlineStr">
        <is>
          <t>NOT_TESTED</t>
        </is>
      </c>
      <c r="W29" s="13" t="inlineStr">
        <is>
          <t>NOT_TESTED</t>
        </is>
      </c>
      <c r="X29" s="13" t="inlineStr">
        <is>
          <t>NOT_TESTED</t>
        </is>
      </c>
      <c r="Y29" s="13" t="inlineStr">
        <is>
          <t>NOT_TESTED</t>
        </is>
      </c>
      <c r="Z29" s="13" t="inlineStr">
        <is>
          <t>NOT_TESTED</t>
        </is>
      </c>
      <c r="AA29" s="13" t="inlineStr">
        <is>
          <t>NOT_TESTED</t>
        </is>
      </c>
      <c r="AB29" s="13" t="inlineStr">
        <is>
          <t>NOT_TESTED</t>
        </is>
      </c>
    </row>
    <row r="30">
      <c r="A30" s="2" t="inlineStr">
        <is>
          <t>issue_497</t>
        </is>
      </c>
      <c r="B30" s="15" t="inlineStr">
        <is>
          <t>Failed on test</t>
        </is>
      </c>
      <c r="C30" s="15" t="inlineStr">
        <is>
          <t>Failed on test</t>
        </is>
      </c>
      <c r="D30" s="15" t="inlineStr">
        <is>
          <t>Failed on test</t>
        </is>
      </c>
      <c r="E30" s="15" t="inlineStr">
        <is>
          <t>Failed on test</t>
        </is>
      </c>
      <c r="F30" s="13" t="inlineStr">
        <is>
          <t>NOT_TESTED</t>
        </is>
      </c>
      <c r="G30" s="13" t="inlineStr">
        <is>
          <t>NOT_TESTED</t>
        </is>
      </c>
      <c r="H30" s="13" t="inlineStr">
        <is>
          <t>NOT_TESTED</t>
        </is>
      </c>
      <c r="I30" s="13" t="inlineStr">
        <is>
          <t>NOT_TESTED</t>
        </is>
      </c>
      <c r="J30" s="13" t="inlineStr">
        <is>
          <t>NOT_TESTED</t>
        </is>
      </c>
      <c r="K30" s="13" t="inlineStr">
        <is>
          <t>NOT_TESTED</t>
        </is>
      </c>
      <c r="L30" s="13" t="inlineStr">
        <is>
          <t>NOT_TESTED</t>
        </is>
      </c>
      <c r="M30" s="13" t="inlineStr">
        <is>
          <t>NOT_TESTED</t>
        </is>
      </c>
      <c r="N30" s="13" t="inlineStr">
        <is>
          <t>NOT_TESTED</t>
        </is>
      </c>
      <c r="O30" s="13" t="inlineStr">
        <is>
          <t>NOT_TESTED</t>
        </is>
      </c>
      <c r="P30" s="13" t="inlineStr">
        <is>
          <t>NOT_TESTED</t>
        </is>
      </c>
      <c r="Q30" s="13" t="inlineStr">
        <is>
          <t>NOT_TESTED</t>
        </is>
      </c>
      <c r="R30" s="13" t="inlineStr">
        <is>
          <t>NOT_TESTED</t>
        </is>
      </c>
      <c r="S30" s="13" t="inlineStr">
        <is>
          <t>NOT_TESTED</t>
        </is>
      </c>
      <c r="T30" s="13" t="inlineStr">
        <is>
          <t>NOT_TESTED</t>
        </is>
      </c>
      <c r="U30" s="13" t="inlineStr">
        <is>
          <t>NOT_TESTED</t>
        </is>
      </c>
      <c r="V30" s="13" t="inlineStr">
        <is>
          <t>NOT_TESTED</t>
        </is>
      </c>
      <c r="W30" s="13" t="inlineStr">
        <is>
          <t>NOT_TESTED</t>
        </is>
      </c>
      <c r="X30" s="13" t="inlineStr">
        <is>
          <t>NOT_TESTED</t>
        </is>
      </c>
      <c r="Y30" s="13" t="inlineStr">
        <is>
          <t>NOT_TESTED</t>
        </is>
      </c>
      <c r="Z30" s="13" t="inlineStr">
        <is>
          <t>NOT_TESTED</t>
        </is>
      </c>
      <c r="AA30" s="13" t="inlineStr">
        <is>
          <t>NOT_TESTED</t>
        </is>
      </c>
      <c r="AB30" s="13" t="inlineStr">
        <is>
          <t>NOT_TESTED</t>
        </is>
      </c>
    </row>
    <row r="31">
      <c r="A31" s="2" t="inlineStr">
        <is>
          <t>issue_504</t>
        </is>
      </c>
      <c r="B31" s="13" t="inlineStr">
        <is>
          <t>NOT_TESTED</t>
        </is>
      </c>
      <c r="C31" s="13" t="inlineStr">
        <is>
          <t>NOT_TESTED</t>
        </is>
      </c>
      <c r="D31" s="13" t="inlineStr">
        <is>
          <t>NOT_TESTED</t>
        </is>
      </c>
      <c r="E31" s="13" t="inlineStr">
        <is>
          <t>NOT_TESTED</t>
        </is>
      </c>
      <c r="F31" s="16" t="inlineStr">
        <is>
          <t>Passed on test</t>
        </is>
      </c>
      <c r="G31" s="16" t="inlineStr">
        <is>
          <t>Passed on test</t>
        </is>
      </c>
      <c r="H31" s="16" t="inlineStr">
        <is>
          <t>Passed on test</t>
        </is>
      </c>
      <c r="I31" s="16" t="inlineStr">
        <is>
          <t>Passed on test</t>
        </is>
      </c>
      <c r="J31" s="16" t="inlineStr">
        <is>
          <t>Passed on test</t>
        </is>
      </c>
      <c r="K31" s="16" t="inlineStr">
        <is>
          <t>Passed on test</t>
        </is>
      </c>
      <c r="L31" s="16" t="inlineStr">
        <is>
          <t>Passed on test</t>
        </is>
      </c>
      <c r="M31" s="16" t="inlineStr">
        <is>
          <t>Passed on test</t>
        </is>
      </c>
      <c r="N31" s="16" t="inlineStr">
        <is>
          <t>Passed on test</t>
        </is>
      </c>
      <c r="O31" s="16" t="inlineStr">
        <is>
          <t>Passed on test</t>
        </is>
      </c>
      <c r="P31" s="16" t="inlineStr">
        <is>
          <t>Passed on test</t>
        </is>
      </c>
      <c r="Q31" s="16" t="inlineStr">
        <is>
          <t>Passed on test</t>
        </is>
      </c>
      <c r="R31" s="16" t="inlineStr">
        <is>
          <t>Passed on test</t>
        </is>
      </c>
      <c r="S31" s="16" t="inlineStr">
        <is>
          <t>Passed on test</t>
        </is>
      </c>
      <c r="T31" s="16" t="inlineStr">
        <is>
          <t>Passed on test</t>
        </is>
      </c>
      <c r="U31" s="16" t="inlineStr">
        <is>
          <t>Passed on test</t>
        </is>
      </c>
      <c r="V31" s="16" t="inlineStr">
        <is>
          <t>Passed on test</t>
        </is>
      </c>
      <c r="W31" s="16" t="inlineStr">
        <is>
          <t>Passed on test</t>
        </is>
      </c>
      <c r="X31" s="16" t="inlineStr">
        <is>
          <t>Passed on test</t>
        </is>
      </c>
      <c r="Y31" s="16" t="inlineStr">
        <is>
          <t>Passed on test</t>
        </is>
      </c>
      <c r="Z31" s="16" t="inlineStr">
        <is>
          <t>Passed on test</t>
        </is>
      </c>
      <c r="AA31" s="16" t="inlineStr">
        <is>
          <t>Passed on test</t>
        </is>
      </c>
      <c r="AB31" s="16" t="inlineStr">
        <is>
          <t>Passed on test</t>
        </is>
      </c>
    </row>
    <row r="32">
      <c r="A32" s="2" t="inlineStr">
        <is>
          <t>issue_505</t>
        </is>
      </c>
      <c r="B32" s="13" t="inlineStr">
        <is>
          <t>NOT_TESTED</t>
        </is>
      </c>
      <c r="C32" s="13" t="inlineStr">
        <is>
          <t>NOT_TESTED</t>
        </is>
      </c>
      <c r="D32" s="13" t="inlineStr">
        <is>
          <t>NOT_TESTED</t>
        </is>
      </c>
      <c r="E32" s="13" t="inlineStr">
        <is>
          <t>NOT_TESTED</t>
        </is>
      </c>
      <c r="F32" s="16" t="inlineStr">
        <is>
          <t>Passed on test</t>
        </is>
      </c>
      <c r="G32" s="16" t="inlineStr">
        <is>
          <t>Passed on test</t>
        </is>
      </c>
      <c r="H32" s="16" t="inlineStr">
        <is>
          <t>Passed on test</t>
        </is>
      </c>
      <c r="I32" s="16" t="inlineStr">
        <is>
          <t>Passed on test</t>
        </is>
      </c>
      <c r="J32" s="16" t="inlineStr">
        <is>
          <t>Passed on test</t>
        </is>
      </c>
      <c r="K32" s="16" t="inlineStr">
        <is>
          <t>Passed on test</t>
        </is>
      </c>
      <c r="L32" s="16" t="inlineStr">
        <is>
          <t>Passed on test</t>
        </is>
      </c>
      <c r="M32" s="16" t="inlineStr">
        <is>
          <t>Passed on test</t>
        </is>
      </c>
      <c r="N32" s="13" t="inlineStr">
        <is>
          <t>NOT_TESTED</t>
        </is>
      </c>
      <c r="O32" s="13" t="inlineStr">
        <is>
          <t>NOT_TESTED</t>
        </is>
      </c>
      <c r="P32" s="13" t="inlineStr">
        <is>
          <t>NOT_TESTED</t>
        </is>
      </c>
      <c r="Q32" s="13" t="inlineStr">
        <is>
          <t>NOT_TESTED</t>
        </is>
      </c>
      <c r="R32" s="13" t="inlineStr">
        <is>
          <t>NOT_TESTED</t>
        </is>
      </c>
      <c r="S32" s="13" t="inlineStr">
        <is>
          <t>NOT_TESTED</t>
        </is>
      </c>
      <c r="T32" s="13" t="inlineStr">
        <is>
          <t>NOT_TESTED</t>
        </is>
      </c>
      <c r="U32" s="13" t="inlineStr">
        <is>
          <t>NOT_TESTED</t>
        </is>
      </c>
      <c r="V32" s="13" t="inlineStr">
        <is>
          <t>NOT_TESTED</t>
        </is>
      </c>
      <c r="W32" s="13" t="inlineStr">
        <is>
          <t>NOT_TESTED</t>
        </is>
      </c>
      <c r="X32" s="13" t="inlineStr">
        <is>
          <t>NOT_TESTED</t>
        </is>
      </c>
      <c r="Y32" s="13" t="inlineStr">
        <is>
          <t>NOT_TESTED</t>
        </is>
      </c>
      <c r="Z32" s="13" t="inlineStr">
        <is>
          <t>NOT_TESTED</t>
        </is>
      </c>
      <c r="AA32" s="13" t="inlineStr">
        <is>
          <t>NOT_TESTED</t>
        </is>
      </c>
      <c r="AB32" s="13" t="inlineStr">
        <is>
          <t>NOT_TESTED</t>
        </is>
      </c>
    </row>
    <row r="33">
      <c r="A33" s="2" t="inlineStr">
        <is>
          <t>issue_565</t>
        </is>
      </c>
      <c r="B33" s="14" t="inlineStr">
        <is>
          <t>Runtime error</t>
        </is>
      </c>
      <c r="C33" s="14" t="inlineStr">
        <is>
          <t>Runtime error</t>
        </is>
      </c>
      <c r="D33" s="14" t="inlineStr">
        <is>
          <t>Runtime error</t>
        </is>
      </c>
      <c r="E33" s="14" t="inlineStr">
        <is>
          <t>Runtime error</t>
        </is>
      </c>
      <c r="F33" s="13" t="inlineStr">
        <is>
          <t>NOT_TESTED</t>
        </is>
      </c>
      <c r="G33" s="13" t="inlineStr">
        <is>
          <t>NOT_TESTED</t>
        </is>
      </c>
      <c r="H33" s="13" t="inlineStr">
        <is>
          <t>NOT_TESTED</t>
        </is>
      </c>
      <c r="I33" s="13" t="inlineStr">
        <is>
          <t>NOT_TESTED</t>
        </is>
      </c>
      <c r="J33" s="13" t="inlineStr">
        <is>
          <t>NOT_TESTED</t>
        </is>
      </c>
      <c r="K33" s="13" t="inlineStr">
        <is>
          <t>NOT_TESTED</t>
        </is>
      </c>
      <c r="L33" s="13" t="inlineStr">
        <is>
          <t>NOT_TESTED</t>
        </is>
      </c>
      <c r="M33" s="13" t="inlineStr">
        <is>
          <t>NOT_TESTED</t>
        </is>
      </c>
      <c r="N33" s="13" t="inlineStr">
        <is>
          <t>NOT_TESTED</t>
        </is>
      </c>
      <c r="O33" s="13" t="inlineStr">
        <is>
          <t>NOT_TESTED</t>
        </is>
      </c>
      <c r="P33" s="13" t="inlineStr">
        <is>
          <t>NOT_TESTED</t>
        </is>
      </c>
      <c r="Q33" s="13" t="inlineStr">
        <is>
          <t>NOT_TESTED</t>
        </is>
      </c>
      <c r="R33" s="13" t="inlineStr">
        <is>
          <t>NOT_TESTED</t>
        </is>
      </c>
      <c r="S33" s="13" t="inlineStr">
        <is>
          <t>NOT_TESTED</t>
        </is>
      </c>
      <c r="T33" s="13" t="inlineStr">
        <is>
          <t>NOT_TESTED</t>
        </is>
      </c>
      <c r="U33" s="13" t="inlineStr">
        <is>
          <t>NOT_TESTED</t>
        </is>
      </c>
      <c r="V33" s="13" t="inlineStr">
        <is>
          <t>NOT_TESTED</t>
        </is>
      </c>
      <c r="W33" s="13" t="inlineStr">
        <is>
          <t>NOT_TESTED</t>
        </is>
      </c>
      <c r="X33" s="13" t="inlineStr">
        <is>
          <t>NOT_TESTED</t>
        </is>
      </c>
      <c r="Y33" s="13" t="inlineStr">
        <is>
          <t>NOT_TESTED</t>
        </is>
      </c>
      <c r="Z33" s="13" t="inlineStr">
        <is>
          <t>NOT_TESTED</t>
        </is>
      </c>
      <c r="AA33" s="13" t="inlineStr">
        <is>
          <t>NOT_TESTED</t>
        </is>
      </c>
      <c r="AB33" s="13" t="inlineStr">
        <is>
          <t>NOT_TESTED</t>
        </is>
      </c>
    </row>
    <row r="34">
      <c r="A34" s="2" t="inlineStr">
        <is>
          <t>issue_595</t>
        </is>
      </c>
      <c r="B34" s="13" t="inlineStr">
        <is>
          <t>NOT_TESTED</t>
        </is>
      </c>
      <c r="C34" s="13" t="inlineStr">
        <is>
          <t>NOT_TESTED</t>
        </is>
      </c>
      <c r="D34" s="13" t="inlineStr">
        <is>
          <t>NOT_TESTED</t>
        </is>
      </c>
      <c r="E34" s="13" t="inlineStr">
        <is>
          <t>NOT_TESTED</t>
        </is>
      </c>
      <c r="F34" s="16" t="inlineStr">
        <is>
          <t>Passed on test</t>
        </is>
      </c>
      <c r="G34" s="16" t="inlineStr">
        <is>
          <t>Passed on test</t>
        </is>
      </c>
      <c r="H34" s="16" t="inlineStr">
        <is>
          <t>Passed on test</t>
        </is>
      </c>
      <c r="I34" s="16" t="inlineStr">
        <is>
          <t>Passed on test</t>
        </is>
      </c>
      <c r="J34" s="16" t="inlineStr">
        <is>
          <t>Passed on test</t>
        </is>
      </c>
      <c r="K34" s="16" t="inlineStr">
        <is>
          <t>Passed on test</t>
        </is>
      </c>
      <c r="L34" s="16" t="inlineStr">
        <is>
          <t>Passed on test</t>
        </is>
      </c>
      <c r="M34" s="16" t="inlineStr">
        <is>
          <t>Passed on test</t>
        </is>
      </c>
      <c r="N34" s="16" t="inlineStr">
        <is>
          <t>Passed on test</t>
        </is>
      </c>
      <c r="O34" s="16" t="inlineStr">
        <is>
          <t>Passed on test</t>
        </is>
      </c>
      <c r="P34" s="16" t="inlineStr">
        <is>
          <t>Passed on test</t>
        </is>
      </c>
      <c r="Q34" s="16" t="inlineStr">
        <is>
          <t>Passed on test</t>
        </is>
      </c>
      <c r="R34" s="16" t="inlineStr">
        <is>
          <t>Passed on test</t>
        </is>
      </c>
      <c r="S34" s="16" t="inlineStr">
        <is>
          <t>Passed on test</t>
        </is>
      </c>
      <c r="T34" s="16" t="inlineStr">
        <is>
          <t>Passed on test</t>
        </is>
      </c>
      <c r="U34" s="16" t="inlineStr">
        <is>
          <t>Passed on test</t>
        </is>
      </c>
      <c r="V34" s="16" t="inlineStr">
        <is>
          <t>Passed on test</t>
        </is>
      </c>
      <c r="W34" s="16" t="inlineStr">
        <is>
          <t>Passed on test</t>
        </is>
      </c>
      <c r="X34" s="16" t="inlineStr">
        <is>
          <t>Passed on test</t>
        </is>
      </c>
      <c r="Y34" s="16" t="inlineStr">
        <is>
          <t>Passed on test</t>
        </is>
      </c>
      <c r="Z34" s="16" t="inlineStr">
        <is>
          <t>Passed on test</t>
        </is>
      </c>
      <c r="AA34" s="16" t="inlineStr">
        <is>
          <t>Passed on test</t>
        </is>
      </c>
      <c r="AB34" s="16" t="inlineStr">
        <is>
          <t>Passed on test</t>
        </is>
      </c>
    </row>
    <row r="35">
      <c r="A35" s="2" t="inlineStr">
        <is>
          <t>issue_596</t>
        </is>
      </c>
      <c r="B35" s="16" t="inlineStr">
        <is>
          <t>Passed on test</t>
        </is>
      </c>
      <c r="C35" s="16" t="inlineStr">
        <is>
          <t>Passed on test</t>
        </is>
      </c>
      <c r="D35" s="16" t="inlineStr">
        <is>
          <t>Passed on test</t>
        </is>
      </c>
      <c r="E35" s="16" t="inlineStr">
        <is>
          <t>Passed on test</t>
        </is>
      </c>
      <c r="F35" s="16" t="inlineStr">
        <is>
          <t>Passed on test</t>
        </is>
      </c>
      <c r="G35" s="16" t="inlineStr">
        <is>
          <t>Passed on test</t>
        </is>
      </c>
      <c r="H35" s="16" t="inlineStr">
        <is>
          <t>Passed on test</t>
        </is>
      </c>
      <c r="I35" s="16" t="inlineStr">
        <is>
          <t>Passed on test</t>
        </is>
      </c>
      <c r="J35" s="16" t="inlineStr">
        <is>
          <t>Passed on test</t>
        </is>
      </c>
      <c r="K35" s="16" t="inlineStr">
        <is>
          <t>Passed on test</t>
        </is>
      </c>
      <c r="L35" s="16" t="inlineStr">
        <is>
          <t>Passed on test</t>
        </is>
      </c>
      <c r="M35" s="16" t="inlineStr">
        <is>
          <t>Passed on test</t>
        </is>
      </c>
      <c r="N35" s="13" t="inlineStr">
        <is>
          <t>NOT_TESTED</t>
        </is>
      </c>
      <c r="O35" s="13" t="inlineStr">
        <is>
          <t>NOT_TESTED</t>
        </is>
      </c>
      <c r="P35" s="13" t="inlineStr">
        <is>
          <t>NOT_TESTED</t>
        </is>
      </c>
      <c r="Q35" s="13" t="inlineStr">
        <is>
          <t>NOT_TESTED</t>
        </is>
      </c>
      <c r="R35" s="13" t="inlineStr">
        <is>
          <t>NOT_TESTED</t>
        </is>
      </c>
      <c r="S35" s="13" t="inlineStr">
        <is>
          <t>NOT_TESTED</t>
        </is>
      </c>
      <c r="T35" s="13" t="inlineStr">
        <is>
          <t>NOT_TESTED</t>
        </is>
      </c>
      <c r="U35" s="13" t="inlineStr">
        <is>
          <t>NOT_TESTED</t>
        </is>
      </c>
      <c r="V35" s="13" t="inlineStr">
        <is>
          <t>NOT_TESTED</t>
        </is>
      </c>
      <c r="W35" s="13" t="inlineStr">
        <is>
          <t>NOT_TESTED</t>
        </is>
      </c>
      <c r="X35" s="13" t="inlineStr">
        <is>
          <t>NOT_TESTED</t>
        </is>
      </c>
      <c r="Y35" s="13" t="inlineStr">
        <is>
          <t>NOT_TESTED</t>
        </is>
      </c>
      <c r="Z35" s="13" t="inlineStr">
        <is>
          <t>NOT_TESTED</t>
        </is>
      </c>
      <c r="AA35" s="13" t="inlineStr">
        <is>
          <t>NOT_TESTED</t>
        </is>
      </c>
      <c r="AB35" s="13" t="inlineStr">
        <is>
          <t>NOT_TESTED</t>
        </is>
      </c>
    </row>
    <row r="36">
      <c r="A36" s="2" t="inlineStr">
        <is>
          <t>issue_600</t>
        </is>
      </c>
      <c r="B36" s="14" t="inlineStr">
        <is>
          <t>Runtime error</t>
        </is>
      </c>
      <c r="C36" s="14" t="inlineStr">
        <is>
          <t>Runtime error</t>
        </is>
      </c>
      <c r="D36" s="14" t="inlineStr">
        <is>
          <t>Runtime error</t>
        </is>
      </c>
      <c r="E36" s="14" t="inlineStr">
        <is>
          <t>Runtime error</t>
        </is>
      </c>
      <c r="F36" s="16" t="inlineStr">
        <is>
          <t>Passed on test</t>
        </is>
      </c>
      <c r="G36" s="16" t="inlineStr">
        <is>
          <t>Passed on test</t>
        </is>
      </c>
      <c r="H36" s="16" t="inlineStr">
        <is>
          <t>Passed on test</t>
        </is>
      </c>
      <c r="I36" s="16" t="inlineStr">
        <is>
          <t>Passed on test</t>
        </is>
      </c>
      <c r="J36" s="16" t="inlineStr">
        <is>
          <t>Passed on test</t>
        </is>
      </c>
      <c r="K36" s="16" t="inlineStr">
        <is>
          <t>Passed on test</t>
        </is>
      </c>
      <c r="L36" s="16" t="inlineStr">
        <is>
          <t>Passed on test</t>
        </is>
      </c>
      <c r="M36" s="16" t="inlineStr">
        <is>
          <t>Passed on test</t>
        </is>
      </c>
      <c r="N36" s="13" t="inlineStr">
        <is>
          <t>NOT_TESTED</t>
        </is>
      </c>
      <c r="O36" s="13" t="inlineStr">
        <is>
          <t>NOT_TESTED</t>
        </is>
      </c>
      <c r="P36" s="13" t="inlineStr">
        <is>
          <t>NOT_TESTED</t>
        </is>
      </c>
      <c r="Q36" s="13" t="inlineStr">
        <is>
          <t>NOT_TESTED</t>
        </is>
      </c>
      <c r="R36" s="13" t="inlineStr">
        <is>
          <t>NOT_TESTED</t>
        </is>
      </c>
      <c r="S36" s="13" t="inlineStr">
        <is>
          <t>NOT_TESTED</t>
        </is>
      </c>
      <c r="T36" s="13" t="inlineStr">
        <is>
          <t>NOT_TESTED</t>
        </is>
      </c>
      <c r="U36" s="13" t="inlineStr">
        <is>
          <t>NOT_TESTED</t>
        </is>
      </c>
      <c r="V36" s="13" t="inlineStr">
        <is>
          <t>NOT_TESTED</t>
        </is>
      </c>
      <c r="W36" s="13" t="inlineStr">
        <is>
          <t>NOT_TESTED</t>
        </is>
      </c>
      <c r="X36" s="13" t="inlineStr">
        <is>
          <t>NOT_TESTED</t>
        </is>
      </c>
      <c r="Y36" s="13" t="inlineStr">
        <is>
          <t>NOT_TESTED</t>
        </is>
      </c>
      <c r="Z36" s="13" t="inlineStr">
        <is>
          <t>NOT_TESTED</t>
        </is>
      </c>
      <c r="AA36" s="13" t="inlineStr">
        <is>
          <t>NOT_TESTED</t>
        </is>
      </c>
      <c r="AB36" s="13" t="inlineStr">
        <is>
          <t>NOT_TESTED</t>
        </is>
      </c>
    </row>
    <row r="37">
      <c r="A37" s="2" t="inlineStr">
        <is>
          <t>issue_622</t>
        </is>
      </c>
      <c r="B37" s="14" t="inlineStr">
        <is>
          <t>Runtime error</t>
        </is>
      </c>
      <c r="C37" s="14" t="inlineStr">
        <is>
          <t>Runtime error</t>
        </is>
      </c>
      <c r="D37" s="14" t="inlineStr">
        <is>
          <t>Runtime error</t>
        </is>
      </c>
      <c r="E37" s="14" t="inlineStr">
        <is>
          <t>Runtime error</t>
        </is>
      </c>
      <c r="F37" s="14" t="inlineStr">
        <is>
          <t>Runtime error</t>
        </is>
      </c>
      <c r="G37" s="14" t="inlineStr">
        <is>
          <t>Runtime error</t>
        </is>
      </c>
      <c r="H37" s="14" t="inlineStr">
        <is>
          <t>Runtime error</t>
        </is>
      </c>
      <c r="I37" s="14" t="inlineStr">
        <is>
          <t>Runtime error</t>
        </is>
      </c>
      <c r="J37" s="14" t="inlineStr">
        <is>
          <t>Runtime error</t>
        </is>
      </c>
      <c r="K37" s="14" t="inlineStr">
        <is>
          <t>Runtime error</t>
        </is>
      </c>
      <c r="L37" s="14" t="inlineStr">
        <is>
          <t>Runtime error</t>
        </is>
      </c>
      <c r="M37" s="14" t="inlineStr">
        <is>
          <t>Runtime error</t>
        </is>
      </c>
      <c r="N37" s="13" t="inlineStr">
        <is>
          <t>NOT_TESTED</t>
        </is>
      </c>
      <c r="O37" s="13" t="inlineStr">
        <is>
          <t>NOT_TESTED</t>
        </is>
      </c>
      <c r="P37" s="13" t="inlineStr">
        <is>
          <t>NOT_TESTED</t>
        </is>
      </c>
      <c r="Q37" s="13" t="inlineStr">
        <is>
          <t>NOT_TESTED</t>
        </is>
      </c>
      <c r="R37" s="13" t="inlineStr">
        <is>
          <t>NOT_TESTED</t>
        </is>
      </c>
      <c r="S37" s="13" t="inlineStr">
        <is>
          <t>NOT_TESTED</t>
        </is>
      </c>
      <c r="T37" s="13" t="inlineStr">
        <is>
          <t>NOT_TESTED</t>
        </is>
      </c>
      <c r="U37" s="13" t="inlineStr">
        <is>
          <t>NOT_TESTED</t>
        </is>
      </c>
      <c r="V37" s="13" t="inlineStr">
        <is>
          <t>NOT_TESTED</t>
        </is>
      </c>
      <c r="W37" s="13" t="inlineStr">
        <is>
          <t>NOT_TESTED</t>
        </is>
      </c>
      <c r="X37" s="13" t="inlineStr">
        <is>
          <t>NOT_TESTED</t>
        </is>
      </c>
      <c r="Y37" s="13" t="inlineStr">
        <is>
          <t>NOT_TESTED</t>
        </is>
      </c>
      <c r="Z37" s="13" t="inlineStr">
        <is>
          <t>NOT_TESTED</t>
        </is>
      </c>
      <c r="AA37" s="13" t="inlineStr">
        <is>
          <t>NOT_TESTED</t>
        </is>
      </c>
      <c r="AB37" s="13" t="inlineStr">
        <is>
          <t>NOT_TESTED</t>
        </is>
      </c>
    </row>
    <row r="38">
      <c r="A38" s="2" t="inlineStr">
        <is>
          <t>issue_624</t>
        </is>
      </c>
      <c r="B38" s="14" t="inlineStr">
        <is>
          <t>Runtime error</t>
        </is>
      </c>
      <c r="C38" s="14" t="inlineStr">
        <is>
          <t>Runtime error</t>
        </is>
      </c>
      <c r="D38" s="14" t="inlineStr">
        <is>
          <t>Runtime error</t>
        </is>
      </c>
      <c r="E38" s="14" t="inlineStr">
        <is>
          <t>Runtime error</t>
        </is>
      </c>
      <c r="F38" s="14" t="inlineStr">
        <is>
          <t>Runtime error</t>
        </is>
      </c>
      <c r="G38" s="14" t="inlineStr">
        <is>
          <t>Runtime error</t>
        </is>
      </c>
      <c r="H38" s="14" t="inlineStr">
        <is>
          <t>Runtime error</t>
        </is>
      </c>
      <c r="I38" s="14" t="inlineStr">
        <is>
          <t>Runtime error</t>
        </is>
      </c>
      <c r="J38" s="14" t="inlineStr">
        <is>
          <t>Runtime error</t>
        </is>
      </c>
      <c r="K38" s="14" t="inlineStr">
        <is>
          <t>Runtime error</t>
        </is>
      </c>
      <c r="L38" s="14" t="inlineStr">
        <is>
          <t>Runtime error</t>
        </is>
      </c>
      <c r="M38" s="14" t="inlineStr">
        <is>
          <t>Runtime error</t>
        </is>
      </c>
      <c r="N38" s="13" t="inlineStr">
        <is>
          <t>NOT_TESTED</t>
        </is>
      </c>
      <c r="O38" s="13" t="inlineStr">
        <is>
          <t>NOT_TESTED</t>
        </is>
      </c>
      <c r="P38" s="13" t="inlineStr">
        <is>
          <t>NOT_TESTED</t>
        </is>
      </c>
      <c r="Q38" s="13" t="inlineStr">
        <is>
          <t>NOT_TESTED</t>
        </is>
      </c>
      <c r="R38" s="13" t="inlineStr">
        <is>
          <t>NOT_TESTED</t>
        </is>
      </c>
      <c r="S38" s="13" t="inlineStr">
        <is>
          <t>NOT_TESTED</t>
        </is>
      </c>
      <c r="T38" s="13" t="inlineStr">
        <is>
          <t>NOT_TESTED</t>
        </is>
      </c>
      <c r="U38" s="13" t="inlineStr">
        <is>
          <t>NOT_TESTED</t>
        </is>
      </c>
      <c r="V38" s="13" t="inlineStr">
        <is>
          <t>NOT_TESTED</t>
        </is>
      </c>
      <c r="W38" s="13" t="inlineStr">
        <is>
          <t>NOT_TESTED</t>
        </is>
      </c>
      <c r="X38" s="13" t="inlineStr">
        <is>
          <t>NOT_TESTED</t>
        </is>
      </c>
      <c r="Y38" s="13" t="inlineStr">
        <is>
          <t>NOT_TESTED</t>
        </is>
      </c>
      <c r="Z38" s="13" t="inlineStr">
        <is>
          <t>NOT_TESTED</t>
        </is>
      </c>
      <c r="AA38" s="13" t="inlineStr">
        <is>
          <t>NOT_TESTED</t>
        </is>
      </c>
      <c r="AB38" s="13" t="inlineStr">
        <is>
          <t>NOT_TESTED</t>
        </is>
      </c>
    </row>
    <row r="39">
      <c r="A39" s="2" t="inlineStr">
        <is>
          <t>issue_635</t>
        </is>
      </c>
      <c r="B39" s="15" t="inlineStr">
        <is>
          <t>Failed on test</t>
        </is>
      </c>
      <c r="C39" s="15" t="inlineStr">
        <is>
          <t>Failed on test</t>
        </is>
      </c>
      <c r="D39" s="15" t="inlineStr">
        <is>
          <t>Failed on test</t>
        </is>
      </c>
      <c r="E39" s="15" t="inlineStr">
        <is>
          <t>Failed on test</t>
        </is>
      </c>
      <c r="F39" s="13" t="inlineStr">
        <is>
          <t>NOT_TESTED</t>
        </is>
      </c>
      <c r="G39" s="13" t="inlineStr">
        <is>
          <t>NOT_TESTED</t>
        </is>
      </c>
      <c r="H39" s="13" t="inlineStr">
        <is>
          <t>NOT_TESTED</t>
        </is>
      </c>
      <c r="I39" s="13" t="inlineStr">
        <is>
          <t>NOT_TESTED</t>
        </is>
      </c>
      <c r="J39" s="13" t="inlineStr">
        <is>
          <t>NOT_TESTED</t>
        </is>
      </c>
      <c r="K39" s="13" t="inlineStr">
        <is>
          <t>NOT_TESTED</t>
        </is>
      </c>
      <c r="L39" s="13" t="inlineStr">
        <is>
          <t>NOT_TESTED</t>
        </is>
      </c>
      <c r="M39" s="13" t="inlineStr">
        <is>
          <t>NOT_TESTED</t>
        </is>
      </c>
      <c r="N39" s="13" t="inlineStr">
        <is>
          <t>NOT_TESTED</t>
        </is>
      </c>
      <c r="O39" s="13" t="inlineStr">
        <is>
          <t>NOT_TESTED</t>
        </is>
      </c>
      <c r="P39" s="13" t="inlineStr">
        <is>
          <t>NOT_TESTED</t>
        </is>
      </c>
      <c r="Q39" s="13" t="inlineStr">
        <is>
          <t>NOT_TESTED</t>
        </is>
      </c>
      <c r="R39" s="13" t="inlineStr">
        <is>
          <t>NOT_TESTED</t>
        </is>
      </c>
      <c r="S39" s="13" t="inlineStr">
        <is>
          <t>NOT_TESTED</t>
        </is>
      </c>
      <c r="T39" s="13" t="inlineStr">
        <is>
          <t>NOT_TESTED</t>
        </is>
      </c>
      <c r="U39" s="13" t="inlineStr">
        <is>
          <t>NOT_TESTED</t>
        </is>
      </c>
      <c r="V39" s="13" t="inlineStr">
        <is>
          <t>NOT_TESTED</t>
        </is>
      </c>
      <c r="W39" s="13" t="inlineStr">
        <is>
          <t>NOT_TESTED</t>
        </is>
      </c>
      <c r="X39" s="13" t="inlineStr">
        <is>
          <t>NOT_TESTED</t>
        </is>
      </c>
      <c r="Y39" s="13" t="inlineStr">
        <is>
          <t>NOT_TESTED</t>
        </is>
      </c>
      <c r="Z39" s="13" t="inlineStr">
        <is>
          <t>NOT_TESTED</t>
        </is>
      </c>
      <c r="AA39" s="13" t="inlineStr">
        <is>
          <t>NOT_TESTED</t>
        </is>
      </c>
      <c r="AB39" s="13" t="inlineStr">
        <is>
          <t>NOT_TESTED</t>
        </is>
      </c>
    </row>
    <row r="40">
      <c r="A40" s="2" t="inlineStr">
        <is>
          <t>issue_662</t>
        </is>
      </c>
      <c r="B40" s="13" t="inlineStr">
        <is>
          <t>NOT_TESTED</t>
        </is>
      </c>
      <c r="C40" s="13" t="inlineStr">
        <is>
          <t>NOT_TESTED</t>
        </is>
      </c>
      <c r="D40" s="13" t="inlineStr">
        <is>
          <t>NOT_TESTED</t>
        </is>
      </c>
      <c r="E40" s="13" t="inlineStr">
        <is>
          <t>NOT_TESTED</t>
        </is>
      </c>
      <c r="F40" s="14" t="inlineStr">
        <is>
          <t>Runtime error</t>
        </is>
      </c>
      <c r="G40" s="14" t="inlineStr">
        <is>
          <t>Runtime error</t>
        </is>
      </c>
      <c r="H40" s="14" t="inlineStr">
        <is>
          <t>Runtime error</t>
        </is>
      </c>
      <c r="I40" s="14" t="inlineStr">
        <is>
          <t>Runtime error</t>
        </is>
      </c>
      <c r="J40" s="14" t="inlineStr">
        <is>
          <t>Runtime error</t>
        </is>
      </c>
      <c r="K40" s="14" t="inlineStr">
        <is>
          <t>Runtime error</t>
        </is>
      </c>
      <c r="L40" s="14" t="inlineStr">
        <is>
          <t>Runtime error</t>
        </is>
      </c>
      <c r="M40" s="14" t="inlineStr">
        <is>
          <t>Runtime error</t>
        </is>
      </c>
      <c r="N40" s="14" t="inlineStr">
        <is>
          <t>Runtime error</t>
        </is>
      </c>
      <c r="O40" s="14" t="inlineStr">
        <is>
          <t>Runtime error</t>
        </is>
      </c>
      <c r="P40" s="14" t="inlineStr">
        <is>
          <t>Runtime error</t>
        </is>
      </c>
      <c r="Q40" s="14" t="inlineStr">
        <is>
          <t>Runtime error</t>
        </is>
      </c>
      <c r="R40" s="14" t="inlineStr">
        <is>
          <t>Runtime error</t>
        </is>
      </c>
      <c r="S40" s="14" t="inlineStr">
        <is>
          <t>Runtime error</t>
        </is>
      </c>
      <c r="T40" s="14" t="inlineStr">
        <is>
          <t>Runtime error</t>
        </is>
      </c>
      <c r="U40" s="14" t="inlineStr">
        <is>
          <t>Runtime error</t>
        </is>
      </c>
      <c r="V40" s="14" t="inlineStr">
        <is>
          <t>Runtime error</t>
        </is>
      </c>
      <c r="W40" s="14" t="inlineStr">
        <is>
          <t>Runtime error</t>
        </is>
      </c>
      <c r="X40" s="14" t="inlineStr">
        <is>
          <t>Runtime error</t>
        </is>
      </c>
      <c r="Y40" s="14" t="inlineStr">
        <is>
          <t>Runtime error</t>
        </is>
      </c>
      <c r="Z40" s="14" t="inlineStr">
        <is>
          <t>Runtime error</t>
        </is>
      </c>
      <c r="AA40" s="14" t="inlineStr">
        <is>
          <t>Runtime error</t>
        </is>
      </c>
      <c r="AB40" s="14" t="inlineStr">
        <is>
          <t>Runtime error</t>
        </is>
      </c>
    </row>
    <row r="41">
      <c r="A41" s="2" t="inlineStr">
        <is>
          <t>issue_663</t>
        </is>
      </c>
      <c r="B41" s="13" t="inlineStr">
        <is>
          <t>NOT_TESTED</t>
        </is>
      </c>
      <c r="C41" s="13" t="inlineStr">
        <is>
          <t>NOT_TESTED</t>
        </is>
      </c>
      <c r="D41" s="13" t="inlineStr">
        <is>
          <t>NOT_TESTED</t>
        </is>
      </c>
      <c r="E41" s="13" t="inlineStr">
        <is>
          <t>NOT_TESTED</t>
        </is>
      </c>
      <c r="F41" s="16" t="inlineStr">
        <is>
          <t>Passed on test</t>
        </is>
      </c>
      <c r="G41" s="16" t="inlineStr">
        <is>
          <t>Passed on test</t>
        </is>
      </c>
      <c r="H41" s="16" t="inlineStr">
        <is>
          <t>Passed on test</t>
        </is>
      </c>
      <c r="I41" s="16" t="inlineStr">
        <is>
          <t>Passed on test</t>
        </is>
      </c>
      <c r="J41" s="16" t="inlineStr">
        <is>
          <t>Passed on test</t>
        </is>
      </c>
      <c r="K41" s="16" t="inlineStr">
        <is>
          <t>Passed on test</t>
        </is>
      </c>
      <c r="L41" s="16" t="inlineStr">
        <is>
          <t>Passed on test</t>
        </is>
      </c>
      <c r="M41" s="16" t="inlineStr">
        <is>
          <t>Passed on test</t>
        </is>
      </c>
      <c r="N41" s="13" t="inlineStr">
        <is>
          <t>NOT_TESTED</t>
        </is>
      </c>
      <c r="O41" s="13" t="inlineStr">
        <is>
          <t>NOT_TESTED</t>
        </is>
      </c>
      <c r="P41" s="13" t="inlineStr">
        <is>
          <t>NOT_TESTED</t>
        </is>
      </c>
      <c r="Q41" s="13" t="inlineStr">
        <is>
          <t>NOT_TESTED</t>
        </is>
      </c>
      <c r="R41" s="13" t="inlineStr">
        <is>
          <t>NOT_TESTED</t>
        </is>
      </c>
      <c r="S41" s="13" t="inlineStr">
        <is>
          <t>NOT_TESTED</t>
        </is>
      </c>
      <c r="T41" s="13" t="inlineStr">
        <is>
          <t>NOT_TESTED</t>
        </is>
      </c>
      <c r="U41" s="13" t="inlineStr">
        <is>
          <t>NOT_TESTED</t>
        </is>
      </c>
      <c r="V41" s="13" t="inlineStr">
        <is>
          <t>NOT_TESTED</t>
        </is>
      </c>
      <c r="W41" s="13" t="inlineStr">
        <is>
          <t>NOT_TESTED</t>
        </is>
      </c>
      <c r="X41" s="13" t="inlineStr">
        <is>
          <t>NOT_TESTED</t>
        </is>
      </c>
      <c r="Y41" s="13" t="inlineStr">
        <is>
          <t>NOT_TESTED</t>
        </is>
      </c>
      <c r="Z41" s="13" t="inlineStr">
        <is>
          <t>NOT_TESTED</t>
        </is>
      </c>
      <c r="AA41" s="13" t="inlineStr">
        <is>
          <t>NOT_TESTED</t>
        </is>
      </c>
      <c r="AB41" s="13" t="inlineStr">
        <is>
          <t>NOT_TESTED</t>
        </is>
      </c>
    </row>
    <row r="42">
      <c r="A42" s="2" t="inlineStr">
        <is>
          <t>issue_671</t>
        </is>
      </c>
      <c r="B42" s="16" t="inlineStr">
        <is>
          <t>Failed on test</t>
        </is>
      </c>
      <c r="C42" s="16" t="inlineStr">
        <is>
          <t>Failed on test</t>
        </is>
      </c>
      <c r="D42" s="16" t="inlineStr">
        <is>
          <t>Failed on test</t>
        </is>
      </c>
      <c r="E42" s="16" t="inlineStr">
        <is>
          <t>Failed on test</t>
        </is>
      </c>
      <c r="F42" s="16" t="inlineStr">
        <is>
          <t>Failed on test</t>
        </is>
      </c>
      <c r="G42" s="16" t="inlineStr">
        <is>
          <t>Failed on test</t>
        </is>
      </c>
      <c r="H42" s="16" t="inlineStr">
        <is>
          <t>Failed on test</t>
        </is>
      </c>
      <c r="I42" s="16" t="inlineStr">
        <is>
          <t>Failed on test</t>
        </is>
      </c>
      <c r="J42" s="16" t="inlineStr">
        <is>
          <t>Failed on test</t>
        </is>
      </c>
      <c r="K42" s="16" t="inlineStr">
        <is>
          <t>Failed on test</t>
        </is>
      </c>
      <c r="L42" s="16" t="inlineStr">
        <is>
          <t>Failed on test</t>
        </is>
      </c>
      <c r="M42" s="16" t="inlineStr">
        <is>
          <t>Failed on test</t>
        </is>
      </c>
      <c r="N42" s="16" t="inlineStr">
        <is>
          <t>Failed on test</t>
        </is>
      </c>
      <c r="O42" s="16" t="inlineStr">
        <is>
          <t>Failed on test</t>
        </is>
      </c>
      <c r="P42" s="16" t="inlineStr">
        <is>
          <t>Failed on test</t>
        </is>
      </c>
      <c r="Q42" s="16" t="inlineStr">
        <is>
          <t>Failed on test</t>
        </is>
      </c>
      <c r="R42" s="16" t="inlineStr">
        <is>
          <t>Failed on test</t>
        </is>
      </c>
      <c r="S42" s="16" t="inlineStr">
        <is>
          <t>Failed on test</t>
        </is>
      </c>
      <c r="T42" s="16" t="inlineStr">
        <is>
          <t>Failed on test</t>
        </is>
      </c>
      <c r="U42" s="16" t="inlineStr">
        <is>
          <t>Failed on test</t>
        </is>
      </c>
      <c r="V42" s="16" t="inlineStr">
        <is>
          <t>Failed on test</t>
        </is>
      </c>
      <c r="W42" s="16" t="inlineStr">
        <is>
          <t>Failed on test</t>
        </is>
      </c>
      <c r="X42" s="16" t="inlineStr">
        <is>
          <t>Failed on test</t>
        </is>
      </c>
      <c r="Y42" s="16" t="inlineStr">
        <is>
          <t>Failed on test</t>
        </is>
      </c>
      <c r="Z42" s="16" t="inlineStr">
        <is>
          <t>Failed on test</t>
        </is>
      </c>
      <c r="AA42" s="16" t="inlineStr">
        <is>
          <t>Failed on test</t>
        </is>
      </c>
      <c r="AB42" s="16" t="inlineStr">
        <is>
          <t>Failed on test</t>
        </is>
      </c>
    </row>
    <row r="43">
      <c r="A43" s="2" t="inlineStr">
        <is>
          <t>issue_727</t>
        </is>
      </c>
      <c r="B43" s="16" t="inlineStr">
        <is>
          <t>Passed on test</t>
        </is>
      </c>
      <c r="C43" s="16" t="inlineStr">
        <is>
          <t>Passed on test</t>
        </is>
      </c>
      <c r="D43" s="16" t="inlineStr">
        <is>
          <t>Passed on test</t>
        </is>
      </c>
      <c r="E43" s="16" t="inlineStr">
        <is>
          <t>Passed on test</t>
        </is>
      </c>
      <c r="F43" s="16" t="inlineStr">
        <is>
          <t>Passed on test</t>
        </is>
      </c>
      <c r="G43" s="16" t="inlineStr">
        <is>
          <t>Passed on test</t>
        </is>
      </c>
      <c r="H43" s="16" t="inlineStr">
        <is>
          <t>Passed on test</t>
        </is>
      </c>
      <c r="I43" s="16" t="inlineStr">
        <is>
          <t>Passed on test</t>
        </is>
      </c>
      <c r="J43" s="16" t="inlineStr">
        <is>
          <t>Passed on test</t>
        </is>
      </c>
      <c r="K43" s="16" t="inlineStr">
        <is>
          <t>Passed on test</t>
        </is>
      </c>
      <c r="L43" s="16" t="inlineStr">
        <is>
          <t>Passed on test</t>
        </is>
      </c>
      <c r="M43" s="16" t="inlineStr">
        <is>
          <t>Passed on test</t>
        </is>
      </c>
      <c r="N43" s="13" t="inlineStr">
        <is>
          <t>NOT_TESTED</t>
        </is>
      </c>
      <c r="O43" s="13" t="inlineStr">
        <is>
          <t>NOT_TESTED</t>
        </is>
      </c>
      <c r="P43" s="13" t="inlineStr">
        <is>
          <t>NOT_TESTED</t>
        </is>
      </c>
      <c r="Q43" s="13" t="inlineStr">
        <is>
          <t>NOT_TESTED</t>
        </is>
      </c>
      <c r="R43" s="13" t="inlineStr">
        <is>
          <t>NOT_TESTED</t>
        </is>
      </c>
      <c r="S43" s="13" t="inlineStr">
        <is>
          <t>NOT_TESTED</t>
        </is>
      </c>
      <c r="T43" s="13" t="inlineStr">
        <is>
          <t>NOT_TESTED</t>
        </is>
      </c>
      <c r="U43" s="13" t="inlineStr">
        <is>
          <t>NOT_TESTED</t>
        </is>
      </c>
      <c r="V43" s="13" t="inlineStr">
        <is>
          <t>NOT_TESTED</t>
        </is>
      </c>
      <c r="W43" s="13" t="inlineStr">
        <is>
          <t>NOT_TESTED</t>
        </is>
      </c>
      <c r="X43" s="13" t="inlineStr">
        <is>
          <t>NOT_TESTED</t>
        </is>
      </c>
      <c r="Y43" s="13" t="inlineStr">
        <is>
          <t>NOT_TESTED</t>
        </is>
      </c>
      <c r="Z43" s="13" t="inlineStr">
        <is>
          <t>NOT_TESTED</t>
        </is>
      </c>
      <c r="AA43" s="13" t="inlineStr">
        <is>
          <t>NOT_TESTED</t>
        </is>
      </c>
      <c r="AB43" s="13" t="inlineStr">
        <is>
          <t>NOT_TESTED</t>
        </is>
      </c>
    </row>
    <row r="44">
      <c r="A44" s="2" t="inlineStr">
        <is>
          <t>issue_742</t>
        </is>
      </c>
      <c r="B44" s="13" t="inlineStr">
        <is>
          <t>NOT_TESTED</t>
        </is>
      </c>
      <c r="C44" s="13" t="inlineStr">
        <is>
          <t>NOT_TESTED</t>
        </is>
      </c>
      <c r="D44" s="13" t="inlineStr">
        <is>
          <t>NOT_TESTED</t>
        </is>
      </c>
      <c r="E44" s="13" t="inlineStr">
        <is>
          <t>NOT_TESTED</t>
        </is>
      </c>
      <c r="F44" s="13" t="inlineStr">
        <is>
          <t>NOT_TESTED</t>
        </is>
      </c>
      <c r="G44" s="13" t="inlineStr">
        <is>
          <t>NOT_TESTED</t>
        </is>
      </c>
      <c r="H44" s="13" t="inlineStr">
        <is>
          <t>NOT_TESTED</t>
        </is>
      </c>
      <c r="I44" s="13" t="inlineStr">
        <is>
          <t>NOT_TESTED</t>
        </is>
      </c>
      <c r="J44" s="13" t="inlineStr">
        <is>
          <t>NOT_TESTED</t>
        </is>
      </c>
      <c r="K44" s="13" t="inlineStr">
        <is>
          <t>NOT_TESTED</t>
        </is>
      </c>
      <c r="L44" s="13" t="inlineStr">
        <is>
          <t>NOT_TESTED</t>
        </is>
      </c>
      <c r="M44" s="13" t="inlineStr">
        <is>
          <t>NOT_TESTED</t>
        </is>
      </c>
      <c r="N44" s="13" t="inlineStr">
        <is>
          <t>NOT_TESTED</t>
        </is>
      </c>
      <c r="O44" s="13" t="inlineStr">
        <is>
          <t>NOT_TESTED</t>
        </is>
      </c>
      <c r="P44" s="13" t="inlineStr">
        <is>
          <t>NOT_TESTED</t>
        </is>
      </c>
      <c r="Q44" s="16" t="inlineStr">
        <is>
          <t>Passed on test</t>
        </is>
      </c>
      <c r="R44" s="16" t="inlineStr">
        <is>
          <t>Passed on test</t>
        </is>
      </c>
      <c r="S44" s="16" t="inlineStr">
        <is>
          <t>Passed on test</t>
        </is>
      </c>
      <c r="T44" s="16" t="inlineStr">
        <is>
          <t>Passed on test</t>
        </is>
      </c>
      <c r="U44" s="16" t="inlineStr">
        <is>
          <t>Passed on test</t>
        </is>
      </c>
      <c r="V44" s="16" t="inlineStr">
        <is>
          <t>Passed on test</t>
        </is>
      </c>
      <c r="W44" s="16" t="inlineStr">
        <is>
          <t>Passed on test</t>
        </is>
      </c>
      <c r="X44" s="16" t="inlineStr">
        <is>
          <t>Passed on test</t>
        </is>
      </c>
      <c r="Y44" s="16" t="inlineStr">
        <is>
          <t>Passed on test</t>
        </is>
      </c>
      <c r="Z44" s="16" t="inlineStr">
        <is>
          <t>Passed on test</t>
        </is>
      </c>
      <c r="AA44" s="16" t="inlineStr">
        <is>
          <t>Passed on test</t>
        </is>
      </c>
      <c r="AB44" s="16" t="inlineStr">
        <is>
          <t>Passed on test</t>
        </is>
      </c>
    </row>
    <row r="45">
      <c r="A45" s="2" t="inlineStr">
        <is>
          <t>issue_747</t>
        </is>
      </c>
      <c r="B45" s="13" t="inlineStr">
        <is>
          <t>NOT_TESTED</t>
        </is>
      </c>
      <c r="C45" s="13" t="inlineStr">
        <is>
          <t>NOT_TESTED</t>
        </is>
      </c>
      <c r="D45" s="13" t="inlineStr">
        <is>
          <t>NOT_TESTED</t>
        </is>
      </c>
      <c r="E45" s="13" t="inlineStr">
        <is>
          <t>NOT_TESTED</t>
        </is>
      </c>
      <c r="F45" s="16" t="inlineStr">
        <is>
          <t>Passed on test</t>
        </is>
      </c>
      <c r="G45" s="16" t="inlineStr">
        <is>
          <t>Passed on test</t>
        </is>
      </c>
      <c r="H45" s="16" t="inlineStr">
        <is>
          <t>Passed on test</t>
        </is>
      </c>
      <c r="I45" s="16" t="inlineStr">
        <is>
          <t>Passed on test</t>
        </is>
      </c>
      <c r="J45" s="16" t="inlineStr">
        <is>
          <t>Passed on test</t>
        </is>
      </c>
      <c r="K45" s="16" t="inlineStr">
        <is>
          <t>Passed on test</t>
        </is>
      </c>
      <c r="L45" s="16" t="inlineStr">
        <is>
          <t>Passed on test</t>
        </is>
      </c>
      <c r="M45" s="16" t="inlineStr">
        <is>
          <t>Passed on test</t>
        </is>
      </c>
      <c r="N45" s="13" t="inlineStr">
        <is>
          <t>NOT_TESTED</t>
        </is>
      </c>
      <c r="O45" s="13" t="inlineStr">
        <is>
          <t>NOT_TESTED</t>
        </is>
      </c>
      <c r="P45" s="13" t="inlineStr">
        <is>
          <t>NOT_TESTED</t>
        </is>
      </c>
      <c r="Q45" s="13" t="inlineStr">
        <is>
          <t>NOT_TESTED</t>
        </is>
      </c>
      <c r="R45" s="13" t="inlineStr">
        <is>
          <t>NOT_TESTED</t>
        </is>
      </c>
      <c r="S45" s="13" t="inlineStr">
        <is>
          <t>NOT_TESTED</t>
        </is>
      </c>
      <c r="T45" s="13" t="inlineStr">
        <is>
          <t>NOT_TESTED</t>
        </is>
      </c>
      <c r="U45" s="13" t="inlineStr">
        <is>
          <t>NOT_TESTED</t>
        </is>
      </c>
      <c r="V45" s="13" t="inlineStr">
        <is>
          <t>NOT_TESTED</t>
        </is>
      </c>
      <c r="W45" s="13" t="inlineStr">
        <is>
          <t>NOT_TESTED</t>
        </is>
      </c>
      <c r="X45" s="13" t="inlineStr">
        <is>
          <t>NOT_TESTED</t>
        </is>
      </c>
      <c r="Y45" s="13" t="inlineStr">
        <is>
          <t>NOT_TESTED</t>
        </is>
      </c>
      <c r="Z45" s="13" t="inlineStr">
        <is>
          <t>NOT_TESTED</t>
        </is>
      </c>
      <c r="AA45" s="13" t="inlineStr">
        <is>
          <t>NOT_TESTED</t>
        </is>
      </c>
      <c r="AB45" s="13" t="inlineStr">
        <is>
          <t>NOT_TESTED</t>
        </is>
      </c>
    </row>
    <row r="46">
      <c r="A46" s="2" t="inlineStr">
        <is>
          <t>issue_750</t>
        </is>
      </c>
      <c r="B46" s="13" t="inlineStr">
        <is>
          <t>NOT_TESTED</t>
        </is>
      </c>
      <c r="C46" s="13" t="inlineStr">
        <is>
          <t>NOT_TESTED</t>
        </is>
      </c>
      <c r="D46" s="13" t="inlineStr">
        <is>
          <t>NOT_TESTED</t>
        </is>
      </c>
      <c r="E46" s="13" t="inlineStr">
        <is>
          <t>NOT_TESTED</t>
        </is>
      </c>
      <c r="F46" s="14" t="inlineStr">
        <is>
          <t>Runtime error</t>
        </is>
      </c>
      <c r="G46" s="14" t="inlineStr">
        <is>
          <t>Runtime error</t>
        </is>
      </c>
      <c r="H46" s="14" t="inlineStr">
        <is>
          <t>Runtime error</t>
        </is>
      </c>
      <c r="I46" s="14" t="inlineStr">
        <is>
          <t>Runtime error</t>
        </is>
      </c>
      <c r="J46" s="14" t="inlineStr">
        <is>
          <t>Runtime error</t>
        </is>
      </c>
      <c r="K46" s="14" t="inlineStr">
        <is>
          <t>Runtime error</t>
        </is>
      </c>
      <c r="L46" s="14" t="inlineStr">
        <is>
          <t>Runtime error</t>
        </is>
      </c>
      <c r="M46" s="14" t="inlineStr">
        <is>
          <t>Runtime error</t>
        </is>
      </c>
      <c r="N46" s="14" t="inlineStr">
        <is>
          <t>Runtime error</t>
        </is>
      </c>
      <c r="O46" s="14" t="inlineStr">
        <is>
          <t>Runtime error</t>
        </is>
      </c>
      <c r="P46" s="14" t="inlineStr">
        <is>
          <t>Runtime error</t>
        </is>
      </c>
      <c r="Q46" s="14" t="inlineStr">
        <is>
          <t>Runtime error</t>
        </is>
      </c>
      <c r="R46" s="14" t="inlineStr">
        <is>
          <t>Runtime error</t>
        </is>
      </c>
      <c r="S46" s="14" t="inlineStr">
        <is>
          <t>Runtime error</t>
        </is>
      </c>
      <c r="T46" s="14" t="inlineStr">
        <is>
          <t>Runtime error</t>
        </is>
      </c>
      <c r="U46" s="14" t="inlineStr">
        <is>
          <t>Runtime error</t>
        </is>
      </c>
      <c r="V46" s="14" t="inlineStr">
        <is>
          <t>Runtime error</t>
        </is>
      </c>
      <c r="W46" s="14" t="inlineStr">
        <is>
          <t>Runtime error</t>
        </is>
      </c>
      <c r="X46" s="14" t="inlineStr">
        <is>
          <t>Runtime error</t>
        </is>
      </c>
      <c r="Y46" s="14" t="inlineStr">
        <is>
          <t>Runtime error</t>
        </is>
      </c>
      <c r="Z46" s="14" t="inlineStr">
        <is>
          <t>Runtime error</t>
        </is>
      </c>
      <c r="AA46" s="14" t="inlineStr">
        <is>
          <t>Runtime error</t>
        </is>
      </c>
      <c r="AB46" s="14" t="inlineStr">
        <is>
          <t>Runtime error</t>
        </is>
      </c>
    </row>
    <row r="47">
      <c r="A47" s="2" t="inlineStr">
        <is>
          <t>issue_769</t>
        </is>
      </c>
      <c r="B47" s="13" t="inlineStr">
        <is>
          <t>NOT_TESTED</t>
        </is>
      </c>
      <c r="C47" s="13" t="inlineStr">
        <is>
          <t>NOT_TESTED</t>
        </is>
      </c>
      <c r="D47" s="13" t="inlineStr">
        <is>
          <t>NOT_TESTED</t>
        </is>
      </c>
      <c r="E47" s="13" t="inlineStr">
        <is>
          <t>NOT_TESTED</t>
        </is>
      </c>
      <c r="F47" s="13" t="inlineStr">
        <is>
          <t>NOT_TESTED</t>
        </is>
      </c>
      <c r="G47" s="13" t="inlineStr">
        <is>
          <t>NOT_TESTED</t>
        </is>
      </c>
      <c r="H47" s="13" t="inlineStr">
        <is>
          <t>NOT_TESTED</t>
        </is>
      </c>
      <c r="I47" s="13" t="inlineStr">
        <is>
          <t>NOT_TESTED</t>
        </is>
      </c>
      <c r="J47" s="13" t="inlineStr">
        <is>
          <t>NOT_TESTED</t>
        </is>
      </c>
      <c r="K47" s="13" t="inlineStr">
        <is>
          <t>NOT_TESTED</t>
        </is>
      </c>
      <c r="L47" s="13" t="inlineStr">
        <is>
          <t>NOT_TESTED</t>
        </is>
      </c>
      <c r="M47" s="13" t="inlineStr">
        <is>
          <t>NOT_TESTED</t>
        </is>
      </c>
      <c r="N47" s="14" t="inlineStr">
        <is>
          <t>Runtime error</t>
        </is>
      </c>
      <c r="O47" s="14" t="inlineStr">
        <is>
          <t>Runtime error</t>
        </is>
      </c>
      <c r="P47" s="14" t="inlineStr">
        <is>
          <t>Runtime error</t>
        </is>
      </c>
      <c r="Q47" s="14" t="inlineStr">
        <is>
          <t>Runtime error</t>
        </is>
      </c>
      <c r="R47" s="14" t="inlineStr">
        <is>
          <t>Runtime error</t>
        </is>
      </c>
      <c r="S47" s="14" t="inlineStr">
        <is>
          <t>Runtime error</t>
        </is>
      </c>
      <c r="T47" s="14" t="inlineStr">
        <is>
          <t>Runtime error</t>
        </is>
      </c>
      <c r="U47" s="14" t="inlineStr">
        <is>
          <t>Runtime error</t>
        </is>
      </c>
      <c r="V47" s="14" t="inlineStr">
        <is>
          <t>Runtime error</t>
        </is>
      </c>
      <c r="W47" s="14" t="inlineStr">
        <is>
          <t>Runtime error</t>
        </is>
      </c>
      <c r="X47" s="14" t="inlineStr">
        <is>
          <t>Runtime error</t>
        </is>
      </c>
      <c r="Y47" s="14" t="inlineStr">
        <is>
          <t>Runtime error</t>
        </is>
      </c>
      <c r="Z47" s="14" t="inlineStr">
        <is>
          <t>Runtime error</t>
        </is>
      </c>
      <c r="AA47" s="14" t="inlineStr">
        <is>
          <t>Runtime error</t>
        </is>
      </c>
      <c r="AB47" s="14" t="inlineStr">
        <is>
          <t>Runtime error</t>
        </is>
      </c>
    </row>
    <row r="48">
      <c r="A48" s="2" t="inlineStr">
        <is>
          <t>issue_773</t>
        </is>
      </c>
      <c r="B48" s="13" t="inlineStr">
        <is>
          <t>NOT_TESTED</t>
        </is>
      </c>
      <c r="C48" s="13" t="inlineStr">
        <is>
          <t>NOT_TESTED</t>
        </is>
      </c>
      <c r="D48" s="13" t="inlineStr">
        <is>
          <t>NOT_TESTED</t>
        </is>
      </c>
      <c r="E48" s="13" t="inlineStr">
        <is>
          <t>NOT_TESTED</t>
        </is>
      </c>
      <c r="F48" s="16" t="inlineStr">
        <is>
          <t>Passed on test</t>
        </is>
      </c>
      <c r="G48" s="16" t="inlineStr">
        <is>
          <t>Passed on test</t>
        </is>
      </c>
      <c r="H48" s="16" t="inlineStr">
        <is>
          <t>Passed on test</t>
        </is>
      </c>
      <c r="I48" s="16" t="inlineStr">
        <is>
          <t>Passed on test</t>
        </is>
      </c>
      <c r="J48" s="16" t="inlineStr">
        <is>
          <t>Passed on test</t>
        </is>
      </c>
      <c r="K48" s="16" t="inlineStr">
        <is>
          <t>Passed on test</t>
        </is>
      </c>
      <c r="L48" s="16" t="inlineStr">
        <is>
          <t>Passed on test</t>
        </is>
      </c>
      <c r="M48" s="16" t="inlineStr">
        <is>
          <t>Passed on test</t>
        </is>
      </c>
      <c r="N48" s="13" t="inlineStr">
        <is>
          <t>NOT_TESTED</t>
        </is>
      </c>
      <c r="O48" s="13" t="inlineStr">
        <is>
          <t>NOT_TESTED</t>
        </is>
      </c>
      <c r="P48" s="13" t="inlineStr">
        <is>
          <t>NOT_TESTED</t>
        </is>
      </c>
      <c r="Q48" s="13" t="inlineStr">
        <is>
          <t>NOT_TESTED</t>
        </is>
      </c>
      <c r="R48" s="13" t="inlineStr">
        <is>
          <t>NOT_TESTED</t>
        </is>
      </c>
      <c r="S48" s="13" t="inlineStr">
        <is>
          <t>NOT_TESTED</t>
        </is>
      </c>
      <c r="T48" s="13" t="inlineStr">
        <is>
          <t>NOT_TESTED</t>
        </is>
      </c>
      <c r="U48" s="13" t="inlineStr">
        <is>
          <t>NOT_TESTED</t>
        </is>
      </c>
      <c r="V48" s="13" t="inlineStr">
        <is>
          <t>NOT_TESTED</t>
        </is>
      </c>
      <c r="W48" s="13" t="inlineStr">
        <is>
          <t>NOT_TESTED</t>
        </is>
      </c>
      <c r="X48" s="13" t="inlineStr">
        <is>
          <t>NOT_TESTED</t>
        </is>
      </c>
      <c r="Y48" s="13" t="inlineStr">
        <is>
          <t>NOT_TESTED</t>
        </is>
      </c>
      <c r="Z48" s="13" t="inlineStr">
        <is>
          <t>NOT_TESTED</t>
        </is>
      </c>
      <c r="AA48" s="13" t="inlineStr">
        <is>
          <t>NOT_TESTED</t>
        </is>
      </c>
      <c r="AB48" s="13" t="inlineStr">
        <is>
          <t>NOT_TESTED</t>
        </is>
      </c>
    </row>
    <row r="49">
      <c r="A49" s="2" t="inlineStr">
        <is>
          <t>issue_775</t>
        </is>
      </c>
      <c r="B49" s="16" t="inlineStr">
        <is>
          <t>Runtime error</t>
        </is>
      </c>
      <c r="C49" s="16" t="inlineStr">
        <is>
          <t>Runtime error</t>
        </is>
      </c>
      <c r="D49" s="16" t="inlineStr">
        <is>
          <t>Runtime error</t>
        </is>
      </c>
      <c r="E49" s="16" t="inlineStr">
        <is>
          <t>Runtime error</t>
        </is>
      </c>
      <c r="F49" s="16" t="inlineStr">
        <is>
          <t>Runtime error</t>
        </is>
      </c>
      <c r="G49" s="16" t="inlineStr">
        <is>
          <t>Runtime error</t>
        </is>
      </c>
      <c r="H49" s="16" t="inlineStr">
        <is>
          <t>Runtime error</t>
        </is>
      </c>
      <c r="I49" s="16" t="inlineStr">
        <is>
          <t>Runtime error</t>
        </is>
      </c>
      <c r="J49" s="16" t="inlineStr">
        <is>
          <t>Runtime error</t>
        </is>
      </c>
      <c r="K49" s="16" t="inlineStr">
        <is>
          <t>Runtime error</t>
        </is>
      </c>
      <c r="L49" s="16" t="inlineStr">
        <is>
          <t>Runtime error</t>
        </is>
      </c>
      <c r="M49" s="16" t="inlineStr">
        <is>
          <t>Runtime error</t>
        </is>
      </c>
      <c r="N49" s="13" t="inlineStr">
        <is>
          <t>NOT_TESTED</t>
        </is>
      </c>
      <c r="O49" s="13" t="inlineStr">
        <is>
          <t>NOT_TESTED</t>
        </is>
      </c>
      <c r="P49" s="13" t="inlineStr">
        <is>
          <t>NOT_TESTED</t>
        </is>
      </c>
      <c r="Q49" s="13" t="inlineStr">
        <is>
          <t>NOT_TESTED</t>
        </is>
      </c>
      <c r="R49" s="13" t="inlineStr">
        <is>
          <t>NOT_TESTED</t>
        </is>
      </c>
      <c r="S49" s="13" t="inlineStr">
        <is>
          <t>NOT_TESTED</t>
        </is>
      </c>
      <c r="T49" s="13" t="inlineStr">
        <is>
          <t>NOT_TESTED</t>
        </is>
      </c>
      <c r="U49" s="13" t="inlineStr">
        <is>
          <t>NOT_TESTED</t>
        </is>
      </c>
      <c r="V49" s="13" t="inlineStr">
        <is>
          <t>NOT_TESTED</t>
        </is>
      </c>
      <c r="W49" s="13" t="inlineStr">
        <is>
          <t>NOT_TESTED</t>
        </is>
      </c>
      <c r="X49" s="13" t="inlineStr">
        <is>
          <t>NOT_TESTED</t>
        </is>
      </c>
      <c r="Y49" s="13" t="inlineStr">
        <is>
          <t>NOT_TESTED</t>
        </is>
      </c>
      <c r="Z49" s="13" t="inlineStr">
        <is>
          <t>NOT_TESTED</t>
        </is>
      </c>
      <c r="AA49" s="13" t="inlineStr">
        <is>
          <t>NOT_TESTED</t>
        </is>
      </c>
      <c r="AB49" s="13" t="inlineStr">
        <is>
          <t>NOT_TESTED</t>
        </is>
      </c>
    </row>
    <row r="50">
      <c r="A50" s="2" t="inlineStr">
        <is>
          <t>issue_795</t>
        </is>
      </c>
      <c r="B50" s="16" t="inlineStr">
        <is>
          <t>Passed on test</t>
        </is>
      </c>
      <c r="C50" s="16" t="inlineStr">
        <is>
          <t>Passed on test</t>
        </is>
      </c>
      <c r="D50" s="16" t="inlineStr">
        <is>
          <t>Passed on test</t>
        </is>
      </c>
      <c r="E50" s="16" t="inlineStr">
        <is>
          <t>Passed on test</t>
        </is>
      </c>
      <c r="F50" s="16" t="inlineStr">
        <is>
          <t>Passed on test</t>
        </is>
      </c>
      <c r="G50" s="16" t="inlineStr">
        <is>
          <t>Passed on test</t>
        </is>
      </c>
      <c r="H50" s="16" t="inlineStr">
        <is>
          <t>Passed on test</t>
        </is>
      </c>
      <c r="I50" s="16" t="inlineStr">
        <is>
          <t>Passed on test</t>
        </is>
      </c>
      <c r="J50" s="16" t="inlineStr">
        <is>
          <t>Passed on test</t>
        </is>
      </c>
      <c r="K50" s="16" t="inlineStr">
        <is>
          <t>Passed on test</t>
        </is>
      </c>
      <c r="L50" s="16" t="inlineStr">
        <is>
          <t>Passed on test</t>
        </is>
      </c>
      <c r="M50" s="16" t="inlineStr">
        <is>
          <t>Passed on test</t>
        </is>
      </c>
      <c r="N50" s="13" t="inlineStr">
        <is>
          <t>NOT_TESTED</t>
        </is>
      </c>
      <c r="O50" s="13" t="inlineStr">
        <is>
          <t>NOT_TESTED</t>
        </is>
      </c>
      <c r="P50" s="13" t="inlineStr">
        <is>
          <t>NOT_TESTED</t>
        </is>
      </c>
      <c r="Q50" s="13" t="inlineStr">
        <is>
          <t>NOT_TESTED</t>
        </is>
      </c>
      <c r="R50" s="13" t="inlineStr">
        <is>
          <t>NOT_TESTED</t>
        </is>
      </c>
      <c r="S50" s="13" t="inlineStr">
        <is>
          <t>NOT_TESTED</t>
        </is>
      </c>
      <c r="T50" s="13" t="inlineStr">
        <is>
          <t>NOT_TESTED</t>
        </is>
      </c>
      <c r="U50" s="13" t="inlineStr">
        <is>
          <t>NOT_TESTED</t>
        </is>
      </c>
      <c r="V50" s="13" t="inlineStr">
        <is>
          <t>NOT_TESTED</t>
        </is>
      </c>
      <c r="W50" s="13" t="inlineStr">
        <is>
          <t>NOT_TESTED</t>
        </is>
      </c>
      <c r="X50" s="13" t="inlineStr">
        <is>
          <t>NOT_TESTED</t>
        </is>
      </c>
      <c r="Y50" s="13" t="inlineStr">
        <is>
          <t>NOT_TESTED</t>
        </is>
      </c>
      <c r="Z50" s="13" t="inlineStr">
        <is>
          <t>NOT_TESTED</t>
        </is>
      </c>
      <c r="AA50" s="13" t="inlineStr">
        <is>
          <t>NOT_TESTED</t>
        </is>
      </c>
      <c r="AB50" s="13" t="inlineStr">
        <is>
          <t>NOT_TESTED</t>
        </is>
      </c>
    </row>
    <row r="51">
      <c r="A51" s="2" t="inlineStr">
        <is>
          <t>issue_803</t>
        </is>
      </c>
      <c r="B51" s="15" t="inlineStr">
        <is>
          <t>Failed on test</t>
        </is>
      </c>
      <c r="C51" s="15" t="inlineStr">
        <is>
          <t>Failed on test</t>
        </is>
      </c>
      <c r="D51" s="15" t="inlineStr">
        <is>
          <t>Failed on test</t>
        </is>
      </c>
      <c r="E51" s="15" t="inlineStr">
        <is>
          <t>Failed on test</t>
        </is>
      </c>
      <c r="F51" s="14" t="inlineStr">
        <is>
          <t>Runtime error</t>
        </is>
      </c>
      <c r="G51" s="14" t="inlineStr">
        <is>
          <t>Runtime error</t>
        </is>
      </c>
      <c r="H51" s="14" t="inlineStr">
        <is>
          <t>Runtime error</t>
        </is>
      </c>
      <c r="I51" s="14" t="inlineStr">
        <is>
          <t>Runtime error</t>
        </is>
      </c>
      <c r="J51" s="14" t="inlineStr">
        <is>
          <t>Runtime error</t>
        </is>
      </c>
      <c r="K51" s="14" t="inlineStr">
        <is>
          <t>Runtime error</t>
        </is>
      </c>
      <c r="L51" s="14" t="inlineStr">
        <is>
          <t>Runtime error</t>
        </is>
      </c>
      <c r="M51" s="14" t="inlineStr">
        <is>
          <t>Runtime error</t>
        </is>
      </c>
      <c r="N51" s="13" t="inlineStr">
        <is>
          <t>NOT_TESTED</t>
        </is>
      </c>
      <c r="O51" s="13" t="inlineStr">
        <is>
          <t>NOT_TESTED</t>
        </is>
      </c>
      <c r="P51" s="13" t="inlineStr">
        <is>
          <t>NOT_TESTED</t>
        </is>
      </c>
      <c r="Q51" s="13" t="inlineStr">
        <is>
          <t>NOT_TESTED</t>
        </is>
      </c>
      <c r="R51" s="13" t="inlineStr">
        <is>
          <t>NOT_TESTED</t>
        </is>
      </c>
      <c r="S51" s="13" t="inlineStr">
        <is>
          <t>NOT_TESTED</t>
        </is>
      </c>
      <c r="T51" s="13" t="inlineStr">
        <is>
          <t>NOT_TESTED</t>
        </is>
      </c>
      <c r="U51" s="13" t="inlineStr">
        <is>
          <t>NOT_TESTED</t>
        </is>
      </c>
      <c r="V51" s="13" t="inlineStr">
        <is>
          <t>NOT_TESTED</t>
        </is>
      </c>
      <c r="W51" s="13" t="inlineStr">
        <is>
          <t>NOT_TESTED</t>
        </is>
      </c>
      <c r="X51" s="13" t="inlineStr">
        <is>
          <t>NOT_TESTED</t>
        </is>
      </c>
      <c r="Y51" s="13" t="inlineStr">
        <is>
          <t>NOT_TESTED</t>
        </is>
      </c>
      <c r="Z51" s="13" t="inlineStr">
        <is>
          <t>NOT_TESTED</t>
        </is>
      </c>
      <c r="AA51" s="13" t="inlineStr">
        <is>
          <t>NOT_TESTED</t>
        </is>
      </c>
      <c r="AB51" s="13" t="inlineStr">
        <is>
          <t>NOT_TESTED</t>
        </is>
      </c>
    </row>
    <row r="52">
      <c r="A52" s="2" t="inlineStr">
        <is>
          <t>issue_810</t>
        </is>
      </c>
      <c r="B52" s="13" t="inlineStr">
        <is>
          <t>NOT_TESTED</t>
        </is>
      </c>
      <c r="C52" s="13" t="inlineStr">
        <is>
          <t>NOT_TESTED</t>
        </is>
      </c>
      <c r="D52" s="13" t="inlineStr">
        <is>
          <t>NOT_TESTED</t>
        </is>
      </c>
      <c r="E52" s="13" t="inlineStr">
        <is>
          <t>NOT_TESTED</t>
        </is>
      </c>
      <c r="F52" s="13" t="inlineStr">
        <is>
          <t>NOT_TESTED</t>
        </is>
      </c>
      <c r="G52" s="16" t="inlineStr">
        <is>
          <t>Failed on test</t>
        </is>
      </c>
      <c r="H52" s="13" t="inlineStr">
        <is>
          <t>NOT_TESTED</t>
        </is>
      </c>
      <c r="I52" s="13" t="inlineStr">
        <is>
          <t>NOT_TESTED</t>
        </is>
      </c>
      <c r="J52" s="13" t="inlineStr">
        <is>
          <t>NOT_TESTED</t>
        </is>
      </c>
      <c r="K52" s="13" t="inlineStr">
        <is>
          <t>NOT_TESTED</t>
        </is>
      </c>
      <c r="L52" s="16" t="inlineStr">
        <is>
          <t>Failed on test</t>
        </is>
      </c>
      <c r="M52" s="13" t="inlineStr">
        <is>
          <t>NOT_TESTED</t>
        </is>
      </c>
      <c r="N52" s="13" t="inlineStr">
        <is>
          <t>NOT_TESTED</t>
        </is>
      </c>
      <c r="O52" s="13" t="inlineStr">
        <is>
          <t>NOT_TESTED</t>
        </is>
      </c>
      <c r="P52" s="13" t="inlineStr">
        <is>
          <t>NOT_TESTED</t>
        </is>
      </c>
      <c r="Q52" s="13" t="inlineStr">
        <is>
          <t>NOT_TESTED</t>
        </is>
      </c>
      <c r="R52" s="13" t="inlineStr">
        <is>
          <t>NOT_TESTED</t>
        </is>
      </c>
      <c r="S52" s="13" t="inlineStr">
        <is>
          <t>NOT_TESTED</t>
        </is>
      </c>
      <c r="T52" s="13" t="inlineStr">
        <is>
          <t>NOT_TESTED</t>
        </is>
      </c>
      <c r="U52" s="13" t="inlineStr">
        <is>
          <t>NOT_TESTED</t>
        </is>
      </c>
      <c r="V52" s="13" t="inlineStr">
        <is>
          <t>NOT_TESTED</t>
        </is>
      </c>
      <c r="W52" s="13" t="inlineStr">
        <is>
          <t>NOT_TESTED</t>
        </is>
      </c>
      <c r="X52" s="13" t="inlineStr">
        <is>
          <t>NOT_TESTED</t>
        </is>
      </c>
      <c r="Y52" s="13" t="inlineStr">
        <is>
          <t>NOT_TESTED</t>
        </is>
      </c>
      <c r="Z52" s="13" t="inlineStr">
        <is>
          <t>NOT_TESTED</t>
        </is>
      </c>
      <c r="AA52" s="13" t="inlineStr">
        <is>
          <t>NOT_TESTED</t>
        </is>
      </c>
      <c r="AB52" s="13" t="inlineStr">
        <is>
          <t>NOT_TESTED</t>
        </is>
      </c>
    </row>
    <row r="53">
      <c r="A53" s="2" t="inlineStr">
        <is>
          <t>issue_816</t>
        </is>
      </c>
      <c r="B53" s="13" t="inlineStr">
        <is>
          <t>NOT_TESTED</t>
        </is>
      </c>
      <c r="C53" s="13" t="inlineStr">
        <is>
          <t>NOT_TESTED</t>
        </is>
      </c>
      <c r="D53" s="13" t="inlineStr">
        <is>
          <t>NOT_TESTED</t>
        </is>
      </c>
      <c r="E53" s="13" t="inlineStr">
        <is>
          <t>NOT_TESTED</t>
        </is>
      </c>
      <c r="F53" s="16" t="inlineStr">
        <is>
          <t>Passed on test</t>
        </is>
      </c>
      <c r="G53" s="16" t="inlineStr">
        <is>
          <t>Passed on test</t>
        </is>
      </c>
      <c r="H53" s="16" t="inlineStr">
        <is>
          <t>Passed on test</t>
        </is>
      </c>
      <c r="I53" s="16" t="inlineStr">
        <is>
          <t>Passed on test</t>
        </is>
      </c>
      <c r="J53" s="16" t="inlineStr">
        <is>
          <t>Passed on test</t>
        </is>
      </c>
      <c r="K53" s="16" t="inlineStr">
        <is>
          <t>Passed on test</t>
        </is>
      </c>
      <c r="L53" s="16" t="inlineStr">
        <is>
          <t>Passed on test</t>
        </is>
      </c>
      <c r="M53" s="16" t="inlineStr">
        <is>
          <t>Passed on test</t>
        </is>
      </c>
      <c r="N53" s="16" t="inlineStr">
        <is>
          <t>Passed on test</t>
        </is>
      </c>
      <c r="O53" s="16" t="inlineStr">
        <is>
          <t>Passed on test</t>
        </is>
      </c>
      <c r="P53" s="16" t="inlineStr">
        <is>
          <t>Passed on test</t>
        </is>
      </c>
      <c r="Q53" s="16" t="inlineStr">
        <is>
          <t>Passed on test</t>
        </is>
      </c>
      <c r="R53" s="16" t="inlineStr">
        <is>
          <t>Passed on test</t>
        </is>
      </c>
      <c r="S53" s="16" t="inlineStr">
        <is>
          <t>Passed on test</t>
        </is>
      </c>
      <c r="T53" s="16" t="inlineStr">
        <is>
          <t>Passed on test</t>
        </is>
      </c>
      <c r="U53" s="16" t="inlineStr">
        <is>
          <t>Passed on test</t>
        </is>
      </c>
      <c r="V53" s="16" t="inlineStr">
        <is>
          <t>Passed on test</t>
        </is>
      </c>
      <c r="W53" s="16" t="inlineStr">
        <is>
          <t>Passed on test</t>
        </is>
      </c>
      <c r="X53" s="16" t="inlineStr">
        <is>
          <t>Passed on test</t>
        </is>
      </c>
      <c r="Y53" s="16" t="inlineStr">
        <is>
          <t>Passed on test</t>
        </is>
      </c>
      <c r="Z53" s="16" t="inlineStr">
        <is>
          <t>Passed on test</t>
        </is>
      </c>
      <c r="AA53" s="16" t="inlineStr">
        <is>
          <t>Passed on test</t>
        </is>
      </c>
      <c r="AB53" s="16" t="inlineStr">
        <is>
          <t>Passed on test</t>
        </is>
      </c>
    </row>
    <row r="54">
      <c r="A54" s="2" t="inlineStr">
        <is>
          <t>issue_876</t>
        </is>
      </c>
      <c r="B54" s="13" t="inlineStr">
        <is>
          <t>NOT_TESTED</t>
        </is>
      </c>
      <c r="C54" s="13" t="inlineStr">
        <is>
          <t>NOT_TESTED</t>
        </is>
      </c>
      <c r="D54" s="13" t="inlineStr">
        <is>
          <t>NOT_TESTED</t>
        </is>
      </c>
      <c r="E54" s="13" t="inlineStr">
        <is>
          <t>NOT_TESTED</t>
        </is>
      </c>
      <c r="F54" s="13" t="inlineStr">
        <is>
          <t>NOT_TESTED</t>
        </is>
      </c>
      <c r="G54" s="13" t="inlineStr">
        <is>
          <t>NOT_TESTED</t>
        </is>
      </c>
      <c r="H54" s="13" t="inlineStr">
        <is>
          <t>NOT_TESTED</t>
        </is>
      </c>
      <c r="I54" s="13" t="inlineStr">
        <is>
          <t>NOT_TESTED</t>
        </is>
      </c>
      <c r="J54" s="13" t="inlineStr">
        <is>
          <t>NOT_TESTED</t>
        </is>
      </c>
      <c r="K54" s="13" t="inlineStr">
        <is>
          <t>NOT_TESTED</t>
        </is>
      </c>
      <c r="L54" s="13" t="inlineStr">
        <is>
          <t>NOT_TESTED</t>
        </is>
      </c>
      <c r="M54" s="13" t="inlineStr">
        <is>
          <t>NOT_TESTED</t>
        </is>
      </c>
      <c r="N54" s="14" t="inlineStr">
        <is>
          <t>Runtime error</t>
        </is>
      </c>
      <c r="O54" s="14" t="inlineStr">
        <is>
          <t>Runtime error</t>
        </is>
      </c>
      <c r="P54" s="14" t="inlineStr">
        <is>
          <t>Runtime error</t>
        </is>
      </c>
      <c r="Q54" s="14" t="inlineStr">
        <is>
          <t>Runtime error</t>
        </is>
      </c>
      <c r="R54" s="14" t="inlineStr">
        <is>
          <t>Runtime error</t>
        </is>
      </c>
      <c r="S54" s="14" t="inlineStr">
        <is>
          <t>Runtime error</t>
        </is>
      </c>
      <c r="T54" s="14" t="inlineStr">
        <is>
          <t>Runtime error</t>
        </is>
      </c>
      <c r="U54" s="14" t="inlineStr">
        <is>
          <t>Runtime error</t>
        </is>
      </c>
      <c r="V54" s="14" t="inlineStr">
        <is>
          <t>Runtime error</t>
        </is>
      </c>
      <c r="W54" s="14" t="inlineStr">
        <is>
          <t>Runtime error</t>
        </is>
      </c>
      <c r="X54" s="14" t="inlineStr">
        <is>
          <t>Runtime error</t>
        </is>
      </c>
      <c r="Y54" s="14" t="inlineStr">
        <is>
          <t>Runtime error</t>
        </is>
      </c>
      <c r="Z54" s="14" t="inlineStr">
        <is>
          <t>Runtime error</t>
        </is>
      </c>
      <c r="AA54" s="14" t="inlineStr">
        <is>
          <t>Runtime error</t>
        </is>
      </c>
      <c r="AB54" s="14" t="inlineStr">
        <is>
          <t>Runtime error</t>
        </is>
      </c>
    </row>
    <row r="55">
      <c r="A55" s="2" t="inlineStr">
        <is>
          <t>issue_877</t>
        </is>
      </c>
      <c r="B55" s="13" t="inlineStr">
        <is>
          <t>NOT_TESTED</t>
        </is>
      </c>
      <c r="C55" s="13" t="inlineStr">
        <is>
          <t>NOT_TESTED</t>
        </is>
      </c>
      <c r="D55" s="13" t="inlineStr">
        <is>
          <t>NOT_TESTED</t>
        </is>
      </c>
      <c r="E55" s="13" t="inlineStr">
        <is>
          <t>NOT_TESTED</t>
        </is>
      </c>
      <c r="F55" s="16" t="inlineStr">
        <is>
          <t>Passed on test</t>
        </is>
      </c>
      <c r="G55" s="16" t="inlineStr">
        <is>
          <t>Passed on test</t>
        </is>
      </c>
      <c r="H55" s="16" t="inlineStr">
        <is>
          <t>Passed on test</t>
        </is>
      </c>
      <c r="I55" s="16" t="inlineStr">
        <is>
          <t>Passed on test</t>
        </is>
      </c>
      <c r="J55" s="16" t="inlineStr">
        <is>
          <t>Passed on test</t>
        </is>
      </c>
      <c r="K55" s="16" t="inlineStr">
        <is>
          <t>Passed on test</t>
        </is>
      </c>
      <c r="L55" s="16" t="inlineStr">
        <is>
          <t>Passed on test</t>
        </is>
      </c>
      <c r="M55" s="16" t="inlineStr">
        <is>
          <t>Passed on test</t>
        </is>
      </c>
      <c r="N55" s="13" t="inlineStr">
        <is>
          <t>NOT_TESTED</t>
        </is>
      </c>
      <c r="O55" s="13" t="inlineStr">
        <is>
          <t>NOT_TESTED</t>
        </is>
      </c>
      <c r="P55" s="13" t="inlineStr">
        <is>
          <t>NOT_TESTED</t>
        </is>
      </c>
      <c r="Q55" s="13" t="inlineStr">
        <is>
          <t>NOT_TESTED</t>
        </is>
      </c>
      <c r="R55" s="13" t="inlineStr">
        <is>
          <t>NOT_TESTED</t>
        </is>
      </c>
      <c r="S55" s="13" t="inlineStr">
        <is>
          <t>NOT_TESTED</t>
        </is>
      </c>
      <c r="T55" s="13" t="inlineStr">
        <is>
          <t>NOT_TESTED</t>
        </is>
      </c>
      <c r="U55" s="13" t="inlineStr">
        <is>
          <t>NOT_TESTED</t>
        </is>
      </c>
      <c r="V55" s="13" t="inlineStr">
        <is>
          <t>NOT_TESTED</t>
        </is>
      </c>
      <c r="W55" s="13" t="inlineStr">
        <is>
          <t>NOT_TESTED</t>
        </is>
      </c>
      <c r="X55" s="13" t="inlineStr">
        <is>
          <t>NOT_TESTED</t>
        </is>
      </c>
      <c r="Y55" s="13" t="inlineStr">
        <is>
          <t>NOT_TESTED</t>
        </is>
      </c>
      <c r="Z55" s="13" t="inlineStr">
        <is>
          <t>NOT_TESTED</t>
        </is>
      </c>
      <c r="AA55" s="13" t="inlineStr">
        <is>
          <t>NOT_TESTED</t>
        </is>
      </c>
      <c r="AB55" s="13" t="inlineStr">
        <is>
          <t>NOT_TESTED</t>
        </is>
      </c>
    </row>
    <row r="56">
      <c r="A56" s="2" t="inlineStr">
        <is>
          <t>issue_886</t>
        </is>
      </c>
      <c r="B56" s="13" t="inlineStr">
        <is>
          <t>NOT_TESTED</t>
        </is>
      </c>
      <c r="C56" s="13" t="inlineStr">
        <is>
          <t>NOT_TESTED</t>
        </is>
      </c>
      <c r="D56" s="13" t="inlineStr">
        <is>
          <t>NOT_TESTED</t>
        </is>
      </c>
      <c r="E56" s="13" t="inlineStr">
        <is>
          <t>NOT_TESTED</t>
        </is>
      </c>
      <c r="F56" s="16" t="inlineStr">
        <is>
          <t>Failed on test</t>
        </is>
      </c>
      <c r="G56" s="16" t="inlineStr">
        <is>
          <t>Failed on test</t>
        </is>
      </c>
      <c r="H56" s="13" t="inlineStr">
        <is>
          <t>NOT_TESTED</t>
        </is>
      </c>
      <c r="I56" s="13" t="inlineStr">
        <is>
          <t>NOT_TESTED</t>
        </is>
      </c>
      <c r="J56" s="13" t="inlineStr">
        <is>
          <t>NOT_TESTED</t>
        </is>
      </c>
      <c r="K56" s="13" t="inlineStr">
        <is>
          <t>NOT_TESTED</t>
        </is>
      </c>
      <c r="L56" s="13" t="inlineStr">
        <is>
          <t>NOT_TESTED</t>
        </is>
      </c>
      <c r="M56" s="13" t="inlineStr">
        <is>
          <t>NOT_TESTED</t>
        </is>
      </c>
      <c r="N56" s="13" t="inlineStr">
        <is>
          <t>NOT_TESTED</t>
        </is>
      </c>
      <c r="O56" s="13" t="inlineStr">
        <is>
          <t>NOT_TESTED</t>
        </is>
      </c>
      <c r="P56" s="13" t="inlineStr">
        <is>
          <t>NOT_TESTED</t>
        </is>
      </c>
      <c r="Q56" s="13" t="inlineStr">
        <is>
          <t>NOT_TESTED</t>
        </is>
      </c>
      <c r="R56" s="13" t="inlineStr">
        <is>
          <t>NOT_TESTED</t>
        </is>
      </c>
      <c r="S56" s="13" t="inlineStr">
        <is>
          <t>NOT_TESTED</t>
        </is>
      </c>
      <c r="T56" s="13" t="inlineStr">
        <is>
          <t>NOT_TESTED</t>
        </is>
      </c>
      <c r="U56" s="13" t="inlineStr">
        <is>
          <t>NOT_TESTED</t>
        </is>
      </c>
      <c r="V56" s="13" t="inlineStr">
        <is>
          <t>NOT_TESTED</t>
        </is>
      </c>
      <c r="W56" s="13" t="inlineStr">
        <is>
          <t>NOT_TESTED</t>
        </is>
      </c>
      <c r="X56" s="13" t="inlineStr">
        <is>
          <t>NOT_TESTED</t>
        </is>
      </c>
      <c r="Y56" s="13" t="inlineStr">
        <is>
          <t>NOT_TESTED</t>
        </is>
      </c>
      <c r="Z56" s="13" t="inlineStr">
        <is>
          <t>NOT_TESTED</t>
        </is>
      </c>
      <c r="AA56" s="13" t="inlineStr">
        <is>
          <t>NOT_TESTED</t>
        </is>
      </c>
      <c r="AB56" s="13" t="inlineStr">
        <is>
          <t>NOT_TESTED</t>
        </is>
      </c>
    </row>
    <row r="57">
      <c r="A57" s="2" t="inlineStr">
        <is>
          <t>issue_889</t>
        </is>
      </c>
      <c r="B57" s="14" t="inlineStr">
        <is>
          <t>Runtime error</t>
        </is>
      </c>
      <c r="C57" s="14" t="inlineStr">
        <is>
          <t>Runtime error</t>
        </is>
      </c>
      <c r="D57" s="14" t="inlineStr">
        <is>
          <t>Runtime error</t>
        </is>
      </c>
      <c r="E57" s="14" t="inlineStr">
        <is>
          <t>Runtime error</t>
        </is>
      </c>
      <c r="F57" s="15" t="inlineStr">
        <is>
          <t>Failed on test</t>
        </is>
      </c>
      <c r="G57" s="15" t="inlineStr">
        <is>
          <t>Failed on test</t>
        </is>
      </c>
      <c r="H57" s="15" t="inlineStr">
        <is>
          <t>Failed on test</t>
        </is>
      </c>
      <c r="I57" s="15" t="inlineStr">
        <is>
          <t>Failed on test</t>
        </is>
      </c>
      <c r="J57" s="15" t="inlineStr">
        <is>
          <t>Failed on test</t>
        </is>
      </c>
      <c r="K57" s="15" t="inlineStr">
        <is>
          <t>Failed on test</t>
        </is>
      </c>
      <c r="L57" s="15" t="inlineStr">
        <is>
          <t>Failed on test</t>
        </is>
      </c>
      <c r="M57" s="15" t="inlineStr">
        <is>
          <t>Failed on test</t>
        </is>
      </c>
      <c r="N57" s="13" t="inlineStr">
        <is>
          <t>NOT_TESTED</t>
        </is>
      </c>
      <c r="O57" s="13" t="inlineStr">
        <is>
          <t>NOT_TESTED</t>
        </is>
      </c>
      <c r="P57" s="13" t="inlineStr">
        <is>
          <t>NOT_TESTED</t>
        </is>
      </c>
      <c r="Q57" s="13" t="inlineStr">
        <is>
          <t>NOT_TESTED</t>
        </is>
      </c>
      <c r="R57" s="13" t="inlineStr">
        <is>
          <t>NOT_TESTED</t>
        </is>
      </c>
      <c r="S57" s="13" t="inlineStr">
        <is>
          <t>NOT_TESTED</t>
        </is>
      </c>
      <c r="T57" s="13" t="inlineStr">
        <is>
          <t>NOT_TESTED</t>
        </is>
      </c>
      <c r="U57" s="13" t="inlineStr">
        <is>
          <t>NOT_TESTED</t>
        </is>
      </c>
      <c r="V57" s="13" t="inlineStr">
        <is>
          <t>NOT_TESTED</t>
        </is>
      </c>
      <c r="W57" s="13" t="inlineStr">
        <is>
          <t>NOT_TESTED</t>
        </is>
      </c>
      <c r="X57" s="13" t="inlineStr">
        <is>
          <t>NOT_TESTED</t>
        </is>
      </c>
      <c r="Y57" s="13" t="inlineStr">
        <is>
          <t>NOT_TESTED</t>
        </is>
      </c>
      <c r="Z57" s="13" t="inlineStr">
        <is>
          <t>NOT_TESTED</t>
        </is>
      </c>
      <c r="AA57" s="13" t="inlineStr">
        <is>
          <t>NOT_TESTED</t>
        </is>
      </c>
      <c r="AB57" s="13" t="inlineStr">
        <is>
          <t>NOT_TESTED</t>
        </is>
      </c>
    </row>
    <row r="58">
      <c r="A58" s="2" t="inlineStr">
        <is>
          <t>issue_911</t>
        </is>
      </c>
      <c r="B58" s="13" t="inlineStr">
        <is>
          <t>NOT_TESTED</t>
        </is>
      </c>
      <c r="C58" s="13" t="inlineStr">
        <is>
          <t>NOT_TESTED</t>
        </is>
      </c>
      <c r="D58" s="13" t="inlineStr">
        <is>
          <t>NOT_TESTED</t>
        </is>
      </c>
      <c r="E58" s="13" t="inlineStr">
        <is>
          <t>NOT_TESTED</t>
        </is>
      </c>
      <c r="F58" s="15" t="inlineStr">
        <is>
          <t>Runtime error</t>
        </is>
      </c>
      <c r="G58" s="15" t="inlineStr">
        <is>
          <t>Runtime error</t>
        </is>
      </c>
      <c r="H58" s="15" t="inlineStr">
        <is>
          <t>Runtime error</t>
        </is>
      </c>
      <c r="I58" s="15" t="inlineStr">
        <is>
          <t>Runtime error</t>
        </is>
      </c>
      <c r="J58" s="15" t="inlineStr">
        <is>
          <t>Runtime error</t>
        </is>
      </c>
      <c r="K58" s="15" t="inlineStr">
        <is>
          <t>Runtime error</t>
        </is>
      </c>
      <c r="L58" s="15" t="inlineStr">
        <is>
          <t>Runtime error</t>
        </is>
      </c>
      <c r="M58" s="15" t="inlineStr">
        <is>
          <t>Runtime error</t>
        </is>
      </c>
      <c r="N58" s="15" t="inlineStr">
        <is>
          <t>Runtime error</t>
        </is>
      </c>
      <c r="O58" s="15" t="inlineStr">
        <is>
          <t>Runtime error</t>
        </is>
      </c>
      <c r="P58" s="15" t="inlineStr">
        <is>
          <t>Runtime error</t>
        </is>
      </c>
      <c r="Q58" s="15" t="inlineStr">
        <is>
          <t>Runtime error</t>
        </is>
      </c>
      <c r="R58" s="15" t="inlineStr">
        <is>
          <t>Runtime error</t>
        </is>
      </c>
      <c r="S58" s="15" t="inlineStr">
        <is>
          <t>Runtime error</t>
        </is>
      </c>
      <c r="T58" s="15" t="inlineStr">
        <is>
          <t>Runtime error</t>
        </is>
      </c>
      <c r="U58" s="15" t="inlineStr">
        <is>
          <t>Runtime error</t>
        </is>
      </c>
      <c r="V58" s="15" t="inlineStr">
        <is>
          <t>Runtime error</t>
        </is>
      </c>
      <c r="W58" s="15" t="inlineStr">
        <is>
          <t>Runtime error</t>
        </is>
      </c>
      <c r="X58" s="15" t="inlineStr">
        <is>
          <t>Runtime error</t>
        </is>
      </c>
      <c r="Y58" s="15" t="inlineStr">
        <is>
          <t>Runtime error</t>
        </is>
      </c>
      <c r="Z58" s="15" t="inlineStr">
        <is>
          <t>Runtime error</t>
        </is>
      </c>
      <c r="AA58" s="15" t="inlineStr">
        <is>
          <t>Runtime error</t>
        </is>
      </c>
      <c r="AB58" s="15" t="inlineStr">
        <is>
          <t>Runtime error</t>
        </is>
      </c>
    </row>
    <row r="59">
      <c r="A59" s="2" t="inlineStr">
        <is>
          <t>issue_925</t>
        </is>
      </c>
      <c r="B59" s="14" t="inlineStr">
        <is>
          <t>Runtime error</t>
        </is>
      </c>
      <c r="C59" s="14" t="inlineStr">
        <is>
          <t>Runtime error</t>
        </is>
      </c>
      <c r="D59" s="14" t="inlineStr">
        <is>
          <t>Runtime error</t>
        </is>
      </c>
      <c r="E59" s="14" t="inlineStr">
        <is>
          <t>Runtime error</t>
        </is>
      </c>
      <c r="F59" s="13" t="inlineStr">
        <is>
          <t>NOT_TESTED</t>
        </is>
      </c>
      <c r="G59" s="13" t="inlineStr">
        <is>
          <t>NOT_TESTED</t>
        </is>
      </c>
      <c r="H59" s="13" t="inlineStr">
        <is>
          <t>NOT_TESTED</t>
        </is>
      </c>
      <c r="I59" s="13" t="inlineStr">
        <is>
          <t>NOT_TESTED</t>
        </is>
      </c>
      <c r="J59" s="13" t="inlineStr">
        <is>
          <t>NOT_TESTED</t>
        </is>
      </c>
      <c r="K59" s="13" t="inlineStr">
        <is>
          <t>NOT_TESTED</t>
        </is>
      </c>
      <c r="L59" s="13" t="inlineStr">
        <is>
          <t>NOT_TESTED</t>
        </is>
      </c>
      <c r="M59" s="13" t="inlineStr">
        <is>
          <t>NOT_TESTED</t>
        </is>
      </c>
      <c r="N59" s="13" t="inlineStr">
        <is>
          <t>NOT_TESTED</t>
        </is>
      </c>
      <c r="O59" s="13" t="inlineStr">
        <is>
          <t>NOT_TESTED</t>
        </is>
      </c>
      <c r="P59" s="13" t="inlineStr">
        <is>
          <t>NOT_TESTED</t>
        </is>
      </c>
      <c r="Q59" s="13" t="inlineStr">
        <is>
          <t>NOT_TESTED</t>
        </is>
      </c>
      <c r="R59" s="13" t="inlineStr">
        <is>
          <t>NOT_TESTED</t>
        </is>
      </c>
      <c r="S59" s="13" t="inlineStr">
        <is>
          <t>NOT_TESTED</t>
        </is>
      </c>
      <c r="T59" s="13" t="inlineStr">
        <is>
          <t>NOT_TESTED</t>
        </is>
      </c>
      <c r="U59" s="13" t="inlineStr">
        <is>
          <t>NOT_TESTED</t>
        </is>
      </c>
      <c r="V59" s="13" t="inlineStr">
        <is>
          <t>NOT_TESTED</t>
        </is>
      </c>
      <c r="W59" s="13" t="inlineStr">
        <is>
          <t>NOT_TESTED</t>
        </is>
      </c>
      <c r="X59" s="13" t="inlineStr">
        <is>
          <t>NOT_TESTED</t>
        </is>
      </c>
      <c r="Y59" s="13" t="inlineStr">
        <is>
          <t>NOT_TESTED</t>
        </is>
      </c>
      <c r="Z59" s="13" t="inlineStr">
        <is>
          <t>NOT_TESTED</t>
        </is>
      </c>
      <c r="AA59" s="13" t="inlineStr">
        <is>
          <t>NOT_TESTED</t>
        </is>
      </c>
      <c r="AB59" s="13" t="inlineStr">
        <is>
          <t>NOT_TESTED</t>
        </is>
      </c>
    </row>
    <row r="60">
      <c r="A60" s="2" t="inlineStr">
        <is>
          <t>issue_944</t>
        </is>
      </c>
      <c r="B60" s="15" t="inlineStr">
        <is>
          <t>Runtime error</t>
        </is>
      </c>
      <c r="C60" s="15" t="inlineStr">
        <is>
          <t>Runtime error</t>
        </is>
      </c>
      <c r="D60" s="15" t="inlineStr">
        <is>
          <t>Runtime error</t>
        </is>
      </c>
      <c r="E60" s="15" t="inlineStr">
        <is>
          <t>Runtime error</t>
        </is>
      </c>
      <c r="F60" s="15" t="inlineStr">
        <is>
          <t>Runtime error</t>
        </is>
      </c>
      <c r="G60" s="15" t="inlineStr">
        <is>
          <t>Runtime error</t>
        </is>
      </c>
      <c r="H60" s="15" t="inlineStr">
        <is>
          <t>Runtime error</t>
        </is>
      </c>
      <c r="I60" s="15" t="inlineStr">
        <is>
          <t>Runtime error</t>
        </is>
      </c>
      <c r="J60" s="15" t="inlineStr">
        <is>
          <t>Runtime error</t>
        </is>
      </c>
      <c r="K60" s="15" t="inlineStr">
        <is>
          <t>Runtime error</t>
        </is>
      </c>
      <c r="L60" s="15" t="inlineStr">
        <is>
          <t>Runtime error</t>
        </is>
      </c>
      <c r="M60" s="15" t="inlineStr">
        <is>
          <t>Runtime error</t>
        </is>
      </c>
      <c r="N60" s="13" t="inlineStr">
        <is>
          <t>NOT_TESTED</t>
        </is>
      </c>
      <c r="O60" s="13" t="inlineStr">
        <is>
          <t>NOT_TESTED</t>
        </is>
      </c>
      <c r="P60" s="13" t="inlineStr">
        <is>
          <t>NOT_TESTED</t>
        </is>
      </c>
      <c r="Q60" s="13" t="inlineStr">
        <is>
          <t>NOT_TESTED</t>
        </is>
      </c>
      <c r="R60" s="13" t="inlineStr">
        <is>
          <t>NOT_TESTED</t>
        </is>
      </c>
      <c r="S60" s="13" t="inlineStr">
        <is>
          <t>NOT_TESTED</t>
        </is>
      </c>
      <c r="T60" s="13" t="inlineStr">
        <is>
          <t>NOT_TESTED</t>
        </is>
      </c>
      <c r="U60" s="13" t="inlineStr">
        <is>
          <t>NOT_TESTED</t>
        </is>
      </c>
      <c r="V60" s="13" t="inlineStr">
        <is>
          <t>NOT_TESTED</t>
        </is>
      </c>
      <c r="W60" s="13" t="inlineStr">
        <is>
          <t>NOT_TESTED</t>
        </is>
      </c>
      <c r="X60" s="13" t="inlineStr">
        <is>
          <t>NOT_TESTED</t>
        </is>
      </c>
      <c r="Y60" s="13" t="inlineStr">
        <is>
          <t>NOT_TESTED</t>
        </is>
      </c>
      <c r="Z60" s="13" t="inlineStr">
        <is>
          <t>NOT_TESTED</t>
        </is>
      </c>
      <c r="AA60" s="13" t="inlineStr">
        <is>
          <t>NOT_TESTED</t>
        </is>
      </c>
      <c r="AB60" s="13" t="inlineStr">
        <is>
          <t>NOT_TESTED</t>
        </is>
      </c>
    </row>
    <row r="61">
      <c r="A61" s="2" t="inlineStr">
        <is>
          <t>issue_950</t>
        </is>
      </c>
      <c r="B61" s="15" t="inlineStr">
        <is>
          <t>Failed on test</t>
        </is>
      </c>
      <c r="C61" s="15" t="inlineStr">
        <is>
          <t>Failed on test</t>
        </is>
      </c>
      <c r="D61" s="15" t="inlineStr">
        <is>
          <t>Failed on test</t>
        </is>
      </c>
      <c r="E61" s="15" t="inlineStr">
        <is>
          <t>Failed on test</t>
        </is>
      </c>
      <c r="F61" s="15" t="inlineStr">
        <is>
          <t>Failed on test</t>
        </is>
      </c>
      <c r="G61" s="15" t="inlineStr">
        <is>
          <t>Failed on test</t>
        </is>
      </c>
      <c r="H61" s="15" t="inlineStr">
        <is>
          <t>Failed on test</t>
        </is>
      </c>
      <c r="I61" s="15" t="inlineStr">
        <is>
          <t>Failed on test</t>
        </is>
      </c>
      <c r="J61" s="15" t="inlineStr">
        <is>
          <t>Failed on test</t>
        </is>
      </c>
      <c r="K61" s="15" t="inlineStr">
        <is>
          <t>Failed on test</t>
        </is>
      </c>
      <c r="L61" s="15" t="inlineStr">
        <is>
          <t>Failed on test</t>
        </is>
      </c>
      <c r="M61" s="15" t="inlineStr">
        <is>
          <t>Failed on test</t>
        </is>
      </c>
      <c r="N61" s="15" t="inlineStr">
        <is>
          <t>Failed on test</t>
        </is>
      </c>
      <c r="O61" s="15" t="inlineStr">
        <is>
          <t>Failed on test</t>
        </is>
      </c>
      <c r="P61" s="15" t="inlineStr">
        <is>
          <t>Failed on test</t>
        </is>
      </c>
      <c r="Q61" s="15" t="inlineStr">
        <is>
          <t>Failed on test</t>
        </is>
      </c>
      <c r="R61" s="15" t="inlineStr">
        <is>
          <t>Failed on test</t>
        </is>
      </c>
      <c r="S61" s="15" t="inlineStr">
        <is>
          <t>Failed on test</t>
        </is>
      </c>
      <c r="T61" s="15" t="inlineStr">
        <is>
          <t>Failed on test</t>
        </is>
      </c>
      <c r="U61" s="15" t="inlineStr">
        <is>
          <t>Failed on test</t>
        </is>
      </c>
      <c r="V61" s="15" t="inlineStr">
        <is>
          <t>Failed on test</t>
        </is>
      </c>
      <c r="W61" s="15" t="inlineStr">
        <is>
          <t>Failed on test</t>
        </is>
      </c>
      <c r="X61" s="15" t="inlineStr">
        <is>
          <t>Failed on test</t>
        </is>
      </c>
      <c r="Y61" s="15" t="inlineStr">
        <is>
          <t>Failed on test</t>
        </is>
      </c>
      <c r="Z61" s="15" t="inlineStr">
        <is>
          <t>Failed on test</t>
        </is>
      </c>
      <c r="AA61" s="15" t="inlineStr">
        <is>
          <t>Failed on test</t>
        </is>
      </c>
      <c r="AB61" s="15" t="inlineStr">
        <is>
          <t>Failed on test</t>
        </is>
      </c>
    </row>
    <row r="62">
      <c r="A62" s="2" t="inlineStr">
        <is>
          <t>issue_958</t>
        </is>
      </c>
      <c r="B62" s="13" t="inlineStr">
        <is>
          <t>NOT_TESTED</t>
        </is>
      </c>
      <c r="C62" s="13" t="inlineStr">
        <is>
          <t>NOT_TESTED</t>
        </is>
      </c>
      <c r="D62" s="13" t="inlineStr">
        <is>
          <t>NOT_TESTED</t>
        </is>
      </c>
      <c r="E62" s="13" t="inlineStr">
        <is>
          <t>NOT_TESTED</t>
        </is>
      </c>
      <c r="F62" s="14" t="inlineStr">
        <is>
          <t>Passed on test</t>
        </is>
      </c>
      <c r="G62" s="14" t="inlineStr">
        <is>
          <t>Passed on test</t>
        </is>
      </c>
      <c r="H62" s="14" t="inlineStr">
        <is>
          <t>Passed on test</t>
        </is>
      </c>
      <c r="I62" s="14" t="inlineStr">
        <is>
          <t>Passed on test</t>
        </is>
      </c>
      <c r="J62" s="14" t="inlineStr">
        <is>
          <t>Passed on test</t>
        </is>
      </c>
      <c r="K62" s="14" t="inlineStr">
        <is>
          <t>Passed on test</t>
        </is>
      </c>
      <c r="L62" s="14" t="inlineStr">
        <is>
          <t>Passed on test</t>
        </is>
      </c>
      <c r="M62" s="14" t="inlineStr">
        <is>
          <t>Passed on test</t>
        </is>
      </c>
      <c r="N62" s="14" t="inlineStr">
        <is>
          <t>Passed on test</t>
        </is>
      </c>
      <c r="O62" s="14" t="inlineStr">
        <is>
          <t>Passed on test</t>
        </is>
      </c>
      <c r="P62" s="14" t="inlineStr">
        <is>
          <t>Passed on test</t>
        </is>
      </c>
      <c r="Q62" s="14" t="inlineStr">
        <is>
          <t>Passed on test</t>
        </is>
      </c>
      <c r="R62" s="14" t="inlineStr">
        <is>
          <t>Passed on test</t>
        </is>
      </c>
      <c r="S62" s="14" t="inlineStr">
        <is>
          <t>Passed on test</t>
        </is>
      </c>
      <c r="T62" s="14" t="inlineStr">
        <is>
          <t>Passed on test</t>
        </is>
      </c>
      <c r="U62" s="14" t="inlineStr">
        <is>
          <t>Passed on test</t>
        </is>
      </c>
      <c r="V62" s="14" t="inlineStr">
        <is>
          <t>Passed on test</t>
        </is>
      </c>
      <c r="W62" s="14" t="inlineStr">
        <is>
          <t>Passed on test</t>
        </is>
      </c>
      <c r="X62" s="14" t="inlineStr">
        <is>
          <t>Passed on test</t>
        </is>
      </c>
      <c r="Y62" s="14" t="inlineStr">
        <is>
          <t>Passed on test</t>
        </is>
      </c>
      <c r="Z62" s="14" t="inlineStr">
        <is>
          <t>Passed on test</t>
        </is>
      </c>
      <c r="AA62" s="14" t="inlineStr">
        <is>
          <t>Passed on test</t>
        </is>
      </c>
      <c r="AB62" s="14" t="inlineStr">
        <is>
          <t>Passed on test</t>
        </is>
      </c>
    </row>
    <row r="63">
      <c r="A63" s="2" t="inlineStr">
        <is>
          <t>issue_977</t>
        </is>
      </c>
      <c r="B63" s="13" t="inlineStr">
        <is>
          <t>NOT_TESTED</t>
        </is>
      </c>
      <c r="C63" s="13" t="inlineStr">
        <is>
          <t>NOT_TESTED</t>
        </is>
      </c>
      <c r="D63" s="13" t="inlineStr">
        <is>
          <t>NOT_TESTED</t>
        </is>
      </c>
      <c r="E63" s="13" t="inlineStr">
        <is>
          <t>NOT_TESTED</t>
        </is>
      </c>
      <c r="F63" s="15" t="inlineStr">
        <is>
          <t>Runtime error</t>
        </is>
      </c>
      <c r="G63" s="15" t="inlineStr">
        <is>
          <t>Runtime error</t>
        </is>
      </c>
      <c r="H63" s="15" t="inlineStr">
        <is>
          <t>Runtime error</t>
        </is>
      </c>
      <c r="I63" s="15" t="inlineStr">
        <is>
          <t>Runtime error</t>
        </is>
      </c>
      <c r="J63" s="15" t="inlineStr">
        <is>
          <t>Runtime error</t>
        </is>
      </c>
      <c r="K63" s="15" t="inlineStr">
        <is>
          <t>Runtime error</t>
        </is>
      </c>
      <c r="L63" s="15" t="inlineStr">
        <is>
          <t>Runtime error</t>
        </is>
      </c>
      <c r="M63" s="15" t="inlineStr">
        <is>
          <t>Runtime error</t>
        </is>
      </c>
      <c r="N63" s="15" t="inlineStr">
        <is>
          <t>Runtime error</t>
        </is>
      </c>
      <c r="O63" s="15" t="inlineStr">
        <is>
          <t>Runtime error</t>
        </is>
      </c>
      <c r="P63" s="15" t="inlineStr">
        <is>
          <t>Runtime error</t>
        </is>
      </c>
      <c r="Q63" s="15" t="inlineStr">
        <is>
          <t>Runtime error</t>
        </is>
      </c>
      <c r="R63" s="15" t="inlineStr">
        <is>
          <t>Runtime error</t>
        </is>
      </c>
      <c r="S63" s="15" t="inlineStr">
        <is>
          <t>Runtime error</t>
        </is>
      </c>
      <c r="T63" s="15" t="inlineStr">
        <is>
          <t>Runtime error</t>
        </is>
      </c>
      <c r="U63" s="15" t="inlineStr">
        <is>
          <t>Runtime error</t>
        </is>
      </c>
      <c r="V63" s="15" t="inlineStr">
        <is>
          <t>Runtime error</t>
        </is>
      </c>
      <c r="W63" s="15" t="inlineStr">
        <is>
          <t>Runtime error</t>
        </is>
      </c>
      <c r="X63" s="15" t="inlineStr">
        <is>
          <t>Runtime error</t>
        </is>
      </c>
      <c r="Y63" s="15" t="inlineStr">
        <is>
          <t>Runtime error</t>
        </is>
      </c>
      <c r="Z63" s="15" t="inlineStr">
        <is>
          <t>Runtime error</t>
        </is>
      </c>
      <c r="AA63" s="15" t="inlineStr">
        <is>
          <t>Runtime error</t>
        </is>
      </c>
      <c r="AB63" s="15" t="inlineStr">
        <is>
          <t>Runtime error</t>
        </is>
      </c>
    </row>
    <row r="64">
      <c r="A64" s="2" t="inlineStr">
        <is>
          <t>issue_985</t>
        </is>
      </c>
      <c r="B64" s="13" t="inlineStr">
        <is>
          <t>NOT_TESTED</t>
        </is>
      </c>
      <c r="C64" s="13" t="inlineStr">
        <is>
          <t>NOT_TESTED</t>
        </is>
      </c>
      <c r="D64" s="13" t="inlineStr">
        <is>
          <t>NOT_TESTED</t>
        </is>
      </c>
      <c r="E64" s="13" t="inlineStr">
        <is>
          <t>NOT_TESTED</t>
        </is>
      </c>
      <c r="F64" s="15" t="inlineStr">
        <is>
          <t>Passed on test</t>
        </is>
      </c>
      <c r="G64" s="15" t="inlineStr">
        <is>
          <t>Passed on test</t>
        </is>
      </c>
      <c r="H64" s="15" t="inlineStr">
        <is>
          <t>Passed on test</t>
        </is>
      </c>
      <c r="I64" s="15" t="inlineStr">
        <is>
          <t>Passed on test</t>
        </is>
      </c>
      <c r="J64" s="15" t="inlineStr">
        <is>
          <t>Passed on test</t>
        </is>
      </c>
      <c r="K64" s="15" t="inlineStr">
        <is>
          <t>Passed on test</t>
        </is>
      </c>
      <c r="L64" s="15" t="inlineStr">
        <is>
          <t>Passed on test</t>
        </is>
      </c>
      <c r="M64" s="15" t="inlineStr">
        <is>
          <t>Passed on test</t>
        </is>
      </c>
      <c r="N64" s="15" t="inlineStr">
        <is>
          <t>Passed on test</t>
        </is>
      </c>
      <c r="O64" s="15" t="inlineStr">
        <is>
          <t>Passed on test</t>
        </is>
      </c>
      <c r="P64" s="15" t="inlineStr">
        <is>
          <t>Passed on test</t>
        </is>
      </c>
      <c r="Q64" s="15" t="inlineStr">
        <is>
          <t>Passed on test</t>
        </is>
      </c>
      <c r="R64" s="15" t="inlineStr">
        <is>
          <t>Passed on test</t>
        </is>
      </c>
      <c r="S64" s="15" t="inlineStr">
        <is>
          <t>Passed on test</t>
        </is>
      </c>
      <c r="T64" s="15" t="inlineStr">
        <is>
          <t>Passed on test</t>
        </is>
      </c>
      <c r="U64" s="15" t="inlineStr">
        <is>
          <t>Passed on test</t>
        </is>
      </c>
      <c r="V64" s="15" t="inlineStr">
        <is>
          <t>Passed on test</t>
        </is>
      </c>
      <c r="W64" s="15" t="inlineStr">
        <is>
          <t>Passed on test</t>
        </is>
      </c>
      <c r="X64" s="15" t="inlineStr">
        <is>
          <t>Passed on test</t>
        </is>
      </c>
      <c r="Y64" s="15" t="inlineStr">
        <is>
          <t>Passed on test</t>
        </is>
      </c>
      <c r="Z64" s="15" t="inlineStr">
        <is>
          <t>Passed on test</t>
        </is>
      </c>
      <c r="AA64" s="15" t="inlineStr">
        <is>
          <t>Passed on test</t>
        </is>
      </c>
      <c r="AB64" s="15" t="inlineStr">
        <is>
          <t>Passed on test</t>
        </is>
      </c>
    </row>
    <row r="65">
      <c r="A65" s="2" t="inlineStr">
        <is>
          <t>issue_989</t>
        </is>
      </c>
      <c r="B65" s="13" t="inlineStr">
        <is>
          <t>NOT_TESTED</t>
        </is>
      </c>
      <c r="C65" s="13" t="inlineStr">
        <is>
          <t>NOT_TESTED</t>
        </is>
      </c>
      <c r="D65" s="13" t="inlineStr">
        <is>
          <t>NOT_TESTED</t>
        </is>
      </c>
      <c r="E65" s="13" t="inlineStr">
        <is>
          <t>NOT_TESTED</t>
        </is>
      </c>
      <c r="F65" s="13" t="inlineStr">
        <is>
          <t>NOT_TESTED</t>
        </is>
      </c>
      <c r="G65" s="13" t="inlineStr">
        <is>
          <t>NOT_TESTED</t>
        </is>
      </c>
      <c r="H65" s="13" t="inlineStr">
        <is>
          <t>NOT_TESTED</t>
        </is>
      </c>
      <c r="I65" s="13" t="inlineStr">
        <is>
          <t>NOT_TESTED</t>
        </is>
      </c>
      <c r="J65" s="13" t="inlineStr">
        <is>
          <t>NOT_TESTED</t>
        </is>
      </c>
      <c r="K65" s="13" t="inlineStr">
        <is>
          <t>NOT_TESTED</t>
        </is>
      </c>
      <c r="L65" s="13" t="inlineStr">
        <is>
          <t>NOT_TESTED</t>
        </is>
      </c>
      <c r="M65" s="13" t="inlineStr">
        <is>
          <t>NOT_TESTED</t>
        </is>
      </c>
      <c r="N65" s="16" t="inlineStr">
        <is>
          <t>Passed on test</t>
        </is>
      </c>
      <c r="O65" s="16" t="inlineStr">
        <is>
          <t>Passed on test</t>
        </is>
      </c>
      <c r="P65" s="16" t="inlineStr">
        <is>
          <t>Passed on test</t>
        </is>
      </c>
      <c r="Q65" s="16" t="inlineStr">
        <is>
          <t>Passed on test</t>
        </is>
      </c>
      <c r="R65" s="16" t="inlineStr">
        <is>
          <t>Passed on test</t>
        </is>
      </c>
      <c r="S65" s="16" t="inlineStr">
        <is>
          <t>Passed on test</t>
        </is>
      </c>
      <c r="T65" s="16" t="inlineStr">
        <is>
          <t>Passed on test</t>
        </is>
      </c>
      <c r="U65" s="16" t="inlineStr">
        <is>
          <t>Passed on test</t>
        </is>
      </c>
      <c r="V65" s="16" t="inlineStr">
        <is>
          <t>Passed on test</t>
        </is>
      </c>
      <c r="W65" s="16" t="inlineStr">
        <is>
          <t>Passed on test</t>
        </is>
      </c>
      <c r="X65" s="16" t="inlineStr">
        <is>
          <t>Passed on test</t>
        </is>
      </c>
      <c r="Y65" s="16" t="inlineStr">
        <is>
          <t>Passed on test</t>
        </is>
      </c>
      <c r="Z65" s="16" t="inlineStr">
        <is>
          <t>Passed on test</t>
        </is>
      </c>
      <c r="AA65" s="16" t="inlineStr">
        <is>
          <t>Passed on test</t>
        </is>
      </c>
      <c r="AB65" s="16" t="inlineStr">
        <is>
          <t>Passed on test</t>
        </is>
      </c>
    </row>
    <row r="66">
      <c r="A66" s="2" t="inlineStr">
        <is>
          <t>issue_994</t>
        </is>
      </c>
      <c r="B66" s="16" t="inlineStr">
        <is>
          <t>Runtime error</t>
        </is>
      </c>
      <c r="C66" s="16" t="inlineStr">
        <is>
          <t>Runtime error</t>
        </is>
      </c>
      <c r="D66" s="16" t="inlineStr">
        <is>
          <t>Runtime error</t>
        </is>
      </c>
      <c r="E66" s="16" t="inlineStr">
        <is>
          <t>Runtime error</t>
        </is>
      </c>
      <c r="F66" s="13" t="inlineStr">
        <is>
          <t>NOT_TESTED</t>
        </is>
      </c>
      <c r="G66" s="13" t="inlineStr">
        <is>
          <t>NOT_TESTED</t>
        </is>
      </c>
      <c r="H66" s="13" t="inlineStr">
        <is>
          <t>NOT_TESTED</t>
        </is>
      </c>
      <c r="I66" s="13" t="inlineStr">
        <is>
          <t>NOT_TESTED</t>
        </is>
      </c>
      <c r="J66" s="13" t="inlineStr">
        <is>
          <t>NOT_TESTED</t>
        </is>
      </c>
      <c r="K66" s="13" t="inlineStr">
        <is>
          <t>NOT_TESTED</t>
        </is>
      </c>
      <c r="L66" s="13" t="inlineStr">
        <is>
          <t>NOT_TESTED</t>
        </is>
      </c>
      <c r="M66" s="13" t="inlineStr">
        <is>
          <t>NOT_TESTED</t>
        </is>
      </c>
      <c r="N66" s="13" t="inlineStr">
        <is>
          <t>NOT_TESTED</t>
        </is>
      </c>
      <c r="O66" s="13" t="inlineStr">
        <is>
          <t>NOT_TESTED</t>
        </is>
      </c>
      <c r="P66" s="13" t="inlineStr">
        <is>
          <t>NOT_TESTED</t>
        </is>
      </c>
      <c r="Q66" s="13" t="inlineStr">
        <is>
          <t>NOT_TESTED</t>
        </is>
      </c>
      <c r="R66" s="13" t="inlineStr">
        <is>
          <t>NOT_TESTED</t>
        </is>
      </c>
      <c r="S66" s="13" t="inlineStr">
        <is>
          <t>NOT_TESTED</t>
        </is>
      </c>
      <c r="T66" s="13" t="inlineStr">
        <is>
          <t>NOT_TESTED</t>
        </is>
      </c>
      <c r="U66" s="13" t="inlineStr">
        <is>
          <t>NOT_TESTED</t>
        </is>
      </c>
      <c r="V66" s="13" t="inlineStr">
        <is>
          <t>NOT_TESTED</t>
        </is>
      </c>
      <c r="W66" s="13" t="inlineStr">
        <is>
          <t>NOT_TESTED</t>
        </is>
      </c>
      <c r="X66" s="13" t="inlineStr">
        <is>
          <t>NOT_TESTED</t>
        </is>
      </c>
      <c r="Y66" s="13" t="inlineStr">
        <is>
          <t>NOT_TESTED</t>
        </is>
      </c>
      <c r="Z66" s="13" t="inlineStr">
        <is>
          <t>NOT_TESTED</t>
        </is>
      </c>
      <c r="AA66" s="13" t="inlineStr">
        <is>
          <t>NOT_TESTED</t>
        </is>
      </c>
      <c r="AB66" s="13" t="inlineStr">
        <is>
          <t>NOT_TESTED</t>
        </is>
      </c>
    </row>
    <row r="67">
      <c r="A67" s="2" t="inlineStr">
        <is>
          <t>issue_1035</t>
        </is>
      </c>
      <c r="B67" s="13" t="inlineStr">
        <is>
          <t>NOT_TESTED</t>
        </is>
      </c>
      <c r="C67" s="13" t="inlineStr">
        <is>
          <t>NOT_TESTED</t>
        </is>
      </c>
      <c r="D67" s="13" t="inlineStr">
        <is>
          <t>NOT_TESTED</t>
        </is>
      </c>
      <c r="E67" s="13" t="inlineStr">
        <is>
          <t>NOT_TESTED</t>
        </is>
      </c>
      <c r="F67" s="16" t="inlineStr">
        <is>
          <t>Runtime error</t>
        </is>
      </c>
      <c r="G67" s="16" t="inlineStr">
        <is>
          <t>Runtime error</t>
        </is>
      </c>
      <c r="H67" s="16" t="inlineStr">
        <is>
          <t>Runtime error</t>
        </is>
      </c>
      <c r="I67" s="16" t="inlineStr">
        <is>
          <t>Runtime error</t>
        </is>
      </c>
      <c r="J67" s="16" t="inlineStr">
        <is>
          <t>Runtime error</t>
        </is>
      </c>
      <c r="K67" s="16" t="inlineStr">
        <is>
          <t>Runtime error</t>
        </is>
      </c>
      <c r="L67" s="16" t="inlineStr">
        <is>
          <t>Runtime error</t>
        </is>
      </c>
      <c r="M67" s="16" t="inlineStr">
        <is>
          <t>Runtime error</t>
        </is>
      </c>
      <c r="N67" s="13" t="inlineStr">
        <is>
          <t>NOT_TESTED</t>
        </is>
      </c>
      <c r="O67" s="13" t="inlineStr">
        <is>
          <t>NOT_TESTED</t>
        </is>
      </c>
      <c r="P67" s="13" t="inlineStr">
        <is>
          <t>NOT_TESTED</t>
        </is>
      </c>
      <c r="Q67" s="13" t="inlineStr">
        <is>
          <t>NOT_TESTED</t>
        </is>
      </c>
      <c r="R67" s="13" t="inlineStr">
        <is>
          <t>NOT_TESTED</t>
        </is>
      </c>
      <c r="S67" s="13" t="inlineStr">
        <is>
          <t>NOT_TESTED</t>
        </is>
      </c>
      <c r="T67" s="13" t="inlineStr">
        <is>
          <t>NOT_TESTED</t>
        </is>
      </c>
      <c r="U67" s="13" t="inlineStr">
        <is>
          <t>NOT_TESTED</t>
        </is>
      </c>
      <c r="V67" s="13" t="inlineStr">
        <is>
          <t>NOT_TESTED</t>
        </is>
      </c>
      <c r="W67" s="13" t="inlineStr">
        <is>
          <t>NOT_TESTED</t>
        </is>
      </c>
      <c r="X67" s="13" t="inlineStr">
        <is>
          <t>NOT_TESTED</t>
        </is>
      </c>
      <c r="Y67" s="13" t="inlineStr">
        <is>
          <t>NOT_TESTED</t>
        </is>
      </c>
      <c r="Z67" s="13" t="inlineStr">
        <is>
          <t>NOT_TESTED</t>
        </is>
      </c>
      <c r="AA67" s="13" t="inlineStr">
        <is>
          <t>NOT_TESTED</t>
        </is>
      </c>
      <c r="AB67" s="13" t="inlineStr">
        <is>
          <t>NOT_TESTED</t>
        </is>
      </c>
    </row>
    <row r="68">
      <c r="A68" s="2" t="inlineStr">
        <is>
          <t>issue_772</t>
        </is>
      </c>
      <c r="B68" s="16" t="inlineStr">
        <is>
          <t>Passed on test</t>
        </is>
      </c>
      <c r="C68" s="16" t="inlineStr">
        <is>
          <t>Passed on test</t>
        </is>
      </c>
      <c r="D68" s="16" t="inlineStr">
        <is>
          <t>Passed on test</t>
        </is>
      </c>
      <c r="E68" s="16" t="inlineStr">
        <is>
          <t>Passed on test</t>
        </is>
      </c>
      <c r="F68" s="16" t="inlineStr">
        <is>
          <t>Passed on test</t>
        </is>
      </c>
      <c r="G68" s="16" t="inlineStr">
        <is>
          <t>Passed on test</t>
        </is>
      </c>
      <c r="H68" s="16" t="inlineStr">
        <is>
          <t>Passed on test</t>
        </is>
      </c>
      <c r="I68" s="16" t="inlineStr">
        <is>
          <t>Passed on test</t>
        </is>
      </c>
      <c r="J68" s="16" t="inlineStr">
        <is>
          <t>Passed on test</t>
        </is>
      </c>
      <c r="K68" s="16" t="inlineStr">
        <is>
          <t>Passed on test</t>
        </is>
      </c>
      <c r="L68" s="16" t="inlineStr">
        <is>
          <t>Passed on test</t>
        </is>
      </c>
      <c r="M68" s="16" t="inlineStr">
        <is>
          <t>Passed on test</t>
        </is>
      </c>
      <c r="N68" s="13" t="inlineStr">
        <is>
          <t>NOT_TESTED</t>
        </is>
      </c>
      <c r="O68" s="13" t="inlineStr">
        <is>
          <t>NOT_TESTED</t>
        </is>
      </c>
      <c r="P68" s="13" t="inlineStr">
        <is>
          <t>NOT_TESTED</t>
        </is>
      </c>
      <c r="Q68" s="13" t="inlineStr">
        <is>
          <t>NOT_TESTED</t>
        </is>
      </c>
      <c r="R68" s="13" t="inlineStr">
        <is>
          <t>NOT_TESTED</t>
        </is>
      </c>
      <c r="S68" s="13" t="inlineStr">
        <is>
          <t>NOT_TESTED</t>
        </is>
      </c>
      <c r="T68" s="13" t="inlineStr">
        <is>
          <t>NOT_TESTED</t>
        </is>
      </c>
      <c r="U68" s="13" t="inlineStr">
        <is>
          <t>NOT_TESTED</t>
        </is>
      </c>
      <c r="V68" s="13" t="inlineStr">
        <is>
          <t>NOT_TESTED</t>
        </is>
      </c>
      <c r="W68" s="13" t="inlineStr">
        <is>
          <t>NOT_TESTED</t>
        </is>
      </c>
      <c r="X68" s="13" t="inlineStr">
        <is>
          <t>NOT_TESTED</t>
        </is>
      </c>
      <c r="Y68" s="13" t="inlineStr">
        <is>
          <t>NOT_TESTED</t>
        </is>
      </c>
      <c r="Z68" s="13" t="inlineStr">
        <is>
          <t>NOT_TESTED</t>
        </is>
      </c>
      <c r="AA68" s="13" t="inlineStr">
        <is>
          <t>NOT_TESTED</t>
        </is>
      </c>
      <c r="AB68" s="13" t="inlineStr">
        <is>
          <t>NOT_TESTED</t>
        </is>
      </c>
    </row>
    <row r="69">
      <c r="A69" s="2" t="inlineStr">
        <is>
          <t>issue_790</t>
        </is>
      </c>
      <c r="B69" s="13" t="inlineStr">
        <is>
          <t>NOT_TESTED</t>
        </is>
      </c>
      <c r="C69" s="13" t="inlineStr">
        <is>
          <t>NOT_TESTED</t>
        </is>
      </c>
      <c r="D69" s="13" t="inlineStr">
        <is>
          <t>NOT_TESTED</t>
        </is>
      </c>
      <c r="E69" s="13" t="inlineStr">
        <is>
          <t>NOT_TESTED</t>
        </is>
      </c>
      <c r="F69" s="14" t="inlineStr">
        <is>
          <t>Runtime error</t>
        </is>
      </c>
      <c r="G69" s="14" t="inlineStr">
        <is>
          <t>Runtime error</t>
        </is>
      </c>
      <c r="H69" s="14" t="inlineStr">
        <is>
          <t>Runtime error</t>
        </is>
      </c>
      <c r="I69" s="14" t="inlineStr">
        <is>
          <t>Runtime error</t>
        </is>
      </c>
      <c r="J69" s="14" t="inlineStr">
        <is>
          <t>Runtime error</t>
        </is>
      </c>
      <c r="K69" s="14" t="inlineStr">
        <is>
          <t>Runtime error</t>
        </is>
      </c>
      <c r="L69" s="14" t="inlineStr">
        <is>
          <t>Runtime error</t>
        </is>
      </c>
      <c r="M69" s="14" t="inlineStr">
        <is>
          <t>Runtime error</t>
        </is>
      </c>
      <c r="N69" s="14" t="inlineStr">
        <is>
          <t>Runtime error</t>
        </is>
      </c>
      <c r="O69" s="14" t="inlineStr">
        <is>
          <t>Runtime error</t>
        </is>
      </c>
      <c r="P69" s="14" t="inlineStr">
        <is>
          <t>Runtime error</t>
        </is>
      </c>
      <c r="Q69" s="14" t="inlineStr">
        <is>
          <t>Runtime error</t>
        </is>
      </c>
      <c r="R69" s="14" t="inlineStr">
        <is>
          <t>Runtime error</t>
        </is>
      </c>
      <c r="S69" s="14" t="inlineStr">
        <is>
          <t>Runtime error</t>
        </is>
      </c>
      <c r="T69" s="14" t="inlineStr">
        <is>
          <t>Runtime error</t>
        </is>
      </c>
      <c r="U69" s="14" t="inlineStr">
        <is>
          <t>Runtime error</t>
        </is>
      </c>
      <c r="V69" s="14" t="inlineStr">
        <is>
          <t>Runtime error</t>
        </is>
      </c>
      <c r="W69" s="14" t="inlineStr">
        <is>
          <t>Runtime error</t>
        </is>
      </c>
      <c r="X69" s="14" t="inlineStr">
        <is>
          <t>Runtime error</t>
        </is>
      </c>
      <c r="Y69" s="14" t="inlineStr">
        <is>
          <t>Runtime error</t>
        </is>
      </c>
      <c r="Z69" s="14" t="inlineStr">
        <is>
          <t>Runtime error</t>
        </is>
      </c>
      <c r="AA69" s="14" t="inlineStr">
        <is>
          <t>Runtime error</t>
        </is>
      </c>
      <c r="AB69" s="14" t="inlineStr">
        <is>
          <t>Runtime error</t>
        </is>
      </c>
    </row>
    <row r="70">
      <c r="A70" s="2" t="inlineStr">
        <is>
          <t>issue_827</t>
        </is>
      </c>
      <c r="B70" s="14" t="inlineStr">
        <is>
          <t>Runtime error</t>
        </is>
      </c>
      <c r="C70" s="14" t="inlineStr">
        <is>
          <t>Runtime error</t>
        </is>
      </c>
      <c r="D70" s="14" t="inlineStr">
        <is>
          <t>Runtime error</t>
        </is>
      </c>
      <c r="E70" s="14" t="inlineStr">
        <is>
          <t>Runtime error</t>
        </is>
      </c>
      <c r="F70" s="14" t="inlineStr">
        <is>
          <t>Runtime error</t>
        </is>
      </c>
      <c r="G70" s="14" t="inlineStr">
        <is>
          <t>Runtime error</t>
        </is>
      </c>
      <c r="H70" s="14" t="inlineStr">
        <is>
          <t>Runtime error</t>
        </is>
      </c>
      <c r="I70" s="14" t="inlineStr">
        <is>
          <t>Runtime error</t>
        </is>
      </c>
      <c r="J70" s="14" t="inlineStr">
        <is>
          <t>Runtime error</t>
        </is>
      </c>
      <c r="K70" s="14" t="inlineStr">
        <is>
          <t>Runtime error</t>
        </is>
      </c>
      <c r="L70" s="14" t="inlineStr">
        <is>
          <t>Runtime error</t>
        </is>
      </c>
      <c r="M70" s="14" t="inlineStr">
        <is>
          <t>Runtime error</t>
        </is>
      </c>
      <c r="N70" s="13" t="inlineStr">
        <is>
          <t>NOT_TESTED</t>
        </is>
      </c>
      <c r="O70" s="13" t="inlineStr">
        <is>
          <t>NOT_TESTED</t>
        </is>
      </c>
      <c r="P70" s="13" t="inlineStr">
        <is>
          <t>NOT_TESTED</t>
        </is>
      </c>
      <c r="Q70" s="13" t="inlineStr">
        <is>
          <t>NOT_TESTED</t>
        </is>
      </c>
      <c r="R70" s="13" t="inlineStr">
        <is>
          <t>NOT_TESTED</t>
        </is>
      </c>
      <c r="S70" s="13" t="inlineStr">
        <is>
          <t>NOT_TESTED</t>
        </is>
      </c>
      <c r="T70" s="13" t="inlineStr">
        <is>
          <t>NOT_TESTED</t>
        </is>
      </c>
      <c r="U70" s="13" t="inlineStr">
        <is>
          <t>NOT_TESTED</t>
        </is>
      </c>
      <c r="V70" s="13" t="inlineStr">
        <is>
          <t>NOT_TESTED</t>
        </is>
      </c>
      <c r="W70" s="13" t="inlineStr">
        <is>
          <t>NOT_TESTED</t>
        </is>
      </c>
      <c r="X70" s="13" t="inlineStr">
        <is>
          <t>NOT_TESTED</t>
        </is>
      </c>
      <c r="Y70" s="13" t="inlineStr">
        <is>
          <t>NOT_TESTED</t>
        </is>
      </c>
      <c r="Z70" s="13" t="inlineStr">
        <is>
          <t>NOT_TESTED</t>
        </is>
      </c>
      <c r="AA70" s="13" t="inlineStr">
        <is>
          <t>NOT_TESTED</t>
        </is>
      </c>
      <c r="AB70" s="13" t="inlineStr">
        <is>
          <t>NOT_TESTED</t>
        </is>
      </c>
    </row>
    <row r="71">
      <c r="A71" s="2" t="inlineStr">
        <is>
          <t>issue_858</t>
        </is>
      </c>
      <c r="B71" s="13" t="inlineStr">
        <is>
          <t>NOT_TESTED</t>
        </is>
      </c>
      <c r="C71" s="13" t="inlineStr">
        <is>
          <t>NOT_TESTED</t>
        </is>
      </c>
      <c r="D71" s="13" t="inlineStr">
        <is>
          <t>NOT_TESTED</t>
        </is>
      </c>
      <c r="E71" s="13" t="inlineStr">
        <is>
          <t>NOT_TESTED</t>
        </is>
      </c>
      <c r="F71" s="14" t="inlineStr">
        <is>
          <t>Runtime error</t>
        </is>
      </c>
      <c r="G71" s="14" t="inlineStr">
        <is>
          <t>Runtime error</t>
        </is>
      </c>
      <c r="H71" s="14" t="inlineStr">
        <is>
          <t>Runtime error</t>
        </is>
      </c>
      <c r="I71" s="14" t="inlineStr">
        <is>
          <t>Runtime error</t>
        </is>
      </c>
      <c r="J71" s="14" t="inlineStr">
        <is>
          <t>Runtime error</t>
        </is>
      </c>
      <c r="K71" s="14" t="inlineStr">
        <is>
          <t>Runtime error</t>
        </is>
      </c>
      <c r="L71" s="14" t="inlineStr">
        <is>
          <t>Runtime error</t>
        </is>
      </c>
      <c r="M71" s="14" t="inlineStr">
        <is>
          <t>Runtime error</t>
        </is>
      </c>
      <c r="N71" s="13" t="inlineStr">
        <is>
          <t>NOT_TESTED</t>
        </is>
      </c>
      <c r="O71" s="13" t="inlineStr">
        <is>
          <t>NOT_TESTED</t>
        </is>
      </c>
      <c r="P71" s="13" t="inlineStr">
        <is>
          <t>NOT_TESTED</t>
        </is>
      </c>
      <c r="Q71" s="13" t="inlineStr">
        <is>
          <t>NOT_TESTED</t>
        </is>
      </c>
      <c r="R71" s="13" t="inlineStr">
        <is>
          <t>NOT_TESTED</t>
        </is>
      </c>
      <c r="S71" s="13" t="inlineStr">
        <is>
          <t>NOT_TESTED</t>
        </is>
      </c>
      <c r="T71" s="13" t="inlineStr">
        <is>
          <t>NOT_TESTED</t>
        </is>
      </c>
      <c r="U71" s="13" t="inlineStr">
        <is>
          <t>NOT_TESTED</t>
        </is>
      </c>
      <c r="V71" s="13" t="inlineStr">
        <is>
          <t>NOT_TESTED</t>
        </is>
      </c>
      <c r="W71" s="13" t="inlineStr">
        <is>
          <t>NOT_TESTED</t>
        </is>
      </c>
      <c r="X71" s="13" t="inlineStr">
        <is>
          <t>NOT_TESTED</t>
        </is>
      </c>
      <c r="Y71" s="13" t="inlineStr">
        <is>
          <t>NOT_TESTED</t>
        </is>
      </c>
      <c r="Z71" s="13" t="inlineStr">
        <is>
          <t>NOT_TESTED</t>
        </is>
      </c>
      <c r="AA71" s="13" t="inlineStr">
        <is>
          <t>NOT_TESTED</t>
        </is>
      </c>
      <c r="AB71" s="13" t="inlineStr">
        <is>
          <t>NOT_TESTED</t>
        </is>
      </c>
    </row>
    <row r="72">
      <c r="A72" s="2" t="inlineStr">
        <is>
          <t>issue_901</t>
        </is>
      </c>
      <c r="B72" s="13" t="inlineStr">
        <is>
          <t>NOT_TESTED</t>
        </is>
      </c>
      <c r="C72" s="13" t="inlineStr">
        <is>
          <t>NOT_TESTED</t>
        </is>
      </c>
      <c r="D72" s="13" t="inlineStr">
        <is>
          <t>NOT_TESTED</t>
        </is>
      </c>
      <c r="E72" s="13" t="inlineStr">
        <is>
          <t>NOT_TESTED</t>
        </is>
      </c>
      <c r="F72" s="16" t="inlineStr">
        <is>
          <t>Passed on test</t>
        </is>
      </c>
      <c r="G72" s="16" t="inlineStr">
        <is>
          <t>Passed on test</t>
        </is>
      </c>
      <c r="H72" s="16" t="inlineStr">
        <is>
          <t>Passed on test</t>
        </is>
      </c>
      <c r="I72" s="16" t="inlineStr">
        <is>
          <t>Passed on test</t>
        </is>
      </c>
      <c r="J72" s="16" t="inlineStr">
        <is>
          <t>Passed on test</t>
        </is>
      </c>
      <c r="K72" s="16" t="inlineStr">
        <is>
          <t>Passed on test</t>
        </is>
      </c>
      <c r="L72" s="16" t="inlineStr">
        <is>
          <t>Passed on test</t>
        </is>
      </c>
      <c r="M72" s="16" t="inlineStr">
        <is>
          <t>Passed on test</t>
        </is>
      </c>
      <c r="N72" s="16" t="inlineStr">
        <is>
          <t>Passed on test</t>
        </is>
      </c>
      <c r="O72" s="16" t="inlineStr">
        <is>
          <t>Passed on test</t>
        </is>
      </c>
      <c r="P72" s="16" t="inlineStr">
        <is>
          <t>Passed on test</t>
        </is>
      </c>
      <c r="Q72" s="16" t="inlineStr">
        <is>
          <t>Passed on test</t>
        </is>
      </c>
      <c r="R72" s="16" t="inlineStr">
        <is>
          <t>Passed on test</t>
        </is>
      </c>
      <c r="S72" s="16" t="inlineStr">
        <is>
          <t>Passed on test</t>
        </is>
      </c>
      <c r="T72" s="16" t="inlineStr">
        <is>
          <t>Passed on test</t>
        </is>
      </c>
      <c r="U72" s="16" t="inlineStr">
        <is>
          <t>Passed on test</t>
        </is>
      </c>
      <c r="V72" s="16" t="inlineStr">
        <is>
          <t>Passed on test</t>
        </is>
      </c>
      <c r="W72" s="16" t="inlineStr">
        <is>
          <t>Passed on test</t>
        </is>
      </c>
      <c r="X72" s="16" t="inlineStr">
        <is>
          <t>Passed on test</t>
        </is>
      </c>
      <c r="Y72" s="13" t="inlineStr">
        <is>
          <t>NOT_TESTED</t>
        </is>
      </c>
      <c r="Z72" s="13" t="inlineStr">
        <is>
          <t>NOT_TESTED</t>
        </is>
      </c>
      <c r="AA72" s="13" t="inlineStr">
        <is>
          <t>NOT_TESTED</t>
        </is>
      </c>
      <c r="AB72" s="13" t="inlineStr">
        <is>
          <t>NOT_TESTED</t>
        </is>
      </c>
    </row>
    <row r="73">
      <c r="A73" s="2" t="inlineStr">
        <is>
          <t>issue_921</t>
        </is>
      </c>
      <c r="B73" s="14" t="inlineStr">
        <is>
          <t>Runtime error</t>
        </is>
      </c>
      <c r="C73" s="14" t="inlineStr">
        <is>
          <t>Runtime error</t>
        </is>
      </c>
      <c r="D73" s="14" t="inlineStr">
        <is>
          <t>Runtime error</t>
        </is>
      </c>
      <c r="E73" s="14" t="inlineStr">
        <is>
          <t>Runtime error</t>
        </is>
      </c>
      <c r="F73" s="13" t="inlineStr">
        <is>
          <t>NOT_TESTED</t>
        </is>
      </c>
      <c r="G73" s="13" t="inlineStr">
        <is>
          <t>NOT_TESTED</t>
        </is>
      </c>
      <c r="H73" s="13" t="inlineStr">
        <is>
          <t>NOT_TESTED</t>
        </is>
      </c>
      <c r="I73" s="13" t="inlineStr">
        <is>
          <t>NOT_TESTED</t>
        </is>
      </c>
      <c r="J73" s="13" t="inlineStr">
        <is>
          <t>NOT_TESTED</t>
        </is>
      </c>
      <c r="K73" s="13" t="inlineStr">
        <is>
          <t>NOT_TESTED</t>
        </is>
      </c>
      <c r="L73" s="13" t="inlineStr">
        <is>
          <t>NOT_TESTED</t>
        </is>
      </c>
      <c r="M73" s="13" t="inlineStr">
        <is>
          <t>NOT_TESTED</t>
        </is>
      </c>
      <c r="N73" s="13" t="inlineStr">
        <is>
          <t>NOT_TESTED</t>
        </is>
      </c>
      <c r="O73" s="13" t="inlineStr">
        <is>
          <t>NOT_TESTED</t>
        </is>
      </c>
      <c r="P73" s="13" t="inlineStr">
        <is>
          <t>NOT_TESTED</t>
        </is>
      </c>
      <c r="Q73" s="13" t="inlineStr">
        <is>
          <t>NOT_TESTED</t>
        </is>
      </c>
      <c r="R73" s="13" t="inlineStr">
        <is>
          <t>NOT_TESTED</t>
        </is>
      </c>
      <c r="S73" s="13" t="inlineStr">
        <is>
          <t>NOT_TESTED</t>
        </is>
      </c>
      <c r="T73" s="13" t="inlineStr">
        <is>
          <t>NOT_TESTED</t>
        </is>
      </c>
      <c r="U73" s="13" t="inlineStr">
        <is>
          <t>NOT_TESTED</t>
        </is>
      </c>
      <c r="V73" s="13" t="inlineStr">
        <is>
          <t>NOT_TESTED</t>
        </is>
      </c>
      <c r="W73" s="13" t="inlineStr">
        <is>
          <t>NOT_TESTED</t>
        </is>
      </c>
      <c r="X73" s="13" t="inlineStr">
        <is>
          <t>NOT_TESTED</t>
        </is>
      </c>
      <c r="Y73" s="13" t="inlineStr">
        <is>
          <t>NOT_TESTED</t>
        </is>
      </c>
      <c r="Z73" s="13" t="inlineStr">
        <is>
          <t>NOT_TESTED</t>
        </is>
      </c>
      <c r="AA73" s="13" t="inlineStr">
        <is>
          <t>NOT_TESTED</t>
        </is>
      </c>
      <c r="AB73" s="13" t="inlineStr">
        <is>
          <t>NOT_TESTED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case_id</t>
        </is>
      </c>
      <c r="B1" s="1" t="inlineStr">
        <is>
          <t>0.25.0</t>
        </is>
      </c>
      <c r="C1" s="1" t="inlineStr">
        <is>
          <t>0.25.1</t>
        </is>
      </c>
      <c r="D1" s="1" t="inlineStr">
        <is>
          <t>0.25.2</t>
        </is>
      </c>
      <c r="E1" s="1" t="inlineStr">
        <is>
          <t>0.25.3</t>
        </is>
      </c>
      <c r="F1" s="1" t="inlineStr">
        <is>
          <t>0.45.0</t>
        </is>
      </c>
      <c r="G1" s="1" t="inlineStr">
        <is>
          <t>0.45.1</t>
        </is>
      </c>
      <c r="H1" s="1" t="inlineStr">
        <is>
          <t>0.45.2</t>
        </is>
      </c>
      <c r="I1" s="1" t="inlineStr">
        <is>
          <t>0.45.3</t>
        </is>
      </c>
      <c r="J1" s="1" t="inlineStr">
        <is>
          <t>0.46.0</t>
        </is>
      </c>
      <c r="K1" s="1" t="inlineStr">
        <is>
          <t>0.46.1</t>
        </is>
      </c>
      <c r="L1" s="1" t="inlineStr">
        <is>
          <t>0.46.2</t>
        </is>
      </c>
      <c r="M1" s="1" t="inlineStr">
        <is>
          <t>0.46.3</t>
        </is>
      </c>
      <c r="N1" s="1" t="inlineStr">
        <is>
          <t>1.0.0</t>
        </is>
      </c>
      <c r="O1" s="1" t="inlineStr">
        <is>
          <t>1.0.1</t>
        </is>
      </c>
      <c r="P1" s="1" t="inlineStr">
        <is>
          <t>1.0.2</t>
        </is>
      </c>
      <c r="Q1" s="1" t="inlineStr">
        <is>
          <t>1.1.0</t>
        </is>
      </c>
      <c r="R1" s="1" t="inlineStr">
        <is>
          <t>1.1.1</t>
        </is>
      </c>
      <c r="S1" s="1" t="inlineStr">
        <is>
          <t>1.1.2</t>
        </is>
      </c>
      <c r="T1" s="1" t="inlineStr">
        <is>
          <t>1.2.0</t>
        </is>
      </c>
      <c r="U1" s="1" t="inlineStr">
        <is>
          <t>1.2.1</t>
        </is>
      </c>
      <c r="V1" s="1" t="inlineStr">
        <is>
          <t>1.2.2</t>
        </is>
      </c>
      <c r="W1" s="1" t="inlineStr">
        <is>
          <t>1.2.4</t>
        </is>
      </c>
      <c r="X1" s="1" t="inlineStr">
        <is>
          <t>2.0.0</t>
        </is>
      </c>
      <c r="Y1" s="1" t="inlineStr">
        <is>
          <t>2.2.0</t>
        </is>
      </c>
      <c r="Z1" s="1" t="inlineStr">
        <is>
          <t>2.3.0</t>
        </is>
      </c>
      <c r="AA1" s="1" t="inlineStr">
        <is>
          <t>2.4.0</t>
        </is>
      </c>
      <c r="AB1" s="1" t="inlineStr">
        <is>
          <t>2.5.0</t>
        </is>
      </c>
    </row>
    <row r="2">
      <c r="A2" s="2" t="inlineStr">
        <is>
          <t>issue_009</t>
        </is>
      </c>
      <c r="B2" s="13" t="inlineStr">
        <is>
          <t>NOT_TESTED</t>
        </is>
      </c>
      <c r="C2" s="13" t="inlineStr">
        <is>
          <t>NOT_TESTED</t>
        </is>
      </c>
      <c r="D2" s="13" t="inlineStr">
        <is>
          <t>NOT_TESTED</t>
        </is>
      </c>
      <c r="E2" s="13" t="inlineStr">
        <is>
          <t>NOT_TESTED</t>
        </is>
      </c>
      <c r="F2" s="16" t="inlineStr">
        <is>
          <t>Passed on test</t>
        </is>
      </c>
      <c r="G2" s="16" t="inlineStr">
        <is>
          <t>Passed on test</t>
        </is>
      </c>
      <c r="H2" s="16" t="inlineStr">
        <is>
          <t>Passed on test</t>
        </is>
      </c>
      <c r="I2" s="16" t="inlineStr">
        <is>
          <t>Passed on test</t>
        </is>
      </c>
      <c r="J2" s="16" t="inlineStr">
        <is>
          <t>Passed on test</t>
        </is>
      </c>
      <c r="K2" s="16" t="inlineStr">
        <is>
          <t>Passed on test</t>
        </is>
      </c>
      <c r="L2" s="16" t="inlineStr">
        <is>
          <t>Passed on test</t>
        </is>
      </c>
      <c r="M2" s="16" t="inlineStr">
        <is>
          <t>Passed on test</t>
        </is>
      </c>
      <c r="N2" s="13" t="inlineStr">
        <is>
          <t>NOT_TESTED</t>
        </is>
      </c>
      <c r="O2" s="13" t="inlineStr">
        <is>
          <t>NOT_TESTED</t>
        </is>
      </c>
      <c r="P2" s="13" t="inlineStr">
        <is>
          <t>NOT_TESTED</t>
        </is>
      </c>
      <c r="Q2" s="13" t="inlineStr">
        <is>
          <t>NOT_TESTED</t>
        </is>
      </c>
      <c r="R2" s="13" t="inlineStr">
        <is>
          <t>NOT_TESTED</t>
        </is>
      </c>
      <c r="S2" s="13" t="inlineStr">
        <is>
          <t>NOT_TESTED</t>
        </is>
      </c>
      <c r="T2" s="13" t="inlineStr">
        <is>
          <t>NOT_TESTED</t>
        </is>
      </c>
      <c r="U2" s="13" t="inlineStr">
        <is>
          <t>NOT_TESTED</t>
        </is>
      </c>
      <c r="V2" s="13" t="inlineStr">
        <is>
          <t>NOT_TESTED</t>
        </is>
      </c>
      <c r="W2" s="13" t="inlineStr">
        <is>
          <t>NOT_TESTED</t>
        </is>
      </c>
      <c r="X2" s="13" t="inlineStr">
        <is>
          <t>NOT_TESTED</t>
        </is>
      </c>
      <c r="Y2" s="13" t="inlineStr">
        <is>
          <t>NOT_TESTED</t>
        </is>
      </c>
      <c r="Z2" s="13" t="inlineStr">
        <is>
          <t>NOT_TESTED</t>
        </is>
      </c>
      <c r="AA2" s="13" t="inlineStr">
        <is>
          <t>NOT_TESTED</t>
        </is>
      </c>
      <c r="AB2" s="13" t="inlineStr">
        <is>
          <t>NOT_TESTED</t>
        </is>
      </c>
    </row>
    <row r="3">
      <c r="A3" s="2" t="inlineStr">
        <is>
          <t>issue_021_se</t>
        </is>
      </c>
      <c r="B3" s="16" t="inlineStr">
        <is>
          <t>Passed on test</t>
        </is>
      </c>
      <c r="C3" s="16" t="inlineStr">
        <is>
          <t>Passed on test</t>
        </is>
      </c>
      <c r="D3" s="16" t="inlineStr">
        <is>
          <t>Passed on test</t>
        </is>
      </c>
      <c r="E3" s="16" t="inlineStr">
        <is>
          <t>Passed on test</t>
        </is>
      </c>
      <c r="F3" s="16" t="inlineStr">
        <is>
          <t>Passed on test</t>
        </is>
      </c>
      <c r="G3" s="16" t="inlineStr">
        <is>
          <t>Passed on test</t>
        </is>
      </c>
      <c r="H3" s="16" t="inlineStr">
        <is>
          <t>Passed on test</t>
        </is>
      </c>
      <c r="I3" s="16" t="inlineStr">
        <is>
          <t>Passed on test</t>
        </is>
      </c>
      <c r="J3" s="16" t="inlineStr">
        <is>
          <t>Passed on test</t>
        </is>
      </c>
      <c r="K3" s="16" t="inlineStr">
        <is>
          <t>Passed on test</t>
        </is>
      </c>
      <c r="L3" s="16" t="inlineStr">
        <is>
          <t>Passed on test</t>
        </is>
      </c>
      <c r="M3" s="16" t="inlineStr">
        <is>
          <t>Passed on test</t>
        </is>
      </c>
      <c r="N3" s="13" t="inlineStr">
        <is>
          <t>NOT_TESTED</t>
        </is>
      </c>
      <c r="O3" s="13" t="inlineStr">
        <is>
          <t>NOT_TESTED</t>
        </is>
      </c>
      <c r="P3" s="13" t="inlineStr">
        <is>
          <t>NOT_TESTED</t>
        </is>
      </c>
      <c r="Q3" s="13" t="inlineStr">
        <is>
          <t>NOT_TESTED</t>
        </is>
      </c>
      <c r="R3" s="13" t="inlineStr">
        <is>
          <t>NOT_TESTED</t>
        </is>
      </c>
      <c r="S3" s="13" t="inlineStr">
        <is>
          <t>NOT_TESTED</t>
        </is>
      </c>
      <c r="T3" s="13" t="inlineStr">
        <is>
          <t>NOT_TESTED</t>
        </is>
      </c>
      <c r="U3" s="13" t="inlineStr">
        <is>
          <t>NOT_TESTED</t>
        </is>
      </c>
      <c r="V3" s="13" t="inlineStr">
        <is>
          <t>NOT_TESTED</t>
        </is>
      </c>
      <c r="W3" s="13" t="inlineStr">
        <is>
          <t>NOT_TESTED</t>
        </is>
      </c>
      <c r="X3" s="13" t="inlineStr">
        <is>
          <t>NOT_TESTED</t>
        </is>
      </c>
      <c r="Y3" s="13" t="inlineStr">
        <is>
          <t>NOT_TESTED</t>
        </is>
      </c>
      <c r="Z3" s="13" t="inlineStr">
        <is>
          <t>NOT_TESTED</t>
        </is>
      </c>
      <c r="AA3" s="13" t="inlineStr">
        <is>
          <t>NOT_TESTED</t>
        </is>
      </c>
      <c r="AB3" s="13" t="inlineStr">
        <is>
          <t>NOT_TESTED</t>
        </is>
      </c>
    </row>
    <row r="4">
      <c r="A4" s="2" t="inlineStr">
        <is>
          <t>issue_032_se</t>
        </is>
      </c>
      <c r="B4" s="16" t="inlineStr">
        <is>
          <t>Passed on test</t>
        </is>
      </c>
      <c r="C4" s="16" t="inlineStr">
        <is>
          <t>Passed on test</t>
        </is>
      </c>
      <c r="D4" s="16" t="inlineStr">
        <is>
          <t>Passed on test</t>
        </is>
      </c>
      <c r="E4" s="16" t="inlineStr">
        <is>
          <t>Passed on test</t>
        </is>
      </c>
      <c r="F4" s="13" t="inlineStr">
        <is>
          <t>NOT_TESTED</t>
        </is>
      </c>
      <c r="G4" s="13" t="inlineStr">
        <is>
          <t>NOT_TESTED</t>
        </is>
      </c>
      <c r="H4" s="13" t="inlineStr">
        <is>
          <t>NOT_TESTED</t>
        </is>
      </c>
      <c r="I4" s="13" t="inlineStr">
        <is>
          <t>NOT_TESTED</t>
        </is>
      </c>
      <c r="J4" s="13" t="inlineStr">
        <is>
          <t>NOT_TESTED</t>
        </is>
      </c>
      <c r="K4" s="13" t="inlineStr">
        <is>
          <t>NOT_TESTED</t>
        </is>
      </c>
      <c r="L4" s="13" t="inlineStr">
        <is>
          <t>NOT_TESTED</t>
        </is>
      </c>
      <c r="M4" s="13" t="inlineStr">
        <is>
          <t>NOT_TESTED</t>
        </is>
      </c>
      <c r="N4" s="13" t="inlineStr">
        <is>
          <t>NOT_TESTED</t>
        </is>
      </c>
      <c r="O4" s="13" t="inlineStr">
        <is>
          <t>NOT_TESTED</t>
        </is>
      </c>
      <c r="P4" s="13" t="inlineStr">
        <is>
          <t>NOT_TESTED</t>
        </is>
      </c>
      <c r="Q4" s="13" t="inlineStr">
        <is>
          <t>NOT_TESTED</t>
        </is>
      </c>
      <c r="R4" s="13" t="inlineStr">
        <is>
          <t>NOT_TESTED</t>
        </is>
      </c>
      <c r="S4" s="13" t="inlineStr">
        <is>
          <t>NOT_TESTED</t>
        </is>
      </c>
      <c r="T4" s="13" t="inlineStr">
        <is>
          <t>NOT_TESTED</t>
        </is>
      </c>
      <c r="U4" s="13" t="inlineStr">
        <is>
          <t>NOT_TESTED</t>
        </is>
      </c>
      <c r="V4" s="13" t="inlineStr">
        <is>
          <t>NOT_TESTED</t>
        </is>
      </c>
      <c r="W4" s="13" t="inlineStr">
        <is>
          <t>NOT_TESTED</t>
        </is>
      </c>
      <c r="X4" s="13" t="inlineStr">
        <is>
          <t>NOT_TESTED</t>
        </is>
      </c>
      <c r="Y4" s="13" t="inlineStr">
        <is>
          <t>NOT_TESTED</t>
        </is>
      </c>
      <c r="Z4" s="13" t="inlineStr">
        <is>
          <t>NOT_TESTED</t>
        </is>
      </c>
      <c r="AA4" s="13" t="inlineStr">
        <is>
          <t>NOT_TESTED</t>
        </is>
      </c>
      <c r="AB4" s="13" t="inlineStr">
        <is>
          <t>NOT_TESTED</t>
        </is>
      </c>
    </row>
    <row r="5">
      <c r="A5" s="2" t="inlineStr">
        <is>
          <t>issue_034</t>
        </is>
      </c>
      <c r="B5" s="13" t="inlineStr">
        <is>
          <t>NOT_TESTED</t>
        </is>
      </c>
      <c r="C5" s="13" t="inlineStr">
        <is>
          <t>NOT_TESTED</t>
        </is>
      </c>
      <c r="D5" s="13" t="inlineStr">
        <is>
          <t>NOT_TESTED</t>
        </is>
      </c>
      <c r="E5" s="13" t="inlineStr">
        <is>
          <t>NOT_TESTED</t>
        </is>
      </c>
      <c r="F5" s="13" t="inlineStr">
        <is>
          <t>NOT_TESTED</t>
        </is>
      </c>
      <c r="G5" s="13" t="inlineStr">
        <is>
          <t>NOT_TESTED</t>
        </is>
      </c>
      <c r="H5" s="13" t="inlineStr">
        <is>
          <t>NOT_TESTED</t>
        </is>
      </c>
      <c r="I5" s="13" t="inlineStr">
        <is>
          <t>NOT_TESTED</t>
        </is>
      </c>
      <c r="J5" s="13" t="inlineStr">
        <is>
          <t>NOT_TESTED</t>
        </is>
      </c>
      <c r="K5" s="13" t="inlineStr">
        <is>
          <t>NOT_TESTED</t>
        </is>
      </c>
      <c r="L5" s="13" t="inlineStr">
        <is>
          <t>NOT_TESTED</t>
        </is>
      </c>
      <c r="M5" s="13" t="inlineStr">
        <is>
          <t>NOT_TESTED</t>
        </is>
      </c>
      <c r="N5" s="16" t="inlineStr">
        <is>
          <t>Passed on test</t>
        </is>
      </c>
      <c r="O5" s="16" t="inlineStr">
        <is>
          <t>Passed on test</t>
        </is>
      </c>
      <c r="P5" s="16" t="inlineStr">
        <is>
          <t>Passed on test</t>
        </is>
      </c>
      <c r="Q5" s="16" t="inlineStr">
        <is>
          <t>Passed on test</t>
        </is>
      </c>
      <c r="R5" s="16" t="inlineStr">
        <is>
          <t>Passed on test</t>
        </is>
      </c>
      <c r="S5" s="16" t="inlineStr">
        <is>
          <t>Passed on test</t>
        </is>
      </c>
      <c r="T5" s="16" t="inlineStr">
        <is>
          <t>Passed on test</t>
        </is>
      </c>
      <c r="U5" s="16" t="inlineStr">
        <is>
          <t>Passed on test</t>
        </is>
      </c>
      <c r="V5" s="16" t="inlineStr">
        <is>
          <t>Passed on test</t>
        </is>
      </c>
      <c r="W5" s="16" t="inlineStr">
        <is>
          <t>Passed on test</t>
        </is>
      </c>
      <c r="X5" s="16" t="inlineStr">
        <is>
          <t>Passed on test</t>
        </is>
      </c>
      <c r="Y5" s="16" t="inlineStr">
        <is>
          <t>Passed on test</t>
        </is>
      </c>
      <c r="Z5" s="16" t="inlineStr">
        <is>
          <t>Passed on test</t>
        </is>
      </c>
      <c r="AA5" s="16" t="inlineStr">
        <is>
          <t>Passed on test</t>
        </is>
      </c>
      <c r="AB5" s="16" t="inlineStr">
        <is>
          <t>Passed on test</t>
        </is>
      </c>
    </row>
    <row r="6">
      <c r="A6" s="2" t="inlineStr">
        <is>
          <t>issue_036</t>
        </is>
      </c>
      <c r="B6" s="13" t="inlineStr">
        <is>
          <t>NOT_TESTED</t>
        </is>
      </c>
      <c r="C6" s="13" t="inlineStr">
        <is>
          <t>NOT_TESTED</t>
        </is>
      </c>
      <c r="D6" s="13" t="inlineStr">
        <is>
          <t>NOT_TESTED</t>
        </is>
      </c>
      <c r="E6" s="13" t="inlineStr">
        <is>
          <t>NOT_TESTED</t>
        </is>
      </c>
      <c r="F6" s="13" t="inlineStr">
        <is>
          <t>NOT_TESTED</t>
        </is>
      </c>
      <c r="G6" s="13" t="inlineStr">
        <is>
          <t>NOT_TESTED</t>
        </is>
      </c>
      <c r="H6" s="13" t="inlineStr">
        <is>
          <t>NOT_TESTED</t>
        </is>
      </c>
      <c r="I6" s="13" t="inlineStr">
        <is>
          <t>NOT_TESTED</t>
        </is>
      </c>
      <c r="J6" s="13" t="inlineStr">
        <is>
          <t>NOT_TESTED</t>
        </is>
      </c>
      <c r="K6" s="13" t="inlineStr">
        <is>
          <t>NOT_TESTED</t>
        </is>
      </c>
      <c r="L6" s="13" t="inlineStr">
        <is>
          <t>NOT_TESTED</t>
        </is>
      </c>
      <c r="M6" s="13" t="inlineStr">
        <is>
          <t>NOT_TESTED</t>
        </is>
      </c>
      <c r="N6" s="16" t="inlineStr">
        <is>
          <t>Passed on test</t>
        </is>
      </c>
      <c r="O6" s="16" t="inlineStr">
        <is>
          <t>Passed on test</t>
        </is>
      </c>
      <c r="P6" s="16" t="inlineStr">
        <is>
          <t>Passed on test</t>
        </is>
      </c>
      <c r="Q6" s="16" t="inlineStr">
        <is>
          <t>Passed on test</t>
        </is>
      </c>
      <c r="R6" s="16" t="inlineStr">
        <is>
          <t>Passed on test</t>
        </is>
      </c>
      <c r="S6" s="16" t="inlineStr">
        <is>
          <t>Passed on test</t>
        </is>
      </c>
      <c r="T6" s="16" t="inlineStr">
        <is>
          <t>Passed on test</t>
        </is>
      </c>
      <c r="U6" s="16" t="inlineStr">
        <is>
          <t>Passed on test</t>
        </is>
      </c>
      <c r="V6" s="16" t="inlineStr">
        <is>
          <t>Passed on test</t>
        </is>
      </c>
      <c r="W6" s="16" t="inlineStr">
        <is>
          <t>Passed on test</t>
        </is>
      </c>
      <c r="X6" s="16" t="inlineStr">
        <is>
          <t>Passed on test</t>
        </is>
      </c>
      <c r="Y6" s="16" t="inlineStr">
        <is>
          <t>Passed on test</t>
        </is>
      </c>
      <c r="Z6" s="16" t="inlineStr">
        <is>
          <t>Passed on test</t>
        </is>
      </c>
      <c r="AA6" s="16" t="inlineStr">
        <is>
          <t>Passed on test</t>
        </is>
      </c>
      <c r="AB6" s="16" t="inlineStr">
        <is>
          <t>Passed on test</t>
        </is>
      </c>
    </row>
    <row r="7">
      <c r="A7" s="2" t="inlineStr">
        <is>
          <t>issue_058_se</t>
        </is>
      </c>
      <c r="B7" s="16" t="inlineStr">
        <is>
          <t>Passed on test</t>
        </is>
      </c>
      <c r="C7" s="16" t="inlineStr">
        <is>
          <t>Passed on test</t>
        </is>
      </c>
      <c r="D7" s="16" t="inlineStr">
        <is>
          <t>Passed on test</t>
        </is>
      </c>
      <c r="E7" s="16" t="inlineStr">
        <is>
          <t>Passed on test</t>
        </is>
      </c>
      <c r="F7" s="16" t="inlineStr">
        <is>
          <t>Passed on test</t>
        </is>
      </c>
      <c r="G7" s="16" t="inlineStr">
        <is>
          <t>Passed on test</t>
        </is>
      </c>
      <c r="H7" s="16" t="inlineStr">
        <is>
          <t>Passed on test</t>
        </is>
      </c>
      <c r="I7" s="16" t="inlineStr">
        <is>
          <t>Passed on test</t>
        </is>
      </c>
      <c r="J7" s="16" t="inlineStr">
        <is>
          <t>Passed on test</t>
        </is>
      </c>
      <c r="K7" s="16" t="inlineStr">
        <is>
          <t>Passed on test</t>
        </is>
      </c>
      <c r="L7" s="16" t="inlineStr">
        <is>
          <t>Passed on test</t>
        </is>
      </c>
      <c r="M7" s="16" t="inlineStr">
        <is>
          <t>Passed on test</t>
        </is>
      </c>
      <c r="N7" s="13" t="inlineStr">
        <is>
          <t>NOT_TESTED</t>
        </is>
      </c>
      <c r="O7" s="13" t="inlineStr">
        <is>
          <t>NOT_TESTED</t>
        </is>
      </c>
      <c r="P7" s="13" t="inlineStr">
        <is>
          <t>NOT_TESTED</t>
        </is>
      </c>
      <c r="Q7" s="13" t="inlineStr">
        <is>
          <t>NOT_TESTED</t>
        </is>
      </c>
      <c r="R7" s="13" t="inlineStr">
        <is>
          <t>NOT_TESTED</t>
        </is>
      </c>
      <c r="S7" s="13" t="inlineStr">
        <is>
          <t>NOT_TESTED</t>
        </is>
      </c>
      <c r="T7" s="13" t="inlineStr">
        <is>
          <t>NOT_TESTED</t>
        </is>
      </c>
      <c r="U7" s="13" t="inlineStr">
        <is>
          <t>NOT_TESTED</t>
        </is>
      </c>
      <c r="V7" s="13" t="inlineStr">
        <is>
          <t>NOT_TESTED</t>
        </is>
      </c>
      <c r="W7" s="13" t="inlineStr">
        <is>
          <t>NOT_TESTED</t>
        </is>
      </c>
      <c r="X7" s="13" t="inlineStr">
        <is>
          <t>NOT_TESTED</t>
        </is>
      </c>
      <c r="Y7" s="13" t="inlineStr">
        <is>
          <t>NOT_TESTED</t>
        </is>
      </c>
      <c r="Z7" s="13" t="inlineStr">
        <is>
          <t>NOT_TESTED</t>
        </is>
      </c>
      <c r="AA7" s="13" t="inlineStr">
        <is>
          <t>NOT_TESTED</t>
        </is>
      </c>
      <c r="AB7" s="13" t="inlineStr">
        <is>
          <t>NOT_TESTED</t>
        </is>
      </c>
    </row>
    <row r="8">
      <c r="A8" s="2" t="inlineStr">
        <is>
          <t>issue_061</t>
        </is>
      </c>
      <c r="B8" s="13" t="inlineStr">
        <is>
          <t>NOT_TESTED</t>
        </is>
      </c>
      <c r="C8" s="13" t="inlineStr">
        <is>
          <t>NOT_TESTED</t>
        </is>
      </c>
      <c r="D8" s="13" t="inlineStr">
        <is>
          <t>NOT_TESTED</t>
        </is>
      </c>
      <c r="E8" s="13" t="inlineStr">
        <is>
          <t>NOT_TESTED</t>
        </is>
      </c>
      <c r="F8" s="13" t="inlineStr">
        <is>
          <t>NOT_TESTED</t>
        </is>
      </c>
      <c r="G8" s="13" t="inlineStr">
        <is>
          <t>NOT_TESTED</t>
        </is>
      </c>
      <c r="H8" s="13" t="inlineStr">
        <is>
          <t>NOT_TESTED</t>
        </is>
      </c>
      <c r="I8" s="13" t="inlineStr">
        <is>
          <t>NOT_TESTED</t>
        </is>
      </c>
      <c r="J8" s="13" t="inlineStr">
        <is>
          <t>NOT_TESTED</t>
        </is>
      </c>
      <c r="K8" s="13" t="inlineStr">
        <is>
          <t>NOT_TESTED</t>
        </is>
      </c>
      <c r="L8" s="13" t="inlineStr">
        <is>
          <t>NOT_TESTED</t>
        </is>
      </c>
      <c r="M8" s="13" t="inlineStr">
        <is>
          <t>NOT_TESTED</t>
        </is>
      </c>
      <c r="N8" s="16" t="inlineStr">
        <is>
          <t>Passed on test</t>
        </is>
      </c>
      <c r="O8" s="16" t="inlineStr">
        <is>
          <t>Passed on test</t>
        </is>
      </c>
      <c r="P8" s="16" t="inlineStr">
        <is>
          <t>Passed on test</t>
        </is>
      </c>
      <c r="Q8" s="16" t="inlineStr">
        <is>
          <t>Passed on test</t>
        </is>
      </c>
      <c r="R8" s="16" t="inlineStr">
        <is>
          <t>Passed on test</t>
        </is>
      </c>
      <c r="S8" s="16" t="inlineStr">
        <is>
          <t>Passed on test</t>
        </is>
      </c>
      <c r="T8" s="16" t="inlineStr">
        <is>
          <t>Passed on test</t>
        </is>
      </c>
      <c r="U8" s="16" t="inlineStr">
        <is>
          <t>Passed on test</t>
        </is>
      </c>
      <c r="V8" s="16" t="inlineStr">
        <is>
          <t>Passed on test</t>
        </is>
      </c>
      <c r="W8" s="16" t="inlineStr">
        <is>
          <t>Passed on test</t>
        </is>
      </c>
      <c r="X8" s="16" t="inlineStr">
        <is>
          <t>Passed on test</t>
        </is>
      </c>
      <c r="Y8" s="16" t="inlineStr">
        <is>
          <t>Passed on test</t>
        </is>
      </c>
      <c r="Z8" s="16" t="inlineStr">
        <is>
          <t>Passed on test</t>
        </is>
      </c>
      <c r="AA8" s="16" t="inlineStr">
        <is>
          <t>Passed on test</t>
        </is>
      </c>
      <c r="AB8" s="16" t="inlineStr">
        <is>
          <t>Passed on test</t>
        </is>
      </c>
    </row>
    <row r="9">
      <c r="A9" s="2" t="inlineStr">
        <is>
          <t>issue_072</t>
        </is>
      </c>
      <c r="B9" s="16" t="inlineStr">
        <is>
          <t>Passed on test</t>
        </is>
      </c>
      <c r="C9" s="16" t="inlineStr">
        <is>
          <t>Passed on test</t>
        </is>
      </c>
      <c r="D9" s="16" t="inlineStr">
        <is>
          <t>Passed on test</t>
        </is>
      </c>
      <c r="E9" s="16" t="inlineStr">
        <is>
          <t>Passed on test</t>
        </is>
      </c>
      <c r="F9" s="13" t="inlineStr">
        <is>
          <t>NOT_TESTED</t>
        </is>
      </c>
      <c r="G9" s="13" t="inlineStr">
        <is>
          <t>NOT_TESTED</t>
        </is>
      </c>
      <c r="H9" s="13" t="inlineStr">
        <is>
          <t>NOT_TESTED</t>
        </is>
      </c>
      <c r="I9" s="13" t="inlineStr">
        <is>
          <t>NOT_TESTED</t>
        </is>
      </c>
      <c r="J9" s="13" t="inlineStr">
        <is>
          <t>NOT_TESTED</t>
        </is>
      </c>
      <c r="K9" s="13" t="inlineStr">
        <is>
          <t>NOT_TESTED</t>
        </is>
      </c>
      <c r="L9" s="13" t="inlineStr">
        <is>
          <t>NOT_TESTED</t>
        </is>
      </c>
      <c r="M9" s="13" t="inlineStr">
        <is>
          <t>NOT_TESTED</t>
        </is>
      </c>
      <c r="N9" s="13" t="inlineStr">
        <is>
          <t>NOT_TESTED</t>
        </is>
      </c>
      <c r="O9" s="13" t="inlineStr">
        <is>
          <t>NOT_TESTED</t>
        </is>
      </c>
      <c r="P9" s="13" t="inlineStr">
        <is>
          <t>NOT_TESTED</t>
        </is>
      </c>
      <c r="Q9" s="13" t="inlineStr">
        <is>
          <t>NOT_TESTED</t>
        </is>
      </c>
      <c r="R9" s="13" t="inlineStr">
        <is>
          <t>NOT_TESTED</t>
        </is>
      </c>
      <c r="S9" s="13" t="inlineStr">
        <is>
          <t>NOT_TESTED</t>
        </is>
      </c>
      <c r="T9" s="13" t="inlineStr">
        <is>
          <t>NOT_TESTED</t>
        </is>
      </c>
      <c r="U9" s="13" t="inlineStr">
        <is>
          <t>NOT_TESTED</t>
        </is>
      </c>
      <c r="V9" s="13" t="inlineStr">
        <is>
          <t>NOT_TESTED</t>
        </is>
      </c>
      <c r="W9" s="13" t="inlineStr">
        <is>
          <t>NOT_TESTED</t>
        </is>
      </c>
      <c r="X9" s="13" t="inlineStr">
        <is>
          <t>NOT_TESTED</t>
        </is>
      </c>
      <c r="Y9" s="13" t="inlineStr">
        <is>
          <t>NOT_TESTED</t>
        </is>
      </c>
      <c r="Z9" s="13" t="inlineStr">
        <is>
          <t>NOT_TESTED</t>
        </is>
      </c>
      <c r="AA9" s="13" t="inlineStr">
        <is>
          <t>NOT_TESTED</t>
        </is>
      </c>
      <c r="AB9" s="13" t="inlineStr">
        <is>
          <t>NOT_TESTED</t>
        </is>
      </c>
    </row>
    <row r="10">
      <c r="A10" s="2" t="inlineStr">
        <is>
          <t>issue_096</t>
        </is>
      </c>
      <c r="B10" s="15" t="inlineStr">
        <is>
          <t>Failed on test</t>
        </is>
      </c>
      <c r="C10" s="15" t="inlineStr">
        <is>
          <t>Failed on test</t>
        </is>
      </c>
      <c r="D10" s="15" t="inlineStr">
        <is>
          <t>Failed on test</t>
        </is>
      </c>
      <c r="E10" s="15" t="inlineStr">
        <is>
          <t>Failed on test</t>
        </is>
      </c>
      <c r="F10" s="15" t="inlineStr">
        <is>
          <t>Failed on test</t>
        </is>
      </c>
      <c r="G10" s="15" t="inlineStr">
        <is>
          <t>Failed on test</t>
        </is>
      </c>
      <c r="H10" s="15" t="inlineStr">
        <is>
          <t>Failed on test</t>
        </is>
      </c>
      <c r="I10" s="15" t="inlineStr">
        <is>
          <t>Failed on test</t>
        </is>
      </c>
      <c r="J10" s="15" t="inlineStr">
        <is>
          <t>Failed on test</t>
        </is>
      </c>
      <c r="K10" s="15" t="inlineStr">
        <is>
          <t>Failed on test</t>
        </is>
      </c>
      <c r="L10" s="15" t="inlineStr">
        <is>
          <t>Failed on test</t>
        </is>
      </c>
      <c r="M10" s="15" t="inlineStr">
        <is>
          <t>Failed on test</t>
        </is>
      </c>
      <c r="N10" s="15" t="inlineStr">
        <is>
          <t>Failed on test</t>
        </is>
      </c>
      <c r="O10" s="15" t="inlineStr">
        <is>
          <t>Failed on test</t>
        </is>
      </c>
      <c r="P10" s="15" t="inlineStr">
        <is>
          <t>Failed on test</t>
        </is>
      </c>
      <c r="Q10" s="15" t="inlineStr">
        <is>
          <t>Failed on test</t>
        </is>
      </c>
      <c r="R10" s="15" t="inlineStr">
        <is>
          <t>Failed on test</t>
        </is>
      </c>
      <c r="S10" s="15" t="inlineStr">
        <is>
          <t>Failed on test</t>
        </is>
      </c>
      <c r="T10" s="15" t="inlineStr">
        <is>
          <t>Failed on test</t>
        </is>
      </c>
      <c r="U10" s="15" t="inlineStr">
        <is>
          <t>Failed on test</t>
        </is>
      </c>
      <c r="V10" s="15" t="inlineStr">
        <is>
          <t>Failed on test</t>
        </is>
      </c>
      <c r="W10" s="15" t="inlineStr">
        <is>
          <t>Failed on test</t>
        </is>
      </c>
      <c r="X10" s="15" t="inlineStr">
        <is>
          <t>Failed on test</t>
        </is>
      </c>
      <c r="Y10" s="15" t="inlineStr">
        <is>
          <t>Failed on test</t>
        </is>
      </c>
      <c r="Z10" s="15" t="inlineStr">
        <is>
          <t>Failed on test</t>
        </is>
      </c>
      <c r="AA10" s="15" t="inlineStr">
        <is>
          <t>Failed on test</t>
        </is>
      </c>
      <c r="AB10" s="15" t="inlineStr">
        <is>
          <t>Failed on test</t>
        </is>
      </c>
    </row>
    <row r="11">
      <c r="A11" s="2" t="inlineStr">
        <is>
          <t>issue_155</t>
        </is>
      </c>
      <c r="B11" s="14" t="inlineStr">
        <is>
          <t>Runtime error</t>
        </is>
      </c>
      <c r="C11" s="14" t="inlineStr">
        <is>
          <t>Runtime error</t>
        </is>
      </c>
      <c r="D11" s="14" t="inlineStr">
        <is>
          <t>Runtime error</t>
        </is>
      </c>
      <c r="E11" s="14" t="inlineStr">
        <is>
          <t>Runtime error</t>
        </is>
      </c>
      <c r="F11" s="16" t="inlineStr">
        <is>
          <t>Passed on test</t>
        </is>
      </c>
      <c r="G11" s="16" t="inlineStr">
        <is>
          <t>Passed on test</t>
        </is>
      </c>
      <c r="H11" s="16" t="inlineStr">
        <is>
          <t>Passed on test</t>
        </is>
      </c>
      <c r="I11" s="16" t="inlineStr">
        <is>
          <t>Passed on test</t>
        </is>
      </c>
      <c r="J11" s="16" t="inlineStr">
        <is>
          <t>Passed on test</t>
        </is>
      </c>
      <c r="K11" s="16" t="inlineStr">
        <is>
          <t>Passed on test</t>
        </is>
      </c>
      <c r="L11" s="16" t="inlineStr">
        <is>
          <t>Passed on test</t>
        </is>
      </c>
      <c r="M11" s="16" t="inlineStr">
        <is>
          <t>Passed on test</t>
        </is>
      </c>
      <c r="N11" s="13" t="inlineStr">
        <is>
          <t>NOT_TESTED</t>
        </is>
      </c>
      <c r="O11" s="13" t="inlineStr">
        <is>
          <t>NOT_TESTED</t>
        </is>
      </c>
      <c r="P11" s="13" t="inlineStr">
        <is>
          <t>NOT_TESTED</t>
        </is>
      </c>
      <c r="Q11" s="13" t="inlineStr">
        <is>
          <t>NOT_TESTED</t>
        </is>
      </c>
      <c r="R11" s="13" t="inlineStr">
        <is>
          <t>NOT_TESTED</t>
        </is>
      </c>
      <c r="S11" s="13" t="inlineStr">
        <is>
          <t>NOT_TESTED</t>
        </is>
      </c>
      <c r="T11" s="13" t="inlineStr">
        <is>
          <t>NOT_TESTED</t>
        </is>
      </c>
      <c r="U11" s="13" t="inlineStr">
        <is>
          <t>NOT_TESTED</t>
        </is>
      </c>
      <c r="V11" s="13" t="inlineStr">
        <is>
          <t>NOT_TESTED</t>
        </is>
      </c>
      <c r="W11" s="13" t="inlineStr">
        <is>
          <t>NOT_TESTED</t>
        </is>
      </c>
      <c r="X11" s="13" t="inlineStr">
        <is>
          <t>NOT_TESTED</t>
        </is>
      </c>
      <c r="Y11" s="13" t="inlineStr">
        <is>
          <t>NOT_TESTED</t>
        </is>
      </c>
      <c r="Z11" s="13" t="inlineStr">
        <is>
          <t>NOT_TESTED</t>
        </is>
      </c>
      <c r="AA11" s="13" t="inlineStr">
        <is>
          <t>NOT_TESTED</t>
        </is>
      </c>
      <c r="AB11" s="13" t="inlineStr">
        <is>
          <t>NOT_TESTED</t>
        </is>
      </c>
    </row>
    <row r="12">
      <c r="A12" s="2" t="inlineStr">
        <is>
          <t>issue_157</t>
        </is>
      </c>
      <c r="B12" s="14" t="inlineStr">
        <is>
          <t>Runtime error</t>
        </is>
      </c>
      <c r="C12" s="14" t="inlineStr">
        <is>
          <t>Runtime error</t>
        </is>
      </c>
      <c r="D12" s="14" t="inlineStr">
        <is>
          <t>Runtime error</t>
        </is>
      </c>
      <c r="E12" s="14" t="inlineStr">
        <is>
          <t>Runtime error</t>
        </is>
      </c>
      <c r="F12" s="16" t="inlineStr">
        <is>
          <t>Passed on test</t>
        </is>
      </c>
      <c r="G12" s="16" t="inlineStr">
        <is>
          <t>Passed on test</t>
        </is>
      </c>
      <c r="H12" s="16" t="inlineStr">
        <is>
          <t>Passed on test</t>
        </is>
      </c>
      <c r="I12" s="16" t="inlineStr">
        <is>
          <t>Passed on test</t>
        </is>
      </c>
      <c r="J12" s="16" t="inlineStr">
        <is>
          <t>Passed on test</t>
        </is>
      </c>
      <c r="K12" s="16" t="inlineStr">
        <is>
          <t>Passed on test</t>
        </is>
      </c>
      <c r="L12" s="16" t="inlineStr">
        <is>
          <t>Passed on test</t>
        </is>
      </c>
      <c r="M12" s="16" t="inlineStr">
        <is>
          <t>Passed on test</t>
        </is>
      </c>
      <c r="N12" s="13" t="inlineStr">
        <is>
          <t>NOT_TESTED</t>
        </is>
      </c>
      <c r="O12" s="13" t="inlineStr">
        <is>
          <t>NOT_TESTED</t>
        </is>
      </c>
      <c r="P12" s="13" t="inlineStr">
        <is>
          <t>NOT_TESTED</t>
        </is>
      </c>
      <c r="Q12" s="13" t="inlineStr">
        <is>
          <t>NOT_TESTED</t>
        </is>
      </c>
      <c r="R12" s="13" t="inlineStr">
        <is>
          <t>NOT_TESTED</t>
        </is>
      </c>
      <c r="S12" s="13" t="inlineStr">
        <is>
          <t>NOT_TESTED</t>
        </is>
      </c>
      <c r="T12" s="13" t="inlineStr">
        <is>
          <t>NOT_TESTED</t>
        </is>
      </c>
      <c r="U12" s="13" t="inlineStr">
        <is>
          <t>NOT_TESTED</t>
        </is>
      </c>
      <c r="V12" s="13" t="inlineStr">
        <is>
          <t>NOT_TESTED</t>
        </is>
      </c>
      <c r="W12" s="13" t="inlineStr">
        <is>
          <t>NOT_TESTED</t>
        </is>
      </c>
      <c r="X12" s="13" t="inlineStr">
        <is>
          <t>NOT_TESTED</t>
        </is>
      </c>
      <c r="Y12" s="13" t="inlineStr">
        <is>
          <t>NOT_TESTED</t>
        </is>
      </c>
      <c r="Z12" s="13" t="inlineStr">
        <is>
          <t>NOT_TESTED</t>
        </is>
      </c>
      <c r="AA12" s="13" t="inlineStr">
        <is>
          <t>NOT_TESTED</t>
        </is>
      </c>
      <c r="AB12" s="13" t="inlineStr">
        <is>
          <t>NOT_TESTED</t>
        </is>
      </c>
    </row>
    <row r="13">
      <c r="A13" s="2" t="inlineStr">
        <is>
          <t>issue_174</t>
        </is>
      </c>
      <c r="B13" s="16" t="inlineStr">
        <is>
          <t>Passed on test</t>
        </is>
      </c>
      <c r="C13" s="16" t="inlineStr">
        <is>
          <t>Passed on test</t>
        </is>
      </c>
      <c r="D13" s="16" t="inlineStr">
        <is>
          <t>Passed on test</t>
        </is>
      </c>
      <c r="E13" s="16" t="inlineStr">
        <is>
          <t>Passed on test</t>
        </is>
      </c>
      <c r="F13" s="16" t="inlineStr">
        <is>
          <t>Passed on test</t>
        </is>
      </c>
      <c r="G13" s="16" t="inlineStr">
        <is>
          <t>Passed on test</t>
        </is>
      </c>
      <c r="H13" s="16" t="inlineStr">
        <is>
          <t>Passed on test</t>
        </is>
      </c>
      <c r="I13" s="16" t="inlineStr">
        <is>
          <t>Passed on test</t>
        </is>
      </c>
      <c r="J13" s="16" t="inlineStr">
        <is>
          <t>Passed on test</t>
        </is>
      </c>
      <c r="K13" s="16" t="inlineStr">
        <is>
          <t>Passed on test</t>
        </is>
      </c>
      <c r="L13" s="16" t="inlineStr">
        <is>
          <t>Passed on test</t>
        </is>
      </c>
      <c r="M13" s="16" t="inlineStr">
        <is>
          <t>Passed on test</t>
        </is>
      </c>
      <c r="N13" s="13" t="inlineStr">
        <is>
          <t>NOT_TESTED</t>
        </is>
      </c>
      <c r="O13" s="13" t="inlineStr">
        <is>
          <t>NOT_TESTED</t>
        </is>
      </c>
      <c r="P13" s="13" t="inlineStr">
        <is>
          <t>NOT_TESTED</t>
        </is>
      </c>
      <c r="Q13" s="13" t="inlineStr">
        <is>
          <t>NOT_TESTED</t>
        </is>
      </c>
      <c r="R13" s="13" t="inlineStr">
        <is>
          <t>NOT_TESTED</t>
        </is>
      </c>
      <c r="S13" s="13" t="inlineStr">
        <is>
          <t>NOT_TESTED</t>
        </is>
      </c>
      <c r="T13" s="13" t="inlineStr">
        <is>
          <t>NOT_TESTED</t>
        </is>
      </c>
      <c r="U13" s="13" t="inlineStr">
        <is>
          <t>NOT_TESTED</t>
        </is>
      </c>
      <c r="V13" s="13" t="inlineStr">
        <is>
          <t>NOT_TESTED</t>
        </is>
      </c>
      <c r="W13" s="13" t="inlineStr">
        <is>
          <t>NOT_TESTED</t>
        </is>
      </c>
      <c r="X13" s="13" t="inlineStr">
        <is>
          <t>NOT_TESTED</t>
        </is>
      </c>
      <c r="Y13" s="13" t="inlineStr">
        <is>
          <t>NOT_TESTED</t>
        </is>
      </c>
      <c r="Z13" s="13" t="inlineStr">
        <is>
          <t>NOT_TESTED</t>
        </is>
      </c>
      <c r="AA13" s="13" t="inlineStr">
        <is>
          <t>NOT_TESTED</t>
        </is>
      </c>
      <c r="AB13" s="13" t="inlineStr">
        <is>
          <t>NOT_TESTED</t>
        </is>
      </c>
    </row>
    <row r="14">
      <c r="A14" s="2" t="inlineStr">
        <is>
          <t>issue_189</t>
        </is>
      </c>
      <c r="B14" s="13" t="inlineStr">
        <is>
          <t>NOT_TESTED</t>
        </is>
      </c>
      <c r="C14" s="13" t="inlineStr">
        <is>
          <t>NOT_TESTED</t>
        </is>
      </c>
      <c r="D14" s="13" t="inlineStr">
        <is>
          <t>NOT_TESTED</t>
        </is>
      </c>
      <c r="E14" s="13" t="inlineStr">
        <is>
          <t>NOT_TESTED</t>
        </is>
      </c>
      <c r="F14" s="16" t="inlineStr">
        <is>
          <t>Failed on test</t>
        </is>
      </c>
      <c r="G14" s="16" t="inlineStr">
        <is>
          <t>Failed on test</t>
        </is>
      </c>
      <c r="H14" s="16" t="inlineStr">
        <is>
          <t>Failed on test</t>
        </is>
      </c>
      <c r="I14" s="16" t="inlineStr">
        <is>
          <t>Failed on test</t>
        </is>
      </c>
      <c r="J14" s="16" t="inlineStr">
        <is>
          <t>Failed on test</t>
        </is>
      </c>
      <c r="K14" s="16" t="inlineStr">
        <is>
          <t>Failed on test</t>
        </is>
      </c>
      <c r="L14" s="16" t="inlineStr">
        <is>
          <t>Failed on test</t>
        </is>
      </c>
      <c r="M14" s="16" t="inlineStr">
        <is>
          <t>Failed on test</t>
        </is>
      </c>
      <c r="N14" s="16" t="inlineStr">
        <is>
          <t>Failed on test</t>
        </is>
      </c>
      <c r="O14" s="16" t="inlineStr">
        <is>
          <t>Failed on test</t>
        </is>
      </c>
      <c r="P14" s="16" t="inlineStr">
        <is>
          <t>Failed on test</t>
        </is>
      </c>
      <c r="Q14" s="16" t="inlineStr">
        <is>
          <t>Failed on test</t>
        </is>
      </c>
      <c r="R14" s="16" t="inlineStr">
        <is>
          <t>Failed on test</t>
        </is>
      </c>
      <c r="S14" s="16" t="inlineStr">
        <is>
          <t>Failed on test</t>
        </is>
      </c>
      <c r="T14" s="16" t="inlineStr">
        <is>
          <t>Failed on test</t>
        </is>
      </c>
      <c r="U14" s="16" t="inlineStr">
        <is>
          <t>Failed on test</t>
        </is>
      </c>
      <c r="V14" s="16" t="inlineStr">
        <is>
          <t>Failed on test</t>
        </is>
      </c>
      <c r="W14" s="16" t="inlineStr">
        <is>
          <t>Failed on test</t>
        </is>
      </c>
      <c r="X14" s="16" t="inlineStr">
        <is>
          <t>Failed on test</t>
        </is>
      </c>
      <c r="Y14" s="16" t="inlineStr">
        <is>
          <t>Failed on test</t>
        </is>
      </c>
      <c r="Z14" s="16" t="inlineStr">
        <is>
          <t>Failed on test</t>
        </is>
      </c>
      <c r="AA14" s="16" t="inlineStr">
        <is>
          <t>Failed on test</t>
        </is>
      </c>
      <c r="AB14" s="16" t="inlineStr">
        <is>
          <t>Failed on test</t>
        </is>
      </c>
    </row>
    <row r="15">
      <c r="A15" s="2" t="inlineStr">
        <is>
          <t>issue_225</t>
        </is>
      </c>
      <c r="B15" s="13" t="inlineStr">
        <is>
          <t>NOT_TESTED</t>
        </is>
      </c>
      <c r="C15" s="13" t="inlineStr">
        <is>
          <t>NOT_TESTED</t>
        </is>
      </c>
      <c r="D15" s="13" t="inlineStr">
        <is>
          <t>NOT_TESTED</t>
        </is>
      </c>
      <c r="E15" s="13" t="inlineStr">
        <is>
          <t>NOT_TESTED</t>
        </is>
      </c>
      <c r="F15" s="16" t="inlineStr">
        <is>
          <t>Passed on test</t>
        </is>
      </c>
      <c r="G15" s="16" t="inlineStr">
        <is>
          <t>Passed on test</t>
        </is>
      </c>
      <c r="H15" s="16" t="inlineStr">
        <is>
          <t>Passed on test</t>
        </is>
      </c>
      <c r="I15" s="16" t="inlineStr">
        <is>
          <t>Passed on test</t>
        </is>
      </c>
      <c r="J15" s="16" t="inlineStr">
        <is>
          <t>Passed on test</t>
        </is>
      </c>
      <c r="K15" s="16" t="inlineStr">
        <is>
          <t>Passed on test</t>
        </is>
      </c>
      <c r="L15" s="16" t="inlineStr">
        <is>
          <t>Passed on test</t>
        </is>
      </c>
      <c r="M15" s="16" t="inlineStr">
        <is>
          <t>Passed on test</t>
        </is>
      </c>
      <c r="N15" s="13" t="inlineStr">
        <is>
          <t>NOT_TESTED</t>
        </is>
      </c>
      <c r="O15" s="13" t="inlineStr">
        <is>
          <t>NOT_TESTED</t>
        </is>
      </c>
      <c r="P15" s="13" t="inlineStr">
        <is>
          <t>NOT_TESTED</t>
        </is>
      </c>
      <c r="Q15" s="13" t="inlineStr">
        <is>
          <t>NOT_TESTED</t>
        </is>
      </c>
      <c r="R15" s="13" t="inlineStr">
        <is>
          <t>NOT_TESTED</t>
        </is>
      </c>
      <c r="S15" s="13" t="inlineStr">
        <is>
          <t>NOT_TESTED</t>
        </is>
      </c>
      <c r="T15" s="13" t="inlineStr">
        <is>
          <t>NOT_TESTED</t>
        </is>
      </c>
      <c r="U15" s="13" t="inlineStr">
        <is>
          <t>NOT_TESTED</t>
        </is>
      </c>
      <c r="V15" s="13" t="inlineStr">
        <is>
          <t>NOT_TESTED</t>
        </is>
      </c>
      <c r="W15" s="13" t="inlineStr">
        <is>
          <t>NOT_TESTED</t>
        </is>
      </c>
      <c r="X15" s="13" t="inlineStr">
        <is>
          <t>NOT_TESTED</t>
        </is>
      </c>
      <c r="Y15" s="13" t="inlineStr">
        <is>
          <t>NOT_TESTED</t>
        </is>
      </c>
      <c r="Z15" s="13" t="inlineStr">
        <is>
          <t>NOT_TESTED</t>
        </is>
      </c>
      <c r="AA15" s="13" t="inlineStr">
        <is>
          <t>NOT_TESTED</t>
        </is>
      </c>
      <c r="AB15" s="13" t="inlineStr">
        <is>
          <t>NOT_TESTED</t>
        </is>
      </c>
    </row>
    <row r="16">
      <c r="A16" s="2" t="inlineStr">
        <is>
          <t>issue_233</t>
        </is>
      </c>
      <c r="B16" s="16" t="inlineStr">
        <is>
          <t>Passed on test</t>
        </is>
      </c>
      <c r="C16" s="16" t="inlineStr">
        <is>
          <t>Passed on test</t>
        </is>
      </c>
      <c r="D16" s="16" t="inlineStr">
        <is>
          <t>Passed on test</t>
        </is>
      </c>
      <c r="E16" s="16" t="inlineStr">
        <is>
          <t>Passed on test</t>
        </is>
      </c>
      <c r="F16" s="16" t="inlineStr">
        <is>
          <t>Passed on test</t>
        </is>
      </c>
      <c r="G16" s="16" t="inlineStr">
        <is>
          <t>Passed on test</t>
        </is>
      </c>
      <c r="H16" s="16" t="inlineStr">
        <is>
          <t>Passed on test</t>
        </is>
      </c>
      <c r="I16" s="16" t="inlineStr">
        <is>
          <t>Passed on test</t>
        </is>
      </c>
      <c r="J16" s="16" t="inlineStr">
        <is>
          <t>Passed on test</t>
        </is>
      </c>
      <c r="K16" s="16" t="inlineStr">
        <is>
          <t>Passed on test</t>
        </is>
      </c>
      <c r="L16" s="16" t="inlineStr">
        <is>
          <t>Passed on test</t>
        </is>
      </c>
      <c r="M16" s="16" t="inlineStr">
        <is>
          <t>Passed on test</t>
        </is>
      </c>
      <c r="N16" s="16" t="inlineStr">
        <is>
          <t>Passed on test</t>
        </is>
      </c>
      <c r="O16" s="16" t="inlineStr">
        <is>
          <t>Passed on test</t>
        </is>
      </c>
      <c r="P16" s="16" t="inlineStr">
        <is>
          <t>Passed on test</t>
        </is>
      </c>
      <c r="Q16" s="16" t="inlineStr">
        <is>
          <t>Passed on test</t>
        </is>
      </c>
      <c r="R16" s="16" t="inlineStr">
        <is>
          <t>Passed on test</t>
        </is>
      </c>
      <c r="S16" s="16" t="inlineStr">
        <is>
          <t>Passed on test</t>
        </is>
      </c>
      <c r="T16" s="16" t="inlineStr">
        <is>
          <t>Passed on test</t>
        </is>
      </c>
      <c r="U16" s="16" t="inlineStr">
        <is>
          <t>Passed on test</t>
        </is>
      </c>
      <c r="V16" s="16" t="inlineStr">
        <is>
          <t>Passed on test</t>
        </is>
      </c>
      <c r="W16" s="16" t="inlineStr">
        <is>
          <t>Passed on test</t>
        </is>
      </c>
      <c r="X16" s="16" t="inlineStr">
        <is>
          <t>Passed on test</t>
        </is>
      </c>
      <c r="Y16" s="16" t="inlineStr">
        <is>
          <t>Passed on test</t>
        </is>
      </c>
      <c r="Z16" s="16" t="inlineStr">
        <is>
          <t>Passed on test</t>
        </is>
      </c>
      <c r="AA16" s="16" t="inlineStr">
        <is>
          <t>Passed on test</t>
        </is>
      </c>
      <c r="AB16" s="16" t="inlineStr">
        <is>
          <t>Passed on test</t>
        </is>
      </c>
    </row>
    <row r="17">
      <c r="A17" s="2" t="inlineStr">
        <is>
          <t>issue_261</t>
        </is>
      </c>
      <c r="B17" s="16" t="inlineStr">
        <is>
          <t>Passed on test</t>
        </is>
      </c>
      <c r="C17" s="16" t="inlineStr">
        <is>
          <t>Passed on test</t>
        </is>
      </c>
      <c r="D17" s="16" t="inlineStr">
        <is>
          <t>Passed on test</t>
        </is>
      </c>
      <c r="E17" s="16" t="inlineStr">
        <is>
          <t>Passed on test</t>
        </is>
      </c>
      <c r="F17" s="16" t="inlineStr">
        <is>
          <t>Passed on test</t>
        </is>
      </c>
      <c r="G17" s="16" t="inlineStr">
        <is>
          <t>Passed on test</t>
        </is>
      </c>
      <c r="H17" s="16" t="inlineStr">
        <is>
          <t>Passed on test</t>
        </is>
      </c>
      <c r="I17" s="16" t="inlineStr">
        <is>
          <t>Passed on test</t>
        </is>
      </c>
      <c r="J17" s="16" t="inlineStr">
        <is>
          <t>Passed on test</t>
        </is>
      </c>
      <c r="K17" s="16" t="inlineStr">
        <is>
          <t>Passed on test</t>
        </is>
      </c>
      <c r="L17" s="16" t="inlineStr">
        <is>
          <t>Passed on test</t>
        </is>
      </c>
      <c r="M17" s="16" t="inlineStr">
        <is>
          <t>Passed on test</t>
        </is>
      </c>
      <c r="N17" s="13" t="inlineStr">
        <is>
          <t>NOT_TESTED</t>
        </is>
      </c>
      <c r="O17" s="13" t="inlineStr">
        <is>
          <t>NOT_TESTED</t>
        </is>
      </c>
      <c r="P17" s="13" t="inlineStr">
        <is>
          <t>NOT_TESTED</t>
        </is>
      </c>
      <c r="Q17" s="13" t="inlineStr">
        <is>
          <t>NOT_TESTED</t>
        </is>
      </c>
      <c r="R17" s="13" t="inlineStr">
        <is>
          <t>NOT_TESTED</t>
        </is>
      </c>
      <c r="S17" s="13" t="inlineStr">
        <is>
          <t>NOT_TESTED</t>
        </is>
      </c>
      <c r="T17" s="13" t="inlineStr">
        <is>
          <t>NOT_TESTED</t>
        </is>
      </c>
      <c r="U17" s="13" t="inlineStr">
        <is>
          <t>NOT_TESTED</t>
        </is>
      </c>
      <c r="V17" s="13" t="inlineStr">
        <is>
          <t>NOT_TESTED</t>
        </is>
      </c>
      <c r="W17" s="13" t="inlineStr">
        <is>
          <t>NOT_TESTED</t>
        </is>
      </c>
      <c r="X17" s="13" t="inlineStr">
        <is>
          <t>NOT_TESTED</t>
        </is>
      </c>
      <c r="Y17" s="13" t="inlineStr">
        <is>
          <t>NOT_TESTED</t>
        </is>
      </c>
      <c r="Z17" s="13" t="inlineStr">
        <is>
          <t>NOT_TESTED</t>
        </is>
      </c>
      <c r="AA17" s="13" t="inlineStr">
        <is>
          <t>NOT_TESTED</t>
        </is>
      </c>
      <c r="AB17" s="13" t="inlineStr">
        <is>
          <t>NOT_TESTED</t>
        </is>
      </c>
    </row>
    <row r="18">
      <c r="A18" s="2" t="inlineStr">
        <is>
          <t>issue_280</t>
        </is>
      </c>
      <c r="B18" s="16" t="inlineStr">
        <is>
          <t>Passed on test</t>
        </is>
      </c>
      <c r="C18" s="16" t="inlineStr">
        <is>
          <t>Passed on test</t>
        </is>
      </c>
      <c r="D18" s="16" t="inlineStr">
        <is>
          <t>Passed on test</t>
        </is>
      </c>
      <c r="E18" s="16" t="inlineStr">
        <is>
          <t>Passed on test</t>
        </is>
      </c>
      <c r="F18" s="16" t="inlineStr">
        <is>
          <t>Passed on test</t>
        </is>
      </c>
      <c r="G18" s="16" t="inlineStr">
        <is>
          <t>Passed on test</t>
        </is>
      </c>
      <c r="H18" s="16" t="inlineStr">
        <is>
          <t>Passed on test</t>
        </is>
      </c>
      <c r="I18" s="16" t="inlineStr">
        <is>
          <t>Passed on test</t>
        </is>
      </c>
      <c r="J18" s="16" t="inlineStr">
        <is>
          <t>Passed on test</t>
        </is>
      </c>
      <c r="K18" s="16" t="inlineStr">
        <is>
          <t>Passed on test</t>
        </is>
      </c>
      <c r="L18" s="16" t="inlineStr">
        <is>
          <t>Passed on test</t>
        </is>
      </c>
      <c r="M18" s="16" t="inlineStr">
        <is>
          <t>Passed on test</t>
        </is>
      </c>
      <c r="N18" s="13" t="inlineStr">
        <is>
          <t>NOT_TESTED</t>
        </is>
      </c>
      <c r="O18" s="13" t="inlineStr">
        <is>
          <t>NOT_TESTED</t>
        </is>
      </c>
      <c r="P18" s="13" t="inlineStr">
        <is>
          <t>NOT_TESTED</t>
        </is>
      </c>
      <c r="Q18" s="13" t="inlineStr">
        <is>
          <t>NOT_TESTED</t>
        </is>
      </c>
      <c r="R18" s="13" t="inlineStr">
        <is>
          <t>NOT_TESTED</t>
        </is>
      </c>
      <c r="S18" s="13" t="inlineStr">
        <is>
          <t>NOT_TESTED</t>
        </is>
      </c>
      <c r="T18" s="13" t="inlineStr">
        <is>
          <t>NOT_TESTED</t>
        </is>
      </c>
      <c r="U18" s="13" t="inlineStr">
        <is>
          <t>NOT_TESTED</t>
        </is>
      </c>
      <c r="V18" s="13" t="inlineStr">
        <is>
          <t>NOT_TESTED</t>
        </is>
      </c>
      <c r="W18" s="13" t="inlineStr">
        <is>
          <t>NOT_TESTED</t>
        </is>
      </c>
      <c r="X18" s="13" t="inlineStr">
        <is>
          <t>NOT_TESTED</t>
        </is>
      </c>
      <c r="Y18" s="13" t="inlineStr">
        <is>
          <t>NOT_TESTED</t>
        </is>
      </c>
      <c r="Z18" s="13" t="inlineStr">
        <is>
          <t>NOT_TESTED</t>
        </is>
      </c>
      <c r="AA18" s="13" t="inlineStr">
        <is>
          <t>NOT_TESTED</t>
        </is>
      </c>
      <c r="AB18" s="13" t="inlineStr">
        <is>
          <t>NOT_TESTED</t>
        </is>
      </c>
    </row>
    <row r="19">
      <c r="A19" s="2" t="inlineStr">
        <is>
          <t>issue_295</t>
        </is>
      </c>
      <c r="B19" s="13" t="inlineStr">
        <is>
          <t>NOT_TESTED</t>
        </is>
      </c>
      <c r="C19" s="13" t="inlineStr">
        <is>
          <t>NOT_TESTED</t>
        </is>
      </c>
      <c r="D19" s="13" t="inlineStr">
        <is>
          <t>NOT_TESTED</t>
        </is>
      </c>
      <c r="E19" s="13" t="inlineStr">
        <is>
          <t>NOT_TESTED</t>
        </is>
      </c>
      <c r="F19" s="16" t="inlineStr">
        <is>
          <t>Passed on test</t>
        </is>
      </c>
      <c r="G19" s="16" t="inlineStr">
        <is>
          <t>Passed on test</t>
        </is>
      </c>
      <c r="H19" s="16" t="inlineStr">
        <is>
          <t>Passed on test</t>
        </is>
      </c>
      <c r="I19" s="16" t="inlineStr">
        <is>
          <t>Passed on test</t>
        </is>
      </c>
      <c r="J19" s="16" t="inlineStr">
        <is>
          <t>Passed on test</t>
        </is>
      </c>
      <c r="K19" s="16" t="inlineStr">
        <is>
          <t>Passed on test</t>
        </is>
      </c>
      <c r="L19" s="16" t="inlineStr">
        <is>
          <t>Passed on test</t>
        </is>
      </c>
      <c r="M19" s="16" t="inlineStr">
        <is>
          <t>Passed on test</t>
        </is>
      </c>
      <c r="N19" s="13" t="inlineStr">
        <is>
          <t>NOT_TESTED</t>
        </is>
      </c>
      <c r="O19" s="13" t="inlineStr">
        <is>
          <t>NOT_TESTED</t>
        </is>
      </c>
      <c r="P19" s="13" t="inlineStr">
        <is>
          <t>NOT_TESTED</t>
        </is>
      </c>
      <c r="Q19" s="13" t="inlineStr">
        <is>
          <t>NOT_TESTED</t>
        </is>
      </c>
      <c r="R19" s="13" t="inlineStr">
        <is>
          <t>NOT_TESTED</t>
        </is>
      </c>
      <c r="S19" s="13" t="inlineStr">
        <is>
          <t>NOT_TESTED</t>
        </is>
      </c>
      <c r="T19" s="13" t="inlineStr">
        <is>
          <t>NOT_TESTED</t>
        </is>
      </c>
      <c r="U19" s="13" t="inlineStr">
        <is>
          <t>NOT_TESTED</t>
        </is>
      </c>
      <c r="V19" s="13" t="inlineStr">
        <is>
          <t>NOT_TESTED</t>
        </is>
      </c>
      <c r="W19" s="13" t="inlineStr">
        <is>
          <t>NOT_TESTED</t>
        </is>
      </c>
      <c r="X19" s="13" t="inlineStr">
        <is>
          <t>NOT_TESTED</t>
        </is>
      </c>
      <c r="Y19" s="13" t="inlineStr">
        <is>
          <t>NOT_TESTED</t>
        </is>
      </c>
      <c r="Z19" s="13" t="inlineStr">
        <is>
          <t>NOT_TESTED</t>
        </is>
      </c>
      <c r="AA19" s="13" t="inlineStr">
        <is>
          <t>NOT_TESTED</t>
        </is>
      </c>
      <c r="AB19" s="13" t="inlineStr">
        <is>
          <t>NOT_TESTED</t>
        </is>
      </c>
    </row>
    <row r="20">
      <c r="A20" s="2" t="inlineStr">
        <is>
          <t>issue_315</t>
        </is>
      </c>
      <c r="B20" s="13" t="inlineStr">
        <is>
          <t>NOT_TESTED</t>
        </is>
      </c>
      <c r="C20" s="13" t="inlineStr">
        <is>
          <t>NOT_TESTED</t>
        </is>
      </c>
      <c r="D20" s="13" t="inlineStr">
        <is>
          <t>NOT_TESTED</t>
        </is>
      </c>
      <c r="E20" s="13" t="inlineStr">
        <is>
          <t>NOT_TESTED</t>
        </is>
      </c>
      <c r="F20" s="14" t="inlineStr">
        <is>
          <t>Runtime error</t>
        </is>
      </c>
      <c r="G20" s="14" t="inlineStr">
        <is>
          <t>Runtime error</t>
        </is>
      </c>
      <c r="H20" s="14" t="inlineStr">
        <is>
          <t>Runtime error</t>
        </is>
      </c>
      <c r="I20" s="14" t="inlineStr">
        <is>
          <t>Runtime error</t>
        </is>
      </c>
      <c r="J20" s="14" t="inlineStr">
        <is>
          <t>Runtime error</t>
        </is>
      </c>
      <c r="K20" s="14" t="inlineStr">
        <is>
          <t>Runtime error</t>
        </is>
      </c>
      <c r="L20" s="14" t="inlineStr">
        <is>
          <t>Runtime error</t>
        </is>
      </c>
      <c r="M20" s="14" t="inlineStr">
        <is>
          <t>Runtime error</t>
        </is>
      </c>
      <c r="N20" s="14" t="inlineStr">
        <is>
          <t>Runtime error</t>
        </is>
      </c>
      <c r="O20" s="14" t="inlineStr">
        <is>
          <t>Runtime error</t>
        </is>
      </c>
      <c r="P20" s="14" t="inlineStr">
        <is>
          <t>Runtime error</t>
        </is>
      </c>
      <c r="Q20" s="14" t="inlineStr">
        <is>
          <t>Runtime error</t>
        </is>
      </c>
      <c r="R20" s="14" t="inlineStr">
        <is>
          <t>Runtime error</t>
        </is>
      </c>
      <c r="S20" s="14" t="inlineStr">
        <is>
          <t>Runtime error</t>
        </is>
      </c>
      <c r="T20" s="14" t="inlineStr">
        <is>
          <t>Runtime error</t>
        </is>
      </c>
      <c r="U20" s="14" t="inlineStr">
        <is>
          <t>Runtime error</t>
        </is>
      </c>
      <c r="V20" s="14" t="inlineStr">
        <is>
          <t>Runtime error</t>
        </is>
      </c>
      <c r="W20" s="14" t="inlineStr">
        <is>
          <t>Runtime error</t>
        </is>
      </c>
      <c r="X20" s="14" t="inlineStr">
        <is>
          <t>Runtime error</t>
        </is>
      </c>
      <c r="Y20" s="14" t="inlineStr">
        <is>
          <t>Runtime error</t>
        </is>
      </c>
      <c r="Z20" s="14" t="inlineStr">
        <is>
          <t>Runtime error</t>
        </is>
      </c>
      <c r="AA20" s="14" t="inlineStr">
        <is>
          <t>Runtime error</t>
        </is>
      </c>
      <c r="AB20" s="14" t="inlineStr">
        <is>
          <t>Runtime error</t>
        </is>
      </c>
    </row>
    <row r="21">
      <c r="A21" s="2" t="inlineStr">
        <is>
          <t>issue_344</t>
        </is>
      </c>
      <c r="B21" s="16" t="inlineStr">
        <is>
          <t>Passed on test</t>
        </is>
      </c>
      <c r="C21" s="16" t="inlineStr">
        <is>
          <t>Passed on test</t>
        </is>
      </c>
      <c r="D21" s="16" t="inlineStr">
        <is>
          <t>Passed on test</t>
        </is>
      </c>
      <c r="E21" s="16" t="inlineStr">
        <is>
          <t>Passed on test</t>
        </is>
      </c>
      <c r="F21" s="16" t="inlineStr">
        <is>
          <t>Passed on test</t>
        </is>
      </c>
      <c r="G21" s="16" t="inlineStr">
        <is>
          <t>Passed on test</t>
        </is>
      </c>
      <c r="H21" s="16" t="inlineStr">
        <is>
          <t>Passed on test</t>
        </is>
      </c>
      <c r="I21" s="16" t="inlineStr">
        <is>
          <t>Passed on test</t>
        </is>
      </c>
      <c r="J21" s="16" t="inlineStr">
        <is>
          <t>Passed on test</t>
        </is>
      </c>
      <c r="K21" s="16" t="inlineStr">
        <is>
          <t>Passed on test</t>
        </is>
      </c>
      <c r="L21" s="16" t="inlineStr">
        <is>
          <t>Passed on test</t>
        </is>
      </c>
      <c r="M21" s="16" t="inlineStr">
        <is>
          <t>Passed on test</t>
        </is>
      </c>
      <c r="N21" s="13" t="inlineStr">
        <is>
          <t>NOT_TESTED</t>
        </is>
      </c>
      <c r="O21" s="13" t="inlineStr">
        <is>
          <t>NOT_TESTED</t>
        </is>
      </c>
      <c r="P21" s="13" t="inlineStr">
        <is>
          <t>NOT_TESTED</t>
        </is>
      </c>
      <c r="Q21" s="13" t="inlineStr">
        <is>
          <t>NOT_TESTED</t>
        </is>
      </c>
      <c r="R21" s="13" t="inlineStr">
        <is>
          <t>NOT_TESTED</t>
        </is>
      </c>
      <c r="S21" s="13" t="inlineStr">
        <is>
          <t>NOT_TESTED</t>
        </is>
      </c>
      <c r="T21" s="13" t="inlineStr">
        <is>
          <t>NOT_TESTED</t>
        </is>
      </c>
      <c r="U21" s="13" t="inlineStr">
        <is>
          <t>NOT_TESTED</t>
        </is>
      </c>
      <c r="V21" s="13" t="inlineStr">
        <is>
          <t>NOT_TESTED</t>
        </is>
      </c>
      <c r="W21" s="13" t="inlineStr">
        <is>
          <t>NOT_TESTED</t>
        </is>
      </c>
      <c r="X21" s="13" t="inlineStr">
        <is>
          <t>NOT_TESTED</t>
        </is>
      </c>
      <c r="Y21" s="13" t="inlineStr">
        <is>
          <t>NOT_TESTED</t>
        </is>
      </c>
      <c r="Z21" s="13" t="inlineStr">
        <is>
          <t>NOT_TESTED</t>
        </is>
      </c>
      <c r="AA21" s="13" t="inlineStr">
        <is>
          <t>NOT_TESTED</t>
        </is>
      </c>
      <c r="AB21" s="13" t="inlineStr">
        <is>
          <t>NOT_TESTED</t>
        </is>
      </c>
    </row>
    <row r="22">
      <c r="A22" s="2" t="inlineStr">
        <is>
          <t>issue_362</t>
        </is>
      </c>
      <c r="B22" s="13" t="inlineStr">
        <is>
          <t>NOT_TESTED</t>
        </is>
      </c>
      <c r="C22" s="13" t="inlineStr">
        <is>
          <t>NOT_TESTED</t>
        </is>
      </c>
      <c r="D22" s="13" t="inlineStr">
        <is>
          <t>NOT_TESTED</t>
        </is>
      </c>
      <c r="E22" s="13" t="inlineStr">
        <is>
          <t>NOT_TESTED</t>
        </is>
      </c>
      <c r="F22" s="16" t="inlineStr">
        <is>
          <t>Passed on test</t>
        </is>
      </c>
      <c r="G22" s="16" t="inlineStr">
        <is>
          <t>Passed on test</t>
        </is>
      </c>
      <c r="H22" s="16" t="inlineStr">
        <is>
          <t>Passed on test</t>
        </is>
      </c>
      <c r="I22" s="16" t="inlineStr">
        <is>
          <t>Passed on test</t>
        </is>
      </c>
      <c r="J22" s="16" t="inlineStr">
        <is>
          <t>Passed on test</t>
        </is>
      </c>
      <c r="K22" s="16" t="inlineStr">
        <is>
          <t>Passed on test</t>
        </is>
      </c>
      <c r="L22" s="16" t="inlineStr">
        <is>
          <t>Passed on test</t>
        </is>
      </c>
      <c r="M22" s="16" t="inlineStr">
        <is>
          <t>Passed on test</t>
        </is>
      </c>
      <c r="N22" s="16" t="inlineStr">
        <is>
          <t>Passed on test</t>
        </is>
      </c>
      <c r="O22" s="16" t="inlineStr">
        <is>
          <t>Passed on test</t>
        </is>
      </c>
      <c r="P22" s="16" t="inlineStr">
        <is>
          <t>Passed on test</t>
        </is>
      </c>
      <c r="Q22" s="16" t="inlineStr">
        <is>
          <t>Passed on test</t>
        </is>
      </c>
      <c r="R22" s="16" t="inlineStr">
        <is>
          <t>Passed on test</t>
        </is>
      </c>
      <c r="S22" s="16" t="inlineStr">
        <is>
          <t>Passed on test</t>
        </is>
      </c>
      <c r="T22" s="16" t="inlineStr">
        <is>
          <t>Passed on test</t>
        </is>
      </c>
      <c r="U22" s="16" t="inlineStr">
        <is>
          <t>Passed on test</t>
        </is>
      </c>
      <c r="V22" s="16" t="inlineStr">
        <is>
          <t>Passed on test</t>
        </is>
      </c>
      <c r="W22" s="16" t="inlineStr">
        <is>
          <t>Passed on test</t>
        </is>
      </c>
      <c r="X22" s="16" t="inlineStr">
        <is>
          <t>Passed on test</t>
        </is>
      </c>
      <c r="Y22" s="16" t="inlineStr">
        <is>
          <t>Passed on test</t>
        </is>
      </c>
      <c r="Z22" s="16" t="inlineStr">
        <is>
          <t>Passed on test</t>
        </is>
      </c>
      <c r="AA22" s="16" t="inlineStr">
        <is>
          <t>Passed on test</t>
        </is>
      </c>
      <c r="AB22" s="16" t="inlineStr">
        <is>
          <t>Passed on test</t>
        </is>
      </c>
    </row>
    <row r="23">
      <c r="A23" s="2" t="inlineStr">
        <is>
          <t>issue_369</t>
        </is>
      </c>
      <c r="B23" s="16" t="inlineStr">
        <is>
          <t>Passed on test</t>
        </is>
      </c>
      <c r="C23" s="16" t="inlineStr">
        <is>
          <t>Passed on test</t>
        </is>
      </c>
      <c r="D23" s="16" t="inlineStr">
        <is>
          <t>Passed on test</t>
        </is>
      </c>
      <c r="E23" s="16" t="inlineStr">
        <is>
          <t>Passed on test</t>
        </is>
      </c>
      <c r="F23" s="16" t="inlineStr">
        <is>
          <t>Passed on test</t>
        </is>
      </c>
      <c r="G23" s="16" t="inlineStr">
        <is>
          <t>Passed on test</t>
        </is>
      </c>
      <c r="H23" s="16" t="inlineStr">
        <is>
          <t>Passed on test</t>
        </is>
      </c>
      <c r="I23" s="16" t="inlineStr">
        <is>
          <t>Passed on test</t>
        </is>
      </c>
      <c r="J23" s="16" t="inlineStr">
        <is>
          <t>Passed on test</t>
        </is>
      </c>
      <c r="K23" s="16" t="inlineStr">
        <is>
          <t>Passed on test</t>
        </is>
      </c>
      <c r="L23" s="16" t="inlineStr">
        <is>
          <t>Passed on test</t>
        </is>
      </c>
      <c r="M23" s="16" t="inlineStr">
        <is>
          <t>Passed on test</t>
        </is>
      </c>
      <c r="N23" s="16" t="inlineStr">
        <is>
          <t>Passed on test</t>
        </is>
      </c>
      <c r="O23" s="16" t="inlineStr">
        <is>
          <t>Passed on test</t>
        </is>
      </c>
      <c r="P23" s="16" t="inlineStr">
        <is>
          <t>Passed on test</t>
        </is>
      </c>
      <c r="Q23" s="16" t="inlineStr">
        <is>
          <t>Passed on test</t>
        </is>
      </c>
      <c r="R23" s="16" t="inlineStr">
        <is>
          <t>Passed on test</t>
        </is>
      </c>
      <c r="S23" s="16" t="inlineStr">
        <is>
          <t>Passed on test</t>
        </is>
      </c>
      <c r="T23" s="16" t="inlineStr">
        <is>
          <t>Passed on test</t>
        </is>
      </c>
      <c r="U23" s="16" t="inlineStr">
        <is>
          <t>Passed on test</t>
        </is>
      </c>
      <c r="V23" s="16" t="inlineStr">
        <is>
          <t>Passed on test</t>
        </is>
      </c>
      <c r="W23" s="16" t="inlineStr">
        <is>
          <t>Passed on test</t>
        </is>
      </c>
      <c r="X23" s="16" t="inlineStr">
        <is>
          <t>Passed on test</t>
        </is>
      </c>
      <c r="Y23" s="16" t="inlineStr">
        <is>
          <t>Passed on test</t>
        </is>
      </c>
      <c r="Z23" s="16" t="inlineStr">
        <is>
          <t>Passed on test</t>
        </is>
      </c>
      <c r="AA23" s="16" t="inlineStr">
        <is>
          <t>Passed on test</t>
        </is>
      </c>
      <c r="AB23" s="16" t="inlineStr">
        <is>
          <t>Passed on test</t>
        </is>
      </c>
    </row>
    <row r="24">
      <c r="A24" s="2" t="inlineStr">
        <is>
          <t>issue_396</t>
        </is>
      </c>
      <c r="B24" s="15" t="inlineStr">
        <is>
          <t>Failed on test</t>
        </is>
      </c>
      <c r="C24" s="15" t="inlineStr">
        <is>
          <t>Failed on test</t>
        </is>
      </c>
      <c r="D24" s="15" t="inlineStr">
        <is>
          <t>Failed on test</t>
        </is>
      </c>
      <c r="E24" s="15" t="inlineStr">
        <is>
          <t>Failed on test</t>
        </is>
      </c>
      <c r="F24" s="16" t="inlineStr">
        <is>
          <t>Passed on test</t>
        </is>
      </c>
      <c r="G24" s="16" t="inlineStr">
        <is>
          <t>Passed on test</t>
        </is>
      </c>
      <c r="H24" s="16" t="inlineStr">
        <is>
          <t>Passed on test</t>
        </is>
      </c>
      <c r="I24" s="16" t="inlineStr">
        <is>
          <t>Passed on test</t>
        </is>
      </c>
      <c r="J24" s="16" t="inlineStr">
        <is>
          <t>Passed on test</t>
        </is>
      </c>
      <c r="K24" s="16" t="inlineStr">
        <is>
          <t>Passed on test</t>
        </is>
      </c>
      <c r="L24" s="16" t="inlineStr">
        <is>
          <t>Passed on test</t>
        </is>
      </c>
      <c r="M24" s="16" t="inlineStr">
        <is>
          <t>Passed on test</t>
        </is>
      </c>
      <c r="N24" s="16" t="inlineStr">
        <is>
          <t>Passed on test</t>
        </is>
      </c>
      <c r="O24" s="16" t="inlineStr">
        <is>
          <t>Passed on test</t>
        </is>
      </c>
      <c r="P24" s="16" t="inlineStr">
        <is>
          <t>Passed on test</t>
        </is>
      </c>
      <c r="Q24" s="16" t="inlineStr">
        <is>
          <t>Passed on test</t>
        </is>
      </c>
      <c r="R24" s="16" t="inlineStr">
        <is>
          <t>Passed on test</t>
        </is>
      </c>
      <c r="S24" s="16" t="inlineStr">
        <is>
          <t>Passed on test</t>
        </is>
      </c>
      <c r="T24" s="16" t="inlineStr">
        <is>
          <t>Passed on test</t>
        </is>
      </c>
      <c r="U24" s="16" t="inlineStr">
        <is>
          <t>Passed on test</t>
        </is>
      </c>
      <c r="V24" s="16" t="inlineStr">
        <is>
          <t>Passed on test</t>
        </is>
      </c>
      <c r="W24" s="16" t="inlineStr">
        <is>
          <t>Passed on test</t>
        </is>
      </c>
      <c r="X24" s="16" t="inlineStr">
        <is>
          <t>Passed on test</t>
        </is>
      </c>
      <c r="Y24" s="16" t="inlineStr">
        <is>
          <t>Passed on test</t>
        </is>
      </c>
      <c r="Z24" s="16" t="inlineStr">
        <is>
          <t>Passed on test</t>
        </is>
      </c>
      <c r="AA24" s="16" t="inlineStr">
        <is>
          <t>Passed on test</t>
        </is>
      </c>
      <c r="AB24" s="16" t="inlineStr">
        <is>
          <t>Passed on test</t>
        </is>
      </c>
    </row>
    <row r="25">
      <c r="A25" s="2" t="inlineStr">
        <is>
          <t>issue_415</t>
        </is>
      </c>
      <c r="B25" s="15" t="inlineStr">
        <is>
          <t>Failed on test</t>
        </is>
      </c>
      <c r="C25" s="15" t="inlineStr">
        <is>
          <t>Failed on test</t>
        </is>
      </c>
      <c r="D25" s="15" t="inlineStr">
        <is>
          <t>Failed on test</t>
        </is>
      </c>
      <c r="E25" s="15" t="inlineStr">
        <is>
          <t>Failed on test</t>
        </is>
      </c>
      <c r="F25" s="13" t="inlineStr">
        <is>
          <t>NOT_TESTED</t>
        </is>
      </c>
      <c r="G25" s="13" t="inlineStr">
        <is>
          <t>NOT_TESTED</t>
        </is>
      </c>
      <c r="H25" s="13" t="inlineStr">
        <is>
          <t>NOT_TESTED</t>
        </is>
      </c>
      <c r="I25" s="13" t="inlineStr">
        <is>
          <t>NOT_TESTED</t>
        </is>
      </c>
      <c r="J25" s="13" t="inlineStr">
        <is>
          <t>NOT_TESTED</t>
        </is>
      </c>
      <c r="K25" s="13" t="inlineStr">
        <is>
          <t>NOT_TESTED</t>
        </is>
      </c>
      <c r="L25" s="13" t="inlineStr">
        <is>
          <t>NOT_TESTED</t>
        </is>
      </c>
      <c r="M25" s="13" t="inlineStr">
        <is>
          <t>NOT_TESTED</t>
        </is>
      </c>
      <c r="N25" s="13" t="inlineStr">
        <is>
          <t>NOT_TESTED</t>
        </is>
      </c>
      <c r="O25" s="13" t="inlineStr">
        <is>
          <t>NOT_TESTED</t>
        </is>
      </c>
      <c r="P25" s="13" t="inlineStr">
        <is>
          <t>NOT_TESTED</t>
        </is>
      </c>
      <c r="Q25" s="13" t="inlineStr">
        <is>
          <t>NOT_TESTED</t>
        </is>
      </c>
      <c r="R25" s="13" t="inlineStr">
        <is>
          <t>NOT_TESTED</t>
        </is>
      </c>
      <c r="S25" s="13" t="inlineStr">
        <is>
          <t>NOT_TESTED</t>
        </is>
      </c>
      <c r="T25" s="13" t="inlineStr">
        <is>
          <t>NOT_TESTED</t>
        </is>
      </c>
      <c r="U25" s="13" t="inlineStr">
        <is>
          <t>NOT_TESTED</t>
        </is>
      </c>
      <c r="V25" s="13" t="inlineStr">
        <is>
          <t>NOT_TESTED</t>
        </is>
      </c>
      <c r="W25" s="13" t="inlineStr">
        <is>
          <t>NOT_TESTED</t>
        </is>
      </c>
      <c r="X25" s="13" t="inlineStr">
        <is>
          <t>NOT_TESTED</t>
        </is>
      </c>
      <c r="Y25" s="13" t="inlineStr">
        <is>
          <t>NOT_TESTED</t>
        </is>
      </c>
      <c r="Z25" s="13" t="inlineStr">
        <is>
          <t>NOT_TESTED</t>
        </is>
      </c>
      <c r="AA25" s="13" t="inlineStr">
        <is>
          <t>NOT_TESTED</t>
        </is>
      </c>
      <c r="AB25" s="13" t="inlineStr">
        <is>
          <t>NOT_TESTED</t>
        </is>
      </c>
    </row>
    <row r="26">
      <c r="A26" s="2" t="inlineStr">
        <is>
          <t>issue_436</t>
        </is>
      </c>
      <c r="B26" s="16" t="inlineStr">
        <is>
          <t>Passed on test</t>
        </is>
      </c>
      <c r="C26" s="16" t="inlineStr">
        <is>
          <t>Passed on test</t>
        </is>
      </c>
      <c r="D26" s="16" t="inlineStr">
        <is>
          <t>Passed on test</t>
        </is>
      </c>
      <c r="E26" s="16" t="inlineStr">
        <is>
          <t>Passed on test</t>
        </is>
      </c>
      <c r="F26" s="13" t="inlineStr">
        <is>
          <t>NOT_TESTED</t>
        </is>
      </c>
      <c r="G26" s="13" t="inlineStr">
        <is>
          <t>NOT_TESTED</t>
        </is>
      </c>
      <c r="H26" s="13" t="inlineStr">
        <is>
          <t>NOT_TESTED</t>
        </is>
      </c>
      <c r="I26" s="13" t="inlineStr">
        <is>
          <t>NOT_TESTED</t>
        </is>
      </c>
      <c r="J26" s="13" t="inlineStr">
        <is>
          <t>NOT_TESTED</t>
        </is>
      </c>
      <c r="K26" s="13" t="inlineStr">
        <is>
          <t>NOT_TESTED</t>
        </is>
      </c>
      <c r="L26" s="13" t="inlineStr">
        <is>
          <t>NOT_TESTED</t>
        </is>
      </c>
      <c r="M26" s="13" t="inlineStr">
        <is>
          <t>NOT_TESTED</t>
        </is>
      </c>
      <c r="N26" s="13" t="inlineStr">
        <is>
          <t>NOT_TESTED</t>
        </is>
      </c>
      <c r="O26" s="13" t="inlineStr">
        <is>
          <t>NOT_TESTED</t>
        </is>
      </c>
      <c r="P26" s="13" t="inlineStr">
        <is>
          <t>NOT_TESTED</t>
        </is>
      </c>
      <c r="Q26" s="13" t="inlineStr">
        <is>
          <t>NOT_TESTED</t>
        </is>
      </c>
      <c r="R26" s="13" t="inlineStr">
        <is>
          <t>NOT_TESTED</t>
        </is>
      </c>
      <c r="S26" s="13" t="inlineStr">
        <is>
          <t>NOT_TESTED</t>
        </is>
      </c>
      <c r="T26" s="13" t="inlineStr">
        <is>
          <t>NOT_TESTED</t>
        </is>
      </c>
      <c r="U26" s="13" t="inlineStr">
        <is>
          <t>NOT_TESTED</t>
        </is>
      </c>
      <c r="V26" s="13" t="inlineStr">
        <is>
          <t>NOT_TESTED</t>
        </is>
      </c>
      <c r="W26" s="13" t="inlineStr">
        <is>
          <t>NOT_TESTED</t>
        </is>
      </c>
      <c r="X26" s="13" t="inlineStr">
        <is>
          <t>NOT_TESTED</t>
        </is>
      </c>
      <c r="Y26" s="13" t="inlineStr">
        <is>
          <t>NOT_TESTED</t>
        </is>
      </c>
      <c r="Z26" s="13" t="inlineStr">
        <is>
          <t>NOT_TESTED</t>
        </is>
      </c>
      <c r="AA26" s="13" t="inlineStr">
        <is>
          <t>NOT_TESTED</t>
        </is>
      </c>
      <c r="AB26" s="13" t="inlineStr">
        <is>
          <t>NOT_TESTED</t>
        </is>
      </c>
    </row>
    <row r="27">
      <c r="A27" s="2" t="inlineStr">
        <is>
          <t>issue_443</t>
        </is>
      </c>
      <c r="B27" s="16" t="inlineStr">
        <is>
          <t>Passed on test</t>
        </is>
      </c>
      <c r="C27" s="16" t="inlineStr">
        <is>
          <t>Passed on test</t>
        </is>
      </c>
      <c r="D27" s="16" t="inlineStr">
        <is>
          <t>Passed on test</t>
        </is>
      </c>
      <c r="E27" s="16" t="inlineStr">
        <is>
          <t>Passed on test</t>
        </is>
      </c>
      <c r="F27" s="16" t="inlineStr">
        <is>
          <t>Passed on test</t>
        </is>
      </c>
      <c r="G27" s="16" t="inlineStr">
        <is>
          <t>Passed on test</t>
        </is>
      </c>
      <c r="H27" s="16" t="inlineStr">
        <is>
          <t>Passed on test</t>
        </is>
      </c>
      <c r="I27" s="16" t="inlineStr">
        <is>
          <t>Passed on test</t>
        </is>
      </c>
      <c r="J27" s="16" t="inlineStr">
        <is>
          <t>Passed on test</t>
        </is>
      </c>
      <c r="K27" s="16" t="inlineStr">
        <is>
          <t>Passed on test</t>
        </is>
      </c>
      <c r="L27" s="16" t="inlineStr">
        <is>
          <t>Passed on test</t>
        </is>
      </c>
      <c r="M27" s="16" t="inlineStr">
        <is>
          <t>Passed on test</t>
        </is>
      </c>
      <c r="N27" s="16" t="inlineStr">
        <is>
          <t>Passed on test</t>
        </is>
      </c>
      <c r="O27" s="16" t="inlineStr">
        <is>
          <t>Passed on test</t>
        </is>
      </c>
      <c r="P27" s="16" t="inlineStr">
        <is>
          <t>Passed on test</t>
        </is>
      </c>
      <c r="Q27" s="16" t="inlineStr">
        <is>
          <t>Passed on test</t>
        </is>
      </c>
      <c r="R27" s="16" t="inlineStr">
        <is>
          <t>Passed on test</t>
        </is>
      </c>
      <c r="S27" s="16" t="inlineStr">
        <is>
          <t>Passed on test</t>
        </is>
      </c>
      <c r="T27" s="16" t="inlineStr">
        <is>
          <t>Passed on test</t>
        </is>
      </c>
      <c r="U27" s="16" t="inlineStr">
        <is>
          <t>Passed on test</t>
        </is>
      </c>
      <c r="V27" s="16" t="inlineStr">
        <is>
          <t>Passed on test</t>
        </is>
      </c>
      <c r="W27" s="16" t="inlineStr">
        <is>
          <t>Passed on test</t>
        </is>
      </c>
      <c r="X27" s="16" t="inlineStr">
        <is>
          <t>Passed on test</t>
        </is>
      </c>
      <c r="Y27" s="16" t="inlineStr">
        <is>
          <t>Passed on test</t>
        </is>
      </c>
      <c r="Z27" s="16" t="inlineStr">
        <is>
          <t>Passed on test</t>
        </is>
      </c>
      <c r="AA27" s="16" t="inlineStr">
        <is>
          <t>Passed on test</t>
        </is>
      </c>
      <c r="AB27" s="16" t="inlineStr">
        <is>
          <t>Passed on test</t>
        </is>
      </c>
    </row>
    <row r="28">
      <c r="A28" s="2" t="inlineStr">
        <is>
          <t>issue_453</t>
        </is>
      </c>
      <c r="B28" s="13" t="inlineStr">
        <is>
          <t>NOT_TESTED</t>
        </is>
      </c>
      <c r="C28" s="13" t="inlineStr">
        <is>
          <t>NOT_TESTED</t>
        </is>
      </c>
      <c r="D28" s="13" t="inlineStr">
        <is>
          <t>NOT_TESTED</t>
        </is>
      </c>
      <c r="E28" s="13" t="inlineStr">
        <is>
          <t>NOT_TESTED</t>
        </is>
      </c>
      <c r="F28" s="14" t="inlineStr">
        <is>
          <t>Passed on test</t>
        </is>
      </c>
      <c r="G28" s="14" t="inlineStr">
        <is>
          <t>Passed on test</t>
        </is>
      </c>
      <c r="H28" s="14" t="inlineStr">
        <is>
          <t>Passed on test</t>
        </is>
      </c>
      <c r="I28" s="14" t="inlineStr">
        <is>
          <t>Passed on test</t>
        </is>
      </c>
      <c r="J28" s="14" t="inlineStr">
        <is>
          <t>Passed on test</t>
        </is>
      </c>
      <c r="K28" s="14" t="inlineStr">
        <is>
          <t>Passed on test</t>
        </is>
      </c>
      <c r="L28" s="14" t="inlineStr">
        <is>
          <t>Passed on test</t>
        </is>
      </c>
      <c r="M28" s="14" t="inlineStr">
        <is>
          <t>Passed on test</t>
        </is>
      </c>
      <c r="N28" s="14" t="inlineStr">
        <is>
          <t>Passed on test</t>
        </is>
      </c>
      <c r="O28" s="14" t="inlineStr">
        <is>
          <t>Passed on test</t>
        </is>
      </c>
      <c r="P28" s="14" t="inlineStr">
        <is>
          <t>Passed on test</t>
        </is>
      </c>
      <c r="Q28" s="14" t="inlineStr">
        <is>
          <t>Passed on test</t>
        </is>
      </c>
      <c r="R28" s="14" t="inlineStr">
        <is>
          <t>Passed on test</t>
        </is>
      </c>
      <c r="S28" s="14" t="inlineStr">
        <is>
          <t>Passed on test</t>
        </is>
      </c>
      <c r="T28" s="14" t="inlineStr">
        <is>
          <t>Passed on test</t>
        </is>
      </c>
      <c r="U28" s="14" t="inlineStr">
        <is>
          <t>Passed on test</t>
        </is>
      </c>
      <c r="V28" s="14" t="inlineStr">
        <is>
          <t>Passed on test</t>
        </is>
      </c>
      <c r="W28" s="14" t="inlineStr">
        <is>
          <t>Passed on test</t>
        </is>
      </c>
      <c r="X28" s="14" t="inlineStr">
        <is>
          <t>Passed on test</t>
        </is>
      </c>
      <c r="Y28" s="14" t="inlineStr">
        <is>
          <t>Passed on test</t>
        </is>
      </c>
      <c r="Z28" s="14" t="inlineStr">
        <is>
          <t>Passed on test</t>
        </is>
      </c>
      <c r="AA28" s="14" t="inlineStr">
        <is>
          <t>Passed on test</t>
        </is>
      </c>
      <c r="AB28" s="14" t="inlineStr">
        <is>
          <t>Passed on test</t>
        </is>
      </c>
    </row>
    <row r="29">
      <c r="A29" s="2" t="inlineStr">
        <is>
          <t>issue_468</t>
        </is>
      </c>
      <c r="B29" s="14" t="inlineStr">
        <is>
          <t>Runtime error</t>
        </is>
      </c>
      <c r="C29" s="14" t="inlineStr">
        <is>
          <t>Runtime error</t>
        </is>
      </c>
      <c r="D29" s="14" t="inlineStr">
        <is>
          <t>Runtime error</t>
        </is>
      </c>
      <c r="E29" s="14" t="inlineStr">
        <is>
          <t>Runtime error</t>
        </is>
      </c>
      <c r="F29" s="13" t="inlineStr">
        <is>
          <t>NOT_TESTED</t>
        </is>
      </c>
      <c r="G29" s="13" t="inlineStr">
        <is>
          <t>NOT_TESTED</t>
        </is>
      </c>
      <c r="H29" s="13" t="inlineStr">
        <is>
          <t>NOT_TESTED</t>
        </is>
      </c>
      <c r="I29" s="13" t="inlineStr">
        <is>
          <t>NOT_TESTED</t>
        </is>
      </c>
      <c r="J29" s="13" t="inlineStr">
        <is>
          <t>NOT_TESTED</t>
        </is>
      </c>
      <c r="K29" s="13" t="inlineStr">
        <is>
          <t>NOT_TESTED</t>
        </is>
      </c>
      <c r="L29" s="13" t="inlineStr">
        <is>
          <t>NOT_TESTED</t>
        </is>
      </c>
      <c r="M29" s="13" t="inlineStr">
        <is>
          <t>NOT_TESTED</t>
        </is>
      </c>
      <c r="N29" s="13" t="inlineStr">
        <is>
          <t>NOT_TESTED</t>
        </is>
      </c>
      <c r="O29" s="13" t="inlineStr">
        <is>
          <t>NOT_TESTED</t>
        </is>
      </c>
      <c r="P29" s="13" t="inlineStr">
        <is>
          <t>NOT_TESTED</t>
        </is>
      </c>
      <c r="Q29" s="13" t="inlineStr">
        <is>
          <t>NOT_TESTED</t>
        </is>
      </c>
      <c r="R29" s="13" t="inlineStr">
        <is>
          <t>NOT_TESTED</t>
        </is>
      </c>
      <c r="S29" s="13" t="inlineStr">
        <is>
          <t>NOT_TESTED</t>
        </is>
      </c>
      <c r="T29" s="13" t="inlineStr">
        <is>
          <t>NOT_TESTED</t>
        </is>
      </c>
      <c r="U29" s="13" t="inlineStr">
        <is>
          <t>NOT_TESTED</t>
        </is>
      </c>
      <c r="V29" s="13" t="inlineStr">
        <is>
          <t>NOT_TESTED</t>
        </is>
      </c>
      <c r="W29" s="13" t="inlineStr">
        <is>
          <t>NOT_TESTED</t>
        </is>
      </c>
      <c r="X29" s="13" t="inlineStr">
        <is>
          <t>NOT_TESTED</t>
        </is>
      </c>
      <c r="Y29" s="13" t="inlineStr">
        <is>
          <t>NOT_TESTED</t>
        </is>
      </c>
      <c r="Z29" s="13" t="inlineStr">
        <is>
          <t>NOT_TESTED</t>
        </is>
      </c>
      <c r="AA29" s="13" t="inlineStr">
        <is>
          <t>NOT_TESTED</t>
        </is>
      </c>
      <c r="AB29" s="13" t="inlineStr">
        <is>
          <t>NOT_TESTED</t>
        </is>
      </c>
    </row>
    <row r="30">
      <c r="A30" s="2" t="inlineStr">
        <is>
          <t>issue_497</t>
        </is>
      </c>
      <c r="B30" s="14" t="inlineStr">
        <is>
          <t>Passed on test</t>
        </is>
      </c>
      <c r="C30" s="14" t="inlineStr">
        <is>
          <t>Passed on test</t>
        </is>
      </c>
      <c r="D30" s="14" t="inlineStr">
        <is>
          <t>Passed on test</t>
        </is>
      </c>
      <c r="E30" s="14" t="inlineStr">
        <is>
          <t>Passed on test</t>
        </is>
      </c>
      <c r="F30" s="13" t="inlineStr">
        <is>
          <t>NOT_TESTED</t>
        </is>
      </c>
      <c r="G30" s="13" t="inlineStr">
        <is>
          <t>NOT_TESTED</t>
        </is>
      </c>
      <c r="H30" s="13" t="inlineStr">
        <is>
          <t>NOT_TESTED</t>
        </is>
      </c>
      <c r="I30" s="13" t="inlineStr">
        <is>
          <t>NOT_TESTED</t>
        </is>
      </c>
      <c r="J30" s="13" t="inlineStr">
        <is>
          <t>NOT_TESTED</t>
        </is>
      </c>
      <c r="K30" s="13" t="inlineStr">
        <is>
          <t>NOT_TESTED</t>
        </is>
      </c>
      <c r="L30" s="13" t="inlineStr">
        <is>
          <t>NOT_TESTED</t>
        </is>
      </c>
      <c r="M30" s="13" t="inlineStr">
        <is>
          <t>NOT_TESTED</t>
        </is>
      </c>
      <c r="N30" s="13" t="inlineStr">
        <is>
          <t>NOT_TESTED</t>
        </is>
      </c>
      <c r="O30" s="13" t="inlineStr">
        <is>
          <t>NOT_TESTED</t>
        </is>
      </c>
      <c r="P30" s="13" t="inlineStr">
        <is>
          <t>NOT_TESTED</t>
        </is>
      </c>
      <c r="Q30" s="13" t="inlineStr">
        <is>
          <t>NOT_TESTED</t>
        </is>
      </c>
      <c r="R30" s="13" t="inlineStr">
        <is>
          <t>NOT_TESTED</t>
        </is>
      </c>
      <c r="S30" s="13" t="inlineStr">
        <is>
          <t>NOT_TESTED</t>
        </is>
      </c>
      <c r="T30" s="13" t="inlineStr">
        <is>
          <t>NOT_TESTED</t>
        </is>
      </c>
      <c r="U30" s="13" t="inlineStr">
        <is>
          <t>NOT_TESTED</t>
        </is>
      </c>
      <c r="V30" s="13" t="inlineStr">
        <is>
          <t>NOT_TESTED</t>
        </is>
      </c>
      <c r="W30" s="13" t="inlineStr">
        <is>
          <t>NOT_TESTED</t>
        </is>
      </c>
      <c r="X30" s="13" t="inlineStr">
        <is>
          <t>NOT_TESTED</t>
        </is>
      </c>
      <c r="Y30" s="13" t="inlineStr">
        <is>
          <t>NOT_TESTED</t>
        </is>
      </c>
      <c r="Z30" s="13" t="inlineStr">
        <is>
          <t>NOT_TESTED</t>
        </is>
      </c>
      <c r="AA30" s="13" t="inlineStr">
        <is>
          <t>NOT_TESTED</t>
        </is>
      </c>
      <c r="AB30" s="13" t="inlineStr">
        <is>
          <t>NOT_TESTED</t>
        </is>
      </c>
    </row>
    <row r="31">
      <c r="A31" s="2" t="inlineStr">
        <is>
          <t>issue_504</t>
        </is>
      </c>
      <c r="B31" s="13" t="inlineStr">
        <is>
          <t>NOT_TESTED</t>
        </is>
      </c>
      <c r="C31" s="13" t="inlineStr">
        <is>
          <t>NOT_TESTED</t>
        </is>
      </c>
      <c r="D31" s="13" t="inlineStr">
        <is>
          <t>NOT_TESTED</t>
        </is>
      </c>
      <c r="E31" s="13" t="inlineStr">
        <is>
          <t>NOT_TESTED</t>
        </is>
      </c>
      <c r="F31" s="16" t="inlineStr">
        <is>
          <t>Passed on test</t>
        </is>
      </c>
      <c r="G31" s="16" t="inlineStr">
        <is>
          <t>Passed on test</t>
        </is>
      </c>
      <c r="H31" s="16" t="inlineStr">
        <is>
          <t>Passed on test</t>
        </is>
      </c>
      <c r="I31" s="16" t="inlineStr">
        <is>
          <t>Passed on test</t>
        </is>
      </c>
      <c r="J31" s="16" t="inlineStr">
        <is>
          <t>Passed on test</t>
        </is>
      </c>
      <c r="K31" s="16" t="inlineStr">
        <is>
          <t>Passed on test</t>
        </is>
      </c>
      <c r="L31" s="16" t="inlineStr">
        <is>
          <t>Passed on test</t>
        </is>
      </c>
      <c r="M31" s="16" t="inlineStr">
        <is>
          <t>Passed on test</t>
        </is>
      </c>
      <c r="N31" s="16" t="inlineStr">
        <is>
          <t>Passed on test</t>
        </is>
      </c>
      <c r="O31" s="16" t="inlineStr">
        <is>
          <t>Passed on test</t>
        </is>
      </c>
      <c r="P31" s="16" t="inlineStr">
        <is>
          <t>Passed on test</t>
        </is>
      </c>
      <c r="Q31" s="16" t="inlineStr">
        <is>
          <t>Passed on test</t>
        </is>
      </c>
      <c r="R31" s="16" t="inlineStr">
        <is>
          <t>Passed on test</t>
        </is>
      </c>
      <c r="S31" s="16" t="inlineStr">
        <is>
          <t>Passed on test</t>
        </is>
      </c>
      <c r="T31" s="16" t="inlineStr">
        <is>
          <t>Passed on test</t>
        </is>
      </c>
      <c r="U31" s="16" t="inlineStr">
        <is>
          <t>Passed on test</t>
        </is>
      </c>
      <c r="V31" s="16" t="inlineStr">
        <is>
          <t>Passed on test</t>
        </is>
      </c>
      <c r="W31" s="16" t="inlineStr">
        <is>
          <t>Passed on test</t>
        </is>
      </c>
      <c r="X31" s="16" t="inlineStr">
        <is>
          <t>Passed on test</t>
        </is>
      </c>
      <c r="Y31" s="16" t="inlineStr">
        <is>
          <t>Passed on test</t>
        </is>
      </c>
      <c r="Z31" s="16" t="inlineStr">
        <is>
          <t>Passed on test</t>
        </is>
      </c>
      <c r="AA31" s="16" t="inlineStr">
        <is>
          <t>Passed on test</t>
        </is>
      </c>
      <c r="AB31" s="16" t="inlineStr">
        <is>
          <t>Passed on test</t>
        </is>
      </c>
    </row>
    <row r="32">
      <c r="A32" s="2" t="inlineStr">
        <is>
          <t>issue_505</t>
        </is>
      </c>
      <c r="B32" s="13" t="inlineStr">
        <is>
          <t>NOT_TESTED</t>
        </is>
      </c>
      <c r="C32" s="13" t="inlineStr">
        <is>
          <t>NOT_TESTED</t>
        </is>
      </c>
      <c r="D32" s="13" t="inlineStr">
        <is>
          <t>NOT_TESTED</t>
        </is>
      </c>
      <c r="E32" s="13" t="inlineStr">
        <is>
          <t>NOT_TESTED</t>
        </is>
      </c>
      <c r="F32" s="16" t="inlineStr">
        <is>
          <t>Passed on test</t>
        </is>
      </c>
      <c r="G32" s="16" t="inlineStr">
        <is>
          <t>Passed on test</t>
        </is>
      </c>
      <c r="H32" s="16" t="inlineStr">
        <is>
          <t>Passed on test</t>
        </is>
      </c>
      <c r="I32" s="16" t="inlineStr">
        <is>
          <t>Passed on test</t>
        </is>
      </c>
      <c r="J32" s="16" t="inlineStr">
        <is>
          <t>Passed on test</t>
        </is>
      </c>
      <c r="K32" s="16" t="inlineStr">
        <is>
          <t>Passed on test</t>
        </is>
      </c>
      <c r="L32" s="16" t="inlineStr">
        <is>
          <t>Passed on test</t>
        </is>
      </c>
      <c r="M32" s="16" t="inlineStr">
        <is>
          <t>Passed on test</t>
        </is>
      </c>
      <c r="N32" s="13" t="inlineStr">
        <is>
          <t>NOT_TESTED</t>
        </is>
      </c>
      <c r="O32" s="13" t="inlineStr">
        <is>
          <t>NOT_TESTED</t>
        </is>
      </c>
      <c r="P32" s="13" t="inlineStr">
        <is>
          <t>NOT_TESTED</t>
        </is>
      </c>
      <c r="Q32" s="13" t="inlineStr">
        <is>
          <t>NOT_TESTED</t>
        </is>
      </c>
      <c r="R32" s="13" t="inlineStr">
        <is>
          <t>NOT_TESTED</t>
        </is>
      </c>
      <c r="S32" s="13" t="inlineStr">
        <is>
          <t>NOT_TESTED</t>
        </is>
      </c>
      <c r="T32" s="13" t="inlineStr">
        <is>
          <t>NOT_TESTED</t>
        </is>
      </c>
      <c r="U32" s="13" t="inlineStr">
        <is>
          <t>NOT_TESTED</t>
        </is>
      </c>
      <c r="V32" s="13" t="inlineStr">
        <is>
          <t>NOT_TESTED</t>
        </is>
      </c>
      <c r="W32" s="13" t="inlineStr">
        <is>
          <t>NOT_TESTED</t>
        </is>
      </c>
      <c r="X32" s="13" t="inlineStr">
        <is>
          <t>NOT_TESTED</t>
        </is>
      </c>
      <c r="Y32" s="13" t="inlineStr">
        <is>
          <t>NOT_TESTED</t>
        </is>
      </c>
      <c r="Z32" s="13" t="inlineStr">
        <is>
          <t>NOT_TESTED</t>
        </is>
      </c>
      <c r="AA32" s="13" t="inlineStr">
        <is>
          <t>NOT_TESTED</t>
        </is>
      </c>
      <c r="AB32" s="13" t="inlineStr">
        <is>
          <t>NOT_TESTED</t>
        </is>
      </c>
    </row>
    <row r="33">
      <c r="A33" s="2" t="inlineStr">
        <is>
          <t>issue_565</t>
        </is>
      </c>
      <c r="B33" s="14" t="inlineStr">
        <is>
          <t>Runtime error</t>
        </is>
      </c>
      <c r="C33" s="14" t="inlineStr">
        <is>
          <t>Runtime error</t>
        </is>
      </c>
      <c r="D33" s="14" t="inlineStr">
        <is>
          <t>Runtime error</t>
        </is>
      </c>
      <c r="E33" s="14" t="inlineStr">
        <is>
          <t>Runtime error</t>
        </is>
      </c>
      <c r="F33" s="13" t="inlineStr">
        <is>
          <t>NOT_TESTED</t>
        </is>
      </c>
      <c r="G33" s="13" t="inlineStr">
        <is>
          <t>NOT_TESTED</t>
        </is>
      </c>
      <c r="H33" s="13" t="inlineStr">
        <is>
          <t>NOT_TESTED</t>
        </is>
      </c>
      <c r="I33" s="13" t="inlineStr">
        <is>
          <t>NOT_TESTED</t>
        </is>
      </c>
      <c r="J33" s="13" t="inlineStr">
        <is>
          <t>NOT_TESTED</t>
        </is>
      </c>
      <c r="K33" s="13" t="inlineStr">
        <is>
          <t>NOT_TESTED</t>
        </is>
      </c>
      <c r="L33" s="13" t="inlineStr">
        <is>
          <t>NOT_TESTED</t>
        </is>
      </c>
      <c r="M33" s="13" t="inlineStr">
        <is>
          <t>NOT_TESTED</t>
        </is>
      </c>
      <c r="N33" s="13" t="inlineStr">
        <is>
          <t>NOT_TESTED</t>
        </is>
      </c>
      <c r="O33" s="13" t="inlineStr">
        <is>
          <t>NOT_TESTED</t>
        </is>
      </c>
      <c r="P33" s="13" t="inlineStr">
        <is>
          <t>NOT_TESTED</t>
        </is>
      </c>
      <c r="Q33" s="13" t="inlineStr">
        <is>
          <t>NOT_TESTED</t>
        </is>
      </c>
      <c r="R33" s="13" t="inlineStr">
        <is>
          <t>NOT_TESTED</t>
        </is>
      </c>
      <c r="S33" s="13" t="inlineStr">
        <is>
          <t>NOT_TESTED</t>
        </is>
      </c>
      <c r="T33" s="13" t="inlineStr">
        <is>
          <t>NOT_TESTED</t>
        </is>
      </c>
      <c r="U33" s="13" t="inlineStr">
        <is>
          <t>NOT_TESTED</t>
        </is>
      </c>
      <c r="V33" s="13" t="inlineStr">
        <is>
          <t>NOT_TESTED</t>
        </is>
      </c>
      <c r="W33" s="13" t="inlineStr">
        <is>
          <t>NOT_TESTED</t>
        </is>
      </c>
      <c r="X33" s="13" t="inlineStr">
        <is>
          <t>NOT_TESTED</t>
        </is>
      </c>
      <c r="Y33" s="13" t="inlineStr">
        <is>
          <t>NOT_TESTED</t>
        </is>
      </c>
      <c r="Z33" s="13" t="inlineStr">
        <is>
          <t>NOT_TESTED</t>
        </is>
      </c>
      <c r="AA33" s="13" t="inlineStr">
        <is>
          <t>NOT_TESTED</t>
        </is>
      </c>
      <c r="AB33" s="13" t="inlineStr">
        <is>
          <t>NOT_TESTED</t>
        </is>
      </c>
    </row>
    <row r="34">
      <c r="A34" s="2" t="inlineStr">
        <is>
          <t>issue_595</t>
        </is>
      </c>
      <c r="B34" s="13" t="inlineStr">
        <is>
          <t>NOT_TESTED</t>
        </is>
      </c>
      <c r="C34" s="13" t="inlineStr">
        <is>
          <t>NOT_TESTED</t>
        </is>
      </c>
      <c r="D34" s="13" t="inlineStr">
        <is>
          <t>NOT_TESTED</t>
        </is>
      </c>
      <c r="E34" s="13" t="inlineStr">
        <is>
          <t>NOT_TESTED</t>
        </is>
      </c>
      <c r="F34" s="16" t="inlineStr">
        <is>
          <t>Passed on test</t>
        </is>
      </c>
      <c r="G34" s="16" t="inlineStr">
        <is>
          <t>Passed on test</t>
        </is>
      </c>
      <c r="H34" s="16" t="inlineStr">
        <is>
          <t>Passed on test</t>
        </is>
      </c>
      <c r="I34" s="16" t="inlineStr">
        <is>
          <t>Passed on test</t>
        </is>
      </c>
      <c r="J34" s="16" t="inlineStr">
        <is>
          <t>Passed on test</t>
        </is>
      </c>
      <c r="K34" s="16" t="inlineStr">
        <is>
          <t>Passed on test</t>
        </is>
      </c>
      <c r="L34" s="16" t="inlineStr">
        <is>
          <t>Passed on test</t>
        </is>
      </c>
      <c r="M34" s="16" t="inlineStr">
        <is>
          <t>Passed on test</t>
        </is>
      </c>
      <c r="N34" s="16" t="inlineStr">
        <is>
          <t>Passed on test</t>
        </is>
      </c>
      <c r="O34" s="16" t="inlineStr">
        <is>
          <t>Passed on test</t>
        </is>
      </c>
      <c r="P34" s="16" t="inlineStr">
        <is>
          <t>Passed on test</t>
        </is>
      </c>
      <c r="Q34" s="16" t="inlineStr">
        <is>
          <t>Passed on test</t>
        </is>
      </c>
      <c r="R34" s="16" t="inlineStr">
        <is>
          <t>Passed on test</t>
        </is>
      </c>
      <c r="S34" s="16" t="inlineStr">
        <is>
          <t>Passed on test</t>
        </is>
      </c>
      <c r="T34" s="16" t="inlineStr">
        <is>
          <t>Passed on test</t>
        </is>
      </c>
      <c r="U34" s="16" t="inlineStr">
        <is>
          <t>Passed on test</t>
        </is>
      </c>
      <c r="V34" s="16" t="inlineStr">
        <is>
          <t>Passed on test</t>
        </is>
      </c>
      <c r="W34" s="16" t="inlineStr">
        <is>
          <t>Passed on test</t>
        </is>
      </c>
      <c r="X34" s="16" t="inlineStr">
        <is>
          <t>Passed on test</t>
        </is>
      </c>
      <c r="Y34" s="16" t="inlineStr">
        <is>
          <t>Passed on test</t>
        </is>
      </c>
      <c r="Z34" s="16" t="inlineStr">
        <is>
          <t>Passed on test</t>
        </is>
      </c>
      <c r="AA34" s="16" t="inlineStr">
        <is>
          <t>Passed on test</t>
        </is>
      </c>
      <c r="AB34" s="16" t="inlineStr">
        <is>
          <t>Passed on test</t>
        </is>
      </c>
    </row>
    <row r="35">
      <c r="A35" s="2" t="inlineStr">
        <is>
          <t>issue_596</t>
        </is>
      </c>
      <c r="B35" s="16" t="inlineStr">
        <is>
          <t>Passed on test</t>
        </is>
      </c>
      <c r="C35" s="16" t="inlineStr">
        <is>
          <t>Passed on test</t>
        </is>
      </c>
      <c r="D35" s="16" t="inlineStr">
        <is>
          <t>Passed on test</t>
        </is>
      </c>
      <c r="E35" s="16" t="inlineStr">
        <is>
          <t>Passed on test</t>
        </is>
      </c>
      <c r="F35" s="16" t="inlineStr">
        <is>
          <t>Passed on test</t>
        </is>
      </c>
      <c r="G35" s="16" t="inlineStr">
        <is>
          <t>Passed on test</t>
        </is>
      </c>
      <c r="H35" s="16" t="inlineStr">
        <is>
          <t>Passed on test</t>
        </is>
      </c>
      <c r="I35" s="16" t="inlineStr">
        <is>
          <t>Passed on test</t>
        </is>
      </c>
      <c r="J35" s="16" t="inlineStr">
        <is>
          <t>Passed on test</t>
        </is>
      </c>
      <c r="K35" s="16" t="inlineStr">
        <is>
          <t>Passed on test</t>
        </is>
      </c>
      <c r="L35" s="16" t="inlineStr">
        <is>
          <t>Passed on test</t>
        </is>
      </c>
      <c r="M35" s="16" t="inlineStr">
        <is>
          <t>Passed on test</t>
        </is>
      </c>
      <c r="N35" s="13" t="inlineStr">
        <is>
          <t>NOT_TESTED</t>
        </is>
      </c>
      <c r="O35" s="13" t="inlineStr">
        <is>
          <t>NOT_TESTED</t>
        </is>
      </c>
      <c r="P35" s="13" t="inlineStr">
        <is>
          <t>NOT_TESTED</t>
        </is>
      </c>
      <c r="Q35" s="13" t="inlineStr">
        <is>
          <t>NOT_TESTED</t>
        </is>
      </c>
      <c r="R35" s="13" t="inlineStr">
        <is>
          <t>NOT_TESTED</t>
        </is>
      </c>
      <c r="S35" s="13" t="inlineStr">
        <is>
          <t>NOT_TESTED</t>
        </is>
      </c>
      <c r="T35" s="13" t="inlineStr">
        <is>
          <t>NOT_TESTED</t>
        </is>
      </c>
      <c r="U35" s="13" t="inlineStr">
        <is>
          <t>NOT_TESTED</t>
        </is>
      </c>
      <c r="V35" s="13" t="inlineStr">
        <is>
          <t>NOT_TESTED</t>
        </is>
      </c>
      <c r="W35" s="13" t="inlineStr">
        <is>
          <t>NOT_TESTED</t>
        </is>
      </c>
      <c r="X35" s="13" t="inlineStr">
        <is>
          <t>NOT_TESTED</t>
        </is>
      </c>
      <c r="Y35" s="13" t="inlineStr">
        <is>
          <t>NOT_TESTED</t>
        </is>
      </c>
      <c r="Z35" s="13" t="inlineStr">
        <is>
          <t>NOT_TESTED</t>
        </is>
      </c>
      <c r="AA35" s="13" t="inlineStr">
        <is>
          <t>NOT_TESTED</t>
        </is>
      </c>
      <c r="AB35" s="13" t="inlineStr">
        <is>
          <t>NOT_TESTED</t>
        </is>
      </c>
    </row>
    <row r="36">
      <c r="A36" s="2" t="inlineStr">
        <is>
          <t>issue_600</t>
        </is>
      </c>
      <c r="B36" s="16" t="inlineStr">
        <is>
          <t>Passed on test</t>
        </is>
      </c>
      <c r="C36" s="16" t="inlineStr">
        <is>
          <t>Passed on test</t>
        </is>
      </c>
      <c r="D36" s="16" t="inlineStr">
        <is>
          <t>Passed on test</t>
        </is>
      </c>
      <c r="E36" s="16" t="inlineStr">
        <is>
          <t>Passed on test</t>
        </is>
      </c>
      <c r="F36" s="16" t="inlineStr">
        <is>
          <t>Passed on test</t>
        </is>
      </c>
      <c r="G36" s="16" t="inlineStr">
        <is>
          <t>Passed on test</t>
        </is>
      </c>
      <c r="H36" s="16" t="inlineStr">
        <is>
          <t>Passed on test</t>
        </is>
      </c>
      <c r="I36" s="16" t="inlineStr">
        <is>
          <t>Passed on test</t>
        </is>
      </c>
      <c r="J36" s="16" t="inlineStr">
        <is>
          <t>Passed on test</t>
        </is>
      </c>
      <c r="K36" s="16" t="inlineStr">
        <is>
          <t>Passed on test</t>
        </is>
      </c>
      <c r="L36" s="16" t="inlineStr">
        <is>
          <t>Passed on test</t>
        </is>
      </c>
      <c r="M36" s="16" t="inlineStr">
        <is>
          <t>Passed on test</t>
        </is>
      </c>
      <c r="N36" s="13" t="inlineStr">
        <is>
          <t>NOT_TESTED</t>
        </is>
      </c>
      <c r="O36" s="13" t="inlineStr">
        <is>
          <t>NOT_TESTED</t>
        </is>
      </c>
      <c r="P36" s="13" t="inlineStr">
        <is>
          <t>NOT_TESTED</t>
        </is>
      </c>
      <c r="Q36" s="13" t="inlineStr">
        <is>
          <t>NOT_TESTED</t>
        </is>
      </c>
      <c r="R36" s="13" t="inlineStr">
        <is>
          <t>NOT_TESTED</t>
        </is>
      </c>
      <c r="S36" s="13" t="inlineStr">
        <is>
          <t>NOT_TESTED</t>
        </is>
      </c>
      <c r="T36" s="13" t="inlineStr">
        <is>
          <t>NOT_TESTED</t>
        </is>
      </c>
      <c r="U36" s="13" t="inlineStr">
        <is>
          <t>NOT_TESTED</t>
        </is>
      </c>
      <c r="V36" s="13" t="inlineStr">
        <is>
          <t>NOT_TESTED</t>
        </is>
      </c>
      <c r="W36" s="13" t="inlineStr">
        <is>
          <t>NOT_TESTED</t>
        </is>
      </c>
      <c r="X36" s="13" t="inlineStr">
        <is>
          <t>NOT_TESTED</t>
        </is>
      </c>
      <c r="Y36" s="13" t="inlineStr">
        <is>
          <t>NOT_TESTED</t>
        </is>
      </c>
      <c r="Z36" s="13" t="inlineStr">
        <is>
          <t>NOT_TESTED</t>
        </is>
      </c>
      <c r="AA36" s="13" t="inlineStr">
        <is>
          <t>NOT_TESTED</t>
        </is>
      </c>
      <c r="AB36" s="13" t="inlineStr">
        <is>
          <t>NOT_TESTED</t>
        </is>
      </c>
    </row>
    <row r="37">
      <c r="A37" s="2" t="inlineStr">
        <is>
          <t>issue_622</t>
        </is>
      </c>
      <c r="B37" s="16" t="inlineStr">
        <is>
          <t>Passed on test</t>
        </is>
      </c>
      <c r="C37" s="16" t="inlineStr">
        <is>
          <t>Passed on test</t>
        </is>
      </c>
      <c r="D37" s="16" t="inlineStr">
        <is>
          <t>Passed on test</t>
        </is>
      </c>
      <c r="E37" s="16" t="inlineStr">
        <is>
          <t>Passed on test</t>
        </is>
      </c>
      <c r="F37" s="16" t="inlineStr">
        <is>
          <t>Passed on test</t>
        </is>
      </c>
      <c r="G37" s="16" t="inlineStr">
        <is>
          <t>Passed on test</t>
        </is>
      </c>
      <c r="H37" s="16" t="inlineStr">
        <is>
          <t>Passed on test</t>
        </is>
      </c>
      <c r="I37" s="16" t="inlineStr">
        <is>
          <t>Passed on test</t>
        </is>
      </c>
      <c r="J37" s="16" t="inlineStr">
        <is>
          <t>Passed on test</t>
        </is>
      </c>
      <c r="K37" s="16" t="inlineStr">
        <is>
          <t>Passed on test</t>
        </is>
      </c>
      <c r="L37" s="16" t="inlineStr">
        <is>
          <t>Passed on test</t>
        </is>
      </c>
      <c r="M37" s="16" t="inlineStr">
        <is>
          <t>Passed on test</t>
        </is>
      </c>
      <c r="N37" s="13" t="inlineStr">
        <is>
          <t>NOT_TESTED</t>
        </is>
      </c>
      <c r="O37" s="13" t="inlineStr">
        <is>
          <t>NOT_TESTED</t>
        </is>
      </c>
      <c r="P37" s="13" t="inlineStr">
        <is>
          <t>NOT_TESTED</t>
        </is>
      </c>
      <c r="Q37" s="13" t="inlineStr">
        <is>
          <t>NOT_TESTED</t>
        </is>
      </c>
      <c r="R37" s="13" t="inlineStr">
        <is>
          <t>NOT_TESTED</t>
        </is>
      </c>
      <c r="S37" s="13" t="inlineStr">
        <is>
          <t>NOT_TESTED</t>
        </is>
      </c>
      <c r="T37" s="13" t="inlineStr">
        <is>
          <t>NOT_TESTED</t>
        </is>
      </c>
      <c r="U37" s="13" t="inlineStr">
        <is>
          <t>NOT_TESTED</t>
        </is>
      </c>
      <c r="V37" s="13" t="inlineStr">
        <is>
          <t>NOT_TESTED</t>
        </is>
      </c>
      <c r="W37" s="13" t="inlineStr">
        <is>
          <t>NOT_TESTED</t>
        </is>
      </c>
      <c r="X37" s="13" t="inlineStr">
        <is>
          <t>NOT_TESTED</t>
        </is>
      </c>
      <c r="Y37" s="13" t="inlineStr">
        <is>
          <t>NOT_TESTED</t>
        </is>
      </c>
      <c r="Z37" s="13" t="inlineStr">
        <is>
          <t>NOT_TESTED</t>
        </is>
      </c>
      <c r="AA37" s="13" t="inlineStr">
        <is>
          <t>NOT_TESTED</t>
        </is>
      </c>
      <c r="AB37" s="13" t="inlineStr">
        <is>
          <t>NOT_TESTED</t>
        </is>
      </c>
    </row>
    <row r="38">
      <c r="A38" s="2" t="inlineStr">
        <is>
          <t>issue_624</t>
        </is>
      </c>
      <c r="B38" s="16" t="inlineStr">
        <is>
          <t>Passed on test</t>
        </is>
      </c>
      <c r="C38" s="16" t="inlineStr">
        <is>
          <t>Passed on test</t>
        </is>
      </c>
      <c r="D38" s="16" t="inlineStr">
        <is>
          <t>Passed on test</t>
        </is>
      </c>
      <c r="E38" s="16" t="inlineStr">
        <is>
          <t>Passed on test</t>
        </is>
      </c>
      <c r="F38" s="16" t="inlineStr">
        <is>
          <t>Passed on test</t>
        </is>
      </c>
      <c r="G38" s="16" t="inlineStr">
        <is>
          <t>Passed on test</t>
        </is>
      </c>
      <c r="H38" s="16" t="inlineStr">
        <is>
          <t>Passed on test</t>
        </is>
      </c>
      <c r="I38" s="16" t="inlineStr">
        <is>
          <t>Passed on test</t>
        </is>
      </c>
      <c r="J38" s="16" t="inlineStr">
        <is>
          <t>Passed on test</t>
        </is>
      </c>
      <c r="K38" s="16" t="inlineStr">
        <is>
          <t>Passed on test</t>
        </is>
      </c>
      <c r="L38" s="16" t="inlineStr">
        <is>
          <t>Passed on test</t>
        </is>
      </c>
      <c r="M38" s="16" t="inlineStr">
        <is>
          <t>Passed on test</t>
        </is>
      </c>
      <c r="N38" s="13" t="inlineStr">
        <is>
          <t>NOT_TESTED</t>
        </is>
      </c>
      <c r="O38" s="13" t="inlineStr">
        <is>
          <t>NOT_TESTED</t>
        </is>
      </c>
      <c r="P38" s="13" t="inlineStr">
        <is>
          <t>NOT_TESTED</t>
        </is>
      </c>
      <c r="Q38" s="13" t="inlineStr">
        <is>
          <t>NOT_TESTED</t>
        </is>
      </c>
      <c r="R38" s="13" t="inlineStr">
        <is>
          <t>NOT_TESTED</t>
        </is>
      </c>
      <c r="S38" s="13" t="inlineStr">
        <is>
          <t>NOT_TESTED</t>
        </is>
      </c>
      <c r="T38" s="13" t="inlineStr">
        <is>
          <t>NOT_TESTED</t>
        </is>
      </c>
      <c r="U38" s="13" t="inlineStr">
        <is>
          <t>NOT_TESTED</t>
        </is>
      </c>
      <c r="V38" s="13" t="inlineStr">
        <is>
          <t>NOT_TESTED</t>
        </is>
      </c>
      <c r="W38" s="13" t="inlineStr">
        <is>
          <t>NOT_TESTED</t>
        </is>
      </c>
      <c r="X38" s="13" t="inlineStr">
        <is>
          <t>NOT_TESTED</t>
        </is>
      </c>
      <c r="Y38" s="13" t="inlineStr">
        <is>
          <t>NOT_TESTED</t>
        </is>
      </c>
      <c r="Z38" s="13" t="inlineStr">
        <is>
          <t>NOT_TESTED</t>
        </is>
      </c>
      <c r="AA38" s="13" t="inlineStr">
        <is>
          <t>NOT_TESTED</t>
        </is>
      </c>
      <c r="AB38" s="13" t="inlineStr">
        <is>
          <t>NOT_TESTED</t>
        </is>
      </c>
    </row>
    <row r="39">
      <c r="A39" s="2" t="inlineStr">
        <is>
          <t>issue_635</t>
        </is>
      </c>
      <c r="B39" s="14" t="inlineStr">
        <is>
          <t>Runtime error</t>
        </is>
      </c>
      <c r="C39" s="14" t="inlineStr">
        <is>
          <t>Runtime error</t>
        </is>
      </c>
      <c r="D39" s="14" t="inlineStr">
        <is>
          <t>Runtime error</t>
        </is>
      </c>
      <c r="E39" s="14" t="inlineStr">
        <is>
          <t>Runtime error</t>
        </is>
      </c>
      <c r="F39" s="13" t="inlineStr">
        <is>
          <t>NOT_TESTED</t>
        </is>
      </c>
      <c r="G39" s="13" t="inlineStr">
        <is>
          <t>NOT_TESTED</t>
        </is>
      </c>
      <c r="H39" s="13" t="inlineStr">
        <is>
          <t>NOT_TESTED</t>
        </is>
      </c>
      <c r="I39" s="13" t="inlineStr">
        <is>
          <t>NOT_TESTED</t>
        </is>
      </c>
      <c r="J39" s="13" t="inlineStr">
        <is>
          <t>NOT_TESTED</t>
        </is>
      </c>
      <c r="K39" s="13" t="inlineStr">
        <is>
          <t>NOT_TESTED</t>
        </is>
      </c>
      <c r="L39" s="13" t="inlineStr">
        <is>
          <t>NOT_TESTED</t>
        </is>
      </c>
      <c r="M39" s="13" t="inlineStr">
        <is>
          <t>NOT_TESTED</t>
        </is>
      </c>
      <c r="N39" s="13" t="inlineStr">
        <is>
          <t>NOT_TESTED</t>
        </is>
      </c>
      <c r="O39" s="13" t="inlineStr">
        <is>
          <t>NOT_TESTED</t>
        </is>
      </c>
      <c r="P39" s="13" t="inlineStr">
        <is>
          <t>NOT_TESTED</t>
        </is>
      </c>
      <c r="Q39" s="13" t="inlineStr">
        <is>
          <t>NOT_TESTED</t>
        </is>
      </c>
      <c r="R39" s="13" t="inlineStr">
        <is>
          <t>NOT_TESTED</t>
        </is>
      </c>
      <c r="S39" s="13" t="inlineStr">
        <is>
          <t>NOT_TESTED</t>
        </is>
      </c>
      <c r="T39" s="13" t="inlineStr">
        <is>
          <t>NOT_TESTED</t>
        </is>
      </c>
      <c r="U39" s="13" t="inlineStr">
        <is>
          <t>NOT_TESTED</t>
        </is>
      </c>
      <c r="V39" s="13" t="inlineStr">
        <is>
          <t>NOT_TESTED</t>
        </is>
      </c>
      <c r="W39" s="13" t="inlineStr">
        <is>
          <t>NOT_TESTED</t>
        </is>
      </c>
      <c r="X39" s="13" t="inlineStr">
        <is>
          <t>NOT_TESTED</t>
        </is>
      </c>
      <c r="Y39" s="13" t="inlineStr">
        <is>
          <t>NOT_TESTED</t>
        </is>
      </c>
      <c r="Z39" s="13" t="inlineStr">
        <is>
          <t>NOT_TESTED</t>
        </is>
      </c>
      <c r="AA39" s="13" t="inlineStr">
        <is>
          <t>NOT_TESTED</t>
        </is>
      </c>
      <c r="AB39" s="13" t="inlineStr">
        <is>
          <t>NOT_TESTED</t>
        </is>
      </c>
    </row>
    <row r="40">
      <c r="A40" s="2" t="inlineStr">
        <is>
          <t>issue_662</t>
        </is>
      </c>
      <c r="B40" s="13" t="inlineStr">
        <is>
          <t>NOT_TESTED</t>
        </is>
      </c>
      <c r="C40" s="13" t="inlineStr">
        <is>
          <t>NOT_TESTED</t>
        </is>
      </c>
      <c r="D40" s="13" t="inlineStr">
        <is>
          <t>NOT_TESTED</t>
        </is>
      </c>
      <c r="E40" s="13" t="inlineStr">
        <is>
          <t>NOT_TESTED</t>
        </is>
      </c>
      <c r="F40" s="16" t="inlineStr">
        <is>
          <t>Passed on test</t>
        </is>
      </c>
      <c r="G40" s="16" t="inlineStr">
        <is>
          <t>Passed on test</t>
        </is>
      </c>
      <c r="H40" s="16" t="inlineStr">
        <is>
          <t>Passed on test</t>
        </is>
      </c>
      <c r="I40" s="16" t="inlineStr">
        <is>
          <t>Passed on test</t>
        </is>
      </c>
      <c r="J40" s="16" t="inlineStr">
        <is>
          <t>Passed on test</t>
        </is>
      </c>
      <c r="K40" s="16" t="inlineStr">
        <is>
          <t>Passed on test</t>
        </is>
      </c>
      <c r="L40" s="16" t="inlineStr">
        <is>
          <t>Passed on test</t>
        </is>
      </c>
      <c r="M40" s="16" t="inlineStr">
        <is>
          <t>Passed on test</t>
        </is>
      </c>
      <c r="N40" s="16" t="inlineStr">
        <is>
          <t>Passed on test</t>
        </is>
      </c>
      <c r="O40" s="16" t="inlineStr">
        <is>
          <t>Passed on test</t>
        </is>
      </c>
      <c r="P40" s="16" t="inlineStr">
        <is>
          <t>Passed on test</t>
        </is>
      </c>
      <c r="Q40" s="16" t="inlineStr">
        <is>
          <t>Passed on test</t>
        </is>
      </c>
      <c r="R40" s="16" t="inlineStr">
        <is>
          <t>Passed on test</t>
        </is>
      </c>
      <c r="S40" s="16" t="inlineStr">
        <is>
          <t>Passed on test</t>
        </is>
      </c>
      <c r="T40" s="16" t="inlineStr">
        <is>
          <t>Passed on test</t>
        </is>
      </c>
      <c r="U40" s="16" t="inlineStr">
        <is>
          <t>Passed on test</t>
        </is>
      </c>
      <c r="V40" s="16" t="inlineStr">
        <is>
          <t>Passed on test</t>
        </is>
      </c>
      <c r="W40" s="16" t="inlineStr">
        <is>
          <t>Passed on test</t>
        </is>
      </c>
      <c r="X40" s="16" t="inlineStr">
        <is>
          <t>Passed on test</t>
        </is>
      </c>
      <c r="Y40" s="16" t="inlineStr">
        <is>
          <t>Passed on test</t>
        </is>
      </c>
      <c r="Z40" s="16" t="inlineStr">
        <is>
          <t>Passed on test</t>
        </is>
      </c>
      <c r="AA40" s="16" t="inlineStr">
        <is>
          <t>Passed on test</t>
        </is>
      </c>
      <c r="AB40" s="16" t="inlineStr">
        <is>
          <t>Passed on test</t>
        </is>
      </c>
    </row>
    <row r="41">
      <c r="A41" s="2" t="inlineStr">
        <is>
          <t>issue_663</t>
        </is>
      </c>
      <c r="B41" s="13" t="inlineStr">
        <is>
          <t>NOT_TESTED</t>
        </is>
      </c>
      <c r="C41" s="13" t="inlineStr">
        <is>
          <t>NOT_TESTED</t>
        </is>
      </c>
      <c r="D41" s="13" t="inlineStr">
        <is>
          <t>NOT_TESTED</t>
        </is>
      </c>
      <c r="E41" s="13" t="inlineStr">
        <is>
          <t>NOT_TESTED</t>
        </is>
      </c>
      <c r="F41" s="16" t="inlineStr">
        <is>
          <t>Passed on test</t>
        </is>
      </c>
      <c r="G41" s="16" t="inlineStr">
        <is>
          <t>Passed on test</t>
        </is>
      </c>
      <c r="H41" s="16" t="inlineStr">
        <is>
          <t>Passed on test</t>
        </is>
      </c>
      <c r="I41" s="16" t="inlineStr">
        <is>
          <t>Passed on test</t>
        </is>
      </c>
      <c r="J41" s="16" t="inlineStr">
        <is>
          <t>Passed on test</t>
        </is>
      </c>
      <c r="K41" s="16" t="inlineStr">
        <is>
          <t>Passed on test</t>
        </is>
      </c>
      <c r="L41" s="16" t="inlineStr">
        <is>
          <t>Passed on test</t>
        </is>
      </c>
      <c r="M41" s="16" t="inlineStr">
        <is>
          <t>Passed on test</t>
        </is>
      </c>
      <c r="N41" s="13" t="inlineStr">
        <is>
          <t>NOT_TESTED</t>
        </is>
      </c>
      <c r="O41" s="13" t="inlineStr">
        <is>
          <t>NOT_TESTED</t>
        </is>
      </c>
      <c r="P41" s="13" t="inlineStr">
        <is>
          <t>NOT_TESTED</t>
        </is>
      </c>
      <c r="Q41" s="13" t="inlineStr">
        <is>
          <t>NOT_TESTED</t>
        </is>
      </c>
      <c r="R41" s="13" t="inlineStr">
        <is>
          <t>NOT_TESTED</t>
        </is>
      </c>
      <c r="S41" s="13" t="inlineStr">
        <is>
          <t>NOT_TESTED</t>
        </is>
      </c>
      <c r="T41" s="13" t="inlineStr">
        <is>
          <t>NOT_TESTED</t>
        </is>
      </c>
      <c r="U41" s="13" t="inlineStr">
        <is>
          <t>NOT_TESTED</t>
        </is>
      </c>
      <c r="V41" s="13" t="inlineStr">
        <is>
          <t>NOT_TESTED</t>
        </is>
      </c>
      <c r="W41" s="13" t="inlineStr">
        <is>
          <t>NOT_TESTED</t>
        </is>
      </c>
      <c r="X41" s="13" t="inlineStr">
        <is>
          <t>NOT_TESTED</t>
        </is>
      </c>
      <c r="Y41" s="13" t="inlineStr">
        <is>
          <t>NOT_TESTED</t>
        </is>
      </c>
      <c r="Z41" s="13" t="inlineStr">
        <is>
          <t>NOT_TESTED</t>
        </is>
      </c>
      <c r="AA41" s="13" t="inlineStr">
        <is>
          <t>NOT_TESTED</t>
        </is>
      </c>
      <c r="AB41" s="13" t="inlineStr">
        <is>
          <t>NOT_TESTED</t>
        </is>
      </c>
    </row>
    <row r="42">
      <c r="A42" s="2" t="inlineStr">
        <is>
          <t>issue_671</t>
        </is>
      </c>
      <c r="B42" s="16" t="inlineStr">
        <is>
          <t>Failed on test</t>
        </is>
      </c>
      <c r="C42" s="16" t="inlineStr">
        <is>
          <t>Failed on test</t>
        </is>
      </c>
      <c r="D42" s="16" t="inlineStr">
        <is>
          <t>Failed on test</t>
        </is>
      </c>
      <c r="E42" s="16" t="inlineStr">
        <is>
          <t>Failed on test</t>
        </is>
      </c>
      <c r="F42" s="16" t="inlineStr">
        <is>
          <t>Failed on test</t>
        </is>
      </c>
      <c r="G42" s="16" t="inlineStr">
        <is>
          <t>Failed on test</t>
        </is>
      </c>
      <c r="H42" s="16" t="inlineStr">
        <is>
          <t>Failed on test</t>
        </is>
      </c>
      <c r="I42" s="16" t="inlineStr">
        <is>
          <t>Failed on test</t>
        </is>
      </c>
      <c r="J42" s="16" t="inlineStr">
        <is>
          <t>Failed on test</t>
        </is>
      </c>
      <c r="K42" s="16" t="inlineStr">
        <is>
          <t>Failed on test</t>
        </is>
      </c>
      <c r="L42" s="16" t="inlineStr">
        <is>
          <t>Failed on test</t>
        </is>
      </c>
      <c r="M42" s="16" t="inlineStr">
        <is>
          <t>Failed on test</t>
        </is>
      </c>
      <c r="N42" s="16" t="inlineStr">
        <is>
          <t>Failed on test</t>
        </is>
      </c>
      <c r="O42" s="16" t="inlineStr">
        <is>
          <t>Failed on test</t>
        </is>
      </c>
      <c r="P42" s="16" t="inlineStr">
        <is>
          <t>Failed on test</t>
        </is>
      </c>
      <c r="Q42" s="16" t="inlineStr">
        <is>
          <t>Failed on test</t>
        </is>
      </c>
      <c r="R42" s="16" t="inlineStr">
        <is>
          <t>Failed on test</t>
        </is>
      </c>
      <c r="S42" s="16" t="inlineStr">
        <is>
          <t>Failed on test</t>
        </is>
      </c>
      <c r="T42" s="16" t="inlineStr">
        <is>
          <t>Failed on test</t>
        </is>
      </c>
      <c r="U42" s="16" t="inlineStr">
        <is>
          <t>Failed on test</t>
        </is>
      </c>
      <c r="V42" s="16" t="inlineStr">
        <is>
          <t>Failed on test</t>
        </is>
      </c>
      <c r="W42" s="16" t="inlineStr">
        <is>
          <t>Failed on test</t>
        </is>
      </c>
      <c r="X42" s="16" t="inlineStr">
        <is>
          <t>Failed on test</t>
        </is>
      </c>
      <c r="Y42" s="16" t="inlineStr">
        <is>
          <t>Failed on test</t>
        </is>
      </c>
      <c r="Z42" s="16" t="inlineStr">
        <is>
          <t>Failed on test</t>
        </is>
      </c>
      <c r="AA42" s="16" t="inlineStr">
        <is>
          <t>Failed on test</t>
        </is>
      </c>
      <c r="AB42" s="16" t="inlineStr">
        <is>
          <t>Failed on test</t>
        </is>
      </c>
    </row>
    <row r="43">
      <c r="A43" s="2" t="inlineStr">
        <is>
          <t>issue_727</t>
        </is>
      </c>
      <c r="B43" s="16" t="inlineStr">
        <is>
          <t>Passed on test</t>
        </is>
      </c>
      <c r="C43" s="16" t="inlineStr">
        <is>
          <t>Passed on test</t>
        </is>
      </c>
      <c r="D43" s="16" t="inlineStr">
        <is>
          <t>Passed on test</t>
        </is>
      </c>
      <c r="E43" s="16" t="inlineStr">
        <is>
          <t>Passed on test</t>
        </is>
      </c>
      <c r="F43" s="16" t="inlineStr">
        <is>
          <t>Passed on test</t>
        </is>
      </c>
      <c r="G43" s="16" t="inlineStr">
        <is>
          <t>Passed on test</t>
        </is>
      </c>
      <c r="H43" s="16" t="inlineStr">
        <is>
          <t>Passed on test</t>
        </is>
      </c>
      <c r="I43" s="16" t="inlineStr">
        <is>
          <t>Passed on test</t>
        </is>
      </c>
      <c r="J43" s="16" t="inlineStr">
        <is>
          <t>Passed on test</t>
        </is>
      </c>
      <c r="K43" s="16" t="inlineStr">
        <is>
          <t>Passed on test</t>
        </is>
      </c>
      <c r="L43" s="16" t="inlineStr">
        <is>
          <t>Passed on test</t>
        </is>
      </c>
      <c r="M43" s="16" t="inlineStr">
        <is>
          <t>Passed on test</t>
        </is>
      </c>
      <c r="N43" s="13" t="inlineStr">
        <is>
          <t>NOT_TESTED</t>
        </is>
      </c>
      <c r="O43" s="13" t="inlineStr">
        <is>
          <t>NOT_TESTED</t>
        </is>
      </c>
      <c r="P43" s="13" t="inlineStr">
        <is>
          <t>NOT_TESTED</t>
        </is>
      </c>
      <c r="Q43" s="13" t="inlineStr">
        <is>
          <t>NOT_TESTED</t>
        </is>
      </c>
      <c r="R43" s="13" t="inlineStr">
        <is>
          <t>NOT_TESTED</t>
        </is>
      </c>
      <c r="S43" s="13" t="inlineStr">
        <is>
          <t>NOT_TESTED</t>
        </is>
      </c>
      <c r="T43" s="13" t="inlineStr">
        <is>
          <t>NOT_TESTED</t>
        </is>
      </c>
      <c r="U43" s="13" t="inlineStr">
        <is>
          <t>NOT_TESTED</t>
        </is>
      </c>
      <c r="V43" s="13" t="inlineStr">
        <is>
          <t>NOT_TESTED</t>
        </is>
      </c>
      <c r="W43" s="13" t="inlineStr">
        <is>
          <t>NOT_TESTED</t>
        </is>
      </c>
      <c r="X43" s="13" t="inlineStr">
        <is>
          <t>NOT_TESTED</t>
        </is>
      </c>
      <c r="Y43" s="13" t="inlineStr">
        <is>
          <t>NOT_TESTED</t>
        </is>
      </c>
      <c r="Z43" s="13" t="inlineStr">
        <is>
          <t>NOT_TESTED</t>
        </is>
      </c>
      <c r="AA43" s="13" t="inlineStr">
        <is>
          <t>NOT_TESTED</t>
        </is>
      </c>
      <c r="AB43" s="13" t="inlineStr">
        <is>
          <t>NOT_TESTED</t>
        </is>
      </c>
    </row>
    <row r="44">
      <c r="A44" s="2" t="inlineStr">
        <is>
          <t>issue_742</t>
        </is>
      </c>
      <c r="B44" s="13" t="inlineStr">
        <is>
          <t>NOT_TESTED</t>
        </is>
      </c>
      <c r="C44" s="13" t="inlineStr">
        <is>
          <t>NOT_TESTED</t>
        </is>
      </c>
      <c r="D44" s="13" t="inlineStr">
        <is>
          <t>NOT_TESTED</t>
        </is>
      </c>
      <c r="E44" s="13" t="inlineStr">
        <is>
          <t>NOT_TESTED</t>
        </is>
      </c>
      <c r="F44" s="13" t="inlineStr">
        <is>
          <t>NOT_TESTED</t>
        </is>
      </c>
      <c r="G44" s="13" t="inlineStr">
        <is>
          <t>NOT_TESTED</t>
        </is>
      </c>
      <c r="H44" s="13" t="inlineStr">
        <is>
          <t>NOT_TESTED</t>
        </is>
      </c>
      <c r="I44" s="13" t="inlineStr">
        <is>
          <t>NOT_TESTED</t>
        </is>
      </c>
      <c r="J44" s="13" t="inlineStr">
        <is>
          <t>NOT_TESTED</t>
        </is>
      </c>
      <c r="K44" s="13" t="inlineStr">
        <is>
          <t>NOT_TESTED</t>
        </is>
      </c>
      <c r="L44" s="13" t="inlineStr">
        <is>
          <t>NOT_TESTED</t>
        </is>
      </c>
      <c r="M44" s="13" t="inlineStr">
        <is>
          <t>NOT_TESTED</t>
        </is>
      </c>
      <c r="N44" s="13" t="inlineStr">
        <is>
          <t>NOT_TESTED</t>
        </is>
      </c>
      <c r="O44" s="13" t="inlineStr">
        <is>
          <t>NOT_TESTED</t>
        </is>
      </c>
      <c r="P44" s="13" t="inlineStr">
        <is>
          <t>NOT_TESTED</t>
        </is>
      </c>
      <c r="Q44" s="16" t="inlineStr">
        <is>
          <t>Passed on test</t>
        </is>
      </c>
      <c r="R44" s="16" t="inlineStr">
        <is>
          <t>Passed on test</t>
        </is>
      </c>
      <c r="S44" s="16" t="inlineStr">
        <is>
          <t>Passed on test</t>
        </is>
      </c>
      <c r="T44" s="16" t="inlineStr">
        <is>
          <t>Passed on test</t>
        </is>
      </c>
      <c r="U44" s="16" t="inlineStr">
        <is>
          <t>Passed on test</t>
        </is>
      </c>
      <c r="V44" s="16" t="inlineStr">
        <is>
          <t>Passed on test</t>
        </is>
      </c>
      <c r="W44" s="16" t="inlineStr">
        <is>
          <t>Passed on test</t>
        </is>
      </c>
      <c r="X44" s="16" t="inlineStr">
        <is>
          <t>Passed on test</t>
        </is>
      </c>
      <c r="Y44" s="16" t="inlineStr">
        <is>
          <t>Passed on test</t>
        </is>
      </c>
      <c r="Z44" s="16" t="inlineStr">
        <is>
          <t>Passed on test</t>
        </is>
      </c>
      <c r="AA44" s="16" t="inlineStr">
        <is>
          <t>Passed on test</t>
        </is>
      </c>
      <c r="AB44" s="16" t="inlineStr">
        <is>
          <t>Passed on test</t>
        </is>
      </c>
    </row>
    <row r="45">
      <c r="A45" s="2" t="inlineStr">
        <is>
          <t>issue_747</t>
        </is>
      </c>
      <c r="B45" s="13" t="inlineStr">
        <is>
          <t>NOT_TESTED</t>
        </is>
      </c>
      <c r="C45" s="13" t="inlineStr">
        <is>
          <t>NOT_TESTED</t>
        </is>
      </c>
      <c r="D45" s="13" t="inlineStr">
        <is>
          <t>NOT_TESTED</t>
        </is>
      </c>
      <c r="E45" s="13" t="inlineStr">
        <is>
          <t>NOT_TESTED</t>
        </is>
      </c>
      <c r="F45" s="16" t="inlineStr">
        <is>
          <t>Passed on test</t>
        </is>
      </c>
      <c r="G45" s="16" t="inlineStr">
        <is>
          <t>Passed on test</t>
        </is>
      </c>
      <c r="H45" s="16" t="inlineStr">
        <is>
          <t>Passed on test</t>
        </is>
      </c>
      <c r="I45" s="16" t="inlineStr">
        <is>
          <t>Passed on test</t>
        </is>
      </c>
      <c r="J45" s="16" t="inlineStr">
        <is>
          <t>Passed on test</t>
        </is>
      </c>
      <c r="K45" s="16" t="inlineStr">
        <is>
          <t>Passed on test</t>
        </is>
      </c>
      <c r="L45" s="16" t="inlineStr">
        <is>
          <t>Passed on test</t>
        </is>
      </c>
      <c r="M45" s="16" t="inlineStr">
        <is>
          <t>Passed on test</t>
        </is>
      </c>
      <c r="N45" s="13" t="inlineStr">
        <is>
          <t>NOT_TESTED</t>
        </is>
      </c>
      <c r="O45" s="13" t="inlineStr">
        <is>
          <t>NOT_TESTED</t>
        </is>
      </c>
      <c r="P45" s="13" t="inlineStr">
        <is>
          <t>NOT_TESTED</t>
        </is>
      </c>
      <c r="Q45" s="13" t="inlineStr">
        <is>
          <t>NOT_TESTED</t>
        </is>
      </c>
      <c r="R45" s="13" t="inlineStr">
        <is>
          <t>NOT_TESTED</t>
        </is>
      </c>
      <c r="S45" s="13" t="inlineStr">
        <is>
          <t>NOT_TESTED</t>
        </is>
      </c>
      <c r="T45" s="13" t="inlineStr">
        <is>
          <t>NOT_TESTED</t>
        </is>
      </c>
      <c r="U45" s="13" t="inlineStr">
        <is>
          <t>NOT_TESTED</t>
        </is>
      </c>
      <c r="V45" s="13" t="inlineStr">
        <is>
          <t>NOT_TESTED</t>
        </is>
      </c>
      <c r="W45" s="13" t="inlineStr">
        <is>
          <t>NOT_TESTED</t>
        </is>
      </c>
      <c r="X45" s="13" t="inlineStr">
        <is>
          <t>NOT_TESTED</t>
        </is>
      </c>
      <c r="Y45" s="13" t="inlineStr">
        <is>
          <t>NOT_TESTED</t>
        </is>
      </c>
      <c r="Z45" s="13" t="inlineStr">
        <is>
          <t>NOT_TESTED</t>
        </is>
      </c>
      <c r="AA45" s="13" t="inlineStr">
        <is>
          <t>NOT_TESTED</t>
        </is>
      </c>
      <c r="AB45" s="13" t="inlineStr">
        <is>
          <t>NOT_TESTED</t>
        </is>
      </c>
    </row>
    <row r="46">
      <c r="A46" s="2" t="inlineStr">
        <is>
          <t>issue_750</t>
        </is>
      </c>
      <c r="B46" s="13" t="inlineStr">
        <is>
          <t>NOT_TESTED</t>
        </is>
      </c>
      <c r="C46" s="13" t="inlineStr">
        <is>
          <t>NOT_TESTED</t>
        </is>
      </c>
      <c r="D46" s="13" t="inlineStr">
        <is>
          <t>NOT_TESTED</t>
        </is>
      </c>
      <c r="E46" s="13" t="inlineStr">
        <is>
          <t>NOT_TESTED</t>
        </is>
      </c>
      <c r="F46" s="16" t="inlineStr">
        <is>
          <t>Passed on test</t>
        </is>
      </c>
      <c r="G46" s="16" t="inlineStr">
        <is>
          <t>Passed on test</t>
        </is>
      </c>
      <c r="H46" s="16" t="inlineStr">
        <is>
          <t>Passed on test</t>
        </is>
      </c>
      <c r="I46" s="16" t="inlineStr">
        <is>
          <t>Passed on test</t>
        </is>
      </c>
      <c r="J46" s="16" t="inlineStr">
        <is>
          <t>Passed on test</t>
        </is>
      </c>
      <c r="K46" s="16" t="inlineStr">
        <is>
          <t>Passed on test</t>
        </is>
      </c>
      <c r="L46" s="16" t="inlineStr">
        <is>
          <t>Passed on test</t>
        </is>
      </c>
      <c r="M46" s="16" t="inlineStr">
        <is>
          <t>Passed on test</t>
        </is>
      </c>
      <c r="N46" s="16" t="inlineStr">
        <is>
          <t>Passed on test</t>
        </is>
      </c>
      <c r="O46" s="16" t="inlineStr">
        <is>
          <t>Passed on test</t>
        </is>
      </c>
      <c r="P46" s="16" t="inlineStr">
        <is>
          <t>Passed on test</t>
        </is>
      </c>
      <c r="Q46" s="16" t="inlineStr">
        <is>
          <t>Passed on test</t>
        </is>
      </c>
      <c r="R46" s="16" t="inlineStr">
        <is>
          <t>Passed on test</t>
        </is>
      </c>
      <c r="S46" s="16" t="inlineStr">
        <is>
          <t>Passed on test</t>
        </is>
      </c>
      <c r="T46" s="16" t="inlineStr">
        <is>
          <t>Passed on test</t>
        </is>
      </c>
      <c r="U46" s="16" t="inlineStr">
        <is>
          <t>Passed on test</t>
        </is>
      </c>
      <c r="V46" s="16" t="inlineStr">
        <is>
          <t>Passed on test</t>
        </is>
      </c>
      <c r="W46" s="16" t="inlineStr">
        <is>
          <t>Passed on test</t>
        </is>
      </c>
      <c r="X46" s="16" t="inlineStr">
        <is>
          <t>Passed on test</t>
        </is>
      </c>
      <c r="Y46" s="16" t="inlineStr">
        <is>
          <t>Passed on test</t>
        </is>
      </c>
      <c r="Z46" s="16" t="inlineStr">
        <is>
          <t>Passed on test</t>
        </is>
      </c>
      <c r="AA46" s="16" t="inlineStr">
        <is>
          <t>Passed on test</t>
        </is>
      </c>
      <c r="AB46" s="16" t="inlineStr">
        <is>
          <t>Passed on test</t>
        </is>
      </c>
    </row>
    <row r="47">
      <c r="A47" s="2" t="inlineStr">
        <is>
          <t>issue_769</t>
        </is>
      </c>
      <c r="B47" s="13" t="inlineStr">
        <is>
          <t>NOT_TESTED</t>
        </is>
      </c>
      <c r="C47" s="13" t="inlineStr">
        <is>
          <t>NOT_TESTED</t>
        </is>
      </c>
      <c r="D47" s="13" t="inlineStr">
        <is>
          <t>NOT_TESTED</t>
        </is>
      </c>
      <c r="E47" s="13" t="inlineStr">
        <is>
          <t>NOT_TESTED</t>
        </is>
      </c>
      <c r="F47" s="13" t="inlineStr">
        <is>
          <t>NOT_TESTED</t>
        </is>
      </c>
      <c r="G47" s="13" t="inlineStr">
        <is>
          <t>NOT_TESTED</t>
        </is>
      </c>
      <c r="H47" s="13" t="inlineStr">
        <is>
          <t>NOT_TESTED</t>
        </is>
      </c>
      <c r="I47" s="13" t="inlineStr">
        <is>
          <t>NOT_TESTED</t>
        </is>
      </c>
      <c r="J47" s="13" t="inlineStr">
        <is>
          <t>NOT_TESTED</t>
        </is>
      </c>
      <c r="K47" s="13" t="inlineStr">
        <is>
          <t>NOT_TESTED</t>
        </is>
      </c>
      <c r="L47" s="13" t="inlineStr">
        <is>
          <t>NOT_TESTED</t>
        </is>
      </c>
      <c r="M47" s="13" t="inlineStr">
        <is>
          <t>NOT_TESTED</t>
        </is>
      </c>
      <c r="N47" s="14" t="inlineStr">
        <is>
          <t>Runtime error</t>
        </is>
      </c>
      <c r="O47" s="14" t="inlineStr">
        <is>
          <t>Runtime error</t>
        </is>
      </c>
      <c r="P47" s="14" t="inlineStr">
        <is>
          <t>Runtime error</t>
        </is>
      </c>
      <c r="Q47" s="14" t="inlineStr">
        <is>
          <t>Runtime error</t>
        </is>
      </c>
      <c r="R47" s="14" t="inlineStr">
        <is>
          <t>Runtime error</t>
        </is>
      </c>
      <c r="S47" s="14" t="inlineStr">
        <is>
          <t>Runtime error</t>
        </is>
      </c>
      <c r="T47" s="14" t="inlineStr">
        <is>
          <t>Runtime error</t>
        </is>
      </c>
      <c r="U47" s="14" t="inlineStr">
        <is>
          <t>Runtime error</t>
        </is>
      </c>
      <c r="V47" s="14" t="inlineStr">
        <is>
          <t>Runtime error</t>
        </is>
      </c>
      <c r="W47" s="14" t="inlineStr">
        <is>
          <t>Runtime error</t>
        </is>
      </c>
      <c r="X47" s="14" t="inlineStr">
        <is>
          <t>Runtime error</t>
        </is>
      </c>
      <c r="Y47" s="14" t="inlineStr">
        <is>
          <t>Runtime error</t>
        </is>
      </c>
      <c r="Z47" s="14" t="inlineStr">
        <is>
          <t>Runtime error</t>
        </is>
      </c>
      <c r="AA47" s="14" t="inlineStr">
        <is>
          <t>Runtime error</t>
        </is>
      </c>
      <c r="AB47" s="14" t="inlineStr">
        <is>
          <t>Runtime error</t>
        </is>
      </c>
    </row>
    <row r="48">
      <c r="A48" s="2" t="inlineStr">
        <is>
          <t>issue_773</t>
        </is>
      </c>
      <c r="B48" s="13" t="inlineStr">
        <is>
          <t>NOT_TESTED</t>
        </is>
      </c>
      <c r="C48" s="13" t="inlineStr">
        <is>
          <t>NOT_TESTED</t>
        </is>
      </c>
      <c r="D48" s="13" t="inlineStr">
        <is>
          <t>NOT_TESTED</t>
        </is>
      </c>
      <c r="E48" s="13" t="inlineStr">
        <is>
          <t>NOT_TESTED</t>
        </is>
      </c>
      <c r="F48" s="16" t="inlineStr">
        <is>
          <t>Passed on test</t>
        </is>
      </c>
      <c r="G48" s="16" t="inlineStr">
        <is>
          <t>Passed on test</t>
        </is>
      </c>
      <c r="H48" s="16" t="inlineStr">
        <is>
          <t>Passed on test</t>
        </is>
      </c>
      <c r="I48" s="16" t="inlineStr">
        <is>
          <t>Passed on test</t>
        </is>
      </c>
      <c r="J48" s="16" t="inlineStr">
        <is>
          <t>Passed on test</t>
        </is>
      </c>
      <c r="K48" s="16" t="inlineStr">
        <is>
          <t>Passed on test</t>
        </is>
      </c>
      <c r="L48" s="16" t="inlineStr">
        <is>
          <t>Passed on test</t>
        </is>
      </c>
      <c r="M48" s="16" t="inlineStr">
        <is>
          <t>Passed on test</t>
        </is>
      </c>
      <c r="N48" s="13" t="inlineStr">
        <is>
          <t>NOT_TESTED</t>
        </is>
      </c>
      <c r="O48" s="13" t="inlineStr">
        <is>
          <t>NOT_TESTED</t>
        </is>
      </c>
      <c r="P48" s="13" t="inlineStr">
        <is>
          <t>NOT_TESTED</t>
        </is>
      </c>
      <c r="Q48" s="13" t="inlineStr">
        <is>
          <t>NOT_TESTED</t>
        </is>
      </c>
      <c r="R48" s="13" t="inlineStr">
        <is>
          <t>NOT_TESTED</t>
        </is>
      </c>
      <c r="S48" s="13" t="inlineStr">
        <is>
          <t>NOT_TESTED</t>
        </is>
      </c>
      <c r="T48" s="13" t="inlineStr">
        <is>
          <t>NOT_TESTED</t>
        </is>
      </c>
      <c r="U48" s="13" t="inlineStr">
        <is>
          <t>NOT_TESTED</t>
        </is>
      </c>
      <c r="V48" s="13" t="inlineStr">
        <is>
          <t>NOT_TESTED</t>
        </is>
      </c>
      <c r="W48" s="13" t="inlineStr">
        <is>
          <t>NOT_TESTED</t>
        </is>
      </c>
      <c r="X48" s="13" t="inlineStr">
        <is>
          <t>NOT_TESTED</t>
        </is>
      </c>
      <c r="Y48" s="13" t="inlineStr">
        <is>
          <t>NOT_TESTED</t>
        </is>
      </c>
      <c r="Z48" s="13" t="inlineStr">
        <is>
          <t>NOT_TESTED</t>
        </is>
      </c>
      <c r="AA48" s="13" t="inlineStr">
        <is>
          <t>NOT_TESTED</t>
        </is>
      </c>
      <c r="AB48" s="13" t="inlineStr">
        <is>
          <t>NOT_TESTED</t>
        </is>
      </c>
    </row>
    <row r="49">
      <c r="A49" s="2" t="inlineStr">
        <is>
          <t>issue_775</t>
        </is>
      </c>
      <c r="B49" s="16" t="inlineStr">
        <is>
          <t>Runtime error</t>
        </is>
      </c>
      <c r="C49" s="16" t="inlineStr">
        <is>
          <t>Runtime error</t>
        </is>
      </c>
      <c r="D49" s="16" t="inlineStr">
        <is>
          <t>Runtime error</t>
        </is>
      </c>
      <c r="E49" s="16" t="inlineStr">
        <is>
          <t>Runtime error</t>
        </is>
      </c>
      <c r="F49" s="16" t="inlineStr">
        <is>
          <t>Runtime error</t>
        </is>
      </c>
      <c r="G49" s="16" t="inlineStr">
        <is>
          <t>Runtime error</t>
        </is>
      </c>
      <c r="H49" s="16" t="inlineStr">
        <is>
          <t>Runtime error</t>
        </is>
      </c>
      <c r="I49" s="16" t="inlineStr">
        <is>
          <t>Runtime error</t>
        </is>
      </c>
      <c r="J49" s="16" t="inlineStr">
        <is>
          <t>Runtime error</t>
        </is>
      </c>
      <c r="K49" s="16" t="inlineStr">
        <is>
          <t>Runtime error</t>
        </is>
      </c>
      <c r="L49" s="16" t="inlineStr">
        <is>
          <t>Runtime error</t>
        </is>
      </c>
      <c r="M49" s="16" t="inlineStr">
        <is>
          <t>Runtime error</t>
        </is>
      </c>
      <c r="N49" s="13" t="inlineStr">
        <is>
          <t>NOT_TESTED</t>
        </is>
      </c>
      <c r="O49" s="13" t="inlineStr">
        <is>
          <t>NOT_TESTED</t>
        </is>
      </c>
      <c r="P49" s="13" t="inlineStr">
        <is>
          <t>NOT_TESTED</t>
        </is>
      </c>
      <c r="Q49" s="13" t="inlineStr">
        <is>
          <t>NOT_TESTED</t>
        </is>
      </c>
      <c r="R49" s="13" t="inlineStr">
        <is>
          <t>NOT_TESTED</t>
        </is>
      </c>
      <c r="S49" s="13" t="inlineStr">
        <is>
          <t>NOT_TESTED</t>
        </is>
      </c>
      <c r="T49" s="13" t="inlineStr">
        <is>
          <t>NOT_TESTED</t>
        </is>
      </c>
      <c r="U49" s="13" t="inlineStr">
        <is>
          <t>NOT_TESTED</t>
        </is>
      </c>
      <c r="V49" s="13" t="inlineStr">
        <is>
          <t>NOT_TESTED</t>
        </is>
      </c>
      <c r="W49" s="13" t="inlineStr">
        <is>
          <t>NOT_TESTED</t>
        </is>
      </c>
      <c r="X49" s="13" t="inlineStr">
        <is>
          <t>NOT_TESTED</t>
        </is>
      </c>
      <c r="Y49" s="13" t="inlineStr">
        <is>
          <t>NOT_TESTED</t>
        </is>
      </c>
      <c r="Z49" s="13" t="inlineStr">
        <is>
          <t>NOT_TESTED</t>
        </is>
      </c>
      <c r="AA49" s="13" t="inlineStr">
        <is>
          <t>NOT_TESTED</t>
        </is>
      </c>
      <c r="AB49" s="13" t="inlineStr">
        <is>
          <t>NOT_TESTED</t>
        </is>
      </c>
    </row>
    <row r="50">
      <c r="A50" s="2" t="inlineStr">
        <is>
          <t>issue_795</t>
        </is>
      </c>
      <c r="B50" s="16" t="inlineStr">
        <is>
          <t>Passed on test</t>
        </is>
      </c>
      <c r="C50" s="16" t="inlineStr">
        <is>
          <t>Passed on test</t>
        </is>
      </c>
      <c r="D50" s="16" t="inlineStr">
        <is>
          <t>Passed on test</t>
        </is>
      </c>
      <c r="E50" s="16" t="inlineStr">
        <is>
          <t>Passed on test</t>
        </is>
      </c>
      <c r="F50" s="16" t="inlineStr">
        <is>
          <t>Passed on test</t>
        </is>
      </c>
      <c r="G50" s="16" t="inlineStr">
        <is>
          <t>Passed on test</t>
        </is>
      </c>
      <c r="H50" s="16" t="inlineStr">
        <is>
          <t>Passed on test</t>
        </is>
      </c>
      <c r="I50" s="16" t="inlineStr">
        <is>
          <t>Passed on test</t>
        </is>
      </c>
      <c r="J50" s="16" t="inlineStr">
        <is>
          <t>Passed on test</t>
        </is>
      </c>
      <c r="K50" s="16" t="inlineStr">
        <is>
          <t>Passed on test</t>
        </is>
      </c>
      <c r="L50" s="16" t="inlineStr">
        <is>
          <t>Passed on test</t>
        </is>
      </c>
      <c r="M50" s="16" t="inlineStr">
        <is>
          <t>Passed on test</t>
        </is>
      </c>
      <c r="N50" s="13" t="inlineStr">
        <is>
          <t>NOT_TESTED</t>
        </is>
      </c>
      <c r="O50" s="13" t="inlineStr">
        <is>
          <t>NOT_TESTED</t>
        </is>
      </c>
      <c r="P50" s="13" t="inlineStr">
        <is>
          <t>NOT_TESTED</t>
        </is>
      </c>
      <c r="Q50" s="13" t="inlineStr">
        <is>
          <t>NOT_TESTED</t>
        </is>
      </c>
      <c r="R50" s="13" t="inlineStr">
        <is>
          <t>NOT_TESTED</t>
        </is>
      </c>
      <c r="S50" s="13" t="inlineStr">
        <is>
          <t>NOT_TESTED</t>
        </is>
      </c>
      <c r="T50" s="13" t="inlineStr">
        <is>
          <t>NOT_TESTED</t>
        </is>
      </c>
      <c r="U50" s="13" t="inlineStr">
        <is>
          <t>NOT_TESTED</t>
        </is>
      </c>
      <c r="V50" s="13" t="inlineStr">
        <is>
          <t>NOT_TESTED</t>
        </is>
      </c>
      <c r="W50" s="13" t="inlineStr">
        <is>
          <t>NOT_TESTED</t>
        </is>
      </c>
      <c r="X50" s="13" t="inlineStr">
        <is>
          <t>NOT_TESTED</t>
        </is>
      </c>
      <c r="Y50" s="13" t="inlineStr">
        <is>
          <t>NOT_TESTED</t>
        </is>
      </c>
      <c r="Z50" s="13" t="inlineStr">
        <is>
          <t>NOT_TESTED</t>
        </is>
      </c>
      <c r="AA50" s="13" t="inlineStr">
        <is>
          <t>NOT_TESTED</t>
        </is>
      </c>
      <c r="AB50" s="13" t="inlineStr">
        <is>
          <t>NOT_TESTED</t>
        </is>
      </c>
    </row>
    <row r="51">
      <c r="A51" s="2" t="inlineStr">
        <is>
          <t>issue_803</t>
        </is>
      </c>
      <c r="B51" s="15" t="inlineStr">
        <is>
          <t>Failed on test</t>
        </is>
      </c>
      <c r="C51" s="15" t="inlineStr">
        <is>
          <t>Failed on test</t>
        </is>
      </c>
      <c r="D51" s="15" t="inlineStr">
        <is>
          <t>Failed on test</t>
        </is>
      </c>
      <c r="E51" s="15" t="inlineStr">
        <is>
          <t>Failed on test</t>
        </is>
      </c>
      <c r="F51" s="14" t="inlineStr">
        <is>
          <t>Runtime error</t>
        </is>
      </c>
      <c r="G51" s="14" t="inlineStr">
        <is>
          <t>Runtime error</t>
        </is>
      </c>
      <c r="H51" s="14" t="inlineStr">
        <is>
          <t>Runtime error</t>
        </is>
      </c>
      <c r="I51" s="14" t="inlineStr">
        <is>
          <t>Runtime error</t>
        </is>
      </c>
      <c r="J51" s="14" t="inlineStr">
        <is>
          <t>Runtime error</t>
        </is>
      </c>
      <c r="K51" s="14" t="inlineStr">
        <is>
          <t>Runtime error</t>
        </is>
      </c>
      <c r="L51" s="14" t="inlineStr">
        <is>
          <t>Runtime error</t>
        </is>
      </c>
      <c r="M51" s="14" t="inlineStr">
        <is>
          <t>Runtime error</t>
        </is>
      </c>
      <c r="N51" s="13" t="inlineStr">
        <is>
          <t>NOT_TESTED</t>
        </is>
      </c>
      <c r="O51" s="13" t="inlineStr">
        <is>
          <t>NOT_TESTED</t>
        </is>
      </c>
      <c r="P51" s="13" t="inlineStr">
        <is>
          <t>NOT_TESTED</t>
        </is>
      </c>
      <c r="Q51" s="13" t="inlineStr">
        <is>
          <t>NOT_TESTED</t>
        </is>
      </c>
      <c r="R51" s="13" t="inlineStr">
        <is>
          <t>NOT_TESTED</t>
        </is>
      </c>
      <c r="S51" s="13" t="inlineStr">
        <is>
          <t>NOT_TESTED</t>
        </is>
      </c>
      <c r="T51" s="13" t="inlineStr">
        <is>
          <t>NOT_TESTED</t>
        </is>
      </c>
      <c r="U51" s="13" t="inlineStr">
        <is>
          <t>NOT_TESTED</t>
        </is>
      </c>
      <c r="V51" s="13" t="inlineStr">
        <is>
          <t>NOT_TESTED</t>
        </is>
      </c>
      <c r="W51" s="13" t="inlineStr">
        <is>
          <t>NOT_TESTED</t>
        </is>
      </c>
      <c r="X51" s="13" t="inlineStr">
        <is>
          <t>NOT_TESTED</t>
        </is>
      </c>
      <c r="Y51" s="13" t="inlineStr">
        <is>
          <t>NOT_TESTED</t>
        </is>
      </c>
      <c r="Z51" s="13" t="inlineStr">
        <is>
          <t>NOT_TESTED</t>
        </is>
      </c>
      <c r="AA51" s="13" t="inlineStr">
        <is>
          <t>NOT_TESTED</t>
        </is>
      </c>
      <c r="AB51" s="13" t="inlineStr">
        <is>
          <t>NOT_TESTED</t>
        </is>
      </c>
    </row>
    <row r="52">
      <c r="A52" s="2" t="inlineStr">
        <is>
          <t>issue_810</t>
        </is>
      </c>
      <c r="B52" s="13" t="inlineStr">
        <is>
          <t>NOT_TESTED</t>
        </is>
      </c>
      <c r="C52" s="13" t="inlineStr">
        <is>
          <t>NOT_TESTED</t>
        </is>
      </c>
      <c r="D52" s="13" t="inlineStr">
        <is>
          <t>NOT_TESTED</t>
        </is>
      </c>
      <c r="E52" s="13" t="inlineStr">
        <is>
          <t>NOT_TESTED</t>
        </is>
      </c>
      <c r="F52" s="13" t="inlineStr">
        <is>
          <t>NOT_TESTED</t>
        </is>
      </c>
      <c r="G52" s="15" t="inlineStr">
        <is>
          <t>Failed on test</t>
        </is>
      </c>
      <c r="H52" s="13" t="inlineStr">
        <is>
          <t>NOT_TESTED</t>
        </is>
      </c>
      <c r="I52" s="13" t="inlineStr">
        <is>
          <t>NOT_TESTED</t>
        </is>
      </c>
      <c r="J52" s="13" t="inlineStr">
        <is>
          <t>NOT_TESTED</t>
        </is>
      </c>
      <c r="K52" s="13" t="inlineStr">
        <is>
          <t>NOT_TESTED</t>
        </is>
      </c>
      <c r="L52" s="15" t="inlineStr">
        <is>
          <t>Failed on test</t>
        </is>
      </c>
      <c r="M52" s="13" t="inlineStr">
        <is>
          <t>NOT_TESTED</t>
        </is>
      </c>
      <c r="N52" s="13" t="inlineStr">
        <is>
          <t>NOT_TESTED</t>
        </is>
      </c>
      <c r="O52" s="13" t="inlineStr">
        <is>
          <t>NOT_TESTED</t>
        </is>
      </c>
      <c r="P52" s="13" t="inlineStr">
        <is>
          <t>NOT_TESTED</t>
        </is>
      </c>
      <c r="Q52" s="13" t="inlineStr">
        <is>
          <t>NOT_TESTED</t>
        </is>
      </c>
      <c r="R52" s="13" t="inlineStr">
        <is>
          <t>NOT_TESTED</t>
        </is>
      </c>
      <c r="S52" s="13" t="inlineStr">
        <is>
          <t>NOT_TESTED</t>
        </is>
      </c>
      <c r="T52" s="13" t="inlineStr">
        <is>
          <t>NOT_TESTED</t>
        </is>
      </c>
      <c r="U52" s="13" t="inlineStr">
        <is>
          <t>NOT_TESTED</t>
        </is>
      </c>
      <c r="V52" s="13" t="inlineStr">
        <is>
          <t>NOT_TESTED</t>
        </is>
      </c>
      <c r="W52" s="13" t="inlineStr">
        <is>
          <t>NOT_TESTED</t>
        </is>
      </c>
      <c r="X52" s="13" t="inlineStr">
        <is>
          <t>NOT_TESTED</t>
        </is>
      </c>
      <c r="Y52" s="13" t="inlineStr">
        <is>
          <t>NOT_TESTED</t>
        </is>
      </c>
      <c r="Z52" s="13" t="inlineStr">
        <is>
          <t>NOT_TESTED</t>
        </is>
      </c>
      <c r="AA52" s="13" t="inlineStr">
        <is>
          <t>NOT_TESTED</t>
        </is>
      </c>
      <c r="AB52" s="13" t="inlineStr">
        <is>
          <t>NOT_TESTED</t>
        </is>
      </c>
    </row>
    <row r="53">
      <c r="A53" s="2" t="inlineStr">
        <is>
          <t>issue_816</t>
        </is>
      </c>
      <c r="B53" s="13" t="inlineStr">
        <is>
          <t>NOT_TESTED</t>
        </is>
      </c>
      <c r="C53" s="13" t="inlineStr">
        <is>
          <t>NOT_TESTED</t>
        </is>
      </c>
      <c r="D53" s="13" t="inlineStr">
        <is>
          <t>NOT_TESTED</t>
        </is>
      </c>
      <c r="E53" s="13" t="inlineStr">
        <is>
          <t>NOT_TESTED</t>
        </is>
      </c>
      <c r="F53" s="16" t="inlineStr">
        <is>
          <t>Passed on test</t>
        </is>
      </c>
      <c r="G53" s="16" t="inlineStr">
        <is>
          <t>Passed on test</t>
        </is>
      </c>
      <c r="H53" s="16" t="inlineStr">
        <is>
          <t>Passed on test</t>
        </is>
      </c>
      <c r="I53" s="16" t="inlineStr">
        <is>
          <t>Passed on test</t>
        </is>
      </c>
      <c r="J53" s="16" t="inlineStr">
        <is>
          <t>Passed on test</t>
        </is>
      </c>
      <c r="K53" s="16" t="inlineStr">
        <is>
          <t>Passed on test</t>
        </is>
      </c>
      <c r="L53" s="16" t="inlineStr">
        <is>
          <t>Passed on test</t>
        </is>
      </c>
      <c r="M53" s="16" t="inlineStr">
        <is>
          <t>Passed on test</t>
        </is>
      </c>
      <c r="N53" s="16" t="inlineStr">
        <is>
          <t>Passed on test</t>
        </is>
      </c>
      <c r="O53" s="16" t="inlineStr">
        <is>
          <t>Passed on test</t>
        </is>
      </c>
      <c r="P53" s="16" t="inlineStr">
        <is>
          <t>Passed on test</t>
        </is>
      </c>
      <c r="Q53" s="16" t="inlineStr">
        <is>
          <t>Passed on test</t>
        </is>
      </c>
      <c r="R53" s="16" t="inlineStr">
        <is>
          <t>Passed on test</t>
        </is>
      </c>
      <c r="S53" s="16" t="inlineStr">
        <is>
          <t>Passed on test</t>
        </is>
      </c>
      <c r="T53" s="16" t="inlineStr">
        <is>
          <t>Passed on test</t>
        </is>
      </c>
      <c r="U53" s="16" t="inlineStr">
        <is>
          <t>Passed on test</t>
        </is>
      </c>
      <c r="V53" s="16" t="inlineStr">
        <is>
          <t>Passed on test</t>
        </is>
      </c>
      <c r="W53" s="16" t="inlineStr">
        <is>
          <t>Passed on test</t>
        </is>
      </c>
      <c r="X53" s="16" t="inlineStr">
        <is>
          <t>Passed on test</t>
        </is>
      </c>
      <c r="Y53" s="16" t="inlineStr">
        <is>
          <t>Passed on test</t>
        </is>
      </c>
      <c r="Z53" s="16" t="inlineStr">
        <is>
          <t>Passed on test</t>
        </is>
      </c>
      <c r="AA53" s="16" t="inlineStr">
        <is>
          <t>Passed on test</t>
        </is>
      </c>
      <c r="AB53" s="16" t="inlineStr">
        <is>
          <t>Passed on test</t>
        </is>
      </c>
    </row>
    <row r="54">
      <c r="A54" s="2" t="inlineStr">
        <is>
          <t>issue_876</t>
        </is>
      </c>
      <c r="B54" s="13" t="inlineStr">
        <is>
          <t>NOT_TESTED</t>
        </is>
      </c>
      <c r="C54" s="13" t="inlineStr">
        <is>
          <t>NOT_TESTED</t>
        </is>
      </c>
      <c r="D54" s="13" t="inlineStr">
        <is>
          <t>NOT_TESTED</t>
        </is>
      </c>
      <c r="E54" s="13" t="inlineStr">
        <is>
          <t>NOT_TESTED</t>
        </is>
      </c>
      <c r="F54" s="13" t="inlineStr">
        <is>
          <t>NOT_TESTED</t>
        </is>
      </c>
      <c r="G54" s="13" t="inlineStr">
        <is>
          <t>NOT_TESTED</t>
        </is>
      </c>
      <c r="H54" s="13" t="inlineStr">
        <is>
          <t>NOT_TESTED</t>
        </is>
      </c>
      <c r="I54" s="13" t="inlineStr">
        <is>
          <t>NOT_TESTED</t>
        </is>
      </c>
      <c r="J54" s="13" t="inlineStr">
        <is>
          <t>NOT_TESTED</t>
        </is>
      </c>
      <c r="K54" s="13" t="inlineStr">
        <is>
          <t>NOT_TESTED</t>
        </is>
      </c>
      <c r="L54" s="13" t="inlineStr">
        <is>
          <t>NOT_TESTED</t>
        </is>
      </c>
      <c r="M54" s="13" t="inlineStr">
        <is>
          <t>NOT_TESTED</t>
        </is>
      </c>
      <c r="N54" s="14" t="inlineStr">
        <is>
          <t>Passed on test</t>
        </is>
      </c>
      <c r="O54" s="14" t="inlineStr">
        <is>
          <t>Passed on test</t>
        </is>
      </c>
      <c r="P54" s="14" t="inlineStr">
        <is>
          <t>Passed on test</t>
        </is>
      </c>
      <c r="Q54" s="14" t="inlineStr">
        <is>
          <t>Passed on test</t>
        </is>
      </c>
      <c r="R54" s="14" t="inlineStr">
        <is>
          <t>Passed on test</t>
        </is>
      </c>
      <c r="S54" s="14" t="inlineStr">
        <is>
          <t>Passed on test</t>
        </is>
      </c>
      <c r="T54" s="14" t="inlineStr">
        <is>
          <t>Passed on test</t>
        </is>
      </c>
      <c r="U54" s="14" t="inlineStr">
        <is>
          <t>Passed on test</t>
        </is>
      </c>
      <c r="V54" s="14" t="inlineStr">
        <is>
          <t>Passed on test</t>
        </is>
      </c>
      <c r="W54" s="14" t="inlineStr">
        <is>
          <t>Passed on test</t>
        </is>
      </c>
      <c r="X54" s="14" t="inlineStr">
        <is>
          <t>Passed on test</t>
        </is>
      </c>
      <c r="Y54" s="14" t="inlineStr">
        <is>
          <t>Passed on test</t>
        </is>
      </c>
      <c r="Z54" s="14" t="inlineStr">
        <is>
          <t>Passed on test</t>
        </is>
      </c>
      <c r="AA54" s="14" t="inlineStr">
        <is>
          <t>Passed on test</t>
        </is>
      </c>
      <c r="AB54" s="14" t="inlineStr">
        <is>
          <t>Passed on test</t>
        </is>
      </c>
    </row>
    <row r="55">
      <c r="A55" s="2" t="inlineStr">
        <is>
          <t>issue_877</t>
        </is>
      </c>
      <c r="B55" s="13" t="inlineStr">
        <is>
          <t>NOT_TESTED</t>
        </is>
      </c>
      <c r="C55" s="13" t="inlineStr">
        <is>
          <t>NOT_TESTED</t>
        </is>
      </c>
      <c r="D55" s="13" t="inlineStr">
        <is>
          <t>NOT_TESTED</t>
        </is>
      </c>
      <c r="E55" s="13" t="inlineStr">
        <is>
          <t>NOT_TESTED</t>
        </is>
      </c>
      <c r="F55" s="14" t="inlineStr">
        <is>
          <t>Runtime error</t>
        </is>
      </c>
      <c r="G55" s="14" t="inlineStr">
        <is>
          <t>Runtime error</t>
        </is>
      </c>
      <c r="H55" s="14" t="inlineStr">
        <is>
          <t>Runtime error</t>
        </is>
      </c>
      <c r="I55" s="14" t="inlineStr">
        <is>
          <t>Runtime error</t>
        </is>
      </c>
      <c r="J55" s="14" t="inlineStr">
        <is>
          <t>Runtime error</t>
        </is>
      </c>
      <c r="K55" s="14" t="inlineStr">
        <is>
          <t>Runtime error</t>
        </is>
      </c>
      <c r="L55" s="14" t="inlineStr">
        <is>
          <t>Runtime error</t>
        </is>
      </c>
      <c r="M55" s="14" t="inlineStr">
        <is>
          <t>Runtime error</t>
        </is>
      </c>
      <c r="N55" s="13" t="inlineStr">
        <is>
          <t>NOT_TESTED</t>
        </is>
      </c>
      <c r="O55" s="13" t="inlineStr">
        <is>
          <t>NOT_TESTED</t>
        </is>
      </c>
      <c r="P55" s="13" t="inlineStr">
        <is>
          <t>NOT_TESTED</t>
        </is>
      </c>
      <c r="Q55" s="13" t="inlineStr">
        <is>
          <t>NOT_TESTED</t>
        </is>
      </c>
      <c r="R55" s="13" t="inlineStr">
        <is>
          <t>NOT_TESTED</t>
        </is>
      </c>
      <c r="S55" s="13" t="inlineStr">
        <is>
          <t>NOT_TESTED</t>
        </is>
      </c>
      <c r="T55" s="13" t="inlineStr">
        <is>
          <t>NOT_TESTED</t>
        </is>
      </c>
      <c r="U55" s="13" t="inlineStr">
        <is>
          <t>NOT_TESTED</t>
        </is>
      </c>
      <c r="V55" s="13" t="inlineStr">
        <is>
          <t>NOT_TESTED</t>
        </is>
      </c>
      <c r="W55" s="13" t="inlineStr">
        <is>
          <t>NOT_TESTED</t>
        </is>
      </c>
      <c r="X55" s="13" t="inlineStr">
        <is>
          <t>NOT_TESTED</t>
        </is>
      </c>
      <c r="Y55" s="13" t="inlineStr">
        <is>
          <t>NOT_TESTED</t>
        </is>
      </c>
      <c r="Z55" s="13" t="inlineStr">
        <is>
          <t>NOT_TESTED</t>
        </is>
      </c>
      <c r="AA55" s="13" t="inlineStr">
        <is>
          <t>NOT_TESTED</t>
        </is>
      </c>
      <c r="AB55" s="13" t="inlineStr">
        <is>
          <t>NOT_TESTED</t>
        </is>
      </c>
    </row>
    <row r="56">
      <c r="A56" s="2" t="inlineStr">
        <is>
          <t>issue_886</t>
        </is>
      </c>
      <c r="B56" s="13" t="inlineStr">
        <is>
          <t>NOT_TESTED</t>
        </is>
      </c>
      <c r="C56" s="13" t="inlineStr">
        <is>
          <t>NOT_TESTED</t>
        </is>
      </c>
      <c r="D56" s="13" t="inlineStr">
        <is>
          <t>NOT_TESTED</t>
        </is>
      </c>
      <c r="E56" s="13" t="inlineStr">
        <is>
          <t>NOT_TESTED</t>
        </is>
      </c>
      <c r="F56" s="16" t="inlineStr">
        <is>
          <t>Failed on test</t>
        </is>
      </c>
      <c r="G56" s="16" t="inlineStr">
        <is>
          <t>Failed on test</t>
        </is>
      </c>
      <c r="H56" s="13" t="inlineStr">
        <is>
          <t>NOT_TESTED</t>
        </is>
      </c>
      <c r="I56" s="13" t="inlineStr">
        <is>
          <t>NOT_TESTED</t>
        </is>
      </c>
      <c r="J56" s="13" t="inlineStr">
        <is>
          <t>NOT_TESTED</t>
        </is>
      </c>
      <c r="K56" s="13" t="inlineStr">
        <is>
          <t>NOT_TESTED</t>
        </is>
      </c>
      <c r="L56" s="13" t="inlineStr">
        <is>
          <t>NOT_TESTED</t>
        </is>
      </c>
      <c r="M56" s="13" t="inlineStr">
        <is>
          <t>NOT_TESTED</t>
        </is>
      </c>
      <c r="N56" s="13" t="inlineStr">
        <is>
          <t>NOT_TESTED</t>
        </is>
      </c>
      <c r="O56" s="13" t="inlineStr">
        <is>
          <t>NOT_TESTED</t>
        </is>
      </c>
      <c r="P56" s="13" t="inlineStr">
        <is>
          <t>NOT_TESTED</t>
        </is>
      </c>
      <c r="Q56" s="13" t="inlineStr">
        <is>
          <t>NOT_TESTED</t>
        </is>
      </c>
      <c r="R56" s="13" t="inlineStr">
        <is>
          <t>NOT_TESTED</t>
        </is>
      </c>
      <c r="S56" s="13" t="inlineStr">
        <is>
          <t>NOT_TESTED</t>
        </is>
      </c>
      <c r="T56" s="13" t="inlineStr">
        <is>
          <t>NOT_TESTED</t>
        </is>
      </c>
      <c r="U56" s="13" t="inlineStr">
        <is>
          <t>NOT_TESTED</t>
        </is>
      </c>
      <c r="V56" s="13" t="inlineStr">
        <is>
          <t>NOT_TESTED</t>
        </is>
      </c>
      <c r="W56" s="13" t="inlineStr">
        <is>
          <t>NOT_TESTED</t>
        </is>
      </c>
      <c r="X56" s="13" t="inlineStr">
        <is>
          <t>NOT_TESTED</t>
        </is>
      </c>
      <c r="Y56" s="13" t="inlineStr">
        <is>
          <t>NOT_TESTED</t>
        </is>
      </c>
      <c r="Z56" s="13" t="inlineStr">
        <is>
          <t>NOT_TESTED</t>
        </is>
      </c>
      <c r="AA56" s="13" t="inlineStr">
        <is>
          <t>NOT_TESTED</t>
        </is>
      </c>
      <c r="AB56" s="13" t="inlineStr">
        <is>
          <t>NOT_TESTED</t>
        </is>
      </c>
    </row>
    <row r="57">
      <c r="A57" s="2" t="inlineStr">
        <is>
          <t>issue_889</t>
        </is>
      </c>
      <c r="B57" s="14" t="inlineStr">
        <is>
          <t>Runtime error</t>
        </is>
      </c>
      <c r="C57" s="14" t="inlineStr">
        <is>
          <t>Runtime error</t>
        </is>
      </c>
      <c r="D57" s="14" t="inlineStr">
        <is>
          <t>Runtime error</t>
        </is>
      </c>
      <c r="E57" s="14" t="inlineStr">
        <is>
          <t>Runtime error</t>
        </is>
      </c>
      <c r="F57" s="15" t="inlineStr">
        <is>
          <t>Failed on test</t>
        </is>
      </c>
      <c r="G57" s="15" t="inlineStr">
        <is>
          <t>Failed on test</t>
        </is>
      </c>
      <c r="H57" s="15" t="inlineStr">
        <is>
          <t>Failed on test</t>
        </is>
      </c>
      <c r="I57" s="15" t="inlineStr">
        <is>
          <t>Failed on test</t>
        </is>
      </c>
      <c r="J57" s="15" t="inlineStr">
        <is>
          <t>Failed on test</t>
        </is>
      </c>
      <c r="K57" s="15" t="inlineStr">
        <is>
          <t>Failed on test</t>
        </is>
      </c>
      <c r="L57" s="15" t="inlineStr">
        <is>
          <t>Failed on test</t>
        </is>
      </c>
      <c r="M57" s="15" t="inlineStr">
        <is>
          <t>Failed on test</t>
        </is>
      </c>
      <c r="N57" s="13" t="inlineStr">
        <is>
          <t>NOT_TESTED</t>
        </is>
      </c>
      <c r="O57" s="13" t="inlineStr">
        <is>
          <t>NOT_TESTED</t>
        </is>
      </c>
      <c r="P57" s="13" t="inlineStr">
        <is>
          <t>NOT_TESTED</t>
        </is>
      </c>
      <c r="Q57" s="13" t="inlineStr">
        <is>
          <t>NOT_TESTED</t>
        </is>
      </c>
      <c r="R57" s="13" t="inlineStr">
        <is>
          <t>NOT_TESTED</t>
        </is>
      </c>
      <c r="S57" s="13" t="inlineStr">
        <is>
          <t>NOT_TESTED</t>
        </is>
      </c>
      <c r="T57" s="13" t="inlineStr">
        <is>
          <t>NOT_TESTED</t>
        </is>
      </c>
      <c r="U57" s="13" t="inlineStr">
        <is>
          <t>NOT_TESTED</t>
        </is>
      </c>
      <c r="V57" s="13" t="inlineStr">
        <is>
          <t>NOT_TESTED</t>
        </is>
      </c>
      <c r="W57" s="13" t="inlineStr">
        <is>
          <t>NOT_TESTED</t>
        </is>
      </c>
      <c r="X57" s="13" t="inlineStr">
        <is>
          <t>NOT_TESTED</t>
        </is>
      </c>
      <c r="Y57" s="13" t="inlineStr">
        <is>
          <t>NOT_TESTED</t>
        </is>
      </c>
      <c r="Z57" s="13" t="inlineStr">
        <is>
          <t>NOT_TESTED</t>
        </is>
      </c>
      <c r="AA57" s="13" t="inlineStr">
        <is>
          <t>NOT_TESTED</t>
        </is>
      </c>
      <c r="AB57" s="13" t="inlineStr">
        <is>
          <t>NOT_TESTED</t>
        </is>
      </c>
    </row>
    <row r="58">
      <c r="A58" s="2" t="inlineStr">
        <is>
          <t>issue_911</t>
        </is>
      </c>
      <c r="B58" s="13" t="inlineStr">
        <is>
          <t>NOT_TESTED</t>
        </is>
      </c>
      <c r="C58" s="13" t="inlineStr">
        <is>
          <t>NOT_TESTED</t>
        </is>
      </c>
      <c r="D58" s="13" t="inlineStr">
        <is>
          <t>NOT_TESTED</t>
        </is>
      </c>
      <c r="E58" s="13" t="inlineStr">
        <is>
          <t>NOT_TESTED</t>
        </is>
      </c>
      <c r="F58" s="15" t="inlineStr">
        <is>
          <t>Runtime error</t>
        </is>
      </c>
      <c r="G58" s="15" t="inlineStr">
        <is>
          <t>Runtime error</t>
        </is>
      </c>
      <c r="H58" s="15" t="inlineStr">
        <is>
          <t>Runtime error</t>
        </is>
      </c>
      <c r="I58" s="15" t="inlineStr">
        <is>
          <t>Runtime error</t>
        </is>
      </c>
      <c r="J58" s="15" t="inlineStr">
        <is>
          <t>Runtime error</t>
        </is>
      </c>
      <c r="K58" s="15" t="inlineStr">
        <is>
          <t>Runtime error</t>
        </is>
      </c>
      <c r="L58" s="15" t="inlineStr">
        <is>
          <t>Runtime error</t>
        </is>
      </c>
      <c r="M58" s="15" t="inlineStr">
        <is>
          <t>Runtime error</t>
        </is>
      </c>
      <c r="N58" s="15" t="inlineStr">
        <is>
          <t>Runtime error</t>
        </is>
      </c>
      <c r="O58" s="15" t="inlineStr">
        <is>
          <t>Runtime error</t>
        </is>
      </c>
      <c r="P58" s="15" t="inlineStr">
        <is>
          <t>Runtime error</t>
        </is>
      </c>
      <c r="Q58" s="15" t="inlineStr">
        <is>
          <t>Runtime error</t>
        </is>
      </c>
      <c r="R58" s="15" t="inlineStr">
        <is>
          <t>Runtime error</t>
        </is>
      </c>
      <c r="S58" s="15" t="inlineStr">
        <is>
          <t>Runtime error</t>
        </is>
      </c>
      <c r="T58" s="15" t="inlineStr">
        <is>
          <t>Runtime error</t>
        </is>
      </c>
      <c r="U58" s="15" t="inlineStr">
        <is>
          <t>Runtime error</t>
        </is>
      </c>
      <c r="V58" s="15" t="inlineStr">
        <is>
          <t>Runtime error</t>
        </is>
      </c>
      <c r="W58" s="15" t="inlineStr">
        <is>
          <t>Runtime error</t>
        </is>
      </c>
      <c r="X58" s="15" t="inlineStr">
        <is>
          <t>Runtime error</t>
        </is>
      </c>
      <c r="Y58" s="15" t="inlineStr">
        <is>
          <t>Runtime error</t>
        </is>
      </c>
      <c r="Z58" s="15" t="inlineStr">
        <is>
          <t>Runtime error</t>
        </is>
      </c>
      <c r="AA58" s="15" t="inlineStr">
        <is>
          <t>Runtime error</t>
        </is>
      </c>
      <c r="AB58" s="15" t="inlineStr">
        <is>
          <t>Runtime error</t>
        </is>
      </c>
    </row>
    <row r="59">
      <c r="A59" s="2" t="inlineStr">
        <is>
          <t>issue_925</t>
        </is>
      </c>
      <c r="B59" s="14" t="inlineStr">
        <is>
          <t>Runtime error</t>
        </is>
      </c>
      <c r="C59" s="14" t="inlineStr">
        <is>
          <t>Runtime error</t>
        </is>
      </c>
      <c r="D59" s="14" t="inlineStr">
        <is>
          <t>Runtime error</t>
        </is>
      </c>
      <c r="E59" s="14" t="inlineStr">
        <is>
          <t>Runtime error</t>
        </is>
      </c>
      <c r="F59" s="13" t="inlineStr">
        <is>
          <t>NOT_TESTED</t>
        </is>
      </c>
      <c r="G59" s="13" t="inlineStr">
        <is>
          <t>NOT_TESTED</t>
        </is>
      </c>
      <c r="H59" s="13" t="inlineStr">
        <is>
          <t>NOT_TESTED</t>
        </is>
      </c>
      <c r="I59" s="13" t="inlineStr">
        <is>
          <t>NOT_TESTED</t>
        </is>
      </c>
      <c r="J59" s="13" t="inlineStr">
        <is>
          <t>NOT_TESTED</t>
        </is>
      </c>
      <c r="K59" s="13" t="inlineStr">
        <is>
          <t>NOT_TESTED</t>
        </is>
      </c>
      <c r="L59" s="13" t="inlineStr">
        <is>
          <t>NOT_TESTED</t>
        </is>
      </c>
      <c r="M59" s="13" t="inlineStr">
        <is>
          <t>NOT_TESTED</t>
        </is>
      </c>
      <c r="N59" s="13" t="inlineStr">
        <is>
          <t>NOT_TESTED</t>
        </is>
      </c>
      <c r="O59" s="13" t="inlineStr">
        <is>
          <t>NOT_TESTED</t>
        </is>
      </c>
      <c r="P59" s="13" t="inlineStr">
        <is>
          <t>NOT_TESTED</t>
        </is>
      </c>
      <c r="Q59" s="13" t="inlineStr">
        <is>
          <t>NOT_TESTED</t>
        </is>
      </c>
      <c r="R59" s="13" t="inlineStr">
        <is>
          <t>NOT_TESTED</t>
        </is>
      </c>
      <c r="S59" s="13" t="inlineStr">
        <is>
          <t>NOT_TESTED</t>
        </is>
      </c>
      <c r="T59" s="13" t="inlineStr">
        <is>
          <t>NOT_TESTED</t>
        </is>
      </c>
      <c r="U59" s="13" t="inlineStr">
        <is>
          <t>NOT_TESTED</t>
        </is>
      </c>
      <c r="V59" s="13" t="inlineStr">
        <is>
          <t>NOT_TESTED</t>
        </is>
      </c>
      <c r="W59" s="13" t="inlineStr">
        <is>
          <t>NOT_TESTED</t>
        </is>
      </c>
      <c r="X59" s="13" t="inlineStr">
        <is>
          <t>NOT_TESTED</t>
        </is>
      </c>
      <c r="Y59" s="13" t="inlineStr">
        <is>
          <t>NOT_TESTED</t>
        </is>
      </c>
      <c r="Z59" s="13" t="inlineStr">
        <is>
          <t>NOT_TESTED</t>
        </is>
      </c>
      <c r="AA59" s="13" t="inlineStr">
        <is>
          <t>NOT_TESTED</t>
        </is>
      </c>
      <c r="AB59" s="13" t="inlineStr">
        <is>
          <t>NOT_TESTED</t>
        </is>
      </c>
    </row>
    <row r="60">
      <c r="A60" s="2" t="inlineStr">
        <is>
          <t>issue_944</t>
        </is>
      </c>
      <c r="B60" s="16" t="inlineStr">
        <is>
          <t>Runtime error</t>
        </is>
      </c>
      <c r="C60" s="16" t="inlineStr">
        <is>
          <t>Runtime error</t>
        </is>
      </c>
      <c r="D60" s="16" t="inlineStr">
        <is>
          <t>Runtime error</t>
        </is>
      </c>
      <c r="E60" s="16" t="inlineStr">
        <is>
          <t>Runtime error</t>
        </is>
      </c>
      <c r="F60" s="16" t="inlineStr">
        <is>
          <t>Runtime error</t>
        </is>
      </c>
      <c r="G60" s="16" t="inlineStr">
        <is>
          <t>Runtime error</t>
        </is>
      </c>
      <c r="H60" s="16" t="inlineStr">
        <is>
          <t>Runtime error</t>
        </is>
      </c>
      <c r="I60" s="16" t="inlineStr">
        <is>
          <t>Runtime error</t>
        </is>
      </c>
      <c r="J60" s="16" t="inlineStr">
        <is>
          <t>Runtime error</t>
        </is>
      </c>
      <c r="K60" s="16" t="inlineStr">
        <is>
          <t>Runtime error</t>
        </is>
      </c>
      <c r="L60" s="16" t="inlineStr">
        <is>
          <t>Runtime error</t>
        </is>
      </c>
      <c r="M60" s="16" t="inlineStr">
        <is>
          <t>Runtime error</t>
        </is>
      </c>
      <c r="N60" s="13" t="inlineStr">
        <is>
          <t>NOT_TESTED</t>
        </is>
      </c>
      <c r="O60" s="13" t="inlineStr">
        <is>
          <t>NOT_TESTED</t>
        </is>
      </c>
      <c r="P60" s="13" t="inlineStr">
        <is>
          <t>NOT_TESTED</t>
        </is>
      </c>
      <c r="Q60" s="13" t="inlineStr">
        <is>
          <t>NOT_TESTED</t>
        </is>
      </c>
      <c r="R60" s="13" t="inlineStr">
        <is>
          <t>NOT_TESTED</t>
        </is>
      </c>
      <c r="S60" s="13" t="inlineStr">
        <is>
          <t>NOT_TESTED</t>
        </is>
      </c>
      <c r="T60" s="13" t="inlineStr">
        <is>
          <t>NOT_TESTED</t>
        </is>
      </c>
      <c r="U60" s="13" t="inlineStr">
        <is>
          <t>NOT_TESTED</t>
        </is>
      </c>
      <c r="V60" s="13" t="inlineStr">
        <is>
          <t>NOT_TESTED</t>
        </is>
      </c>
      <c r="W60" s="13" t="inlineStr">
        <is>
          <t>NOT_TESTED</t>
        </is>
      </c>
      <c r="X60" s="13" t="inlineStr">
        <is>
          <t>NOT_TESTED</t>
        </is>
      </c>
      <c r="Y60" s="13" t="inlineStr">
        <is>
          <t>NOT_TESTED</t>
        </is>
      </c>
      <c r="Z60" s="13" t="inlineStr">
        <is>
          <t>NOT_TESTED</t>
        </is>
      </c>
      <c r="AA60" s="13" t="inlineStr">
        <is>
          <t>NOT_TESTED</t>
        </is>
      </c>
      <c r="AB60" s="13" t="inlineStr">
        <is>
          <t>NOT_TESTED</t>
        </is>
      </c>
    </row>
    <row r="61">
      <c r="A61" s="2" t="inlineStr">
        <is>
          <t>issue_950</t>
        </is>
      </c>
      <c r="B61" s="16" t="inlineStr">
        <is>
          <t>Passed on test</t>
        </is>
      </c>
      <c r="C61" s="16" t="inlineStr">
        <is>
          <t>Passed on test</t>
        </is>
      </c>
      <c r="D61" s="16" t="inlineStr">
        <is>
          <t>Passed on test</t>
        </is>
      </c>
      <c r="E61" s="16" t="inlineStr">
        <is>
          <t>Passed on test</t>
        </is>
      </c>
      <c r="F61" s="16" t="inlineStr">
        <is>
          <t>Passed on test</t>
        </is>
      </c>
      <c r="G61" s="16" t="inlineStr">
        <is>
          <t>Passed on test</t>
        </is>
      </c>
      <c r="H61" s="16" t="inlineStr">
        <is>
          <t>Passed on test</t>
        </is>
      </c>
      <c r="I61" s="16" t="inlineStr">
        <is>
          <t>Passed on test</t>
        </is>
      </c>
      <c r="J61" s="16" t="inlineStr">
        <is>
          <t>Passed on test</t>
        </is>
      </c>
      <c r="K61" s="16" t="inlineStr">
        <is>
          <t>Passed on test</t>
        </is>
      </c>
      <c r="L61" s="16" t="inlineStr">
        <is>
          <t>Passed on test</t>
        </is>
      </c>
      <c r="M61" s="16" t="inlineStr">
        <is>
          <t>Passed on test</t>
        </is>
      </c>
      <c r="N61" s="16" t="inlineStr">
        <is>
          <t>Passed on test</t>
        </is>
      </c>
      <c r="O61" s="16" t="inlineStr">
        <is>
          <t>Passed on test</t>
        </is>
      </c>
      <c r="P61" s="16" t="inlineStr">
        <is>
          <t>Passed on test</t>
        </is>
      </c>
      <c r="Q61" s="16" t="inlineStr">
        <is>
          <t>Passed on test</t>
        </is>
      </c>
      <c r="R61" s="16" t="inlineStr">
        <is>
          <t>Passed on test</t>
        </is>
      </c>
      <c r="S61" s="16" t="inlineStr">
        <is>
          <t>Passed on test</t>
        </is>
      </c>
      <c r="T61" s="16" t="inlineStr">
        <is>
          <t>Passed on test</t>
        </is>
      </c>
      <c r="U61" s="16" t="inlineStr">
        <is>
          <t>Passed on test</t>
        </is>
      </c>
      <c r="V61" s="16" t="inlineStr">
        <is>
          <t>Passed on test</t>
        </is>
      </c>
      <c r="W61" s="16" t="inlineStr">
        <is>
          <t>Passed on test</t>
        </is>
      </c>
      <c r="X61" s="16" t="inlineStr">
        <is>
          <t>Passed on test</t>
        </is>
      </c>
      <c r="Y61" s="16" t="inlineStr">
        <is>
          <t>Passed on test</t>
        </is>
      </c>
      <c r="Z61" s="16" t="inlineStr">
        <is>
          <t>Passed on test</t>
        </is>
      </c>
      <c r="AA61" s="16" t="inlineStr">
        <is>
          <t>Passed on test</t>
        </is>
      </c>
      <c r="AB61" s="16" t="inlineStr">
        <is>
          <t>Passed on test</t>
        </is>
      </c>
    </row>
    <row r="62">
      <c r="A62" s="2" t="inlineStr">
        <is>
          <t>issue_958</t>
        </is>
      </c>
      <c r="B62" s="13" t="inlineStr">
        <is>
          <t>NOT_TESTED</t>
        </is>
      </c>
      <c r="C62" s="13" t="inlineStr">
        <is>
          <t>NOT_TESTED</t>
        </is>
      </c>
      <c r="D62" s="13" t="inlineStr">
        <is>
          <t>NOT_TESTED</t>
        </is>
      </c>
      <c r="E62" s="13" t="inlineStr">
        <is>
          <t>NOT_TESTED</t>
        </is>
      </c>
      <c r="F62" s="14" t="inlineStr">
        <is>
          <t>Passed on test</t>
        </is>
      </c>
      <c r="G62" s="14" t="inlineStr">
        <is>
          <t>Passed on test</t>
        </is>
      </c>
      <c r="H62" s="14" t="inlineStr">
        <is>
          <t>Passed on test</t>
        </is>
      </c>
      <c r="I62" s="14" t="inlineStr">
        <is>
          <t>Passed on test</t>
        </is>
      </c>
      <c r="J62" s="14" t="inlineStr">
        <is>
          <t>Passed on test</t>
        </is>
      </c>
      <c r="K62" s="14" t="inlineStr">
        <is>
          <t>Passed on test</t>
        </is>
      </c>
      <c r="L62" s="14" t="inlineStr">
        <is>
          <t>Passed on test</t>
        </is>
      </c>
      <c r="M62" s="14" t="inlineStr">
        <is>
          <t>Passed on test</t>
        </is>
      </c>
      <c r="N62" s="14" t="inlineStr">
        <is>
          <t>Passed on test</t>
        </is>
      </c>
      <c r="O62" s="14" t="inlineStr">
        <is>
          <t>Passed on test</t>
        </is>
      </c>
      <c r="P62" s="14" t="inlineStr">
        <is>
          <t>Passed on test</t>
        </is>
      </c>
      <c r="Q62" s="14" t="inlineStr">
        <is>
          <t>Passed on test</t>
        </is>
      </c>
      <c r="R62" s="14" t="inlineStr">
        <is>
          <t>Passed on test</t>
        </is>
      </c>
      <c r="S62" s="14" t="inlineStr">
        <is>
          <t>Passed on test</t>
        </is>
      </c>
      <c r="T62" s="14" t="inlineStr">
        <is>
          <t>Passed on test</t>
        </is>
      </c>
      <c r="U62" s="14" t="inlineStr">
        <is>
          <t>Passed on test</t>
        </is>
      </c>
      <c r="V62" s="14" t="inlineStr">
        <is>
          <t>Passed on test</t>
        </is>
      </c>
      <c r="W62" s="14" t="inlineStr">
        <is>
          <t>Passed on test</t>
        </is>
      </c>
      <c r="X62" s="14" t="inlineStr">
        <is>
          <t>Passed on test</t>
        </is>
      </c>
      <c r="Y62" s="14" t="inlineStr">
        <is>
          <t>Passed on test</t>
        </is>
      </c>
      <c r="Z62" s="14" t="inlineStr">
        <is>
          <t>Passed on test</t>
        </is>
      </c>
      <c r="AA62" s="14" t="inlineStr">
        <is>
          <t>Passed on test</t>
        </is>
      </c>
      <c r="AB62" s="14" t="inlineStr">
        <is>
          <t>Passed on test</t>
        </is>
      </c>
    </row>
    <row r="63">
      <c r="A63" s="2" t="inlineStr">
        <is>
          <t>issue_977</t>
        </is>
      </c>
      <c r="B63" s="13" t="inlineStr">
        <is>
          <t>NOT_TESTED</t>
        </is>
      </c>
      <c r="C63" s="13" t="inlineStr">
        <is>
          <t>NOT_TESTED</t>
        </is>
      </c>
      <c r="D63" s="13" t="inlineStr">
        <is>
          <t>NOT_TESTED</t>
        </is>
      </c>
      <c r="E63" s="13" t="inlineStr">
        <is>
          <t>NOT_TESTED</t>
        </is>
      </c>
      <c r="F63" s="16" t="inlineStr">
        <is>
          <t>Runtime error</t>
        </is>
      </c>
      <c r="G63" s="16" t="inlineStr">
        <is>
          <t>Runtime error</t>
        </is>
      </c>
      <c r="H63" s="16" t="inlineStr">
        <is>
          <t>Runtime error</t>
        </is>
      </c>
      <c r="I63" s="16" t="inlineStr">
        <is>
          <t>Runtime error</t>
        </is>
      </c>
      <c r="J63" s="16" t="inlineStr">
        <is>
          <t>Runtime error</t>
        </is>
      </c>
      <c r="K63" s="16" t="inlineStr">
        <is>
          <t>Runtime error</t>
        </is>
      </c>
      <c r="L63" s="16" t="inlineStr">
        <is>
          <t>Runtime error</t>
        </is>
      </c>
      <c r="M63" s="16" t="inlineStr">
        <is>
          <t>Runtime error</t>
        </is>
      </c>
      <c r="N63" s="16" t="inlineStr">
        <is>
          <t>Runtime error</t>
        </is>
      </c>
      <c r="O63" s="16" t="inlineStr">
        <is>
          <t>Runtime error</t>
        </is>
      </c>
      <c r="P63" s="16" t="inlineStr">
        <is>
          <t>Runtime error</t>
        </is>
      </c>
      <c r="Q63" s="16" t="inlineStr">
        <is>
          <t>Runtime error</t>
        </is>
      </c>
      <c r="R63" s="16" t="inlineStr">
        <is>
          <t>Runtime error</t>
        </is>
      </c>
      <c r="S63" s="16" t="inlineStr">
        <is>
          <t>Runtime error</t>
        </is>
      </c>
      <c r="T63" s="16" t="inlineStr">
        <is>
          <t>Runtime error</t>
        </is>
      </c>
      <c r="U63" s="16" t="inlineStr">
        <is>
          <t>Runtime error</t>
        </is>
      </c>
      <c r="V63" s="16" t="inlineStr">
        <is>
          <t>Runtime error</t>
        </is>
      </c>
      <c r="W63" s="16" t="inlineStr">
        <is>
          <t>Runtime error</t>
        </is>
      </c>
      <c r="X63" s="16" t="inlineStr">
        <is>
          <t>Runtime error</t>
        </is>
      </c>
      <c r="Y63" s="16" t="inlineStr">
        <is>
          <t>Runtime error</t>
        </is>
      </c>
      <c r="Z63" s="16" t="inlineStr">
        <is>
          <t>Runtime error</t>
        </is>
      </c>
      <c r="AA63" s="16" t="inlineStr">
        <is>
          <t>Runtime error</t>
        </is>
      </c>
      <c r="AB63" s="16" t="inlineStr">
        <is>
          <t>Runtime error</t>
        </is>
      </c>
    </row>
    <row r="64">
      <c r="A64" s="2" t="inlineStr">
        <is>
          <t>issue_985</t>
        </is>
      </c>
      <c r="B64" s="13" t="inlineStr">
        <is>
          <t>NOT_TESTED</t>
        </is>
      </c>
      <c r="C64" s="13" t="inlineStr">
        <is>
          <t>NOT_TESTED</t>
        </is>
      </c>
      <c r="D64" s="13" t="inlineStr">
        <is>
          <t>NOT_TESTED</t>
        </is>
      </c>
      <c r="E64" s="13" t="inlineStr">
        <is>
          <t>NOT_TESTED</t>
        </is>
      </c>
      <c r="F64" s="15" t="inlineStr">
        <is>
          <t>Passed on test</t>
        </is>
      </c>
      <c r="G64" s="15" t="inlineStr">
        <is>
          <t>Passed on test</t>
        </is>
      </c>
      <c r="H64" s="15" t="inlineStr">
        <is>
          <t>Passed on test</t>
        </is>
      </c>
      <c r="I64" s="15" t="inlineStr">
        <is>
          <t>Passed on test</t>
        </is>
      </c>
      <c r="J64" s="15" t="inlineStr">
        <is>
          <t>Passed on test</t>
        </is>
      </c>
      <c r="K64" s="15" t="inlineStr">
        <is>
          <t>Passed on test</t>
        </is>
      </c>
      <c r="L64" s="15" t="inlineStr">
        <is>
          <t>Passed on test</t>
        </is>
      </c>
      <c r="M64" s="15" t="inlineStr">
        <is>
          <t>Passed on test</t>
        </is>
      </c>
      <c r="N64" s="15" t="inlineStr">
        <is>
          <t>Passed on test</t>
        </is>
      </c>
      <c r="O64" s="15" t="inlineStr">
        <is>
          <t>Passed on test</t>
        </is>
      </c>
      <c r="P64" s="15" t="inlineStr">
        <is>
          <t>Passed on test</t>
        </is>
      </c>
      <c r="Q64" s="15" t="inlineStr">
        <is>
          <t>Passed on test</t>
        </is>
      </c>
      <c r="R64" s="15" t="inlineStr">
        <is>
          <t>Passed on test</t>
        </is>
      </c>
      <c r="S64" s="15" t="inlineStr">
        <is>
          <t>Passed on test</t>
        </is>
      </c>
      <c r="T64" s="15" t="inlineStr">
        <is>
          <t>Passed on test</t>
        </is>
      </c>
      <c r="U64" s="15" t="inlineStr">
        <is>
          <t>Passed on test</t>
        </is>
      </c>
      <c r="V64" s="15" t="inlineStr">
        <is>
          <t>Passed on test</t>
        </is>
      </c>
      <c r="W64" s="15" t="inlineStr">
        <is>
          <t>Passed on test</t>
        </is>
      </c>
      <c r="X64" s="15" t="inlineStr">
        <is>
          <t>Passed on test</t>
        </is>
      </c>
      <c r="Y64" s="15" t="inlineStr">
        <is>
          <t>Passed on test</t>
        </is>
      </c>
      <c r="Z64" s="15" t="inlineStr">
        <is>
          <t>Passed on test</t>
        </is>
      </c>
      <c r="AA64" s="15" t="inlineStr">
        <is>
          <t>Passed on test</t>
        </is>
      </c>
      <c r="AB64" s="15" t="inlineStr">
        <is>
          <t>Passed on test</t>
        </is>
      </c>
    </row>
    <row r="65">
      <c r="A65" s="2" t="inlineStr">
        <is>
          <t>issue_989</t>
        </is>
      </c>
      <c r="B65" s="13" t="inlineStr">
        <is>
          <t>NOT_TESTED</t>
        </is>
      </c>
      <c r="C65" s="13" t="inlineStr">
        <is>
          <t>NOT_TESTED</t>
        </is>
      </c>
      <c r="D65" s="13" t="inlineStr">
        <is>
          <t>NOT_TESTED</t>
        </is>
      </c>
      <c r="E65" s="13" t="inlineStr">
        <is>
          <t>NOT_TESTED</t>
        </is>
      </c>
      <c r="F65" s="13" t="inlineStr">
        <is>
          <t>NOT_TESTED</t>
        </is>
      </c>
      <c r="G65" s="13" t="inlineStr">
        <is>
          <t>NOT_TESTED</t>
        </is>
      </c>
      <c r="H65" s="13" t="inlineStr">
        <is>
          <t>NOT_TESTED</t>
        </is>
      </c>
      <c r="I65" s="13" t="inlineStr">
        <is>
          <t>NOT_TESTED</t>
        </is>
      </c>
      <c r="J65" s="13" t="inlineStr">
        <is>
          <t>NOT_TESTED</t>
        </is>
      </c>
      <c r="K65" s="13" t="inlineStr">
        <is>
          <t>NOT_TESTED</t>
        </is>
      </c>
      <c r="L65" s="13" t="inlineStr">
        <is>
          <t>NOT_TESTED</t>
        </is>
      </c>
      <c r="M65" s="13" t="inlineStr">
        <is>
          <t>NOT_TESTED</t>
        </is>
      </c>
      <c r="N65" s="16" t="inlineStr">
        <is>
          <t>Passed on test</t>
        </is>
      </c>
      <c r="O65" s="16" t="inlineStr">
        <is>
          <t>Passed on test</t>
        </is>
      </c>
      <c r="P65" s="16" t="inlineStr">
        <is>
          <t>Passed on test</t>
        </is>
      </c>
      <c r="Q65" s="16" t="inlineStr">
        <is>
          <t>Passed on test</t>
        </is>
      </c>
      <c r="R65" s="16" t="inlineStr">
        <is>
          <t>Passed on test</t>
        </is>
      </c>
      <c r="S65" s="16" t="inlineStr">
        <is>
          <t>Passed on test</t>
        </is>
      </c>
      <c r="T65" s="16" t="inlineStr">
        <is>
          <t>Passed on test</t>
        </is>
      </c>
      <c r="U65" s="16" t="inlineStr">
        <is>
          <t>Passed on test</t>
        </is>
      </c>
      <c r="V65" s="16" t="inlineStr">
        <is>
          <t>Passed on test</t>
        </is>
      </c>
      <c r="W65" s="16" t="inlineStr">
        <is>
          <t>Passed on test</t>
        </is>
      </c>
      <c r="X65" s="16" t="inlineStr">
        <is>
          <t>Passed on test</t>
        </is>
      </c>
      <c r="Y65" s="16" t="inlineStr">
        <is>
          <t>Passed on test</t>
        </is>
      </c>
      <c r="Z65" s="16" t="inlineStr">
        <is>
          <t>Passed on test</t>
        </is>
      </c>
      <c r="AA65" s="16" t="inlineStr">
        <is>
          <t>Passed on test</t>
        </is>
      </c>
      <c r="AB65" s="16" t="inlineStr">
        <is>
          <t>Passed on test</t>
        </is>
      </c>
    </row>
    <row r="66">
      <c r="A66" s="2" t="inlineStr">
        <is>
          <t>issue_994</t>
        </is>
      </c>
      <c r="B66" s="16" t="inlineStr">
        <is>
          <t>Runtime error</t>
        </is>
      </c>
      <c r="C66" s="16" t="inlineStr">
        <is>
          <t>Runtime error</t>
        </is>
      </c>
      <c r="D66" s="16" t="inlineStr">
        <is>
          <t>Runtime error</t>
        </is>
      </c>
      <c r="E66" s="16" t="inlineStr">
        <is>
          <t>Runtime error</t>
        </is>
      </c>
      <c r="F66" s="13" t="inlineStr">
        <is>
          <t>NOT_TESTED</t>
        </is>
      </c>
      <c r="G66" s="13" t="inlineStr">
        <is>
          <t>NOT_TESTED</t>
        </is>
      </c>
      <c r="H66" s="13" t="inlineStr">
        <is>
          <t>NOT_TESTED</t>
        </is>
      </c>
      <c r="I66" s="13" t="inlineStr">
        <is>
          <t>NOT_TESTED</t>
        </is>
      </c>
      <c r="J66" s="13" t="inlineStr">
        <is>
          <t>NOT_TESTED</t>
        </is>
      </c>
      <c r="K66" s="13" t="inlineStr">
        <is>
          <t>NOT_TESTED</t>
        </is>
      </c>
      <c r="L66" s="13" t="inlineStr">
        <is>
          <t>NOT_TESTED</t>
        </is>
      </c>
      <c r="M66" s="13" t="inlineStr">
        <is>
          <t>NOT_TESTED</t>
        </is>
      </c>
      <c r="N66" s="13" t="inlineStr">
        <is>
          <t>NOT_TESTED</t>
        </is>
      </c>
      <c r="O66" s="13" t="inlineStr">
        <is>
          <t>NOT_TESTED</t>
        </is>
      </c>
      <c r="P66" s="13" t="inlineStr">
        <is>
          <t>NOT_TESTED</t>
        </is>
      </c>
      <c r="Q66" s="13" t="inlineStr">
        <is>
          <t>NOT_TESTED</t>
        </is>
      </c>
      <c r="R66" s="13" t="inlineStr">
        <is>
          <t>NOT_TESTED</t>
        </is>
      </c>
      <c r="S66" s="13" t="inlineStr">
        <is>
          <t>NOT_TESTED</t>
        </is>
      </c>
      <c r="T66" s="13" t="inlineStr">
        <is>
          <t>NOT_TESTED</t>
        </is>
      </c>
      <c r="U66" s="13" t="inlineStr">
        <is>
          <t>NOT_TESTED</t>
        </is>
      </c>
      <c r="V66" s="13" t="inlineStr">
        <is>
          <t>NOT_TESTED</t>
        </is>
      </c>
      <c r="W66" s="13" t="inlineStr">
        <is>
          <t>NOT_TESTED</t>
        </is>
      </c>
      <c r="X66" s="13" t="inlineStr">
        <is>
          <t>NOT_TESTED</t>
        </is>
      </c>
      <c r="Y66" s="13" t="inlineStr">
        <is>
          <t>NOT_TESTED</t>
        </is>
      </c>
      <c r="Z66" s="13" t="inlineStr">
        <is>
          <t>NOT_TESTED</t>
        </is>
      </c>
      <c r="AA66" s="13" t="inlineStr">
        <is>
          <t>NOT_TESTED</t>
        </is>
      </c>
      <c r="AB66" s="13" t="inlineStr">
        <is>
          <t>NOT_TESTED</t>
        </is>
      </c>
    </row>
    <row r="67">
      <c r="A67" s="2" t="inlineStr">
        <is>
          <t>issue_1035</t>
        </is>
      </c>
      <c r="B67" s="13" t="inlineStr">
        <is>
          <t>NOT_TESTED</t>
        </is>
      </c>
      <c r="C67" s="13" t="inlineStr">
        <is>
          <t>NOT_TESTED</t>
        </is>
      </c>
      <c r="D67" s="13" t="inlineStr">
        <is>
          <t>NOT_TESTED</t>
        </is>
      </c>
      <c r="E67" s="13" t="inlineStr">
        <is>
          <t>NOT_TESTED</t>
        </is>
      </c>
      <c r="F67" s="15" t="inlineStr">
        <is>
          <t>Failed on test</t>
        </is>
      </c>
      <c r="G67" s="15" t="inlineStr">
        <is>
          <t>Failed on test</t>
        </is>
      </c>
      <c r="H67" s="15" t="inlineStr">
        <is>
          <t>Failed on test</t>
        </is>
      </c>
      <c r="I67" s="15" t="inlineStr">
        <is>
          <t>Failed on test</t>
        </is>
      </c>
      <c r="J67" s="15" t="inlineStr">
        <is>
          <t>Failed on test</t>
        </is>
      </c>
      <c r="K67" s="15" t="inlineStr">
        <is>
          <t>Failed on test</t>
        </is>
      </c>
      <c r="L67" s="15" t="inlineStr">
        <is>
          <t>Failed on test</t>
        </is>
      </c>
      <c r="M67" s="15" t="inlineStr">
        <is>
          <t>Failed on test</t>
        </is>
      </c>
      <c r="N67" s="13" t="inlineStr">
        <is>
          <t>NOT_TESTED</t>
        </is>
      </c>
      <c r="O67" s="13" t="inlineStr">
        <is>
          <t>NOT_TESTED</t>
        </is>
      </c>
      <c r="P67" s="13" t="inlineStr">
        <is>
          <t>NOT_TESTED</t>
        </is>
      </c>
      <c r="Q67" s="13" t="inlineStr">
        <is>
          <t>NOT_TESTED</t>
        </is>
      </c>
      <c r="R67" s="13" t="inlineStr">
        <is>
          <t>NOT_TESTED</t>
        </is>
      </c>
      <c r="S67" s="13" t="inlineStr">
        <is>
          <t>NOT_TESTED</t>
        </is>
      </c>
      <c r="T67" s="13" t="inlineStr">
        <is>
          <t>NOT_TESTED</t>
        </is>
      </c>
      <c r="U67" s="13" t="inlineStr">
        <is>
          <t>NOT_TESTED</t>
        </is>
      </c>
      <c r="V67" s="13" t="inlineStr">
        <is>
          <t>NOT_TESTED</t>
        </is>
      </c>
      <c r="W67" s="13" t="inlineStr">
        <is>
          <t>NOT_TESTED</t>
        </is>
      </c>
      <c r="X67" s="13" t="inlineStr">
        <is>
          <t>NOT_TESTED</t>
        </is>
      </c>
      <c r="Y67" s="13" t="inlineStr">
        <is>
          <t>NOT_TESTED</t>
        </is>
      </c>
      <c r="Z67" s="13" t="inlineStr">
        <is>
          <t>NOT_TESTED</t>
        </is>
      </c>
      <c r="AA67" s="13" t="inlineStr">
        <is>
          <t>NOT_TESTED</t>
        </is>
      </c>
      <c r="AB67" s="13" t="inlineStr">
        <is>
          <t>NOT_TESTED</t>
        </is>
      </c>
    </row>
    <row r="68">
      <c r="A68" s="2" t="inlineStr">
        <is>
          <t>issue_772</t>
        </is>
      </c>
      <c r="B68" s="16" t="inlineStr">
        <is>
          <t>Passed on test</t>
        </is>
      </c>
      <c r="C68" s="16" t="inlineStr">
        <is>
          <t>Passed on test</t>
        </is>
      </c>
      <c r="D68" s="16" t="inlineStr">
        <is>
          <t>Passed on test</t>
        </is>
      </c>
      <c r="E68" s="16" t="inlineStr">
        <is>
          <t>Passed on test</t>
        </is>
      </c>
      <c r="F68" s="16" t="inlineStr">
        <is>
          <t>Passed on test</t>
        </is>
      </c>
      <c r="G68" s="16" t="inlineStr">
        <is>
          <t>Passed on test</t>
        </is>
      </c>
      <c r="H68" s="16" t="inlineStr">
        <is>
          <t>Passed on test</t>
        </is>
      </c>
      <c r="I68" s="16" t="inlineStr">
        <is>
          <t>Passed on test</t>
        </is>
      </c>
      <c r="J68" s="16" t="inlineStr">
        <is>
          <t>Passed on test</t>
        </is>
      </c>
      <c r="K68" s="16" t="inlineStr">
        <is>
          <t>Passed on test</t>
        </is>
      </c>
      <c r="L68" s="16" t="inlineStr">
        <is>
          <t>Passed on test</t>
        </is>
      </c>
      <c r="M68" s="16" t="inlineStr">
        <is>
          <t>Passed on test</t>
        </is>
      </c>
      <c r="N68" s="13" t="inlineStr">
        <is>
          <t>NOT_TESTED</t>
        </is>
      </c>
      <c r="O68" s="13" t="inlineStr">
        <is>
          <t>NOT_TESTED</t>
        </is>
      </c>
      <c r="P68" s="13" t="inlineStr">
        <is>
          <t>NOT_TESTED</t>
        </is>
      </c>
      <c r="Q68" s="13" t="inlineStr">
        <is>
          <t>NOT_TESTED</t>
        </is>
      </c>
      <c r="R68" s="13" t="inlineStr">
        <is>
          <t>NOT_TESTED</t>
        </is>
      </c>
      <c r="S68" s="13" t="inlineStr">
        <is>
          <t>NOT_TESTED</t>
        </is>
      </c>
      <c r="T68" s="13" t="inlineStr">
        <is>
          <t>NOT_TESTED</t>
        </is>
      </c>
      <c r="U68" s="13" t="inlineStr">
        <is>
          <t>NOT_TESTED</t>
        </is>
      </c>
      <c r="V68" s="13" t="inlineStr">
        <is>
          <t>NOT_TESTED</t>
        </is>
      </c>
      <c r="W68" s="13" t="inlineStr">
        <is>
          <t>NOT_TESTED</t>
        </is>
      </c>
      <c r="X68" s="13" t="inlineStr">
        <is>
          <t>NOT_TESTED</t>
        </is>
      </c>
      <c r="Y68" s="13" t="inlineStr">
        <is>
          <t>NOT_TESTED</t>
        </is>
      </c>
      <c r="Z68" s="13" t="inlineStr">
        <is>
          <t>NOT_TESTED</t>
        </is>
      </c>
      <c r="AA68" s="13" t="inlineStr">
        <is>
          <t>NOT_TESTED</t>
        </is>
      </c>
      <c r="AB68" s="13" t="inlineStr">
        <is>
          <t>NOT_TESTED</t>
        </is>
      </c>
    </row>
    <row r="69">
      <c r="A69" s="2" t="inlineStr">
        <is>
          <t>issue_790</t>
        </is>
      </c>
      <c r="B69" s="13" t="inlineStr">
        <is>
          <t>NOT_TESTED</t>
        </is>
      </c>
      <c r="C69" s="13" t="inlineStr">
        <is>
          <t>NOT_TESTED</t>
        </is>
      </c>
      <c r="D69" s="13" t="inlineStr">
        <is>
          <t>NOT_TESTED</t>
        </is>
      </c>
      <c r="E69" s="13" t="inlineStr">
        <is>
          <t>NOT_TESTED</t>
        </is>
      </c>
      <c r="F69" s="15" t="inlineStr">
        <is>
          <t>Failed on test</t>
        </is>
      </c>
      <c r="G69" s="15" t="inlineStr">
        <is>
          <t>Failed on test</t>
        </is>
      </c>
      <c r="H69" s="15" t="inlineStr">
        <is>
          <t>Failed on test</t>
        </is>
      </c>
      <c r="I69" s="15" t="inlineStr">
        <is>
          <t>Failed on test</t>
        </is>
      </c>
      <c r="J69" s="15" t="inlineStr">
        <is>
          <t>Failed on test</t>
        </is>
      </c>
      <c r="K69" s="15" t="inlineStr">
        <is>
          <t>Failed on test</t>
        </is>
      </c>
      <c r="L69" s="15" t="inlineStr">
        <is>
          <t>Failed on test</t>
        </is>
      </c>
      <c r="M69" s="15" t="inlineStr">
        <is>
          <t>Failed on test</t>
        </is>
      </c>
      <c r="N69" s="15" t="inlineStr">
        <is>
          <t>Failed on test</t>
        </is>
      </c>
      <c r="O69" s="15" t="inlineStr">
        <is>
          <t>Failed on test</t>
        </is>
      </c>
      <c r="P69" s="15" t="inlineStr">
        <is>
          <t>Failed on test</t>
        </is>
      </c>
      <c r="Q69" s="15" t="inlineStr">
        <is>
          <t>Failed on test</t>
        </is>
      </c>
      <c r="R69" s="15" t="inlineStr">
        <is>
          <t>Failed on test</t>
        </is>
      </c>
      <c r="S69" s="15" t="inlineStr">
        <is>
          <t>Failed on test</t>
        </is>
      </c>
      <c r="T69" s="15" t="inlineStr">
        <is>
          <t>Failed on test</t>
        </is>
      </c>
      <c r="U69" s="15" t="inlineStr">
        <is>
          <t>Failed on test</t>
        </is>
      </c>
      <c r="V69" s="15" t="inlineStr">
        <is>
          <t>Failed on test</t>
        </is>
      </c>
      <c r="W69" s="15" t="inlineStr">
        <is>
          <t>Failed on test</t>
        </is>
      </c>
      <c r="X69" s="15" t="inlineStr">
        <is>
          <t>Failed on test</t>
        </is>
      </c>
      <c r="Y69" s="15" t="inlineStr">
        <is>
          <t>Failed on test</t>
        </is>
      </c>
      <c r="Z69" s="15" t="inlineStr">
        <is>
          <t>Failed on test</t>
        </is>
      </c>
      <c r="AA69" s="15" t="inlineStr">
        <is>
          <t>Failed on test</t>
        </is>
      </c>
      <c r="AB69" s="15" t="inlineStr">
        <is>
          <t>Failed on test</t>
        </is>
      </c>
    </row>
    <row r="70">
      <c r="A70" s="2" t="inlineStr">
        <is>
          <t>issue_827</t>
        </is>
      </c>
      <c r="B70" s="14" t="inlineStr">
        <is>
          <t>Runtime error</t>
        </is>
      </c>
      <c r="C70" s="14" t="inlineStr">
        <is>
          <t>Runtime error</t>
        </is>
      </c>
      <c r="D70" s="14" t="inlineStr">
        <is>
          <t>Runtime error</t>
        </is>
      </c>
      <c r="E70" s="14" t="inlineStr">
        <is>
          <t>Runtime error</t>
        </is>
      </c>
      <c r="F70" s="14" t="inlineStr">
        <is>
          <t>Runtime error</t>
        </is>
      </c>
      <c r="G70" s="14" t="inlineStr">
        <is>
          <t>Runtime error</t>
        </is>
      </c>
      <c r="H70" s="14" t="inlineStr">
        <is>
          <t>Runtime error</t>
        </is>
      </c>
      <c r="I70" s="14" t="inlineStr">
        <is>
          <t>Runtime error</t>
        </is>
      </c>
      <c r="J70" s="14" t="inlineStr">
        <is>
          <t>Runtime error</t>
        </is>
      </c>
      <c r="K70" s="14" t="inlineStr">
        <is>
          <t>Runtime error</t>
        </is>
      </c>
      <c r="L70" s="14" t="inlineStr">
        <is>
          <t>Runtime error</t>
        </is>
      </c>
      <c r="M70" s="14" t="inlineStr">
        <is>
          <t>Runtime error</t>
        </is>
      </c>
      <c r="N70" s="13" t="inlineStr">
        <is>
          <t>NOT_TESTED</t>
        </is>
      </c>
      <c r="O70" s="13" t="inlineStr">
        <is>
          <t>NOT_TESTED</t>
        </is>
      </c>
      <c r="P70" s="13" t="inlineStr">
        <is>
          <t>NOT_TESTED</t>
        </is>
      </c>
      <c r="Q70" s="13" t="inlineStr">
        <is>
          <t>NOT_TESTED</t>
        </is>
      </c>
      <c r="R70" s="13" t="inlineStr">
        <is>
          <t>NOT_TESTED</t>
        </is>
      </c>
      <c r="S70" s="13" t="inlineStr">
        <is>
          <t>NOT_TESTED</t>
        </is>
      </c>
      <c r="T70" s="13" t="inlineStr">
        <is>
          <t>NOT_TESTED</t>
        </is>
      </c>
      <c r="U70" s="13" t="inlineStr">
        <is>
          <t>NOT_TESTED</t>
        </is>
      </c>
      <c r="V70" s="13" t="inlineStr">
        <is>
          <t>NOT_TESTED</t>
        </is>
      </c>
      <c r="W70" s="13" t="inlineStr">
        <is>
          <t>NOT_TESTED</t>
        </is>
      </c>
      <c r="X70" s="13" t="inlineStr">
        <is>
          <t>NOT_TESTED</t>
        </is>
      </c>
      <c r="Y70" s="13" t="inlineStr">
        <is>
          <t>NOT_TESTED</t>
        </is>
      </c>
      <c r="Z70" s="13" t="inlineStr">
        <is>
          <t>NOT_TESTED</t>
        </is>
      </c>
      <c r="AA70" s="13" t="inlineStr">
        <is>
          <t>NOT_TESTED</t>
        </is>
      </c>
      <c r="AB70" s="13" t="inlineStr">
        <is>
          <t>NOT_TESTED</t>
        </is>
      </c>
    </row>
    <row r="71">
      <c r="A71" s="2" t="inlineStr">
        <is>
          <t>issue_858</t>
        </is>
      </c>
      <c r="B71" s="13" t="inlineStr">
        <is>
          <t>NOT_TESTED</t>
        </is>
      </c>
      <c r="C71" s="13" t="inlineStr">
        <is>
          <t>NOT_TESTED</t>
        </is>
      </c>
      <c r="D71" s="13" t="inlineStr">
        <is>
          <t>NOT_TESTED</t>
        </is>
      </c>
      <c r="E71" s="13" t="inlineStr">
        <is>
          <t>NOT_TESTED</t>
        </is>
      </c>
      <c r="F71" s="14" t="inlineStr">
        <is>
          <t>Runtime error</t>
        </is>
      </c>
      <c r="G71" s="14" t="inlineStr">
        <is>
          <t>Runtime error</t>
        </is>
      </c>
      <c r="H71" s="14" t="inlineStr">
        <is>
          <t>Runtime error</t>
        </is>
      </c>
      <c r="I71" s="14" t="inlineStr">
        <is>
          <t>Runtime error</t>
        </is>
      </c>
      <c r="J71" s="14" t="inlineStr">
        <is>
          <t>Runtime error</t>
        </is>
      </c>
      <c r="K71" s="14" t="inlineStr">
        <is>
          <t>Runtime error</t>
        </is>
      </c>
      <c r="L71" s="14" t="inlineStr">
        <is>
          <t>Runtime error</t>
        </is>
      </c>
      <c r="M71" s="14" t="inlineStr">
        <is>
          <t>Runtime error</t>
        </is>
      </c>
      <c r="N71" s="13" t="inlineStr">
        <is>
          <t>NOT_TESTED</t>
        </is>
      </c>
      <c r="O71" s="13" t="inlineStr">
        <is>
          <t>NOT_TESTED</t>
        </is>
      </c>
      <c r="P71" s="13" t="inlineStr">
        <is>
          <t>NOT_TESTED</t>
        </is>
      </c>
      <c r="Q71" s="13" t="inlineStr">
        <is>
          <t>NOT_TESTED</t>
        </is>
      </c>
      <c r="R71" s="13" t="inlineStr">
        <is>
          <t>NOT_TESTED</t>
        </is>
      </c>
      <c r="S71" s="13" t="inlineStr">
        <is>
          <t>NOT_TESTED</t>
        </is>
      </c>
      <c r="T71" s="13" t="inlineStr">
        <is>
          <t>NOT_TESTED</t>
        </is>
      </c>
      <c r="U71" s="13" t="inlineStr">
        <is>
          <t>NOT_TESTED</t>
        </is>
      </c>
      <c r="V71" s="13" t="inlineStr">
        <is>
          <t>NOT_TESTED</t>
        </is>
      </c>
      <c r="W71" s="13" t="inlineStr">
        <is>
          <t>NOT_TESTED</t>
        </is>
      </c>
      <c r="X71" s="13" t="inlineStr">
        <is>
          <t>NOT_TESTED</t>
        </is>
      </c>
      <c r="Y71" s="13" t="inlineStr">
        <is>
          <t>NOT_TESTED</t>
        </is>
      </c>
      <c r="Z71" s="13" t="inlineStr">
        <is>
          <t>NOT_TESTED</t>
        </is>
      </c>
      <c r="AA71" s="13" t="inlineStr">
        <is>
          <t>NOT_TESTED</t>
        </is>
      </c>
      <c r="AB71" s="13" t="inlineStr">
        <is>
          <t>NOT_TESTED</t>
        </is>
      </c>
    </row>
    <row r="72">
      <c r="A72" s="2" t="inlineStr">
        <is>
          <t>issue_901</t>
        </is>
      </c>
      <c r="B72" s="13" t="inlineStr">
        <is>
          <t>NOT_TESTED</t>
        </is>
      </c>
      <c r="C72" s="13" t="inlineStr">
        <is>
          <t>NOT_TESTED</t>
        </is>
      </c>
      <c r="D72" s="13" t="inlineStr">
        <is>
          <t>NOT_TESTED</t>
        </is>
      </c>
      <c r="E72" s="13" t="inlineStr">
        <is>
          <t>NOT_TESTED</t>
        </is>
      </c>
      <c r="F72" s="16" t="inlineStr">
        <is>
          <t>Passed on test</t>
        </is>
      </c>
      <c r="G72" s="16" t="inlineStr">
        <is>
          <t>Passed on test</t>
        </is>
      </c>
      <c r="H72" s="16" t="inlineStr">
        <is>
          <t>Passed on test</t>
        </is>
      </c>
      <c r="I72" s="16" t="inlineStr">
        <is>
          <t>Passed on test</t>
        </is>
      </c>
      <c r="J72" s="16" t="inlineStr">
        <is>
          <t>Passed on test</t>
        </is>
      </c>
      <c r="K72" s="16" t="inlineStr">
        <is>
          <t>Passed on test</t>
        </is>
      </c>
      <c r="L72" s="16" t="inlineStr">
        <is>
          <t>Passed on test</t>
        </is>
      </c>
      <c r="M72" s="16" t="inlineStr">
        <is>
          <t>Passed on test</t>
        </is>
      </c>
      <c r="N72" s="16" t="inlineStr">
        <is>
          <t>Passed on test</t>
        </is>
      </c>
      <c r="O72" s="16" t="inlineStr">
        <is>
          <t>Passed on test</t>
        </is>
      </c>
      <c r="P72" s="16" t="inlineStr">
        <is>
          <t>Passed on test</t>
        </is>
      </c>
      <c r="Q72" s="16" t="inlineStr">
        <is>
          <t>Passed on test</t>
        </is>
      </c>
      <c r="R72" s="16" t="inlineStr">
        <is>
          <t>Passed on test</t>
        </is>
      </c>
      <c r="S72" s="16" t="inlineStr">
        <is>
          <t>Passed on test</t>
        </is>
      </c>
      <c r="T72" s="16" t="inlineStr">
        <is>
          <t>Passed on test</t>
        </is>
      </c>
      <c r="U72" s="16" t="inlineStr">
        <is>
          <t>Passed on test</t>
        </is>
      </c>
      <c r="V72" s="16" t="inlineStr">
        <is>
          <t>Passed on test</t>
        </is>
      </c>
      <c r="W72" s="16" t="inlineStr">
        <is>
          <t>Passed on test</t>
        </is>
      </c>
      <c r="X72" s="16" t="inlineStr">
        <is>
          <t>Passed on test</t>
        </is>
      </c>
      <c r="Y72" s="13" t="inlineStr">
        <is>
          <t>NOT_TESTED</t>
        </is>
      </c>
      <c r="Z72" s="13" t="inlineStr">
        <is>
          <t>NOT_TESTED</t>
        </is>
      </c>
      <c r="AA72" s="13" t="inlineStr">
        <is>
          <t>NOT_TESTED</t>
        </is>
      </c>
      <c r="AB72" s="13" t="inlineStr">
        <is>
          <t>NOT_TESTED</t>
        </is>
      </c>
    </row>
    <row r="73">
      <c r="A73" s="2" t="inlineStr">
        <is>
          <t>issue_921</t>
        </is>
      </c>
      <c r="B73" s="14" t="inlineStr">
        <is>
          <t>Runtime error</t>
        </is>
      </c>
      <c r="C73" s="14" t="inlineStr">
        <is>
          <t>Runtime error</t>
        </is>
      </c>
      <c r="D73" s="14" t="inlineStr">
        <is>
          <t>Runtime error</t>
        </is>
      </c>
      <c r="E73" s="14" t="inlineStr">
        <is>
          <t>Runtime error</t>
        </is>
      </c>
      <c r="F73" s="13" t="inlineStr">
        <is>
          <t>NOT_TESTED</t>
        </is>
      </c>
      <c r="G73" s="13" t="inlineStr">
        <is>
          <t>NOT_TESTED</t>
        </is>
      </c>
      <c r="H73" s="13" t="inlineStr">
        <is>
          <t>NOT_TESTED</t>
        </is>
      </c>
      <c r="I73" s="13" t="inlineStr">
        <is>
          <t>NOT_TESTED</t>
        </is>
      </c>
      <c r="J73" s="13" t="inlineStr">
        <is>
          <t>NOT_TESTED</t>
        </is>
      </c>
      <c r="K73" s="13" t="inlineStr">
        <is>
          <t>NOT_TESTED</t>
        </is>
      </c>
      <c r="L73" s="13" t="inlineStr">
        <is>
          <t>NOT_TESTED</t>
        </is>
      </c>
      <c r="M73" s="13" t="inlineStr">
        <is>
          <t>NOT_TESTED</t>
        </is>
      </c>
      <c r="N73" s="13" t="inlineStr">
        <is>
          <t>NOT_TESTED</t>
        </is>
      </c>
      <c r="O73" s="13" t="inlineStr">
        <is>
          <t>NOT_TESTED</t>
        </is>
      </c>
      <c r="P73" s="13" t="inlineStr">
        <is>
          <t>NOT_TESTED</t>
        </is>
      </c>
      <c r="Q73" s="13" t="inlineStr">
        <is>
          <t>NOT_TESTED</t>
        </is>
      </c>
      <c r="R73" s="13" t="inlineStr">
        <is>
          <t>NOT_TESTED</t>
        </is>
      </c>
      <c r="S73" s="13" t="inlineStr">
        <is>
          <t>NOT_TESTED</t>
        </is>
      </c>
      <c r="T73" s="13" t="inlineStr">
        <is>
          <t>NOT_TESTED</t>
        </is>
      </c>
      <c r="U73" s="13" t="inlineStr">
        <is>
          <t>NOT_TESTED</t>
        </is>
      </c>
      <c r="V73" s="13" t="inlineStr">
        <is>
          <t>NOT_TESTED</t>
        </is>
      </c>
      <c r="W73" s="13" t="inlineStr">
        <is>
          <t>NOT_TESTED</t>
        </is>
      </c>
      <c r="X73" s="13" t="inlineStr">
        <is>
          <t>NOT_TESTED</t>
        </is>
      </c>
      <c r="Y73" s="13" t="inlineStr">
        <is>
          <t>NOT_TESTED</t>
        </is>
      </c>
      <c r="Z73" s="13" t="inlineStr">
        <is>
          <t>NOT_TESTED</t>
        </is>
      </c>
      <c r="AA73" s="13" t="inlineStr">
        <is>
          <t>NOT_TESTED</t>
        </is>
      </c>
      <c r="AB73" s="13" t="inlineStr">
        <is>
          <t>NOT_TESTED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case_id</t>
        </is>
      </c>
      <c r="B1" s="1" t="inlineStr">
        <is>
          <t>0.25.0</t>
        </is>
      </c>
      <c r="C1" s="1" t="inlineStr">
        <is>
          <t>0.25.1</t>
        </is>
      </c>
      <c r="D1" s="1" t="inlineStr">
        <is>
          <t>0.25.2</t>
        </is>
      </c>
      <c r="E1" s="1" t="inlineStr">
        <is>
          <t>0.25.3</t>
        </is>
      </c>
      <c r="F1" s="1" t="inlineStr">
        <is>
          <t>0.45.0</t>
        </is>
      </c>
      <c r="G1" s="1" t="inlineStr">
        <is>
          <t>0.45.1</t>
        </is>
      </c>
      <c r="H1" s="1" t="inlineStr">
        <is>
          <t>0.45.2</t>
        </is>
      </c>
      <c r="I1" s="1" t="inlineStr">
        <is>
          <t>0.45.3</t>
        </is>
      </c>
      <c r="J1" s="1" t="inlineStr">
        <is>
          <t>0.46.0</t>
        </is>
      </c>
      <c r="K1" s="1" t="inlineStr">
        <is>
          <t>0.46.1</t>
        </is>
      </c>
      <c r="L1" s="1" t="inlineStr">
        <is>
          <t>0.46.2</t>
        </is>
      </c>
      <c r="M1" s="1" t="inlineStr">
        <is>
          <t>0.46.3</t>
        </is>
      </c>
      <c r="N1" s="1" t="inlineStr">
        <is>
          <t>1.0.0</t>
        </is>
      </c>
      <c r="O1" s="1" t="inlineStr">
        <is>
          <t>1.0.1</t>
        </is>
      </c>
      <c r="P1" s="1" t="inlineStr">
        <is>
          <t>1.0.2</t>
        </is>
      </c>
      <c r="Q1" s="1" t="inlineStr">
        <is>
          <t>1.1.0</t>
        </is>
      </c>
      <c r="R1" s="1" t="inlineStr">
        <is>
          <t>1.1.1</t>
        </is>
      </c>
      <c r="S1" s="1" t="inlineStr">
        <is>
          <t>1.1.2</t>
        </is>
      </c>
      <c r="T1" s="1" t="inlineStr">
        <is>
          <t>1.2.0</t>
        </is>
      </c>
      <c r="U1" s="1" t="inlineStr">
        <is>
          <t>1.2.1</t>
        </is>
      </c>
      <c r="V1" s="1" t="inlineStr">
        <is>
          <t>1.2.2</t>
        </is>
      </c>
      <c r="W1" s="1" t="inlineStr">
        <is>
          <t>1.2.4</t>
        </is>
      </c>
      <c r="X1" s="1" t="inlineStr">
        <is>
          <t>2.0.0</t>
        </is>
      </c>
      <c r="Y1" s="1" t="inlineStr">
        <is>
          <t>2.2.0</t>
        </is>
      </c>
      <c r="Z1" s="1" t="inlineStr">
        <is>
          <t>2.3.0</t>
        </is>
      </c>
      <c r="AA1" s="1" t="inlineStr">
        <is>
          <t>2.4.0</t>
        </is>
      </c>
      <c r="AB1" s="1" t="inlineStr">
        <is>
          <t>2.5.0</t>
        </is>
      </c>
    </row>
    <row r="2">
      <c r="A2" s="2" t="inlineStr">
        <is>
          <t>issue_009</t>
        </is>
      </c>
      <c r="B2" s="13" t="inlineStr">
        <is>
          <t>NOT_TESTED</t>
        </is>
      </c>
      <c r="C2" s="13" t="inlineStr">
        <is>
          <t>NOT_TESTED</t>
        </is>
      </c>
      <c r="D2" s="13" t="inlineStr">
        <is>
          <t>NOT_TESTED</t>
        </is>
      </c>
      <c r="E2" s="13" t="inlineStr">
        <is>
          <t>NOT_TESTED</t>
        </is>
      </c>
      <c r="F2" s="16" t="inlineStr">
        <is>
          <t>Passed on test</t>
        </is>
      </c>
      <c r="G2" s="16" t="inlineStr">
        <is>
          <t>Passed on test</t>
        </is>
      </c>
      <c r="H2" s="16" t="inlineStr">
        <is>
          <t>Passed on test</t>
        </is>
      </c>
      <c r="I2" s="16" t="inlineStr">
        <is>
          <t>Passed on test</t>
        </is>
      </c>
      <c r="J2" s="16" t="inlineStr">
        <is>
          <t>Passed on test</t>
        </is>
      </c>
      <c r="K2" s="16" t="inlineStr">
        <is>
          <t>Passed on test</t>
        </is>
      </c>
      <c r="L2" s="16" t="inlineStr">
        <is>
          <t>Passed on test</t>
        </is>
      </c>
      <c r="M2" s="16" t="inlineStr">
        <is>
          <t>Passed on test</t>
        </is>
      </c>
      <c r="N2" s="13" t="inlineStr">
        <is>
          <t>NOT_TESTED</t>
        </is>
      </c>
      <c r="O2" s="13" t="inlineStr">
        <is>
          <t>NOT_TESTED</t>
        </is>
      </c>
      <c r="P2" s="13" t="inlineStr">
        <is>
          <t>NOT_TESTED</t>
        </is>
      </c>
      <c r="Q2" s="13" t="inlineStr">
        <is>
          <t>NOT_TESTED</t>
        </is>
      </c>
      <c r="R2" s="13" t="inlineStr">
        <is>
          <t>NOT_TESTED</t>
        </is>
      </c>
      <c r="S2" s="13" t="inlineStr">
        <is>
          <t>NOT_TESTED</t>
        </is>
      </c>
      <c r="T2" s="13" t="inlineStr">
        <is>
          <t>NOT_TESTED</t>
        </is>
      </c>
      <c r="U2" s="13" t="inlineStr">
        <is>
          <t>NOT_TESTED</t>
        </is>
      </c>
      <c r="V2" s="13" t="inlineStr">
        <is>
          <t>NOT_TESTED</t>
        </is>
      </c>
      <c r="W2" s="13" t="inlineStr">
        <is>
          <t>NOT_TESTED</t>
        </is>
      </c>
      <c r="X2" s="13" t="inlineStr">
        <is>
          <t>NOT_TESTED</t>
        </is>
      </c>
      <c r="Y2" s="13" t="inlineStr">
        <is>
          <t>NOT_TESTED</t>
        </is>
      </c>
      <c r="Z2" s="13" t="inlineStr">
        <is>
          <t>NOT_TESTED</t>
        </is>
      </c>
      <c r="AA2" s="13" t="inlineStr">
        <is>
          <t>NOT_TESTED</t>
        </is>
      </c>
      <c r="AB2" s="13" t="inlineStr">
        <is>
          <t>NOT_TESTED</t>
        </is>
      </c>
    </row>
    <row r="3">
      <c r="A3" s="2" t="inlineStr">
        <is>
          <t>issue_021_se</t>
        </is>
      </c>
      <c r="B3" s="16" t="inlineStr">
        <is>
          <t>Passed on test</t>
        </is>
      </c>
      <c r="C3" s="16" t="inlineStr">
        <is>
          <t>Passed on test</t>
        </is>
      </c>
      <c r="D3" s="16" t="inlineStr">
        <is>
          <t>Passed on test</t>
        </is>
      </c>
      <c r="E3" s="16" t="inlineStr">
        <is>
          <t>Passed on test</t>
        </is>
      </c>
      <c r="F3" s="16" t="inlineStr">
        <is>
          <t>Passed on test</t>
        </is>
      </c>
      <c r="G3" s="16" t="inlineStr">
        <is>
          <t>Passed on test</t>
        </is>
      </c>
      <c r="H3" s="16" t="inlineStr">
        <is>
          <t>Passed on test</t>
        </is>
      </c>
      <c r="I3" s="16" t="inlineStr">
        <is>
          <t>Passed on test</t>
        </is>
      </c>
      <c r="J3" s="16" t="inlineStr">
        <is>
          <t>Passed on test</t>
        </is>
      </c>
      <c r="K3" s="16" t="inlineStr">
        <is>
          <t>Passed on test</t>
        </is>
      </c>
      <c r="L3" s="16" t="inlineStr">
        <is>
          <t>Passed on test</t>
        </is>
      </c>
      <c r="M3" s="16" t="inlineStr">
        <is>
          <t>Passed on test</t>
        </is>
      </c>
      <c r="N3" s="13" t="inlineStr">
        <is>
          <t>NOT_TESTED</t>
        </is>
      </c>
      <c r="O3" s="13" t="inlineStr">
        <is>
          <t>NOT_TESTED</t>
        </is>
      </c>
      <c r="P3" s="13" t="inlineStr">
        <is>
          <t>NOT_TESTED</t>
        </is>
      </c>
      <c r="Q3" s="13" t="inlineStr">
        <is>
          <t>NOT_TESTED</t>
        </is>
      </c>
      <c r="R3" s="13" t="inlineStr">
        <is>
          <t>NOT_TESTED</t>
        </is>
      </c>
      <c r="S3" s="13" t="inlineStr">
        <is>
          <t>NOT_TESTED</t>
        </is>
      </c>
      <c r="T3" s="13" t="inlineStr">
        <is>
          <t>NOT_TESTED</t>
        </is>
      </c>
      <c r="U3" s="13" t="inlineStr">
        <is>
          <t>NOT_TESTED</t>
        </is>
      </c>
      <c r="V3" s="13" t="inlineStr">
        <is>
          <t>NOT_TESTED</t>
        </is>
      </c>
      <c r="W3" s="13" t="inlineStr">
        <is>
          <t>NOT_TESTED</t>
        </is>
      </c>
      <c r="X3" s="13" t="inlineStr">
        <is>
          <t>NOT_TESTED</t>
        </is>
      </c>
      <c r="Y3" s="13" t="inlineStr">
        <is>
          <t>NOT_TESTED</t>
        </is>
      </c>
      <c r="Z3" s="13" t="inlineStr">
        <is>
          <t>NOT_TESTED</t>
        </is>
      </c>
      <c r="AA3" s="13" t="inlineStr">
        <is>
          <t>NOT_TESTED</t>
        </is>
      </c>
      <c r="AB3" s="13" t="inlineStr">
        <is>
          <t>NOT_TESTED</t>
        </is>
      </c>
    </row>
    <row r="4">
      <c r="A4" s="2" t="inlineStr">
        <is>
          <t>issue_032_se</t>
        </is>
      </c>
      <c r="B4" s="16" t="inlineStr">
        <is>
          <t>Passed on test</t>
        </is>
      </c>
      <c r="C4" s="16" t="inlineStr">
        <is>
          <t>Passed on test</t>
        </is>
      </c>
      <c r="D4" s="16" t="inlineStr">
        <is>
          <t>Passed on test</t>
        </is>
      </c>
      <c r="E4" s="16" t="inlineStr">
        <is>
          <t>Passed on test</t>
        </is>
      </c>
      <c r="F4" s="13" t="inlineStr">
        <is>
          <t>NOT_TESTED</t>
        </is>
      </c>
      <c r="G4" s="13" t="inlineStr">
        <is>
          <t>NOT_TESTED</t>
        </is>
      </c>
      <c r="H4" s="13" t="inlineStr">
        <is>
          <t>NOT_TESTED</t>
        </is>
      </c>
      <c r="I4" s="13" t="inlineStr">
        <is>
          <t>NOT_TESTED</t>
        </is>
      </c>
      <c r="J4" s="13" t="inlineStr">
        <is>
          <t>NOT_TESTED</t>
        </is>
      </c>
      <c r="K4" s="13" t="inlineStr">
        <is>
          <t>NOT_TESTED</t>
        </is>
      </c>
      <c r="L4" s="13" t="inlineStr">
        <is>
          <t>NOT_TESTED</t>
        </is>
      </c>
      <c r="M4" s="13" t="inlineStr">
        <is>
          <t>NOT_TESTED</t>
        </is>
      </c>
      <c r="N4" s="13" t="inlineStr">
        <is>
          <t>NOT_TESTED</t>
        </is>
      </c>
      <c r="O4" s="13" t="inlineStr">
        <is>
          <t>NOT_TESTED</t>
        </is>
      </c>
      <c r="P4" s="13" t="inlineStr">
        <is>
          <t>NOT_TESTED</t>
        </is>
      </c>
      <c r="Q4" s="13" t="inlineStr">
        <is>
          <t>NOT_TESTED</t>
        </is>
      </c>
      <c r="R4" s="13" t="inlineStr">
        <is>
          <t>NOT_TESTED</t>
        </is>
      </c>
      <c r="S4" s="13" t="inlineStr">
        <is>
          <t>NOT_TESTED</t>
        </is>
      </c>
      <c r="T4" s="13" t="inlineStr">
        <is>
          <t>NOT_TESTED</t>
        </is>
      </c>
      <c r="U4" s="13" t="inlineStr">
        <is>
          <t>NOT_TESTED</t>
        </is>
      </c>
      <c r="V4" s="13" t="inlineStr">
        <is>
          <t>NOT_TESTED</t>
        </is>
      </c>
      <c r="W4" s="13" t="inlineStr">
        <is>
          <t>NOT_TESTED</t>
        </is>
      </c>
      <c r="X4" s="13" t="inlineStr">
        <is>
          <t>NOT_TESTED</t>
        </is>
      </c>
      <c r="Y4" s="13" t="inlineStr">
        <is>
          <t>NOT_TESTED</t>
        </is>
      </c>
      <c r="Z4" s="13" t="inlineStr">
        <is>
          <t>NOT_TESTED</t>
        </is>
      </c>
      <c r="AA4" s="13" t="inlineStr">
        <is>
          <t>NOT_TESTED</t>
        </is>
      </c>
      <c r="AB4" s="13" t="inlineStr">
        <is>
          <t>NOT_TESTED</t>
        </is>
      </c>
    </row>
    <row r="5">
      <c r="A5" s="2" t="inlineStr">
        <is>
          <t>issue_034</t>
        </is>
      </c>
      <c r="B5" s="13" t="inlineStr">
        <is>
          <t>NOT_TESTED</t>
        </is>
      </c>
      <c r="C5" s="13" t="inlineStr">
        <is>
          <t>NOT_TESTED</t>
        </is>
      </c>
      <c r="D5" s="13" t="inlineStr">
        <is>
          <t>NOT_TESTED</t>
        </is>
      </c>
      <c r="E5" s="13" t="inlineStr">
        <is>
          <t>NOT_TESTED</t>
        </is>
      </c>
      <c r="F5" s="13" t="inlineStr">
        <is>
          <t>NOT_TESTED</t>
        </is>
      </c>
      <c r="G5" s="13" t="inlineStr">
        <is>
          <t>NOT_TESTED</t>
        </is>
      </c>
      <c r="H5" s="13" t="inlineStr">
        <is>
          <t>NOT_TESTED</t>
        </is>
      </c>
      <c r="I5" s="13" t="inlineStr">
        <is>
          <t>NOT_TESTED</t>
        </is>
      </c>
      <c r="J5" s="13" t="inlineStr">
        <is>
          <t>NOT_TESTED</t>
        </is>
      </c>
      <c r="K5" s="13" t="inlineStr">
        <is>
          <t>NOT_TESTED</t>
        </is>
      </c>
      <c r="L5" s="13" t="inlineStr">
        <is>
          <t>NOT_TESTED</t>
        </is>
      </c>
      <c r="M5" s="13" t="inlineStr">
        <is>
          <t>NOT_TESTED</t>
        </is>
      </c>
      <c r="N5" s="16" t="inlineStr">
        <is>
          <t>Passed on test</t>
        </is>
      </c>
      <c r="O5" s="16" t="inlineStr">
        <is>
          <t>Passed on test</t>
        </is>
      </c>
      <c r="P5" s="16" t="inlineStr">
        <is>
          <t>Passed on test</t>
        </is>
      </c>
      <c r="Q5" s="16" t="inlineStr">
        <is>
          <t>Passed on test</t>
        </is>
      </c>
      <c r="R5" s="16" t="inlineStr">
        <is>
          <t>Passed on test</t>
        </is>
      </c>
      <c r="S5" s="16" t="inlineStr">
        <is>
          <t>Passed on test</t>
        </is>
      </c>
      <c r="T5" s="16" t="inlineStr">
        <is>
          <t>Passed on test</t>
        </is>
      </c>
      <c r="U5" s="16" t="inlineStr">
        <is>
          <t>Passed on test</t>
        </is>
      </c>
      <c r="V5" s="16" t="inlineStr">
        <is>
          <t>Passed on test</t>
        </is>
      </c>
      <c r="W5" s="16" t="inlineStr">
        <is>
          <t>Passed on test</t>
        </is>
      </c>
      <c r="X5" s="16" t="inlineStr">
        <is>
          <t>Passed on test</t>
        </is>
      </c>
      <c r="Y5" s="16" t="inlineStr">
        <is>
          <t>Passed on test</t>
        </is>
      </c>
      <c r="Z5" s="16" t="inlineStr">
        <is>
          <t>Passed on test</t>
        </is>
      </c>
      <c r="AA5" s="16" t="inlineStr">
        <is>
          <t>Passed on test</t>
        </is>
      </c>
      <c r="AB5" s="16" t="inlineStr">
        <is>
          <t>Passed on test</t>
        </is>
      </c>
    </row>
    <row r="6">
      <c r="A6" s="2" t="inlineStr">
        <is>
          <t>issue_036</t>
        </is>
      </c>
      <c r="B6" s="13" t="inlineStr">
        <is>
          <t>NOT_TESTED</t>
        </is>
      </c>
      <c r="C6" s="13" t="inlineStr">
        <is>
          <t>NOT_TESTED</t>
        </is>
      </c>
      <c r="D6" s="13" t="inlineStr">
        <is>
          <t>NOT_TESTED</t>
        </is>
      </c>
      <c r="E6" s="13" t="inlineStr">
        <is>
          <t>NOT_TESTED</t>
        </is>
      </c>
      <c r="F6" s="13" t="inlineStr">
        <is>
          <t>NOT_TESTED</t>
        </is>
      </c>
      <c r="G6" s="13" t="inlineStr">
        <is>
          <t>NOT_TESTED</t>
        </is>
      </c>
      <c r="H6" s="13" t="inlineStr">
        <is>
          <t>NOT_TESTED</t>
        </is>
      </c>
      <c r="I6" s="13" t="inlineStr">
        <is>
          <t>NOT_TESTED</t>
        </is>
      </c>
      <c r="J6" s="13" t="inlineStr">
        <is>
          <t>NOT_TESTED</t>
        </is>
      </c>
      <c r="K6" s="13" t="inlineStr">
        <is>
          <t>NOT_TESTED</t>
        </is>
      </c>
      <c r="L6" s="13" t="inlineStr">
        <is>
          <t>NOT_TESTED</t>
        </is>
      </c>
      <c r="M6" s="13" t="inlineStr">
        <is>
          <t>NOT_TESTED</t>
        </is>
      </c>
      <c r="N6" s="16" t="inlineStr">
        <is>
          <t>Passed on test</t>
        </is>
      </c>
      <c r="O6" s="16" t="inlineStr">
        <is>
          <t>Passed on test</t>
        </is>
      </c>
      <c r="P6" s="16" t="inlineStr">
        <is>
          <t>Passed on test</t>
        </is>
      </c>
      <c r="Q6" s="16" t="inlineStr">
        <is>
          <t>Passed on test</t>
        </is>
      </c>
      <c r="R6" s="16" t="inlineStr">
        <is>
          <t>Passed on test</t>
        </is>
      </c>
      <c r="S6" s="16" t="inlineStr">
        <is>
          <t>Passed on test</t>
        </is>
      </c>
      <c r="T6" s="16" t="inlineStr">
        <is>
          <t>Passed on test</t>
        </is>
      </c>
      <c r="U6" s="16" t="inlineStr">
        <is>
          <t>Passed on test</t>
        </is>
      </c>
      <c r="V6" s="16" t="inlineStr">
        <is>
          <t>Passed on test</t>
        </is>
      </c>
      <c r="W6" s="16" t="inlineStr">
        <is>
          <t>Passed on test</t>
        </is>
      </c>
      <c r="X6" s="16" t="inlineStr">
        <is>
          <t>Passed on test</t>
        </is>
      </c>
      <c r="Y6" s="16" t="inlineStr">
        <is>
          <t>Passed on test</t>
        </is>
      </c>
      <c r="Z6" s="16" t="inlineStr">
        <is>
          <t>Passed on test</t>
        </is>
      </c>
      <c r="AA6" s="16" t="inlineStr">
        <is>
          <t>Passed on test</t>
        </is>
      </c>
      <c r="AB6" s="16" t="inlineStr">
        <is>
          <t>Passed on test</t>
        </is>
      </c>
    </row>
    <row r="7">
      <c r="A7" s="2" t="inlineStr">
        <is>
          <t>issue_058_se</t>
        </is>
      </c>
      <c r="B7" s="16" t="inlineStr">
        <is>
          <t>Passed on test</t>
        </is>
      </c>
      <c r="C7" s="16" t="inlineStr">
        <is>
          <t>Passed on test</t>
        </is>
      </c>
      <c r="D7" s="16" t="inlineStr">
        <is>
          <t>Passed on test</t>
        </is>
      </c>
      <c r="E7" s="16" t="inlineStr">
        <is>
          <t>Passed on test</t>
        </is>
      </c>
      <c r="F7" s="16" t="inlineStr">
        <is>
          <t>Passed on test</t>
        </is>
      </c>
      <c r="G7" s="16" t="inlineStr">
        <is>
          <t>Passed on test</t>
        </is>
      </c>
      <c r="H7" s="16" t="inlineStr">
        <is>
          <t>Passed on test</t>
        </is>
      </c>
      <c r="I7" s="16" t="inlineStr">
        <is>
          <t>Passed on test</t>
        </is>
      </c>
      <c r="J7" s="16" t="inlineStr">
        <is>
          <t>Passed on test</t>
        </is>
      </c>
      <c r="K7" s="16" t="inlineStr">
        <is>
          <t>Passed on test</t>
        </is>
      </c>
      <c r="L7" s="16" t="inlineStr">
        <is>
          <t>Passed on test</t>
        </is>
      </c>
      <c r="M7" s="16" t="inlineStr">
        <is>
          <t>Passed on test</t>
        </is>
      </c>
      <c r="N7" s="13" t="inlineStr">
        <is>
          <t>NOT_TESTED</t>
        </is>
      </c>
      <c r="O7" s="13" t="inlineStr">
        <is>
          <t>NOT_TESTED</t>
        </is>
      </c>
      <c r="P7" s="13" t="inlineStr">
        <is>
          <t>NOT_TESTED</t>
        </is>
      </c>
      <c r="Q7" s="13" t="inlineStr">
        <is>
          <t>NOT_TESTED</t>
        </is>
      </c>
      <c r="R7" s="13" t="inlineStr">
        <is>
          <t>NOT_TESTED</t>
        </is>
      </c>
      <c r="S7" s="13" t="inlineStr">
        <is>
          <t>NOT_TESTED</t>
        </is>
      </c>
      <c r="T7" s="13" t="inlineStr">
        <is>
          <t>NOT_TESTED</t>
        </is>
      </c>
      <c r="U7" s="13" t="inlineStr">
        <is>
          <t>NOT_TESTED</t>
        </is>
      </c>
      <c r="V7" s="13" t="inlineStr">
        <is>
          <t>NOT_TESTED</t>
        </is>
      </c>
      <c r="W7" s="13" t="inlineStr">
        <is>
          <t>NOT_TESTED</t>
        </is>
      </c>
      <c r="X7" s="13" t="inlineStr">
        <is>
          <t>NOT_TESTED</t>
        </is>
      </c>
      <c r="Y7" s="13" t="inlineStr">
        <is>
          <t>NOT_TESTED</t>
        </is>
      </c>
      <c r="Z7" s="13" t="inlineStr">
        <is>
          <t>NOT_TESTED</t>
        </is>
      </c>
      <c r="AA7" s="13" t="inlineStr">
        <is>
          <t>NOT_TESTED</t>
        </is>
      </c>
      <c r="AB7" s="13" t="inlineStr">
        <is>
          <t>NOT_TESTED</t>
        </is>
      </c>
    </row>
    <row r="8">
      <c r="A8" s="2" t="inlineStr">
        <is>
          <t>issue_061</t>
        </is>
      </c>
      <c r="B8" s="13" t="inlineStr">
        <is>
          <t>NOT_TESTED</t>
        </is>
      </c>
      <c r="C8" s="13" t="inlineStr">
        <is>
          <t>NOT_TESTED</t>
        </is>
      </c>
      <c r="D8" s="13" t="inlineStr">
        <is>
          <t>NOT_TESTED</t>
        </is>
      </c>
      <c r="E8" s="13" t="inlineStr">
        <is>
          <t>NOT_TESTED</t>
        </is>
      </c>
      <c r="F8" s="13" t="inlineStr">
        <is>
          <t>NOT_TESTED</t>
        </is>
      </c>
      <c r="G8" s="13" t="inlineStr">
        <is>
          <t>NOT_TESTED</t>
        </is>
      </c>
      <c r="H8" s="13" t="inlineStr">
        <is>
          <t>NOT_TESTED</t>
        </is>
      </c>
      <c r="I8" s="13" t="inlineStr">
        <is>
          <t>NOT_TESTED</t>
        </is>
      </c>
      <c r="J8" s="13" t="inlineStr">
        <is>
          <t>NOT_TESTED</t>
        </is>
      </c>
      <c r="K8" s="13" t="inlineStr">
        <is>
          <t>NOT_TESTED</t>
        </is>
      </c>
      <c r="L8" s="13" t="inlineStr">
        <is>
          <t>NOT_TESTED</t>
        </is>
      </c>
      <c r="M8" s="13" t="inlineStr">
        <is>
          <t>NOT_TESTED</t>
        </is>
      </c>
      <c r="N8" s="16" t="inlineStr">
        <is>
          <t>Passed on test</t>
        </is>
      </c>
      <c r="O8" s="16" t="inlineStr">
        <is>
          <t>Passed on test</t>
        </is>
      </c>
      <c r="P8" s="16" t="inlineStr">
        <is>
          <t>Passed on test</t>
        </is>
      </c>
      <c r="Q8" s="16" t="inlineStr">
        <is>
          <t>Passed on test</t>
        </is>
      </c>
      <c r="R8" s="16" t="inlineStr">
        <is>
          <t>Passed on test</t>
        </is>
      </c>
      <c r="S8" s="16" t="inlineStr">
        <is>
          <t>Passed on test</t>
        </is>
      </c>
      <c r="T8" s="16" t="inlineStr">
        <is>
          <t>Passed on test</t>
        </is>
      </c>
      <c r="U8" s="16" t="inlineStr">
        <is>
          <t>Passed on test</t>
        </is>
      </c>
      <c r="V8" s="16" t="inlineStr">
        <is>
          <t>Passed on test</t>
        </is>
      </c>
      <c r="W8" s="16" t="inlineStr">
        <is>
          <t>Passed on test</t>
        </is>
      </c>
      <c r="X8" s="16" t="inlineStr">
        <is>
          <t>Passed on test</t>
        </is>
      </c>
      <c r="Y8" s="16" t="inlineStr">
        <is>
          <t>Passed on test</t>
        </is>
      </c>
      <c r="Z8" s="16" t="inlineStr">
        <is>
          <t>Passed on test</t>
        </is>
      </c>
      <c r="AA8" s="16" t="inlineStr">
        <is>
          <t>Passed on test</t>
        </is>
      </c>
      <c r="AB8" s="16" t="inlineStr">
        <is>
          <t>Passed on test</t>
        </is>
      </c>
    </row>
    <row r="9">
      <c r="A9" s="2" t="inlineStr">
        <is>
          <t>issue_072</t>
        </is>
      </c>
      <c r="B9" s="16" t="inlineStr">
        <is>
          <t>Passed on test</t>
        </is>
      </c>
      <c r="C9" s="16" t="inlineStr">
        <is>
          <t>Passed on test</t>
        </is>
      </c>
      <c r="D9" s="16" t="inlineStr">
        <is>
          <t>Passed on test</t>
        </is>
      </c>
      <c r="E9" s="16" t="inlineStr">
        <is>
          <t>Passed on test</t>
        </is>
      </c>
      <c r="F9" s="13" t="inlineStr">
        <is>
          <t>NOT_TESTED</t>
        </is>
      </c>
      <c r="G9" s="13" t="inlineStr">
        <is>
          <t>NOT_TESTED</t>
        </is>
      </c>
      <c r="H9" s="13" t="inlineStr">
        <is>
          <t>NOT_TESTED</t>
        </is>
      </c>
      <c r="I9" s="13" t="inlineStr">
        <is>
          <t>NOT_TESTED</t>
        </is>
      </c>
      <c r="J9" s="13" t="inlineStr">
        <is>
          <t>NOT_TESTED</t>
        </is>
      </c>
      <c r="K9" s="13" t="inlineStr">
        <is>
          <t>NOT_TESTED</t>
        </is>
      </c>
      <c r="L9" s="13" t="inlineStr">
        <is>
          <t>NOT_TESTED</t>
        </is>
      </c>
      <c r="M9" s="13" t="inlineStr">
        <is>
          <t>NOT_TESTED</t>
        </is>
      </c>
      <c r="N9" s="13" t="inlineStr">
        <is>
          <t>NOT_TESTED</t>
        </is>
      </c>
      <c r="O9" s="13" t="inlineStr">
        <is>
          <t>NOT_TESTED</t>
        </is>
      </c>
      <c r="P9" s="13" t="inlineStr">
        <is>
          <t>NOT_TESTED</t>
        </is>
      </c>
      <c r="Q9" s="13" t="inlineStr">
        <is>
          <t>NOT_TESTED</t>
        </is>
      </c>
      <c r="R9" s="13" t="inlineStr">
        <is>
          <t>NOT_TESTED</t>
        </is>
      </c>
      <c r="S9" s="13" t="inlineStr">
        <is>
          <t>NOT_TESTED</t>
        </is>
      </c>
      <c r="T9" s="13" t="inlineStr">
        <is>
          <t>NOT_TESTED</t>
        </is>
      </c>
      <c r="U9" s="13" t="inlineStr">
        <is>
          <t>NOT_TESTED</t>
        </is>
      </c>
      <c r="V9" s="13" t="inlineStr">
        <is>
          <t>NOT_TESTED</t>
        </is>
      </c>
      <c r="W9" s="13" t="inlineStr">
        <is>
          <t>NOT_TESTED</t>
        </is>
      </c>
      <c r="X9" s="13" t="inlineStr">
        <is>
          <t>NOT_TESTED</t>
        </is>
      </c>
      <c r="Y9" s="13" t="inlineStr">
        <is>
          <t>NOT_TESTED</t>
        </is>
      </c>
      <c r="Z9" s="13" t="inlineStr">
        <is>
          <t>NOT_TESTED</t>
        </is>
      </c>
      <c r="AA9" s="13" t="inlineStr">
        <is>
          <t>NOT_TESTED</t>
        </is>
      </c>
      <c r="AB9" s="13" t="inlineStr">
        <is>
          <t>NOT_TESTED</t>
        </is>
      </c>
    </row>
    <row r="10">
      <c r="A10" s="2" t="inlineStr">
        <is>
          <t>issue_096</t>
        </is>
      </c>
      <c r="B10" s="15" t="inlineStr">
        <is>
          <t>Failed on test</t>
        </is>
      </c>
      <c r="C10" s="15" t="inlineStr">
        <is>
          <t>Failed on test</t>
        </is>
      </c>
      <c r="D10" s="15" t="inlineStr">
        <is>
          <t>Failed on test</t>
        </is>
      </c>
      <c r="E10" s="15" t="inlineStr">
        <is>
          <t>Failed on test</t>
        </is>
      </c>
      <c r="F10" s="15" t="inlineStr">
        <is>
          <t>Failed on test</t>
        </is>
      </c>
      <c r="G10" s="15" t="inlineStr">
        <is>
          <t>Failed on test</t>
        </is>
      </c>
      <c r="H10" s="15" t="inlineStr">
        <is>
          <t>Failed on test</t>
        </is>
      </c>
      <c r="I10" s="15" t="inlineStr">
        <is>
          <t>Failed on test</t>
        </is>
      </c>
      <c r="J10" s="15" t="inlineStr">
        <is>
          <t>Failed on test</t>
        </is>
      </c>
      <c r="K10" s="15" t="inlineStr">
        <is>
          <t>Failed on test</t>
        </is>
      </c>
      <c r="L10" s="15" t="inlineStr">
        <is>
          <t>Failed on test</t>
        </is>
      </c>
      <c r="M10" s="15" t="inlineStr">
        <is>
          <t>Failed on test</t>
        </is>
      </c>
      <c r="N10" s="15" t="inlineStr">
        <is>
          <t>Failed on test</t>
        </is>
      </c>
      <c r="O10" s="15" t="inlineStr">
        <is>
          <t>Failed on test</t>
        </is>
      </c>
      <c r="P10" s="15" t="inlineStr">
        <is>
          <t>Failed on test</t>
        </is>
      </c>
      <c r="Q10" s="15" t="inlineStr">
        <is>
          <t>Failed on test</t>
        </is>
      </c>
      <c r="R10" s="15" t="inlineStr">
        <is>
          <t>Failed on test</t>
        </is>
      </c>
      <c r="S10" s="15" t="inlineStr">
        <is>
          <t>Failed on test</t>
        </is>
      </c>
      <c r="T10" s="15" t="inlineStr">
        <is>
          <t>Failed on test</t>
        </is>
      </c>
      <c r="U10" s="15" t="inlineStr">
        <is>
          <t>Failed on test</t>
        </is>
      </c>
      <c r="V10" s="15" t="inlineStr">
        <is>
          <t>Failed on test</t>
        </is>
      </c>
      <c r="W10" s="15" t="inlineStr">
        <is>
          <t>Failed on test</t>
        </is>
      </c>
      <c r="X10" s="15" t="inlineStr">
        <is>
          <t>Failed on test</t>
        </is>
      </c>
      <c r="Y10" s="15" t="inlineStr">
        <is>
          <t>Failed on test</t>
        </is>
      </c>
      <c r="Z10" s="15" t="inlineStr">
        <is>
          <t>Failed on test</t>
        </is>
      </c>
      <c r="AA10" s="15" t="inlineStr">
        <is>
          <t>Failed on test</t>
        </is>
      </c>
      <c r="AB10" s="15" t="inlineStr">
        <is>
          <t>Failed on test</t>
        </is>
      </c>
    </row>
    <row r="11">
      <c r="A11" s="2" t="inlineStr">
        <is>
          <t>issue_155</t>
        </is>
      </c>
      <c r="B11" s="14" t="inlineStr">
        <is>
          <t>Runtime error</t>
        </is>
      </c>
      <c r="C11" s="14" t="inlineStr">
        <is>
          <t>Runtime error</t>
        </is>
      </c>
      <c r="D11" s="14" t="inlineStr">
        <is>
          <t>Runtime error</t>
        </is>
      </c>
      <c r="E11" s="14" t="inlineStr">
        <is>
          <t>Runtime error</t>
        </is>
      </c>
      <c r="F11" s="16" t="inlineStr">
        <is>
          <t>Passed on test</t>
        </is>
      </c>
      <c r="G11" s="16" t="inlineStr">
        <is>
          <t>Passed on test</t>
        </is>
      </c>
      <c r="H11" s="16" t="inlineStr">
        <is>
          <t>Passed on test</t>
        </is>
      </c>
      <c r="I11" s="16" t="inlineStr">
        <is>
          <t>Passed on test</t>
        </is>
      </c>
      <c r="J11" s="16" t="inlineStr">
        <is>
          <t>Passed on test</t>
        </is>
      </c>
      <c r="K11" s="16" t="inlineStr">
        <is>
          <t>Passed on test</t>
        </is>
      </c>
      <c r="L11" s="16" t="inlineStr">
        <is>
          <t>Passed on test</t>
        </is>
      </c>
      <c r="M11" s="16" t="inlineStr">
        <is>
          <t>Passed on test</t>
        </is>
      </c>
      <c r="N11" s="13" t="inlineStr">
        <is>
          <t>NOT_TESTED</t>
        </is>
      </c>
      <c r="O11" s="13" t="inlineStr">
        <is>
          <t>NOT_TESTED</t>
        </is>
      </c>
      <c r="P11" s="13" t="inlineStr">
        <is>
          <t>NOT_TESTED</t>
        </is>
      </c>
      <c r="Q11" s="13" t="inlineStr">
        <is>
          <t>NOT_TESTED</t>
        </is>
      </c>
      <c r="R11" s="13" t="inlineStr">
        <is>
          <t>NOT_TESTED</t>
        </is>
      </c>
      <c r="S11" s="13" t="inlineStr">
        <is>
          <t>NOT_TESTED</t>
        </is>
      </c>
      <c r="T11" s="13" t="inlineStr">
        <is>
          <t>NOT_TESTED</t>
        </is>
      </c>
      <c r="U11" s="13" t="inlineStr">
        <is>
          <t>NOT_TESTED</t>
        </is>
      </c>
      <c r="V11" s="13" t="inlineStr">
        <is>
          <t>NOT_TESTED</t>
        </is>
      </c>
      <c r="W11" s="13" t="inlineStr">
        <is>
          <t>NOT_TESTED</t>
        </is>
      </c>
      <c r="X11" s="13" t="inlineStr">
        <is>
          <t>NOT_TESTED</t>
        </is>
      </c>
      <c r="Y11" s="13" t="inlineStr">
        <is>
          <t>NOT_TESTED</t>
        </is>
      </c>
      <c r="Z11" s="13" t="inlineStr">
        <is>
          <t>NOT_TESTED</t>
        </is>
      </c>
      <c r="AA11" s="13" t="inlineStr">
        <is>
          <t>NOT_TESTED</t>
        </is>
      </c>
      <c r="AB11" s="13" t="inlineStr">
        <is>
          <t>NOT_TESTED</t>
        </is>
      </c>
    </row>
    <row r="12">
      <c r="A12" s="2" t="inlineStr">
        <is>
          <t>issue_157</t>
        </is>
      </c>
      <c r="B12" s="14" t="inlineStr">
        <is>
          <t>Runtime error</t>
        </is>
      </c>
      <c r="C12" s="14" t="inlineStr">
        <is>
          <t>Runtime error</t>
        </is>
      </c>
      <c r="D12" s="14" t="inlineStr">
        <is>
          <t>Runtime error</t>
        </is>
      </c>
      <c r="E12" s="14" t="inlineStr">
        <is>
          <t>Runtime error</t>
        </is>
      </c>
      <c r="F12" s="16" t="inlineStr">
        <is>
          <t>Passed on test</t>
        </is>
      </c>
      <c r="G12" s="16" t="inlineStr">
        <is>
          <t>Passed on test</t>
        </is>
      </c>
      <c r="H12" s="16" t="inlineStr">
        <is>
          <t>Passed on test</t>
        </is>
      </c>
      <c r="I12" s="16" t="inlineStr">
        <is>
          <t>Passed on test</t>
        </is>
      </c>
      <c r="J12" s="16" t="inlineStr">
        <is>
          <t>Passed on test</t>
        </is>
      </c>
      <c r="K12" s="16" t="inlineStr">
        <is>
          <t>Passed on test</t>
        </is>
      </c>
      <c r="L12" s="16" t="inlineStr">
        <is>
          <t>Passed on test</t>
        </is>
      </c>
      <c r="M12" s="16" t="inlineStr">
        <is>
          <t>Passed on test</t>
        </is>
      </c>
      <c r="N12" s="13" t="inlineStr">
        <is>
          <t>NOT_TESTED</t>
        </is>
      </c>
      <c r="O12" s="13" t="inlineStr">
        <is>
          <t>NOT_TESTED</t>
        </is>
      </c>
      <c r="P12" s="13" t="inlineStr">
        <is>
          <t>NOT_TESTED</t>
        </is>
      </c>
      <c r="Q12" s="13" t="inlineStr">
        <is>
          <t>NOT_TESTED</t>
        </is>
      </c>
      <c r="R12" s="13" t="inlineStr">
        <is>
          <t>NOT_TESTED</t>
        </is>
      </c>
      <c r="S12" s="13" t="inlineStr">
        <is>
          <t>NOT_TESTED</t>
        </is>
      </c>
      <c r="T12" s="13" t="inlineStr">
        <is>
          <t>NOT_TESTED</t>
        </is>
      </c>
      <c r="U12" s="13" t="inlineStr">
        <is>
          <t>NOT_TESTED</t>
        </is>
      </c>
      <c r="V12" s="13" t="inlineStr">
        <is>
          <t>NOT_TESTED</t>
        </is>
      </c>
      <c r="W12" s="13" t="inlineStr">
        <is>
          <t>NOT_TESTED</t>
        </is>
      </c>
      <c r="X12" s="13" t="inlineStr">
        <is>
          <t>NOT_TESTED</t>
        </is>
      </c>
      <c r="Y12" s="13" t="inlineStr">
        <is>
          <t>NOT_TESTED</t>
        </is>
      </c>
      <c r="Z12" s="13" t="inlineStr">
        <is>
          <t>NOT_TESTED</t>
        </is>
      </c>
      <c r="AA12" s="13" t="inlineStr">
        <is>
          <t>NOT_TESTED</t>
        </is>
      </c>
      <c r="AB12" s="13" t="inlineStr">
        <is>
          <t>NOT_TESTED</t>
        </is>
      </c>
    </row>
    <row r="13">
      <c r="A13" s="2" t="inlineStr">
        <is>
          <t>issue_174</t>
        </is>
      </c>
      <c r="B13" s="16" t="inlineStr">
        <is>
          <t>Passed on test</t>
        </is>
      </c>
      <c r="C13" s="16" t="inlineStr">
        <is>
          <t>Passed on test</t>
        </is>
      </c>
      <c r="D13" s="16" t="inlineStr">
        <is>
          <t>Passed on test</t>
        </is>
      </c>
      <c r="E13" s="16" t="inlineStr">
        <is>
          <t>Passed on test</t>
        </is>
      </c>
      <c r="F13" s="16" t="inlineStr">
        <is>
          <t>Passed on test</t>
        </is>
      </c>
      <c r="G13" s="16" t="inlineStr">
        <is>
          <t>Passed on test</t>
        </is>
      </c>
      <c r="H13" s="16" t="inlineStr">
        <is>
          <t>Passed on test</t>
        </is>
      </c>
      <c r="I13" s="16" t="inlineStr">
        <is>
          <t>Passed on test</t>
        </is>
      </c>
      <c r="J13" s="16" t="inlineStr">
        <is>
          <t>Passed on test</t>
        </is>
      </c>
      <c r="K13" s="16" t="inlineStr">
        <is>
          <t>Passed on test</t>
        </is>
      </c>
      <c r="L13" s="16" t="inlineStr">
        <is>
          <t>Passed on test</t>
        </is>
      </c>
      <c r="M13" s="16" t="inlineStr">
        <is>
          <t>Passed on test</t>
        </is>
      </c>
      <c r="N13" s="13" t="inlineStr">
        <is>
          <t>NOT_TESTED</t>
        </is>
      </c>
      <c r="O13" s="13" t="inlineStr">
        <is>
          <t>NOT_TESTED</t>
        </is>
      </c>
      <c r="P13" s="13" t="inlineStr">
        <is>
          <t>NOT_TESTED</t>
        </is>
      </c>
      <c r="Q13" s="13" t="inlineStr">
        <is>
          <t>NOT_TESTED</t>
        </is>
      </c>
      <c r="R13" s="13" t="inlineStr">
        <is>
          <t>NOT_TESTED</t>
        </is>
      </c>
      <c r="S13" s="13" t="inlineStr">
        <is>
          <t>NOT_TESTED</t>
        </is>
      </c>
      <c r="T13" s="13" t="inlineStr">
        <is>
          <t>NOT_TESTED</t>
        </is>
      </c>
      <c r="U13" s="13" t="inlineStr">
        <is>
          <t>NOT_TESTED</t>
        </is>
      </c>
      <c r="V13" s="13" t="inlineStr">
        <is>
          <t>NOT_TESTED</t>
        </is>
      </c>
      <c r="W13" s="13" t="inlineStr">
        <is>
          <t>NOT_TESTED</t>
        </is>
      </c>
      <c r="X13" s="13" t="inlineStr">
        <is>
          <t>NOT_TESTED</t>
        </is>
      </c>
      <c r="Y13" s="13" t="inlineStr">
        <is>
          <t>NOT_TESTED</t>
        </is>
      </c>
      <c r="Z13" s="13" t="inlineStr">
        <is>
          <t>NOT_TESTED</t>
        </is>
      </c>
      <c r="AA13" s="13" t="inlineStr">
        <is>
          <t>NOT_TESTED</t>
        </is>
      </c>
      <c r="AB13" s="13" t="inlineStr">
        <is>
          <t>NOT_TESTED</t>
        </is>
      </c>
    </row>
    <row r="14">
      <c r="A14" s="2" t="inlineStr">
        <is>
          <t>issue_189</t>
        </is>
      </c>
      <c r="B14" s="13" t="inlineStr">
        <is>
          <t>NOT_TESTED</t>
        </is>
      </c>
      <c r="C14" s="13" t="inlineStr">
        <is>
          <t>NOT_TESTED</t>
        </is>
      </c>
      <c r="D14" s="13" t="inlineStr">
        <is>
          <t>NOT_TESTED</t>
        </is>
      </c>
      <c r="E14" s="13" t="inlineStr">
        <is>
          <t>NOT_TESTED</t>
        </is>
      </c>
      <c r="F14" s="16" t="inlineStr">
        <is>
          <t>Failed on test</t>
        </is>
      </c>
      <c r="G14" s="16" t="inlineStr">
        <is>
          <t>Failed on test</t>
        </is>
      </c>
      <c r="H14" s="16" t="inlineStr">
        <is>
          <t>Failed on test</t>
        </is>
      </c>
      <c r="I14" s="16" t="inlineStr">
        <is>
          <t>Failed on test</t>
        </is>
      </c>
      <c r="J14" s="16" t="inlineStr">
        <is>
          <t>Failed on test</t>
        </is>
      </c>
      <c r="K14" s="16" t="inlineStr">
        <is>
          <t>Failed on test</t>
        </is>
      </c>
      <c r="L14" s="16" t="inlineStr">
        <is>
          <t>Failed on test</t>
        </is>
      </c>
      <c r="M14" s="16" t="inlineStr">
        <is>
          <t>Failed on test</t>
        </is>
      </c>
      <c r="N14" s="16" t="inlineStr">
        <is>
          <t>Failed on test</t>
        </is>
      </c>
      <c r="O14" s="16" t="inlineStr">
        <is>
          <t>Failed on test</t>
        </is>
      </c>
      <c r="P14" s="16" t="inlineStr">
        <is>
          <t>Failed on test</t>
        </is>
      </c>
      <c r="Q14" s="16" t="inlineStr">
        <is>
          <t>Failed on test</t>
        </is>
      </c>
      <c r="R14" s="16" t="inlineStr">
        <is>
          <t>Failed on test</t>
        </is>
      </c>
      <c r="S14" s="16" t="inlineStr">
        <is>
          <t>Failed on test</t>
        </is>
      </c>
      <c r="T14" s="16" t="inlineStr">
        <is>
          <t>Failed on test</t>
        </is>
      </c>
      <c r="U14" s="16" t="inlineStr">
        <is>
          <t>Failed on test</t>
        </is>
      </c>
      <c r="V14" s="16" t="inlineStr">
        <is>
          <t>Failed on test</t>
        </is>
      </c>
      <c r="W14" s="16" t="inlineStr">
        <is>
          <t>Failed on test</t>
        </is>
      </c>
      <c r="X14" s="16" t="inlineStr">
        <is>
          <t>Failed on test</t>
        </is>
      </c>
      <c r="Y14" s="16" t="inlineStr">
        <is>
          <t>Failed on test</t>
        </is>
      </c>
      <c r="Z14" s="16" t="inlineStr">
        <is>
          <t>Failed on test</t>
        </is>
      </c>
      <c r="AA14" s="16" t="inlineStr">
        <is>
          <t>Failed on test</t>
        </is>
      </c>
      <c r="AB14" s="16" t="inlineStr">
        <is>
          <t>Failed on test</t>
        </is>
      </c>
    </row>
    <row r="15">
      <c r="A15" s="2" t="inlineStr">
        <is>
          <t>issue_225</t>
        </is>
      </c>
      <c r="B15" s="13" t="inlineStr">
        <is>
          <t>NOT_TESTED</t>
        </is>
      </c>
      <c r="C15" s="13" t="inlineStr">
        <is>
          <t>NOT_TESTED</t>
        </is>
      </c>
      <c r="D15" s="13" t="inlineStr">
        <is>
          <t>NOT_TESTED</t>
        </is>
      </c>
      <c r="E15" s="13" t="inlineStr">
        <is>
          <t>NOT_TESTED</t>
        </is>
      </c>
      <c r="F15" s="16" t="inlineStr">
        <is>
          <t>Passed on test</t>
        </is>
      </c>
      <c r="G15" s="16" t="inlineStr">
        <is>
          <t>Passed on test</t>
        </is>
      </c>
      <c r="H15" s="16" t="inlineStr">
        <is>
          <t>Passed on test</t>
        </is>
      </c>
      <c r="I15" s="16" t="inlineStr">
        <is>
          <t>Passed on test</t>
        </is>
      </c>
      <c r="J15" s="16" t="inlineStr">
        <is>
          <t>Passed on test</t>
        </is>
      </c>
      <c r="K15" s="16" t="inlineStr">
        <is>
          <t>Passed on test</t>
        </is>
      </c>
      <c r="L15" s="16" t="inlineStr">
        <is>
          <t>Passed on test</t>
        </is>
      </c>
      <c r="M15" s="16" t="inlineStr">
        <is>
          <t>Passed on test</t>
        </is>
      </c>
      <c r="N15" s="13" t="inlineStr">
        <is>
          <t>NOT_TESTED</t>
        </is>
      </c>
      <c r="O15" s="13" t="inlineStr">
        <is>
          <t>NOT_TESTED</t>
        </is>
      </c>
      <c r="P15" s="13" t="inlineStr">
        <is>
          <t>NOT_TESTED</t>
        </is>
      </c>
      <c r="Q15" s="13" t="inlineStr">
        <is>
          <t>NOT_TESTED</t>
        </is>
      </c>
      <c r="R15" s="13" t="inlineStr">
        <is>
          <t>NOT_TESTED</t>
        </is>
      </c>
      <c r="S15" s="13" t="inlineStr">
        <is>
          <t>NOT_TESTED</t>
        </is>
      </c>
      <c r="T15" s="13" t="inlineStr">
        <is>
          <t>NOT_TESTED</t>
        </is>
      </c>
      <c r="U15" s="13" t="inlineStr">
        <is>
          <t>NOT_TESTED</t>
        </is>
      </c>
      <c r="V15" s="13" t="inlineStr">
        <is>
          <t>NOT_TESTED</t>
        </is>
      </c>
      <c r="W15" s="13" t="inlineStr">
        <is>
          <t>NOT_TESTED</t>
        </is>
      </c>
      <c r="X15" s="13" t="inlineStr">
        <is>
          <t>NOT_TESTED</t>
        </is>
      </c>
      <c r="Y15" s="13" t="inlineStr">
        <is>
          <t>NOT_TESTED</t>
        </is>
      </c>
      <c r="Z15" s="13" t="inlineStr">
        <is>
          <t>NOT_TESTED</t>
        </is>
      </c>
      <c r="AA15" s="13" t="inlineStr">
        <is>
          <t>NOT_TESTED</t>
        </is>
      </c>
      <c r="AB15" s="13" t="inlineStr">
        <is>
          <t>NOT_TESTED</t>
        </is>
      </c>
    </row>
    <row r="16">
      <c r="A16" s="2" t="inlineStr">
        <is>
          <t>issue_233</t>
        </is>
      </c>
      <c r="B16" s="16" t="inlineStr">
        <is>
          <t>Passed on test</t>
        </is>
      </c>
      <c r="C16" s="16" t="inlineStr">
        <is>
          <t>Passed on test</t>
        </is>
      </c>
      <c r="D16" s="16" t="inlineStr">
        <is>
          <t>Passed on test</t>
        </is>
      </c>
      <c r="E16" s="16" t="inlineStr">
        <is>
          <t>Passed on test</t>
        </is>
      </c>
      <c r="F16" s="16" t="inlineStr">
        <is>
          <t>Passed on test</t>
        </is>
      </c>
      <c r="G16" s="16" t="inlineStr">
        <is>
          <t>Passed on test</t>
        </is>
      </c>
      <c r="H16" s="16" t="inlineStr">
        <is>
          <t>Passed on test</t>
        </is>
      </c>
      <c r="I16" s="16" t="inlineStr">
        <is>
          <t>Passed on test</t>
        </is>
      </c>
      <c r="J16" s="16" t="inlineStr">
        <is>
          <t>Passed on test</t>
        </is>
      </c>
      <c r="K16" s="16" t="inlineStr">
        <is>
          <t>Passed on test</t>
        </is>
      </c>
      <c r="L16" s="16" t="inlineStr">
        <is>
          <t>Passed on test</t>
        </is>
      </c>
      <c r="M16" s="16" t="inlineStr">
        <is>
          <t>Passed on test</t>
        </is>
      </c>
      <c r="N16" s="16" t="inlineStr">
        <is>
          <t>Passed on test</t>
        </is>
      </c>
      <c r="O16" s="16" t="inlineStr">
        <is>
          <t>Passed on test</t>
        </is>
      </c>
      <c r="P16" s="16" t="inlineStr">
        <is>
          <t>Passed on test</t>
        </is>
      </c>
      <c r="Q16" s="16" t="inlineStr">
        <is>
          <t>Passed on test</t>
        </is>
      </c>
      <c r="R16" s="16" t="inlineStr">
        <is>
          <t>Passed on test</t>
        </is>
      </c>
      <c r="S16" s="16" t="inlineStr">
        <is>
          <t>Passed on test</t>
        </is>
      </c>
      <c r="T16" s="16" t="inlineStr">
        <is>
          <t>Passed on test</t>
        </is>
      </c>
      <c r="U16" s="16" t="inlineStr">
        <is>
          <t>Passed on test</t>
        </is>
      </c>
      <c r="V16" s="16" t="inlineStr">
        <is>
          <t>Passed on test</t>
        </is>
      </c>
      <c r="W16" s="16" t="inlineStr">
        <is>
          <t>Passed on test</t>
        </is>
      </c>
      <c r="X16" s="16" t="inlineStr">
        <is>
          <t>Passed on test</t>
        </is>
      </c>
      <c r="Y16" s="16" t="inlineStr">
        <is>
          <t>Passed on test</t>
        </is>
      </c>
      <c r="Z16" s="16" t="inlineStr">
        <is>
          <t>Passed on test</t>
        </is>
      </c>
      <c r="AA16" s="16" t="inlineStr">
        <is>
          <t>Passed on test</t>
        </is>
      </c>
      <c r="AB16" s="16" t="inlineStr">
        <is>
          <t>Passed on test</t>
        </is>
      </c>
    </row>
    <row r="17">
      <c r="A17" s="2" t="inlineStr">
        <is>
          <t>issue_261</t>
        </is>
      </c>
      <c r="B17" s="16" t="inlineStr">
        <is>
          <t>Passed on test</t>
        </is>
      </c>
      <c r="C17" s="16" t="inlineStr">
        <is>
          <t>Passed on test</t>
        </is>
      </c>
      <c r="D17" s="16" t="inlineStr">
        <is>
          <t>Passed on test</t>
        </is>
      </c>
      <c r="E17" s="16" t="inlineStr">
        <is>
          <t>Passed on test</t>
        </is>
      </c>
      <c r="F17" s="16" t="inlineStr">
        <is>
          <t>Passed on test</t>
        </is>
      </c>
      <c r="G17" s="16" t="inlineStr">
        <is>
          <t>Passed on test</t>
        </is>
      </c>
      <c r="H17" s="16" t="inlineStr">
        <is>
          <t>Passed on test</t>
        </is>
      </c>
      <c r="I17" s="16" t="inlineStr">
        <is>
          <t>Passed on test</t>
        </is>
      </c>
      <c r="J17" s="16" t="inlineStr">
        <is>
          <t>Passed on test</t>
        </is>
      </c>
      <c r="K17" s="16" t="inlineStr">
        <is>
          <t>Passed on test</t>
        </is>
      </c>
      <c r="L17" s="16" t="inlineStr">
        <is>
          <t>Passed on test</t>
        </is>
      </c>
      <c r="M17" s="16" t="inlineStr">
        <is>
          <t>Passed on test</t>
        </is>
      </c>
      <c r="N17" s="13" t="inlineStr">
        <is>
          <t>NOT_TESTED</t>
        </is>
      </c>
      <c r="O17" s="13" t="inlineStr">
        <is>
          <t>NOT_TESTED</t>
        </is>
      </c>
      <c r="P17" s="13" t="inlineStr">
        <is>
          <t>NOT_TESTED</t>
        </is>
      </c>
      <c r="Q17" s="13" t="inlineStr">
        <is>
          <t>NOT_TESTED</t>
        </is>
      </c>
      <c r="R17" s="13" t="inlineStr">
        <is>
          <t>NOT_TESTED</t>
        </is>
      </c>
      <c r="S17" s="13" t="inlineStr">
        <is>
          <t>NOT_TESTED</t>
        </is>
      </c>
      <c r="T17" s="13" t="inlineStr">
        <is>
          <t>NOT_TESTED</t>
        </is>
      </c>
      <c r="U17" s="13" t="inlineStr">
        <is>
          <t>NOT_TESTED</t>
        </is>
      </c>
      <c r="V17" s="13" t="inlineStr">
        <is>
          <t>NOT_TESTED</t>
        </is>
      </c>
      <c r="W17" s="13" t="inlineStr">
        <is>
          <t>NOT_TESTED</t>
        </is>
      </c>
      <c r="X17" s="13" t="inlineStr">
        <is>
          <t>NOT_TESTED</t>
        </is>
      </c>
      <c r="Y17" s="13" t="inlineStr">
        <is>
          <t>NOT_TESTED</t>
        </is>
      </c>
      <c r="Z17" s="13" t="inlineStr">
        <is>
          <t>NOT_TESTED</t>
        </is>
      </c>
      <c r="AA17" s="13" t="inlineStr">
        <is>
          <t>NOT_TESTED</t>
        </is>
      </c>
      <c r="AB17" s="13" t="inlineStr">
        <is>
          <t>NOT_TESTED</t>
        </is>
      </c>
    </row>
    <row r="18">
      <c r="A18" s="2" t="inlineStr">
        <is>
          <t>issue_280</t>
        </is>
      </c>
      <c r="B18" s="16" t="inlineStr">
        <is>
          <t>Passed on test</t>
        </is>
      </c>
      <c r="C18" s="16" t="inlineStr">
        <is>
          <t>Passed on test</t>
        </is>
      </c>
      <c r="D18" s="16" t="inlineStr">
        <is>
          <t>Passed on test</t>
        </is>
      </c>
      <c r="E18" s="16" t="inlineStr">
        <is>
          <t>Passed on test</t>
        </is>
      </c>
      <c r="F18" s="16" t="inlineStr">
        <is>
          <t>Passed on test</t>
        </is>
      </c>
      <c r="G18" s="16" t="inlineStr">
        <is>
          <t>Passed on test</t>
        </is>
      </c>
      <c r="H18" s="16" t="inlineStr">
        <is>
          <t>Passed on test</t>
        </is>
      </c>
      <c r="I18" s="16" t="inlineStr">
        <is>
          <t>Passed on test</t>
        </is>
      </c>
      <c r="J18" s="16" t="inlineStr">
        <is>
          <t>Passed on test</t>
        </is>
      </c>
      <c r="K18" s="16" t="inlineStr">
        <is>
          <t>Passed on test</t>
        </is>
      </c>
      <c r="L18" s="16" t="inlineStr">
        <is>
          <t>Passed on test</t>
        </is>
      </c>
      <c r="M18" s="16" t="inlineStr">
        <is>
          <t>Passed on test</t>
        </is>
      </c>
      <c r="N18" s="13" t="inlineStr">
        <is>
          <t>NOT_TESTED</t>
        </is>
      </c>
      <c r="O18" s="13" t="inlineStr">
        <is>
          <t>NOT_TESTED</t>
        </is>
      </c>
      <c r="P18" s="13" t="inlineStr">
        <is>
          <t>NOT_TESTED</t>
        </is>
      </c>
      <c r="Q18" s="13" t="inlineStr">
        <is>
          <t>NOT_TESTED</t>
        </is>
      </c>
      <c r="R18" s="13" t="inlineStr">
        <is>
          <t>NOT_TESTED</t>
        </is>
      </c>
      <c r="S18" s="13" t="inlineStr">
        <is>
          <t>NOT_TESTED</t>
        </is>
      </c>
      <c r="T18" s="13" t="inlineStr">
        <is>
          <t>NOT_TESTED</t>
        </is>
      </c>
      <c r="U18" s="13" t="inlineStr">
        <is>
          <t>NOT_TESTED</t>
        </is>
      </c>
      <c r="V18" s="13" t="inlineStr">
        <is>
          <t>NOT_TESTED</t>
        </is>
      </c>
      <c r="W18" s="13" t="inlineStr">
        <is>
          <t>NOT_TESTED</t>
        </is>
      </c>
      <c r="X18" s="13" t="inlineStr">
        <is>
          <t>NOT_TESTED</t>
        </is>
      </c>
      <c r="Y18" s="13" t="inlineStr">
        <is>
          <t>NOT_TESTED</t>
        </is>
      </c>
      <c r="Z18" s="13" t="inlineStr">
        <is>
          <t>NOT_TESTED</t>
        </is>
      </c>
      <c r="AA18" s="13" t="inlineStr">
        <is>
          <t>NOT_TESTED</t>
        </is>
      </c>
      <c r="AB18" s="13" t="inlineStr">
        <is>
          <t>NOT_TESTED</t>
        </is>
      </c>
    </row>
    <row r="19">
      <c r="A19" s="2" t="inlineStr">
        <is>
          <t>issue_295</t>
        </is>
      </c>
      <c r="B19" s="13" t="inlineStr">
        <is>
          <t>NOT_TESTED</t>
        </is>
      </c>
      <c r="C19" s="13" t="inlineStr">
        <is>
          <t>NOT_TESTED</t>
        </is>
      </c>
      <c r="D19" s="13" t="inlineStr">
        <is>
          <t>NOT_TESTED</t>
        </is>
      </c>
      <c r="E19" s="13" t="inlineStr">
        <is>
          <t>NOT_TESTED</t>
        </is>
      </c>
      <c r="F19" s="16" t="inlineStr">
        <is>
          <t>Passed on test</t>
        </is>
      </c>
      <c r="G19" s="16" t="inlineStr">
        <is>
          <t>Passed on test</t>
        </is>
      </c>
      <c r="H19" s="16" t="inlineStr">
        <is>
          <t>Passed on test</t>
        </is>
      </c>
      <c r="I19" s="16" t="inlineStr">
        <is>
          <t>Passed on test</t>
        </is>
      </c>
      <c r="J19" s="16" t="inlineStr">
        <is>
          <t>Passed on test</t>
        </is>
      </c>
      <c r="K19" s="16" t="inlineStr">
        <is>
          <t>Passed on test</t>
        </is>
      </c>
      <c r="L19" s="16" t="inlineStr">
        <is>
          <t>Passed on test</t>
        </is>
      </c>
      <c r="M19" s="16" t="inlineStr">
        <is>
          <t>Passed on test</t>
        </is>
      </c>
      <c r="N19" s="13" t="inlineStr">
        <is>
          <t>NOT_TESTED</t>
        </is>
      </c>
      <c r="O19" s="13" t="inlineStr">
        <is>
          <t>NOT_TESTED</t>
        </is>
      </c>
      <c r="P19" s="13" t="inlineStr">
        <is>
          <t>NOT_TESTED</t>
        </is>
      </c>
      <c r="Q19" s="13" t="inlineStr">
        <is>
          <t>NOT_TESTED</t>
        </is>
      </c>
      <c r="R19" s="13" t="inlineStr">
        <is>
          <t>NOT_TESTED</t>
        </is>
      </c>
      <c r="S19" s="13" t="inlineStr">
        <is>
          <t>NOT_TESTED</t>
        </is>
      </c>
      <c r="T19" s="13" t="inlineStr">
        <is>
          <t>NOT_TESTED</t>
        </is>
      </c>
      <c r="U19" s="13" t="inlineStr">
        <is>
          <t>NOT_TESTED</t>
        </is>
      </c>
      <c r="V19" s="13" t="inlineStr">
        <is>
          <t>NOT_TESTED</t>
        </is>
      </c>
      <c r="W19" s="13" t="inlineStr">
        <is>
          <t>NOT_TESTED</t>
        </is>
      </c>
      <c r="X19" s="13" t="inlineStr">
        <is>
          <t>NOT_TESTED</t>
        </is>
      </c>
      <c r="Y19" s="13" t="inlineStr">
        <is>
          <t>NOT_TESTED</t>
        </is>
      </c>
      <c r="Z19" s="13" t="inlineStr">
        <is>
          <t>NOT_TESTED</t>
        </is>
      </c>
      <c r="AA19" s="13" t="inlineStr">
        <is>
          <t>NOT_TESTED</t>
        </is>
      </c>
      <c r="AB19" s="13" t="inlineStr">
        <is>
          <t>NOT_TESTED</t>
        </is>
      </c>
    </row>
    <row r="20">
      <c r="A20" s="2" t="inlineStr">
        <is>
          <t>issue_315</t>
        </is>
      </c>
      <c r="B20" s="13" t="inlineStr">
        <is>
          <t>NOT_TESTED</t>
        </is>
      </c>
      <c r="C20" s="13" t="inlineStr">
        <is>
          <t>NOT_TESTED</t>
        </is>
      </c>
      <c r="D20" s="13" t="inlineStr">
        <is>
          <t>NOT_TESTED</t>
        </is>
      </c>
      <c r="E20" s="13" t="inlineStr">
        <is>
          <t>NOT_TESTED</t>
        </is>
      </c>
      <c r="F20" s="14" t="inlineStr">
        <is>
          <t>Runtime error</t>
        </is>
      </c>
      <c r="G20" s="14" t="inlineStr">
        <is>
          <t>Runtime error</t>
        </is>
      </c>
      <c r="H20" s="14" t="inlineStr">
        <is>
          <t>Runtime error</t>
        </is>
      </c>
      <c r="I20" s="14" t="inlineStr">
        <is>
          <t>Runtime error</t>
        </is>
      </c>
      <c r="J20" s="14" t="inlineStr">
        <is>
          <t>Runtime error</t>
        </is>
      </c>
      <c r="K20" s="14" t="inlineStr">
        <is>
          <t>Runtime error</t>
        </is>
      </c>
      <c r="L20" s="14" t="inlineStr">
        <is>
          <t>Runtime error</t>
        </is>
      </c>
      <c r="M20" s="14" t="inlineStr">
        <is>
          <t>Runtime error</t>
        </is>
      </c>
      <c r="N20" s="14" t="inlineStr">
        <is>
          <t>Runtime error</t>
        </is>
      </c>
      <c r="O20" s="14" t="inlineStr">
        <is>
          <t>Runtime error</t>
        </is>
      </c>
      <c r="P20" s="14" t="inlineStr">
        <is>
          <t>Runtime error</t>
        </is>
      </c>
      <c r="Q20" s="14" t="inlineStr">
        <is>
          <t>Runtime error</t>
        </is>
      </c>
      <c r="R20" s="14" t="inlineStr">
        <is>
          <t>Runtime error</t>
        </is>
      </c>
      <c r="S20" s="14" t="inlineStr">
        <is>
          <t>Runtime error</t>
        </is>
      </c>
      <c r="T20" s="14" t="inlineStr">
        <is>
          <t>Runtime error</t>
        </is>
      </c>
      <c r="U20" s="14" t="inlineStr">
        <is>
          <t>Runtime error</t>
        </is>
      </c>
      <c r="V20" s="14" t="inlineStr">
        <is>
          <t>Runtime error</t>
        </is>
      </c>
      <c r="W20" s="14" t="inlineStr">
        <is>
          <t>Runtime error</t>
        </is>
      </c>
      <c r="X20" s="14" t="inlineStr">
        <is>
          <t>Runtime error</t>
        </is>
      </c>
      <c r="Y20" s="14" t="inlineStr">
        <is>
          <t>Runtime error</t>
        </is>
      </c>
      <c r="Z20" s="14" t="inlineStr">
        <is>
          <t>Runtime error</t>
        </is>
      </c>
      <c r="AA20" s="14" t="inlineStr">
        <is>
          <t>Runtime error</t>
        </is>
      </c>
      <c r="AB20" s="14" t="inlineStr">
        <is>
          <t>Runtime error</t>
        </is>
      </c>
    </row>
    <row r="21">
      <c r="A21" s="2" t="inlineStr">
        <is>
          <t>issue_344</t>
        </is>
      </c>
      <c r="B21" s="16" t="inlineStr">
        <is>
          <t>Passed on test</t>
        </is>
      </c>
      <c r="C21" s="16" t="inlineStr">
        <is>
          <t>Passed on test</t>
        </is>
      </c>
      <c r="D21" s="16" t="inlineStr">
        <is>
          <t>Passed on test</t>
        </is>
      </c>
      <c r="E21" s="16" t="inlineStr">
        <is>
          <t>Passed on test</t>
        </is>
      </c>
      <c r="F21" s="16" t="inlineStr">
        <is>
          <t>Passed on test</t>
        </is>
      </c>
      <c r="G21" s="16" t="inlineStr">
        <is>
          <t>Passed on test</t>
        </is>
      </c>
      <c r="H21" s="16" t="inlineStr">
        <is>
          <t>Passed on test</t>
        </is>
      </c>
      <c r="I21" s="16" t="inlineStr">
        <is>
          <t>Passed on test</t>
        </is>
      </c>
      <c r="J21" s="16" t="inlineStr">
        <is>
          <t>Passed on test</t>
        </is>
      </c>
      <c r="K21" s="16" t="inlineStr">
        <is>
          <t>Passed on test</t>
        </is>
      </c>
      <c r="L21" s="16" t="inlineStr">
        <is>
          <t>Passed on test</t>
        </is>
      </c>
      <c r="M21" s="16" t="inlineStr">
        <is>
          <t>Passed on test</t>
        </is>
      </c>
      <c r="N21" s="13" t="inlineStr">
        <is>
          <t>NOT_TESTED</t>
        </is>
      </c>
      <c r="O21" s="13" t="inlineStr">
        <is>
          <t>NOT_TESTED</t>
        </is>
      </c>
      <c r="P21" s="13" t="inlineStr">
        <is>
          <t>NOT_TESTED</t>
        </is>
      </c>
      <c r="Q21" s="13" t="inlineStr">
        <is>
          <t>NOT_TESTED</t>
        </is>
      </c>
      <c r="R21" s="13" t="inlineStr">
        <is>
          <t>NOT_TESTED</t>
        </is>
      </c>
      <c r="S21" s="13" t="inlineStr">
        <is>
          <t>NOT_TESTED</t>
        </is>
      </c>
      <c r="T21" s="13" t="inlineStr">
        <is>
          <t>NOT_TESTED</t>
        </is>
      </c>
      <c r="U21" s="13" t="inlineStr">
        <is>
          <t>NOT_TESTED</t>
        </is>
      </c>
      <c r="V21" s="13" t="inlineStr">
        <is>
          <t>NOT_TESTED</t>
        </is>
      </c>
      <c r="W21" s="13" t="inlineStr">
        <is>
          <t>NOT_TESTED</t>
        </is>
      </c>
      <c r="X21" s="13" t="inlineStr">
        <is>
          <t>NOT_TESTED</t>
        </is>
      </c>
      <c r="Y21" s="13" t="inlineStr">
        <is>
          <t>NOT_TESTED</t>
        </is>
      </c>
      <c r="Z21" s="13" t="inlineStr">
        <is>
          <t>NOT_TESTED</t>
        </is>
      </c>
      <c r="AA21" s="13" t="inlineStr">
        <is>
          <t>NOT_TESTED</t>
        </is>
      </c>
      <c r="AB21" s="13" t="inlineStr">
        <is>
          <t>NOT_TESTED</t>
        </is>
      </c>
    </row>
    <row r="22">
      <c r="A22" s="2" t="inlineStr">
        <is>
          <t>issue_362</t>
        </is>
      </c>
      <c r="B22" s="13" t="inlineStr">
        <is>
          <t>NOT_TESTED</t>
        </is>
      </c>
      <c r="C22" s="13" t="inlineStr">
        <is>
          <t>NOT_TESTED</t>
        </is>
      </c>
      <c r="D22" s="13" t="inlineStr">
        <is>
          <t>NOT_TESTED</t>
        </is>
      </c>
      <c r="E22" s="13" t="inlineStr">
        <is>
          <t>NOT_TESTED</t>
        </is>
      </c>
      <c r="F22" s="16" t="inlineStr">
        <is>
          <t>Passed on test</t>
        </is>
      </c>
      <c r="G22" s="16" t="inlineStr">
        <is>
          <t>Passed on test</t>
        </is>
      </c>
      <c r="H22" s="16" t="inlineStr">
        <is>
          <t>Passed on test</t>
        </is>
      </c>
      <c r="I22" s="16" t="inlineStr">
        <is>
          <t>Passed on test</t>
        </is>
      </c>
      <c r="J22" s="16" t="inlineStr">
        <is>
          <t>Passed on test</t>
        </is>
      </c>
      <c r="K22" s="16" t="inlineStr">
        <is>
          <t>Passed on test</t>
        </is>
      </c>
      <c r="L22" s="16" t="inlineStr">
        <is>
          <t>Passed on test</t>
        </is>
      </c>
      <c r="M22" s="16" t="inlineStr">
        <is>
          <t>Passed on test</t>
        </is>
      </c>
      <c r="N22" s="16" t="inlineStr">
        <is>
          <t>Passed on test</t>
        </is>
      </c>
      <c r="O22" s="16" t="inlineStr">
        <is>
          <t>Passed on test</t>
        </is>
      </c>
      <c r="P22" s="16" t="inlineStr">
        <is>
          <t>Passed on test</t>
        </is>
      </c>
      <c r="Q22" s="16" t="inlineStr">
        <is>
          <t>Passed on test</t>
        </is>
      </c>
      <c r="R22" s="16" t="inlineStr">
        <is>
          <t>Passed on test</t>
        </is>
      </c>
      <c r="S22" s="16" t="inlineStr">
        <is>
          <t>Passed on test</t>
        </is>
      </c>
      <c r="T22" s="16" t="inlineStr">
        <is>
          <t>Passed on test</t>
        </is>
      </c>
      <c r="U22" s="16" t="inlineStr">
        <is>
          <t>Passed on test</t>
        </is>
      </c>
      <c r="V22" s="16" t="inlineStr">
        <is>
          <t>Passed on test</t>
        </is>
      </c>
      <c r="W22" s="16" t="inlineStr">
        <is>
          <t>Passed on test</t>
        </is>
      </c>
      <c r="X22" s="16" t="inlineStr">
        <is>
          <t>Passed on test</t>
        </is>
      </c>
      <c r="Y22" s="16" t="inlineStr">
        <is>
          <t>Passed on test</t>
        </is>
      </c>
      <c r="Z22" s="16" t="inlineStr">
        <is>
          <t>Passed on test</t>
        </is>
      </c>
      <c r="AA22" s="16" t="inlineStr">
        <is>
          <t>Passed on test</t>
        </is>
      </c>
      <c r="AB22" s="16" t="inlineStr">
        <is>
          <t>Passed on test</t>
        </is>
      </c>
    </row>
    <row r="23">
      <c r="A23" s="2" t="inlineStr">
        <is>
          <t>issue_369</t>
        </is>
      </c>
      <c r="B23" s="16" t="inlineStr">
        <is>
          <t>Passed on test</t>
        </is>
      </c>
      <c r="C23" s="16" t="inlineStr">
        <is>
          <t>Passed on test</t>
        </is>
      </c>
      <c r="D23" s="16" t="inlineStr">
        <is>
          <t>Passed on test</t>
        </is>
      </c>
      <c r="E23" s="16" t="inlineStr">
        <is>
          <t>Passed on test</t>
        </is>
      </c>
      <c r="F23" s="16" t="inlineStr">
        <is>
          <t>Passed on test</t>
        </is>
      </c>
      <c r="G23" s="16" t="inlineStr">
        <is>
          <t>Passed on test</t>
        </is>
      </c>
      <c r="H23" s="16" t="inlineStr">
        <is>
          <t>Passed on test</t>
        </is>
      </c>
      <c r="I23" s="16" t="inlineStr">
        <is>
          <t>Passed on test</t>
        </is>
      </c>
      <c r="J23" s="16" t="inlineStr">
        <is>
          <t>Passed on test</t>
        </is>
      </c>
      <c r="K23" s="16" t="inlineStr">
        <is>
          <t>Passed on test</t>
        </is>
      </c>
      <c r="L23" s="16" t="inlineStr">
        <is>
          <t>Passed on test</t>
        </is>
      </c>
      <c r="M23" s="16" t="inlineStr">
        <is>
          <t>Passed on test</t>
        </is>
      </c>
      <c r="N23" s="16" t="inlineStr">
        <is>
          <t>Passed on test</t>
        </is>
      </c>
      <c r="O23" s="16" t="inlineStr">
        <is>
          <t>Passed on test</t>
        </is>
      </c>
      <c r="P23" s="16" t="inlineStr">
        <is>
          <t>Passed on test</t>
        </is>
      </c>
      <c r="Q23" s="16" t="inlineStr">
        <is>
          <t>Passed on test</t>
        </is>
      </c>
      <c r="R23" s="16" t="inlineStr">
        <is>
          <t>Passed on test</t>
        </is>
      </c>
      <c r="S23" s="16" t="inlineStr">
        <is>
          <t>Passed on test</t>
        </is>
      </c>
      <c r="T23" s="16" t="inlineStr">
        <is>
          <t>Passed on test</t>
        </is>
      </c>
      <c r="U23" s="16" t="inlineStr">
        <is>
          <t>Passed on test</t>
        </is>
      </c>
      <c r="V23" s="16" t="inlineStr">
        <is>
          <t>Passed on test</t>
        </is>
      </c>
      <c r="W23" s="16" t="inlineStr">
        <is>
          <t>Passed on test</t>
        </is>
      </c>
      <c r="X23" s="16" t="inlineStr">
        <is>
          <t>Passed on test</t>
        </is>
      </c>
      <c r="Y23" s="16" t="inlineStr">
        <is>
          <t>Passed on test</t>
        </is>
      </c>
      <c r="Z23" s="16" t="inlineStr">
        <is>
          <t>Passed on test</t>
        </is>
      </c>
      <c r="AA23" s="16" t="inlineStr">
        <is>
          <t>Passed on test</t>
        </is>
      </c>
      <c r="AB23" s="16" t="inlineStr">
        <is>
          <t>Passed on test</t>
        </is>
      </c>
    </row>
    <row r="24">
      <c r="A24" s="2" t="inlineStr">
        <is>
          <t>issue_396</t>
        </is>
      </c>
      <c r="B24" s="14" t="inlineStr">
        <is>
          <t>Runtime error</t>
        </is>
      </c>
      <c r="C24" s="14" t="inlineStr">
        <is>
          <t>Runtime error</t>
        </is>
      </c>
      <c r="D24" s="14" t="inlineStr">
        <is>
          <t>Runtime error</t>
        </is>
      </c>
      <c r="E24" s="14" t="inlineStr">
        <is>
          <t>Runtime error</t>
        </is>
      </c>
      <c r="F24" s="15" t="inlineStr">
        <is>
          <t>Failed on test</t>
        </is>
      </c>
      <c r="G24" s="15" t="inlineStr">
        <is>
          <t>Failed on test</t>
        </is>
      </c>
      <c r="H24" s="15" t="inlineStr">
        <is>
          <t>Failed on test</t>
        </is>
      </c>
      <c r="I24" s="15" t="inlineStr">
        <is>
          <t>Failed on test</t>
        </is>
      </c>
      <c r="J24" s="15" t="inlineStr">
        <is>
          <t>Failed on test</t>
        </is>
      </c>
      <c r="K24" s="15" t="inlineStr">
        <is>
          <t>Failed on test</t>
        </is>
      </c>
      <c r="L24" s="15" t="inlineStr">
        <is>
          <t>Failed on test</t>
        </is>
      </c>
      <c r="M24" s="15" t="inlineStr">
        <is>
          <t>Failed on test</t>
        </is>
      </c>
      <c r="N24" s="15" t="inlineStr">
        <is>
          <t>Failed on test</t>
        </is>
      </c>
      <c r="O24" s="15" t="inlineStr">
        <is>
          <t>Failed on test</t>
        </is>
      </c>
      <c r="P24" s="15" t="inlineStr">
        <is>
          <t>Failed on test</t>
        </is>
      </c>
      <c r="Q24" s="15" t="inlineStr">
        <is>
          <t>Failed on test</t>
        </is>
      </c>
      <c r="R24" s="15" t="inlineStr">
        <is>
          <t>Failed on test</t>
        </is>
      </c>
      <c r="S24" s="15" t="inlineStr">
        <is>
          <t>Failed on test</t>
        </is>
      </c>
      <c r="T24" s="15" t="inlineStr">
        <is>
          <t>Failed on test</t>
        </is>
      </c>
      <c r="U24" s="15" t="inlineStr">
        <is>
          <t>Failed on test</t>
        </is>
      </c>
      <c r="V24" s="15" t="inlineStr">
        <is>
          <t>Failed on test</t>
        </is>
      </c>
      <c r="W24" s="15" t="inlineStr">
        <is>
          <t>Failed on test</t>
        </is>
      </c>
      <c r="X24" s="15" t="inlineStr">
        <is>
          <t>Failed on test</t>
        </is>
      </c>
      <c r="Y24" s="15" t="inlineStr">
        <is>
          <t>Failed on test</t>
        </is>
      </c>
      <c r="Z24" s="15" t="inlineStr">
        <is>
          <t>Failed on test</t>
        </is>
      </c>
      <c r="AA24" s="15" t="inlineStr">
        <is>
          <t>Failed on test</t>
        </is>
      </c>
      <c r="AB24" s="15" t="inlineStr">
        <is>
          <t>Failed on test</t>
        </is>
      </c>
    </row>
    <row r="25">
      <c r="A25" s="2" t="inlineStr">
        <is>
          <t>issue_415</t>
        </is>
      </c>
      <c r="B25" s="15" t="inlineStr">
        <is>
          <t>Failed on test</t>
        </is>
      </c>
      <c r="C25" s="15" t="inlineStr">
        <is>
          <t>Failed on test</t>
        </is>
      </c>
      <c r="D25" s="15" t="inlineStr">
        <is>
          <t>Failed on test</t>
        </is>
      </c>
      <c r="E25" s="15" t="inlineStr">
        <is>
          <t>Failed on test</t>
        </is>
      </c>
      <c r="F25" s="13" t="inlineStr">
        <is>
          <t>NOT_TESTED</t>
        </is>
      </c>
      <c r="G25" s="13" t="inlineStr">
        <is>
          <t>NOT_TESTED</t>
        </is>
      </c>
      <c r="H25" s="13" t="inlineStr">
        <is>
          <t>NOT_TESTED</t>
        </is>
      </c>
      <c r="I25" s="13" t="inlineStr">
        <is>
          <t>NOT_TESTED</t>
        </is>
      </c>
      <c r="J25" s="13" t="inlineStr">
        <is>
          <t>NOT_TESTED</t>
        </is>
      </c>
      <c r="K25" s="13" t="inlineStr">
        <is>
          <t>NOT_TESTED</t>
        </is>
      </c>
      <c r="L25" s="13" t="inlineStr">
        <is>
          <t>NOT_TESTED</t>
        </is>
      </c>
      <c r="M25" s="13" t="inlineStr">
        <is>
          <t>NOT_TESTED</t>
        </is>
      </c>
      <c r="N25" s="13" t="inlineStr">
        <is>
          <t>NOT_TESTED</t>
        </is>
      </c>
      <c r="O25" s="13" t="inlineStr">
        <is>
          <t>NOT_TESTED</t>
        </is>
      </c>
      <c r="P25" s="13" t="inlineStr">
        <is>
          <t>NOT_TESTED</t>
        </is>
      </c>
      <c r="Q25" s="13" t="inlineStr">
        <is>
          <t>NOT_TESTED</t>
        </is>
      </c>
      <c r="R25" s="13" t="inlineStr">
        <is>
          <t>NOT_TESTED</t>
        </is>
      </c>
      <c r="S25" s="13" t="inlineStr">
        <is>
          <t>NOT_TESTED</t>
        </is>
      </c>
      <c r="T25" s="13" t="inlineStr">
        <is>
          <t>NOT_TESTED</t>
        </is>
      </c>
      <c r="U25" s="13" t="inlineStr">
        <is>
          <t>NOT_TESTED</t>
        </is>
      </c>
      <c r="V25" s="13" t="inlineStr">
        <is>
          <t>NOT_TESTED</t>
        </is>
      </c>
      <c r="W25" s="13" t="inlineStr">
        <is>
          <t>NOT_TESTED</t>
        </is>
      </c>
      <c r="X25" s="13" t="inlineStr">
        <is>
          <t>NOT_TESTED</t>
        </is>
      </c>
      <c r="Y25" s="13" t="inlineStr">
        <is>
          <t>NOT_TESTED</t>
        </is>
      </c>
      <c r="Z25" s="13" t="inlineStr">
        <is>
          <t>NOT_TESTED</t>
        </is>
      </c>
      <c r="AA25" s="13" t="inlineStr">
        <is>
          <t>NOT_TESTED</t>
        </is>
      </c>
      <c r="AB25" s="13" t="inlineStr">
        <is>
          <t>NOT_TESTED</t>
        </is>
      </c>
    </row>
    <row r="26">
      <c r="A26" s="2" t="inlineStr">
        <is>
          <t>issue_436</t>
        </is>
      </c>
      <c r="B26" s="16" t="inlineStr">
        <is>
          <t>Passed on test</t>
        </is>
      </c>
      <c r="C26" s="16" t="inlineStr">
        <is>
          <t>Passed on test</t>
        </is>
      </c>
      <c r="D26" s="16" t="inlineStr">
        <is>
          <t>Passed on test</t>
        </is>
      </c>
      <c r="E26" s="16" t="inlineStr">
        <is>
          <t>Passed on test</t>
        </is>
      </c>
      <c r="F26" s="13" t="inlineStr">
        <is>
          <t>NOT_TESTED</t>
        </is>
      </c>
      <c r="G26" s="13" t="inlineStr">
        <is>
          <t>NOT_TESTED</t>
        </is>
      </c>
      <c r="H26" s="13" t="inlineStr">
        <is>
          <t>NOT_TESTED</t>
        </is>
      </c>
      <c r="I26" s="13" t="inlineStr">
        <is>
          <t>NOT_TESTED</t>
        </is>
      </c>
      <c r="J26" s="13" t="inlineStr">
        <is>
          <t>NOT_TESTED</t>
        </is>
      </c>
      <c r="K26" s="13" t="inlineStr">
        <is>
          <t>NOT_TESTED</t>
        </is>
      </c>
      <c r="L26" s="13" t="inlineStr">
        <is>
          <t>NOT_TESTED</t>
        </is>
      </c>
      <c r="M26" s="13" t="inlineStr">
        <is>
          <t>NOT_TESTED</t>
        </is>
      </c>
      <c r="N26" s="13" t="inlineStr">
        <is>
          <t>NOT_TESTED</t>
        </is>
      </c>
      <c r="O26" s="13" t="inlineStr">
        <is>
          <t>NOT_TESTED</t>
        </is>
      </c>
      <c r="P26" s="13" t="inlineStr">
        <is>
          <t>NOT_TESTED</t>
        </is>
      </c>
      <c r="Q26" s="13" t="inlineStr">
        <is>
          <t>NOT_TESTED</t>
        </is>
      </c>
      <c r="R26" s="13" t="inlineStr">
        <is>
          <t>NOT_TESTED</t>
        </is>
      </c>
      <c r="S26" s="13" t="inlineStr">
        <is>
          <t>NOT_TESTED</t>
        </is>
      </c>
      <c r="T26" s="13" t="inlineStr">
        <is>
          <t>NOT_TESTED</t>
        </is>
      </c>
      <c r="U26" s="13" t="inlineStr">
        <is>
          <t>NOT_TESTED</t>
        </is>
      </c>
      <c r="V26" s="13" t="inlineStr">
        <is>
          <t>NOT_TESTED</t>
        </is>
      </c>
      <c r="W26" s="13" t="inlineStr">
        <is>
          <t>NOT_TESTED</t>
        </is>
      </c>
      <c r="X26" s="13" t="inlineStr">
        <is>
          <t>NOT_TESTED</t>
        </is>
      </c>
      <c r="Y26" s="13" t="inlineStr">
        <is>
          <t>NOT_TESTED</t>
        </is>
      </c>
      <c r="Z26" s="13" t="inlineStr">
        <is>
          <t>NOT_TESTED</t>
        </is>
      </c>
      <c r="AA26" s="13" t="inlineStr">
        <is>
          <t>NOT_TESTED</t>
        </is>
      </c>
      <c r="AB26" s="13" t="inlineStr">
        <is>
          <t>NOT_TESTED</t>
        </is>
      </c>
    </row>
    <row r="27">
      <c r="A27" s="2" t="inlineStr">
        <is>
          <t>issue_443</t>
        </is>
      </c>
      <c r="B27" s="15" t="inlineStr">
        <is>
          <t>Failed on test</t>
        </is>
      </c>
      <c r="C27" s="15" t="inlineStr">
        <is>
          <t>Failed on test</t>
        </is>
      </c>
      <c r="D27" s="15" t="inlineStr">
        <is>
          <t>Failed on test</t>
        </is>
      </c>
      <c r="E27" s="15" t="inlineStr">
        <is>
          <t>Failed on test</t>
        </is>
      </c>
      <c r="F27" s="15" t="inlineStr">
        <is>
          <t>Failed on test</t>
        </is>
      </c>
      <c r="G27" s="15" t="inlineStr">
        <is>
          <t>Failed on test</t>
        </is>
      </c>
      <c r="H27" s="15" t="inlineStr">
        <is>
          <t>Failed on test</t>
        </is>
      </c>
      <c r="I27" s="15" t="inlineStr">
        <is>
          <t>Failed on test</t>
        </is>
      </c>
      <c r="J27" s="15" t="inlineStr">
        <is>
          <t>Failed on test</t>
        </is>
      </c>
      <c r="K27" s="15" t="inlineStr">
        <is>
          <t>Failed on test</t>
        </is>
      </c>
      <c r="L27" s="15" t="inlineStr">
        <is>
          <t>Failed on test</t>
        </is>
      </c>
      <c r="M27" s="15" t="inlineStr">
        <is>
          <t>Failed on test</t>
        </is>
      </c>
      <c r="N27" s="15" t="inlineStr">
        <is>
          <t>Failed on test</t>
        </is>
      </c>
      <c r="O27" s="15" t="inlineStr">
        <is>
          <t>Failed on test</t>
        </is>
      </c>
      <c r="P27" s="15" t="inlineStr">
        <is>
          <t>Failed on test</t>
        </is>
      </c>
      <c r="Q27" s="15" t="inlineStr">
        <is>
          <t>Failed on test</t>
        </is>
      </c>
      <c r="R27" s="15" t="inlineStr">
        <is>
          <t>Failed on test</t>
        </is>
      </c>
      <c r="S27" s="15" t="inlineStr">
        <is>
          <t>Failed on test</t>
        </is>
      </c>
      <c r="T27" s="15" t="inlineStr">
        <is>
          <t>Failed on test</t>
        </is>
      </c>
      <c r="U27" s="15" t="inlineStr">
        <is>
          <t>Failed on test</t>
        </is>
      </c>
      <c r="V27" s="15" t="inlineStr">
        <is>
          <t>Failed on test</t>
        </is>
      </c>
      <c r="W27" s="15" t="inlineStr">
        <is>
          <t>Failed on test</t>
        </is>
      </c>
      <c r="X27" s="15" t="inlineStr">
        <is>
          <t>Failed on test</t>
        </is>
      </c>
      <c r="Y27" s="15" t="inlineStr">
        <is>
          <t>Failed on test</t>
        </is>
      </c>
      <c r="Z27" s="15" t="inlineStr">
        <is>
          <t>Failed on test</t>
        </is>
      </c>
      <c r="AA27" s="15" t="inlineStr">
        <is>
          <t>Failed on test</t>
        </is>
      </c>
      <c r="AB27" s="15" t="inlineStr">
        <is>
          <t>Failed on test</t>
        </is>
      </c>
    </row>
    <row r="28">
      <c r="A28" s="2" t="inlineStr">
        <is>
          <t>issue_453</t>
        </is>
      </c>
      <c r="B28" s="13" t="inlineStr">
        <is>
          <t>NOT_TESTED</t>
        </is>
      </c>
      <c r="C28" s="13" t="inlineStr">
        <is>
          <t>NOT_TESTED</t>
        </is>
      </c>
      <c r="D28" s="13" t="inlineStr">
        <is>
          <t>NOT_TESTED</t>
        </is>
      </c>
      <c r="E28" s="13" t="inlineStr">
        <is>
          <t>NOT_TESTED</t>
        </is>
      </c>
      <c r="F28" s="14" t="inlineStr">
        <is>
          <t>Passed on test</t>
        </is>
      </c>
      <c r="G28" s="14" t="inlineStr">
        <is>
          <t>Passed on test</t>
        </is>
      </c>
      <c r="H28" s="14" t="inlineStr">
        <is>
          <t>Passed on test</t>
        </is>
      </c>
      <c r="I28" s="14" t="inlineStr">
        <is>
          <t>Passed on test</t>
        </is>
      </c>
      <c r="J28" s="14" t="inlineStr">
        <is>
          <t>Passed on test</t>
        </is>
      </c>
      <c r="K28" s="14" t="inlineStr">
        <is>
          <t>Passed on test</t>
        </is>
      </c>
      <c r="L28" s="14" t="inlineStr">
        <is>
          <t>Passed on test</t>
        </is>
      </c>
      <c r="M28" s="14" t="inlineStr">
        <is>
          <t>Passed on test</t>
        </is>
      </c>
      <c r="N28" s="14" t="inlineStr">
        <is>
          <t>Passed on test</t>
        </is>
      </c>
      <c r="O28" s="14" t="inlineStr">
        <is>
          <t>Passed on test</t>
        </is>
      </c>
      <c r="P28" s="14" t="inlineStr">
        <is>
          <t>Passed on test</t>
        </is>
      </c>
      <c r="Q28" s="14" t="inlineStr">
        <is>
          <t>Passed on test</t>
        </is>
      </c>
      <c r="R28" s="14" t="inlineStr">
        <is>
          <t>Passed on test</t>
        </is>
      </c>
      <c r="S28" s="14" t="inlineStr">
        <is>
          <t>Passed on test</t>
        </is>
      </c>
      <c r="T28" s="14" t="inlineStr">
        <is>
          <t>Passed on test</t>
        </is>
      </c>
      <c r="U28" s="14" t="inlineStr">
        <is>
          <t>Passed on test</t>
        </is>
      </c>
      <c r="V28" s="14" t="inlineStr">
        <is>
          <t>Passed on test</t>
        </is>
      </c>
      <c r="W28" s="14" t="inlineStr">
        <is>
          <t>Passed on test</t>
        </is>
      </c>
      <c r="X28" s="14" t="inlineStr">
        <is>
          <t>Passed on test</t>
        </is>
      </c>
      <c r="Y28" s="14" t="inlineStr">
        <is>
          <t>Passed on test</t>
        </is>
      </c>
      <c r="Z28" s="14" t="inlineStr">
        <is>
          <t>Passed on test</t>
        </is>
      </c>
      <c r="AA28" s="14" t="inlineStr">
        <is>
          <t>Passed on test</t>
        </is>
      </c>
      <c r="AB28" s="14" t="inlineStr">
        <is>
          <t>Passed on test</t>
        </is>
      </c>
    </row>
    <row r="29">
      <c r="A29" s="2" t="inlineStr">
        <is>
          <t>issue_468</t>
        </is>
      </c>
      <c r="B29" s="14" t="inlineStr">
        <is>
          <t>Runtime error</t>
        </is>
      </c>
      <c r="C29" s="14" t="inlineStr">
        <is>
          <t>Runtime error</t>
        </is>
      </c>
      <c r="D29" s="14" t="inlineStr">
        <is>
          <t>Runtime error</t>
        </is>
      </c>
      <c r="E29" s="14" t="inlineStr">
        <is>
          <t>Runtime error</t>
        </is>
      </c>
      <c r="F29" s="13" t="inlineStr">
        <is>
          <t>NOT_TESTED</t>
        </is>
      </c>
      <c r="G29" s="13" t="inlineStr">
        <is>
          <t>NOT_TESTED</t>
        </is>
      </c>
      <c r="H29" s="13" t="inlineStr">
        <is>
          <t>NOT_TESTED</t>
        </is>
      </c>
      <c r="I29" s="13" t="inlineStr">
        <is>
          <t>NOT_TESTED</t>
        </is>
      </c>
      <c r="J29" s="13" t="inlineStr">
        <is>
          <t>NOT_TESTED</t>
        </is>
      </c>
      <c r="K29" s="13" t="inlineStr">
        <is>
          <t>NOT_TESTED</t>
        </is>
      </c>
      <c r="L29" s="13" t="inlineStr">
        <is>
          <t>NOT_TESTED</t>
        </is>
      </c>
      <c r="M29" s="13" t="inlineStr">
        <is>
          <t>NOT_TESTED</t>
        </is>
      </c>
      <c r="N29" s="13" t="inlineStr">
        <is>
          <t>NOT_TESTED</t>
        </is>
      </c>
      <c r="O29" s="13" t="inlineStr">
        <is>
          <t>NOT_TESTED</t>
        </is>
      </c>
      <c r="P29" s="13" t="inlineStr">
        <is>
          <t>NOT_TESTED</t>
        </is>
      </c>
      <c r="Q29" s="13" t="inlineStr">
        <is>
          <t>NOT_TESTED</t>
        </is>
      </c>
      <c r="R29" s="13" t="inlineStr">
        <is>
          <t>NOT_TESTED</t>
        </is>
      </c>
      <c r="S29" s="13" t="inlineStr">
        <is>
          <t>NOT_TESTED</t>
        </is>
      </c>
      <c r="T29" s="13" t="inlineStr">
        <is>
          <t>NOT_TESTED</t>
        </is>
      </c>
      <c r="U29" s="13" t="inlineStr">
        <is>
          <t>NOT_TESTED</t>
        </is>
      </c>
      <c r="V29" s="13" t="inlineStr">
        <is>
          <t>NOT_TESTED</t>
        </is>
      </c>
      <c r="W29" s="13" t="inlineStr">
        <is>
          <t>NOT_TESTED</t>
        </is>
      </c>
      <c r="X29" s="13" t="inlineStr">
        <is>
          <t>NOT_TESTED</t>
        </is>
      </c>
      <c r="Y29" s="13" t="inlineStr">
        <is>
          <t>NOT_TESTED</t>
        </is>
      </c>
      <c r="Z29" s="13" t="inlineStr">
        <is>
          <t>NOT_TESTED</t>
        </is>
      </c>
      <c r="AA29" s="13" t="inlineStr">
        <is>
          <t>NOT_TESTED</t>
        </is>
      </c>
      <c r="AB29" s="13" t="inlineStr">
        <is>
          <t>NOT_TESTED</t>
        </is>
      </c>
    </row>
    <row r="30">
      <c r="A30" s="2" t="inlineStr">
        <is>
          <t>issue_497</t>
        </is>
      </c>
      <c r="B30" s="14" t="inlineStr">
        <is>
          <t>Passed on test</t>
        </is>
      </c>
      <c r="C30" s="14" t="inlineStr">
        <is>
          <t>Passed on test</t>
        </is>
      </c>
      <c r="D30" s="14" t="inlineStr">
        <is>
          <t>Passed on test</t>
        </is>
      </c>
      <c r="E30" s="14" t="inlineStr">
        <is>
          <t>Passed on test</t>
        </is>
      </c>
      <c r="F30" s="13" t="inlineStr">
        <is>
          <t>NOT_TESTED</t>
        </is>
      </c>
      <c r="G30" s="13" t="inlineStr">
        <is>
          <t>NOT_TESTED</t>
        </is>
      </c>
      <c r="H30" s="13" t="inlineStr">
        <is>
          <t>NOT_TESTED</t>
        </is>
      </c>
      <c r="I30" s="13" t="inlineStr">
        <is>
          <t>NOT_TESTED</t>
        </is>
      </c>
      <c r="J30" s="13" t="inlineStr">
        <is>
          <t>NOT_TESTED</t>
        </is>
      </c>
      <c r="K30" s="13" t="inlineStr">
        <is>
          <t>NOT_TESTED</t>
        </is>
      </c>
      <c r="L30" s="13" t="inlineStr">
        <is>
          <t>NOT_TESTED</t>
        </is>
      </c>
      <c r="M30" s="13" t="inlineStr">
        <is>
          <t>NOT_TESTED</t>
        </is>
      </c>
      <c r="N30" s="13" t="inlineStr">
        <is>
          <t>NOT_TESTED</t>
        </is>
      </c>
      <c r="O30" s="13" t="inlineStr">
        <is>
          <t>NOT_TESTED</t>
        </is>
      </c>
      <c r="P30" s="13" t="inlineStr">
        <is>
          <t>NOT_TESTED</t>
        </is>
      </c>
      <c r="Q30" s="13" t="inlineStr">
        <is>
          <t>NOT_TESTED</t>
        </is>
      </c>
      <c r="R30" s="13" t="inlineStr">
        <is>
          <t>NOT_TESTED</t>
        </is>
      </c>
      <c r="S30" s="13" t="inlineStr">
        <is>
          <t>NOT_TESTED</t>
        </is>
      </c>
      <c r="T30" s="13" t="inlineStr">
        <is>
          <t>NOT_TESTED</t>
        </is>
      </c>
      <c r="U30" s="13" t="inlineStr">
        <is>
          <t>NOT_TESTED</t>
        </is>
      </c>
      <c r="V30" s="13" t="inlineStr">
        <is>
          <t>NOT_TESTED</t>
        </is>
      </c>
      <c r="W30" s="13" t="inlineStr">
        <is>
          <t>NOT_TESTED</t>
        </is>
      </c>
      <c r="X30" s="13" t="inlineStr">
        <is>
          <t>NOT_TESTED</t>
        </is>
      </c>
      <c r="Y30" s="13" t="inlineStr">
        <is>
          <t>NOT_TESTED</t>
        </is>
      </c>
      <c r="Z30" s="13" t="inlineStr">
        <is>
          <t>NOT_TESTED</t>
        </is>
      </c>
      <c r="AA30" s="13" t="inlineStr">
        <is>
          <t>NOT_TESTED</t>
        </is>
      </c>
      <c r="AB30" s="13" t="inlineStr">
        <is>
          <t>NOT_TESTED</t>
        </is>
      </c>
    </row>
    <row r="31">
      <c r="A31" s="2" t="inlineStr">
        <is>
          <t>issue_504</t>
        </is>
      </c>
      <c r="B31" s="13" t="inlineStr">
        <is>
          <t>NOT_TESTED</t>
        </is>
      </c>
      <c r="C31" s="13" t="inlineStr">
        <is>
          <t>NOT_TESTED</t>
        </is>
      </c>
      <c r="D31" s="13" t="inlineStr">
        <is>
          <t>NOT_TESTED</t>
        </is>
      </c>
      <c r="E31" s="13" t="inlineStr">
        <is>
          <t>NOT_TESTED</t>
        </is>
      </c>
      <c r="F31" s="16" t="inlineStr">
        <is>
          <t>Passed on test</t>
        </is>
      </c>
      <c r="G31" s="16" t="inlineStr">
        <is>
          <t>Passed on test</t>
        </is>
      </c>
      <c r="H31" s="16" t="inlineStr">
        <is>
          <t>Passed on test</t>
        </is>
      </c>
      <c r="I31" s="16" t="inlineStr">
        <is>
          <t>Passed on test</t>
        </is>
      </c>
      <c r="J31" s="16" t="inlineStr">
        <is>
          <t>Passed on test</t>
        </is>
      </c>
      <c r="K31" s="16" t="inlineStr">
        <is>
          <t>Passed on test</t>
        </is>
      </c>
      <c r="L31" s="16" t="inlineStr">
        <is>
          <t>Passed on test</t>
        </is>
      </c>
      <c r="M31" s="16" t="inlineStr">
        <is>
          <t>Passed on test</t>
        </is>
      </c>
      <c r="N31" s="16" t="inlineStr">
        <is>
          <t>Passed on test</t>
        </is>
      </c>
      <c r="O31" s="16" t="inlineStr">
        <is>
          <t>Passed on test</t>
        </is>
      </c>
      <c r="P31" s="16" t="inlineStr">
        <is>
          <t>Passed on test</t>
        </is>
      </c>
      <c r="Q31" s="16" t="inlineStr">
        <is>
          <t>Passed on test</t>
        </is>
      </c>
      <c r="R31" s="16" t="inlineStr">
        <is>
          <t>Passed on test</t>
        </is>
      </c>
      <c r="S31" s="16" t="inlineStr">
        <is>
          <t>Passed on test</t>
        </is>
      </c>
      <c r="T31" s="16" t="inlineStr">
        <is>
          <t>Passed on test</t>
        </is>
      </c>
      <c r="U31" s="16" t="inlineStr">
        <is>
          <t>Passed on test</t>
        </is>
      </c>
      <c r="V31" s="16" t="inlineStr">
        <is>
          <t>Passed on test</t>
        </is>
      </c>
      <c r="W31" s="16" t="inlineStr">
        <is>
          <t>Passed on test</t>
        </is>
      </c>
      <c r="X31" s="16" t="inlineStr">
        <is>
          <t>Passed on test</t>
        </is>
      </c>
      <c r="Y31" s="16" t="inlineStr">
        <is>
          <t>Passed on test</t>
        </is>
      </c>
      <c r="Z31" s="16" t="inlineStr">
        <is>
          <t>Passed on test</t>
        </is>
      </c>
      <c r="AA31" s="16" t="inlineStr">
        <is>
          <t>Passed on test</t>
        </is>
      </c>
      <c r="AB31" s="16" t="inlineStr">
        <is>
          <t>Passed on test</t>
        </is>
      </c>
    </row>
    <row r="32">
      <c r="A32" s="2" t="inlineStr">
        <is>
          <t>issue_505</t>
        </is>
      </c>
      <c r="B32" s="13" t="inlineStr">
        <is>
          <t>NOT_TESTED</t>
        </is>
      </c>
      <c r="C32" s="13" t="inlineStr">
        <is>
          <t>NOT_TESTED</t>
        </is>
      </c>
      <c r="D32" s="13" t="inlineStr">
        <is>
          <t>NOT_TESTED</t>
        </is>
      </c>
      <c r="E32" s="13" t="inlineStr">
        <is>
          <t>NOT_TESTED</t>
        </is>
      </c>
      <c r="F32" s="16" t="inlineStr">
        <is>
          <t>Passed on test</t>
        </is>
      </c>
      <c r="G32" s="16" t="inlineStr">
        <is>
          <t>Passed on test</t>
        </is>
      </c>
      <c r="H32" s="16" t="inlineStr">
        <is>
          <t>Passed on test</t>
        </is>
      </c>
      <c r="I32" s="16" t="inlineStr">
        <is>
          <t>Passed on test</t>
        </is>
      </c>
      <c r="J32" s="16" t="inlineStr">
        <is>
          <t>Passed on test</t>
        </is>
      </c>
      <c r="K32" s="16" t="inlineStr">
        <is>
          <t>Passed on test</t>
        </is>
      </c>
      <c r="L32" s="16" t="inlineStr">
        <is>
          <t>Passed on test</t>
        </is>
      </c>
      <c r="M32" s="16" t="inlineStr">
        <is>
          <t>Passed on test</t>
        </is>
      </c>
      <c r="N32" s="13" t="inlineStr">
        <is>
          <t>NOT_TESTED</t>
        </is>
      </c>
      <c r="O32" s="13" t="inlineStr">
        <is>
          <t>NOT_TESTED</t>
        </is>
      </c>
      <c r="P32" s="13" t="inlineStr">
        <is>
          <t>NOT_TESTED</t>
        </is>
      </c>
      <c r="Q32" s="13" t="inlineStr">
        <is>
          <t>NOT_TESTED</t>
        </is>
      </c>
      <c r="R32" s="13" t="inlineStr">
        <is>
          <t>NOT_TESTED</t>
        </is>
      </c>
      <c r="S32" s="13" t="inlineStr">
        <is>
          <t>NOT_TESTED</t>
        </is>
      </c>
      <c r="T32" s="13" t="inlineStr">
        <is>
          <t>NOT_TESTED</t>
        </is>
      </c>
      <c r="U32" s="13" t="inlineStr">
        <is>
          <t>NOT_TESTED</t>
        </is>
      </c>
      <c r="V32" s="13" t="inlineStr">
        <is>
          <t>NOT_TESTED</t>
        </is>
      </c>
      <c r="W32" s="13" t="inlineStr">
        <is>
          <t>NOT_TESTED</t>
        </is>
      </c>
      <c r="X32" s="13" t="inlineStr">
        <is>
          <t>NOT_TESTED</t>
        </is>
      </c>
      <c r="Y32" s="13" t="inlineStr">
        <is>
          <t>NOT_TESTED</t>
        </is>
      </c>
      <c r="Z32" s="13" t="inlineStr">
        <is>
          <t>NOT_TESTED</t>
        </is>
      </c>
      <c r="AA32" s="13" t="inlineStr">
        <is>
          <t>NOT_TESTED</t>
        </is>
      </c>
      <c r="AB32" s="13" t="inlineStr">
        <is>
          <t>NOT_TESTED</t>
        </is>
      </c>
    </row>
    <row r="33">
      <c r="A33" s="2" t="inlineStr">
        <is>
          <t>issue_565</t>
        </is>
      </c>
      <c r="B33" s="14" t="inlineStr">
        <is>
          <t>Runtime error</t>
        </is>
      </c>
      <c r="C33" s="14" t="inlineStr">
        <is>
          <t>Runtime error</t>
        </is>
      </c>
      <c r="D33" s="14" t="inlineStr">
        <is>
          <t>Runtime error</t>
        </is>
      </c>
      <c r="E33" s="14" t="inlineStr">
        <is>
          <t>Runtime error</t>
        </is>
      </c>
      <c r="F33" s="13" t="inlineStr">
        <is>
          <t>NOT_TESTED</t>
        </is>
      </c>
      <c r="G33" s="13" t="inlineStr">
        <is>
          <t>NOT_TESTED</t>
        </is>
      </c>
      <c r="H33" s="13" t="inlineStr">
        <is>
          <t>NOT_TESTED</t>
        </is>
      </c>
      <c r="I33" s="13" t="inlineStr">
        <is>
          <t>NOT_TESTED</t>
        </is>
      </c>
      <c r="J33" s="13" t="inlineStr">
        <is>
          <t>NOT_TESTED</t>
        </is>
      </c>
      <c r="K33" s="13" t="inlineStr">
        <is>
          <t>NOT_TESTED</t>
        </is>
      </c>
      <c r="L33" s="13" t="inlineStr">
        <is>
          <t>NOT_TESTED</t>
        </is>
      </c>
      <c r="M33" s="13" t="inlineStr">
        <is>
          <t>NOT_TESTED</t>
        </is>
      </c>
      <c r="N33" s="13" t="inlineStr">
        <is>
          <t>NOT_TESTED</t>
        </is>
      </c>
      <c r="O33" s="13" t="inlineStr">
        <is>
          <t>NOT_TESTED</t>
        </is>
      </c>
      <c r="P33" s="13" t="inlineStr">
        <is>
          <t>NOT_TESTED</t>
        </is>
      </c>
      <c r="Q33" s="13" t="inlineStr">
        <is>
          <t>NOT_TESTED</t>
        </is>
      </c>
      <c r="R33" s="13" t="inlineStr">
        <is>
          <t>NOT_TESTED</t>
        </is>
      </c>
      <c r="S33" s="13" t="inlineStr">
        <is>
          <t>NOT_TESTED</t>
        </is>
      </c>
      <c r="T33" s="13" t="inlineStr">
        <is>
          <t>NOT_TESTED</t>
        </is>
      </c>
      <c r="U33" s="13" t="inlineStr">
        <is>
          <t>NOT_TESTED</t>
        </is>
      </c>
      <c r="V33" s="13" t="inlineStr">
        <is>
          <t>NOT_TESTED</t>
        </is>
      </c>
      <c r="W33" s="13" t="inlineStr">
        <is>
          <t>NOT_TESTED</t>
        </is>
      </c>
      <c r="X33" s="13" t="inlineStr">
        <is>
          <t>NOT_TESTED</t>
        </is>
      </c>
      <c r="Y33" s="13" t="inlineStr">
        <is>
          <t>NOT_TESTED</t>
        </is>
      </c>
      <c r="Z33" s="13" t="inlineStr">
        <is>
          <t>NOT_TESTED</t>
        </is>
      </c>
      <c r="AA33" s="13" t="inlineStr">
        <is>
          <t>NOT_TESTED</t>
        </is>
      </c>
      <c r="AB33" s="13" t="inlineStr">
        <is>
          <t>NOT_TESTED</t>
        </is>
      </c>
    </row>
    <row r="34">
      <c r="A34" s="2" t="inlineStr">
        <is>
          <t>issue_595</t>
        </is>
      </c>
      <c r="B34" s="13" t="inlineStr">
        <is>
          <t>NOT_TESTED</t>
        </is>
      </c>
      <c r="C34" s="13" t="inlineStr">
        <is>
          <t>NOT_TESTED</t>
        </is>
      </c>
      <c r="D34" s="13" t="inlineStr">
        <is>
          <t>NOT_TESTED</t>
        </is>
      </c>
      <c r="E34" s="13" t="inlineStr">
        <is>
          <t>NOT_TESTED</t>
        </is>
      </c>
      <c r="F34" s="16" t="inlineStr">
        <is>
          <t>Passed on test</t>
        </is>
      </c>
      <c r="G34" s="16" t="inlineStr">
        <is>
          <t>Passed on test</t>
        </is>
      </c>
      <c r="H34" s="16" t="inlineStr">
        <is>
          <t>Passed on test</t>
        </is>
      </c>
      <c r="I34" s="16" t="inlineStr">
        <is>
          <t>Passed on test</t>
        </is>
      </c>
      <c r="J34" s="16" t="inlineStr">
        <is>
          <t>Passed on test</t>
        </is>
      </c>
      <c r="K34" s="16" t="inlineStr">
        <is>
          <t>Passed on test</t>
        </is>
      </c>
      <c r="L34" s="16" t="inlineStr">
        <is>
          <t>Passed on test</t>
        </is>
      </c>
      <c r="M34" s="16" t="inlineStr">
        <is>
          <t>Passed on test</t>
        </is>
      </c>
      <c r="N34" s="16" t="inlineStr">
        <is>
          <t>Passed on test</t>
        </is>
      </c>
      <c r="O34" s="16" t="inlineStr">
        <is>
          <t>Passed on test</t>
        </is>
      </c>
      <c r="P34" s="16" t="inlineStr">
        <is>
          <t>Passed on test</t>
        </is>
      </c>
      <c r="Q34" s="16" t="inlineStr">
        <is>
          <t>Passed on test</t>
        </is>
      </c>
      <c r="R34" s="16" t="inlineStr">
        <is>
          <t>Passed on test</t>
        </is>
      </c>
      <c r="S34" s="16" t="inlineStr">
        <is>
          <t>Passed on test</t>
        </is>
      </c>
      <c r="T34" s="16" t="inlineStr">
        <is>
          <t>Passed on test</t>
        </is>
      </c>
      <c r="U34" s="16" t="inlineStr">
        <is>
          <t>Passed on test</t>
        </is>
      </c>
      <c r="V34" s="16" t="inlineStr">
        <is>
          <t>Passed on test</t>
        </is>
      </c>
      <c r="W34" s="16" t="inlineStr">
        <is>
          <t>Passed on test</t>
        </is>
      </c>
      <c r="X34" s="16" t="inlineStr">
        <is>
          <t>Passed on test</t>
        </is>
      </c>
      <c r="Y34" s="16" t="inlineStr">
        <is>
          <t>Passed on test</t>
        </is>
      </c>
      <c r="Z34" s="16" t="inlineStr">
        <is>
          <t>Passed on test</t>
        </is>
      </c>
      <c r="AA34" s="16" t="inlineStr">
        <is>
          <t>Passed on test</t>
        </is>
      </c>
      <c r="AB34" s="16" t="inlineStr">
        <is>
          <t>Passed on test</t>
        </is>
      </c>
    </row>
    <row r="35">
      <c r="A35" s="2" t="inlineStr">
        <is>
          <t>issue_596</t>
        </is>
      </c>
      <c r="B35" s="16" t="inlineStr">
        <is>
          <t>Passed on test</t>
        </is>
      </c>
      <c r="C35" s="16" t="inlineStr">
        <is>
          <t>Passed on test</t>
        </is>
      </c>
      <c r="D35" s="16" t="inlineStr">
        <is>
          <t>Passed on test</t>
        </is>
      </c>
      <c r="E35" s="16" t="inlineStr">
        <is>
          <t>Passed on test</t>
        </is>
      </c>
      <c r="F35" s="16" t="inlineStr">
        <is>
          <t>Passed on test</t>
        </is>
      </c>
      <c r="G35" s="16" t="inlineStr">
        <is>
          <t>Passed on test</t>
        </is>
      </c>
      <c r="H35" s="16" t="inlineStr">
        <is>
          <t>Passed on test</t>
        </is>
      </c>
      <c r="I35" s="16" t="inlineStr">
        <is>
          <t>Passed on test</t>
        </is>
      </c>
      <c r="J35" s="16" t="inlineStr">
        <is>
          <t>Passed on test</t>
        </is>
      </c>
      <c r="K35" s="16" t="inlineStr">
        <is>
          <t>Passed on test</t>
        </is>
      </c>
      <c r="L35" s="16" t="inlineStr">
        <is>
          <t>Passed on test</t>
        </is>
      </c>
      <c r="M35" s="16" t="inlineStr">
        <is>
          <t>Passed on test</t>
        </is>
      </c>
      <c r="N35" s="13" t="inlineStr">
        <is>
          <t>NOT_TESTED</t>
        </is>
      </c>
      <c r="O35" s="13" t="inlineStr">
        <is>
          <t>NOT_TESTED</t>
        </is>
      </c>
      <c r="P35" s="13" t="inlineStr">
        <is>
          <t>NOT_TESTED</t>
        </is>
      </c>
      <c r="Q35" s="13" t="inlineStr">
        <is>
          <t>NOT_TESTED</t>
        </is>
      </c>
      <c r="R35" s="13" t="inlineStr">
        <is>
          <t>NOT_TESTED</t>
        </is>
      </c>
      <c r="S35" s="13" t="inlineStr">
        <is>
          <t>NOT_TESTED</t>
        </is>
      </c>
      <c r="T35" s="13" t="inlineStr">
        <is>
          <t>NOT_TESTED</t>
        </is>
      </c>
      <c r="U35" s="13" t="inlineStr">
        <is>
          <t>NOT_TESTED</t>
        </is>
      </c>
      <c r="V35" s="13" t="inlineStr">
        <is>
          <t>NOT_TESTED</t>
        </is>
      </c>
      <c r="W35" s="13" t="inlineStr">
        <is>
          <t>NOT_TESTED</t>
        </is>
      </c>
      <c r="X35" s="13" t="inlineStr">
        <is>
          <t>NOT_TESTED</t>
        </is>
      </c>
      <c r="Y35" s="13" t="inlineStr">
        <is>
          <t>NOT_TESTED</t>
        </is>
      </c>
      <c r="Z35" s="13" t="inlineStr">
        <is>
          <t>NOT_TESTED</t>
        </is>
      </c>
      <c r="AA35" s="13" t="inlineStr">
        <is>
          <t>NOT_TESTED</t>
        </is>
      </c>
      <c r="AB35" s="13" t="inlineStr">
        <is>
          <t>NOT_TESTED</t>
        </is>
      </c>
    </row>
    <row r="36">
      <c r="A36" s="2" t="inlineStr">
        <is>
          <t>issue_600</t>
        </is>
      </c>
      <c r="B36" s="16" t="inlineStr">
        <is>
          <t>Passed on test</t>
        </is>
      </c>
      <c r="C36" s="16" t="inlineStr">
        <is>
          <t>Passed on test</t>
        </is>
      </c>
      <c r="D36" s="16" t="inlineStr">
        <is>
          <t>Passed on test</t>
        </is>
      </c>
      <c r="E36" s="16" t="inlineStr">
        <is>
          <t>Passed on test</t>
        </is>
      </c>
      <c r="F36" s="16" t="inlineStr">
        <is>
          <t>Passed on test</t>
        </is>
      </c>
      <c r="G36" s="16" t="inlineStr">
        <is>
          <t>Passed on test</t>
        </is>
      </c>
      <c r="H36" s="16" t="inlineStr">
        <is>
          <t>Passed on test</t>
        </is>
      </c>
      <c r="I36" s="16" t="inlineStr">
        <is>
          <t>Passed on test</t>
        </is>
      </c>
      <c r="J36" s="16" t="inlineStr">
        <is>
          <t>Passed on test</t>
        </is>
      </c>
      <c r="K36" s="16" t="inlineStr">
        <is>
          <t>Passed on test</t>
        </is>
      </c>
      <c r="L36" s="16" t="inlineStr">
        <is>
          <t>Passed on test</t>
        </is>
      </c>
      <c r="M36" s="16" t="inlineStr">
        <is>
          <t>Passed on test</t>
        </is>
      </c>
      <c r="N36" s="13" t="inlineStr">
        <is>
          <t>NOT_TESTED</t>
        </is>
      </c>
      <c r="O36" s="13" t="inlineStr">
        <is>
          <t>NOT_TESTED</t>
        </is>
      </c>
      <c r="P36" s="13" t="inlineStr">
        <is>
          <t>NOT_TESTED</t>
        </is>
      </c>
      <c r="Q36" s="13" t="inlineStr">
        <is>
          <t>NOT_TESTED</t>
        </is>
      </c>
      <c r="R36" s="13" t="inlineStr">
        <is>
          <t>NOT_TESTED</t>
        </is>
      </c>
      <c r="S36" s="13" t="inlineStr">
        <is>
          <t>NOT_TESTED</t>
        </is>
      </c>
      <c r="T36" s="13" t="inlineStr">
        <is>
          <t>NOT_TESTED</t>
        </is>
      </c>
      <c r="U36" s="13" t="inlineStr">
        <is>
          <t>NOT_TESTED</t>
        </is>
      </c>
      <c r="V36" s="13" t="inlineStr">
        <is>
          <t>NOT_TESTED</t>
        </is>
      </c>
      <c r="W36" s="13" t="inlineStr">
        <is>
          <t>NOT_TESTED</t>
        </is>
      </c>
      <c r="X36" s="13" t="inlineStr">
        <is>
          <t>NOT_TESTED</t>
        </is>
      </c>
      <c r="Y36" s="13" t="inlineStr">
        <is>
          <t>NOT_TESTED</t>
        </is>
      </c>
      <c r="Z36" s="13" t="inlineStr">
        <is>
          <t>NOT_TESTED</t>
        </is>
      </c>
      <c r="AA36" s="13" t="inlineStr">
        <is>
          <t>NOT_TESTED</t>
        </is>
      </c>
      <c r="AB36" s="13" t="inlineStr">
        <is>
          <t>NOT_TESTED</t>
        </is>
      </c>
    </row>
    <row r="37">
      <c r="A37" s="2" t="inlineStr">
        <is>
          <t>issue_622</t>
        </is>
      </c>
      <c r="B37" s="16" t="inlineStr">
        <is>
          <t>Passed on test</t>
        </is>
      </c>
      <c r="C37" s="16" t="inlineStr">
        <is>
          <t>Passed on test</t>
        </is>
      </c>
      <c r="D37" s="16" t="inlineStr">
        <is>
          <t>Passed on test</t>
        </is>
      </c>
      <c r="E37" s="16" t="inlineStr">
        <is>
          <t>Passed on test</t>
        </is>
      </c>
      <c r="F37" s="16" t="inlineStr">
        <is>
          <t>Passed on test</t>
        </is>
      </c>
      <c r="G37" s="16" t="inlineStr">
        <is>
          <t>Passed on test</t>
        </is>
      </c>
      <c r="H37" s="16" t="inlineStr">
        <is>
          <t>Passed on test</t>
        </is>
      </c>
      <c r="I37" s="16" t="inlineStr">
        <is>
          <t>Passed on test</t>
        </is>
      </c>
      <c r="J37" s="16" t="inlineStr">
        <is>
          <t>Passed on test</t>
        </is>
      </c>
      <c r="K37" s="16" t="inlineStr">
        <is>
          <t>Passed on test</t>
        </is>
      </c>
      <c r="L37" s="16" t="inlineStr">
        <is>
          <t>Passed on test</t>
        </is>
      </c>
      <c r="M37" s="16" t="inlineStr">
        <is>
          <t>Passed on test</t>
        </is>
      </c>
      <c r="N37" s="13" t="inlineStr">
        <is>
          <t>NOT_TESTED</t>
        </is>
      </c>
      <c r="O37" s="13" t="inlineStr">
        <is>
          <t>NOT_TESTED</t>
        </is>
      </c>
      <c r="P37" s="13" t="inlineStr">
        <is>
          <t>NOT_TESTED</t>
        </is>
      </c>
      <c r="Q37" s="13" t="inlineStr">
        <is>
          <t>NOT_TESTED</t>
        </is>
      </c>
      <c r="R37" s="13" t="inlineStr">
        <is>
          <t>NOT_TESTED</t>
        </is>
      </c>
      <c r="S37" s="13" t="inlineStr">
        <is>
          <t>NOT_TESTED</t>
        </is>
      </c>
      <c r="T37" s="13" t="inlineStr">
        <is>
          <t>NOT_TESTED</t>
        </is>
      </c>
      <c r="U37" s="13" t="inlineStr">
        <is>
          <t>NOT_TESTED</t>
        </is>
      </c>
      <c r="V37" s="13" t="inlineStr">
        <is>
          <t>NOT_TESTED</t>
        </is>
      </c>
      <c r="W37" s="13" t="inlineStr">
        <is>
          <t>NOT_TESTED</t>
        </is>
      </c>
      <c r="X37" s="13" t="inlineStr">
        <is>
          <t>NOT_TESTED</t>
        </is>
      </c>
      <c r="Y37" s="13" t="inlineStr">
        <is>
          <t>NOT_TESTED</t>
        </is>
      </c>
      <c r="Z37" s="13" t="inlineStr">
        <is>
          <t>NOT_TESTED</t>
        </is>
      </c>
      <c r="AA37" s="13" t="inlineStr">
        <is>
          <t>NOT_TESTED</t>
        </is>
      </c>
      <c r="AB37" s="13" t="inlineStr">
        <is>
          <t>NOT_TESTED</t>
        </is>
      </c>
    </row>
    <row r="38">
      <c r="A38" s="2" t="inlineStr">
        <is>
          <t>issue_624</t>
        </is>
      </c>
      <c r="B38" s="16" t="inlineStr">
        <is>
          <t>Passed on test</t>
        </is>
      </c>
      <c r="C38" s="16" t="inlineStr">
        <is>
          <t>Passed on test</t>
        </is>
      </c>
      <c r="D38" s="16" t="inlineStr">
        <is>
          <t>Passed on test</t>
        </is>
      </c>
      <c r="E38" s="16" t="inlineStr">
        <is>
          <t>Passed on test</t>
        </is>
      </c>
      <c r="F38" s="16" t="inlineStr">
        <is>
          <t>Passed on test</t>
        </is>
      </c>
      <c r="G38" s="16" t="inlineStr">
        <is>
          <t>Passed on test</t>
        </is>
      </c>
      <c r="H38" s="16" t="inlineStr">
        <is>
          <t>Passed on test</t>
        </is>
      </c>
      <c r="I38" s="16" t="inlineStr">
        <is>
          <t>Passed on test</t>
        </is>
      </c>
      <c r="J38" s="16" t="inlineStr">
        <is>
          <t>Passed on test</t>
        </is>
      </c>
      <c r="K38" s="16" t="inlineStr">
        <is>
          <t>Passed on test</t>
        </is>
      </c>
      <c r="L38" s="16" t="inlineStr">
        <is>
          <t>Passed on test</t>
        </is>
      </c>
      <c r="M38" s="16" t="inlineStr">
        <is>
          <t>Passed on test</t>
        </is>
      </c>
      <c r="N38" s="13" t="inlineStr">
        <is>
          <t>NOT_TESTED</t>
        </is>
      </c>
      <c r="O38" s="13" t="inlineStr">
        <is>
          <t>NOT_TESTED</t>
        </is>
      </c>
      <c r="P38" s="13" t="inlineStr">
        <is>
          <t>NOT_TESTED</t>
        </is>
      </c>
      <c r="Q38" s="13" t="inlineStr">
        <is>
          <t>NOT_TESTED</t>
        </is>
      </c>
      <c r="R38" s="13" t="inlineStr">
        <is>
          <t>NOT_TESTED</t>
        </is>
      </c>
      <c r="S38" s="13" t="inlineStr">
        <is>
          <t>NOT_TESTED</t>
        </is>
      </c>
      <c r="T38" s="13" t="inlineStr">
        <is>
          <t>NOT_TESTED</t>
        </is>
      </c>
      <c r="U38" s="13" t="inlineStr">
        <is>
          <t>NOT_TESTED</t>
        </is>
      </c>
      <c r="V38" s="13" t="inlineStr">
        <is>
          <t>NOT_TESTED</t>
        </is>
      </c>
      <c r="W38" s="13" t="inlineStr">
        <is>
          <t>NOT_TESTED</t>
        </is>
      </c>
      <c r="X38" s="13" t="inlineStr">
        <is>
          <t>NOT_TESTED</t>
        </is>
      </c>
      <c r="Y38" s="13" t="inlineStr">
        <is>
          <t>NOT_TESTED</t>
        </is>
      </c>
      <c r="Z38" s="13" t="inlineStr">
        <is>
          <t>NOT_TESTED</t>
        </is>
      </c>
      <c r="AA38" s="13" t="inlineStr">
        <is>
          <t>NOT_TESTED</t>
        </is>
      </c>
      <c r="AB38" s="13" t="inlineStr">
        <is>
          <t>NOT_TESTED</t>
        </is>
      </c>
    </row>
    <row r="39">
      <c r="A39" s="2" t="inlineStr">
        <is>
          <t>issue_635</t>
        </is>
      </c>
      <c r="B39" s="16" t="inlineStr">
        <is>
          <t>Passed on test</t>
        </is>
      </c>
      <c r="C39" s="16" t="inlineStr">
        <is>
          <t>Passed on test</t>
        </is>
      </c>
      <c r="D39" s="16" t="inlineStr">
        <is>
          <t>Passed on test</t>
        </is>
      </c>
      <c r="E39" s="16" t="inlineStr">
        <is>
          <t>Passed on test</t>
        </is>
      </c>
      <c r="F39" s="13" t="inlineStr">
        <is>
          <t>NOT_TESTED</t>
        </is>
      </c>
      <c r="G39" s="13" t="inlineStr">
        <is>
          <t>NOT_TESTED</t>
        </is>
      </c>
      <c r="H39" s="13" t="inlineStr">
        <is>
          <t>NOT_TESTED</t>
        </is>
      </c>
      <c r="I39" s="13" t="inlineStr">
        <is>
          <t>NOT_TESTED</t>
        </is>
      </c>
      <c r="J39" s="13" t="inlineStr">
        <is>
          <t>NOT_TESTED</t>
        </is>
      </c>
      <c r="K39" s="13" t="inlineStr">
        <is>
          <t>NOT_TESTED</t>
        </is>
      </c>
      <c r="L39" s="13" t="inlineStr">
        <is>
          <t>NOT_TESTED</t>
        </is>
      </c>
      <c r="M39" s="13" t="inlineStr">
        <is>
          <t>NOT_TESTED</t>
        </is>
      </c>
      <c r="N39" s="13" t="inlineStr">
        <is>
          <t>NOT_TESTED</t>
        </is>
      </c>
      <c r="O39" s="13" t="inlineStr">
        <is>
          <t>NOT_TESTED</t>
        </is>
      </c>
      <c r="P39" s="13" t="inlineStr">
        <is>
          <t>NOT_TESTED</t>
        </is>
      </c>
      <c r="Q39" s="13" t="inlineStr">
        <is>
          <t>NOT_TESTED</t>
        </is>
      </c>
      <c r="R39" s="13" t="inlineStr">
        <is>
          <t>NOT_TESTED</t>
        </is>
      </c>
      <c r="S39" s="13" t="inlineStr">
        <is>
          <t>NOT_TESTED</t>
        </is>
      </c>
      <c r="T39" s="13" t="inlineStr">
        <is>
          <t>NOT_TESTED</t>
        </is>
      </c>
      <c r="U39" s="13" t="inlineStr">
        <is>
          <t>NOT_TESTED</t>
        </is>
      </c>
      <c r="V39" s="13" t="inlineStr">
        <is>
          <t>NOT_TESTED</t>
        </is>
      </c>
      <c r="W39" s="13" t="inlineStr">
        <is>
          <t>NOT_TESTED</t>
        </is>
      </c>
      <c r="X39" s="13" t="inlineStr">
        <is>
          <t>NOT_TESTED</t>
        </is>
      </c>
      <c r="Y39" s="13" t="inlineStr">
        <is>
          <t>NOT_TESTED</t>
        </is>
      </c>
      <c r="Z39" s="13" t="inlineStr">
        <is>
          <t>NOT_TESTED</t>
        </is>
      </c>
      <c r="AA39" s="13" t="inlineStr">
        <is>
          <t>NOT_TESTED</t>
        </is>
      </c>
      <c r="AB39" s="13" t="inlineStr">
        <is>
          <t>NOT_TESTED</t>
        </is>
      </c>
    </row>
    <row r="40">
      <c r="A40" s="2" t="inlineStr">
        <is>
          <t>issue_662</t>
        </is>
      </c>
      <c r="B40" s="13" t="inlineStr">
        <is>
          <t>NOT_TESTED</t>
        </is>
      </c>
      <c r="C40" s="13" t="inlineStr">
        <is>
          <t>NOT_TESTED</t>
        </is>
      </c>
      <c r="D40" s="13" t="inlineStr">
        <is>
          <t>NOT_TESTED</t>
        </is>
      </c>
      <c r="E40" s="13" t="inlineStr">
        <is>
          <t>NOT_TESTED</t>
        </is>
      </c>
      <c r="F40" s="16" t="inlineStr">
        <is>
          <t>Passed on test</t>
        </is>
      </c>
      <c r="G40" s="16" t="inlineStr">
        <is>
          <t>Passed on test</t>
        </is>
      </c>
      <c r="H40" s="16" t="inlineStr">
        <is>
          <t>Passed on test</t>
        </is>
      </c>
      <c r="I40" s="16" t="inlineStr">
        <is>
          <t>Passed on test</t>
        </is>
      </c>
      <c r="J40" s="16" t="inlineStr">
        <is>
          <t>Passed on test</t>
        </is>
      </c>
      <c r="K40" s="16" t="inlineStr">
        <is>
          <t>Passed on test</t>
        </is>
      </c>
      <c r="L40" s="16" t="inlineStr">
        <is>
          <t>Passed on test</t>
        </is>
      </c>
      <c r="M40" s="16" t="inlineStr">
        <is>
          <t>Passed on test</t>
        </is>
      </c>
      <c r="N40" s="16" t="inlineStr">
        <is>
          <t>Passed on test</t>
        </is>
      </c>
      <c r="O40" s="16" t="inlineStr">
        <is>
          <t>Passed on test</t>
        </is>
      </c>
      <c r="P40" s="16" t="inlineStr">
        <is>
          <t>Passed on test</t>
        </is>
      </c>
      <c r="Q40" s="16" t="inlineStr">
        <is>
          <t>Passed on test</t>
        </is>
      </c>
      <c r="R40" s="16" t="inlineStr">
        <is>
          <t>Passed on test</t>
        </is>
      </c>
      <c r="S40" s="16" t="inlineStr">
        <is>
          <t>Passed on test</t>
        </is>
      </c>
      <c r="T40" s="16" t="inlineStr">
        <is>
          <t>Passed on test</t>
        </is>
      </c>
      <c r="U40" s="16" t="inlineStr">
        <is>
          <t>Passed on test</t>
        </is>
      </c>
      <c r="V40" s="16" t="inlineStr">
        <is>
          <t>Passed on test</t>
        </is>
      </c>
      <c r="W40" s="16" t="inlineStr">
        <is>
          <t>Passed on test</t>
        </is>
      </c>
      <c r="X40" s="16" t="inlineStr">
        <is>
          <t>Passed on test</t>
        </is>
      </c>
      <c r="Y40" s="16" t="inlineStr">
        <is>
          <t>Passed on test</t>
        </is>
      </c>
      <c r="Z40" s="16" t="inlineStr">
        <is>
          <t>Passed on test</t>
        </is>
      </c>
      <c r="AA40" s="16" t="inlineStr">
        <is>
          <t>Passed on test</t>
        </is>
      </c>
      <c r="AB40" s="16" t="inlineStr">
        <is>
          <t>Passed on test</t>
        </is>
      </c>
    </row>
    <row r="41">
      <c r="A41" s="2" t="inlineStr">
        <is>
          <t>issue_663</t>
        </is>
      </c>
      <c r="B41" s="13" t="inlineStr">
        <is>
          <t>NOT_TESTED</t>
        </is>
      </c>
      <c r="C41" s="13" t="inlineStr">
        <is>
          <t>NOT_TESTED</t>
        </is>
      </c>
      <c r="D41" s="13" t="inlineStr">
        <is>
          <t>NOT_TESTED</t>
        </is>
      </c>
      <c r="E41" s="13" t="inlineStr">
        <is>
          <t>NOT_TESTED</t>
        </is>
      </c>
      <c r="F41" s="16" t="inlineStr">
        <is>
          <t>Passed on test</t>
        </is>
      </c>
      <c r="G41" s="16" t="inlineStr">
        <is>
          <t>Passed on test</t>
        </is>
      </c>
      <c r="H41" s="16" t="inlineStr">
        <is>
          <t>Passed on test</t>
        </is>
      </c>
      <c r="I41" s="16" t="inlineStr">
        <is>
          <t>Passed on test</t>
        </is>
      </c>
      <c r="J41" s="16" t="inlineStr">
        <is>
          <t>Passed on test</t>
        </is>
      </c>
      <c r="K41" s="16" t="inlineStr">
        <is>
          <t>Passed on test</t>
        </is>
      </c>
      <c r="L41" s="16" t="inlineStr">
        <is>
          <t>Passed on test</t>
        </is>
      </c>
      <c r="M41" s="16" t="inlineStr">
        <is>
          <t>Passed on test</t>
        </is>
      </c>
      <c r="N41" s="13" t="inlineStr">
        <is>
          <t>NOT_TESTED</t>
        </is>
      </c>
      <c r="O41" s="13" t="inlineStr">
        <is>
          <t>NOT_TESTED</t>
        </is>
      </c>
      <c r="P41" s="13" t="inlineStr">
        <is>
          <t>NOT_TESTED</t>
        </is>
      </c>
      <c r="Q41" s="13" t="inlineStr">
        <is>
          <t>NOT_TESTED</t>
        </is>
      </c>
      <c r="R41" s="13" t="inlineStr">
        <is>
          <t>NOT_TESTED</t>
        </is>
      </c>
      <c r="S41" s="13" t="inlineStr">
        <is>
          <t>NOT_TESTED</t>
        </is>
      </c>
      <c r="T41" s="13" t="inlineStr">
        <is>
          <t>NOT_TESTED</t>
        </is>
      </c>
      <c r="U41" s="13" t="inlineStr">
        <is>
          <t>NOT_TESTED</t>
        </is>
      </c>
      <c r="V41" s="13" t="inlineStr">
        <is>
          <t>NOT_TESTED</t>
        </is>
      </c>
      <c r="W41" s="13" t="inlineStr">
        <is>
          <t>NOT_TESTED</t>
        </is>
      </c>
      <c r="X41" s="13" t="inlineStr">
        <is>
          <t>NOT_TESTED</t>
        </is>
      </c>
      <c r="Y41" s="13" t="inlineStr">
        <is>
          <t>NOT_TESTED</t>
        </is>
      </c>
      <c r="Z41" s="13" t="inlineStr">
        <is>
          <t>NOT_TESTED</t>
        </is>
      </c>
      <c r="AA41" s="13" t="inlineStr">
        <is>
          <t>NOT_TESTED</t>
        </is>
      </c>
      <c r="AB41" s="13" t="inlineStr">
        <is>
          <t>NOT_TESTED</t>
        </is>
      </c>
    </row>
    <row r="42">
      <c r="A42" s="2" t="inlineStr">
        <is>
          <t>issue_671</t>
        </is>
      </c>
      <c r="B42" s="16" t="inlineStr">
        <is>
          <t>Failed on test</t>
        </is>
      </c>
      <c r="C42" s="16" t="inlineStr">
        <is>
          <t>Failed on test</t>
        </is>
      </c>
      <c r="D42" s="16" t="inlineStr">
        <is>
          <t>Failed on test</t>
        </is>
      </c>
      <c r="E42" s="16" t="inlineStr">
        <is>
          <t>Failed on test</t>
        </is>
      </c>
      <c r="F42" s="16" t="inlineStr">
        <is>
          <t>Failed on test</t>
        </is>
      </c>
      <c r="G42" s="16" t="inlineStr">
        <is>
          <t>Failed on test</t>
        </is>
      </c>
      <c r="H42" s="16" t="inlineStr">
        <is>
          <t>Failed on test</t>
        </is>
      </c>
      <c r="I42" s="16" t="inlineStr">
        <is>
          <t>Failed on test</t>
        </is>
      </c>
      <c r="J42" s="16" t="inlineStr">
        <is>
          <t>Failed on test</t>
        </is>
      </c>
      <c r="K42" s="16" t="inlineStr">
        <is>
          <t>Failed on test</t>
        </is>
      </c>
      <c r="L42" s="16" t="inlineStr">
        <is>
          <t>Failed on test</t>
        </is>
      </c>
      <c r="M42" s="16" t="inlineStr">
        <is>
          <t>Failed on test</t>
        </is>
      </c>
      <c r="N42" s="16" t="inlineStr">
        <is>
          <t>Failed on test</t>
        </is>
      </c>
      <c r="O42" s="16" t="inlineStr">
        <is>
          <t>Failed on test</t>
        </is>
      </c>
      <c r="P42" s="16" t="inlineStr">
        <is>
          <t>Failed on test</t>
        </is>
      </c>
      <c r="Q42" s="16" t="inlineStr">
        <is>
          <t>Failed on test</t>
        </is>
      </c>
      <c r="R42" s="16" t="inlineStr">
        <is>
          <t>Failed on test</t>
        </is>
      </c>
      <c r="S42" s="16" t="inlineStr">
        <is>
          <t>Failed on test</t>
        </is>
      </c>
      <c r="T42" s="16" t="inlineStr">
        <is>
          <t>Failed on test</t>
        </is>
      </c>
      <c r="U42" s="16" t="inlineStr">
        <is>
          <t>Failed on test</t>
        </is>
      </c>
      <c r="V42" s="16" t="inlineStr">
        <is>
          <t>Failed on test</t>
        </is>
      </c>
      <c r="W42" s="16" t="inlineStr">
        <is>
          <t>Failed on test</t>
        </is>
      </c>
      <c r="X42" s="16" t="inlineStr">
        <is>
          <t>Failed on test</t>
        </is>
      </c>
      <c r="Y42" s="16" t="inlineStr">
        <is>
          <t>Failed on test</t>
        </is>
      </c>
      <c r="Z42" s="16" t="inlineStr">
        <is>
          <t>Failed on test</t>
        </is>
      </c>
      <c r="AA42" s="16" t="inlineStr">
        <is>
          <t>Failed on test</t>
        </is>
      </c>
      <c r="AB42" s="16" t="inlineStr">
        <is>
          <t>Failed on test</t>
        </is>
      </c>
    </row>
    <row r="43">
      <c r="A43" s="2" t="inlineStr">
        <is>
          <t>issue_727</t>
        </is>
      </c>
      <c r="B43" s="16" t="inlineStr">
        <is>
          <t>Passed on test</t>
        </is>
      </c>
      <c r="C43" s="16" t="inlineStr">
        <is>
          <t>Passed on test</t>
        </is>
      </c>
      <c r="D43" s="16" t="inlineStr">
        <is>
          <t>Passed on test</t>
        </is>
      </c>
      <c r="E43" s="16" t="inlineStr">
        <is>
          <t>Passed on test</t>
        </is>
      </c>
      <c r="F43" s="16" t="inlineStr">
        <is>
          <t>Passed on test</t>
        </is>
      </c>
      <c r="G43" s="16" t="inlineStr">
        <is>
          <t>Passed on test</t>
        </is>
      </c>
      <c r="H43" s="16" t="inlineStr">
        <is>
          <t>Passed on test</t>
        </is>
      </c>
      <c r="I43" s="16" t="inlineStr">
        <is>
          <t>Passed on test</t>
        </is>
      </c>
      <c r="J43" s="16" t="inlineStr">
        <is>
          <t>Passed on test</t>
        </is>
      </c>
      <c r="K43" s="16" t="inlineStr">
        <is>
          <t>Passed on test</t>
        </is>
      </c>
      <c r="L43" s="16" t="inlineStr">
        <is>
          <t>Passed on test</t>
        </is>
      </c>
      <c r="M43" s="16" t="inlineStr">
        <is>
          <t>Passed on test</t>
        </is>
      </c>
      <c r="N43" s="13" t="inlineStr">
        <is>
          <t>NOT_TESTED</t>
        </is>
      </c>
      <c r="O43" s="13" t="inlineStr">
        <is>
          <t>NOT_TESTED</t>
        </is>
      </c>
      <c r="P43" s="13" t="inlineStr">
        <is>
          <t>NOT_TESTED</t>
        </is>
      </c>
      <c r="Q43" s="13" t="inlineStr">
        <is>
          <t>NOT_TESTED</t>
        </is>
      </c>
      <c r="R43" s="13" t="inlineStr">
        <is>
          <t>NOT_TESTED</t>
        </is>
      </c>
      <c r="S43" s="13" t="inlineStr">
        <is>
          <t>NOT_TESTED</t>
        </is>
      </c>
      <c r="T43" s="13" t="inlineStr">
        <is>
          <t>NOT_TESTED</t>
        </is>
      </c>
      <c r="U43" s="13" t="inlineStr">
        <is>
          <t>NOT_TESTED</t>
        </is>
      </c>
      <c r="V43" s="13" t="inlineStr">
        <is>
          <t>NOT_TESTED</t>
        </is>
      </c>
      <c r="W43" s="13" t="inlineStr">
        <is>
          <t>NOT_TESTED</t>
        </is>
      </c>
      <c r="X43" s="13" t="inlineStr">
        <is>
          <t>NOT_TESTED</t>
        </is>
      </c>
      <c r="Y43" s="13" t="inlineStr">
        <is>
          <t>NOT_TESTED</t>
        </is>
      </c>
      <c r="Z43" s="13" t="inlineStr">
        <is>
          <t>NOT_TESTED</t>
        </is>
      </c>
      <c r="AA43" s="13" t="inlineStr">
        <is>
          <t>NOT_TESTED</t>
        </is>
      </c>
      <c r="AB43" s="13" t="inlineStr">
        <is>
          <t>NOT_TESTED</t>
        </is>
      </c>
    </row>
    <row r="44">
      <c r="A44" s="2" t="inlineStr">
        <is>
          <t>issue_742</t>
        </is>
      </c>
      <c r="B44" s="13" t="inlineStr">
        <is>
          <t>NOT_TESTED</t>
        </is>
      </c>
      <c r="C44" s="13" t="inlineStr">
        <is>
          <t>NOT_TESTED</t>
        </is>
      </c>
      <c r="D44" s="13" t="inlineStr">
        <is>
          <t>NOT_TESTED</t>
        </is>
      </c>
      <c r="E44" s="13" t="inlineStr">
        <is>
          <t>NOT_TESTED</t>
        </is>
      </c>
      <c r="F44" s="13" t="inlineStr">
        <is>
          <t>NOT_TESTED</t>
        </is>
      </c>
      <c r="G44" s="13" t="inlineStr">
        <is>
          <t>NOT_TESTED</t>
        </is>
      </c>
      <c r="H44" s="13" t="inlineStr">
        <is>
          <t>NOT_TESTED</t>
        </is>
      </c>
      <c r="I44" s="13" t="inlineStr">
        <is>
          <t>NOT_TESTED</t>
        </is>
      </c>
      <c r="J44" s="13" t="inlineStr">
        <is>
          <t>NOT_TESTED</t>
        </is>
      </c>
      <c r="K44" s="13" t="inlineStr">
        <is>
          <t>NOT_TESTED</t>
        </is>
      </c>
      <c r="L44" s="13" t="inlineStr">
        <is>
          <t>NOT_TESTED</t>
        </is>
      </c>
      <c r="M44" s="13" t="inlineStr">
        <is>
          <t>NOT_TESTED</t>
        </is>
      </c>
      <c r="N44" s="13" t="inlineStr">
        <is>
          <t>NOT_TESTED</t>
        </is>
      </c>
      <c r="O44" s="13" t="inlineStr">
        <is>
          <t>NOT_TESTED</t>
        </is>
      </c>
      <c r="P44" s="13" t="inlineStr">
        <is>
          <t>NOT_TESTED</t>
        </is>
      </c>
      <c r="Q44" s="16" t="inlineStr">
        <is>
          <t>Passed on test</t>
        </is>
      </c>
      <c r="R44" s="16" t="inlineStr">
        <is>
          <t>Passed on test</t>
        </is>
      </c>
      <c r="S44" s="16" t="inlineStr">
        <is>
          <t>Passed on test</t>
        </is>
      </c>
      <c r="T44" s="16" t="inlineStr">
        <is>
          <t>Passed on test</t>
        </is>
      </c>
      <c r="U44" s="16" t="inlineStr">
        <is>
          <t>Passed on test</t>
        </is>
      </c>
      <c r="V44" s="16" t="inlineStr">
        <is>
          <t>Passed on test</t>
        </is>
      </c>
      <c r="W44" s="16" t="inlineStr">
        <is>
          <t>Passed on test</t>
        </is>
      </c>
      <c r="X44" s="16" t="inlineStr">
        <is>
          <t>Passed on test</t>
        </is>
      </c>
      <c r="Y44" s="16" t="inlineStr">
        <is>
          <t>Passed on test</t>
        </is>
      </c>
      <c r="Z44" s="16" t="inlineStr">
        <is>
          <t>Passed on test</t>
        </is>
      </c>
      <c r="AA44" s="16" t="inlineStr">
        <is>
          <t>Passed on test</t>
        </is>
      </c>
      <c r="AB44" s="16" t="inlineStr">
        <is>
          <t>Passed on test</t>
        </is>
      </c>
    </row>
    <row r="45">
      <c r="A45" s="2" t="inlineStr">
        <is>
          <t>issue_747</t>
        </is>
      </c>
      <c r="B45" s="13" t="inlineStr">
        <is>
          <t>NOT_TESTED</t>
        </is>
      </c>
      <c r="C45" s="13" t="inlineStr">
        <is>
          <t>NOT_TESTED</t>
        </is>
      </c>
      <c r="D45" s="13" t="inlineStr">
        <is>
          <t>NOT_TESTED</t>
        </is>
      </c>
      <c r="E45" s="13" t="inlineStr">
        <is>
          <t>NOT_TESTED</t>
        </is>
      </c>
      <c r="F45" s="16" t="inlineStr">
        <is>
          <t>Passed on test</t>
        </is>
      </c>
      <c r="G45" s="16" t="inlineStr">
        <is>
          <t>Passed on test</t>
        </is>
      </c>
      <c r="H45" s="16" t="inlineStr">
        <is>
          <t>Passed on test</t>
        </is>
      </c>
      <c r="I45" s="16" t="inlineStr">
        <is>
          <t>Passed on test</t>
        </is>
      </c>
      <c r="J45" s="16" t="inlineStr">
        <is>
          <t>Passed on test</t>
        </is>
      </c>
      <c r="K45" s="16" t="inlineStr">
        <is>
          <t>Passed on test</t>
        </is>
      </c>
      <c r="L45" s="16" t="inlineStr">
        <is>
          <t>Passed on test</t>
        </is>
      </c>
      <c r="M45" s="16" t="inlineStr">
        <is>
          <t>Passed on test</t>
        </is>
      </c>
      <c r="N45" s="13" t="inlineStr">
        <is>
          <t>NOT_TESTED</t>
        </is>
      </c>
      <c r="O45" s="13" t="inlineStr">
        <is>
          <t>NOT_TESTED</t>
        </is>
      </c>
      <c r="P45" s="13" t="inlineStr">
        <is>
          <t>NOT_TESTED</t>
        </is>
      </c>
      <c r="Q45" s="13" t="inlineStr">
        <is>
          <t>NOT_TESTED</t>
        </is>
      </c>
      <c r="R45" s="13" t="inlineStr">
        <is>
          <t>NOT_TESTED</t>
        </is>
      </c>
      <c r="S45" s="13" t="inlineStr">
        <is>
          <t>NOT_TESTED</t>
        </is>
      </c>
      <c r="T45" s="13" t="inlineStr">
        <is>
          <t>NOT_TESTED</t>
        </is>
      </c>
      <c r="U45" s="13" t="inlineStr">
        <is>
          <t>NOT_TESTED</t>
        </is>
      </c>
      <c r="V45" s="13" t="inlineStr">
        <is>
          <t>NOT_TESTED</t>
        </is>
      </c>
      <c r="W45" s="13" t="inlineStr">
        <is>
          <t>NOT_TESTED</t>
        </is>
      </c>
      <c r="X45" s="13" t="inlineStr">
        <is>
          <t>NOT_TESTED</t>
        </is>
      </c>
      <c r="Y45" s="13" t="inlineStr">
        <is>
          <t>NOT_TESTED</t>
        </is>
      </c>
      <c r="Z45" s="13" t="inlineStr">
        <is>
          <t>NOT_TESTED</t>
        </is>
      </c>
      <c r="AA45" s="13" t="inlineStr">
        <is>
          <t>NOT_TESTED</t>
        </is>
      </c>
      <c r="AB45" s="13" t="inlineStr">
        <is>
          <t>NOT_TESTED</t>
        </is>
      </c>
    </row>
    <row r="46">
      <c r="A46" s="2" t="inlineStr">
        <is>
          <t>issue_750</t>
        </is>
      </c>
      <c r="B46" s="13" t="inlineStr">
        <is>
          <t>NOT_TESTED</t>
        </is>
      </c>
      <c r="C46" s="13" t="inlineStr">
        <is>
          <t>NOT_TESTED</t>
        </is>
      </c>
      <c r="D46" s="13" t="inlineStr">
        <is>
          <t>NOT_TESTED</t>
        </is>
      </c>
      <c r="E46" s="13" t="inlineStr">
        <is>
          <t>NOT_TESTED</t>
        </is>
      </c>
      <c r="F46" s="16" t="inlineStr">
        <is>
          <t>Passed on test</t>
        </is>
      </c>
      <c r="G46" s="16" t="inlineStr">
        <is>
          <t>Passed on test</t>
        </is>
      </c>
      <c r="H46" s="16" t="inlineStr">
        <is>
          <t>Passed on test</t>
        </is>
      </c>
      <c r="I46" s="16" t="inlineStr">
        <is>
          <t>Passed on test</t>
        </is>
      </c>
      <c r="J46" s="16" t="inlineStr">
        <is>
          <t>Passed on test</t>
        </is>
      </c>
      <c r="K46" s="16" t="inlineStr">
        <is>
          <t>Passed on test</t>
        </is>
      </c>
      <c r="L46" s="16" t="inlineStr">
        <is>
          <t>Passed on test</t>
        </is>
      </c>
      <c r="M46" s="16" t="inlineStr">
        <is>
          <t>Passed on test</t>
        </is>
      </c>
      <c r="N46" s="16" t="inlineStr">
        <is>
          <t>Passed on test</t>
        </is>
      </c>
      <c r="O46" s="16" t="inlineStr">
        <is>
          <t>Passed on test</t>
        </is>
      </c>
      <c r="P46" s="16" t="inlineStr">
        <is>
          <t>Passed on test</t>
        </is>
      </c>
      <c r="Q46" s="16" t="inlineStr">
        <is>
          <t>Passed on test</t>
        </is>
      </c>
      <c r="R46" s="16" t="inlineStr">
        <is>
          <t>Passed on test</t>
        </is>
      </c>
      <c r="S46" s="16" t="inlineStr">
        <is>
          <t>Passed on test</t>
        </is>
      </c>
      <c r="T46" s="16" t="inlineStr">
        <is>
          <t>Passed on test</t>
        </is>
      </c>
      <c r="U46" s="16" t="inlineStr">
        <is>
          <t>Passed on test</t>
        </is>
      </c>
      <c r="V46" s="16" t="inlineStr">
        <is>
          <t>Passed on test</t>
        </is>
      </c>
      <c r="W46" s="16" t="inlineStr">
        <is>
          <t>Passed on test</t>
        </is>
      </c>
      <c r="X46" s="16" t="inlineStr">
        <is>
          <t>Passed on test</t>
        </is>
      </c>
      <c r="Y46" s="16" t="inlineStr">
        <is>
          <t>Passed on test</t>
        </is>
      </c>
      <c r="Z46" s="16" t="inlineStr">
        <is>
          <t>Passed on test</t>
        </is>
      </c>
      <c r="AA46" s="16" t="inlineStr">
        <is>
          <t>Passed on test</t>
        </is>
      </c>
      <c r="AB46" s="16" t="inlineStr">
        <is>
          <t>Passed on test</t>
        </is>
      </c>
    </row>
    <row r="47">
      <c r="A47" s="2" t="inlineStr">
        <is>
          <t>issue_769</t>
        </is>
      </c>
      <c r="B47" s="13" t="inlineStr">
        <is>
          <t>NOT_TESTED</t>
        </is>
      </c>
      <c r="C47" s="13" t="inlineStr">
        <is>
          <t>NOT_TESTED</t>
        </is>
      </c>
      <c r="D47" s="13" t="inlineStr">
        <is>
          <t>NOT_TESTED</t>
        </is>
      </c>
      <c r="E47" s="13" t="inlineStr">
        <is>
          <t>NOT_TESTED</t>
        </is>
      </c>
      <c r="F47" s="13" t="inlineStr">
        <is>
          <t>NOT_TESTED</t>
        </is>
      </c>
      <c r="G47" s="13" t="inlineStr">
        <is>
          <t>NOT_TESTED</t>
        </is>
      </c>
      <c r="H47" s="13" t="inlineStr">
        <is>
          <t>NOT_TESTED</t>
        </is>
      </c>
      <c r="I47" s="13" t="inlineStr">
        <is>
          <t>NOT_TESTED</t>
        </is>
      </c>
      <c r="J47" s="13" t="inlineStr">
        <is>
          <t>NOT_TESTED</t>
        </is>
      </c>
      <c r="K47" s="13" t="inlineStr">
        <is>
          <t>NOT_TESTED</t>
        </is>
      </c>
      <c r="L47" s="13" t="inlineStr">
        <is>
          <t>NOT_TESTED</t>
        </is>
      </c>
      <c r="M47" s="13" t="inlineStr">
        <is>
          <t>NOT_TESTED</t>
        </is>
      </c>
      <c r="N47" s="14" t="inlineStr">
        <is>
          <t>Runtime error</t>
        </is>
      </c>
      <c r="O47" s="14" t="inlineStr">
        <is>
          <t>Runtime error</t>
        </is>
      </c>
      <c r="P47" s="14" t="inlineStr">
        <is>
          <t>Runtime error</t>
        </is>
      </c>
      <c r="Q47" s="14" t="inlineStr">
        <is>
          <t>Runtime error</t>
        </is>
      </c>
      <c r="R47" s="14" t="inlineStr">
        <is>
          <t>Runtime error</t>
        </is>
      </c>
      <c r="S47" s="14" t="inlineStr">
        <is>
          <t>Runtime error</t>
        </is>
      </c>
      <c r="T47" s="14" t="inlineStr">
        <is>
          <t>Runtime error</t>
        </is>
      </c>
      <c r="U47" s="14" t="inlineStr">
        <is>
          <t>Runtime error</t>
        </is>
      </c>
      <c r="V47" s="14" t="inlineStr">
        <is>
          <t>Runtime error</t>
        </is>
      </c>
      <c r="W47" s="14" t="inlineStr">
        <is>
          <t>Runtime error</t>
        </is>
      </c>
      <c r="X47" s="14" t="inlineStr">
        <is>
          <t>Runtime error</t>
        </is>
      </c>
      <c r="Y47" s="14" t="inlineStr">
        <is>
          <t>Runtime error</t>
        </is>
      </c>
      <c r="Z47" s="14" t="inlineStr">
        <is>
          <t>Runtime error</t>
        </is>
      </c>
      <c r="AA47" s="14" t="inlineStr">
        <is>
          <t>Runtime error</t>
        </is>
      </c>
      <c r="AB47" s="14" t="inlineStr">
        <is>
          <t>Runtime error</t>
        </is>
      </c>
    </row>
    <row r="48">
      <c r="A48" s="2" t="inlineStr">
        <is>
          <t>issue_773</t>
        </is>
      </c>
      <c r="B48" s="13" t="inlineStr">
        <is>
          <t>NOT_TESTED</t>
        </is>
      </c>
      <c r="C48" s="13" t="inlineStr">
        <is>
          <t>NOT_TESTED</t>
        </is>
      </c>
      <c r="D48" s="13" t="inlineStr">
        <is>
          <t>NOT_TESTED</t>
        </is>
      </c>
      <c r="E48" s="13" t="inlineStr">
        <is>
          <t>NOT_TESTED</t>
        </is>
      </c>
      <c r="F48" s="16" t="inlineStr">
        <is>
          <t>Passed on test</t>
        </is>
      </c>
      <c r="G48" s="16" t="inlineStr">
        <is>
          <t>Passed on test</t>
        </is>
      </c>
      <c r="H48" s="16" t="inlineStr">
        <is>
          <t>Passed on test</t>
        </is>
      </c>
      <c r="I48" s="16" t="inlineStr">
        <is>
          <t>Passed on test</t>
        </is>
      </c>
      <c r="J48" s="16" t="inlineStr">
        <is>
          <t>Passed on test</t>
        </is>
      </c>
      <c r="K48" s="16" t="inlineStr">
        <is>
          <t>Passed on test</t>
        </is>
      </c>
      <c r="L48" s="16" t="inlineStr">
        <is>
          <t>Passed on test</t>
        </is>
      </c>
      <c r="M48" s="16" t="inlineStr">
        <is>
          <t>Passed on test</t>
        </is>
      </c>
      <c r="N48" s="13" t="inlineStr">
        <is>
          <t>NOT_TESTED</t>
        </is>
      </c>
      <c r="O48" s="13" t="inlineStr">
        <is>
          <t>NOT_TESTED</t>
        </is>
      </c>
      <c r="P48" s="13" t="inlineStr">
        <is>
          <t>NOT_TESTED</t>
        </is>
      </c>
      <c r="Q48" s="13" t="inlineStr">
        <is>
          <t>NOT_TESTED</t>
        </is>
      </c>
      <c r="R48" s="13" t="inlineStr">
        <is>
          <t>NOT_TESTED</t>
        </is>
      </c>
      <c r="S48" s="13" t="inlineStr">
        <is>
          <t>NOT_TESTED</t>
        </is>
      </c>
      <c r="T48" s="13" t="inlineStr">
        <is>
          <t>NOT_TESTED</t>
        </is>
      </c>
      <c r="U48" s="13" t="inlineStr">
        <is>
          <t>NOT_TESTED</t>
        </is>
      </c>
      <c r="V48" s="13" t="inlineStr">
        <is>
          <t>NOT_TESTED</t>
        </is>
      </c>
      <c r="W48" s="13" t="inlineStr">
        <is>
          <t>NOT_TESTED</t>
        </is>
      </c>
      <c r="X48" s="13" t="inlineStr">
        <is>
          <t>NOT_TESTED</t>
        </is>
      </c>
      <c r="Y48" s="13" t="inlineStr">
        <is>
          <t>NOT_TESTED</t>
        </is>
      </c>
      <c r="Z48" s="13" t="inlineStr">
        <is>
          <t>NOT_TESTED</t>
        </is>
      </c>
      <c r="AA48" s="13" t="inlineStr">
        <is>
          <t>NOT_TESTED</t>
        </is>
      </c>
      <c r="AB48" s="13" t="inlineStr">
        <is>
          <t>NOT_TESTED</t>
        </is>
      </c>
    </row>
    <row r="49">
      <c r="A49" s="2" t="inlineStr">
        <is>
          <t>issue_775</t>
        </is>
      </c>
      <c r="B49" s="16" t="inlineStr">
        <is>
          <t>Runtime error</t>
        </is>
      </c>
      <c r="C49" s="16" t="inlineStr">
        <is>
          <t>Runtime error</t>
        </is>
      </c>
      <c r="D49" s="16" t="inlineStr">
        <is>
          <t>Runtime error</t>
        </is>
      </c>
      <c r="E49" s="16" t="inlineStr">
        <is>
          <t>Runtime error</t>
        </is>
      </c>
      <c r="F49" s="16" t="inlineStr">
        <is>
          <t>Runtime error</t>
        </is>
      </c>
      <c r="G49" s="16" t="inlineStr">
        <is>
          <t>Runtime error</t>
        </is>
      </c>
      <c r="H49" s="16" t="inlineStr">
        <is>
          <t>Runtime error</t>
        </is>
      </c>
      <c r="I49" s="16" t="inlineStr">
        <is>
          <t>Runtime error</t>
        </is>
      </c>
      <c r="J49" s="16" t="inlineStr">
        <is>
          <t>Runtime error</t>
        </is>
      </c>
      <c r="K49" s="16" t="inlineStr">
        <is>
          <t>Runtime error</t>
        </is>
      </c>
      <c r="L49" s="16" t="inlineStr">
        <is>
          <t>Runtime error</t>
        </is>
      </c>
      <c r="M49" s="16" t="inlineStr">
        <is>
          <t>Runtime error</t>
        </is>
      </c>
      <c r="N49" s="13" t="inlineStr">
        <is>
          <t>NOT_TESTED</t>
        </is>
      </c>
      <c r="O49" s="13" t="inlineStr">
        <is>
          <t>NOT_TESTED</t>
        </is>
      </c>
      <c r="P49" s="13" t="inlineStr">
        <is>
          <t>NOT_TESTED</t>
        </is>
      </c>
      <c r="Q49" s="13" t="inlineStr">
        <is>
          <t>NOT_TESTED</t>
        </is>
      </c>
      <c r="R49" s="13" t="inlineStr">
        <is>
          <t>NOT_TESTED</t>
        </is>
      </c>
      <c r="S49" s="13" t="inlineStr">
        <is>
          <t>NOT_TESTED</t>
        </is>
      </c>
      <c r="T49" s="13" t="inlineStr">
        <is>
          <t>NOT_TESTED</t>
        </is>
      </c>
      <c r="U49" s="13" t="inlineStr">
        <is>
          <t>NOT_TESTED</t>
        </is>
      </c>
      <c r="V49" s="13" t="inlineStr">
        <is>
          <t>NOT_TESTED</t>
        </is>
      </c>
      <c r="W49" s="13" t="inlineStr">
        <is>
          <t>NOT_TESTED</t>
        </is>
      </c>
      <c r="X49" s="13" t="inlineStr">
        <is>
          <t>NOT_TESTED</t>
        </is>
      </c>
      <c r="Y49" s="13" t="inlineStr">
        <is>
          <t>NOT_TESTED</t>
        </is>
      </c>
      <c r="Z49" s="13" t="inlineStr">
        <is>
          <t>NOT_TESTED</t>
        </is>
      </c>
      <c r="AA49" s="13" t="inlineStr">
        <is>
          <t>NOT_TESTED</t>
        </is>
      </c>
      <c r="AB49" s="13" t="inlineStr">
        <is>
          <t>NOT_TESTED</t>
        </is>
      </c>
    </row>
    <row r="50">
      <c r="A50" s="2" t="inlineStr">
        <is>
          <t>issue_795</t>
        </is>
      </c>
      <c r="B50" s="16" t="inlineStr">
        <is>
          <t>Passed on test</t>
        </is>
      </c>
      <c r="C50" s="16" t="inlineStr">
        <is>
          <t>Passed on test</t>
        </is>
      </c>
      <c r="D50" s="16" t="inlineStr">
        <is>
          <t>Passed on test</t>
        </is>
      </c>
      <c r="E50" s="16" t="inlineStr">
        <is>
          <t>Passed on test</t>
        </is>
      </c>
      <c r="F50" s="16" t="inlineStr">
        <is>
          <t>Passed on test</t>
        </is>
      </c>
      <c r="G50" s="16" t="inlineStr">
        <is>
          <t>Passed on test</t>
        </is>
      </c>
      <c r="H50" s="16" t="inlineStr">
        <is>
          <t>Passed on test</t>
        </is>
      </c>
      <c r="I50" s="16" t="inlineStr">
        <is>
          <t>Passed on test</t>
        </is>
      </c>
      <c r="J50" s="16" t="inlineStr">
        <is>
          <t>Passed on test</t>
        </is>
      </c>
      <c r="K50" s="16" t="inlineStr">
        <is>
          <t>Passed on test</t>
        </is>
      </c>
      <c r="L50" s="16" t="inlineStr">
        <is>
          <t>Passed on test</t>
        </is>
      </c>
      <c r="M50" s="16" t="inlineStr">
        <is>
          <t>Passed on test</t>
        </is>
      </c>
      <c r="N50" s="13" t="inlineStr">
        <is>
          <t>NOT_TESTED</t>
        </is>
      </c>
      <c r="O50" s="13" t="inlineStr">
        <is>
          <t>NOT_TESTED</t>
        </is>
      </c>
      <c r="P50" s="13" t="inlineStr">
        <is>
          <t>NOT_TESTED</t>
        </is>
      </c>
      <c r="Q50" s="13" t="inlineStr">
        <is>
          <t>NOT_TESTED</t>
        </is>
      </c>
      <c r="R50" s="13" t="inlineStr">
        <is>
          <t>NOT_TESTED</t>
        </is>
      </c>
      <c r="S50" s="13" t="inlineStr">
        <is>
          <t>NOT_TESTED</t>
        </is>
      </c>
      <c r="T50" s="13" t="inlineStr">
        <is>
          <t>NOT_TESTED</t>
        </is>
      </c>
      <c r="U50" s="13" t="inlineStr">
        <is>
          <t>NOT_TESTED</t>
        </is>
      </c>
      <c r="V50" s="13" t="inlineStr">
        <is>
          <t>NOT_TESTED</t>
        </is>
      </c>
      <c r="W50" s="13" t="inlineStr">
        <is>
          <t>NOT_TESTED</t>
        </is>
      </c>
      <c r="X50" s="13" t="inlineStr">
        <is>
          <t>NOT_TESTED</t>
        </is>
      </c>
      <c r="Y50" s="13" t="inlineStr">
        <is>
          <t>NOT_TESTED</t>
        </is>
      </c>
      <c r="Z50" s="13" t="inlineStr">
        <is>
          <t>NOT_TESTED</t>
        </is>
      </c>
      <c r="AA50" s="13" t="inlineStr">
        <is>
          <t>NOT_TESTED</t>
        </is>
      </c>
      <c r="AB50" s="13" t="inlineStr">
        <is>
          <t>NOT_TESTED</t>
        </is>
      </c>
    </row>
    <row r="51">
      <c r="A51" s="2" t="inlineStr">
        <is>
          <t>issue_803</t>
        </is>
      </c>
      <c r="B51" s="15" t="inlineStr">
        <is>
          <t>Failed on test</t>
        </is>
      </c>
      <c r="C51" s="15" t="inlineStr">
        <is>
          <t>Failed on test</t>
        </is>
      </c>
      <c r="D51" s="15" t="inlineStr">
        <is>
          <t>Failed on test</t>
        </is>
      </c>
      <c r="E51" s="15" t="inlineStr">
        <is>
          <t>Failed on test</t>
        </is>
      </c>
      <c r="F51" s="14" t="inlineStr">
        <is>
          <t>Runtime error</t>
        </is>
      </c>
      <c r="G51" s="14" t="inlineStr">
        <is>
          <t>Runtime error</t>
        </is>
      </c>
      <c r="H51" s="14" t="inlineStr">
        <is>
          <t>Runtime error</t>
        </is>
      </c>
      <c r="I51" s="14" t="inlineStr">
        <is>
          <t>Runtime error</t>
        </is>
      </c>
      <c r="J51" s="14" t="inlineStr">
        <is>
          <t>Runtime error</t>
        </is>
      </c>
      <c r="K51" s="14" t="inlineStr">
        <is>
          <t>Runtime error</t>
        </is>
      </c>
      <c r="L51" s="14" t="inlineStr">
        <is>
          <t>Runtime error</t>
        </is>
      </c>
      <c r="M51" s="14" t="inlineStr">
        <is>
          <t>Runtime error</t>
        </is>
      </c>
      <c r="N51" s="13" t="inlineStr">
        <is>
          <t>NOT_TESTED</t>
        </is>
      </c>
      <c r="O51" s="13" t="inlineStr">
        <is>
          <t>NOT_TESTED</t>
        </is>
      </c>
      <c r="P51" s="13" t="inlineStr">
        <is>
          <t>NOT_TESTED</t>
        </is>
      </c>
      <c r="Q51" s="13" t="inlineStr">
        <is>
          <t>NOT_TESTED</t>
        </is>
      </c>
      <c r="R51" s="13" t="inlineStr">
        <is>
          <t>NOT_TESTED</t>
        </is>
      </c>
      <c r="S51" s="13" t="inlineStr">
        <is>
          <t>NOT_TESTED</t>
        </is>
      </c>
      <c r="T51" s="13" t="inlineStr">
        <is>
          <t>NOT_TESTED</t>
        </is>
      </c>
      <c r="U51" s="13" t="inlineStr">
        <is>
          <t>NOT_TESTED</t>
        </is>
      </c>
      <c r="V51" s="13" t="inlineStr">
        <is>
          <t>NOT_TESTED</t>
        </is>
      </c>
      <c r="W51" s="13" t="inlineStr">
        <is>
          <t>NOT_TESTED</t>
        </is>
      </c>
      <c r="X51" s="13" t="inlineStr">
        <is>
          <t>NOT_TESTED</t>
        </is>
      </c>
      <c r="Y51" s="13" t="inlineStr">
        <is>
          <t>NOT_TESTED</t>
        </is>
      </c>
      <c r="Z51" s="13" t="inlineStr">
        <is>
          <t>NOT_TESTED</t>
        </is>
      </c>
      <c r="AA51" s="13" t="inlineStr">
        <is>
          <t>NOT_TESTED</t>
        </is>
      </c>
      <c r="AB51" s="13" t="inlineStr">
        <is>
          <t>NOT_TESTED</t>
        </is>
      </c>
    </row>
    <row r="52">
      <c r="A52" s="2" t="inlineStr">
        <is>
          <t>issue_810</t>
        </is>
      </c>
      <c r="B52" s="13" t="inlineStr">
        <is>
          <t>NOT_TESTED</t>
        </is>
      </c>
      <c r="C52" s="13" t="inlineStr">
        <is>
          <t>NOT_TESTED</t>
        </is>
      </c>
      <c r="D52" s="13" t="inlineStr">
        <is>
          <t>NOT_TESTED</t>
        </is>
      </c>
      <c r="E52" s="13" t="inlineStr">
        <is>
          <t>NOT_TESTED</t>
        </is>
      </c>
      <c r="F52" s="13" t="inlineStr">
        <is>
          <t>NOT_TESTED</t>
        </is>
      </c>
      <c r="G52" s="15" t="inlineStr">
        <is>
          <t>Failed on test</t>
        </is>
      </c>
      <c r="H52" s="13" t="inlineStr">
        <is>
          <t>NOT_TESTED</t>
        </is>
      </c>
      <c r="I52" s="13" t="inlineStr">
        <is>
          <t>NOT_TESTED</t>
        </is>
      </c>
      <c r="J52" s="13" t="inlineStr">
        <is>
          <t>NOT_TESTED</t>
        </is>
      </c>
      <c r="K52" s="13" t="inlineStr">
        <is>
          <t>NOT_TESTED</t>
        </is>
      </c>
      <c r="L52" s="15" t="inlineStr">
        <is>
          <t>Failed on test</t>
        </is>
      </c>
      <c r="M52" s="13" t="inlineStr">
        <is>
          <t>NOT_TESTED</t>
        </is>
      </c>
      <c r="N52" s="13" t="inlineStr">
        <is>
          <t>NOT_TESTED</t>
        </is>
      </c>
      <c r="O52" s="13" t="inlineStr">
        <is>
          <t>NOT_TESTED</t>
        </is>
      </c>
      <c r="P52" s="13" t="inlineStr">
        <is>
          <t>NOT_TESTED</t>
        </is>
      </c>
      <c r="Q52" s="13" t="inlineStr">
        <is>
          <t>NOT_TESTED</t>
        </is>
      </c>
      <c r="R52" s="13" t="inlineStr">
        <is>
          <t>NOT_TESTED</t>
        </is>
      </c>
      <c r="S52" s="13" t="inlineStr">
        <is>
          <t>NOT_TESTED</t>
        </is>
      </c>
      <c r="T52" s="13" t="inlineStr">
        <is>
          <t>NOT_TESTED</t>
        </is>
      </c>
      <c r="U52" s="13" t="inlineStr">
        <is>
          <t>NOT_TESTED</t>
        </is>
      </c>
      <c r="V52" s="13" t="inlineStr">
        <is>
          <t>NOT_TESTED</t>
        </is>
      </c>
      <c r="W52" s="13" t="inlineStr">
        <is>
          <t>NOT_TESTED</t>
        </is>
      </c>
      <c r="X52" s="13" t="inlineStr">
        <is>
          <t>NOT_TESTED</t>
        </is>
      </c>
      <c r="Y52" s="13" t="inlineStr">
        <is>
          <t>NOT_TESTED</t>
        </is>
      </c>
      <c r="Z52" s="13" t="inlineStr">
        <is>
          <t>NOT_TESTED</t>
        </is>
      </c>
      <c r="AA52" s="13" t="inlineStr">
        <is>
          <t>NOT_TESTED</t>
        </is>
      </c>
      <c r="AB52" s="13" t="inlineStr">
        <is>
          <t>NOT_TESTED</t>
        </is>
      </c>
    </row>
    <row r="53">
      <c r="A53" s="2" t="inlineStr">
        <is>
          <t>issue_816</t>
        </is>
      </c>
      <c r="B53" s="13" t="inlineStr">
        <is>
          <t>NOT_TESTED</t>
        </is>
      </c>
      <c r="C53" s="13" t="inlineStr">
        <is>
          <t>NOT_TESTED</t>
        </is>
      </c>
      <c r="D53" s="13" t="inlineStr">
        <is>
          <t>NOT_TESTED</t>
        </is>
      </c>
      <c r="E53" s="13" t="inlineStr">
        <is>
          <t>NOT_TESTED</t>
        </is>
      </c>
      <c r="F53" s="16" t="inlineStr">
        <is>
          <t>Passed on test</t>
        </is>
      </c>
      <c r="G53" s="16" t="inlineStr">
        <is>
          <t>Passed on test</t>
        </is>
      </c>
      <c r="H53" s="16" t="inlineStr">
        <is>
          <t>Passed on test</t>
        </is>
      </c>
      <c r="I53" s="16" t="inlineStr">
        <is>
          <t>Passed on test</t>
        </is>
      </c>
      <c r="J53" s="16" t="inlineStr">
        <is>
          <t>Passed on test</t>
        </is>
      </c>
      <c r="K53" s="16" t="inlineStr">
        <is>
          <t>Passed on test</t>
        </is>
      </c>
      <c r="L53" s="16" t="inlineStr">
        <is>
          <t>Passed on test</t>
        </is>
      </c>
      <c r="M53" s="16" t="inlineStr">
        <is>
          <t>Passed on test</t>
        </is>
      </c>
      <c r="N53" s="16" t="inlineStr">
        <is>
          <t>Passed on test</t>
        </is>
      </c>
      <c r="O53" s="16" t="inlineStr">
        <is>
          <t>Passed on test</t>
        </is>
      </c>
      <c r="P53" s="16" t="inlineStr">
        <is>
          <t>Passed on test</t>
        </is>
      </c>
      <c r="Q53" s="16" t="inlineStr">
        <is>
          <t>Passed on test</t>
        </is>
      </c>
      <c r="R53" s="16" t="inlineStr">
        <is>
          <t>Passed on test</t>
        </is>
      </c>
      <c r="S53" s="16" t="inlineStr">
        <is>
          <t>Passed on test</t>
        </is>
      </c>
      <c r="T53" s="16" t="inlineStr">
        <is>
          <t>Passed on test</t>
        </is>
      </c>
      <c r="U53" s="16" t="inlineStr">
        <is>
          <t>Passed on test</t>
        </is>
      </c>
      <c r="V53" s="16" t="inlineStr">
        <is>
          <t>Passed on test</t>
        </is>
      </c>
      <c r="W53" s="16" t="inlineStr">
        <is>
          <t>Passed on test</t>
        </is>
      </c>
      <c r="X53" s="16" t="inlineStr">
        <is>
          <t>Passed on test</t>
        </is>
      </c>
      <c r="Y53" s="16" t="inlineStr">
        <is>
          <t>Passed on test</t>
        </is>
      </c>
      <c r="Z53" s="16" t="inlineStr">
        <is>
          <t>Passed on test</t>
        </is>
      </c>
      <c r="AA53" s="16" t="inlineStr">
        <is>
          <t>Passed on test</t>
        </is>
      </c>
      <c r="AB53" s="16" t="inlineStr">
        <is>
          <t>Passed on test</t>
        </is>
      </c>
    </row>
    <row r="54">
      <c r="A54" s="2" t="inlineStr">
        <is>
          <t>issue_876</t>
        </is>
      </c>
      <c r="B54" s="13" t="inlineStr">
        <is>
          <t>NOT_TESTED</t>
        </is>
      </c>
      <c r="C54" s="13" t="inlineStr">
        <is>
          <t>NOT_TESTED</t>
        </is>
      </c>
      <c r="D54" s="13" t="inlineStr">
        <is>
          <t>NOT_TESTED</t>
        </is>
      </c>
      <c r="E54" s="13" t="inlineStr">
        <is>
          <t>NOT_TESTED</t>
        </is>
      </c>
      <c r="F54" s="13" t="inlineStr">
        <is>
          <t>NOT_TESTED</t>
        </is>
      </c>
      <c r="G54" s="13" t="inlineStr">
        <is>
          <t>NOT_TESTED</t>
        </is>
      </c>
      <c r="H54" s="13" t="inlineStr">
        <is>
          <t>NOT_TESTED</t>
        </is>
      </c>
      <c r="I54" s="13" t="inlineStr">
        <is>
          <t>NOT_TESTED</t>
        </is>
      </c>
      <c r="J54" s="13" t="inlineStr">
        <is>
          <t>NOT_TESTED</t>
        </is>
      </c>
      <c r="K54" s="13" t="inlineStr">
        <is>
          <t>NOT_TESTED</t>
        </is>
      </c>
      <c r="L54" s="13" t="inlineStr">
        <is>
          <t>NOT_TESTED</t>
        </is>
      </c>
      <c r="M54" s="13" t="inlineStr">
        <is>
          <t>NOT_TESTED</t>
        </is>
      </c>
      <c r="N54" s="14" t="inlineStr">
        <is>
          <t>Passed on test</t>
        </is>
      </c>
      <c r="O54" s="14" t="inlineStr">
        <is>
          <t>Passed on test</t>
        </is>
      </c>
      <c r="P54" s="14" t="inlineStr">
        <is>
          <t>Passed on test</t>
        </is>
      </c>
      <c r="Q54" s="14" t="inlineStr">
        <is>
          <t>Passed on test</t>
        </is>
      </c>
      <c r="R54" s="14" t="inlineStr">
        <is>
          <t>Passed on test</t>
        </is>
      </c>
      <c r="S54" s="14" t="inlineStr">
        <is>
          <t>Passed on test</t>
        </is>
      </c>
      <c r="T54" s="14" t="inlineStr">
        <is>
          <t>Passed on test</t>
        </is>
      </c>
      <c r="U54" s="14" t="inlineStr">
        <is>
          <t>Passed on test</t>
        </is>
      </c>
      <c r="V54" s="14" t="inlineStr">
        <is>
          <t>Passed on test</t>
        </is>
      </c>
      <c r="W54" s="14" t="inlineStr">
        <is>
          <t>Passed on test</t>
        </is>
      </c>
      <c r="X54" s="14" t="inlineStr">
        <is>
          <t>Passed on test</t>
        </is>
      </c>
      <c r="Y54" s="14" t="inlineStr">
        <is>
          <t>Passed on test</t>
        </is>
      </c>
      <c r="Z54" s="14" t="inlineStr">
        <is>
          <t>Passed on test</t>
        </is>
      </c>
      <c r="AA54" s="14" t="inlineStr">
        <is>
          <t>Passed on test</t>
        </is>
      </c>
      <c r="AB54" s="14" t="inlineStr">
        <is>
          <t>Passed on test</t>
        </is>
      </c>
    </row>
    <row r="55">
      <c r="A55" s="2" t="inlineStr">
        <is>
          <t>issue_877</t>
        </is>
      </c>
      <c r="B55" s="13" t="inlineStr">
        <is>
          <t>NOT_TESTED</t>
        </is>
      </c>
      <c r="C55" s="13" t="inlineStr">
        <is>
          <t>NOT_TESTED</t>
        </is>
      </c>
      <c r="D55" s="13" t="inlineStr">
        <is>
          <t>NOT_TESTED</t>
        </is>
      </c>
      <c r="E55" s="13" t="inlineStr">
        <is>
          <t>NOT_TESTED</t>
        </is>
      </c>
      <c r="F55" s="15" t="inlineStr">
        <is>
          <t>Passed on test</t>
        </is>
      </c>
      <c r="G55" s="15" t="inlineStr">
        <is>
          <t>Passed on test</t>
        </is>
      </c>
      <c r="H55" s="15" t="inlineStr">
        <is>
          <t>Passed on test</t>
        </is>
      </c>
      <c r="I55" s="15" t="inlineStr">
        <is>
          <t>Passed on test</t>
        </is>
      </c>
      <c r="J55" s="15" t="inlineStr">
        <is>
          <t>Passed on test</t>
        </is>
      </c>
      <c r="K55" s="15" t="inlineStr">
        <is>
          <t>Passed on test</t>
        </is>
      </c>
      <c r="L55" s="15" t="inlineStr">
        <is>
          <t>Passed on test</t>
        </is>
      </c>
      <c r="M55" s="15" t="inlineStr">
        <is>
          <t>Passed on test</t>
        </is>
      </c>
      <c r="N55" s="13" t="inlineStr">
        <is>
          <t>NOT_TESTED</t>
        </is>
      </c>
      <c r="O55" s="13" t="inlineStr">
        <is>
          <t>NOT_TESTED</t>
        </is>
      </c>
      <c r="P55" s="13" t="inlineStr">
        <is>
          <t>NOT_TESTED</t>
        </is>
      </c>
      <c r="Q55" s="13" t="inlineStr">
        <is>
          <t>NOT_TESTED</t>
        </is>
      </c>
      <c r="R55" s="13" t="inlineStr">
        <is>
          <t>NOT_TESTED</t>
        </is>
      </c>
      <c r="S55" s="13" t="inlineStr">
        <is>
          <t>NOT_TESTED</t>
        </is>
      </c>
      <c r="T55" s="13" t="inlineStr">
        <is>
          <t>NOT_TESTED</t>
        </is>
      </c>
      <c r="U55" s="13" t="inlineStr">
        <is>
          <t>NOT_TESTED</t>
        </is>
      </c>
      <c r="V55" s="13" t="inlineStr">
        <is>
          <t>NOT_TESTED</t>
        </is>
      </c>
      <c r="W55" s="13" t="inlineStr">
        <is>
          <t>NOT_TESTED</t>
        </is>
      </c>
      <c r="X55" s="13" t="inlineStr">
        <is>
          <t>NOT_TESTED</t>
        </is>
      </c>
      <c r="Y55" s="13" t="inlineStr">
        <is>
          <t>NOT_TESTED</t>
        </is>
      </c>
      <c r="Z55" s="13" t="inlineStr">
        <is>
          <t>NOT_TESTED</t>
        </is>
      </c>
      <c r="AA55" s="13" t="inlineStr">
        <is>
          <t>NOT_TESTED</t>
        </is>
      </c>
      <c r="AB55" s="13" t="inlineStr">
        <is>
          <t>NOT_TESTED</t>
        </is>
      </c>
    </row>
    <row r="56">
      <c r="A56" s="2" t="inlineStr">
        <is>
          <t>issue_886</t>
        </is>
      </c>
      <c r="B56" s="13" t="inlineStr">
        <is>
          <t>NOT_TESTED</t>
        </is>
      </c>
      <c r="C56" s="13" t="inlineStr">
        <is>
          <t>NOT_TESTED</t>
        </is>
      </c>
      <c r="D56" s="13" t="inlineStr">
        <is>
          <t>NOT_TESTED</t>
        </is>
      </c>
      <c r="E56" s="13" t="inlineStr">
        <is>
          <t>NOT_TESTED</t>
        </is>
      </c>
      <c r="F56" s="16" t="inlineStr">
        <is>
          <t>Failed on test</t>
        </is>
      </c>
      <c r="G56" s="16" t="inlineStr">
        <is>
          <t>Failed on test</t>
        </is>
      </c>
      <c r="H56" s="13" t="inlineStr">
        <is>
          <t>NOT_TESTED</t>
        </is>
      </c>
      <c r="I56" s="13" t="inlineStr">
        <is>
          <t>NOT_TESTED</t>
        </is>
      </c>
      <c r="J56" s="13" t="inlineStr">
        <is>
          <t>NOT_TESTED</t>
        </is>
      </c>
      <c r="K56" s="13" t="inlineStr">
        <is>
          <t>NOT_TESTED</t>
        </is>
      </c>
      <c r="L56" s="13" t="inlineStr">
        <is>
          <t>NOT_TESTED</t>
        </is>
      </c>
      <c r="M56" s="13" t="inlineStr">
        <is>
          <t>NOT_TESTED</t>
        </is>
      </c>
      <c r="N56" s="13" t="inlineStr">
        <is>
          <t>NOT_TESTED</t>
        </is>
      </c>
      <c r="O56" s="13" t="inlineStr">
        <is>
          <t>NOT_TESTED</t>
        </is>
      </c>
      <c r="P56" s="13" t="inlineStr">
        <is>
          <t>NOT_TESTED</t>
        </is>
      </c>
      <c r="Q56" s="13" t="inlineStr">
        <is>
          <t>NOT_TESTED</t>
        </is>
      </c>
      <c r="R56" s="13" t="inlineStr">
        <is>
          <t>NOT_TESTED</t>
        </is>
      </c>
      <c r="S56" s="13" t="inlineStr">
        <is>
          <t>NOT_TESTED</t>
        </is>
      </c>
      <c r="T56" s="13" t="inlineStr">
        <is>
          <t>NOT_TESTED</t>
        </is>
      </c>
      <c r="U56" s="13" t="inlineStr">
        <is>
          <t>NOT_TESTED</t>
        </is>
      </c>
      <c r="V56" s="13" t="inlineStr">
        <is>
          <t>NOT_TESTED</t>
        </is>
      </c>
      <c r="W56" s="13" t="inlineStr">
        <is>
          <t>NOT_TESTED</t>
        </is>
      </c>
      <c r="X56" s="13" t="inlineStr">
        <is>
          <t>NOT_TESTED</t>
        </is>
      </c>
      <c r="Y56" s="13" t="inlineStr">
        <is>
          <t>NOT_TESTED</t>
        </is>
      </c>
      <c r="Z56" s="13" t="inlineStr">
        <is>
          <t>NOT_TESTED</t>
        </is>
      </c>
      <c r="AA56" s="13" t="inlineStr">
        <is>
          <t>NOT_TESTED</t>
        </is>
      </c>
      <c r="AB56" s="13" t="inlineStr">
        <is>
          <t>NOT_TESTED</t>
        </is>
      </c>
    </row>
    <row r="57">
      <c r="A57" s="2" t="inlineStr">
        <is>
          <t>issue_889</t>
        </is>
      </c>
      <c r="B57" s="14" t="inlineStr">
        <is>
          <t>Runtime error</t>
        </is>
      </c>
      <c r="C57" s="14" t="inlineStr">
        <is>
          <t>Runtime error</t>
        </is>
      </c>
      <c r="D57" s="14" t="inlineStr">
        <is>
          <t>Runtime error</t>
        </is>
      </c>
      <c r="E57" s="14" t="inlineStr">
        <is>
          <t>Runtime error</t>
        </is>
      </c>
      <c r="F57" s="15" t="inlineStr">
        <is>
          <t>Failed on test</t>
        </is>
      </c>
      <c r="G57" s="15" t="inlineStr">
        <is>
          <t>Failed on test</t>
        </is>
      </c>
      <c r="H57" s="15" t="inlineStr">
        <is>
          <t>Failed on test</t>
        </is>
      </c>
      <c r="I57" s="15" t="inlineStr">
        <is>
          <t>Failed on test</t>
        </is>
      </c>
      <c r="J57" s="15" t="inlineStr">
        <is>
          <t>Failed on test</t>
        </is>
      </c>
      <c r="K57" s="15" t="inlineStr">
        <is>
          <t>Failed on test</t>
        </is>
      </c>
      <c r="L57" s="15" t="inlineStr">
        <is>
          <t>Failed on test</t>
        </is>
      </c>
      <c r="M57" s="15" t="inlineStr">
        <is>
          <t>Failed on test</t>
        </is>
      </c>
      <c r="N57" s="13" t="inlineStr">
        <is>
          <t>NOT_TESTED</t>
        </is>
      </c>
      <c r="O57" s="13" t="inlineStr">
        <is>
          <t>NOT_TESTED</t>
        </is>
      </c>
      <c r="P57" s="13" t="inlineStr">
        <is>
          <t>NOT_TESTED</t>
        </is>
      </c>
      <c r="Q57" s="13" t="inlineStr">
        <is>
          <t>NOT_TESTED</t>
        </is>
      </c>
      <c r="R57" s="13" t="inlineStr">
        <is>
          <t>NOT_TESTED</t>
        </is>
      </c>
      <c r="S57" s="13" t="inlineStr">
        <is>
          <t>NOT_TESTED</t>
        </is>
      </c>
      <c r="T57" s="13" t="inlineStr">
        <is>
          <t>NOT_TESTED</t>
        </is>
      </c>
      <c r="U57" s="13" t="inlineStr">
        <is>
          <t>NOT_TESTED</t>
        </is>
      </c>
      <c r="V57" s="13" t="inlineStr">
        <is>
          <t>NOT_TESTED</t>
        </is>
      </c>
      <c r="W57" s="13" t="inlineStr">
        <is>
          <t>NOT_TESTED</t>
        </is>
      </c>
      <c r="X57" s="13" t="inlineStr">
        <is>
          <t>NOT_TESTED</t>
        </is>
      </c>
      <c r="Y57" s="13" t="inlineStr">
        <is>
          <t>NOT_TESTED</t>
        </is>
      </c>
      <c r="Z57" s="13" t="inlineStr">
        <is>
          <t>NOT_TESTED</t>
        </is>
      </c>
      <c r="AA57" s="13" t="inlineStr">
        <is>
          <t>NOT_TESTED</t>
        </is>
      </c>
      <c r="AB57" s="13" t="inlineStr">
        <is>
          <t>NOT_TESTED</t>
        </is>
      </c>
    </row>
    <row r="58">
      <c r="A58" s="2" t="inlineStr">
        <is>
          <t>issue_911</t>
        </is>
      </c>
      <c r="B58" s="13" t="inlineStr">
        <is>
          <t>NOT_TESTED</t>
        </is>
      </c>
      <c r="C58" s="13" t="inlineStr">
        <is>
          <t>NOT_TESTED</t>
        </is>
      </c>
      <c r="D58" s="13" t="inlineStr">
        <is>
          <t>NOT_TESTED</t>
        </is>
      </c>
      <c r="E58" s="13" t="inlineStr">
        <is>
          <t>NOT_TESTED</t>
        </is>
      </c>
      <c r="F58" s="15" t="inlineStr">
        <is>
          <t>Runtime error</t>
        </is>
      </c>
      <c r="G58" s="15" t="inlineStr">
        <is>
          <t>Runtime error</t>
        </is>
      </c>
      <c r="H58" s="15" t="inlineStr">
        <is>
          <t>Runtime error</t>
        </is>
      </c>
      <c r="I58" s="15" t="inlineStr">
        <is>
          <t>Runtime error</t>
        </is>
      </c>
      <c r="J58" s="15" t="inlineStr">
        <is>
          <t>Runtime error</t>
        </is>
      </c>
      <c r="K58" s="15" t="inlineStr">
        <is>
          <t>Runtime error</t>
        </is>
      </c>
      <c r="L58" s="15" t="inlineStr">
        <is>
          <t>Runtime error</t>
        </is>
      </c>
      <c r="M58" s="15" t="inlineStr">
        <is>
          <t>Runtime error</t>
        </is>
      </c>
      <c r="N58" s="15" t="inlineStr">
        <is>
          <t>Runtime error</t>
        </is>
      </c>
      <c r="O58" s="15" t="inlineStr">
        <is>
          <t>Runtime error</t>
        </is>
      </c>
      <c r="P58" s="15" t="inlineStr">
        <is>
          <t>Runtime error</t>
        </is>
      </c>
      <c r="Q58" s="15" t="inlineStr">
        <is>
          <t>Runtime error</t>
        </is>
      </c>
      <c r="R58" s="15" t="inlineStr">
        <is>
          <t>Runtime error</t>
        </is>
      </c>
      <c r="S58" s="15" t="inlineStr">
        <is>
          <t>Runtime error</t>
        </is>
      </c>
      <c r="T58" s="15" t="inlineStr">
        <is>
          <t>Runtime error</t>
        </is>
      </c>
      <c r="U58" s="15" t="inlineStr">
        <is>
          <t>Runtime error</t>
        </is>
      </c>
      <c r="V58" s="15" t="inlineStr">
        <is>
          <t>Runtime error</t>
        </is>
      </c>
      <c r="W58" s="15" t="inlineStr">
        <is>
          <t>Runtime error</t>
        </is>
      </c>
      <c r="X58" s="15" t="inlineStr">
        <is>
          <t>Runtime error</t>
        </is>
      </c>
      <c r="Y58" s="15" t="inlineStr">
        <is>
          <t>Runtime error</t>
        </is>
      </c>
      <c r="Z58" s="15" t="inlineStr">
        <is>
          <t>Runtime error</t>
        </is>
      </c>
      <c r="AA58" s="15" t="inlineStr">
        <is>
          <t>Runtime error</t>
        </is>
      </c>
      <c r="AB58" s="15" t="inlineStr">
        <is>
          <t>Runtime error</t>
        </is>
      </c>
    </row>
    <row r="59">
      <c r="A59" s="2" t="inlineStr">
        <is>
          <t>issue_925</t>
        </is>
      </c>
      <c r="B59" s="14" t="inlineStr">
        <is>
          <t>Runtime error</t>
        </is>
      </c>
      <c r="C59" s="14" t="inlineStr">
        <is>
          <t>Runtime error</t>
        </is>
      </c>
      <c r="D59" s="14" t="inlineStr">
        <is>
          <t>Runtime error</t>
        </is>
      </c>
      <c r="E59" s="14" t="inlineStr">
        <is>
          <t>Runtime error</t>
        </is>
      </c>
      <c r="F59" s="13" t="inlineStr">
        <is>
          <t>NOT_TESTED</t>
        </is>
      </c>
      <c r="G59" s="13" t="inlineStr">
        <is>
          <t>NOT_TESTED</t>
        </is>
      </c>
      <c r="H59" s="13" t="inlineStr">
        <is>
          <t>NOT_TESTED</t>
        </is>
      </c>
      <c r="I59" s="13" t="inlineStr">
        <is>
          <t>NOT_TESTED</t>
        </is>
      </c>
      <c r="J59" s="13" t="inlineStr">
        <is>
          <t>NOT_TESTED</t>
        </is>
      </c>
      <c r="K59" s="13" t="inlineStr">
        <is>
          <t>NOT_TESTED</t>
        </is>
      </c>
      <c r="L59" s="13" t="inlineStr">
        <is>
          <t>NOT_TESTED</t>
        </is>
      </c>
      <c r="M59" s="13" t="inlineStr">
        <is>
          <t>NOT_TESTED</t>
        </is>
      </c>
      <c r="N59" s="13" t="inlineStr">
        <is>
          <t>NOT_TESTED</t>
        </is>
      </c>
      <c r="O59" s="13" t="inlineStr">
        <is>
          <t>NOT_TESTED</t>
        </is>
      </c>
      <c r="P59" s="13" t="inlineStr">
        <is>
          <t>NOT_TESTED</t>
        </is>
      </c>
      <c r="Q59" s="13" t="inlineStr">
        <is>
          <t>NOT_TESTED</t>
        </is>
      </c>
      <c r="R59" s="13" t="inlineStr">
        <is>
          <t>NOT_TESTED</t>
        </is>
      </c>
      <c r="S59" s="13" t="inlineStr">
        <is>
          <t>NOT_TESTED</t>
        </is>
      </c>
      <c r="T59" s="13" t="inlineStr">
        <is>
          <t>NOT_TESTED</t>
        </is>
      </c>
      <c r="U59" s="13" t="inlineStr">
        <is>
          <t>NOT_TESTED</t>
        </is>
      </c>
      <c r="V59" s="13" t="inlineStr">
        <is>
          <t>NOT_TESTED</t>
        </is>
      </c>
      <c r="W59" s="13" t="inlineStr">
        <is>
          <t>NOT_TESTED</t>
        </is>
      </c>
      <c r="X59" s="13" t="inlineStr">
        <is>
          <t>NOT_TESTED</t>
        </is>
      </c>
      <c r="Y59" s="13" t="inlineStr">
        <is>
          <t>NOT_TESTED</t>
        </is>
      </c>
      <c r="Z59" s="13" t="inlineStr">
        <is>
          <t>NOT_TESTED</t>
        </is>
      </c>
      <c r="AA59" s="13" t="inlineStr">
        <is>
          <t>NOT_TESTED</t>
        </is>
      </c>
      <c r="AB59" s="13" t="inlineStr">
        <is>
          <t>NOT_TESTED</t>
        </is>
      </c>
    </row>
    <row r="60">
      <c r="A60" s="2" t="inlineStr">
        <is>
          <t>issue_944</t>
        </is>
      </c>
      <c r="B60" s="16" t="inlineStr">
        <is>
          <t>Runtime error</t>
        </is>
      </c>
      <c r="C60" s="16" t="inlineStr">
        <is>
          <t>Runtime error</t>
        </is>
      </c>
      <c r="D60" s="16" t="inlineStr">
        <is>
          <t>Runtime error</t>
        </is>
      </c>
      <c r="E60" s="16" t="inlineStr">
        <is>
          <t>Runtime error</t>
        </is>
      </c>
      <c r="F60" s="16" t="inlineStr">
        <is>
          <t>Runtime error</t>
        </is>
      </c>
      <c r="G60" s="16" t="inlineStr">
        <is>
          <t>Runtime error</t>
        </is>
      </c>
      <c r="H60" s="16" t="inlineStr">
        <is>
          <t>Runtime error</t>
        </is>
      </c>
      <c r="I60" s="16" t="inlineStr">
        <is>
          <t>Runtime error</t>
        </is>
      </c>
      <c r="J60" s="16" t="inlineStr">
        <is>
          <t>Runtime error</t>
        </is>
      </c>
      <c r="K60" s="16" t="inlineStr">
        <is>
          <t>Runtime error</t>
        </is>
      </c>
      <c r="L60" s="16" t="inlineStr">
        <is>
          <t>Runtime error</t>
        </is>
      </c>
      <c r="M60" s="16" t="inlineStr">
        <is>
          <t>Runtime error</t>
        </is>
      </c>
      <c r="N60" s="13" t="inlineStr">
        <is>
          <t>NOT_TESTED</t>
        </is>
      </c>
      <c r="O60" s="13" t="inlineStr">
        <is>
          <t>NOT_TESTED</t>
        </is>
      </c>
      <c r="P60" s="13" t="inlineStr">
        <is>
          <t>NOT_TESTED</t>
        </is>
      </c>
      <c r="Q60" s="13" t="inlineStr">
        <is>
          <t>NOT_TESTED</t>
        </is>
      </c>
      <c r="R60" s="13" t="inlineStr">
        <is>
          <t>NOT_TESTED</t>
        </is>
      </c>
      <c r="S60" s="13" t="inlineStr">
        <is>
          <t>NOT_TESTED</t>
        </is>
      </c>
      <c r="T60" s="13" t="inlineStr">
        <is>
          <t>NOT_TESTED</t>
        </is>
      </c>
      <c r="U60" s="13" t="inlineStr">
        <is>
          <t>NOT_TESTED</t>
        </is>
      </c>
      <c r="V60" s="13" t="inlineStr">
        <is>
          <t>NOT_TESTED</t>
        </is>
      </c>
      <c r="W60" s="13" t="inlineStr">
        <is>
          <t>NOT_TESTED</t>
        </is>
      </c>
      <c r="X60" s="13" t="inlineStr">
        <is>
          <t>NOT_TESTED</t>
        </is>
      </c>
      <c r="Y60" s="13" t="inlineStr">
        <is>
          <t>NOT_TESTED</t>
        </is>
      </c>
      <c r="Z60" s="13" t="inlineStr">
        <is>
          <t>NOT_TESTED</t>
        </is>
      </c>
      <c r="AA60" s="13" t="inlineStr">
        <is>
          <t>NOT_TESTED</t>
        </is>
      </c>
      <c r="AB60" s="13" t="inlineStr">
        <is>
          <t>NOT_TESTED</t>
        </is>
      </c>
    </row>
    <row r="61">
      <c r="A61" s="2" t="inlineStr">
        <is>
          <t>issue_950</t>
        </is>
      </c>
      <c r="B61" s="16" t="inlineStr">
        <is>
          <t>Passed on test</t>
        </is>
      </c>
      <c r="C61" s="16" t="inlineStr">
        <is>
          <t>Passed on test</t>
        </is>
      </c>
      <c r="D61" s="16" t="inlineStr">
        <is>
          <t>Passed on test</t>
        </is>
      </c>
      <c r="E61" s="16" t="inlineStr">
        <is>
          <t>Passed on test</t>
        </is>
      </c>
      <c r="F61" s="16" t="inlineStr">
        <is>
          <t>Passed on test</t>
        </is>
      </c>
      <c r="G61" s="16" t="inlineStr">
        <is>
          <t>Passed on test</t>
        </is>
      </c>
      <c r="H61" s="16" t="inlineStr">
        <is>
          <t>Passed on test</t>
        </is>
      </c>
      <c r="I61" s="16" t="inlineStr">
        <is>
          <t>Passed on test</t>
        </is>
      </c>
      <c r="J61" s="16" t="inlineStr">
        <is>
          <t>Passed on test</t>
        </is>
      </c>
      <c r="K61" s="16" t="inlineStr">
        <is>
          <t>Passed on test</t>
        </is>
      </c>
      <c r="L61" s="16" t="inlineStr">
        <is>
          <t>Passed on test</t>
        </is>
      </c>
      <c r="M61" s="16" t="inlineStr">
        <is>
          <t>Passed on test</t>
        </is>
      </c>
      <c r="N61" s="16" t="inlineStr">
        <is>
          <t>Passed on test</t>
        </is>
      </c>
      <c r="O61" s="16" t="inlineStr">
        <is>
          <t>Passed on test</t>
        </is>
      </c>
      <c r="P61" s="16" t="inlineStr">
        <is>
          <t>Passed on test</t>
        </is>
      </c>
      <c r="Q61" s="16" t="inlineStr">
        <is>
          <t>Passed on test</t>
        </is>
      </c>
      <c r="R61" s="16" t="inlineStr">
        <is>
          <t>Passed on test</t>
        </is>
      </c>
      <c r="S61" s="16" t="inlineStr">
        <is>
          <t>Passed on test</t>
        </is>
      </c>
      <c r="T61" s="16" t="inlineStr">
        <is>
          <t>Passed on test</t>
        </is>
      </c>
      <c r="U61" s="16" t="inlineStr">
        <is>
          <t>Passed on test</t>
        </is>
      </c>
      <c r="V61" s="16" t="inlineStr">
        <is>
          <t>Passed on test</t>
        </is>
      </c>
      <c r="W61" s="16" t="inlineStr">
        <is>
          <t>Passed on test</t>
        </is>
      </c>
      <c r="X61" s="16" t="inlineStr">
        <is>
          <t>Passed on test</t>
        </is>
      </c>
      <c r="Y61" s="16" t="inlineStr">
        <is>
          <t>Passed on test</t>
        </is>
      </c>
      <c r="Z61" s="16" t="inlineStr">
        <is>
          <t>Passed on test</t>
        </is>
      </c>
      <c r="AA61" s="16" t="inlineStr">
        <is>
          <t>Passed on test</t>
        </is>
      </c>
      <c r="AB61" s="16" t="inlineStr">
        <is>
          <t>Passed on test</t>
        </is>
      </c>
    </row>
    <row r="62">
      <c r="A62" s="2" t="inlineStr">
        <is>
          <t>issue_958</t>
        </is>
      </c>
      <c r="B62" s="13" t="inlineStr">
        <is>
          <t>NOT_TESTED</t>
        </is>
      </c>
      <c r="C62" s="13" t="inlineStr">
        <is>
          <t>NOT_TESTED</t>
        </is>
      </c>
      <c r="D62" s="13" t="inlineStr">
        <is>
          <t>NOT_TESTED</t>
        </is>
      </c>
      <c r="E62" s="13" t="inlineStr">
        <is>
          <t>NOT_TESTED</t>
        </is>
      </c>
      <c r="F62" s="14" t="inlineStr">
        <is>
          <t>Passed on test</t>
        </is>
      </c>
      <c r="G62" s="14" t="inlineStr">
        <is>
          <t>Passed on test</t>
        </is>
      </c>
      <c r="H62" s="14" t="inlineStr">
        <is>
          <t>Passed on test</t>
        </is>
      </c>
      <c r="I62" s="14" t="inlineStr">
        <is>
          <t>Passed on test</t>
        </is>
      </c>
      <c r="J62" s="14" t="inlineStr">
        <is>
          <t>Passed on test</t>
        </is>
      </c>
      <c r="K62" s="14" t="inlineStr">
        <is>
          <t>Passed on test</t>
        </is>
      </c>
      <c r="L62" s="14" t="inlineStr">
        <is>
          <t>Passed on test</t>
        </is>
      </c>
      <c r="M62" s="14" t="inlineStr">
        <is>
          <t>Passed on test</t>
        </is>
      </c>
      <c r="N62" s="14" t="inlineStr">
        <is>
          <t>Passed on test</t>
        </is>
      </c>
      <c r="O62" s="14" t="inlineStr">
        <is>
          <t>Passed on test</t>
        </is>
      </c>
      <c r="P62" s="14" t="inlineStr">
        <is>
          <t>Passed on test</t>
        </is>
      </c>
      <c r="Q62" s="14" t="inlineStr">
        <is>
          <t>Passed on test</t>
        </is>
      </c>
      <c r="R62" s="14" t="inlineStr">
        <is>
          <t>Passed on test</t>
        </is>
      </c>
      <c r="S62" s="14" t="inlineStr">
        <is>
          <t>Passed on test</t>
        </is>
      </c>
      <c r="T62" s="14" t="inlineStr">
        <is>
          <t>Passed on test</t>
        </is>
      </c>
      <c r="U62" s="14" t="inlineStr">
        <is>
          <t>Passed on test</t>
        </is>
      </c>
      <c r="V62" s="14" t="inlineStr">
        <is>
          <t>Passed on test</t>
        </is>
      </c>
      <c r="W62" s="14" t="inlineStr">
        <is>
          <t>Passed on test</t>
        </is>
      </c>
      <c r="X62" s="14" t="inlineStr">
        <is>
          <t>Passed on test</t>
        </is>
      </c>
      <c r="Y62" s="14" t="inlineStr">
        <is>
          <t>Passed on test</t>
        </is>
      </c>
      <c r="Z62" s="14" t="inlineStr">
        <is>
          <t>Passed on test</t>
        </is>
      </c>
      <c r="AA62" s="14" t="inlineStr">
        <is>
          <t>Passed on test</t>
        </is>
      </c>
      <c r="AB62" s="14" t="inlineStr">
        <is>
          <t>Passed on test</t>
        </is>
      </c>
    </row>
    <row r="63">
      <c r="A63" s="2" t="inlineStr">
        <is>
          <t>issue_977</t>
        </is>
      </c>
      <c r="B63" s="13" t="inlineStr">
        <is>
          <t>NOT_TESTED</t>
        </is>
      </c>
      <c r="C63" s="13" t="inlineStr">
        <is>
          <t>NOT_TESTED</t>
        </is>
      </c>
      <c r="D63" s="13" t="inlineStr">
        <is>
          <t>NOT_TESTED</t>
        </is>
      </c>
      <c r="E63" s="13" t="inlineStr">
        <is>
          <t>NOT_TESTED</t>
        </is>
      </c>
      <c r="F63" s="16" t="inlineStr">
        <is>
          <t>Runtime error</t>
        </is>
      </c>
      <c r="G63" s="16" t="inlineStr">
        <is>
          <t>Runtime error</t>
        </is>
      </c>
      <c r="H63" s="16" t="inlineStr">
        <is>
          <t>Runtime error</t>
        </is>
      </c>
      <c r="I63" s="16" t="inlineStr">
        <is>
          <t>Runtime error</t>
        </is>
      </c>
      <c r="J63" s="16" t="inlineStr">
        <is>
          <t>Runtime error</t>
        </is>
      </c>
      <c r="K63" s="16" t="inlineStr">
        <is>
          <t>Runtime error</t>
        </is>
      </c>
      <c r="L63" s="16" t="inlineStr">
        <is>
          <t>Runtime error</t>
        </is>
      </c>
      <c r="M63" s="16" t="inlineStr">
        <is>
          <t>Runtime error</t>
        </is>
      </c>
      <c r="N63" s="16" t="inlineStr">
        <is>
          <t>Runtime error</t>
        </is>
      </c>
      <c r="O63" s="16" t="inlineStr">
        <is>
          <t>Runtime error</t>
        </is>
      </c>
      <c r="P63" s="16" t="inlineStr">
        <is>
          <t>Runtime error</t>
        </is>
      </c>
      <c r="Q63" s="16" t="inlineStr">
        <is>
          <t>Runtime error</t>
        </is>
      </c>
      <c r="R63" s="16" t="inlineStr">
        <is>
          <t>Runtime error</t>
        </is>
      </c>
      <c r="S63" s="16" t="inlineStr">
        <is>
          <t>Runtime error</t>
        </is>
      </c>
      <c r="T63" s="16" t="inlineStr">
        <is>
          <t>Runtime error</t>
        </is>
      </c>
      <c r="U63" s="16" t="inlineStr">
        <is>
          <t>Runtime error</t>
        </is>
      </c>
      <c r="V63" s="16" t="inlineStr">
        <is>
          <t>Runtime error</t>
        </is>
      </c>
      <c r="W63" s="16" t="inlineStr">
        <is>
          <t>Runtime error</t>
        </is>
      </c>
      <c r="X63" s="16" t="inlineStr">
        <is>
          <t>Runtime error</t>
        </is>
      </c>
      <c r="Y63" s="16" t="inlineStr">
        <is>
          <t>Runtime error</t>
        </is>
      </c>
      <c r="Z63" s="16" t="inlineStr">
        <is>
          <t>Runtime error</t>
        </is>
      </c>
      <c r="AA63" s="16" t="inlineStr">
        <is>
          <t>Runtime error</t>
        </is>
      </c>
      <c r="AB63" s="16" t="inlineStr">
        <is>
          <t>Runtime error</t>
        </is>
      </c>
    </row>
    <row r="64">
      <c r="A64" s="2" t="inlineStr">
        <is>
          <t>issue_985</t>
        </is>
      </c>
      <c r="B64" s="13" t="inlineStr">
        <is>
          <t>NOT_TESTED</t>
        </is>
      </c>
      <c r="C64" s="13" t="inlineStr">
        <is>
          <t>NOT_TESTED</t>
        </is>
      </c>
      <c r="D64" s="13" t="inlineStr">
        <is>
          <t>NOT_TESTED</t>
        </is>
      </c>
      <c r="E64" s="13" t="inlineStr">
        <is>
          <t>NOT_TESTED</t>
        </is>
      </c>
      <c r="F64" s="15" t="inlineStr">
        <is>
          <t>Passed on test</t>
        </is>
      </c>
      <c r="G64" s="15" t="inlineStr">
        <is>
          <t>Passed on test</t>
        </is>
      </c>
      <c r="H64" s="15" t="inlineStr">
        <is>
          <t>Passed on test</t>
        </is>
      </c>
      <c r="I64" s="15" t="inlineStr">
        <is>
          <t>Passed on test</t>
        </is>
      </c>
      <c r="J64" s="15" t="inlineStr">
        <is>
          <t>Passed on test</t>
        </is>
      </c>
      <c r="K64" s="15" t="inlineStr">
        <is>
          <t>Passed on test</t>
        </is>
      </c>
      <c r="L64" s="15" t="inlineStr">
        <is>
          <t>Passed on test</t>
        </is>
      </c>
      <c r="M64" s="15" t="inlineStr">
        <is>
          <t>Passed on test</t>
        </is>
      </c>
      <c r="N64" s="15" t="inlineStr">
        <is>
          <t>Passed on test</t>
        </is>
      </c>
      <c r="O64" s="15" t="inlineStr">
        <is>
          <t>Passed on test</t>
        </is>
      </c>
      <c r="P64" s="15" t="inlineStr">
        <is>
          <t>Passed on test</t>
        </is>
      </c>
      <c r="Q64" s="15" t="inlineStr">
        <is>
          <t>Passed on test</t>
        </is>
      </c>
      <c r="R64" s="15" t="inlineStr">
        <is>
          <t>Passed on test</t>
        </is>
      </c>
      <c r="S64" s="15" t="inlineStr">
        <is>
          <t>Passed on test</t>
        </is>
      </c>
      <c r="T64" s="15" t="inlineStr">
        <is>
          <t>Passed on test</t>
        </is>
      </c>
      <c r="U64" s="15" t="inlineStr">
        <is>
          <t>Passed on test</t>
        </is>
      </c>
      <c r="V64" s="15" t="inlineStr">
        <is>
          <t>Passed on test</t>
        </is>
      </c>
      <c r="W64" s="15" t="inlineStr">
        <is>
          <t>Passed on test</t>
        </is>
      </c>
      <c r="X64" s="15" t="inlineStr">
        <is>
          <t>Passed on test</t>
        </is>
      </c>
      <c r="Y64" s="15" t="inlineStr">
        <is>
          <t>Passed on test</t>
        </is>
      </c>
      <c r="Z64" s="15" t="inlineStr">
        <is>
          <t>Passed on test</t>
        </is>
      </c>
      <c r="AA64" s="15" t="inlineStr">
        <is>
          <t>Passed on test</t>
        </is>
      </c>
      <c r="AB64" s="15" t="inlineStr">
        <is>
          <t>Passed on test</t>
        </is>
      </c>
    </row>
    <row r="65">
      <c r="A65" s="2" t="inlineStr">
        <is>
          <t>issue_989</t>
        </is>
      </c>
      <c r="B65" s="13" t="inlineStr">
        <is>
          <t>NOT_TESTED</t>
        </is>
      </c>
      <c r="C65" s="13" t="inlineStr">
        <is>
          <t>NOT_TESTED</t>
        </is>
      </c>
      <c r="D65" s="13" t="inlineStr">
        <is>
          <t>NOT_TESTED</t>
        </is>
      </c>
      <c r="E65" s="13" t="inlineStr">
        <is>
          <t>NOT_TESTED</t>
        </is>
      </c>
      <c r="F65" s="13" t="inlineStr">
        <is>
          <t>NOT_TESTED</t>
        </is>
      </c>
      <c r="G65" s="13" t="inlineStr">
        <is>
          <t>NOT_TESTED</t>
        </is>
      </c>
      <c r="H65" s="13" t="inlineStr">
        <is>
          <t>NOT_TESTED</t>
        </is>
      </c>
      <c r="I65" s="13" t="inlineStr">
        <is>
          <t>NOT_TESTED</t>
        </is>
      </c>
      <c r="J65" s="13" t="inlineStr">
        <is>
          <t>NOT_TESTED</t>
        </is>
      </c>
      <c r="K65" s="13" t="inlineStr">
        <is>
          <t>NOT_TESTED</t>
        </is>
      </c>
      <c r="L65" s="13" t="inlineStr">
        <is>
          <t>NOT_TESTED</t>
        </is>
      </c>
      <c r="M65" s="13" t="inlineStr">
        <is>
          <t>NOT_TESTED</t>
        </is>
      </c>
      <c r="N65" s="16" t="inlineStr">
        <is>
          <t>Passed on test</t>
        </is>
      </c>
      <c r="O65" s="16" t="inlineStr">
        <is>
          <t>Passed on test</t>
        </is>
      </c>
      <c r="P65" s="16" t="inlineStr">
        <is>
          <t>Passed on test</t>
        </is>
      </c>
      <c r="Q65" s="16" t="inlineStr">
        <is>
          <t>Passed on test</t>
        </is>
      </c>
      <c r="R65" s="16" t="inlineStr">
        <is>
          <t>Passed on test</t>
        </is>
      </c>
      <c r="S65" s="16" t="inlineStr">
        <is>
          <t>Passed on test</t>
        </is>
      </c>
      <c r="T65" s="16" t="inlineStr">
        <is>
          <t>Passed on test</t>
        </is>
      </c>
      <c r="U65" s="16" t="inlineStr">
        <is>
          <t>Passed on test</t>
        </is>
      </c>
      <c r="V65" s="16" t="inlineStr">
        <is>
          <t>Passed on test</t>
        </is>
      </c>
      <c r="W65" s="16" t="inlineStr">
        <is>
          <t>Passed on test</t>
        </is>
      </c>
      <c r="X65" s="16" t="inlineStr">
        <is>
          <t>Passed on test</t>
        </is>
      </c>
      <c r="Y65" s="16" t="inlineStr">
        <is>
          <t>Passed on test</t>
        </is>
      </c>
      <c r="Z65" s="16" t="inlineStr">
        <is>
          <t>Passed on test</t>
        </is>
      </c>
      <c r="AA65" s="16" t="inlineStr">
        <is>
          <t>Passed on test</t>
        </is>
      </c>
      <c r="AB65" s="16" t="inlineStr">
        <is>
          <t>Passed on test</t>
        </is>
      </c>
    </row>
    <row r="66">
      <c r="A66" s="2" t="inlineStr">
        <is>
          <t>issue_994</t>
        </is>
      </c>
      <c r="B66" s="16" t="inlineStr">
        <is>
          <t>Runtime error</t>
        </is>
      </c>
      <c r="C66" s="16" t="inlineStr">
        <is>
          <t>Runtime error</t>
        </is>
      </c>
      <c r="D66" s="16" t="inlineStr">
        <is>
          <t>Runtime error</t>
        </is>
      </c>
      <c r="E66" s="16" t="inlineStr">
        <is>
          <t>Runtime error</t>
        </is>
      </c>
      <c r="F66" s="13" t="inlineStr">
        <is>
          <t>NOT_TESTED</t>
        </is>
      </c>
      <c r="G66" s="13" t="inlineStr">
        <is>
          <t>NOT_TESTED</t>
        </is>
      </c>
      <c r="H66" s="13" t="inlineStr">
        <is>
          <t>NOT_TESTED</t>
        </is>
      </c>
      <c r="I66" s="13" t="inlineStr">
        <is>
          <t>NOT_TESTED</t>
        </is>
      </c>
      <c r="J66" s="13" t="inlineStr">
        <is>
          <t>NOT_TESTED</t>
        </is>
      </c>
      <c r="K66" s="13" t="inlineStr">
        <is>
          <t>NOT_TESTED</t>
        </is>
      </c>
      <c r="L66" s="13" t="inlineStr">
        <is>
          <t>NOT_TESTED</t>
        </is>
      </c>
      <c r="M66" s="13" t="inlineStr">
        <is>
          <t>NOT_TESTED</t>
        </is>
      </c>
      <c r="N66" s="13" t="inlineStr">
        <is>
          <t>NOT_TESTED</t>
        </is>
      </c>
      <c r="O66" s="13" t="inlineStr">
        <is>
          <t>NOT_TESTED</t>
        </is>
      </c>
      <c r="P66" s="13" t="inlineStr">
        <is>
          <t>NOT_TESTED</t>
        </is>
      </c>
      <c r="Q66" s="13" t="inlineStr">
        <is>
          <t>NOT_TESTED</t>
        </is>
      </c>
      <c r="R66" s="13" t="inlineStr">
        <is>
          <t>NOT_TESTED</t>
        </is>
      </c>
      <c r="S66" s="13" t="inlineStr">
        <is>
          <t>NOT_TESTED</t>
        </is>
      </c>
      <c r="T66" s="13" t="inlineStr">
        <is>
          <t>NOT_TESTED</t>
        </is>
      </c>
      <c r="U66" s="13" t="inlineStr">
        <is>
          <t>NOT_TESTED</t>
        </is>
      </c>
      <c r="V66" s="13" t="inlineStr">
        <is>
          <t>NOT_TESTED</t>
        </is>
      </c>
      <c r="W66" s="13" t="inlineStr">
        <is>
          <t>NOT_TESTED</t>
        </is>
      </c>
      <c r="X66" s="13" t="inlineStr">
        <is>
          <t>NOT_TESTED</t>
        </is>
      </c>
      <c r="Y66" s="13" t="inlineStr">
        <is>
          <t>NOT_TESTED</t>
        </is>
      </c>
      <c r="Z66" s="13" t="inlineStr">
        <is>
          <t>NOT_TESTED</t>
        </is>
      </c>
      <c r="AA66" s="13" t="inlineStr">
        <is>
          <t>NOT_TESTED</t>
        </is>
      </c>
      <c r="AB66" s="13" t="inlineStr">
        <is>
          <t>NOT_TESTED</t>
        </is>
      </c>
    </row>
    <row r="67">
      <c r="A67" s="2" t="inlineStr">
        <is>
          <t>issue_1035</t>
        </is>
      </c>
      <c r="B67" s="13" t="inlineStr">
        <is>
          <t>NOT_TESTED</t>
        </is>
      </c>
      <c r="C67" s="13" t="inlineStr">
        <is>
          <t>NOT_TESTED</t>
        </is>
      </c>
      <c r="D67" s="13" t="inlineStr">
        <is>
          <t>NOT_TESTED</t>
        </is>
      </c>
      <c r="E67" s="13" t="inlineStr">
        <is>
          <t>NOT_TESTED</t>
        </is>
      </c>
      <c r="F67" s="15" t="inlineStr">
        <is>
          <t>Failed on test</t>
        </is>
      </c>
      <c r="G67" s="15" t="inlineStr">
        <is>
          <t>Failed on test</t>
        </is>
      </c>
      <c r="H67" s="15" t="inlineStr">
        <is>
          <t>Failed on test</t>
        </is>
      </c>
      <c r="I67" s="15" t="inlineStr">
        <is>
          <t>Failed on test</t>
        </is>
      </c>
      <c r="J67" s="15" t="inlineStr">
        <is>
          <t>Failed on test</t>
        </is>
      </c>
      <c r="K67" s="15" t="inlineStr">
        <is>
          <t>Failed on test</t>
        </is>
      </c>
      <c r="L67" s="15" t="inlineStr">
        <is>
          <t>Failed on test</t>
        </is>
      </c>
      <c r="M67" s="15" t="inlineStr">
        <is>
          <t>Failed on test</t>
        </is>
      </c>
      <c r="N67" s="13" t="inlineStr">
        <is>
          <t>NOT_TESTED</t>
        </is>
      </c>
      <c r="O67" s="13" t="inlineStr">
        <is>
          <t>NOT_TESTED</t>
        </is>
      </c>
      <c r="P67" s="13" t="inlineStr">
        <is>
          <t>NOT_TESTED</t>
        </is>
      </c>
      <c r="Q67" s="13" t="inlineStr">
        <is>
          <t>NOT_TESTED</t>
        </is>
      </c>
      <c r="R67" s="13" t="inlineStr">
        <is>
          <t>NOT_TESTED</t>
        </is>
      </c>
      <c r="S67" s="13" t="inlineStr">
        <is>
          <t>NOT_TESTED</t>
        </is>
      </c>
      <c r="T67" s="13" t="inlineStr">
        <is>
          <t>NOT_TESTED</t>
        </is>
      </c>
      <c r="U67" s="13" t="inlineStr">
        <is>
          <t>NOT_TESTED</t>
        </is>
      </c>
      <c r="V67" s="13" t="inlineStr">
        <is>
          <t>NOT_TESTED</t>
        </is>
      </c>
      <c r="W67" s="13" t="inlineStr">
        <is>
          <t>NOT_TESTED</t>
        </is>
      </c>
      <c r="X67" s="13" t="inlineStr">
        <is>
          <t>NOT_TESTED</t>
        </is>
      </c>
      <c r="Y67" s="13" t="inlineStr">
        <is>
          <t>NOT_TESTED</t>
        </is>
      </c>
      <c r="Z67" s="13" t="inlineStr">
        <is>
          <t>NOT_TESTED</t>
        </is>
      </c>
      <c r="AA67" s="13" t="inlineStr">
        <is>
          <t>NOT_TESTED</t>
        </is>
      </c>
      <c r="AB67" s="13" t="inlineStr">
        <is>
          <t>NOT_TESTED</t>
        </is>
      </c>
    </row>
    <row r="68">
      <c r="A68" s="2" t="inlineStr">
        <is>
          <t>issue_772</t>
        </is>
      </c>
      <c r="B68" s="16" t="inlineStr">
        <is>
          <t>Passed on test</t>
        </is>
      </c>
      <c r="C68" s="16" t="inlineStr">
        <is>
          <t>Passed on test</t>
        </is>
      </c>
      <c r="D68" s="16" t="inlineStr">
        <is>
          <t>Passed on test</t>
        </is>
      </c>
      <c r="E68" s="16" t="inlineStr">
        <is>
          <t>Passed on test</t>
        </is>
      </c>
      <c r="F68" s="16" t="inlineStr">
        <is>
          <t>Passed on test</t>
        </is>
      </c>
      <c r="G68" s="16" t="inlineStr">
        <is>
          <t>Passed on test</t>
        </is>
      </c>
      <c r="H68" s="16" t="inlineStr">
        <is>
          <t>Passed on test</t>
        </is>
      </c>
      <c r="I68" s="16" t="inlineStr">
        <is>
          <t>Passed on test</t>
        </is>
      </c>
      <c r="J68" s="16" t="inlineStr">
        <is>
          <t>Passed on test</t>
        </is>
      </c>
      <c r="K68" s="16" t="inlineStr">
        <is>
          <t>Passed on test</t>
        </is>
      </c>
      <c r="L68" s="16" t="inlineStr">
        <is>
          <t>Passed on test</t>
        </is>
      </c>
      <c r="M68" s="16" t="inlineStr">
        <is>
          <t>Passed on test</t>
        </is>
      </c>
      <c r="N68" s="13" t="inlineStr">
        <is>
          <t>NOT_TESTED</t>
        </is>
      </c>
      <c r="O68" s="13" t="inlineStr">
        <is>
          <t>NOT_TESTED</t>
        </is>
      </c>
      <c r="P68" s="13" t="inlineStr">
        <is>
          <t>NOT_TESTED</t>
        </is>
      </c>
      <c r="Q68" s="13" t="inlineStr">
        <is>
          <t>NOT_TESTED</t>
        </is>
      </c>
      <c r="R68" s="13" t="inlineStr">
        <is>
          <t>NOT_TESTED</t>
        </is>
      </c>
      <c r="S68" s="13" t="inlineStr">
        <is>
          <t>NOT_TESTED</t>
        </is>
      </c>
      <c r="T68" s="13" t="inlineStr">
        <is>
          <t>NOT_TESTED</t>
        </is>
      </c>
      <c r="U68" s="13" t="inlineStr">
        <is>
          <t>NOT_TESTED</t>
        </is>
      </c>
      <c r="V68" s="13" t="inlineStr">
        <is>
          <t>NOT_TESTED</t>
        </is>
      </c>
      <c r="W68" s="13" t="inlineStr">
        <is>
          <t>NOT_TESTED</t>
        </is>
      </c>
      <c r="X68" s="13" t="inlineStr">
        <is>
          <t>NOT_TESTED</t>
        </is>
      </c>
      <c r="Y68" s="13" t="inlineStr">
        <is>
          <t>NOT_TESTED</t>
        </is>
      </c>
      <c r="Z68" s="13" t="inlineStr">
        <is>
          <t>NOT_TESTED</t>
        </is>
      </c>
      <c r="AA68" s="13" t="inlineStr">
        <is>
          <t>NOT_TESTED</t>
        </is>
      </c>
      <c r="AB68" s="13" t="inlineStr">
        <is>
          <t>NOT_TESTED</t>
        </is>
      </c>
    </row>
    <row r="69">
      <c r="A69" s="2" t="inlineStr">
        <is>
          <t>issue_790</t>
        </is>
      </c>
      <c r="B69" s="13" t="inlineStr">
        <is>
          <t>NOT_TESTED</t>
        </is>
      </c>
      <c r="C69" s="13" t="inlineStr">
        <is>
          <t>NOT_TESTED</t>
        </is>
      </c>
      <c r="D69" s="13" t="inlineStr">
        <is>
          <t>NOT_TESTED</t>
        </is>
      </c>
      <c r="E69" s="13" t="inlineStr">
        <is>
          <t>NOT_TESTED</t>
        </is>
      </c>
      <c r="F69" s="15" t="inlineStr">
        <is>
          <t>Failed on test</t>
        </is>
      </c>
      <c r="G69" s="15" t="inlineStr">
        <is>
          <t>Failed on test</t>
        </is>
      </c>
      <c r="H69" s="15" t="inlineStr">
        <is>
          <t>Failed on test</t>
        </is>
      </c>
      <c r="I69" s="15" t="inlineStr">
        <is>
          <t>Failed on test</t>
        </is>
      </c>
      <c r="J69" s="15" t="inlineStr">
        <is>
          <t>Failed on test</t>
        </is>
      </c>
      <c r="K69" s="15" t="inlineStr">
        <is>
          <t>Failed on test</t>
        </is>
      </c>
      <c r="L69" s="15" t="inlineStr">
        <is>
          <t>Failed on test</t>
        </is>
      </c>
      <c r="M69" s="15" t="inlineStr">
        <is>
          <t>Failed on test</t>
        </is>
      </c>
      <c r="N69" s="15" t="inlineStr">
        <is>
          <t>Failed on test</t>
        </is>
      </c>
      <c r="O69" s="15" t="inlineStr">
        <is>
          <t>Failed on test</t>
        </is>
      </c>
      <c r="P69" s="15" t="inlineStr">
        <is>
          <t>Failed on test</t>
        </is>
      </c>
      <c r="Q69" s="15" t="inlineStr">
        <is>
          <t>Failed on test</t>
        </is>
      </c>
      <c r="R69" s="15" t="inlineStr">
        <is>
          <t>Failed on test</t>
        </is>
      </c>
      <c r="S69" s="15" t="inlineStr">
        <is>
          <t>Failed on test</t>
        </is>
      </c>
      <c r="T69" s="15" t="inlineStr">
        <is>
          <t>Failed on test</t>
        </is>
      </c>
      <c r="U69" s="15" t="inlineStr">
        <is>
          <t>Failed on test</t>
        </is>
      </c>
      <c r="V69" s="15" t="inlineStr">
        <is>
          <t>Failed on test</t>
        </is>
      </c>
      <c r="W69" s="15" t="inlineStr">
        <is>
          <t>Failed on test</t>
        </is>
      </c>
      <c r="X69" s="15" t="inlineStr">
        <is>
          <t>Failed on test</t>
        </is>
      </c>
      <c r="Y69" s="15" t="inlineStr">
        <is>
          <t>Failed on test</t>
        </is>
      </c>
      <c r="Z69" s="15" t="inlineStr">
        <is>
          <t>Failed on test</t>
        </is>
      </c>
      <c r="AA69" s="15" t="inlineStr">
        <is>
          <t>Failed on test</t>
        </is>
      </c>
      <c r="AB69" s="15" t="inlineStr">
        <is>
          <t>Failed on test</t>
        </is>
      </c>
    </row>
    <row r="70">
      <c r="A70" s="2" t="inlineStr">
        <is>
          <t>issue_827</t>
        </is>
      </c>
      <c r="B70" s="14" t="inlineStr">
        <is>
          <t>Runtime error</t>
        </is>
      </c>
      <c r="C70" s="14" t="inlineStr">
        <is>
          <t>Runtime error</t>
        </is>
      </c>
      <c r="D70" s="14" t="inlineStr">
        <is>
          <t>Runtime error</t>
        </is>
      </c>
      <c r="E70" s="14" t="inlineStr">
        <is>
          <t>Runtime error</t>
        </is>
      </c>
      <c r="F70" s="14" t="inlineStr">
        <is>
          <t>Runtime error</t>
        </is>
      </c>
      <c r="G70" s="14" t="inlineStr">
        <is>
          <t>Runtime error</t>
        </is>
      </c>
      <c r="H70" s="14" t="inlineStr">
        <is>
          <t>Runtime error</t>
        </is>
      </c>
      <c r="I70" s="14" t="inlineStr">
        <is>
          <t>Runtime error</t>
        </is>
      </c>
      <c r="J70" s="14" t="inlineStr">
        <is>
          <t>Runtime error</t>
        </is>
      </c>
      <c r="K70" s="14" t="inlineStr">
        <is>
          <t>Runtime error</t>
        </is>
      </c>
      <c r="L70" s="14" t="inlineStr">
        <is>
          <t>Runtime error</t>
        </is>
      </c>
      <c r="M70" s="14" t="inlineStr">
        <is>
          <t>Runtime error</t>
        </is>
      </c>
      <c r="N70" s="13" t="inlineStr">
        <is>
          <t>NOT_TESTED</t>
        </is>
      </c>
      <c r="O70" s="13" t="inlineStr">
        <is>
          <t>NOT_TESTED</t>
        </is>
      </c>
      <c r="P70" s="13" t="inlineStr">
        <is>
          <t>NOT_TESTED</t>
        </is>
      </c>
      <c r="Q70" s="13" t="inlineStr">
        <is>
          <t>NOT_TESTED</t>
        </is>
      </c>
      <c r="R70" s="13" t="inlineStr">
        <is>
          <t>NOT_TESTED</t>
        </is>
      </c>
      <c r="S70" s="13" t="inlineStr">
        <is>
          <t>NOT_TESTED</t>
        </is>
      </c>
      <c r="T70" s="13" t="inlineStr">
        <is>
          <t>NOT_TESTED</t>
        </is>
      </c>
      <c r="U70" s="13" t="inlineStr">
        <is>
          <t>NOT_TESTED</t>
        </is>
      </c>
      <c r="V70" s="13" t="inlineStr">
        <is>
          <t>NOT_TESTED</t>
        </is>
      </c>
      <c r="W70" s="13" t="inlineStr">
        <is>
          <t>NOT_TESTED</t>
        </is>
      </c>
      <c r="X70" s="13" t="inlineStr">
        <is>
          <t>NOT_TESTED</t>
        </is>
      </c>
      <c r="Y70" s="13" t="inlineStr">
        <is>
          <t>NOT_TESTED</t>
        </is>
      </c>
      <c r="Z70" s="13" t="inlineStr">
        <is>
          <t>NOT_TESTED</t>
        </is>
      </c>
      <c r="AA70" s="13" t="inlineStr">
        <is>
          <t>NOT_TESTED</t>
        </is>
      </c>
      <c r="AB70" s="13" t="inlineStr">
        <is>
          <t>NOT_TESTED</t>
        </is>
      </c>
    </row>
    <row r="71">
      <c r="A71" s="2" t="inlineStr">
        <is>
          <t>issue_858</t>
        </is>
      </c>
      <c r="B71" s="13" t="inlineStr">
        <is>
          <t>NOT_TESTED</t>
        </is>
      </c>
      <c r="C71" s="13" t="inlineStr">
        <is>
          <t>NOT_TESTED</t>
        </is>
      </c>
      <c r="D71" s="13" t="inlineStr">
        <is>
          <t>NOT_TESTED</t>
        </is>
      </c>
      <c r="E71" s="13" t="inlineStr">
        <is>
          <t>NOT_TESTED</t>
        </is>
      </c>
      <c r="F71" s="14" t="inlineStr">
        <is>
          <t>Runtime error</t>
        </is>
      </c>
      <c r="G71" s="14" t="inlineStr">
        <is>
          <t>Runtime error</t>
        </is>
      </c>
      <c r="H71" s="14" t="inlineStr">
        <is>
          <t>Runtime error</t>
        </is>
      </c>
      <c r="I71" s="14" t="inlineStr">
        <is>
          <t>Runtime error</t>
        </is>
      </c>
      <c r="J71" s="14" t="inlineStr">
        <is>
          <t>Runtime error</t>
        </is>
      </c>
      <c r="K71" s="14" t="inlineStr">
        <is>
          <t>Runtime error</t>
        </is>
      </c>
      <c r="L71" s="14" t="inlineStr">
        <is>
          <t>Runtime error</t>
        </is>
      </c>
      <c r="M71" s="14" t="inlineStr">
        <is>
          <t>Runtime error</t>
        </is>
      </c>
      <c r="N71" s="13" t="inlineStr">
        <is>
          <t>NOT_TESTED</t>
        </is>
      </c>
      <c r="O71" s="13" t="inlineStr">
        <is>
          <t>NOT_TESTED</t>
        </is>
      </c>
      <c r="P71" s="13" t="inlineStr">
        <is>
          <t>NOT_TESTED</t>
        </is>
      </c>
      <c r="Q71" s="13" t="inlineStr">
        <is>
          <t>NOT_TESTED</t>
        </is>
      </c>
      <c r="R71" s="13" t="inlineStr">
        <is>
          <t>NOT_TESTED</t>
        </is>
      </c>
      <c r="S71" s="13" t="inlineStr">
        <is>
          <t>NOT_TESTED</t>
        </is>
      </c>
      <c r="T71" s="13" t="inlineStr">
        <is>
          <t>NOT_TESTED</t>
        </is>
      </c>
      <c r="U71" s="13" t="inlineStr">
        <is>
          <t>NOT_TESTED</t>
        </is>
      </c>
      <c r="V71" s="13" t="inlineStr">
        <is>
          <t>NOT_TESTED</t>
        </is>
      </c>
      <c r="W71" s="13" t="inlineStr">
        <is>
          <t>NOT_TESTED</t>
        </is>
      </c>
      <c r="X71" s="13" t="inlineStr">
        <is>
          <t>NOT_TESTED</t>
        </is>
      </c>
      <c r="Y71" s="13" t="inlineStr">
        <is>
          <t>NOT_TESTED</t>
        </is>
      </c>
      <c r="Z71" s="13" t="inlineStr">
        <is>
          <t>NOT_TESTED</t>
        </is>
      </c>
      <c r="AA71" s="13" t="inlineStr">
        <is>
          <t>NOT_TESTED</t>
        </is>
      </c>
      <c r="AB71" s="13" t="inlineStr">
        <is>
          <t>NOT_TESTED</t>
        </is>
      </c>
    </row>
    <row r="72">
      <c r="A72" s="2" t="inlineStr">
        <is>
          <t>issue_901</t>
        </is>
      </c>
      <c r="B72" s="13" t="inlineStr">
        <is>
          <t>NOT_TESTED</t>
        </is>
      </c>
      <c r="C72" s="13" t="inlineStr">
        <is>
          <t>NOT_TESTED</t>
        </is>
      </c>
      <c r="D72" s="13" t="inlineStr">
        <is>
          <t>NOT_TESTED</t>
        </is>
      </c>
      <c r="E72" s="13" t="inlineStr">
        <is>
          <t>NOT_TESTED</t>
        </is>
      </c>
      <c r="F72" s="16" t="inlineStr">
        <is>
          <t>Passed on test</t>
        </is>
      </c>
      <c r="G72" s="16" t="inlineStr">
        <is>
          <t>Passed on test</t>
        </is>
      </c>
      <c r="H72" s="16" t="inlineStr">
        <is>
          <t>Passed on test</t>
        </is>
      </c>
      <c r="I72" s="16" t="inlineStr">
        <is>
          <t>Passed on test</t>
        </is>
      </c>
      <c r="J72" s="16" t="inlineStr">
        <is>
          <t>Passed on test</t>
        </is>
      </c>
      <c r="K72" s="16" t="inlineStr">
        <is>
          <t>Passed on test</t>
        </is>
      </c>
      <c r="L72" s="16" t="inlineStr">
        <is>
          <t>Passed on test</t>
        </is>
      </c>
      <c r="M72" s="16" t="inlineStr">
        <is>
          <t>Passed on test</t>
        </is>
      </c>
      <c r="N72" s="16" t="inlineStr">
        <is>
          <t>Passed on test</t>
        </is>
      </c>
      <c r="O72" s="16" t="inlineStr">
        <is>
          <t>Passed on test</t>
        </is>
      </c>
      <c r="P72" s="16" t="inlineStr">
        <is>
          <t>Passed on test</t>
        </is>
      </c>
      <c r="Q72" s="16" t="inlineStr">
        <is>
          <t>Passed on test</t>
        </is>
      </c>
      <c r="R72" s="16" t="inlineStr">
        <is>
          <t>Passed on test</t>
        </is>
      </c>
      <c r="S72" s="16" t="inlineStr">
        <is>
          <t>Passed on test</t>
        </is>
      </c>
      <c r="T72" s="16" t="inlineStr">
        <is>
          <t>Passed on test</t>
        </is>
      </c>
      <c r="U72" s="16" t="inlineStr">
        <is>
          <t>Passed on test</t>
        </is>
      </c>
      <c r="V72" s="16" t="inlineStr">
        <is>
          <t>Passed on test</t>
        </is>
      </c>
      <c r="W72" s="16" t="inlineStr">
        <is>
          <t>Passed on test</t>
        </is>
      </c>
      <c r="X72" s="16" t="inlineStr">
        <is>
          <t>Passed on test</t>
        </is>
      </c>
      <c r="Y72" s="13" t="inlineStr">
        <is>
          <t>NOT_TESTED</t>
        </is>
      </c>
      <c r="Z72" s="13" t="inlineStr">
        <is>
          <t>NOT_TESTED</t>
        </is>
      </c>
      <c r="AA72" s="13" t="inlineStr">
        <is>
          <t>NOT_TESTED</t>
        </is>
      </c>
      <c r="AB72" s="13" t="inlineStr">
        <is>
          <t>NOT_TESTED</t>
        </is>
      </c>
    </row>
    <row r="73">
      <c r="A73" s="2" t="inlineStr">
        <is>
          <t>issue_921</t>
        </is>
      </c>
      <c r="B73" s="14" t="inlineStr">
        <is>
          <t>Runtime error</t>
        </is>
      </c>
      <c r="C73" s="14" t="inlineStr">
        <is>
          <t>Runtime error</t>
        </is>
      </c>
      <c r="D73" s="14" t="inlineStr">
        <is>
          <t>Runtime error</t>
        </is>
      </c>
      <c r="E73" s="14" t="inlineStr">
        <is>
          <t>Runtime error</t>
        </is>
      </c>
      <c r="F73" s="13" t="inlineStr">
        <is>
          <t>NOT_TESTED</t>
        </is>
      </c>
      <c r="G73" s="13" t="inlineStr">
        <is>
          <t>NOT_TESTED</t>
        </is>
      </c>
      <c r="H73" s="13" t="inlineStr">
        <is>
          <t>NOT_TESTED</t>
        </is>
      </c>
      <c r="I73" s="13" t="inlineStr">
        <is>
          <t>NOT_TESTED</t>
        </is>
      </c>
      <c r="J73" s="13" t="inlineStr">
        <is>
          <t>NOT_TESTED</t>
        </is>
      </c>
      <c r="K73" s="13" t="inlineStr">
        <is>
          <t>NOT_TESTED</t>
        </is>
      </c>
      <c r="L73" s="13" t="inlineStr">
        <is>
          <t>NOT_TESTED</t>
        </is>
      </c>
      <c r="M73" s="13" t="inlineStr">
        <is>
          <t>NOT_TESTED</t>
        </is>
      </c>
      <c r="N73" s="13" t="inlineStr">
        <is>
          <t>NOT_TESTED</t>
        </is>
      </c>
      <c r="O73" s="13" t="inlineStr">
        <is>
          <t>NOT_TESTED</t>
        </is>
      </c>
      <c r="P73" s="13" t="inlineStr">
        <is>
          <t>NOT_TESTED</t>
        </is>
      </c>
      <c r="Q73" s="13" t="inlineStr">
        <is>
          <t>NOT_TESTED</t>
        </is>
      </c>
      <c r="R73" s="13" t="inlineStr">
        <is>
          <t>NOT_TESTED</t>
        </is>
      </c>
      <c r="S73" s="13" t="inlineStr">
        <is>
          <t>NOT_TESTED</t>
        </is>
      </c>
      <c r="T73" s="13" t="inlineStr">
        <is>
          <t>NOT_TESTED</t>
        </is>
      </c>
      <c r="U73" s="13" t="inlineStr">
        <is>
          <t>NOT_TESTED</t>
        </is>
      </c>
      <c r="V73" s="13" t="inlineStr">
        <is>
          <t>NOT_TESTED</t>
        </is>
      </c>
      <c r="W73" s="13" t="inlineStr">
        <is>
          <t>NOT_TESTED</t>
        </is>
      </c>
      <c r="X73" s="13" t="inlineStr">
        <is>
          <t>NOT_TESTED</t>
        </is>
      </c>
      <c r="Y73" s="13" t="inlineStr">
        <is>
          <t>NOT_TESTED</t>
        </is>
      </c>
      <c r="Z73" s="13" t="inlineStr">
        <is>
          <t>NOT_TESTED</t>
        </is>
      </c>
      <c r="AA73" s="13" t="inlineStr">
        <is>
          <t>NOT_TESTED</t>
        </is>
      </c>
      <c r="AB73" s="13" t="inlineStr">
        <is>
          <t>NOT_TESTED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2026-10-13T16:32:03Z</dcterms:created>
  <dcterms:modified xsi:type="dcterms:W3CDTF">2026-10-19T21:01:27Z</dcterms:modified>
</cp:coreProperties>
</file>