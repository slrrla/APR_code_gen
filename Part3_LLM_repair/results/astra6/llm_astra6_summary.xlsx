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tats &amp; Notes" sheetId="2" state="visible" r:id="rId2"/>
  </sheets>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font>
  </fonts>
  <fills count="7">
    <fill>
      <patternFill/>
    </fill>
    <fill>
      <patternFill patternType="gray125"/>
    </fill>
    <fill>
      <patternFill patternType="solid">
        <fgColor rgb="001F4E78"/>
      </patternFill>
    </fill>
    <fill>
      <patternFill patternType="solid">
        <fgColor rgb="00EDEDED"/>
      </patternFill>
    </fill>
    <fill>
      <patternFill patternType="solid">
        <fgColor rgb="00C6EFCE"/>
      </patternFill>
    </fill>
    <fill>
      <patternFill patternType="solid">
        <fgColor rgb="00FFC7CE"/>
      </patternFill>
    </fill>
    <fill>
      <patternFill patternType="solid">
        <fgColor rgb="00FFEB9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2" borderId="1" applyAlignment="1" pivotButton="0" quotePrefix="0" xfId="0">
      <alignment vertical="center" wrapText="1"/>
    </xf>
    <xf numFmtId="0" fontId="0" fillId="0" borderId="1" pivotButton="0" quotePrefix="0" xfId="0"/>
    <xf numFmtId="0" fontId="0" fillId="3" borderId="1" applyAlignment="1" pivotButton="0" quotePrefix="0" xfId="0">
      <alignment horizontal="center"/>
    </xf>
    <xf numFmtId="0" fontId="0" fillId="4" borderId="1" applyAlignment="1" pivotButton="0" quotePrefix="0" xfId="0">
      <alignment horizontal="center"/>
    </xf>
    <xf numFmtId="0" fontId="0" fillId="5" borderId="1" applyAlignment="1" pivotButton="0" quotePrefix="0" xfId="0">
      <alignment horizontal="center"/>
    </xf>
    <xf numFmtId="0" fontId="0" fillId="6" borderId="1" applyAlignment="1" pivotButton="0" quotePrefix="0" xfId="0">
      <alignment horizontal="center"/>
    </xf>
    <xf numFmtId="0" fontId="2" fillId="0" borderId="0" pivotButton="0" quotePrefix="0" xfId="0"/>
    <xf numFmtId="0" fontId="0" fillId="4" borderId="1" pivotButton="0" quotePrefix="0" xfId="0"/>
    <xf numFmtId="164" fontId="0" fillId="0" borderId="1" pivotButton="0" quotePrefix="0" xfId="0"/>
    <xf numFmtId="0" fontId="0" fillId="5" borderId="1" pivotButton="0" quotePrefix="0" xfId="0"/>
    <xf numFmtId="0" fontId="0" fillId="6" borderId="1" pivotButton="0" quotePrefix="0" xfId="0"/>
    <xf numFmtId="0" fontId="2" fillId="0" borderId="1" pivotButton="0" quotePrefix="0" xfId="0"/>
    <xf numFmtId="164" fontId="2" fillId="0"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E7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28" customWidth="1" min="29" max="29"/>
    <col width="28" customWidth="1" min="30" max="30"/>
    <col width="28" customWidth="1" min="31" max="31"/>
    <col width="28" customWidth="1" min="32" max="32"/>
    <col width="28" customWidth="1" min="33" max="33"/>
    <col width="28" customWidth="1" min="34" max="34"/>
    <col width="28" customWidth="1" min="35" max="35"/>
    <col width="28" customWidth="1" min="36" max="36"/>
    <col width="28" customWidth="1" min="37" max="37"/>
    <col width="28" customWidth="1" min="38" max="38"/>
    <col width="28" customWidth="1" min="39" max="39"/>
    <col width="28" customWidth="1" min="40" max="40"/>
    <col width="28" customWidth="1" min="41" max="41"/>
    <col width="28" customWidth="1" min="42" max="42"/>
    <col width="28" customWidth="1" min="43" max="43"/>
    <col width="28" customWidth="1" min="44" max="44"/>
    <col width="28" customWidth="1" min="45" max="45"/>
    <col width="28" customWidth="1" min="46" max="46"/>
    <col width="28" customWidth="1" min="47" max="47"/>
    <col width="28" customWidth="1" min="48" max="48"/>
    <col width="28" customWidth="1" min="49" max="49"/>
    <col width="28" customWidth="1" min="50" max="50"/>
    <col width="28" customWidth="1" min="51" max="51"/>
    <col width="28" customWidth="1" min="52" max="52"/>
    <col width="28" customWidth="1" min="53" max="53"/>
    <col width="28" customWidth="1" min="54" max="54"/>
    <col width="28" customWidth="1" min="55" max="55"/>
    <col width="28" customWidth="1" min="56" max="56"/>
    <col width="28" customWidth="1" min="57" max="57"/>
    <col width="28" customWidth="1" min="58" max="58"/>
    <col width="28" customWidth="1" min="59" max="59"/>
    <col width="28" customWidth="1" min="60" max="60"/>
    <col width="28" customWidth="1" min="61" max="61"/>
    <col width="28" customWidth="1" min="62" max="62"/>
    <col width="28" customWidth="1" min="63" max="63"/>
    <col width="28" customWidth="1" min="64" max="64"/>
    <col width="28" customWidth="1" min="65" max="65"/>
    <col width="28" customWidth="1" min="66" max="66"/>
    <col width="28" customWidth="1" min="67" max="67"/>
    <col width="28" customWidth="1" min="68" max="68"/>
    <col width="28" customWidth="1" min="69" max="69"/>
    <col width="28" customWidth="1" min="70" max="70"/>
    <col width="28" customWidth="1" min="71" max="71"/>
    <col width="28" customWidth="1" min="72" max="72"/>
    <col width="28" customWidth="1" min="73" max="73"/>
    <col width="28" customWidth="1" min="74" max="74"/>
    <col width="28" customWidth="1" min="75" max="75"/>
    <col width="28" customWidth="1" min="76" max="76"/>
    <col width="28" customWidth="1" min="77" max="77"/>
    <col width="28" customWidth="1" min="78" max="78"/>
    <col width="28" customWidth="1" min="79" max="79"/>
    <col width="28" customWidth="1" min="80" max="80"/>
    <col width="28" customWidth="1" min="81" max="81"/>
    <col width="28" customWidth="1" min="82" max="82"/>
    <col width="28" customWidth="1" min="83" max="83"/>
    <col width="28" customWidth="1" min="84" max="84"/>
    <col width="28" customWidth="1" min="85" max="85"/>
    <col width="28" customWidth="1" min="86" max="86"/>
    <col width="28" customWidth="1" min="87" max="87"/>
    <col width="28" customWidth="1" min="88" max="88"/>
    <col width="28" customWidth="1" min="89" max="89"/>
    <col width="28" customWidth="1" min="90" max="90"/>
    <col width="28" customWidth="1" min="91" max="91"/>
    <col width="28" customWidth="1" min="92" max="92"/>
    <col width="28" customWidth="1" min="93" max="93"/>
    <col width="28" customWidth="1" min="94" max="94"/>
    <col width="28" customWidth="1" min="95" max="95"/>
    <col width="28" customWidth="1" min="96" max="96"/>
    <col width="28" customWidth="1" min="97" max="97"/>
    <col width="28" customWidth="1" min="98" max="98"/>
    <col width="28" customWidth="1" min="99" max="99"/>
    <col width="28" customWidth="1" min="100" max="100"/>
    <col width="28" customWidth="1" min="101" max="101"/>
    <col width="28" customWidth="1" min="102" max="102"/>
    <col width="28" customWidth="1" min="103" max="103"/>
    <col width="28" customWidth="1" min="104" max="104"/>
    <col width="28" customWidth="1" min="105" max="105"/>
    <col width="28" customWidth="1" min="106" max="106"/>
    <col width="28" customWidth="1" min="107" max="107"/>
    <col width="28" customWidth="1" min="108" max="108"/>
    <col width="28" customWidth="1" min="109" max="109"/>
  </cols>
  <sheetData>
    <row r="1">
      <c r="A1" s="1" t="inlineStr">
        <is>
          <t>case_id</t>
        </is>
      </c>
      <c r="B1" s="1" t="inlineStr">
        <is>
          <t>0.25.0</t>
        </is>
      </c>
      <c r="C1" s="1" t="inlineStr">
        <is>
          <t>0.25.1</t>
        </is>
      </c>
      <c r="D1" s="1" t="inlineStr">
        <is>
          <t>0.25.2</t>
        </is>
      </c>
      <c r="E1" s="1" t="inlineStr">
        <is>
          <t>0.25.3</t>
        </is>
      </c>
      <c r="F1" s="1" t="inlineStr">
        <is>
          <t>0.45.0</t>
        </is>
      </c>
      <c r="G1" s="1" t="inlineStr">
        <is>
          <t>0.45.1</t>
        </is>
      </c>
      <c r="H1" s="1" t="inlineStr">
        <is>
          <t>0.45.2</t>
        </is>
      </c>
      <c r="I1" s="1" t="inlineStr">
        <is>
          <t>0.45.3</t>
        </is>
      </c>
      <c r="J1" s="1" t="inlineStr">
        <is>
          <t>0.46.0</t>
        </is>
      </c>
      <c r="K1" s="1" t="inlineStr">
        <is>
          <t>0.46.1</t>
        </is>
      </c>
      <c r="L1" s="1" t="inlineStr">
        <is>
          <t>0.46.2</t>
        </is>
      </c>
      <c r="M1" s="1" t="inlineStr">
        <is>
          <t>0.46.3</t>
        </is>
      </c>
      <c r="N1" s="1" t="inlineStr">
        <is>
          <t>1.0.0</t>
        </is>
      </c>
      <c r="O1" s="1" t="inlineStr">
        <is>
          <t>1.0.1</t>
        </is>
      </c>
      <c r="P1" s="1" t="inlineStr">
        <is>
          <t>1.0.2</t>
        </is>
      </c>
      <c r="Q1" s="1" t="inlineStr">
        <is>
          <t>1.1.0</t>
        </is>
      </c>
      <c r="R1" s="1" t="inlineStr">
        <is>
          <t>1.1.1</t>
        </is>
      </c>
      <c r="S1" s="1" t="inlineStr">
        <is>
          <t>1.1.2</t>
        </is>
      </c>
      <c r="T1" s="1" t="inlineStr">
        <is>
          <t>1.2.0</t>
        </is>
      </c>
      <c r="U1" s="1" t="inlineStr">
        <is>
          <t>1.2.1</t>
        </is>
      </c>
      <c r="V1" s="1" t="inlineStr">
        <is>
          <t>1.2.2</t>
        </is>
      </c>
      <c r="W1" s="1" t="inlineStr">
        <is>
          <t>1.2.4</t>
        </is>
      </c>
      <c r="X1" s="1" t="inlineStr">
        <is>
          <t>2.0.0</t>
        </is>
      </c>
      <c r="Y1" s="1" t="inlineStr">
        <is>
          <t>2.2.0</t>
        </is>
      </c>
      <c r="Z1" s="1" t="inlineStr">
        <is>
          <t>2.3.0</t>
        </is>
      </c>
      <c r="AA1" s="1" t="inlineStr">
        <is>
          <t>2.4.0</t>
        </is>
      </c>
      <c r="AB1" s="1" t="inlineStr">
        <is>
          <t>2.5.0</t>
        </is>
      </c>
      <c r="AC1" s="1" t="inlineStr">
        <is>
          <t>error_type_0.25.0</t>
        </is>
      </c>
      <c r="AD1" s="1" t="inlineStr">
        <is>
          <t>error_message_0.25.0</t>
        </is>
      </c>
      <c r="AE1" s="1" t="inlineStr">
        <is>
          <t>error_description_0.25.0</t>
        </is>
      </c>
      <c r="AF1" s="1" t="inlineStr">
        <is>
          <t>error_type_0.25.1</t>
        </is>
      </c>
      <c r="AG1" s="1" t="inlineStr">
        <is>
          <t>error_message_0.25.1</t>
        </is>
      </c>
      <c r="AH1" s="1" t="inlineStr">
        <is>
          <t>error_description_0.25.1</t>
        </is>
      </c>
      <c r="AI1" s="1" t="inlineStr">
        <is>
          <t>error_type_0.25.2</t>
        </is>
      </c>
      <c r="AJ1" s="1" t="inlineStr">
        <is>
          <t>error_message_0.25.2</t>
        </is>
      </c>
      <c r="AK1" s="1" t="inlineStr">
        <is>
          <t>error_description_0.25.2</t>
        </is>
      </c>
      <c r="AL1" s="1" t="inlineStr">
        <is>
          <t>error_type_0.25.3</t>
        </is>
      </c>
      <c r="AM1" s="1" t="inlineStr">
        <is>
          <t>error_message_0.25.3</t>
        </is>
      </c>
      <c r="AN1" s="1" t="inlineStr">
        <is>
          <t>error_description_0.25.3</t>
        </is>
      </c>
      <c r="AO1" s="1" t="inlineStr">
        <is>
          <t>error_type_0.45.0</t>
        </is>
      </c>
      <c r="AP1" s="1" t="inlineStr">
        <is>
          <t>error_message_0.45.0</t>
        </is>
      </c>
      <c r="AQ1" s="1" t="inlineStr">
        <is>
          <t>error_description_0.45.0</t>
        </is>
      </c>
      <c r="AR1" s="1" t="inlineStr">
        <is>
          <t>error_type_0.45.1</t>
        </is>
      </c>
      <c r="AS1" s="1" t="inlineStr">
        <is>
          <t>error_message_0.45.1</t>
        </is>
      </c>
      <c r="AT1" s="1" t="inlineStr">
        <is>
          <t>error_description_0.45.1</t>
        </is>
      </c>
      <c r="AU1" s="1" t="inlineStr">
        <is>
          <t>error_type_0.45.2</t>
        </is>
      </c>
      <c r="AV1" s="1" t="inlineStr">
        <is>
          <t>error_message_0.45.2</t>
        </is>
      </c>
      <c r="AW1" s="1" t="inlineStr">
        <is>
          <t>error_description_0.45.2</t>
        </is>
      </c>
      <c r="AX1" s="1" t="inlineStr">
        <is>
          <t>error_type_0.45.3</t>
        </is>
      </c>
      <c r="AY1" s="1" t="inlineStr">
        <is>
          <t>error_message_0.45.3</t>
        </is>
      </c>
      <c r="AZ1" s="1" t="inlineStr">
        <is>
          <t>error_description_0.45.3</t>
        </is>
      </c>
      <c r="BA1" s="1" t="inlineStr">
        <is>
          <t>error_type_0.46.0</t>
        </is>
      </c>
      <c r="BB1" s="1" t="inlineStr">
        <is>
          <t>error_message_0.46.0</t>
        </is>
      </c>
      <c r="BC1" s="1" t="inlineStr">
        <is>
          <t>error_description_0.46.0</t>
        </is>
      </c>
      <c r="BD1" s="1" t="inlineStr">
        <is>
          <t>error_type_0.46.1</t>
        </is>
      </c>
      <c r="BE1" s="1" t="inlineStr">
        <is>
          <t>error_message_0.46.1</t>
        </is>
      </c>
      <c r="BF1" s="1" t="inlineStr">
        <is>
          <t>error_description_0.46.1</t>
        </is>
      </c>
      <c r="BG1" s="1" t="inlineStr">
        <is>
          <t>error_type_0.46.2</t>
        </is>
      </c>
      <c r="BH1" s="1" t="inlineStr">
        <is>
          <t>error_message_0.46.2</t>
        </is>
      </c>
      <c r="BI1" s="1" t="inlineStr">
        <is>
          <t>error_description_0.46.2</t>
        </is>
      </c>
      <c r="BJ1" s="1" t="inlineStr">
        <is>
          <t>error_type_0.46.3</t>
        </is>
      </c>
      <c r="BK1" s="1" t="inlineStr">
        <is>
          <t>error_message_0.46.3</t>
        </is>
      </c>
      <c r="BL1" s="1" t="inlineStr">
        <is>
          <t>error_description_0.46.3</t>
        </is>
      </c>
      <c r="BM1" s="1" t="inlineStr">
        <is>
          <t>error_type_1.0.0</t>
        </is>
      </c>
      <c r="BN1" s="1" t="inlineStr">
        <is>
          <t>error_message_1.0.0</t>
        </is>
      </c>
      <c r="BO1" s="1" t="inlineStr">
        <is>
          <t>error_description_1.0.0</t>
        </is>
      </c>
      <c r="BP1" s="1" t="inlineStr">
        <is>
          <t>error_type_1.0.1</t>
        </is>
      </c>
      <c r="BQ1" s="1" t="inlineStr">
        <is>
          <t>error_message_1.0.1</t>
        </is>
      </c>
      <c r="BR1" s="1" t="inlineStr">
        <is>
          <t>error_description_1.0.1</t>
        </is>
      </c>
      <c r="BS1" s="1" t="inlineStr">
        <is>
          <t>error_type_1.0.2</t>
        </is>
      </c>
      <c r="BT1" s="1" t="inlineStr">
        <is>
          <t>error_message_1.0.2</t>
        </is>
      </c>
      <c r="BU1" s="1" t="inlineStr">
        <is>
          <t>error_description_1.0.2</t>
        </is>
      </c>
      <c r="BV1" s="1" t="inlineStr">
        <is>
          <t>error_type_1.1.0</t>
        </is>
      </c>
      <c r="BW1" s="1" t="inlineStr">
        <is>
          <t>error_message_1.1.0</t>
        </is>
      </c>
      <c r="BX1" s="1" t="inlineStr">
        <is>
          <t>error_description_1.1.0</t>
        </is>
      </c>
      <c r="BY1" s="1" t="inlineStr">
        <is>
          <t>error_type_1.1.1</t>
        </is>
      </c>
      <c r="BZ1" s="1" t="inlineStr">
        <is>
          <t>error_message_1.1.1</t>
        </is>
      </c>
      <c r="CA1" s="1" t="inlineStr">
        <is>
          <t>error_description_1.1.1</t>
        </is>
      </c>
      <c r="CB1" s="1" t="inlineStr">
        <is>
          <t>error_type_1.1.2</t>
        </is>
      </c>
      <c r="CC1" s="1" t="inlineStr">
        <is>
          <t>error_message_1.1.2</t>
        </is>
      </c>
      <c r="CD1" s="1" t="inlineStr">
        <is>
          <t>error_description_1.1.2</t>
        </is>
      </c>
      <c r="CE1" s="1" t="inlineStr">
        <is>
          <t>error_type_1.2.0</t>
        </is>
      </c>
      <c r="CF1" s="1" t="inlineStr">
        <is>
          <t>error_message_1.2.0</t>
        </is>
      </c>
      <c r="CG1" s="1" t="inlineStr">
        <is>
          <t>error_description_1.2.0</t>
        </is>
      </c>
      <c r="CH1" s="1" t="inlineStr">
        <is>
          <t>error_type_1.2.1</t>
        </is>
      </c>
      <c r="CI1" s="1" t="inlineStr">
        <is>
          <t>error_message_1.2.1</t>
        </is>
      </c>
      <c r="CJ1" s="1" t="inlineStr">
        <is>
          <t>error_description_1.2.1</t>
        </is>
      </c>
      <c r="CK1" s="1" t="inlineStr">
        <is>
          <t>error_type_1.2.2</t>
        </is>
      </c>
      <c r="CL1" s="1" t="inlineStr">
        <is>
          <t>error_message_1.2.2</t>
        </is>
      </c>
      <c r="CM1" s="1" t="inlineStr">
        <is>
          <t>error_description_1.2.2</t>
        </is>
      </c>
      <c r="CN1" s="1" t="inlineStr">
        <is>
          <t>error_type_1.2.4</t>
        </is>
      </c>
      <c r="CO1" s="1" t="inlineStr">
        <is>
          <t>error_message_1.2.4</t>
        </is>
      </c>
      <c r="CP1" s="1" t="inlineStr">
        <is>
          <t>error_description_1.2.4</t>
        </is>
      </c>
      <c r="CQ1" s="1" t="inlineStr">
        <is>
          <t>error_type_2.0.0</t>
        </is>
      </c>
      <c r="CR1" s="1" t="inlineStr">
        <is>
          <t>error_message_2.0.0</t>
        </is>
      </c>
      <c r="CS1" s="1" t="inlineStr">
        <is>
          <t>error_description_2.0.0</t>
        </is>
      </c>
      <c r="CT1" s="1" t="inlineStr">
        <is>
          <t>error_type_2.2.0</t>
        </is>
      </c>
      <c r="CU1" s="1" t="inlineStr">
        <is>
          <t>error_message_2.2.0</t>
        </is>
      </c>
      <c r="CV1" s="1" t="inlineStr">
        <is>
          <t>error_description_2.2.0</t>
        </is>
      </c>
      <c r="CW1" s="1" t="inlineStr">
        <is>
          <t>error_type_2.3.0</t>
        </is>
      </c>
      <c r="CX1" s="1" t="inlineStr">
        <is>
          <t>error_message_2.3.0</t>
        </is>
      </c>
      <c r="CY1" s="1" t="inlineStr">
        <is>
          <t>error_description_2.3.0</t>
        </is>
      </c>
      <c r="CZ1" s="1" t="inlineStr">
        <is>
          <t>error_type_2.4.0</t>
        </is>
      </c>
      <c r="DA1" s="1" t="inlineStr">
        <is>
          <t>error_message_2.4.0</t>
        </is>
      </c>
      <c r="DB1" s="1" t="inlineStr">
        <is>
          <t>error_description_2.4.0</t>
        </is>
      </c>
      <c r="DC1" s="1" t="inlineStr">
        <is>
          <t>error_type_2.5.0</t>
        </is>
      </c>
      <c r="DD1" s="1" t="inlineStr">
        <is>
          <t>error_message_2.5.0</t>
        </is>
      </c>
      <c r="DE1" s="1" t="inlineStr">
        <is>
          <t>error_description_2.5.0</t>
        </is>
      </c>
    </row>
    <row r="2">
      <c r="A2" s="2" t="inlineStr">
        <is>
          <t>issue_009</t>
        </is>
      </c>
      <c r="B2" s="3" t="inlineStr">
        <is>
          <t>NOT_TESTED</t>
        </is>
      </c>
      <c r="C2" s="3" t="inlineStr">
        <is>
          <t>NOT_TESTED</t>
        </is>
      </c>
      <c r="D2" s="3" t="inlineStr">
        <is>
          <t>NOT_TESTED</t>
        </is>
      </c>
      <c r="E2" s="3" t="inlineStr">
        <is>
          <t>NOT_TESTED</t>
        </is>
      </c>
      <c r="F2" s="4" t="inlineStr">
        <is>
          <t>Passed on test</t>
        </is>
      </c>
      <c r="G2" s="4" t="inlineStr">
        <is>
          <t>Passed on test</t>
        </is>
      </c>
      <c r="H2" s="4" t="inlineStr">
        <is>
          <t>Passed on test</t>
        </is>
      </c>
      <c r="I2" s="4" t="inlineStr">
        <is>
          <t>Passed on test</t>
        </is>
      </c>
      <c r="J2" s="4" t="inlineStr">
        <is>
          <t>Passed on test</t>
        </is>
      </c>
      <c r="K2" s="4" t="inlineStr">
        <is>
          <t>Passed on test</t>
        </is>
      </c>
      <c r="L2" s="4" t="inlineStr">
        <is>
          <t>Passed on test</t>
        </is>
      </c>
      <c r="M2" s="4" t="inlineStr">
        <is>
          <t>Passed on test</t>
        </is>
      </c>
      <c r="N2" s="3" t="inlineStr">
        <is>
          <t>NOT_TESTED</t>
        </is>
      </c>
      <c r="O2" s="3" t="inlineStr">
        <is>
          <t>NOT_TESTED</t>
        </is>
      </c>
      <c r="P2" s="3" t="inlineStr">
        <is>
          <t>NOT_TESTED</t>
        </is>
      </c>
      <c r="Q2" s="3" t="inlineStr">
        <is>
          <t>NOT_TESTED</t>
        </is>
      </c>
      <c r="R2" s="3" t="inlineStr">
        <is>
          <t>NOT_TESTED</t>
        </is>
      </c>
      <c r="S2" s="3" t="inlineStr">
        <is>
          <t>NOT_TESTED</t>
        </is>
      </c>
      <c r="T2" s="3" t="inlineStr">
        <is>
          <t>NOT_TESTED</t>
        </is>
      </c>
      <c r="U2" s="3" t="inlineStr">
        <is>
          <t>NOT_TESTED</t>
        </is>
      </c>
      <c r="V2" s="3" t="inlineStr">
        <is>
          <t>NOT_TESTED</t>
        </is>
      </c>
      <c r="W2" s="3" t="inlineStr">
        <is>
          <t>NOT_TESTED</t>
        </is>
      </c>
      <c r="X2" s="3" t="inlineStr">
        <is>
          <t>NOT_TESTED</t>
        </is>
      </c>
      <c r="Y2" s="3" t="inlineStr">
        <is>
          <t>NOT_TESTED</t>
        </is>
      </c>
      <c r="Z2" s="3" t="inlineStr">
        <is>
          <t>NOT_TESTED</t>
        </is>
      </c>
      <c r="AA2" s="3" t="inlineStr">
        <is>
          <t>NOT_TESTED</t>
        </is>
      </c>
      <c r="AB2" s="3" t="inlineStr">
        <is>
          <t>NOT_TESTED</t>
        </is>
      </c>
      <c r="AC2" s="2" t="n"/>
      <c r="AD2" s="2" t="n"/>
      <c r="AE2" s="2" t="n"/>
      <c r="AF2" s="2" t="n"/>
      <c r="AG2" s="2" t="n"/>
      <c r="AH2" s="2" t="n"/>
      <c r="AI2" s="2" t="n"/>
      <c r="AJ2" s="2" t="n"/>
      <c r="AK2" s="2" t="n"/>
      <c r="AL2" s="2" t="n"/>
      <c r="AM2" s="2" t="n"/>
      <c r="AN2" s="2" t="n"/>
      <c r="AO2" s="2" t="n"/>
      <c r="AP2" s="2" t="n"/>
      <c r="AQ2" s="2" t="n"/>
      <c r="AR2" s="2"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row>
    <row r="3">
      <c r="A3" s="2" t="inlineStr">
        <is>
          <t>issue_018_se</t>
        </is>
      </c>
      <c r="B3" s="3" t="inlineStr">
        <is>
          <t>NOT_TESTED</t>
        </is>
      </c>
      <c r="C3" s="3" t="inlineStr">
        <is>
          <t>NOT_TESTED</t>
        </is>
      </c>
      <c r="D3" s="3" t="inlineStr">
        <is>
          <t>NOT_TESTED</t>
        </is>
      </c>
      <c r="E3" s="3" t="inlineStr">
        <is>
          <t>NOT_TESTED</t>
        </is>
      </c>
      <c r="F3" s="3" t="inlineStr">
        <is>
          <t>NOT_TESTED</t>
        </is>
      </c>
      <c r="G3" s="3" t="inlineStr">
        <is>
          <t>NOT_TESTED</t>
        </is>
      </c>
      <c r="H3" s="3" t="inlineStr">
        <is>
          <t>NOT_TESTED</t>
        </is>
      </c>
      <c r="I3" s="3" t="inlineStr">
        <is>
          <t>NOT_TESTED</t>
        </is>
      </c>
      <c r="J3" s="3" t="inlineStr">
        <is>
          <t>NOT_TESTED</t>
        </is>
      </c>
      <c r="K3" s="3" t="inlineStr">
        <is>
          <t>NOT_TESTED</t>
        </is>
      </c>
      <c r="L3" s="3" t="inlineStr">
        <is>
          <t>NOT_TESTED</t>
        </is>
      </c>
      <c r="M3" s="3" t="inlineStr">
        <is>
          <t>NOT_TESTED</t>
        </is>
      </c>
      <c r="N3" s="5" t="inlineStr">
        <is>
          <t>Failed on test</t>
        </is>
      </c>
      <c r="O3" s="5" t="inlineStr">
        <is>
          <t>Failed on test</t>
        </is>
      </c>
      <c r="P3" s="5" t="inlineStr">
        <is>
          <t>Failed on test</t>
        </is>
      </c>
      <c r="Q3" s="5" t="inlineStr">
        <is>
          <t>Failed on test</t>
        </is>
      </c>
      <c r="R3" s="5" t="inlineStr">
        <is>
          <t>Failed on test</t>
        </is>
      </c>
      <c r="S3" s="5" t="inlineStr">
        <is>
          <t>Failed on test</t>
        </is>
      </c>
      <c r="T3" s="5" t="inlineStr">
        <is>
          <t>Failed on test</t>
        </is>
      </c>
      <c r="U3" s="5" t="inlineStr">
        <is>
          <t>Failed on test</t>
        </is>
      </c>
      <c r="V3" s="5" t="inlineStr">
        <is>
          <t>Failed on test</t>
        </is>
      </c>
      <c r="W3" s="5" t="inlineStr">
        <is>
          <t>Failed on test</t>
        </is>
      </c>
      <c r="X3" s="5" t="inlineStr">
        <is>
          <t>Failed on test</t>
        </is>
      </c>
      <c r="Y3" s="5" t="inlineStr">
        <is>
          <t>Failed on test</t>
        </is>
      </c>
      <c r="Z3" s="5" t="inlineStr">
        <is>
          <t>Failed on test</t>
        </is>
      </c>
      <c r="AA3" s="5" t="inlineStr">
        <is>
          <t>Failed on test</t>
        </is>
      </c>
      <c r="AB3" s="5" t="inlineStr">
        <is>
          <t>Failed on test</t>
        </is>
      </c>
      <c r="AC3" s="2" t="n"/>
      <c r="AD3" s="2" t="n"/>
      <c r="AE3" s="2" t="n"/>
      <c r="AF3" s="2" t="n"/>
      <c r="AG3" s="2" t="n"/>
      <c r="AH3" s="2" t="n"/>
      <c r="AI3" s="2" t="n"/>
      <c r="AJ3" s="2" t="n"/>
      <c r="AK3" s="2" t="n"/>
      <c r="AL3" s="2" t="n"/>
      <c r="AM3" s="2" t="n"/>
      <c r="AN3" s="2" t="n"/>
      <c r="AO3" s="2" t="n"/>
      <c r="AP3" s="2" t="n"/>
      <c r="AQ3" s="2" t="n"/>
      <c r="AR3" s="2" t="n"/>
      <c r="AS3" s="2" t="n"/>
      <c r="AT3" s="2" t="n"/>
      <c r="AU3" s="2" t="n"/>
      <c r="AV3" s="2" t="n"/>
      <c r="AW3" s="2" t="n"/>
      <c r="AX3" s="2" t="n"/>
      <c r="AY3" s="2" t="n"/>
      <c r="AZ3" s="2" t="n"/>
      <c r="BA3" s="2" t="n"/>
      <c r="BB3" s="2" t="n"/>
      <c r="BC3" s="2" t="n"/>
      <c r="BD3" s="2" t="n"/>
      <c r="BE3" s="2" t="n"/>
      <c r="BF3" s="2" t="n"/>
      <c r="BG3" s="2" t="n"/>
      <c r="BH3" s="2" t="n"/>
      <c r="BI3" s="2" t="n"/>
      <c r="BJ3" s="2" t="n"/>
      <c r="BK3" s="2" t="n"/>
      <c r="BL3" s="2" t="n"/>
      <c r="BM3" s="2" t="inlineStr">
        <is>
          <t>AssertionError</t>
        </is>
      </c>
      <c r="BN3" s="2" t="inlineStr">
        <is>
          <t>RuntimeError: SIMULATOR_PROCESS_ERROR: exit=3221225477 (0xC0000005); AssertionError:</t>
        </is>
      </c>
      <c r="BO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BP3" s="2" t="inlineStr">
        <is>
          <t>AssertionError</t>
        </is>
      </c>
      <c r="BQ3" s="2" t="inlineStr">
        <is>
          <t>RuntimeError: SIMULATOR_PROCESS_ERROR: exit=3221225477 (0xC0000005); AssertionError:</t>
        </is>
      </c>
      <c r="BR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BS3" s="2" t="inlineStr">
        <is>
          <t>AssertionError</t>
        </is>
      </c>
      <c r="BT3" s="2" t="inlineStr">
        <is>
          <t>RuntimeError: SIMULATOR_PROCESS_ERROR: exit=3221225477 (0xC0000005); AssertionError:</t>
        </is>
      </c>
      <c r="BU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BV3" s="2" t="inlineStr">
        <is>
          <t>AssertionError</t>
        </is>
      </c>
      <c r="BW3" s="2" t="inlineStr">
        <is>
          <t>RuntimeError: SIMULATOR_PROCESS_ERROR: exit=3221226356 (0xC0000374); AssertionError:</t>
        </is>
      </c>
      <c r="BX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BY3" s="2" t="inlineStr">
        <is>
          <t>AssertionError</t>
        </is>
      </c>
      <c r="BZ3" s="2" t="inlineStr">
        <is>
          <t>RuntimeError: SIMULATOR_PROCESS_ERROR: exit=3221226356 (0xC0000374); AssertionError:</t>
        </is>
      </c>
      <c r="CA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CB3" s="2" t="inlineStr">
        <is>
          <t>AssertionError</t>
        </is>
      </c>
      <c r="CC3" s="2" t="inlineStr">
        <is>
          <t>RuntimeError: SIMULATOR_PROCESS_ERROR: exit=3221226356 (0xC0000374); AssertionError:</t>
        </is>
      </c>
      <c r="CD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CE3" s="2" t="inlineStr">
        <is>
          <t>AssertionError</t>
        </is>
      </c>
      <c r="CF3" s="2" t="inlineStr">
        <is>
          <t>RuntimeError: SIMULATOR_PROCESS_ERROR: exit=3221226356 (0xC0000374); AssertionError:</t>
        </is>
      </c>
      <c r="CG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CH3" s="2" t="inlineStr">
        <is>
          <t>AssertionError</t>
        </is>
      </c>
      <c r="CI3" s="2" t="inlineStr">
        <is>
          <t>RuntimeError: SIMULATOR_PROCESS_ERROR: exit=3221226356 (0xC0000374); AssertionError:</t>
        </is>
      </c>
      <c r="CJ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CK3" s="2" t="inlineStr">
        <is>
          <t>AssertionError</t>
        </is>
      </c>
      <c r="CL3" s="2" t="inlineStr">
        <is>
          <t>RuntimeError: SIMULATOR_PROCESS_ERROR: exit=3221226356 (0xC0000374); AssertionError:</t>
        </is>
      </c>
      <c r="CM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CN3" s="2" t="inlineStr">
        <is>
          <t>AssertionError</t>
        </is>
      </c>
      <c r="CO3" s="2" t="inlineStr">
        <is>
          <t>RuntimeError: SIMULATOR_PROCESS_ERROR: exit=3221226356 (0xC0000374); AssertionError:</t>
        </is>
      </c>
      <c r="CP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CQ3" s="2" t="inlineStr">
        <is>
          <t>AssertionError</t>
        </is>
      </c>
      <c r="CR3" s="2" t="inlineStr">
        <is>
          <t>RuntimeError: SIMULATOR_PROCESS_ERROR: exit=3221226356 (0xC0000374); AssertionError:</t>
        </is>
      </c>
      <c r="CS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CT3" s="2" t="inlineStr">
        <is>
          <t>AssertionError</t>
        </is>
      </c>
      <c r="CU3" s="2" t="inlineStr">
        <is>
          <t>RuntimeError: SIMULATOR_PROCESS_ERROR: exit=3221226356 (0xC0000374); AssertionError:</t>
        </is>
      </c>
      <c r="CV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CW3" s="2" t="inlineStr">
        <is>
          <t>AssertionError</t>
        </is>
      </c>
      <c r="CX3" s="2" t="inlineStr">
        <is>
          <t>RuntimeError: SIMULATOR_PROCESS_ERROR: exit=3221226356 (0xC0000374); AssertionError:</t>
        </is>
      </c>
      <c r="CY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CZ3" s="2" t="inlineStr">
        <is>
          <t>AssertionError</t>
        </is>
      </c>
      <c r="DA3" s="2" t="inlineStr">
        <is>
          <t>RuntimeError: SIMULATOR_PROCESS_ERROR: exit=3221226356 (0xC0000374); AssertionError:</t>
        </is>
      </c>
      <c r="DB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DC3" s="2" t="inlineStr">
        <is>
          <t>AssertionError</t>
        </is>
      </c>
      <c r="DD3" s="2" t="inlineStr">
        <is>
          <t>RuntimeError: SIMULATOR_PROCESS_ERROR: exit=3221226356 (0xC0000374); AssertionError:</t>
        </is>
      </c>
      <c r="DE3" s="2"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row>
    <row r="4">
      <c r="A4" s="2" t="inlineStr">
        <is>
          <t>issue_021_se</t>
        </is>
      </c>
      <c r="B4" s="4" t="inlineStr">
        <is>
          <t>Passed on test</t>
        </is>
      </c>
      <c r="C4" s="4" t="inlineStr">
        <is>
          <t>Passed on test</t>
        </is>
      </c>
      <c r="D4" s="4" t="inlineStr">
        <is>
          <t>Passed on test</t>
        </is>
      </c>
      <c r="E4" s="4" t="inlineStr">
        <is>
          <t>Passed on test</t>
        </is>
      </c>
      <c r="F4" s="4" t="inlineStr">
        <is>
          <t>Passed on test</t>
        </is>
      </c>
      <c r="G4" s="4" t="inlineStr">
        <is>
          <t>Passed on test</t>
        </is>
      </c>
      <c r="H4" s="4" t="inlineStr">
        <is>
          <t>Passed on test</t>
        </is>
      </c>
      <c r="I4" s="4" t="inlineStr">
        <is>
          <t>Passed on test</t>
        </is>
      </c>
      <c r="J4" s="4" t="inlineStr">
        <is>
          <t>Passed on test</t>
        </is>
      </c>
      <c r="K4" s="4" t="inlineStr">
        <is>
          <t>Passed on test</t>
        </is>
      </c>
      <c r="L4" s="4" t="inlineStr">
        <is>
          <t>Passed on test</t>
        </is>
      </c>
      <c r="M4" s="4" t="inlineStr">
        <is>
          <t>Passed on test</t>
        </is>
      </c>
      <c r="N4" s="3" t="inlineStr">
        <is>
          <t>NOT_TESTED</t>
        </is>
      </c>
      <c r="O4" s="3" t="inlineStr">
        <is>
          <t>NOT_TESTED</t>
        </is>
      </c>
      <c r="P4" s="3" t="inlineStr">
        <is>
          <t>NOT_TESTED</t>
        </is>
      </c>
      <c r="Q4" s="3" t="inlineStr">
        <is>
          <t>NOT_TESTED</t>
        </is>
      </c>
      <c r="R4" s="3" t="inlineStr">
        <is>
          <t>NOT_TESTED</t>
        </is>
      </c>
      <c r="S4" s="3" t="inlineStr">
        <is>
          <t>NOT_TESTED</t>
        </is>
      </c>
      <c r="T4" s="3" t="inlineStr">
        <is>
          <t>NOT_TESTED</t>
        </is>
      </c>
      <c r="U4" s="3" t="inlineStr">
        <is>
          <t>NOT_TESTED</t>
        </is>
      </c>
      <c r="V4" s="3" t="inlineStr">
        <is>
          <t>NOT_TESTED</t>
        </is>
      </c>
      <c r="W4" s="3" t="inlineStr">
        <is>
          <t>NOT_TESTED</t>
        </is>
      </c>
      <c r="X4" s="3" t="inlineStr">
        <is>
          <t>NOT_TESTED</t>
        </is>
      </c>
      <c r="Y4" s="3" t="inlineStr">
        <is>
          <t>NOT_TESTED</t>
        </is>
      </c>
      <c r="Z4" s="3" t="inlineStr">
        <is>
          <t>NOT_TESTED</t>
        </is>
      </c>
      <c r="AA4" s="3" t="inlineStr">
        <is>
          <t>NOT_TESTED</t>
        </is>
      </c>
      <c r="AB4" s="3" t="inlineStr">
        <is>
          <t>NOT_TESTED</t>
        </is>
      </c>
      <c r="AC4" s="2" t="n"/>
      <c r="AD4" s="2" t="n"/>
      <c r="AE4" s="2" t="n"/>
      <c r="AF4" s="2" t="n"/>
      <c r="AG4" s="2" t="n"/>
      <c r="AH4" s="2" t="n"/>
      <c r="AI4" s="2" t="n"/>
      <c r="AJ4" s="2" t="n"/>
      <c r="AK4" s="2" t="n"/>
      <c r="AL4" s="2" t="n"/>
      <c r="AM4" s="2" t="n"/>
      <c r="AN4" s="2" t="n"/>
      <c r="AO4" s="2" t="n"/>
      <c r="AP4" s="2" t="n"/>
      <c r="AQ4" s="2" t="n"/>
      <c r="AR4" s="2"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row>
    <row r="5">
      <c r="A5" s="2" t="inlineStr">
        <is>
          <t>issue_032_se</t>
        </is>
      </c>
      <c r="B5" s="4" t="inlineStr">
        <is>
          <t>Passed on test</t>
        </is>
      </c>
      <c r="C5" s="4" t="inlineStr">
        <is>
          <t>Passed on test</t>
        </is>
      </c>
      <c r="D5" s="4" t="inlineStr">
        <is>
          <t>Passed on test</t>
        </is>
      </c>
      <c r="E5" s="4" t="inlineStr">
        <is>
          <t>Passed on test</t>
        </is>
      </c>
      <c r="F5" s="3" t="inlineStr">
        <is>
          <t>NOT_TESTED</t>
        </is>
      </c>
      <c r="G5" s="3" t="inlineStr">
        <is>
          <t>NOT_TESTED</t>
        </is>
      </c>
      <c r="H5" s="3" t="inlineStr">
        <is>
          <t>NOT_TESTED</t>
        </is>
      </c>
      <c r="I5" s="3" t="inlineStr">
        <is>
          <t>NOT_TESTED</t>
        </is>
      </c>
      <c r="J5" s="3" t="inlineStr">
        <is>
          <t>NOT_TESTED</t>
        </is>
      </c>
      <c r="K5" s="3" t="inlineStr">
        <is>
          <t>NOT_TESTED</t>
        </is>
      </c>
      <c r="L5" s="3" t="inlineStr">
        <is>
          <t>NOT_TESTED</t>
        </is>
      </c>
      <c r="M5" s="3" t="inlineStr">
        <is>
          <t>NOT_TESTED</t>
        </is>
      </c>
      <c r="N5" s="3" t="inlineStr">
        <is>
          <t>NOT_TESTED</t>
        </is>
      </c>
      <c r="O5" s="3" t="inlineStr">
        <is>
          <t>NOT_TESTED</t>
        </is>
      </c>
      <c r="P5" s="3" t="inlineStr">
        <is>
          <t>NOT_TESTED</t>
        </is>
      </c>
      <c r="Q5" s="3" t="inlineStr">
        <is>
          <t>NOT_TESTED</t>
        </is>
      </c>
      <c r="R5" s="3" t="inlineStr">
        <is>
          <t>NOT_TESTED</t>
        </is>
      </c>
      <c r="S5" s="3" t="inlineStr">
        <is>
          <t>NOT_TESTED</t>
        </is>
      </c>
      <c r="T5" s="3" t="inlineStr">
        <is>
          <t>NOT_TESTED</t>
        </is>
      </c>
      <c r="U5" s="3" t="inlineStr">
        <is>
          <t>NOT_TESTED</t>
        </is>
      </c>
      <c r="V5" s="3" t="inlineStr">
        <is>
          <t>NOT_TESTED</t>
        </is>
      </c>
      <c r="W5" s="3" t="inlineStr">
        <is>
          <t>NOT_TESTED</t>
        </is>
      </c>
      <c r="X5" s="3" t="inlineStr">
        <is>
          <t>NOT_TESTED</t>
        </is>
      </c>
      <c r="Y5" s="3" t="inlineStr">
        <is>
          <t>NOT_TESTED</t>
        </is>
      </c>
      <c r="Z5" s="3" t="inlineStr">
        <is>
          <t>NOT_TESTED</t>
        </is>
      </c>
      <c r="AA5" s="3" t="inlineStr">
        <is>
          <t>NOT_TESTED</t>
        </is>
      </c>
      <c r="AB5" s="3" t="inlineStr">
        <is>
          <t>NOT_TESTED</t>
        </is>
      </c>
      <c r="AC5" s="2" t="n"/>
      <c r="AD5" s="2" t="n"/>
      <c r="AE5" s="2" t="n"/>
      <c r="AF5" s="2" t="n"/>
      <c r="AG5" s="2" t="n"/>
      <c r="AH5" s="2" t="n"/>
      <c r="AI5" s="2" t="n"/>
      <c r="AJ5" s="2" t="n"/>
      <c r="AK5" s="2" t="n"/>
      <c r="AL5" s="2" t="n"/>
      <c r="AM5" s="2" t="n"/>
      <c r="AN5" s="2" t="n"/>
      <c r="AO5" s="2" t="n"/>
      <c r="AP5" s="2" t="n"/>
      <c r="AQ5" s="2" t="n"/>
      <c r="AR5" s="2" t="n"/>
      <c r="AS5" s="2" t="n"/>
      <c r="AT5" s="2" t="n"/>
      <c r="AU5" s="2" t="n"/>
      <c r="AV5" s="2" t="n"/>
      <c r="AW5" s="2" t="n"/>
      <c r="AX5" s="2" t="n"/>
      <c r="AY5" s="2" t="n"/>
      <c r="AZ5" s="2" t="n"/>
      <c r="BA5" s="2" t="n"/>
      <c r="BB5" s="2" t="n"/>
      <c r="BC5" s="2" t="n"/>
      <c r="BD5" s="2" t="n"/>
      <c r="BE5" s="2" t="n"/>
      <c r="BF5" s="2" t="n"/>
      <c r="BG5" s="2" t="n"/>
      <c r="BH5" s="2" t="n"/>
      <c r="BI5" s="2" t="n"/>
      <c r="BJ5" s="2" t="n"/>
      <c r="BK5" s="2" t="n"/>
      <c r="BL5" s="2" t="n"/>
      <c r="BM5" s="2" t="n"/>
      <c r="BN5" s="2" t="n"/>
      <c r="BO5" s="2" t="n"/>
      <c r="BP5" s="2" t="n"/>
      <c r="BQ5" s="2" t="n"/>
      <c r="BR5" s="2" t="n"/>
      <c r="BS5" s="2" t="n"/>
      <c r="BT5" s="2" t="n"/>
      <c r="BU5" s="2" t="n"/>
      <c r="BV5" s="2" t="n"/>
      <c r="BW5" s="2" t="n"/>
      <c r="BX5" s="2" t="n"/>
      <c r="BY5" s="2" t="n"/>
      <c r="BZ5" s="2" t="n"/>
      <c r="CA5" s="2" t="n"/>
      <c r="CB5" s="2" t="n"/>
      <c r="CC5" s="2" t="n"/>
      <c r="CD5" s="2" t="n"/>
      <c r="CE5" s="2" t="n"/>
      <c r="CF5" s="2" t="n"/>
      <c r="CG5" s="2" t="n"/>
      <c r="CH5" s="2" t="n"/>
      <c r="CI5" s="2" t="n"/>
      <c r="CJ5" s="2" t="n"/>
      <c r="CK5" s="2" t="n"/>
      <c r="CL5" s="2" t="n"/>
      <c r="CM5" s="2" t="n"/>
      <c r="CN5" s="2" t="n"/>
      <c r="CO5" s="2" t="n"/>
      <c r="CP5" s="2" t="n"/>
      <c r="CQ5" s="2" t="n"/>
      <c r="CR5" s="2" t="n"/>
      <c r="CS5" s="2" t="n"/>
      <c r="CT5" s="2" t="n"/>
      <c r="CU5" s="2" t="n"/>
      <c r="CV5" s="2" t="n"/>
      <c r="CW5" s="2" t="n"/>
      <c r="CX5" s="2" t="n"/>
      <c r="CY5" s="2" t="n"/>
      <c r="CZ5" s="2" t="n"/>
      <c r="DA5" s="2" t="n"/>
      <c r="DB5" s="2" t="n"/>
      <c r="DC5" s="2" t="n"/>
      <c r="DD5" s="2" t="n"/>
      <c r="DE5" s="2" t="n"/>
    </row>
    <row r="6">
      <c r="A6" s="2" t="inlineStr">
        <is>
          <t>issue_034</t>
        </is>
      </c>
      <c r="B6" s="3" t="inlineStr">
        <is>
          <t>NOT_TESTED</t>
        </is>
      </c>
      <c r="C6" s="3" t="inlineStr">
        <is>
          <t>NOT_TESTED</t>
        </is>
      </c>
      <c r="D6" s="3" t="inlineStr">
        <is>
          <t>NOT_TESTED</t>
        </is>
      </c>
      <c r="E6" s="3" t="inlineStr">
        <is>
          <t>NOT_TESTED</t>
        </is>
      </c>
      <c r="F6" s="3" t="inlineStr">
        <is>
          <t>NOT_TESTED</t>
        </is>
      </c>
      <c r="G6" s="3" t="inlineStr">
        <is>
          <t>NOT_TESTED</t>
        </is>
      </c>
      <c r="H6" s="3" t="inlineStr">
        <is>
          <t>NOT_TESTED</t>
        </is>
      </c>
      <c r="I6" s="3" t="inlineStr">
        <is>
          <t>NOT_TESTED</t>
        </is>
      </c>
      <c r="J6" s="3" t="inlineStr">
        <is>
          <t>NOT_TESTED</t>
        </is>
      </c>
      <c r="K6" s="3" t="inlineStr">
        <is>
          <t>NOT_TESTED</t>
        </is>
      </c>
      <c r="L6" s="3" t="inlineStr">
        <is>
          <t>NOT_TESTED</t>
        </is>
      </c>
      <c r="M6" s="3" t="inlineStr">
        <is>
          <t>NOT_TESTED</t>
        </is>
      </c>
      <c r="N6" s="4" t="inlineStr">
        <is>
          <t>Passed on test</t>
        </is>
      </c>
      <c r="O6" s="4" t="inlineStr">
        <is>
          <t>Passed on test</t>
        </is>
      </c>
      <c r="P6" s="4" t="inlineStr">
        <is>
          <t>Passed on test</t>
        </is>
      </c>
      <c r="Q6" s="4" t="inlineStr">
        <is>
          <t>Passed on test</t>
        </is>
      </c>
      <c r="R6" s="4" t="inlineStr">
        <is>
          <t>Passed on test</t>
        </is>
      </c>
      <c r="S6" s="4" t="inlineStr">
        <is>
          <t>Passed on test</t>
        </is>
      </c>
      <c r="T6" s="4" t="inlineStr">
        <is>
          <t>Passed on test</t>
        </is>
      </c>
      <c r="U6" s="4" t="inlineStr">
        <is>
          <t>Passed on test</t>
        </is>
      </c>
      <c r="V6" s="4" t="inlineStr">
        <is>
          <t>Passed on test</t>
        </is>
      </c>
      <c r="W6" s="4" t="inlineStr">
        <is>
          <t>Passed on test</t>
        </is>
      </c>
      <c r="X6" s="4" t="inlineStr">
        <is>
          <t>Passed on test</t>
        </is>
      </c>
      <c r="Y6" s="4" t="inlineStr">
        <is>
          <t>Passed on test</t>
        </is>
      </c>
      <c r="Z6" s="4" t="inlineStr">
        <is>
          <t>Passed on test</t>
        </is>
      </c>
      <c r="AA6" s="4" t="inlineStr">
        <is>
          <t>Passed on test</t>
        </is>
      </c>
      <c r="AB6" s="4" t="inlineStr">
        <is>
          <t>Passed on test</t>
        </is>
      </c>
      <c r="AC6" s="2" t="n"/>
      <c r="AD6" s="2" t="n"/>
      <c r="AE6" s="2" t="n"/>
      <c r="AF6" s="2" t="n"/>
      <c r="AG6" s="2" t="n"/>
      <c r="AH6" s="2" t="n"/>
      <c r="AI6" s="2" t="n"/>
      <c r="AJ6" s="2" t="n"/>
      <c r="AK6" s="2" t="n"/>
      <c r="AL6" s="2" t="n"/>
      <c r="AM6" s="2" t="n"/>
      <c r="AN6" s="2" t="n"/>
      <c r="AO6" s="2" t="n"/>
      <c r="AP6" s="2" t="n"/>
      <c r="AQ6" s="2" t="n"/>
      <c r="AR6" s="2" t="n"/>
      <c r="AS6" s="2" t="n"/>
      <c r="AT6" s="2" t="n"/>
      <c r="AU6" s="2" t="n"/>
      <c r="AV6" s="2" t="n"/>
      <c r="AW6" s="2" t="n"/>
      <c r="AX6" s="2" t="n"/>
      <c r="AY6" s="2" t="n"/>
      <c r="AZ6" s="2" t="n"/>
      <c r="BA6" s="2" t="n"/>
      <c r="BB6" s="2" t="n"/>
      <c r="BC6" s="2" t="n"/>
      <c r="BD6" s="2" t="n"/>
      <c r="BE6" s="2" t="n"/>
      <c r="BF6" s="2" t="n"/>
      <c r="BG6" s="2" t="n"/>
      <c r="BH6" s="2" t="n"/>
      <c r="BI6" s="2" t="n"/>
      <c r="BJ6" s="2" t="n"/>
      <c r="BK6" s="2" t="n"/>
      <c r="BL6" s="2" t="n"/>
      <c r="BM6" s="2" t="n"/>
      <c r="BN6" s="2" t="n"/>
      <c r="BO6" s="2" t="n"/>
      <c r="BP6" s="2" t="n"/>
      <c r="BQ6" s="2" t="n"/>
      <c r="BR6" s="2" t="n"/>
      <c r="BS6" s="2" t="n"/>
      <c r="BT6" s="2" t="n"/>
      <c r="BU6" s="2" t="n"/>
      <c r="BV6" s="2" t="n"/>
      <c r="BW6" s="2" t="n"/>
      <c r="BX6" s="2" t="n"/>
      <c r="BY6" s="2" t="n"/>
      <c r="BZ6" s="2" t="n"/>
      <c r="CA6" s="2" t="n"/>
      <c r="CB6" s="2" t="n"/>
      <c r="CC6" s="2" t="n"/>
      <c r="CD6" s="2" t="n"/>
      <c r="CE6" s="2" t="n"/>
      <c r="CF6" s="2" t="n"/>
      <c r="CG6" s="2" t="n"/>
      <c r="CH6" s="2" t="n"/>
      <c r="CI6" s="2" t="n"/>
      <c r="CJ6" s="2" t="n"/>
      <c r="CK6" s="2" t="n"/>
      <c r="CL6" s="2" t="n"/>
      <c r="CM6" s="2" t="n"/>
      <c r="CN6" s="2" t="n"/>
      <c r="CO6" s="2" t="n"/>
      <c r="CP6" s="2" t="n"/>
      <c r="CQ6" s="2" t="n"/>
      <c r="CR6" s="2" t="n"/>
      <c r="CS6" s="2" t="n"/>
      <c r="CT6" s="2" t="n"/>
      <c r="CU6" s="2" t="n"/>
      <c r="CV6" s="2" t="n"/>
      <c r="CW6" s="2" t="n"/>
      <c r="CX6" s="2" t="n"/>
      <c r="CY6" s="2" t="n"/>
      <c r="CZ6" s="2" t="n"/>
      <c r="DA6" s="2" t="n"/>
      <c r="DB6" s="2" t="n"/>
      <c r="DC6" s="2" t="n"/>
      <c r="DD6" s="2" t="n"/>
      <c r="DE6" s="2" t="n"/>
    </row>
    <row r="7">
      <c r="A7" s="2" t="inlineStr">
        <is>
          <t>issue_036</t>
        </is>
      </c>
      <c r="B7" s="3" t="inlineStr">
        <is>
          <t>NOT_TESTED</t>
        </is>
      </c>
      <c r="C7" s="3" t="inlineStr">
        <is>
          <t>NOT_TESTED</t>
        </is>
      </c>
      <c r="D7" s="3" t="inlineStr">
        <is>
          <t>NOT_TESTED</t>
        </is>
      </c>
      <c r="E7" s="3" t="inlineStr">
        <is>
          <t>NOT_TESTED</t>
        </is>
      </c>
      <c r="F7" s="3" t="inlineStr">
        <is>
          <t>NOT_TESTED</t>
        </is>
      </c>
      <c r="G7" s="3" t="inlineStr">
        <is>
          <t>NOT_TESTED</t>
        </is>
      </c>
      <c r="H7" s="3" t="inlineStr">
        <is>
          <t>NOT_TESTED</t>
        </is>
      </c>
      <c r="I7" s="3" t="inlineStr">
        <is>
          <t>NOT_TESTED</t>
        </is>
      </c>
      <c r="J7" s="3" t="inlineStr">
        <is>
          <t>NOT_TESTED</t>
        </is>
      </c>
      <c r="K7" s="3" t="inlineStr">
        <is>
          <t>NOT_TESTED</t>
        </is>
      </c>
      <c r="L7" s="3" t="inlineStr">
        <is>
          <t>NOT_TESTED</t>
        </is>
      </c>
      <c r="M7" s="3" t="inlineStr">
        <is>
          <t>NOT_TESTED</t>
        </is>
      </c>
      <c r="N7" s="4" t="inlineStr">
        <is>
          <t>Passed on test</t>
        </is>
      </c>
      <c r="O7" s="4" t="inlineStr">
        <is>
          <t>Passed on test</t>
        </is>
      </c>
      <c r="P7" s="4" t="inlineStr">
        <is>
          <t>Passed on test</t>
        </is>
      </c>
      <c r="Q7" s="4" t="inlineStr">
        <is>
          <t>Passed on test</t>
        </is>
      </c>
      <c r="R7" s="4" t="inlineStr">
        <is>
          <t>Passed on test</t>
        </is>
      </c>
      <c r="S7" s="4" t="inlineStr">
        <is>
          <t>Passed on test</t>
        </is>
      </c>
      <c r="T7" s="4" t="inlineStr">
        <is>
          <t>Passed on test</t>
        </is>
      </c>
      <c r="U7" s="4" t="inlineStr">
        <is>
          <t>Passed on test</t>
        </is>
      </c>
      <c r="V7" s="4" t="inlineStr">
        <is>
          <t>Passed on test</t>
        </is>
      </c>
      <c r="W7" s="4" t="inlineStr">
        <is>
          <t>Passed on test</t>
        </is>
      </c>
      <c r="X7" s="4" t="inlineStr">
        <is>
          <t>Passed on test</t>
        </is>
      </c>
      <c r="Y7" s="4" t="inlineStr">
        <is>
          <t>Passed on test</t>
        </is>
      </c>
      <c r="Z7" s="4" t="inlineStr">
        <is>
          <t>Passed on test</t>
        </is>
      </c>
      <c r="AA7" s="4" t="inlineStr">
        <is>
          <t>Passed on test</t>
        </is>
      </c>
      <c r="AB7" s="4" t="inlineStr">
        <is>
          <t>Passed on test</t>
        </is>
      </c>
      <c r="AC7" s="2" t="n"/>
      <c r="AD7" s="2" t="n"/>
      <c r="AE7" s="2" t="n"/>
      <c r="AF7" s="2" t="n"/>
      <c r="AG7" s="2" t="n"/>
      <c r="AH7" s="2" t="n"/>
      <c r="AI7" s="2" t="n"/>
      <c r="AJ7" s="2" t="n"/>
      <c r="AK7" s="2" t="n"/>
      <c r="AL7" s="2" t="n"/>
      <c r="AM7" s="2" t="n"/>
      <c r="AN7" s="2" t="n"/>
      <c r="AO7" s="2" t="n"/>
      <c r="AP7" s="2" t="n"/>
      <c r="AQ7" s="2" t="n"/>
      <c r="AR7" s="2" t="n"/>
      <c r="AS7" s="2" t="n"/>
      <c r="AT7" s="2" t="n"/>
      <c r="AU7" s="2" t="n"/>
      <c r="AV7" s="2" t="n"/>
      <c r="AW7" s="2" t="n"/>
      <c r="AX7" s="2" t="n"/>
      <c r="AY7" s="2" t="n"/>
      <c r="AZ7" s="2" t="n"/>
      <c r="BA7" s="2" t="n"/>
      <c r="BB7" s="2" t="n"/>
      <c r="BC7" s="2" t="n"/>
      <c r="BD7" s="2" t="n"/>
      <c r="BE7" s="2" t="n"/>
      <c r="BF7" s="2" t="n"/>
      <c r="BG7" s="2" t="n"/>
      <c r="BH7" s="2" t="n"/>
      <c r="BI7" s="2" t="n"/>
      <c r="BJ7" s="2" t="n"/>
      <c r="BK7" s="2" t="n"/>
      <c r="BL7" s="2" t="n"/>
      <c r="BM7" s="2" t="n"/>
      <c r="BN7" s="2" t="n"/>
      <c r="BO7" s="2" t="n"/>
      <c r="BP7" s="2" t="n"/>
      <c r="BQ7" s="2" t="n"/>
      <c r="BR7" s="2" t="n"/>
      <c r="BS7" s="2" t="n"/>
      <c r="BT7" s="2" t="n"/>
      <c r="BU7" s="2" t="n"/>
      <c r="BV7" s="2" t="n"/>
      <c r="BW7" s="2" t="n"/>
      <c r="BX7" s="2" t="n"/>
      <c r="BY7" s="2" t="n"/>
      <c r="BZ7" s="2" t="n"/>
      <c r="CA7" s="2" t="n"/>
      <c r="CB7" s="2" t="n"/>
      <c r="CC7" s="2" t="n"/>
      <c r="CD7" s="2" t="n"/>
      <c r="CE7" s="2" t="n"/>
      <c r="CF7" s="2" t="n"/>
      <c r="CG7" s="2" t="n"/>
      <c r="CH7" s="2" t="n"/>
      <c r="CI7" s="2" t="n"/>
      <c r="CJ7" s="2" t="n"/>
      <c r="CK7" s="2" t="n"/>
      <c r="CL7" s="2" t="n"/>
      <c r="CM7" s="2" t="n"/>
      <c r="CN7" s="2" t="n"/>
      <c r="CO7" s="2" t="n"/>
      <c r="CP7" s="2" t="n"/>
      <c r="CQ7" s="2" t="n"/>
      <c r="CR7" s="2" t="n"/>
      <c r="CS7" s="2" t="n"/>
      <c r="CT7" s="2" t="n"/>
      <c r="CU7" s="2" t="n"/>
      <c r="CV7" s="2" t="n"/>
      <c r="CW7" s="2" t="n"/>
      <c r="CX7" s="2" t="n"/>
      <c r="CY7" s="2" t="n"/>
      <c r="CZ7" s="2" t="n"/>
      <c r="DA7" s="2" t="n"/>
      <c r="DB7" s="2" t="n"/>
      <c r="DC7" s="2" t="n"/>
      <c r="DD7" s="2" t="n"/>
      <c r="DE7" s="2" t="n"/>
    </row>
    <row r="8">
      <c r="A8" s="2" t="inlineStr">
        <is>
          <t>issue_058_se</t>
        </is>
      </c>
      <c r="B8" s="4" t="inlineStr">
        <is>
          <t>Passed on test</t>
        </is>
      </c>
      <c r="C8" s="4" t="inlineStr">
        <is>
          <t>Passed on test</t>
        </is>
      </c>
      <c r="D8" s="4" t="inlineStr">
        <is>
          <t>Passed on test</t>
        </is>
      </c>
      <c r="E8" s="4" t="inlineStr">
        <is>
          <t>Passed on test</t>
        </is>
      </c>
      <c r="F8" s="4" t="inlineStr">
        <is>
          <t>Passed on test</t>
        </is>
      </c>
      <c r="G8" s="4" t="inlineStr">
        <is>
          <t>Passed on test</t>
        </is>
      </c>
      <c r="H8" s="4" t="inlineStr">
        <is>
          <t>Passed on test</t>
        </is>
      </c>
      <c r="I8" s="4" t="inlineStr">
        <is>
          <t>Passed on test</t>
        </is>
      </c>
      <c r="J8" s="4" t="inlineStr">
        <is>
          <t>Passed on test</t>
        </is>
      </c>
      <c r="K8" s="4" t="inlineStr">
        <is>
          <t>Passed on test</t>
        </is>
      </c>
      <c r="L8" s="4" t="inlineStr">
        <is>
          <t>Passed on test</t>
        </is>
      </c>
      <c r="M8" s="4" t="inlineStr">
        <is>
          <t>Passed on test</t>
        </is>
      </c>
      <c r="N8" s="3" t="inlineStr">
        <is>
          <t>NOT_TESTED</t>
        </is>
      </c>
      <c r="O8" s="3" t="inlineStr">
        <is>
          <t>NOT_TESTED</t>
        </is>
      </c>
      <c r="P8" s="3" t="inlineStr">
        <is>
          <t>NOT_TESTED</t>
        </is>
      </c>
      <c r="Q8" s="3" t="inlineStr">
        <is>
          <t>NOT_TESTED</t>
        </is>
      </c>
      <c r="R8" s="3" t="inlineStr">
        <is>
          <t>NOT_TESTED</t>
        </is>
      </c>
      <c r="S8" s="3" t="inlineStr">
        <is>
          <t>NOT_TESTED</t>
        </is>
      </c>
      <c r="T8" s="3" t="inlineStr">
        <is>
          <t>NOT_TESTED</t>
        </is>
      </c>
      <c r="U8" s="3" t="inlineStr">
        <is>
          <t>NOT_TESTED</t>
        </is>
      </c>
      <c r="V8" s="3" t="inlineStr">
        <is>
          <t>NOT_TESTED</t>
        </is>
      </c>
      <c r="W8" s="3" t="inlineStr">
        <is>
          <t>NOT_TESTED</t>
        </is>
      </c>
      <c r="X8" s="3" t="inlineStr">
        <is>
          <t>NOT_TESTED</t>
        </is>
      </c>
      <c r="Y8" s="3" t="inlineStr">
        <is>
          <t>NOT_TESTED</t>
        </is>
      </c>
      <c r="Z8" s="3" t="inlineStr">
        <is>
          <t>NOT_TESTED</t>
        </is>
      </c>
      <c r="AA8" s="3" t="inlineStr">
        <is>
          <t>NOT_TESTED</t>
        </is>
      </c>
      <c r="AB8" s="3" t="inlineStr">
        <is>
          <t>NOT_TESTED</t>
        </is>
      </c>
      <c r="AC8" s="2" t="n"/>
      <c r="AD8" s="2" t="n"/>
      <c r="AE8" s="2" t="n"/>
      <c r="AF8" s="2" t="n"/>
      <c r="AG8" s="2" t="n"/>
      <c r="AH8" s="2" t="n"/>
      <c r="AI8" s="2" t="n"/>
      <c r="AJ8" s="2" t="n"/>
      <c r="AK8" s="2" t="n"/>
      <c r="AL8" s="2" t="n"/>
      <c r="AM8" s="2" t="n"/>
      <c r="AN8" s="2" t="n"/>
      <c r="AO8" s="2" t="n"/>
      <c r="AP8" s="2" t="n"/>
      <c r="AQ8" s="2" t="n"/>
      <c r="AR8" s="2" t="n"/>
      <c r="AS8" s="2" t="n"/>
      <c r="AT8" s="2" t="n"/>
      <c r="AU8" s="2" t="n"/>
      <c r="AV8" s="2" t="n"/>
      <c r="AW8" s="2" t="n"/>
      <c r="AX8" s="2" t="n"/>
      <c r="AY8" s="2" t="n"/>
      <c r="AZ8" s="2" t="n"/>
      <c r="BA8" s="2" t="n"/>
      <c r="BB8" s="2" t="n"/>
      <c r="BC8" s="2" t="n"/>
      <c r="BD8" s="2" t="n"/>
      <c r="BE8" s="2" t="n"/>
      <c r="BF8" s="2" t="n"/>
      <c r="BG8" s="2" t="n"/>
      <c r="BH8" s="2" t="n"/>
      <c r="BI8" s="2" t="n"/>
      <c r="BJ8" s="2" t="n"/>
      <c r="BK8" s="2" t="n"/>
      <c r="BL8" s="2" t="n"/>
      <c r="BM8" s="2" t="n"/>
      <c r="BN8" s="2" t="n"/>
      <c r="BO8" s="2" t="n"/>
      <c r="BP8" s="2" t="n"/>
      <c r="BQ8" s="2" t="n"/>
      <c r="BR8" s="2" t="n"/>
      <c r="BS8" s="2" t="n"/>
      <c r="BT8" s="2" t="n"/>
      <c r="BU8" s="2" t="n"/>
      <c r="BV8" s="2" t="n"/>
      <c r="BW8" s="2" t="n"/>
      <c r="BX8" s="2" t="n"/>
      <c r="BY8" s="2" t="n"/>
      <c r="BZ8" s="2" t="n"/>
      <c r="CA8" s="2" t="n"/>
      <c r="CB8" s="2" t="n"/>
      <c r="CC8" s="2" t="n"/>
      <c r="CD8" s="2" t="n"/>
      <c r="CE8" s="2" t="n"/>
      <c r="CF8" s="2" t="n"/>
      <c r="CG8" s="2" t="n"/>
      <c r="CH8" s="2" t="n"/>
      <c r="CI8" s="2" t="n"/>
      <c r="CJ8" s="2" t="n"/>
      <c r="CK8" s="2" t="n"/>
      <c r="CL8" s="2" t="n"/>
      <c r="CM8" s="2" t="n"/>
      <c r="CN8" s="2" t="n"/>
      <c r="CO8" s="2" t="n"/>
      <c r="CP8" s="2" t="n"/>
      <c r="CQ8" s="2" t="n"/>
      <c r="CR8" s="2" t="n"/>
      <c r="CS8" s="2" t="n"/>
      <c r="CT8" s="2" t="n"/>
      <c r="CU8" s="2" t="n"/>
      <c r="CV8" s="2" t="n"/>
      <c r="CW8" s="2" t="n"/>
      <c r="CX8" s="2" t="n"/>
      <c r="CY8" s="2" t="n"/>
      <c r="CZ8" s="2" t="n"/>
      <c r="DA8" s="2" t="n"/>
      <c r="DB8" s="2" t="n"/>
      <c r="DC8" s="2" t="n"/>
      <c r="DD8" s="2" t="n"/>
      <c r="DE8" s="2" t="n"/>
    </row>
    <row r="9">
      <c r="A9" s="2" t="inlineStr">
        <is>
          <t>issue_061</t>
        </is>
      </c>
      <c r="B9" s="3" t="inlineStr">
        <is>
          <t>NOT_TESTED</t>
        </is>
      </c>
      <c r="C9" s="3" t="inlineStr">
        <is>
          <t>NOT_TESTED</t>
        </is>
      </c>
      <c r="D9" s="3" t="inlineStr">
        <is>
          <t>NOT_TESTED</t>
        </is>
      </c>
      <c r="E9" s="3" t="inlineStr">
        <is>
          <t>NOT_TESTED</t>
        </is>
      </c>
      <c r="F9" s="3" t="inlineStr">
        <is>
          <t>NOT_TESTED</t>
        </is>
      </c>
      <c r="G9" s="3" t="inlineStr">
        <is>
          <t>NOT_TESTED</t>
        </is>
      </c>
      <c r="H9" s="3" t="inlineStr">
        <is>
          <t>NOT_TESTED</t>
        </is>
      </c>
      <c r="I9" s="3" t="inlineStr">
        <is>
          <t>NOT_TESTED</t>
        </is>
      </c>
      <c r="J9" s="3" t="inlineStr">
        <is>
          <t>NOT_TESTED</t>
        </is>
      </c>
      <c r="K9" s="3" t="inlineStr">
        <is>
          <t>NOT_TESTED</t>
        </is>
      </c>
      <c r="L9" s="3" t="inlineStr">
        <is>
          <t>NOT_TESTED</t>
        </is>
      </c>
      <c r="M9" s="3" t="inlineStr">
        <is>
          <t>NOT_TESTED</t>
        </is>
      </c>
      <c r="N9" s="4" t="inlineStr">
        <is>
          <t>Passed on test</t>
        </is>
      </c>
      <c r="O9" s="4" t="inlineStr">
        <is>
          <t>Passed on test</t>
        </is>
      </c>
      <c r="P9" s="4" t="inlineStr">
        <is>
          <t>Passed on test</t>
        </is>
      </c>
      <c r="Q9" s="4" t="inlineStr">
        <is>
          <t>Passed on test</t>
        </is>
      </c>
      <c r="R9" s="4" t="inlineStr">
        <is>
          <t>Passed on test</t>
        </is>
      </c>
      <c r="S9" s="4" t="inlineStr">
        <is>
          <t>Passed on test</t>
        </is>
      </c>
      <c r="T9" s="4" t="inlineStr">
        <is>
          <t>Passed on test</t>
        </is>
      </c>
      <c r="U9" s="4" t="inlineStr">
        <is>
          <t>Passed on test</t>
        </is>
      </c>
      <c r="V9" s="4" t="inlineStr">
        <is>
          <t>Passed on test</t>
        </is>
      </c>
      <c r="W9" s="4" t="inlineStr">
        <is>
          <t>Passed on test</t>
        </is>
      </c>
      <c r="X9" s="4" t="inlineStr">
        <is>
          <t>Passed on test</t>
        </is>
      </c>
      <c r="Y9" s="4" t="inlineStr">
        <is>
          <t>Passed on test</t>
        </is>
      </c>
      <c r="Z9" s="4" t="inlineStr">
        <is>
          <t>Passed on test</t>
        </is>
      </c>
      <c r="AA9" s="4" t="inlineStr">
        <is>
          <t>Passed on test</t>
        </is>
      </c>
      <c r="AB9" s="4" t="inlineStr">
        <is>
          <t>Passed on test</t>
        </is>
      </c>
      <c r="AC9" s="2" t="n"/>
      <c r="AD9" s="2" t="n"/>
      <c r="AE9" s="2" t="n"/>
      <c r="AF9" s="2" t="n"/>
      <c r="AG9" s="2" t="n"/>
      <c r="AH9" s="2" t="n"/>
      <c r="AI9" s="2" t="n"/>
      <c r="AJ9" s="2" t="n"/>
      <c r="AK9" s="2" t="n"/>
      <c r="AL9" s="2" t="n"/>
      <c r="AM9" s="2" t="n"/>
      <c r="AN9" s="2" t="n"/>
      <c r="AO9" s="2" t="n"/>
      <c r="AP9" s="2" t="n"/>
      <c r="AQ9" s="2" t="n"/>
      <c r="AR9" s="2" t="n"/>
      <c r="AS9" s="2" t="n"/>
      <c r="AT9" s="2" t="n"/>
      <c r="AU9" s="2" t="n"/>
      <c r="AV9" s="2" t="n"/>
      <c r="AW9" s="2" t="n"/>
      <c r="AX9" s="2" t="n"/>
      <c r="AY9" s="2" t="n"/>
      <c r="AZ9" s="2" t="n"/>
      <c r="BA9" s="2" t="n"/>
      <c r="BB9" s="2" t="n"/>
      <c r="BC9" s="2" t="n"/>
      <c r="BD9" s="2" t="n"/>
      <c r="BE9" s="2" t="n"/>
      <c r="BF9" s="2" t="n"/>
      <c r="BG9" s="2" t="n"/>
      <c r="BH9" s="2" t="n"/>
      <c r="BI9" s="2" t="n"/>
      <c r="BJ9" s="2" t="n"/>
      <c r="BK9" s="2" t="n"/>
      <c r="BL9" s="2" t="n"/>
      <c r="BM9" s="2" t="n"/>
      <c r="BN9" s="2" t="n"/>
      <c r="BO9" s="2" t="n"/>
      <c r="BP9" s="2" t="n"/>
      <c r="BQ9" s="2" t="n"/>
      <c r="BR9" s="2" t="n"/>
      <c r="BS9" s="2" t="n"/>
      <c r="BT9" s="2" t="n"/>
      <c r="BU9" s="2" t="n"/>
      <c r="BV9" s="2" t="n"/>
      <c r="BW9" s="2" t="n"/>
      <c r="BX9" s="2" t="n"/>
      <c r="BY9" s="2" t="n"/>
      <c r="BZ9" s="2" t="n"/>
      <c r="CA9" s="2" t="n"/>
      <c r="CB9" s="2" t="n"/>
      <c r="CC9" s="2" t="n"/>
      <c r="CD9" s="2" t="n"/>
      <c r="CE9" s="2" t="n"/>
      <c r="CF9" s="2" t="n"/>
      <c r="CG9" s="2" t="n"/>
      <c r="CH9" s="2" t="n"/>
      <c r="CI9" s="2" t="n"/>
      <c r="CJ9" s="2" t="n"/>
      <c r="CK9" s="2" t="n"/>
      <c r="CL9" s="2" t="n"/>
      <c r="CM9" s="2" t="n"/>
      <c r="CN9" s="2" t="n"/>
      <c r="CO9" s="2" t="n"/>
      <c r="CP9" s="2" t="n"/>
      <c r="CQ9" s="2" t="n"/>
      <c r="CR9" s="2" t="n"/>
      <c r="CS9" s="2" t="n"/>
      <c r="CT9" s="2" t="n"/>
      <c r="CU9" s="2" t="n"/>
      <c r="CV9" s="2" t="n"/>
      <c r="CW9" s="2" t="n"/>
      <c r="CX9" s="2" t="n"/>
      <c r="CY9" s="2" t="n"/>
      <c r="CZ9" s="2" t="n"/>
      <c r="DA9" s="2" t="n"/>
      <c r="DB9" s="2" t="n"/>
      <c r="DC9" s="2" t="n"/>
      <c r="DD9" s="2" t="n"/>
      <c r="DE9" s="2" t="n"/>
    </row>
    <row r="10">
      <c r="A10" s="2" t="inlineStr">
        <is>
          <t>issue_072</t>
        </is>
      </c>
      <c r="B10" s="4" t="inlineStr">
        <is>
          <t>Passed on test</t>
        </is>
      </c>
      <c r="C10" s="4" t="inlineStr">
        <is>
          <t>Passed on test</t>
        </is>
      </c>
      <c r="D10" s="4" t="inlineStr">
        <is>
          <t>Passed on test</t>
        </is>
      </c>
      <c r="E10" s="4" t="inlineStr">
        <is>
          <t>Passed on test</t>
        </is>
      </c>
      <c r="F10" s="3" t="inlineStr">
        <is>
          <t>NOT_TESTED</t>
        </is>
      </c>
      <c r="G10" s="3" t="inlineStr">
        <is>
          <t>NOT_TESTED</t>
        </is>
      </c>
      <c r="H10" s="3" t="inlineStr">
        <is>
          <t>NOT_TESTED</t>
        </is>
      </c>
      <c r="I10" s="3" t="inlineStr">
        <is>
          <t>NOT_TESTED</t>
        </is>
      </c>
      <c r="J10" s="3" t="inlineStr">
        <is>
          <t>NOT_TESTED</t>
        </is>
      </c>
      <c r="K10" s="3" t="inlineStr">
        <is>
          <t>NOT_TESTED</t>
        </is>
      </c>
      <c r="L10" s="3" t="inlineStr">
        <is>
          <t>NOT_TESTED</t>
        </is>
      </c>
      <c r="M10" s="3" t="inlineStr">
        <is>
          <t>NOT_TESTED</t>
        </is>
      </c>
      <c r="N10" s="3" t="inlineStr">
        <is>
          <t>NOT_TESTED</t>
        </is>
      </c>
      <c r="O10" s="3" t="inlineStr">
        <is>
          <t>NOT_TESTED</t>
        </is>
      </c>
      <c r="P10" s="3" t="inlineStr">
        <is>
          <t>NOT_TESTED</t>
        </is>
      </c>
      <c r="Q10" s="3" t="inlineStr">
        <is>
          <t>NOT_TESTED</t>
        </is>
      </c>
      <c r="R10" s="3" t="inlineStr">
        <is>
          <t>NOT_TESTED</t>
        </is>
      </c>
      <c r="S10" s="3" t="inlineStr">
        <is>
          <t>NOT_TESTED</t>
        </is>
      </c>
      <c r="T10" s="3" t="inlineStr">
        <is>
          <t>NOT_TESTED</t>
        </is>
      </c>
      <c r="U10" s="3" t="inlineStr">
        <is>
          <t>NOT_TESTED</t>
        </is>
      </c>
      <c r="V10" s="3" t="inlineStr">
        <is>
          <t>NOT_TESTED</t>
        </is>
      </c>
      <c r="W10" s="3" t="inlineStr">
        <is>
          <t>NOT_TESTED</t>
        </is>
      </c>
      <c r="X10" s="3" t="inlineStr">
        <is>
          <t>NOT_TESTED</t>
        </is>
      </c>
      <c r="Y10" s="3" t="inlineStr">
        <is>
          <t>NOT_TESTED</t>
        </is>
      </c>
      <c r="Z10" s="3" t="inlineStr">
        <is>
          <t>NOT_TESTED</t>
        </is>
      </c>
      <c r="AA10" s="3" t="inlineStr">
        <is>
          <t>NOT_TESTED</t>
        </is>
      </c>
      <c r="AB10" s="3" t="inlineStr">
        <is>
          <t>NOT_TESTED</t>
        </is>
      </c>
      <c r="AC10" s="2" t="n"/>
      <c r="AD10" s="2" t="n"/>
      <c r="AE10" s="2" t="n"/>
      <c r="AF10" s="2" t="n"/>
      <c r="AG10" s="2" t="n"/>
      <c r="AH10" s="2" t="n"/>
      <c r="AI10" s="2" t="n"/>
      <c r="AJ10" s="2" t="n"/>
      <c r="AK10" s="2" t="n"/>
      <c r="AL10" s="2" t="n"/>
      <c r="AM10" s="2" t="n"/>
      <c r="AN10" s="2" t="n"/>
      <c r="AO10" s="2" t="n"/>
      <c r="AP10" s="2" t="n"/>
      <c r="AQ10" s="2" t="n"/>
      <c r="AR10" s="2" t="n"/>
      <c r="AS10" s="2" t="n"/>
      <c r="AT10" s="2" t="n"/>
      <c r="AU10" s="2" t="n"/>
      <c r="AV10" s="2" t="n"/>
      <c r="AW10" s="2" t="n"/>
      <c r="AX10" s="2" t="n"/>
      <c r="AY10" s="2" t="n"/>
      <c r="AZ10" s="2" t="n"/>
      <c r="BA10" s="2" t="n"/>
      <c r="BB10" s="2" t="n"/>
      <c r="BC10" s="2" t="n"/>
      <c r="BD10" s="2" t="n"/>
      <c r="BE10" s="2" t="n"/>
      <c r="BF10" s="2" t="n"/>
      <c r="BG10" s="2" t="n"/>
      <c r="BH10" s="2" t="n"/>
      <c r="BI10" s="2" t="n"/>
      <c r="BJ10" s="2" t="n"/>
      <c r="BK10" s="2" t="n"/>
      <c r="BL10" s="2" t="n"/>
      <c r="BM10" s="2" t="n"/>
      <c r="BN10" s="2" t="n"/>
      <c r="BO10" s="2" t="n"/>
      <c r="BP10" s="2" t="n"/>
      <c r="BQ10" s="2" t="n"/>
      <c r="BR10" s="2" t="n"/>
      <c r="BS10" s="2" t="n"/>
      <c r="BT10" s="2" t="n"/>
      <c r="BU10" s="2" t="n"/>
      <c r="BV10" s="2" t="n"/>
      <c r="BW10" s="2" t="n"/>
      <c r="BX10" s="2" t="n"/>
      <c r="BY10" s="2" t="n"/>
      <c r="BZ10" s="2" t="n"/>
      <c r="CA10" s="2" t="n"/>
      <c r="CB10" s="2" t="n"/>
      <c r="CC10" s="2" t="n"/>
      <c r="CD10" s="2" t="n"/>
      <c r="CE10" s="2" t="n"/>
      <c r="CF10" s="2" t="n"/>
      <c r="CG10" s="2" t="n"/>
      <c r="CH10" s="2" t="n"/>
      <c r="CI10" s="2" t="n"/>
      <c r="CJ10" s="2" t="n"/>
      <c r="CK10" s="2" t="n"/>
      <c r="CL10" s="2" t="n"/>
      <c r="CM10" s="2" t="n"/>
      <c r="CN10" s="2" t="n"/>
      <c r="CO10" s="2" t="n"/>
      <c r="CP10" s="2" t="n"/>
      <c r="CQ10" s="2" t="n"/>
      <c r="CR10" s="2" t="n"/>
      <c r="CS10" s="2" t="n"/>
      <c r="CT10" s="2" t="n"/>
      <c r="CU10" s="2" t="n"/>
      <c r="CV10" s="2" t="n"/>
      <c r="CW10" s="2" t="n"/>
      <c r="CX10" s="2" t="n"/>
      <c r="CY10" s="2" t="n"/>
      <c r="CZ10" s="2" t="n"/>
      <c r="DA10" s="2" t="n"/>
      <c r="DB10" s="2" t="n"/>
      <c r="DC10" s="2" t="n"/>
      <c r="DD10" s="2" t="n"/>
      <c r="DE10" s="2" t="n"/>
    </row>
    <row r="11">
      <c r="A11" s="2" t="inlineStr">
        <is>
          <t>issue_096</t>
        </is>
      </c>
      <c r="B11" s="5" t="inlineStr">
        <is>
          <t>Failed on test</t>
        </is>
      </c>
      <c r="C11" s="5" t="inlineStr">
        <is>
          <t>Failed on test</t>
        </is>
      </c>
      <c r="D11" s="5" t="inlineStr">
        <is>
          <t>Failed on test</t>
        </is>
      </c>
      <c r="E11" s="5" t="inlineStr">
        <is>
          <t>Failed on test</t>
        </is>
      </c>
      <c r="F11" s="5" t="inlineStr">
        <is>
          <t>Failed on test</t>
        </is>
      </c>
      <c r="G11" s="5" t="inlineStr">
        <is>
          <t>Failed on test</t>
        </is>
      </c>
      <c r="H11" s="5" t="inlineStr">
        <is>
          <t>Failed on test</t>
        </is>
      </c>
      <c r="I11" s="5" t="inlineStr">
        <is>
          <t>Failed on test</t>
        </is>
      </c>
      <c r="J11" s="5" t="inlineStr">
        <is>
          <t>Failed on test</t>
        </is>
      </c>
      <c r="K11" s="5" t="inlineStr">
        <is>
          <t>Failed on test</t>
        </is>
      </c>
      <c r="L11" s="5" t="inlineStr">
        <is>
          <t>Failed on test</t>
        </is>
      </c>
      <c r="M11" s="5" t="inlineStr">
        <is>
          <t>Failed on test</t>
        </is>
      </c>
      <c r="N11" s="5" t="inlineStr">
        <is>
          <t>Failed on test</t>
        </is>
      </c>
      <c r="O11" s="5" t="inlineStr">
        <is>
          <t>Failed on test</t>
        </is>
      </c>
      <c r="P11" s="5" t="inlineStr">
        <is>
          <t>Failed on test</t>
        </is>
      </c>
      <c r="Q11" s="5" t="inlineStr">
        <is>
          <t>Failed on test</t>
        </is>
      </c>
      <c r="R11" s="5" t="inlineStr">
        <is>
          <t>Failed on test</t>
        </is>
      </c>
      <c r="S11" s="5" t="inlineStr">
        <is>
          <t>Failed on test</t>
        </is>
      </c>
      <c r="T11" s="5" t="inlineStr">
        <is>
          <t>Failed on test</t>
        </is>
      </c>
      <c r="U11" s="5" t="inlineStr">
        <is>
          <t>Failed on test</t>
        </is>
      </c>
      <c r="V11" s="5" t="inlineStr">
        <is>
          <t>Failed on test</t>
        </is>
      </c>
      <c r="W11" s="5" t="inlineStr">
        <is>
          <t>Failed on test</t>
        </is>
      </c>
      <c r="X11" s="5" t="inlineStr">
        <is>
          <t>Failed on test</t>
        </is>
      </c>
      <c r="Y11" s="5" t="inlineStr">
        <is>
          <t>Failed on test</t>
        </is>
      </c>
      <c r="Z11" s="5" t="inlineStr">
        <is>
          <t>Failed on test</t>
        </is>
      </c>
      <c r="AA11" s="5" t="inlineStr">
        <is>
          <t>Failed on test</t>
        </is>
      </c>
      <c r="AB11" s="5" t="inlineStr">
        <is>
          <t>Failed on test</t>
        </is>
      </c>
      <c r="AC11" s="2" t="inlineStr">
        <is>
          <t>AssertionError</t>
        </is>
      </c>
      <c r="AD11" s="2" t="inlineStr">
        <is>
          <t>AssertionError: '' != '[default]\n'; AssertionError: False is not true : Missing ipython_kernel_config.py (even when the profile directory already exists)</t>
        </is>
      </c>
      <c r="AE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AF11" s="2" t="inlineStr">
        <is>
          <t>AssertionError</t>
        </is>
      </c>
      <c r="AG11" s="2" t="inlineStr">
        <is>
          <t>AssertionError: '' != '[default]\n'; AssertionError: False is not true : Missing ipython_kernel_config.py (even when the profile directory already exists)</t>
        </is>
      </c>
      <c r="AH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AI11" s="2" t="inlineStr">
        <is>
          <t>AssertionError</t>
        </is>
      </c>
      <c r="AJ11" s="2" t="inlineStr">
        <is>
          <t>AssertionError: '' != '[default]\n'; AssertionError: False is not true : Missing ipython_kernel_config.py (even when the profile directory already exists)</t>
        </is>
      </c>
      <c r="AK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AL11" s="2" t="inlineStr">
        <is>
          <t>AssertionError</t>
        </is>
      </c>
      <c r="AM11" s="2" t="inlineStr">
        <is>
          <t>AssertionError: '' != '[default]\n'; AssertionError: False is not true : Missing ipython_kernel_config.py (even when the profile directory already exists)</t>
        </is>
      </c>
      <c r="AN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AO11" s="2" t="inlineStr">
        <is>
          <t>AssertionError</t>
        </is>
      </c>
      <c r="AP11" s="2" t="inlineStr">
        <is>
          <t>AssertionError: '' != '[default]\n'; AssertionError: False is not true : Missing ipython_kernel_config.py (even when the profile directory already exists)</t>
        </is>
      </c>
      <c r="AQ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AR11" s="2" t="inlineStr">
        <is>
          <t>AssertionError</t>
        </is>
      </c>
      <c r="AS11" s="2" t="inlineStr">
        <is>
          <t>AssertionError: '' != '[default]\n'; AssertionError: False is not true : Missing ipython_kernel_config.py (even when the profile directory already exists)</t>
        </is>
      </c>
      <c r="AT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AU11" s="2" t="inlineStr">
        <is>
          <t>AssertionError</t>
        </is>
      </c>
      <c r="AV11" s="2" t="inlineStr">
        <is>
          <t>AssertionError: '' != '[default]\n'; AssertionError: False is not true : Missing ipython_kernel_config.py (even when the profile directory already exists)</t>
        </is>
      </c>
      <c r="AW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AX11" s="2" t="inlineStr">
        <is>
          <t>AssertionError</t>
        </is>
      </c>
      <c r="AY11" s="2" t="inlineStr">
        <is>
          <t>AssertionError: '' != '[default]\n'; AssertionError: False is not true : Missing ipython_kernel_config.py (even when the profile directory already exists)</t>
        </is>
      </c>
      <c r="AZ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BA11" s="2" t="inlineStr">
        <is>
          <t>AssertionError</t>
        </is>
      </c>
      <c r="BB11" s="2" t="inlineStr">
        <is>
          <t>AssertionError: '' != '[default]\n'; AssertionError: False is not true : Missing ipython_kernel_config.py (even when the profile directory already exists)</t>
        </is>
      </c>
      <c r="BC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BD11" s="2" t="inlineStr">
        <is>
          <t>AssertionError</t>
        </is>
      </c>
      <c r="BE11" s="2" t="inlineStr">
        <is>
          <t>AssertionError: '' != '[default]\n'; AssertionError: False is not true : Missing ipython_kernel_config.py (even when the profile directory already exists)</t>
        </is>
      </c>
      <c r="BF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BG11" s="2" t="inlineStr">
        <is>
          <t>AssertionError</t>
        </is>
      </c>
      <c r="BH11" s="2" t="inlineStr">
        <is>
          <t>AssertionError: '' != '[default]\n'; AssertionError: False is not true : Missing ipython_kernel_config.py (even when the profile directory already exists)</t>
        </is>
      </c>
      <c r="BI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BJ11" s="2" t="inlineStr">
        <is>
          <t>AssertionError</t>
        </is>
      </c>
      <c r="BK11" s="2" t="inlineStr">
        <is>
          <t>AssertionError: '' != '[default]\n'; AssertionError: False is not true : Missing ipython_kernel_config.py (even when the profile directory already exists)</t>
        </is>
      </c>
      <c r="BL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BM11" s="2" t="inlineStr">
        <is>
          <t>AssertionError</t>
        </is>
      </c>
      <c r="BN11" s="2" t="inlineStr">
        <is>
          <t>AssertionError: '' != '[default]\n'; AssertionError: False is not true : Missing ipython_kernel_config.py (even when the profile directory already exists)</t>
        </is>
      </c>
      <c r="BO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BP11" s="2" t="inlineStr">
        <is>
          <t>AssertionError</t>
        </is>
      </c>
      <c r="BQ11" s="2" t="inlineStr">
        <is>
          <t>AssertionError: '' != '[default]\n'; AssertionError: False is not true : Missing ipython_kernel_config.py (even when the profile directory already exists)</t>
        </is>
      </c>
      <c r="BR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BS11" s="2" t="inlineStr">
        <is>
          <t>AssertionError</t>
        </is>
      </c>
      <c r="BT11" s="2" t="inlineStr">
        <is>
          <t>AssertionError: '' != '[default]\n'; AssertionError: False is not true : Missing ipython_kernel_config.py (even when the profile directory already exists)</t>
        </is>
      </c>
      <c r="BU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BV11" s="2" t="inlineStr">
        <is>
          <t>AssertionError</t>
        </is>
      </c>
      <c r="BW11" s="2" t="inlineStr">
        <is>
          <t>AssertionError: '' != '[default]\n'; AssertionError: False is not true : Missing ipython_kernel_config.py (even when the profile directory already exists)</t>
        </is>
      </c>
      <c r="BX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BY11" s="2" t="inlineStr">
        <is>
          <t>AssertionError</t>
        </is>
      </c>
      <c r="BZ11" s="2" t="inlineStr">
        <is>
          <t>AssertionError: '' != '[default]\n'; AssertionError: False is not true : Missing ipython_kernel_config.py (even when the profile directory already exists)</t>
        </is>
      </c>
      <c r="CA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CB11" s="2" t="inlineStr">
        <is>
          <t>AssertionError</t>
        </is>
      </c>
      <c r="CC11" s="2" t="inlineStr">
        <is>
          <t>AssertionError: '' != '[default]\n'; AssertionError: False is not true : Missing ipython_kernel_config.py (even when the profile directory already exists)</t>
        </is>
      </c>
      <c r="CD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CE11" s="2" t="inlineStr">
        <is>
          <t>AssertionError</t>
        </is>
      </c>
      <c r="CF11" s="2" t="inlineStr">
        <is>
          <t>AssertionError: '' != '[default]\n'; AssertionError: False is not true : Missing ipython_kernel_config.py (even when the profile directory already exists)</t>
        </is>
      </c>
      <c r="CG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CH11" s="2" t="inlineStr">
        <is>
          <t>AssertionError</t>
        </is>
      </c>
      <c r="CI11" s="2" t="inlineStr">
        <is>
          <t>AssertionError: '' != '[default]\n'; AssertionError: False is not true : Missing ipython_kernel_config.py (even when the profile directory already exists)</t>
        </is>
      </c>
      <c r="CJ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CK11" s="2" t="inlineStr">
        <is>
          <t>AssertionError</t>
        </is>
      </c>
      <c r="CL11" s="2" t="inlineStr">
        <is>
          <t>AssertionError: '' != '[default]\n'; AssertionError: False is not true : Missing ipython_kernel_config.py (even when the profile directory already exists)</t>
        </is>
      </c>
      <c r="CM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CN11" s="2" t="inlineStr">
        <is>
          <t>AssertionError</t>
        </is>
      </c>
      <c r="CO11" s="2" t="inlineStr">
        <is>
          <t>AssertionError: '' != '[default]\n'; AssertionError: False is not true : Missing ipython_kernel_config.py (even when the profile directory already exists)</t>
        </is>
      </c>
      <c r="CP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CQ11" s="2" t="inlineStr">
        <is>
          <t>AssertionError</t>
        </is>
      </c>
      <c r="CR11" s="2" t="inlineStr">
        <is>
          <t>AssertionError: '' != '[default]\n'; AssertionError: False is not true : Missing ipython_kernel_config.py (even when the profile directory already exists)</t>
        </is>
      </c>
      <c r="CS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CT11" s="2" t="inlineStr">
        <is>
          <t>AssertionError</t>
        </is>
      </c>
      <c r="CU11" s="2" t="inlineStr">
        <is>
          <t>AssertionError: '' != '[default]\n'; AssertionError: False is not true : Missing ipython_kernel_config.py (even when the profile directory already exists)</t>
        </is>
      </c>
      <c r="CV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CW11" s="2" t="inlineStr">
        <is>
          <t>AssertionError</t>
        </is>
      </c>
      <c r="CX11" s="2" t="inlineStr">
        <is>
          <t>AssertionError: '' != '[default]\n'; AssertionError: False is not true : Missing ipython_kernel_config.py (even when the profile directory already exists)</t>
        </is>
      </c>
      <c r="CY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CZ11" s="2" t="inlineStr">
        <is>
          <t>AssertionError</t>
        </is>
      </c>
      <c r="DA11" s="2" t="inlineStr">
        <is>
          <t>AssertionError: '' != '[default]\n'; AssertionError: False is not true : Missing ipython_kernel_config.py (even when the profile directory already exists)</t>
        </is>
      </c>
      <c r="DB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DC11" s="2" t="inlineStr">
        <is>
          <t>AssertionError</t>
        </is>
      </c>
      <c r="DD11" s="2" t="inlineStr">
        <is>
          <t>AssertionError: '' != '[default]\n'; AssertionError: False is not true : Missing ipython_kernel_config.py (even when the profile directory already exists)</t>
        </is>
      </c>
      <c r="DE11" s="2"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row>
    <row r="12">
      <c r="A12" s="2" t="inlineStr">
        <is>
          <t>issue_155</t>
        </is>
      </c>
      <c r="B12" s="6" t="inlineStr">
        <is>
          <t>Runtime error</t>
        </is>
      </c>
      <c r="C12" s="6" t="inlineStr">
        <is>
          <t>Runtime error</t>
        </is>
      </c>
      <c r="D12" s="6" t="inlineStr">
        <is>
          <t>Runtime error</t>
        </is>
      </c>
      <c r="E12" s="6" t="inlineStr">
        <is>
          <t>Runtime error</t>
        </is>
      </c>
      <c r="F12" s="4" t="inlineStr">
        <is>
          <t>Passed on test</t>
        </is>
      </c>
      <c r="G12" s="4" t="inlineStr">
        <is>
          <t>Passed on test</t>
        </is>
      </c>
      <c r="H12" s="4" t="inlineStr">
        <is>
          <t>Passed on test</t>
        </is>
      </c>
      <c r="I12" s="4" t="inlineStr">
        <is>
          <t>Passed on test</t>
        </is>
      </c>
      <c r="J12" s="4" t="inlineStr">
        <is>
          <t>Passed on test</t>
        </is>
      </c>
      <c r="K12" s="4" t="inlineStr">
        <is>
          <t>Passed on test</t>
        </is>
      </c>
      <c r="L12" s="4" t="inlineStr">
        <is>
          <t>Passed on test</t>
        </is>
      </c>
      <c r="M12" s="4" t="inlineStr">
        <is>
          <t>Passed on test</t>
        </is>
      </c>
      <c r="N12" s="3" t="inlineStr">
        <is>
          <t>NOT_TESTED</t>
        </is>
      </c>
      <c r="O12" s="3" t="inlineStr">
        <is>
          <t>NOT_TESTED</t>
        </is>
      </c>
      <c r="P12" s="3" t="inlineStr">
        <is>
          <t>NOT_TESTED</t>
        </is>
      </c>
      <c r="Q12" s="3" t="inlineStr">
        <is>
          <t>NOT_TESTED</t>
        </is>
      </c>
      <c r="R12" s="3" t="inlineStr">
        <is>
          <t>NOT_TESTED</t>
        </is>
      </c>
      <c r="S12" s="3" t="inlineStr">
        <is>
          <t>NOT_TESTED</t>
        </is>
      </c>
      <c r="T12" s="3" t="inlineStr">
        <is>
          <t>NOT_TESTED</t>
        </is>
      </c>
      <c r="U12" s="3" t="inlineStr">
        <is>
          <t>NOT_TESTED</t>
        </is>
      </c>
      <c r="V12" s="3" t="inlineStr">
        <is>
          <t>NOT_TESTED</t>
        </is>
      </c>
      <c r="W12" s="3" t="inlineStr">
        <is>
          <t>NOT_TESTED</t>
        </is>
      </c>
      <c r="X12" s="3" t="inlineStr">
        <is>
          <t>NOT_TESTED</t>
        </is>
      </c>
      <c r="Y12" s="3" t="inlineStr">
        <is>
          <t>NOT_TESTED</t>
        </is>
      </c>
      <c r="Z12" s="3" t="inlineStr">
        <is>
          <t>NOT_TESTED</t>
        </is>
      </c>
      <c r="AA12" s="3" t="inlineStr">
        <is>
          <t>NOT_TESTED</t>
        </is>
      </c>
      <c r="AB12" s="3" t="inlineStr">
        <is>
          <t>NOT_TESTED</t>
        </is>
      </c>
      <c r="AC12" s="2" t="inlineStr">
        <is>
          <t>AttributeError</t>
        </is>
      </c>
      <c r="AD12" s="2" t="inlineStr">
        <is>
          <t>AttributeError: 'QuantumCircuit' object has no attribute 'find_bit'</t>
        </is>
      </c>
      <c r="AE12" s="2" t="inlineStr">
        <is>
          <t>Error on 0.25.x, passed on 0.45.x / 0.46.x: the LLM turned the traced-out registers into qubit indices with qc.find_bit(qubit).index, which is correct but QuantumCircuit.find_bit() doesn't exist yet in Qiskit 0.25 (AttributeError). Same approach as gpt-6-luna; gpt-5.6-luna used qc.qubits.index() and passed on all 12 versions.</t>
        </is>
      </c>
      <c r="AF12" s="2" t="inlineStr">
        <is>
          <t>AttributeError</t>
        </is>
      </c>
      <c r="AG12" s="2" t="inlineStr">
        <is>
          <t>AttributeError: 'QuantumCircuit' object has no attribute 'find_bit'</t>
        </is>
      </c>
      <c r="AH12" s="2" t="inlineStr">
        <is>
          <t>Error on 0.25.x, passed on 0.45.x / 0.46.x: the LLM turned the traced-out registers into qubit indices with qc.find_bit(qubit).index, which is correct but QuantumCircuit.find_bit() doesn't exist yet in Qiskit 0.25 (AttributeError). Same approach as gpt-6-luna; gpt-5.6-luna used qc.qubits.index() and passed on all 12 versions.</t>
        </is>
      </c>
      <c r="AI12" s="2" t="inlineStr">
        <is>
          <t>AttributeError</t>
        </is>
      </c>
      <c r="AJ12" s="2" t="inlineStr">
        <is>
          <t>AttributeError: 'QuantumCircuit' object has no attribute 'find_bit'</t>
        </is>
      </c>
      <c r="AK12" s="2" t="inlineStr">
        <is>
          <t>Error on 0.25.x, passed on 0.45.x / 0.46.x: the LLM turned the traced-out registers into qubit indices with qc.find_bit(qubit).index, which is correct but QuantumCircuit.find_bit() doesn't exist yet in Qiskit 0.25 (AttributeError). Same approach as gpt-6-luna; gpt-5.6-luna used qc.qubits.index() and passed on all 12 versions.</t>
        </is>
      </c>
      <c r="AL12" s="2" t="inlineStr">
        <is>
          <t>AttributeError</t>
        </is>
      </c>
      <c r="AM12" s="2" t="inlineStr">
        <is>
          <t>AttributeError: 'QuantumCircuit' object has no attribute 'find_bit'</t>
        </is>
      </c>
      <c r="AN12" s="2" t="inlineStr">
        <is>
          <t>Error on 0.25.x, passed on 0.45.x / 0.46.x: the LLM turned the traced-out registers into qubit indices with qc.find_bit(qubit).index, which is correct but QuantumCircuit.find_bit() doesn't exist yet in Qiskit 0.25 (AttributeError). Same approach as gpt-6-luna; gpt-5.6-luna used qc.qubits.index() and passed on all 12 versions.</t>
        </is>
      </c>
      <c r="AO12" s="2" t="n"/>
      <c r="AP12" s="2" t="n"/>
      <c r="AQ12" s="2" t="n"/>
      <c r="AR12" s="2" t="n"/>
      <c r="AS12" s="2" t="n"/>
      <c r="AT12" s="2" t="n"/>
      <c r="AU12" s="2" t="n"/>
      <c r="AV12" s="2" t="n"/>
      <c r="AW12" s="2" t="n"/>
      <c r="AX12" s="2" t="n"/>
      <c r="AY12" s="2" t="n"/>
      <c r="AZ12" s="2" t="n"/>
      <c r="BA12" s="2" t="n"/>
      <c r="BB12" s="2" t="n"/>
      <c r="BC12" s="2" t="n"/>
      <c r="BD12" s="2" t="n"/>
      <c r="BE12" s="2" t="n"/>
      <c r="BF12" s="2" t="n"/>
      <c r="BG12" s="2" t="n"/>
      <c r="BH12" s="2" t="n"/>
      <c r="BI12" s="2" t="n"/>
      <c r="BJ12" s="2" t="n"/>
      <c r="BK12" s="2" t="n"/>
      <c r="BL12" s="2" t="n"/>
      <c r="BM12" s="2" t="n"/>
      <c r="BN12" s="2" t="n"/>
      <c r="BO12" s="2" t="n"/>
      <c r="BP12" s="2" t="n"/>
      <c r="BQ12" s="2" t="n"/>
      <c r="BR12" s="2" t="n"/>
      <c r="BS12" s="2" t="n"/>
      <c r="BT12" s="2" t="n"/>
      <c r="BU12" s="2" t="n"/>
      <c r="BV12" s="2" t="n"/>
      <c r="BW12" s="2" t="n"/>
      <c r="BX12" s="2" t="n"/>
      <c r="BY12" s="2" t="n"/>
      <c r="BZ12" s="2" t="n"/>
      <c r="CA12" s="2" t="n"/>
      <c r="CB12" s="2" t="n"/>
      <c r="CC12" s="2" t="n"/>
      <c r="CD12" s="2" t="n"/>
      <c r="CE12" s="2" t="n"/>
      <c r="CF12" s="2" t="n"/>
      <c r="CG12" s="2" t="n"/>
      <c r="CH12" s="2" t="n"/>
      <c r="CI12" s="2" t="n"/>
      <c r="CJ12" s="2" t="n"/>
      <c r="CK12" s="2" t="n"/>
      <c r="CL12" s="2" t="n"/>
      <c r="CM12" s="2" t="n"/>
      <c r="CN12" s="2" t="n"/>
      <c r="CO12" s="2" t="n"/>
      <c r="CP12" s="2" t="n"/>
      <c r="CQ12" s="2" t="n"/>
      <c r="CR12" s="2" t="n"/>
      <c r="CS12" s="2" t="n"/>
      <c r="CT12" s="2" t="n"/>
      <c r="CU12" s="2" t="n"/>
      <c r="CV12" s="2" t="n"/>
      <c r="CW12" s="2" t="n"/>
      <c r="CX12" s="2" t="n"/>
      <c r="CY12" s="2" t="n"/>
      <c r="CZ12" s="2" t="n"/>
      <c r="DA12" s="2" t="n"/>
      <c r="DB12" s="2" t="n"/>
      <c r="DC12" s="2" t="n"/>
      <c r="DD12" s="2" t="n"/>
      <c r="DE12" s="2" t="n"/>
    </row>
    <row r="13">
      <c r="A13" s="2" t="inlineStr">
        <is>
          <t>issue_157</t>
        </is>
      </c>
      <c r="B13" s="6" t="inlineStr">
        <is>
          <t>Runtime error</t>
        </is>
      </c>
      <c r="C13" s="6" t="inlineStr">
        <is>
          <t>Runtime error</t>
        </is>
      </c>
      <c r="D13" s="6" t="inlineStr">
        <is>
          <t>Runtime error</t>
        </is>
      </c>
      <c r="E13" s="6" t="inlineStr">
        <is>
          <t>Runtime error</t>
        </is>
      </c>
      <c r="F13" s="4" t="inlineStr">
        <is>
          <t>Passed on test</t>
        </is>
      </c>
      <c r="G13" s="4" t="inlineStr">
        <is>
          <t>Passed on test</t>
        </is>
      </c>
      <c r="H13" s="4" t="inlineStr">
        <is>
          <t>Passed on test</t>
        </is>
      </c>
      <c r="I13" s="4" t="inlineStr">
        <is>
          <t>Passed on test</t>
        </is>
      </c>
      <c r="J13" s="4" t="inlineStr">
        <is>
          <t>Passed on test</t>
        </is>
      </c>
      <c r="K13" s="4" t="inlineStr">
        <is>
          <t>Passed on test</t>
        </is>
      </c>
      <c r="L13" s="4" t="inlineStr">
        <is>
          <t>Passed on test</t>
        </is>
      </c>
      <c r="M13" s="4" t="inlineStr">
        <is>
          <t>Passed on test</t>
        </is>
      </c>
      <c r="N13" s="3" t="inlineStr">
        <is>
          <t>NOT_TESTED</t>
        </is>
      </c>
      <c r="O13" s="3" t="inlineStr">
        <is>
          <t>NOT_TESTED</t>
        </is>
      </c>
      <c r="P13" s="3" t="inlineStr">
        <is>
          <t>NOT_TESTED</t>
        </is>
      </c>
      <c r="Q13" s="3" t="inlineStr">
        <is>
          <t>NOT_TESTED</t>
        </is>
      </c>
      <c r="R13" s="3" t="inlineStr">
        <is>
          <t>NOT_TESTED</t>
        </is>
      </c>
      <c r="S13" s="3" t="inlineStr">
        <is>
          <t>NOT_TESTED</t>
        </is>
      </c>
      <c r="T13" s="3" t="inlineStr">
        <is>
          <t>NOT_TESTED</t>
        </is>
      </c>
      <c r="U13" s="3" t="inlineStr">
        <is>
          <t>NOT_TESTED</t>
        </is>
      </c>
      <c r="V13" s="3" t="inlineStr">
        <is>
          <t>NOT_TESTED</t>
        </is>
      </c>
      <c r="W13" s="3" t="inlineStr">
        <is>
          <t>NOT_TESTED</t>
        </is>
      </c>
      <c r="X13" s="3" t="inlineStr">
        <is>
          <t>NOT_TESTED</t>
        </is>
      </c>
      <c r="Y13" s="3" t="inlineStr">
        <is>
          <t>NOT_TESTED</t>
        </is>
      </c>
      <c r="Z13" s="3" t="inlineStr">
        <is>
          <t>NOT_TESTED</t>
        </is>
      </c>
      <c r="AA13" s="3" t="inlineStr">
        <is>
          <t>NOT_TESTED</t>
        </is>
      </c>
      <c r="AB13" s="3" t="inlineStr">
        <is>
          <t>NOT_TESTED</t>
        </is>
      </c>
      <c r="AC13" s="2" t="inlineStr">
        <is>
          <t>AttributeError</t>
        </is>
      </c>
      <c r="AD13" s="2" t="inlineStr">
        <is>
          <t>AttributeError: 'QuantumCircuit' object has no attribute 'prepare_state'</t>
        </is>
      </c>
      <c r="AE13" s="2" t="inlineStr">
        <is>
          <t>Error on 0.25.x, passed on 0.45.x / 0.46.x: the LLM replaced initialize() (which contains a non-unitary reset and can't be controlled) with prepare_state(), which is correct but doesn't exist yet in Qiskit 0.25 (AttributeError). Same code as gpt-6-luna.</t>
        </is>
      </c>
      <c r="AF13" s="2" t="inlineStr">
        <is>
          <t>AttributeError</t>
        </is>
      </c>
      <c r="AG13" s="2" t="inlineStr">
        <is>
          <t>AttributeError: 'QuantumCircuit' object has no attribute 'prepare_state'</t>
        </is>
      </c>
      <c r="AH13" s="2" t="inlineStr">
        <is>
          <t>Error on 0.25.x, passed on 0.45.x / 0.46.x: the LLM replaced initialize() (which contains a non-unitary reset and can't be controlled) with prepare_state(), which is correct but doesn't exist yet in Qiskit 0.25 (AttributeError). Same code as gpt-6-luna.</t>
        </is>
      </c>
      <c r="AI13" s="2" t="inlineStr">
        <is>
          <t>AttributeError</t>
        </is>
      </c>
      <c r="AJ13" s="2" t="inlineStr">
        <is>
          <t>AttributeError: 'QuantumCircuit' object has no attribute 'prepare_state'</t>
        </is>
      </c>
      <c r="AK13" s="2" t="inlineStr">
        <is>
          <t>Error on 0.25.x, passed on 0.45.x / 0.46.x: the LLM replaced initialize() (which contains a non-unitary reset and can't be controlled) with prepare_state(), which is correct but doesn't exist yet in Qiskit 0.25 (AttributeError). Same code as gpt-6-luna.</t>
        </is>
      </c>
      <c r="AL13" s="2" t="inlineStr">
        <is>
          <t>AttributeError</t>
        </is>
      </c>
      <c r="AM13" s="2" t="inlineStr">
        <is>
          <t>AttributeError: 'QuantumCircuit' object has no attribute 'prepare_state'</t>
        </is>
      </c>
      <c r="AN13" s="2" t="inlineStr">
        <is>
          <t>Error on 0.25.x, passed on 0.45.x / 0.46.x: the LLM replaced initialize() (which contains a non-unitary reset and can't be controlled) with prepare_state(), which is correct but doesn't exist yet in Qiskit 0.25 (AttributeError). Same code as gpt-6-luna.</t>
        </is>
      </c>
      <c r="AO13" s="2" t="n"/>
      <c r="AP13" s="2" t="n"/>
      <c r="AQ13" s="2" t="n"/>
      <c r="AR13" s="2" t="n"/>
      <c r="AS13" s="2" t="n"/>
      <c r="AT13" s="2" t="n"/>
      <c r="AU13" s="2" t="n"/>
      <c r="AV13" s="2" t="n"/>
      <c r="AW13" s="2" t="n"/>
      <c r="AX13" s="2" t="n"/>
      <c r="AY13" s="2" t="n"/>
      <c r="AZ13" s="2" t="n"/>
      <c r="BA13" s="2" t="n"/>
      <c r="BB13" s="2" t="n"/>
      <c r="BC13" s="2" t="n"/>
      <c r="BD13" s="2" t="n"/>
      <c r="BE13" s="2" t="n"/>
      <c r="BF13" s="2" t="n"/>
      <c r="BG13" s="2" t="n"/>
      <c r="BH13" s="2" t="n"/>
      <c r="BI13" s="2" t="n"/>
      <c r="BJ13" s="2" t="n"/>
      <c r="BK13" s="2" t="n"/>
      <c r="BL13" s="2" t="n"/>
      <c r="BM13" s="2" t="n"/>
      <c r="BN13" s="2" t="n"/>
      <c r="BO13" s="2" t="n"/>
      <c r="BP13" s="2" t="n"/>
      <c r="BQ13" s="2" t="n"/>
      <c r="BR13" s="2" t="n"/>
      <c r="BS13" s="2" t="n"/>
      <c r="BT13" s="2" t="n"/>
      <c r="BU13" s="2" t="n"/>
      <c r="BV13" s="2" t="n"/>
      <c r="BW13" s="2" t="n"/>
      <c r="BX13" s="2" t="n"/>
      <c r="BY13" s="2" t="n"/>
      <c r="BZ13" s="2" t="n"/>
      <c r="CA13" s="2" t="n"/>
      <c r="CB13" s="2" t="n"/>
      <c r="CC13" s="2" t="n"/>
      <c r="CD13" s="2" t="n"/>
      <c r="CE13" s="2" t="n"/>
      <c r="CF13" s="2" t="n"/>
      <c r="CG13" s="2" t="n"/>
      <c r="CH13" s="2" t="n"/>
      <c r="CI13" s="2" t="n"/>
      <c r="CJ13" s="2" t="n"/>
      <c r="CK13" s="2" t="n"/>
      <c r="CL13" s="2" t="n"/>
      <c r="CM13" s="2" t="n"/>
      <c r="CN13" s="2" t="n"/>
      <c r="CO13" s="2" t="n"/>
      <c r="CP13" s="2" t="n"/>
      <c r="CQ13" s="2" t="n"/>
      <c r="CR13" s="2" t="n"/>
      <c r="CS13" s="2" t="n"/>
      <c r="CT13" s="2" t="n"/>
      <c r="CU13" s="2" t="n"/>
      <c r="CV13" s="2" t="n"/>
      <c r="CW13" s="2" t="n"/>
      <c r="CX13" s="2" t="n"/>
      <c r="CY13" s="2" t="n"/>
      <c r="CZ13" s="2" t="n"/>
      <c r="DA13" s="2" t="n"/>
      <c r="DB13" s="2" t="n"/>
      <c r="DC13" s="2" t="n"/>
      <c r="DD13" s="2" t="n"/>
      <c r="DE13" s="2" t="n"/>
    </row>
    <row r="14">
      <c r="A14" s="2" t="inlineStr">
        <is>
          <t>issue_174</t>
        </is>
      </c>
      <c r="B14" s="4" t="inlineStr">
        <is>
          <t>Passed on test</t>
        </is>
      </c>
      <c r="C14" s="4" t="inlineStr">
        <is>
          <t>Passed on test</t>
        </is>
      </c>
      <c r="D14" s="4" t="inlineStr">
        <is>
          <t>Passed on test</t>
        </is>
      </c>
      <c r="E14" s="4" t="inlineStr">
        <is>
          <t>Passed on test</t>
        </is>
      </c>
      <c r="F14" s="4" t="inlineStr">
        <is>
          <t>Passed on test</t>
        </is>
      </c>
      <c r="G14" s="4" t="inlineStr">
        <is>
          <t>Passed on test</t>
        </is>
      </c>
      <c r="H14" s="4" t="inlineStr">
        <is>
          <t>Passed on test</t>
        </is>
      </c>
      <c r="I14" s="4" t="inlineStr">
        <is>
          <t>Passed on test</t>
        </is>
      </c>
      <c r="J14" s="4" t="inlineStr">
        <is>
          <t>Passed on test</t>
        </is>
      </c>
      <c r="K14" s="4" t="inlineStr">
        <is>
          <t>Passed on test</t>
        </is>
      </c>
      <c r="L14" s="4" t="inlineStr">
        <is>
          <t>Passed on test</t>
        </is>
      </c>
      <c r="M14" s="4" t="inlineStr">
        <is>
          <t>Passed on test</t>
        </is>
      </c>
      <c r="N14" s="3" t="inlineStr">
        <is>
          <t>NOT_TESTED</t>
        </is>
      </c>
      <c r="O14" s="3" t="inlineStr">
        <is>
          <t>NOT_TESTED</t>
        </is>
      </c>
      <c r="P14" s="3" t="inlineStr">
        <is>
          <t>NOT_TESTED</t>
        </is>
      </c>
      <c r="Q14" s="3" t="inlineStr">
        <is>
          <t>NOT_TESTED</t>
        </is>
      </c>
      <c r="R14" s="3" t="inlineStr">
        <is>
          <t>NOT_TESTED</t>
        </is>
      </c>
      <c r="S14" s="3" t="inlineStr">
        <is>
          <t>NOT_TESTED</t>
        </is>
      </c>
      <c r="T14" s="3" t="inlineStr">
        <is>
          <t>NOT_TESTED</t>
        </is>
      </c>
      <c r="U14" s="3" t="inlineStr">
        <is>
          <t>NOT_TESTED</t>
        </is>
      </c>
      <c r="V14" s="3" t="inlineStr">
        <is>
          <t>NOT_TESTED</t>
        </is>
      </c>
      <c r="W14" s="3" t="inlineStr">
        <is>
          <t>NOT_TESTED</t>
        </is>
      </c>
      <c r="X14" s="3" t="inlineStr">
        <is>
          <t>NOT_TESTED</t>
        </is>
      </c>
      <c r="Y14" s="3" t="inlineStr">
        <is>
          <t>NOT_TESTED</t>
        </is>
      </c>
      <c r="Z14" s="3" t="inlineStr">
        <is>
          <t>NOT_TESTED</t>
        </is>
      </c>
      <c r="AA14" s="3" t="inlineStr">
        <is>
          <t>NOT_TESTED</t>
        </is>
      </c>
      <c r="AB14" s="3" t="inlineStr">
        <is>
          <t>NOT_TESTED</t>
        </is>
      </c>
      <c r="AC14" s="2" t="n"/>
      <c r="AD14" s="2" t="n"/>
      <c r="AE14" s="2" t="n"/>
      <c r="AF14" s="2" t="n"/>
      <c r="AG14" s="2" t="n"/>
      <c r="AH14" s="2" t="n"/>
      <c r="AI14" s="2" t="n"/>
      <c r="AJ14" s="2" t="n"/>
      <c r="AK14" s="2" t="n"/>
      <c r="AL14" s="2" t="n"/>
      <c r="AM14" s="2" t="n"/>
      <c r="AN14" s="2" t="n"/>
      <c r="AO14" s="2" t="n"/>
      <c r="AP14" s="2" t="n"/>
      <c r="AQ14" s="2" t="n"/>
      <c r="AR14" s="2" t="n"/>
      <c r="AS14" s="2" t="n"/>
      <c r="AT14" s="2" t="n"/>
      <c r="AU14" s="2" t="n"/>
      <c r="AV14" s="2" t="n"/>
      <c r="AW14" s="2" t="n"/>
      <c r="AX14" s="2" t="n"/>
      <c r="AY14" s="2" t="n"/>
      <c r="AZ14" s="2" t="n"/>
      <c r="BA14" s="2" t="n"/>
      <c r="BB14" s="2" t="n"/>
      <c r="BC14" s="2" t="n"/>
      <c r="BD14" s="2" t="n"/>
      <c r="BE14" s="2" t="n"/>
      <c r="BF14" s="2" t="n"/>
      <c r="BG14" s="2" t="n"/>
      <c r="BH14" s="2" t="n"/>
      <c r="BI14" s="2" t="n"/>
      <c r="BJ14" s="2" t="n"/>
      <c r="BK14" s="2" t="n"/>
      <c r="BL14" s="2" t="n"/>
      <c r="BM14" s="2" t="n"/>
      <c r="BN14" s="2" t="n"/>
      <c r="BO14" s="2" t="n"/>
      <c r="BP14" s="2" t="n"/>
      <c r="BQ14" s="2" t="n"/>
      <c r="BR14" s="2" t="n"/>
      <c r="BS14" s="2" t="n"/>
      <c r="BT14" s="2" t="n"/>
      <c r="BU14" s="2" t="n"/>
      <c r="BV14" s="2" t="n"/>
      <c r="BW14" s="2" t="n"/>
      <c r="BX14" s="2" t="n"/>
      <c r="BY14" s="2" t="n"/>
      <c r="BZ14" s="2" t="n"/>
      <c r="CA14" s="2" t="n"/>
      <c r="CB14" s="2" t="n"/>
      <c r="CC14" s="2" t="n"/>
      <c r="CD14" s="2" t="n"/>
      <c r="CE14" s="2" t="n"/>
      <c r="CF14" s="2" t="n"/>
      <c r="CG14" s="2" t="n"/>
      <c r="CH14" s="2" t="n"/>
      <c r="CI14" s="2" t="n"/>
      <c r="CJ14" s="2" t="n"/>
      <c r="CK14" s="2" t="n"/>
      <c r="CL14" s="2" t="n"/>
      <c r="CM14" s="2" t="n"/>
      <c r="CN14" s="2" t="n"/>
      <c r="CO14" s="2" t="n"/>
      <c r="CP14" s="2" t="n"/>
      <c r="CQ14" s="2" t="n"/>
      <c r="CR14" s="2" t="n"/>
      <c r="CS14" s="2" t="n"/>
      <c r="CT14" s="2" t="n"/>
      <c r="CU14" s="2" t="n"/>
      <c r="CV14" s="2" t="n"/>
      <c r="CW14" s="2" t="n"/>
      <c r="CX14" s="2" t="n"/>
      <c r="CY14" s="2" t="n"/>
      <c r="CZ14" s="2" t="n"/>
      <c r="DA14" s="2" t="n"/>
      <c r="DB14" s="2" t="n"/>
      <c r="DC14" s="2" t="n"/>
      <c r="DD14" s="2" t="n"/>
      <c r="DE14" s="2" t="n"/>
    </row>
    <row r="15">
      <c r="A15" s="2" t="inlineStr">
        <is>
          <t>issue_189</t>
        </is>
      </c>
      <c r="B15" s="3" t="inlineStr">
        <is>
          <t>NOT_TESTED</t>
        </is>
      </c>
      <c r="C15" s="3" t="inlineStr">
        <is>
          <t>NOT_TESTED</t>
        </is>
      </c>
      <c r="D15" s="3" t="inlineStr">
        <is>
          <t>NOT_TESTED</t>
        </is>
      </c>
      <c r="E15" s="3" t="inlineStr">
        <is>
          <t>NOT_TESTED</t>
        </is>
      </c>
      <c r="F15" s="4" t="inlineStr">
        <is>
          <t>Passed on test</t>
        </is>
      </c>
      <c r="G15" s="4" t="inlineStr">
        <is>
          <t>Passed on test</t>
        </is>
      </c>
      <c r="H15" s="4" t="inlineStr">
        <is>
          <t>Passed on test</t>
        </is>
      </c>
      <c r="I15" s="4" t="inlineStr">
        <is>
          <t>Passed on test</t>
        </is>
      </c>
      <c r="J15" s="4" t="inlineStr">
        <is>
          <t>Passed on test</t>
        </is>
      </c>
      <c r="K15" s="4" t="inlineStr">
        <is>
          <t>Passed on test</t>
        </is>
      </c>
      <c r="L15" s="4" t="inlineStr">
        <is>
          <t>Passed on test</t>
        </is>
      </c>
      <c r="M15" s="4" t="inlineStr">
        <is>
          <t>Passed on test</t>
        </is>
      </c>
      <c r="N15" s="4" t="inlineStr">
        <is>
          <t>Passed on test</t>
        </is>
      </c>
      <c r="O15" s="4" t="inlineStr">
        <is>
          <t>Passed on test</t>
        </is>
      </c>
      <c r="P15" s="4" t="inlineStr">
        <is>
          <t>Passed on test</t>
        </is>
      </c>
      <c r="Q15" s="4" t="inlineStr">
        <is>
          <t>Passed on test</t>
        </is>
      </c>
      <c r="R15" s="4" t="inlineStr">
        <is>
          <t>Passed on test</t>
        </is>
      </c>
      <c r="S15" s="4" t="inlineStr">
        <is>
          <t>Passed on test</t>
        </is>
      </c>
      <c r="T15" s="4" t="inlineStr">
        <is>
          <t>Passed on test</t>
        </is>
      </c>
      <c r="U15" s="4" t="inlineStr">
        <is>
          <t>Passed on test</t>
        </is>
      </c>
      <c r="V15" s="4" t="inlineStr">
        <is>
          <t>Passed on test</t>
        </is>
      </c>
      <c r="W15" s="4" t="inlineStr">
        <is>
          <t>Passed on test</t>
        </is>
      </c>
      <c r="X15" s="4" t="inlineStr">
        <is>
          <t>Passed on test</t>
        </is>
      </c>
      <c r="Y15" s="4" t="inlineStr">
        <is>
          <t>Passed on test</t>
        </is>
      </c>
      <c r="Z15" s="4" t="inlineStr">
        <is>
          <t>Passed on test</t>
        </is>
      </c>
      <c r="AA15" s="4" t="inlineStr">
        <is>
          <t>Passed on test</t>
        </is>
      </c>
      <c r="AB15" s="4" t="inlineStr">
        <is>
          <t>Passed on test</t>
        </is>
      </c>
      <c r="AC15" s="2" t="n"/>
      <c r="AD15" s="2" t="n"/>
      <c r="AE15" s="2" t="n"/>
      <c r="AF15" s="2" t="n"/>
      <c r="AG15" s="2" t="n"/>
      <c r="AH15" s="2" t="n"/>
      <c r="AI15" s="2" t="n"/>
      <c r="AJ15" s="2" t="n"/>
      <c r="AK15" s="2" t="n"/>
      <c r="AL15" s="2" t="n"/>
      <c r="AM15" s="2" t="n"/>
      <c r="AN15" s="2" t="n"/>
      <c r="AO15" s="2" t="n"/>
      <c r="AP15" s="2" t="n"/>
      <c r="AQ15" s="2" t="n"/>
      <c r="AR15" s="2" t="n"/>
      <c r="AS15" s="2" t="n"/>
      <c r="AT15" s="2" t="n"/>
      <c r="AU15" s="2" t="n"/>
      <c r="AV15" s="2" t="n"/>
      <c r="AW15" s="2" t="n"/>
      <c r="AX15" s="2" t="n"/>
      <c r="AY15" s="2" t="n"/>
      <c r="AZ15" s="2" t="n"/>
      <c r="BA15" s="2" t="n"/>
      <c r="BB15" s="2" t="n"/>
      <c r="BC15" s="2" t="n"/>
      <c r="BD15" s="2" t="n"/>
      <c r="BE15" s="2" t="n"/>
      <c r="BF15" s="2" t="n"/>
      <c r="BG15" s="2" t="n"/>
      <c r="BH15" s="2" t="n"/>
      <c r="BI15" s="2" t="n"/>
      <c r="BJ15" s="2" t="n"/>
      <c r="BK15" s="2" t="n"/>
      <c r="BL15" s="2" t="n"/>
      <c r="BM15" s="2" t="n"/>
      <c r="BN15" s="2" t="n"/>
      <c r="BO15" s="2" t="n"/>
      <c r="BP15" s="2" t="n"/>
      <c r="BQ15" s="2" t="n"/>
      <c r="BR15" s="2" t="n"/>
      <c r="BS15" s="2" t="n"/>
      <c r="BT15" s="2" t="n"/>
      <c r="BU15" s="2" t="n"/>
      <c r="BV15" s="2" t="n"/>
      <c r="BW15" s="2" t="n"/>
      <c r="BX15" s="2" t="n"/>
      <c r="BY15" s="2" t="n"/>
      <c r="BZ15" s="2" t="n"/>
      <c r="CA15" s="2" t="n"/>
      <c r="CB15" s="2" t="n"/>
      <c r="CC15" s="2" t="n"/>
      <c r="CD15" s="2" t="n"/>
      <c r="CE15" s="2" t="n"/>
      <c r="CF15" s="2" t="n"/>
      <c r="CG15" s="2" t="n"/>
      <c r="CH15" s="2" t="n"/>
      <c r="CI15" s="2" t="n"/>
      <c r="CJ15" s="2" t="n"/>
      <c r="CK15" s="2" t="n"/>
      <c r="CL15" s="2" t="n"/>
      <c r="CM15" s="2" t="n"/>
      <c r="CN15" s="2" t="n"/>
      <c r="CO15" s="2" t="n"/>
      <c r="CP15" s="2" t="n"/>
      <c r="CQ15" s="2" t="n"/>
      <c r="CR15" s="2" t="n"/>
      <c r="CS15" s="2" t="n"/>
      <c r="CT15" s="2" t="n"/>
      <c r="CU15" s="2" t="n"/>
      <c r="CV15" s="2" t="n"/>
      <c r="CW15" s="2" t="n"/>
      <c r="CX15" s="2" t="n"/>
      <c r="CY15" s="2" t="n"/>
      <c r="CZ15" s="2" t="n"/>
      <c r="DA15" s="2" t="n"/>
      <c r="DB15" s="2" t="n"/>
      <c r="DC15" s="2" t="n"/>
      <c r="DD15" s="2" t="n"/>
      <c r="DE15" s="2" t="n"/>
    </row>
    <row r="16">
      <c r="A16" s="2" t="inlineStr">
        <is>
          <t>issue_225</t>
        </is>
      </c>
      <c r="B16" s="3" t="inlineStr">
        <is>
          <t>NOT_TESTED</t>
        </is>
      </c>
      <c r="C16" s="3" t="inlineStr">
        <is>
          <t>NOT_TESTED</t>
        </is>
      </c>
      <c r="D16" s="3" t="inlineStr">
        <is>
          <t>NOT_TESTED</t>
        </is>
      </c>
      <c r="E16" s="3" t="inlineStr">
        <is>
          <t>NOT_TESTED</t>
        </is>
      </c>
      <c r="F16" s="4" t="inlineStr">
        <is>
          <t>Passed on test</t>
        </is>
      </c>
      <c r="G16" s="4" t="inlineStr">
        <is>
          <t>Passed on test</t>
        </is>
      </c>
      <c r="H16" s="4" t="inlineStr">
        <is>
          <t>Passed on test</t>
        </is>
      </c>
      <c r="I16" s="4" t="inlineStr">
        <is>
          <t>Passed on test</t>
        </is>
      </c>
      <c r="J16" s="4" t="inlineStr">
        <is>
          <t>Passed on test</t>
        </is>
      </c>
      <c r="K16" s="4" t="inlineStr">
        <is>
          <t>Passed on test</t>
        </is>
      </c>
      <c r="L16" s="4" t="inlineStr">
        <is>
          <t>Passed on test</t>
        </is>
      </c>
      <c r="M16" s="4" t="inlineStr">
        <is>
          <t>Passed on test</t>
        </is>
      </c>
      <c r="N16" s="3" t="inlineStr">
        <is>
          <t>NOT_TESTED</t>
        </is>
      </c>
      <c r="O16" s="3" t="inlineStr">
        <is>
          <t>NOT_TESTED</t>
        </is>
      </c>
      <c r="P16" s="3" t="inlineStr">
        <is>
          <t>NOT_TESTED</t>
        </is>
      </c>
      <c r="Q16" s="3" t="inlineStr">
        <is>
          <t>NOT_TESTED</t>
        </is>
      </c>
      <c r="R16" s="3" t="inlineStr">
        <is>
          <t>NOT_TESTED</t>
        </is>
      </c>
      <c r="S16" s="3" t="inlineStr">
        <is>
          <t>NOT_TESTED</t>
        </is>
      </c>
      <c r="T16" s="3" t="inlineStr">
        <is>
          <t>NOT_TESTED</t>
        </is>
      </c>
      <c r="U16" s="3" t="inlineStr">
        <is>
          <t>NOT_TESTED</t>
        </is>
      </c>
      <c r="V16" s="3" t="inlineStr">
        <is>
          <t>NOT_TESTED</t>
        </is>
      </c>
      <c r="W16" s="3" t="inlineStr">
        <is>
          <t>NOT_TESTED</t>
        </is>
      </c>
      <c r="X16" s="3" t="inlineStr">
        <is>
          <t>NOT_TESTED</t>
        </is>
      </c>
      <c r="Y16" s="3" t="inlineStr">
        <is>
          <t>NOT_TESTED</t>
        </is>
      </c>
      <c r="Z16" s="3" t="inlineStr">
        <is>
          <t>NOT_TESTED</t>
        </is>
      </c>
      <c r="AA16" s="3" t="inlineStr">
        <is>
          <t>NOT_TESTED</t>
        </is>
      </c>
      <c r="AB16" s="3" t="inlineStr">
        <is>
          <t>NOT_TESTED</t>
        </is>
      </c>
      <c r="AC16" s="2" t="n"/>
      <c r="AD16" s="2" t="n"/>
      <c r="AE16" s="2" t="n"/>
      <c r="AF16" s="2" t="n"/>
      <c r="AG16" s="2" t="n"/>
      <c r="AH16" s="2" t="n"/>
      <c r="AI16" s="2" t="n"/>
      <c r="AJ16" s="2" t="n"/>
      <c r="AK16" s="2" t="n"/>
      <c r="AL16" s="2" t="n"/>
      <c r="AM16" s="2" t="n"/>
      <c r="AN16" s="2" t="n"/>
      <c r="AO16" s="2" t="n"/>
      <c r="AP16" s="2" t="n"/>
      <c r="AQ16" s="2" t="n"/>
      <c r="AR16" s="2" t="n"/>
      <c r="AS16" s="2" t="n"/>
      <c r="AT16" s="2" t="n"/>
      <c r="AU16" s="2" t="n"/>
      <c r="AV16" s="2" t="n"/>
      <c r="AW16" s="2" t="n"/>
      <c r="AX16" s="2" t="n"/>
      <c r="AY16" s="2" t="n"/>
      <c r="AZ16" s="2" t="n"/>
      <c r="BA16" s="2" t="n"/>
      <c r="BB16" s="2" t="n"/>
      <c r="BC16" s="2" t="n"/>
      <c r="BD16" s="2" t="n"/>
      <c r="BE16" s="2" t="n"/>
      <c r="BF16" s="2" t="n"/>
      <c r="BG16" s="2" t="n"/>
      <c r="BH16" s="2" t="n"/>
      <c r="BI16" s="2" t="n"/>
      <c r="BJ16" s="2" t="n"/>
      <c r="BK16" s="2" t="n"/>
      <c r="BL16" s="2" t="n"/>
      <c r="BM16" s="2" t="n"/>
      <c r="BN16" s="2" t="n"/>
      <c r="BO16" s="2" t="n"/>
      <c r="BP16" s="2" t="n"/>
      <c r="BQ16" s="2" t="n"/>
      <c r="BR16" s="2" t="n"/>
      <c r="BS16" s="2" t="n"/>
      <c r="BT16" s="2" t="n"/>
      <c r="BU16" s="2" t="n"/>
      <c r="BV16" s="2" t="n"/>
      <c r="BW16" s="2" t="n"/>
      <c r="BX16" s="2" t="n"/>
      <c r="BY16" s="2" t="n"/>
      <c r="BZ16" s="2" t="n"/>
      <c r="CA16" s="2" t="n"/>
      <c r="CB16" s="2" t="n"/>
      <c r="CC16" s="2" t="n"/>
      <c r="CD16" s="2" t="n"/>
      <c r="CE16" s="2" t="n"/>
      <c r="CF16" s="2" t="n"/>
      <c r="CG16" s="2" t="n"/>
      <c r="CH16" s="2" t="n"/>
      <c r="CI16" s="2" t="n"/>
      <c r="CJ16" s="2" t="n"/>
      <c r="CK16" s="2" t="n"/>
      <c r="CL16" s="2" t="n"/>
      <c r="CM16" s="2" t="n"/>
      <c r="CN16" s="2" t="n"/>
      <c r="CO16" s="2" t="n"/>
      <c r="CP16" s="2" t="n"/>
      <c r="CQ16" s="2" t="n"/>
      <c r="CR16" s="2" t="n"/>
      <c r="CS16" s="2" t="n"/>
      <c r="CT16" s="2" t="n"/>
      <c r="CU16" s="2" t="n"/>
      <c r="CV16" s="2" t="n"/>
      <c r="CW16" s="2" t="n"/>
      <c r="CX16" s="2" t="n"/>
      <c r="CY16" s="2" t="n"/>
      <c r="CZ16" s="2" t="n"/>
      <c r="DA16" s="2" t="n"/>
      <c r="DB16" s="2" t="n"/>
      <c r="DC16" s="2" t="n"/>
      <c r="DD16" s="2" t="n"/>
      <c r="DE16" s="2" t="n"/>
    </row>
    <row r="17">
      <c r="A17" s="2" t="inlineStr">
        <is>
          <t>issue_233</t>
        </is>
      </c>
      <c r="B17" s="4" t="inlineStr">
        <is>
          <t>Passed on test</t>
        </is>
      </c>
      <c r="C17" s="4" t="inlineStr">
        <is>
          <t>Passed on test</t>
        </is>
      </c>
      <c r="D17" s="4" t="inlineStr">
        <is>
          <t>Passed on test</t>
        </is>
      </c>
      <c r="E17" s="4" t="inlineStr">
        <is>
          <t>Passed on test</t>
        </is>
      </c>
      <c r="F17" s="4" t="inlineStr">
        <is>
          <t>Passed on test</t>
        </is>
      </c>
      <c r="G17" s="4" t="inlineStr">
        <is>
          <t>Passed on test</t>
        </is>
      </c>
      <c r="H17" s="4" t="inlineStr">
        <is>
          <t>Passed on test</t>
        </is>
      </c>
      <c r="I17" s="4" t="inlineStr">
        <is>
          <t>Passed on test</t>
        </is>
      </c>
      <c r="J17" s="4" t="inlineStr">
        <is>
          <t>Passed on test</t>
        </is>
      </c>
      <c r="K17" s="4" t="inlineStr">
        <is>
          <t>Passed on test</t>
        </is>
      </c>
      <c r="L17" s="4" t="inlineStr">
        <is>
          <t>Passed on test</t>
        </is>
      </c>
      <c r="M17" s="4" t="inlineStr">
        <is>
          <t>Passed on test</t>
        </is>
      </c>
      <c r="N17" s="4" t="inlineStr">
        <is>
          <t>Passed on test</t>
        </is>
      </c>
      <c r="O17" s="4" t="inlineStr">
        <is>
          <t>Passed on test</t>
        </is>
      </c>
      <c r="P17" s="4" t="inlineStr">
        <is>
          <t>Passed on test</t>
        </is>
      </c>
      <c r="Q17" s="4" t="inlineStr">
        <is>
          <t>Passed on test</t>
        </is>
      </c>
      <c r="R17" s="4" t="inlineStr">
        <is>
          <t>Passed on test</t>
        </is>
      </c>
      <c r="S17" s="4" t="inlineStr">
        <is>
          <t>Passed on test</t>
        </is>
      </c>
      <c r="T17" s="4" t="inlineStr">
        <is>
          <t>Passed on test</t>
        </is>
      </c>
      <c r="U17" s="4" t="inlineStr">
        <is>
          <t>Passed on test</t>
        </is>
      </c>
      <c r="V17" s="4" t="inlineStr">
        <is>
          <t>Passed on test</t>
        </is>
      </c>
      <c r="W17" s="4" t="inlineStr">
        <is>
          <t>Passed on test</t>
        </is>
      </c>
      <c r="X17" s="4" t="inlineStr">
        <is>
          <t>Passed on test</t>
        </is>
      </c>
      <c r="Y17" s="4" t="inlineStr">
        <is>
          <t>Passed on test</t>
        </is>
      </c>
      <c r="Z17" s="4" t="inlineStr">
        <is>
          <t>Passed on test</t>
        </is>
      </c>
      <c r="AA17" s="4" t="inlineStr">
        <is>
          <t>Passed on test</t>
        </is>
      </c>
      <c r="AB17" s="4" t="inlineStr">
        <is>
          <t>Passed on test</t>
        </is>
      </c>
      <c r="AC17" s="2" t="n"/>
      <c r="AD17" s="2" t="n"/>
      <c r="AE17" s="2" t="n"/>
      <c r="AF17" s="2" t="n"/>
      <c r="AG17" s="2" t="n"/>
      <c r="AH17" s="2" t="n"/>
      <c r="AI17" s="2" t="n"/>
      <c r="AJ17" s="2" t="n"/>
      <c r="AK17" s="2" t="n"/>
      <c r="AL17" s="2" t="n"/>
      <c r="AM17" s="2" t="n"/>
      <c r="AN17" s="2" t="n"/>
      <c r="AO17" s="2" t="n"/>
      <c r="AP17" s="2" t="n"/>
      <c r="AQ17" s="2" t="n"/>
      <c r="AR17" s="2" t="n"/>
      <c r="AS17" s="2" t="n"/>
      <c r="AT17" s="2" t="n"/>
      <c r="AU17" s="2" t="n"/>
      <c r="AV17" s="2" t="n"/>
      <c r="AW17" s="2" t="n"/>
      <c r="AX17" s="2" t="n"/>
      <c r="AY17" s="2" t="n"/>
      <c r="AZ17" s="2" t="n"/>
      <c r="BA17" s="2" t="n"/>
      <c r="BB17" s="2" t="n"/>
      <c r="BC17" s="2" t="n"/>
      <c r="BD17" s="2" t="n"/>
      <c r="BE17" s="2" t="n"/>
      <c r="BF17" s="2" t="n"/>
      <c r="BG17" s="2" t="n"/>
      <c r="BH17" s="2" t="n"/>
      <c r="BI17" s="2" t="n"/>
      <c r="BJ17" s="2" t="n"/>
      <c r="BK17" s="2" t="n"/>
      <c r="BL17" s="2" t="n"/>
      <c r="BM17" s="2" t="n"/>
      <c r="BN17" s="2" t="n"/>
      <c r="BO17" s="2" t="n"/>
      <c r="BP17" s="2" t="n"/>
      <c r="BQ17" s="2" t="n"/>
      <c r="BR17" s="2" t="n"/>
      <c r="BS17" s="2" t="n"/>
      <c r="BT17" s="2" t="n"/>
      <c r="BU17" s="2" t="n"/>
      <c r="BV17" s="2" t="n"/>
      <c r="BW17" s="2" t="n"/>
      <c r="BX17" s="2" t="n"/>
      <c r="BY17" s="2" t="n"/>
      <c r="BZ17" s="2" t="n"/>
      <c r="CA17" s="2" t="n"/>
      <c r="CB17" s="2" t="n"/>
      <c r="CC17" s="2" t="n"/>
      <c r="CD17" s="2" t="n"/>
      <c r="CE17" s="2" t="n"/>
      <c r="CF17" s="2" t="n"/>
      <c r="CG17" s="2" t="n"/>
      <c r="CH17" s="2" t="n"/>
      <c r="CI17" s="2" t="n"/>
      <c r="CJ17" s="2" t="n"/>
      <c r="CK17" s="2" t="n"/>
      <c r="CL17" s="2" t="n"/>
      <c r="CM17" s="2" t="n"/>
      <c r="CN17" s="2" t="n"/>
      <c r="CO17" s="2" t="n"/>
      <c r="CP17" s="2" t="n"/>
      <c r="CQ17" s="2" t="n"/>
      <c r="CR17" s="2" t="n"/>
      <c r="CS17" s="2" t="n"/>
      <c r="CT17" s="2" t="n"/>
      <c r="CU17" s="2" t="n"/>
      <c r="CV17" s="2" t="n"/>
      <c r="CW17" s="2" t="n"/>
      <c r="CX17" s="2" t="n"/>
      <c r="CY17" s="2" t="n"/>
      <c r="CZ17" s="2" t="n"/>
      <c r="DA17" s="2" t="n"/>
      <c r="DB17" s="2" t="n"/>
      <c r="DC17" s="2" t="n"/>
      <c r="DD17" s="2" t="n"/>
      <c r="DE17" s="2" t="n"/>
    </row>
    <row r="18">
      <c r="A18" s="2" t="inlineStr">
        <is>
          <t>issue_261</t>
        </is>
      </c>
      <c r="B18" s="4" t="inlineStr">
        <is>
          <t>Passed on test</t>
        </is>
      </c>
      <c r="C18" s="4" t="inlineStr">
        <is>
          <t>Passed on test</t>
        </is>
      </c>
      <c r="D18" s="4" t="inlineStr">
        <is>
          <t>Passed on test</t>
        </is>
      </c>
      <c r="E18" s="4" t="inlineStr">
        <is>
          <t>Passed on test</t>
        </is>
      </c>
      <c r="F18" s="4" t="inlineStr">
        <is>
          <t>Passed on test</t>
        </is>
      </c>
      <c r="G18" s="4" t="inlineStr">
        <is>
          <t>Passed on test</t>
        </is>
      </c>
      <c r="H18" s="4" t="inlineStr">
        <is>
          <t>Passed on test</t>
        </is>
      </c>
      <c r="I18" s="4" t="inlineStr">
        <is>
          <t>Passed on test</t>
        </is>
      </c>
      <c r="J18" s="4" t="inlineStr">
        <is>
          <t>Passed on test</t>
        </is>
      </c>
      <c r="K18" s="4" t="inlineStr">
        <is>
          <t>Passed on test</t>
        </is>
      </c>
      <c r="L18" s="4" t="inlineStr">
        <is>
          <t>Passed on test</t>
        </is>
      </c>
      <c r="M18" s="4" t="inlineStr">
        <is>
          <t>Passed on test</t>
        </is>
      </c>
      <c r="N18" s="3" t="inlineStr">
        <is>
          <t>NOT_TESTED</t>
        </is>
      </c>
      <c r="O18" s="3" t="inlineStr">
        <is>
          <t>NOT_TESTED</t>
        </is>
      </c>
      <c r="P18" s="3" t="inlineStr">
        <is>
          <t>NOT_TESTED</t>
        </is>
      </c>
      <c r="Q18" s="3" t="inlineStr">
        <is>
          <t>NOT_TESTED</t>
        </is>
      </c>
      <c r="R18" s="3" t="inlineStr">
        <is>
          <t>NOT_TESTED</t>
        </is>
      </c>
      <c r="S18" s="3" t="inlineStr">
        <is>
          <t>NOT_TESTED</t>
        </is>
      </c>
      <c r="T18" s="3" t="inlineStr">
        <is>
          <t>NOT_TESTED</t>
        </is>
      </c>
      <c r="U18" s="3" t="inlineStr">
        <is>
          <t>NOT_TESTED</t>
        </is>
      </c>
      <c r="V18" s="3" t="inlineStr">
        <is>
          <t>NOT_TESTED</t>
        </is>
      </c>
      <c r="W18" s="3" t="inlineStr">
        <is>
          <t>NOT_TESTED</t>
        </is>
      </c>
      <c r="X18" s="3" t="inlineStr">
        <is>
          <t>NOT_TESTED</t>
        </is>
      </c>
      <c r="Y18" s="3" t="inlineStr">
        <is>
          <t>NOT_TESTED</t>
        </is>
      </c>
      <c r="Z18" s="3" t="inlineStr">
        <is>
          <t>NOT_TESTED</t>
        </is>
      </c>
      <c r="AA18" s="3" t="inlineStr">
        <is>
          <t>NOT_TESTED</t>
        </is>
      </c>
      <c r="AB18" s="3" t="inlineStr">
        <is>
          <t>NOT_TESTED</t>
        </is>
      </c>
      <c r="AC18" s="2" t="n"/>
      <c r="AD18" s="2" t="n"/>
      <c r="AE18" s="2" t="n"/>
      <c r="AF18" s="2" t="n"/>
      <c r="AG18" s="2" t="n"/>
      <c r="AH18" s="2" t="n"/>
      <c r="AI18" s="2" t="n"/>
      <c r="AJ18" s="2" t="n"/>
      <c r="AK18" s="2" t="n"/>
      <c r="AL18" s="2" t="n"/>
      <c r="AM18" s="2" t="n"/>
      <c r="AN18" s="2" t="n"/>
      <c r="AO18" s="2" t="n"/>
      <c r="AP18" s="2" t="n"/>
      <c r="AQ18" s="2" t="n"/>
      <c r="AR18" s="2" t="n"/>
      <c r="AS18" s="2" t="n"/>
      <c r="AT18" s="2" t="n"/>
      <c r="AU18" s="2" t="n"/>
      <c r="AV18" s="2" t="n"/>
      <c r="AW18" s="2" t="n"/>
      <c r="AX18" s="2" t="n"/>
      <c r="AY18" s="2" t="n"/>
      <c r="AZ18" s="2" t="n"/>
      <c r="BA18" s="2" t="n"/>
      <c r="BB18" s="2" t="n"/>
      <c r="BC18" s="2" t="n"/>
      <c r="BD18" s="2" t="n"/>
      <c r="BE18" s="2" t="n"/>
      <c r="BF18" s="2" t="n"/>
      <c r="BG18" s="2" t="n"/>
      <c r="BH18" s="2" t="n"/>
      <c r="BI18" s="2" t="n"/>
      <c r="BJ18" s="2" t="n"/>
      <c r="BK18" s="2" t="n"/>
      <c r="BL18" s="2" t="n"/>
      <c r="BM18" s="2" t="n"/>
      <c r="BN18" s="2" t="n"/>
      <c r="BO18" s="2" t="n"/>
      <c r="BP18" s="2" t="n"/>
      <c r="BQ18" s="2" t="n"/>
      <c r="BR18" s="2" t="n"/>
      <c r="BS18" s="2" t="n"/>
      <c r="BT18" s="2" t="n"/>
      <c r="BU18" s="2" t="n"/>
      <c r="BV18" s="2" t="n"/>
      <c r="BW18" s="2" t="n"/>
      <c r="BX18" s="2" t="n"/>
      <c r="BY18" s="2" t="n"/>
      <c r="BZ18" s="2" t="n"/>
      <c r="CA18" s="2" t="n"/>
      <c r="CB18" s="2" t="n"/>
      <c r="CC18" s="2" t="n"/>
      <c r="CD18" s="2" t="n"/>
      <c r="CE18" s="2" t="n"/>
      <c r="CF18" s="2" t="n"/>
      <c r="CG18" s="2" t="n"/>
      <c r="CH18" s="2" t="n"/>
      <c r="CI18" s="2" t="n"/>
      <c r="CJ18" s="2" t="n"/>
      <c r="CK18" s="2" t="n"/>
      <c r="CL18" s="2" t="n"/>
      <c r="CM18" s="2" t="n"/>
      <c r="CN18" s="2" t="n"/>
      <c r="CO18" s="2" t="n"/>
      <c r="CP18" s="2" t="n"/>
      <c r="CQ18" s="2" t="n"/>
      <c r="CR18" s="2" t="n"/>
      <c r="CS18" s="2" t="n"/>
      <c r="CT18" s="2" t="n"/>
      <c r="CU18" s="2" t="n"/>
      <c r="CV18" s="2" t="n"/>
      <c r="CW18" s="2" t="n"/>
      <c r="CX18" s="2" t="n"/>
      <c r="CY18" s="2" t="n"/>
      <c r="CZ18" s="2" t="n"/>
      <c r="DA18" s="2" t="n"/>
      <c r="DB18" s="2" t="n"/>
      <c r="DC18" s="2" t="n"/>
      <c r="DD18" s="2" t="n"/>
      <c r="DE18" s="2" t="n"/>
    </row>
    <row r="19">
      <c r="A19" s="2" t="inlineStr">
        <is>
          <t>issue_280</t>
        </is>
      </c>
      <c r="B19" s="4" t="inlineStr">
        <is>
          <t>Passed on test</t>
        </is>
      </c>
      <c r="C19" s="4" t="inlineStr">
        <is>
          <t>Passed on test</t>
        </is>
      </c>
      <c r="D19" s="4" t="inlineStr">
        <is>
          <t>Passed on test</t>
        </is>
      </c>
      <c r="E19" s="4" t="inlineStr">
        <is>
          <t>Passed on test</t>
        </is>
      </c>
      <c r="F19" s="4" t="inlineStr">
        <is>
          <t>Passed on test</t>
        </is>
      </c>
      <c r="G19" s="4" t="inlineStr">
        <is>
          <t>Passed on test</t>
        </is>
      </c>
      <c r="H19" s="4" t="inlineStr">
        <is>
          <t>Passed on test</t>
        </is>
      </c>
      <c r="I19" s="4" t="inlineStr">
        <is>
          <t>Passed on test</t>
        </is>
      </c>
      <c r="J19" s="4" t="inlineStr">
        <is>
          <t>Passed on test</t>
        </is>
      </c>
      <c r="K19" s="4" t="inlineStr">
        <is>
          <t>Passed on test</t>
        </is>
      </c>
      <c r="L19" s="4" t="inlineStr">
        <is>
          <t>Passed on test</t>
        </is>
      </c>
      <c r="M19" s="4" t="inlineStr">
        <is>
          <t>Passed on test</t>
        </is>
      </c>
      <c r="N19" s="3" t="inlineStr">
        <is>
          <t>NOT_TESTED</t>
        </is>
      </c>
      <c r="O19" s="3" t="inlineStr">
        <is>
          <t>NOT_TESTED</t>
        </is>
      </c>
      <c r="P19" s="3" t="inlineStr">
        <is>
          <t>NOT_TESTED</t>
        </is>
      </c>
      <c r="Q19" s="3" t="inlineStr">
        <is>
          <t>NOT_TESTED</t>
        </is>
      </c>
      <c r="R19" s="3" t="inlineStr">
        <is>
          <t>NOT_TESTED</t>
        </is>
      </c>
      <c r="S19" s="3" t="inlineStr">
        <is>
          <t>NOT_TESTED</t>
        </is>
      </c>
      <c r="T19" s="3" t="inlineStr">
        <is>
          <t>NOT_TESTED</t>
        </is>
      </c>
      <c r="U19" s="3" t="inlineStr">
        <is>
          <t>NOT_TESTED</t>
        </is>
      </c>
      <c r="V19" s="3" t="inlineStr">
        <is>
          <t>NOT_TESTED</t>
        </is>
      </c>
      <c r="W19" s="3" t="inlineStr">
        <is>
          <t>NOT_TESTED</t>
        </is>
      </c>
      <c r="X19" s="3" t="inlineStr">
        <is>
          <t>NOT_TESTED</t>
        </is>
      </c>
      <c r="Y19" s="3" t="inlineStr">
        <is>
          <t>NOT_TESTED</t>
        </is>
      </c>
      <c r="Z19" s="3" t="inlineStr">
        <is>
          <t>NOT_TESTED</t>
        </is>
      </c>
      <c r="AA19" s="3" t="inlineStr">
        <is>
          <t>NOT_TESTED</t>
        </is>
      </c>
      <c r="AB19" s="3" t="inlineStr">
        <is>
          <t>NOT_TESTED</t>
        </is>
      </c>
      <c r="AC19" s="2" t="n"/>
      <c r="AD19" s="2" t="n"/>
      <c r="AE19" s="2" t="n"/>
      <c r="AF19" s="2" t="n"/>
      <c r="AG19" s="2" t="n"/>
      <c r="AH19" s="2" t="n"/>
      <c r="AI19" s="2" t="n"/>
      <c r="AJ19" s="2" t="n"/>
      <c r="AK19" s="2" t="n"/>
      <c r="AL19" s="2" t="n"/>
      <c r="AM19" s="2" t="n"/>
      <c r="AN19" s="2" t="n"/>
      <c r="AO19" s="2" t="n"/>
      <c r="AP19" s="2" t="n"/>
      <c r="AQ19" s="2" t="n"/>
      <c r="AR19" s="2" t="n"/>
      <c r="AS19" s="2" t="n"/>
      <c r="AT19" s="2" t="n"/>
      <c r="AU19" s="2" t="n"/>
      <c r="AV19" s="2" t="n"/>
      <c r="AW19" s="2" t="n"/>
      <c r="AX19" s="2" t="n"/>
      <c r="AY19" s="2" t="n"/>
      <c r="AZ19" s="2" t="n"/>
      <c r="BA19" s="2" t="n"/>
      <c r="BB19" s="2" t="n"/>
      <c r="BC19" s="2" t="n"/>
      <c r="BD19" s="2" t="n"/>
      <c r="BE19" s="2" t="n"/>
      <c r="BF19" s="2" t="n"/>
      <c r="BG19" s="2" t="n"/>
      <c r="BH19" s="2" t="n"/>
      <c r="BI19" s="2" t="n"/>
      <c r="BJ19" s="2" t="n"/>
      <c r="BK19" s="2" t="n"/>
      <c r="BL19" s="2" t="n"/>
      <c r="BM19" s="2" t="n"/>
      <c r="BN19" s="2" t="n"/>
      <c r="BO19" s="2" t="n"/>
      <c r="BP19" s="2" t="n"/>
      <c r="BQ19" s="2" t="n"/>
      <c r="BR19" s="2" t="n"/>
      <c r="BS19" s="2" t="n"/>
      <c r="BT19" s="2" t="n"/>
      <c r="BU19" s="2" t="n"/>
      <c r="BV19" s="2" t="n"/>
      <c r="BW19" s="2" t="n"/>
      <c r="BX19" s="2" t="n"/>
      <c r="BY19" s="2" t="n"/>
      <c r="BZ19" s="2" t="n"/>
      <c r="CA19" s="2" t="n"/>
      <c r="CB19" s="2" t="n"/>
      <c r="CC19" s="2" t="n"/>
      <c r="CD19" s="2" t="n"/>
      <c r="CE19" s="2" t="n"/>
      <c r="CF19" s="2" t="n"/>
      <c r="CG19" s="2" t="n"/>
      <c r="CH19" s="2" t="n"/>
      <c r="CI19" s="2" t="n"/>
      <c r="CJ19" s="2" t="n"/>
      <c r="CK19" s="2" t="n"/>
      <c r="CL19" s="2" t="n"/>
      <c r="CM19" s="2" t="n"/>
      <c r="CN19" s="2" t="n"/>
      <c r="CO19" s="2" t="n"/>
      <c r="CP19" s="2" t="n"/>
      <c r="CQ19" s="2" t="n"/>
      <c r="CR19" s="2" t="n"/>
      <c r="CS19" s="2" t="n"/>
      <c r="CT19" s="2" t="n"/>
      <c r="CU19" s="2" t="n"/>
      <c r="CV19" s="2" t="n"/>
      <c r="CW19" s="2" t="n"/>
      <c r="CX19" s="2" t="n"/>
      <c r="CY19" s="2" t="n"/>
      <c r="CZ19" s="2" t="n"/>
      <c r="DA19" s="2" t="n"/>
      <c r="DB19" s="2" t="n"/>
      <c r="DC19" s="2" t="n"/>
      <c r="DD19" s="2" t="n"/>
      <c r="DE19" s="2" t="n"/>
    </row>
    <row r="20">
      <c r="A20" s="2" t="inlineStr">
        <is>
          <t>issue_295</t>
        </is>
      </c>
      <c r="B20" s="3" t="inlineStr">
        <is>
          <t>NOT_TESTED</t>
        </is>
      </c>
      <c r="C20" s="3" t="inlineStr">
        <is>
          <t>NOT_TESTED</t>
        </is>
      </c>
      <c r="D20" s="3" t="inlineStr">
        <is>
          <t>NOT_TESTED</t>
        </is>
      </c>
      <c r="E20" s="3" t="inlineStr">
        <is>
          <t>NOT_TESTED</t>
        </is>
      </c>
      <c r="F20" s="4" t="inlineStr">
        <is>
          <t>Passed on test</t>
        </is>
      </c>
      <c r="G20" s="4" t="inlineStr">
        <is>
          <t>Passed on test</t>
        </is>
      </c>
      <c r="H20" s="4" t="inlineStr">
        <is>
          <t>Passed on test</t>
        </is>
      </c>
      <c r="I20" s="4" t="inlineStr">
        <is>
          <t>Passed on test</t>
        </is>
      </c>
      <c r="J20" s="4" t="inlineStr">
        <is>
          <t>Passed on test</t>
        </is>
      </c>
      <c r="K20" s="4" t="inlineStr">
        <is>
          <t>Passed on test</t>
        </is>
      </c>
      <c r="L20" s="4" t="inlineStr">
        <is>
          <t>Passed on test</t>
        </is>
      </c>
      <c r="M20" s="4" t="inlineStr">
        <is>
          <t>Passed on test</t>
        </is>
      </c>
      <c r="N20" s="3" t="inlineStr">
        <is>
          <t>NOT_TESTED</t>
        </is>
      </c>
      <c r="O20" s="3" t="inlineStr">
        <is>
          <t>NOT_TESTED</t>
        </is>
      </c>
      <c r="P20" s="3" t="inlineStr">
        <is>
          <t>NOT_TESTED</t>
        </is>
      </c>
      <c r="Q20" s="3" t="inlineStr">
        <is>
          <t>NOT_TESTED</t>
        </is>
      </c>
      <c r="R20" s="3" t="inlineStr">
        <is>
          <t>NOT_TESTED</t>
        </is>
      </c>
      <c r="S20" s="3" t="inlineStr">
        <is>
          <t>NOT_TESTED</t>
        </is>
      </c>
      <c r="T20" s="3" t="inlineStr">
        <is>
          <t>NOT_TESTED</t>
        </is>
      </c>
      <c r="U20" s="3" t="inlineStr">
        <is>
          <t>NOT_TESTED</t>
        </is>
      </c>
      <c r="V20" s="3" t="inlineStr">
        <is>
          <t>NOT_TESTED</t>
        </is>
      </c>
      <c r="W20" s="3" t="inlineStr">
        <is>
          <t>NOT_TESTED</t>
        </is>
      </c>
      <c r="X20" s="3" t="inlineStr">
        <is>
          <t>NOT_TESTED</t>
        </is>
      </c>
      <c r="Y20" s="3" t="inlineStr">
        <is>
          <t>NOT_TESTED</t>
        </is>
      </c>
      <c r="Z20" s="3" t="inlineStr">
        <is>
          <t>NOT_TESTED</t>
        </is>
      </c>
      <c r="AA20" s="3" t="inlineStr">
        <is>
          <t>NOT_TESTED</t>
        </is>
      </c>
      <c r="AB20" s="3" t="inlineStr">
        <is>
          <t>NOT_TESTED</t>
        </is>
      </c>
      <c r="AC20" s="2" t="n"/>
      <c r="AD20" s="2" t="n"/>
      <c r="AE20" s="2" t="n"/>
      <c r="AF20" s="2" t="n"/>
      <c r="AG20" s="2" t="n"/>
      <c r="AH20" s="2" t="n"/>
      <c r="AI20" s="2" t="n"/>
      <c r="AJ20" s="2" t="n"/>
      <c r="AK20" s="2" t="n"/>
      <c r="AL20" s="2" t="n"/>
      <c r="AM20" s="2" t="n"/>
      <c r="AN20" s="2" t="n"/>
      <c r="AO20" s="2" t="n"/>
      <c r="AP20" s="2" t="n"/>
      <c r="AQ20" s="2" t="n"/>
      <c r="AR20" s="2" t="n"/>
      <c r="AS20" s="2" t="n"/>
      <c r="AT20" s="2" t="n"/>
      <c r="AU20" s="2" t="n"/>
      <c r="AV20" s="2" t="n"/>
      <c r="AW20" s="2" t="n"/>
      <c r="AX20" s="2" t="n"/>
      <c r="AY20" s="2" t="n"/>
      <c r="AZ20" s="2" t="n"/>
      <c r="BA20" s="2" t="n"/>
      <c r="BB20" s="2" t="n"/>
      <c r="BC20" s="2" t="n"/>
      <c r="BD20" s="2" t="n"/>
      <c r="BE20" s="2" t="n"/>
      <c r="BF20" s="2" t="n"/>
      <c r="BG20" s="2" t="n"/>
      <c r="BH20" s="2" t="n"/>
      <c r="BI20" s="2" t="n"/>
      <c r="BJ20" s="2" t="n"/>
      <c r="BK20" s="2" t="n"/>
      <c r="BL20" s="2" t="n"/>
      <c r="BM20" s="2" t="n"/>
      <c r="BN20" s="2" t="n"/>
      <c r="BO20" s="2" t="n"/>
      <c r="BP20" s="2" t="n"/>
      <c r="BQ20" s="2" t="n"/>
      <c r="BR20" s="2" t="n"/>
      <c r="BS20" s="2" t="n"/>
      <c r="BT20" s="2" t="n"/>
      <c r="BU20" s="2" t="n"/>
      <c r="BV20" s="2" t="n"/>
      <c r="BW20" s="2" t="n"/>
      <c r="BX20" s="2" t="n"/>
      <c r="BY20" s="2" t="n"/>
      <c r="BZ20" s="2" t="n"/>
      <c r="CA20" s="2" t="n"/>
      <c r="CB20" s="2" t="n"/>
      <c r="CC20" s="2" t="n"/>
      <c r="CD20" s="2" t="n"/>
      <c r="CE20" s="2" t="n"/>
      <c r="CF20" s="2" t="n"/>
      <c r="CG20" s="2" t="n"/>
      <c r="CH20" s="2" t="n"/>
      <c r="CI20" s="2" t="n"/>
      <c r="CJ20" s="2" t="n"/>
      <c r="CK20" s="2" t="n"/>
      <c r="CL20" s="2" t="n"/>
      <c r="CM20" s="2" t="n"/>
      <c r="CN20" s="2" t="n"/>
      <c r="CO20" s="2" t="n"/>
      <c r="CP20" s="2" t="n"/>
      <c r="CQ20" s="2" t="n"/>
      <c r="CR20" s="2" t="n"/>
      <c r="CS20" s="2" t="n"/>
      <c r="CT20" s="2" t="n"/>
      <c r="CU20" s="2" t="n"/>
      <c r="CV20" s="2" t="n"/>
      <c r="CW20" s="2" t="n"/>
      <c r="CX20" s="2" t="n"/>
      <c r="CY20" s="2" t="n"/>
      <c r="CZ20" s="2" t="n"/>
      <c r="DA20" s="2" t="n"/>
      <c r="DB20" s="2" t="n"/>
      <c r="DC20" s="2" t="n"/>
      <c r="DD20" s="2" t="n"/>
      <c r="DE20" s="2" t="n"/>
    </row>
    <row r="21">
      <c r="A21" s="2" t="inlineStr">
        <is>
          <t>issue_315</t>
        </is>
      </c>
      <c r="B21" s="3" t="inlineStr">
        <is>
          <t>NOT_TESTED</t>
        </is>
      </c>
      <c r="C21" s="3" t="inlineStr">
        <is>
          <t>NOT_TESTED</t>
        </is>
      </c>
      <c r="D21" s="3" t="inlineStr">
        <is>
          <t>NOT_TESTED</t>
        </is>
      </c>
      <c r="E21" s="3" t="inlineStr">
        <is>
          <t>NOT_TESTED</t>
        </is>
      </c>
      <c r="F21" s="6" t="inlineStr">
        <is>
          <t>Runtime error</t>
        </is>
      </c>
      <c r="G21" s="6" t="inlineStr">
        <is>
          <t>Runtime error</t>
        </is>
      </c>
      <c r="H21" s="6" t="inlineStr">
        <is>
          <t>Runtime error</t>
        </is>
      </c>
      <c r="I21" s="6" t="inlineStr">
        <is>
          <t>Runtime error</t>
        </is>
      </c>
      <c r="J21" s="6" t="inlineStr">
        <is>
          <t>Runtime error</t>
        </is>
      </c>
      <c r="K21" s="6" t="inlineStr">
        <is>
          <t>Runtime error</t>
        </is>
      </c>
      <c r="L21" s="6" t="inlineStr">
        <is>
          <t>Runtime error</t>
        </is>
      </c>
      <c r="M21" s="6" t="inlineStr">
        <is>
          <t>Runtime error</t>
        </is>
      </c>
      <c r="N21" s="6" t="inlineStr">
        <is>
          <t>Runtime error</t>
        </is>
      </c>
      <c r="O21" s="6" t="inlineStr">
        <is>
          <t>Runtime error</t>
        </is>
      </c>
      <c r="P21" s="6" t="inlineStr">
        <is>
          <t>Runtime error</t>
        </is>
      </c>
      <c r="Q21" s="6" t="inlineStr">
        <is>
          <t>Runtime error</t>
        </is>
      </c>
      <c r="R21" s="6" t="inlineStr">
        <is>
          <t>Runtime error</t>
        </is>
      </c>
      <c r="S21" s="6" t="inlineStr">
        <is>
          <t>Runtime error</t>
        </is>
      </c>
      <c r="T21" s="6" t="inlineStr">
        <is>
          <t>Runtime error</t>
        </is>
      </c>
      <c r="U21" s="6" t="inlineStr">
        <is>
          <t>Runtime error</t>
        </is>
      </c>
      <c r="V21" s="6" t="inlineStr">
        <is>
          <t>Runtime error</t>
        </is>
      </c>
      <c r="W21" s="6" t="inlineStr">
        <is>
          <t>Runtime error</t>
        </is>
      </c>
      <c r="X21" s="6" t="inlineStr">
        <is>
          <t>Runtime error</t>
        </is>
      </c>
      <c r="Y21" s="6" t="inlineStr">
        <is>
          <t>Runtime error</t>
        </is>
      </c>
      <c r="Z21" s="6" t="inlineStr">
        <is>
          <t>Runtime error</t>
        </is>
      </c>
      <c r="AA21" s="6" t="inlineStr">
        <is>
          <t>Runtime error</t>
        </is>
      </c>
      <c r="AB21" s="6" t="inlineStr">
        <is>
          <t>Runtime error</t>
        </is>
      </c>
      <c r="AC21" s="2" t="n"/>
      <c r="AD21" s="2" t="n"/>
      <c r="AE21" s="2" t="n"/>
      <c r="AF21" s="2" t="n"/>
      <c r="AG21" s="2" t="n"/>
      <c r="AH21" s="2" t="n"/>
      <c r="AI21" s="2" t="n"/>
      <c r="AJ21" s="2" t="n"/>
      <c r="AK21" s="2" t="n"/>
      <c r="AL21" s="2" t="n"/>
      <c r="AM21" s="2" t="n"/>
      <c r="AN21" s="2" t="n"/>
      <c r="AO21" s="2" t="inlineStr">
        <is>
          <t>ModuleNotFoundError</t>
        </is>
      </c>
      <c r="AP21" s="2" t="inlineStr">
        <is>
          <t>ModuleNotFoundError: No module named 'qiskit.providers.basic_provider'</t>
        </is>
      </c>
      <c r="AQ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AR21" s="2" t="inlineStr">
        <is>
          <t>ModuleNotFoundError</t>
        </is>
      </c>
      <c r="AS21" s="2" t="inlineStr">
        <is>
          <t>ModuleNotFoundError: No module named 'qiskit.providers.basic_provider'</t>
        </is>
      </c>
      <c r="AT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AU21" s="2" t="inlineStr">
        <is>
          <t>ModuleNotFoundError</t>
        </is>
      </c>
      <c r="AV21" s="2" t="inlineStr">
        <is>
          <t>ModuleNotFoundError: No module named 'qiskit.providers.basic_provider'</t>
        </is>
      </c>
      <c r="AW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AX21" s="2" t="inlineStr">
        <is>
          <t>ModuleNotFoundError</t>
        </is>
      </c>
      <c r="AY21" s="2" t="inlineStr">
        <is>
          <t>ModuleNotFoundError: No module named 'qiskit.providers.basic_provider'</t>
        </is>
      </c>
      <c r="AZ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BA21" s="2" t="inlineStr">
        <is>
          <t>KeyError</t>
        </is>
      </c>
      <c r="BB21" s="2" t="inlineStr">
        <is>
          <t>KeyError: 'max_parallel_threads'; AttributeError: Option max_parallel_threads is not defined</t>
        </is>
      </c>
      <c r="BC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BD21" s="2" t="inlineStr">
        <is>
          <t>KeyError</t>
        </is>
      </c>
      <c r="BE21" s="2" t="inlineStr">
        <is>
          <t>KeyError: 'max_parallel_threads'; AttributeError: Option max_parallel_threads is not defined</t>
        </is>
      </c>
      <c r="BF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BG21" s="2" t="inlineStr">
        <is>
          <t>KeyError</t>
        </is>
      </c>
      <c r="BH21" s="2" t="inlineStr">
        <is>
          <t>KeyError: 'max_parallel_threads'; AttributeError: Option max_parallel_threads is not defined</t>
        </is>
      </c>
      <c r="BI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BJ21" s="2" t="inlineStr">
        <is>
          <t>KeyError</t>
        </is>
      </c>
      <c r="BK21" s="2" t="inlineStr">
        <is>
          <t>KeyError: 'max_parallel_threads'; AttributeError: Option max_parallel_threads is not defined</t>
        </is>
      </c>
      <c r="BL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BM21" s="2" t="inlineStr">
        <is>
          <t>KeyError</t>
        </is>
      </c>
      <c r="BN21" s="2" t="inlineStr">
        <is>
          <t>KeyError: 'max_parallel_threads'; AttributeError: Option max_parallel_threads is not defined</t>
        </is>
      </c>
      <c r="BO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BP21" s="2" t="inlineStr">
        <is>
          <t>KeyError</t>
        </is>
      </c>
      <c r="BQ21" s="2" t="inlineStr">
        <is>
          <t>KeyError: 'max_parallel_threads'; AttributeError: Option max_parallel_threads is not defined</t>
        </is>
      </c>
      <c r="BR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BS21" s="2" t="inlineStr">
        <is>
          <t>KeyError</t>
        </is>
      </c>
      <c r="BT21" s="2" t="inlineStr">
        <is>
          <t>KeyError: 'max_parallel_threads'; AttributeError: Option max_parallel_threads is not defined</t>
        </is>
      </c>
      <c r="BU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BV21" s="2" t="inlineStr">
        <is>
          <t>KeyError</t>
        </is>
      </c>
      <c r="BW21" s="2" t="inlineStr">
        <is>
          <t>KeyError: 'max_parallel_threads'; AttributeError: Option max_parallel_threads is not defined</t>
        </is>
      </c>
      <c r="BX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BY21" s="2" t="inlineStr">
        <is>
          <t>KeyError</t>
        </is>
      </c>
      <c r="BZ21" s="2" t="inlineStr">
        <is>
          <t>KeyError: 'max_parallel_threads'; AttributeError: Option max_parallel_threads is not defined</t>
        </is>
      </c>
      <c r="CA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CB21" s="2" t="inlineStr">
        <is>
          <t>KeyError</t>
        </is>
      </c>
      <c r="CC21" s="2" t="inlineStr">
        <is>
          <t>KeyError: 'max_parallel_threads'; AttributeError: Option max_parallel_threads is not defined</t>
        </is>
      </c>
      <c r="CD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CE21" s="2" t="inlineStr">
        <is>
          <t>KeyError</t>
        </is>
      </c>
      <c r="CF21" s="2" t="inlineStr">
        <is>
          <t>KeyError: 'max_parallel_threads'; AttributeError: Option max_parallel_threads is not defined</t>
        </is>
      </c>
      <c r="CG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CH21" s="2" t="inlineStr">
        <is>
          <t>KeyError</t>
        </is>
      </c>
      <c r="CI21" s="2" t="inlineStr">
        <is>
          <t>KeyError: 'max_parallel_threads'; AttributeError: Option max_parallel_threads is not defined</t>
        </is>
      </c>
      <c r="CJ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CK21" s="2" t="inlineStr">
        <is>
          <t>KeyError</t>
        </is>
      </c>
      <c r="CL21" s="2" t="inlineStr">
        <is>
          <t>KeyError: 'max_parallel_threads'; AttributeError: Option max_parallel_threads is not defined</t>
        </is>
      </c>
      <c r="CM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CN21" s="2" t="inlineStr">
        <is>
          <t>KeyError</t>
        </is>
      </c>
      <c r="CO21" s="2" t="inlineStr">
        <is>
          <t>KeyError: 'max_parallel_threads'; AttributeError: Option max_parallel_threads is not defined</t>
        </is>
      </c>
      <c r="CP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CQ21" s="2" t="inlineStr">
        <is>
          <t>KeyError</t>
        </is>
      </c>
      <c r="CR21" s="2" t="inlineStr">
        <is>
          <t>KeyError: 'max_parallel_threads'; AttributeError: Option max_parallel_threads is not defined</t>
        </is>
      </c>
      <c r="CS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CT21" s="2" t="inlineStr">
        <is>
          <t>KeyError</t>
        </is>
      </c>
      <c r="CU21" s="2" t="inlineStr">
        <is>
          <t>KeyError: 'max_parallel_threads'; AttributeError: Option max_parallel_threads is not defined</t>
        </is>
      </c>
      <c r="CV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CW21" s="2" t="inlineStr">
        <is>
          <t>KeyError</t>
        </is>
      </c>
      <c r="CX21" s="2" t="inlineStr">
        <is>
          <t>KeyError: 'max_parallel_threads'; AttributeError: Option max_parallel_threads is not defined</t>
        </is>
      </c>
      <c r="CY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CZ21" s="2" t="inlineStr">
        <is>
          <t>KeyError</t>
        </is>
      </c>
      <c r="DA21" s="2" t="inlineStr">
        <is>
          <t>KeyError: 'max_parallel_threads'; AttributeError: Option max_parallel_threads is not defined</t>
        </is>
      </c>
      <c r="DB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DC21" s="2" t="inlineStr">
        <is>
          <t>KeyError</t>
        </is>
      </c>
      <c r="DD21" s="2" t="inlineStr">
        <is>
          <t>KeyError: 'max_parallel_threads'; AttributeError: Option max_parallel_threads is not defined</t>
        </is>
      </c>
      <c r="DE21" s="2"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row>
    <row r="22">
      <c r="A22" s="2" t="inlineStr">
        <is>
          <t>issue_344</t>
        </is>
      </c>
      <c r="B22" s="4" t="inlineStr">
        <is>
          <t>Passed on test</t>
        </is>
      </c>
      <c r="C22" s="4" t="inlineStr">
        <is>
          <t>Passed on test</t>
        </is>
      </c>
      <c r="D22" s="4" t="inlineStr">
        <is>
          <t>Passed on test</t>
        </is>
      </c>
      <c r="E22" s="4" t="inlineStr">
        <is>
          <t>Passed on test</t>
        </is>
      </c>
      <c r="F22" s="4" t="inlineStr">
        <is>
          <t>Passed on test</t>
        </is>
      </c>
      <c r="G22" s="4" t="inlineStr">
        <is>
          <t>Passed on test</t>
        </is>
      </c>
      <c r="H22" s="4" t="inlineStr">
        <is>
          <t>Passed on test</t>
        </is>
      </c>
      <c r="I22" s="4" t="inlineStr">
        <is>
          <t>Passed on test</t>
        </is>
      </c>
      <c r="J22" s="4" t="inlineStr">
        <is>
          <t>Passed on test</t>
        </is>
      </c>
      <c r="K22" s="4" t="inlineStr">
        <is>
          <t>Passed on test</t>
        </is>
      </c>
      <c r="L22" s="4" t="inlineStr">
        <is>
          <t>Passed on test</t>
        </is>
      </c>
      <c r="M22" s="4" t="inlineStr">
        <is>
          <t>Passed on test</t>
        </is>
      </c>
      <c r="N22" s="3" t="inlineStr">
        <is>
          <t>NOT_TESTED</t>
        </is>
      </c>
      <c r="O22" s="3" t="inlineStr">
        <is>
          <t>NOT_TESTED</t>
        </is>
      </c>
      <c r="P22" s="3" t="inlineStr">
        <is>
          <t>NOT_TESTED</t>
        </is>
      </c>
      <c r="Q22" s="3" t="inlineStr">
        <is>
          <t>NOT_TESTED</t>
        </is>
      </c>
      <c r="R22" s="3" t="inlineStr">
        <is>
          <t>NOT_TESTED</t>
        </is>
      </c>
      <c r="S22" s="3" t="inlineStr">
        <is>
          <t>NOT_TESTED</t>
        </is>
      </c>
      <c r="T22" s="3" t="inlineStr">
        <is>
          <t>NOT_TESTED</t>
        </is>
      </c>
      <c r="U22" s="3" t="inlineStr">
        <is>
          <t>NOT_TESTED</t>
        </is>
      </c>
      <c r="V22" s="3" t="inlineStr">
        <is>
          <t>NOT_TESTED</t>
        </is>
      </c>
      <c r="W22" s="3" t="inlineStr">
        <is>
          <t>NOT_TESTED</t>
        </is>
      </c>
      <c r="X22" s="3" t="inlineStr">
        <is>
          <t>NOT_TESTED</t>
        </is>
      </c>
      <c r="Y22" s="3" t="inlineStr">
        <is>
          <t>NOT_TESTED</t>
        </is>
      </c>
      <c r="Z22" s="3" t="inlineStr">
        <is>
          <t>NOT_TESTED</t>
        </is>
      </c>
      <c r="AA22" s="3" t="inlineStr">
        <is>
          <t>NOT_TESTED</t>
        </is>
      </c>
      <c r="AB22" s="3" t="inlineStr">
        <is>
          <t>NOT_TESTED</t>
        </is>
      </c>
      <c r="AC22" s="2" t="n"/>
      <c r="AD22" s="2" t="n"/>
      <c r="AE22" s="2" t="n"/>
      <c r="AF22" s="2" t="n"/>
      <c r="AG22" s="2" t="n"/>
      <c r="AH22" s="2" t="n"/>
      <c r="AI22" s="2" t="n"/>
      <c r="AJ22" s="2" t="n"/>
      <c r="AK22" s="2" t="n"/>
      <c r="AL22" s="2" t="n"/>
      <c r="AM22" s="2" t="n"/>
      <c r="AN22" s="2" t="n"/>
      <c r="AO22" s="2" t="n"/>
      <c r="AP22" s="2" t="n"/>
      <c r="AQ22" s="2" t="n"/>
      <c r="AR22" s="2" t="n"/>
      <c r="AS22" s="2" t="n"/>
      <c r="AT22" s="2" t="n"/>
      <c r="AU22" s="2" t="n"/>
      <c r="AV22" s="2" t="n"/>
      <c r="AW22" s="2" t="n"/>
      <c r="AX22" s="2" t="n"/>
      <c r="AY22" s="2" t="n"/>
      <c r="AZ22" s="2" t="n"/>
      <c r="BA22" s="2" t="n"/>
      <c r="BB22" s="2" t="n"/>
      <c r="BC22" s="2" t="n"/>
      <c r="BD22" s="2" t="n"/>
      <c r="BE22" s="2" t="n"/>
      <c r="BF22" s="2" t="n"/>
      <c r="BG22" s="2" t="n"/>
      <c r="BH22" s="2" t="n"/>
      <c r="BI22" s="2" t="n"/>
      <c r="BJ22" s="2" t="n"/>
      <c r="BK22" s="2" t="n"/>
      <c r="BL22" s="2" t="n"/>
      <c r="BM22" s="2" t="n"/>
      <c r="BN22" s="2" t="n"/>
      <c r="BO22" s="2" t="n"/>
      <c r="BP22" s="2" t="n"/>
      <c r="BQ22" s="2" t="n"/>
      <c r="BR22" s="2" t="n"/>
      <c r="BS22" s="2" t="n"/>
      <c r="BT22" s="2" t="n"/>
      <c r="BU22" s="2" t="n"/>
      <c r="BV22" s="2" t="n"/>
      <c r="BW22" s="2" t="n"/>
      <c r="BX22" s="2" t="n"/>
      <c r="BY22" s="2" t="n"/>
      <c r="BZ22" s="2" t="n"/>
      <c r="CA22" s="2" t="n"/>
      <c r="CB22" s="2" t="n"/>
      <c r="CC22" s="2" t="n"/>
      <c r="CD22" s="2" t="n"/>
      <c r="CE22" s="2" t="n"/>
      <c r="CF22" s="2" t="n"/>
      <c r="CG22" s="2" t="n"/>
      <c r="CH22" s="2" t="n"/>
      <c r="CI22" s="2" t="n"/>
      <c r="CJ22" s="2" t="n"/>
      <c r="CK22" s="2" t="n"/>
      <c r="CL22" s="2" t="n"/>
      <c r="CM22" s="2" t="n"/>
      <c r="CN22" s="2" t="n"/>
      <c r="CO22" s="2" t="n"/>
      <c r="CP22" s="2" t="n"/>
      <c r="CQ22" s="2" t="n"/>
      <c r="CR22" s="2" t="n"/>
      <c r="CS22" s="2" t="n"/>
      <c r="CT22" s="2" t="n"/>
      <c r="CU22" s="2" t="n"/>
      <c r="CV22" s="2" t="n"/>
      <c r="CW22" s="2" t="n"/>
      <c r="CX22" s="2" t="n"/>
      <c r="CY22" s="2" t="n"/>
      <c r="CZ22" s="2" t="n"/>
      <c r="DA22" s="2" t="n"/>
      <c r="DB22" s="2" t="n"/>
      <c r="DC22" s="2" t="n"/>
      <c r="DD22" s="2" t="n"/>
      <c r="DE22" s="2" t="n"/>
    </row>
    <row r="23">
      <c r="A23" s="2" t="inlineStr">
        <is>
          <t>issue_362</t>
        </is>
      </c>
      <c r="B23" s="3" t="inlineStr">
        <is>
          <t>NOT_TESTED</t>
        </is>
      </c>
      <c r="C23" s="3" t="inlineStr">
        <is>
          <t>NOT_TESTED</t>
        </is>
      </c>
      <c r="D23" s="3" t="inlineStr">
        <is>
          <t>NOT_TESTED</t>
        </is>
      </c>
      <c r="E23" s="3" t="inlineStr">
        <is>
          <t>NOT_TESTED</t>
        </is>
      </c>
      <c r="F23" s="4" t="inlineStr">
        <is>
          <t>Passed on test</t>
        </is>
      </c>
      <c r="G23" s="4" t="inlineStr">
        <is>
          <t>Passed on test</t>
        </is>
      </c>
      <c r="H23" s="4" t="inlineStr">
        <is>
          <t>Passed on test</t>
        </is>
      </c>
      <c r="I23" s="4" t="inlineStr">
        <is>
          <t>Passed on test</t>
        </is>
      </c>
      <c r="J23" s="4" t="inlineStr">
        <is>
          <t>Passed on test</t>
        </is>
      </c>
      <c r="K23" s="4" t="inlineStr">
        <is>
          <t>Passed on test</t>
        </is>
      </c>
      <c r="L23" s="4" t="inlineStr">
        <is>
          <t>Passed on test</t>
        </is>
      </c>
      <c r="M23" s="4" t="inlineStr">
        <is>
          <t>Passed on test</t>
        </is>
      </c>
      <c r="N23" s="4" t="inlineStr">
        <is>
          <t>Passed on test</t>
        </is>
      </c>
      <c r="O23" s="4" t="inlineStr">
        <is>
          <t>Passed on test</t>
        </is>
      </c>
      <c r="P23" s="4" t="inlineStr">
        <is>
          <t>Passed on test</t>
        </is>
      </c>
      <c r="Q23" s="4" t="inlineStr">
        <is>
          <t>Passed on test</t>
        </is>
      </c>
      <c r="R23" s="4" t="inlineStr">
        <is>
          <t>Passed on test</t>
        </is>
      </c>
      <c r="S23" s="4" t="inlineStr">
        <is>
          <t>Passed on test</t>
        </is>
      </c>
      <c r="T23" s="4" t="inlineStr">
        <is>
          <t>Passed on test</t>
        </is>
      </c>
      <c r="U23" s="4" t="inlineStr">
        <is>
          <t>Passed on test</t>
        </is>
      </c>
      <c r="V23" s="4" t="inlineStr">
        <is>
          <t>Passed on test</t>
        </is>
      </c>
      <c r="W23" s="4" t="inlineStr">
        <is>
          <t>Passed on test</t>
        </is>
      </c>
      <c r="X23" s="4" t="inlineStr">
        <is>
          <t>Passed on test</t>
        </is>
      </c>
      <c r="Y23" s="4" t="inlineStr">
        <is>
          <t>Passed on test</t>
        </is>
      </c>
      <c r="Z23" s="4" t="inlineStr">
        <is>
          <t>Passed on test</t>
        </is>
      </c>
      <c r="AA23" s="4" t="inlineStr">
        <is>
          <t>Passed on test</t>
        </is>
      </c>
      <c r="AB23" s="4" t="inlineStr">
        <is>
          <t>Passed on test</t>
        </is>
      </c>
      <c r="AC23" s="2" t="n"/>
      <c r="AD23" s="2" t="n"/>
      <c r="AE23" s="2" t="n"/>
      <c r="AF23" s="2" t="n"/>
      <c r="AG23" s="2" t="n"/>
      <c r="AH23" s="2" t="n"/>
      <c r="AI23" s="2" t="n"/>
      <c r="AJ23" s="2" t="n"/>
      <c r="AK23" s="2" t="n"/>
      <c r="AL23" s="2" t="n"/>
      <c r="AM23" s="2" t="n"/>
      <c r="AN23" s="2" t="n"/>
      <c r="AO23" s="2" t="n"/>
      <c r="AP23" s="2" t="n"/>
      <c r="AQ23" s="2" t="n"/>
      <c r="AR23" s="2" t="n"/>
      <c r="AS23" s="2" t="n"/>
      <c r="AT23" s="2" t="n"/>
      <c r="AU23" s="2" t="n"/>
      <c r="AV23" s="2" t="n"/>
      <c r="AW23" s="2" t="n"/>
      <c r="AX23" s="2" t="n"/>
      <c r="AY23" s="2" t="n"/>
      <c r="AZ23" s="2" t="n"/>
      <c r="BA23" s="2" t="n"/>
      <c r="BB23" s="2" t="n"/>
      <c r="BC23" s="2" t="n"/>
      <c r="BD23" s="2" t="n"/>
      <c r="BE23" s="2" t="n"/>
      <c r="BF23" s="2" t="n"/>
      <c r="BG23" s="2" t="n"/>
      <c r="BH23" s="2" t="n"/>
      <c r="BI23" s="2" t="n"/>
      <c r="BJ23" s="2" t="n"/>
      <c r="BK23" s="2" t="n"/>
      <c r="BL23" s="2" t="n"/>
      <c r="BM23" s="2" t="n"/>
      <c r="BN23" s="2" t="n"/>
      <c r="BO23" s="2" t="n"/>
      <c r="BP23" s="2" t="n"/>
      <c r="BQ23" s="2" t="n"/>
      <c r="BR23" s="2" t="n"/>
      <c r="BS23" s="2" t="n"/>
      <c r="BT23" s="2" t="n"/>
      <c r="BU23" s="2" t="n"/>
      <c r="BV23" s="2" t="n"/>
      <c r="BW23" s="2" t="n"/>
      <c r="BX23" s="2" t="n"/>
      <c r="BY23" s="2" t="n"/>
      <c r="BZ23" s="2" t="n"/>
      <c r="CA23" s="2" t="n"/>
      <c r="CB23" s="2" t="n"/>
      <c r="CC23" s="2" t="n"/>
      <c r="CD23" s="2" t="n"/>
      <c r="CE23" s="2" t="n"/>
      <c r="CF23" s="2" t="n"/>
      <c r="CG23" s="2" t="n"/>
      <c r="CH23" s="2" t="n"/>
      <c r="CI23" s="2" t="n"/>
      <c r="CJ23" s="2" t="n"/>
      <c r="CK23" s="2" t="n"/>
      <c r="CL23" s="2" t="n"/>
      <c r="CM23" s="2" t="n"/>
      <c r="CN23" s="2" t="n"/>
      <c r="CO23" s="2" t="n"/>
      <c r="CP23" s="2" t="n"/>
      <c r="CQ23" s="2" t="n"/>
      <c r="CR23" s="2" t="n"/>
      <c r="CS23" s="2" t="n"/>
      <c r="CT23" s="2" t="n"/>
      <c r="CU23" s="2" t="n"/>
      <c r="CV23" s="2" t="n"/>
      <c r="CW23" s="2" t="n"/>
      <c r="CX23" s="2" t="n"/>
      <c r="CY23" s="2" t="n"/>
      <c r="CZ23" s="2" t="n"/>
      <c r="DA23" s="2" t="n"/>
      <c r="DB23" s="2" t="n"/>
      <c r="DC23" s="2" t="n"/>
      <c r="DD23" s="2" t="n"/>
      <c r="DE23" s="2" t="n"/>
    </row>
    <row r="24">
      <c r="A24" s="2" t="inlineStr">
        <is>
          <t>issue_369</t>
        </is>
      </c>
      <c r="B24" s="4" t="inlineStr">
        <is>
          <t>Passed on test</t>
        </is>
      </c>
      <c r="C24" s="4" t="inlineStr">
        <is>
          <t>Passed on test</t>
        </is>
      </c>
      <c r="D24" s="4" t="inlineStr">
        <is>
          <t>Passed on test</t>
        </is>
      </c>
      <c r="E24" s="4" t="inlineStr">
        <is>
          <t>Passed on test</t>
        </is>
      </c>
      <c r="F24" s="4" t="inlineStr">
        <is>
          <t>Passed on test</t>
        </is>
      </c>
      <c r="G24" s="4" t="inlineStr">
        <is>
          <t>Passed on test</t>
        </is>
      </c>
      <c r="H24" s="4" t="inlineStr">
        <is>
          <t>Passed on test</t>
        </is>
      </c>
      <c r="I24" s="4" t="inlineStr">
        <is>
          <t>Passed on test</t>
        </is>
      </c>
      <c r="J24" s="4" t="inlineStr">
        <is>
          <t>Passed on test</t>
        </is>
      </c>
      <c r="K24" s="4" t="inlineStr">
        <is>
          <t>Passed on test</t>
        </is>
      </c>
      <c r="L24" s="4" t="inlineStr">
        <is>
          <t>Passed on test</t>
        </is>
      </c>
      <c r="M24" s="4" t="inlineStr">
        <is>
          <t>Passed on test</t>
        </is>
      </c>
      <c r="N24" s="4" t="inlineStr">
        <is>
          <t>Passed on test</t>
        </is>
      </c>
      <c r="O24" s="4" t="inlineStr">
        <is>
          <t>Passed on test</t>
        </is>
      </c>
      <c r="P24" s="4" t="inlineStr">
        <is>
          <t>Passed on test</t>
        </is>
      </c>
      <c r="Q24" s="4" t="inlineStr">
        <is>
          <t>Passed on test</t>
        </is>
      </c>
      <c r="R24" s="4" t="inlineStr">
        <is>
          <t>Passed on test</t>
        </is>
      </c>
      <c r="S24" s="4" t="inlineStr">
        <is>
          <t>Passed on test</t>
        </is>
      </c>
      <c r="T24" s="4" t="inlineStr">
        <is>
          <t>Passed on test</t>
        </is>
      </c>
      <c r="U24" s="4" t="inlineStr">
        <is>
          <t>Passed on test</t>
        </is>
      </c>
      <c r="V24" s="4" t="inlineStr">
        <is>
          <t>Passed on test</t>
        </is>
      </c>
      <c r="W24" s="4" t="inlineStr">
        <is>
          <t>Passed on test</t>
        </is>
      </c>
      <c r="X24" s="4" t="inlineStr">
        <is>
          <t>Passed on test</t>
        </is>
      </c>
      <c r="Y24" s="4" t="inlineStr">
        <is>
          <t>Passed on test</t>
        </is>
      </c>
      <c r="Z24" s="4" t="inlineStr">
        <is>
          <t>Passed on test</t>
        </is>
      </c>
      <c r="AA24" s="4" t="inlineStr">
        <is>
          <t>Passed on test</t>
        </is>
      </c>
      <c r="AB24" s="4" t="inlineStr">
        <is>
          <t>Passed on test</t>
        </is>
      </c>
      <c r="AC24" s="2" t="n"/>
      <c r="AD24" s="2" t="n"/>
      <c r="AE24" s="2" t="n"/>
      <c r="AF24" s="2" t="n"/>
      <c r="AG24" s="2" t="n"/>
      <c r="AH24" s="2" t="n"/>
      <c r="AI24" s="2" t="n"/>
      <c r="AJ24" s="2" t="n"/>
      <c r="AK24" s="2" t="n"/>
      <c r="AL24" s="2" t="n"/>
      <c r="AM24" s="2" t="n"/>
      <c r="AN24" s="2" t="n"/>
      <c r="AO24" s="2" t="n"/>
      <c r="AP24" s="2" t="n"/>
      <c r="AQ24" s="2" t="n"/>
      <c r="AR24" s="2" t="n"/>
      <c r="AS24" s="2" t="n"/>
      <c r="AT24" s="2" t="n"/>
      <c r="AU24" s="2" t="n"/>
      <c r="AV24" s="2" t="n"/>
      <c r="AW24" s="2" t="n"/>
      <c r="AX24" s="2" t="n"/>
      <c r="AY24" s="2" t="n"/>
      <c r="AZ24" s="2" t="n"/>
      <c r="BA24" s="2" t="n"/>
      <c r="BB24" s="2" t="n"/>
      <c r="BC24" s="2" t="n"/>
      <c r="BD24" s="2" t="n"/>
      <c r="BE24" s="2" t="n"/>
      <c r="BF24" s="2" t="n"/>
      <c r="BG24" s="2" t="n"/>
      <c r="BH24" s="2" t="n"/>
      <c r="BI24" s="2" t="n"/>
      <c r="BJ24" s="2" t="n"/>
      <c r="BK24" s="2" t="n"/>
      <c r="BL24" s="2" t="n"/>
      <c r="BM24" s="2" t="n"/>
      <c r="BN24" s="2" t="n"/>
      <c r="BO24" s="2" t="n"/>
      <c r="BP24" s="2" t="n"/>
      <c r="BQ24" s="2" t="n"/>
      <c r="BR24" s="2" t="n"/>
      <c r="BS24" s="2" t="n"/>
      <c r="BT24" s="2" t="n"/>
      <c r="BU24" s="2" t="n"/>
      <c r="BV24" s="2" t="n"/>
      <c r="BW24" s="2" t="n"/>
      <c r="BX24" s="2" t="n"/>
      <c r="BY24" s="2" t="n"/>
      <c r="BZ24" s="2" t="n"/>
      <c r="CA24" s="2" t="n"/>
      <c r="CB24" s="2" t="n"/>
      <c r="CC24" s="2" t="n"/>
      <c r="CD24" s="2" t="n"/>
      <c r="CE24" s="2" t="n"/>
      <c r="CF24" s="2" t="n"/>
      <c r="CG24" s="2" t="n"/>
      <c r="CH24" s="2" t="n"/>
      <c r="CI24" s="2" t="n"/>
      <c r="CJ24" s="2" t="n"/>
      <c r="CK24" s="2" t="n"/>
      <c r="CL24" s="2" t="n"/>
      <c r="CM24" s="2" t="n"/>
      <c r="CN24" s="2" t="n"/>
      <c r="CO24" s="2" t="n"/>
      <c r="CP24" s="2" t="n"/>
      <c r="CQ24" s="2" t="n"/>
      <c r="CR24" s="2" t="n"/>
      <c r="CS24" s="2" t="n"/>
      <c r="CT24" s="2" t="n"/>
      <c r="CU24" s="2" t="n"/>
      <c r="CV24" s="2" t="n"/>
      <c r="CW24" s="2" t="n"/>
      <c r="CX24" s="2" t="n"/>
      <c r="CY24" s="2" t="n"/>
      <c r="CZ24" s="2" t="n"/>
      <c r="DA24" s="2" t="n"/>
      <c r="DB24" s="2" t="n"/>
      <c r="DC24" s="2" t="n"/>
      <c r="DD24" s="2" t="n"/>
      <c r="DE24" s="2" t="n"/>
    </row>
    <row r="25">
      <c r="A25" s="2" t="inlineStr">
        <is>
          <t>issue_396</t>
        </is>
      </c>
      <c r="B25" s="5" t="inlineStr">
        <is>
          <t>Failed on test</t>
        </is>
      </c>
      <c r="C25" s="5" t="inlineStr">
        <is>
          <t>Failed on test</t>
        </is>
      </c>
      <c r="D25" s="5" t="inlineStr">
        <is>
          <t>Failed on test</t>
        </is>
      </c>
      <c r="E25" s="5" t="inlineStr">
        <is>
          <t>Failed on test</t>
        </is>
      </c>
      <c r="F25" s="4" t="inlineStr">
        <is>
          <t>Passed on test</t>
        </is>
      </c>
      <c r="G25" s="4" t="inlineStr">
        <is>
          <t>Passed on test</t>
        </is>
      </c>
      <c r="H25" s="4" t="inlineStr">
        <is>
          <t>Passed on test</t>
        </is>
      </c>
      <c r="I25" s="4" t="inlineStr">
        <is>
          <t>Passed on test</t>
        </is>
      </c>
      <c r="J25" s="4" t="inlineStr">
        <is>
          <t>Passed on test</t>
        </is>
      </c>
      <c r="K25" s="4" t="inlineStr">
        <is>
          <t>Passed on test</t>
        </is>
      </c>
      <c r="L25" s="4" t="inlineStr">
        <is>
          <t>Passed on test</t>
        </is>
      </c>
      <c r="M25" s="4" t="inlineStr">
        <is>
          <t>Passed on test</t>
        </is>
      </c>
      <c r="N25" s="4" t="inlineStr">
        <is>
          <t>Passed on test</t>
        </is>
      </c>
      <c r="O25" s="4" t="inlineStr">
        <is>
          <t>Passed on test</t>
        </is>
      </c>
      <c r="P25" s="4" t="inlineStr">
        <is>
          <t>Passed on test</t>
        </is>
      </c>
      <c r="Q25" s="4" t="inlineStr">
        <is>
          <t>Passed on test</t>
        </is>
      </c>
      <c r="R25" s="4" t="inlineStr">
        <is>
          <t>Passed on test</t>
        </is>
      </c>
      <c r="S25" s="4" t="inlineStr">
        <is>
          <t>Passed on test</t>
        </is>
      </c>
      <c r="T25" s="4" t="inlineStr">
        <is>
          <t>Passed on test</t>
        </is>
      </c>
      <c r="U25" s="4" t="inlineStr">
        <is>
          <t>Passed on test</t>
        </is>
      </c>
      <c r="V25" s="4" t="inlineStr">
        <is>
          <t>Passed on test</t>
        </is>
      </c>
      <c r="W25" s="4" t="inlineStr">
        <is>
          <t>Passed on test</t>
        </is>
      </c>
      <c r="X25" s="4" t="inlineStr">
        <is>
          <t>Passed on test</t>
        </is>
      </c>
      <c r="Y25" s="4" t="inlineStr">
        <is>
          <t>Passed on test</t>
        </is>
      </c>
      <c r="Z25" s="4" t="inlineStr">
        <is>
          <t>Passed on test</t>
        </is>
      </c>
      <c r="AA25" s="4" t="inlineStr">
        <is>
          <t>Passed on test</t>
        </is>
      </c>
      <c r="AB25" s="4" t="inlineStr">
        <is>
          <t>Passed on test</t>
        </is>
      </c>
      <c r="AC25" s="2" t="inlineStr">
        <is>
          <t>AssertionError</t>
        </is>
      </c>
      <c r="AD25" s="2" t="inlineStr">
        <is>
          <t>AssertionError:</t>
        </is>
      </c>
      <c r="AE25" s="2" t="inlineStr">
        <is>
          <t>Failed on 0.25.x, passed on the other 23 versions: the LLM built the phase oracle as a Diagonal circuit (-1 on the two targets, +1 elsewhere), which is exact and, unlike the QuantumCircuit.diagonal() both luna models used, still exists in Qiskit 1.x / 2.x. On 0.25.x, GroverOperator drops the Diagonal circuit's global phase, so the Grover operator is off by a factor e^(-i*pi/4), and the test compares the operator exactly.</t>
        </is>
      </c>
      <c r="AF25" s="2" t="inlineStr">
        <is>
          <t>AssertionError</t>
        </is>
      </c>
      <c r="AG25" s="2" t="inlineStr">
        <is>
          <t>AssertionError:</t>
        </is>
      </c>
      <c r="AH25" s="2" t="inlineStr">
        <is>
          <t>Failed on 0.25.x, passed on the other 23 versions: the LLM built the phase oracle as a Diagonal circuit (-1 on the two targets, +1 elsewhere), which is exact and, unlike the QuantumCircuit.diagonal() both luna models used, still exists in Qiskit 1.x / 2.x. On 0.25.x, GroverOperator drops the Diagonal circuit's global phase, so the Grover operator is off by a factor e^(-i*pi/4), and the test compares the operator exactly.</t>
        </is>
      </c>
      <c r="AI25" s="2" t="inlineStr">
        <is>
          <t>AssertionError</t>
        </is>
      </c>
      <c r="AJ25" s="2" t="inlineStr">
        <is>
          <t>AssertionError:</t>
        </is>
      </c>
      <c r="AK25" s="2" t="inlineStr">
        <is>
          <t>Failed on 0.25.x, passed on the other 23 versions: the LLM built the phase oracle as a Diagonal circuit (-1 on the two targets, +1 elsewhere), which is exact and, unlike the QuantumCircuit.diagonal() both luna models used, still exists in Qiskit 1.x / 2.x. On 0.25.x, GroverOperator drops the Diagonal circuit's global phase, so the Grover operator is off by a factor e^(-i*pi/4), and the test compares the operator exactly.</t>
        </is>
      </c>
      <c r="AL25" s="2" t="inlineStr">
        <is>
          <t>AssertionError</t>
        </is>
      </c>
      <c r="AM25" s="2" t="inlineStr">
        <is>
          <t>AssertionError:</t>
        </is>
      </c>
      <c r="AN25" s="2" t="inlineStr">
        <is>
          <t>Failed on 0.25.x, passed on the other 23 versions: the LLM built the phase oracle as a Diagonal circuit (-1 on the two targets, +1 elsewhere), which is exact and, unlike the QuantumCircuit.diagonal() both luna models used, still exists in Qiskit 1.x / 2.x. On 0.25.x, GroverOperator drops the Diagonal circuit's global phase, so the Grover operator is off by a factor e^(-i*pi/4), and the test compares the operator exactly.</t>
        </is>
      </c>
      <c r="AO25" s="2" t="n"/>
      <c r="AP25" s="2" t="n"/>
      <c r="AQ25" s="2" t="n"/>
      <c r="AR25" s="2" t="n"/>
      <c r="AS25" s="2" t="n"/>
      <c r="AT25" s="2" t="n"/>
      <c r="AU25" s="2" t="n"/>
      <c r="AV25" s="2" t="n"/>
      <c r="AW25" s="2" t="n"/>
      <c r="AX25" s="2" t="n"/>
      <c r="AY25" s="2" t="n"/>
      <c r="AZ25" s="2" t="n"/>
      <c r="BA25" s="2" t="n"/>
      <c r="BB25" s="2" t="n"/>
      <c r="BC25" s="2" t="n"/>
      <c r="BD25" s="2" t="n"/>
      <c r="BE25" s="2" t="n"/>
      <c r="BF25" s="2" t="n"/>
      <c r="BG25" s="2" t="n"/>
      <c r="BH25" s="2" t="n"/>
      <c r="BI25" s="2" t="n"/>
      <c r="BJ25" s="2" t="n"/>
      <c r="BK25" s="2" t="n"/>
      <c r="BL25" s="2" t="n"/>
      <c r="BM25" s="2" t="n"/>
      <c r="BN25" s="2" t="n"/>
      <c r="BO25" s="2" t="n"/>
      <c r="BP25" s="2" t="n"/>
      <c r="BQ25" s="2" t="n"/>
      <c r="BR25" s="2" t="n"/>
      <c r="BS25" s="2" t="n"/>
      <c r="BT25" s="2" t="n"/>
      <c r="BU25" s="2" t="n"/>
      <c r="BV25" s="2" t="n"/>
      <c r="BW25" s="2" t="n"/>
      <c r="BX25" s="2" t="n"/>
      <c r="BY25" s="2" t="n"/>
      <c r="BZ25" s="2" t="n"/>
      <c r="CA25" s="2" t="n"/>
      <c r="CB25" s="2" t="n"/>
      <c r="CC25" s="2" t="n"/>
      <c r="CD25" s="2" t="n"/>
      <c r="CE25" s="2" t="n"/>
      <c r="CF25" s="2" t="n"/>
      <c r="CG25" s="2" t="n"/>
      <c r="CH25" s="2" t="n"/>
      <c r="CI25" s="2" t="n"/>
      <c r="CJ25" s="2" t="n"/>
      <c r="CK25" s="2" t="n"/>
      <c r="CL25" s="2" t="n"/>
      <c r="CM25" s="2" t="n"/>
      <c r="CN25" s="2" t="n"/>
      <c r="CO25" s="2" t="n"/>
      <c r="CP25" s="2" t="n"/>
      <c r="CQ25" s="2" t="n"/>
      <c r="CR25" s="2" t="n"/>
      <c r="CS25" s="2" t="n"/>
      <c r="CT25" s="2" t="n"/>
      <c r="CU25" s="2" t="n"/>
      <c r="CV25" s="2" t="n"/>
      <c r="CW25" s="2" t="n"/>
      <c r="CX25" s="2" t="n"/>
      <c r="CY25" s="2" t="n"/>
      <c r="CZ25" s="2" t="n"/>
      <c r="DA25" s="2" t="n"/>
      <c r="DB25" s="2" t="n"/>
      <c r="DC25" s="2" t="n"/>
      <c r="DD25" s="2" t="n"/>
      <c r="DE25" s="2" t="n"/>
    </row>
    <row r="26">
      <c r="A26" s="2" t="inlineStr">
        <is>
          <t>issue_415</t>
        </is>
      </c>
      <c r="B26" s="5" t="inlineStr">
        <is>
          <t>Failed on test</t>
        </is>
      </c>
      <c r="C26" s="5" t="inlineStr">
        <is>
          <t>Failed on test</t>
        </is>
      </c>
      <c r="D26" s="5" t="inlineStr">
        <is>
          <t>Failed on test</t>
        </is>
      </c>
      <c r="E26" s="5" t="inlineStr">
        <is>
          <t>Failed on test</t>
        </is>
      </c>
      <c r="F26" s="3" t="inlineStr">
        <is>
          <t>NOT_TESTED</t>
        </is>
      </c>
      <c r="G26" s="3" t="inlineStr">
        <is>
          <t>NOT_TESTED</t>
        </is>
      </c>
      <c r="H26" s="3" t="inlineStr">
        <is>
          <t>NOT_TESTED</t>
        </is>
      </c>
      <c r="I26" s="3" t="inlineStr">
        <is>
          <t>NOT_TESTED</t>
        </is>
      </c>
      <c r="J26" s="3" t="inlineStr">
        <is>
          <t>NOT_TESTED</t>
        </is>
      </c>
      <c r="K26" s="3" t="inlineStr">
        <is>
          <t>NOT_TESTED</t>
        </is>
      </c>
      <c r="L26" s="3" t="inlineStr">
        <is>
          <t>NOT_TESTED</t>
        </is>
      </c>
      <c r="M26" s="3" t="inlineStr">
        <is>
          <t>NOT_TESTED</t>
        </is>
      </c>
      <c r="N26" s="3" t="inlineStr">
        <is>
          <t>NOT_TESTED</t>
        </is>
      </c>
      <c r="O26" s="3" t="inlineStr">
        <is>
          <t>NOT_TESTED</t>
        </is>
      </c>
      <c r="P26" s="3" t="inlineStr">
        <is>
          <t>NOT_TESTED</t>
        </is>
      </c>
      <c r="Q26" s="3" t="inlineStr">
        <is>
          <t>NOT_TESTED</t>
        </is>
      </c>
      <c r="R26" s="3" t="inlineStr">
        <is>
          <t>NOT_TESTED</t>
        </is>
      </c>
      <c r="S26" s="3" t="inlineStr">
        <is>
          <t>NOT_TESTED</t>
        </is>
      </c>
      <c r="T26" s="3" t="inlineStr">
        <is>
          <t>NOT_TESTED</t>
        </is>
      </c>
      <c r="U26" s="3" t="inlineStr">
        <is>
          <t>NOT_TESTED</t>
        </is>
      </c>
      <c r="V26" s="3" t="inlineStr">
        <is>
          <t>NOT_TESTED</t>
        </is>
      </c>
      <c r="W26" s="3" t="inlineStr">
        <is>
          <t>NOT_TESTED</t>
        </is>
      </c>
      <c r="X26" s="3" t="inlineStr">
        <is>
          <t>NOT_TESTED</t>
        </is>
      </c>
      <c r="Y26" s="3" t="inlineStr">
        <is>
          <t>NOT_TESTED</t>
        </is>
      </c>
      <c r="Z26" s="3" t="inlineStr">
        <is>
          <t>NOT_TESTED</t>
        </is>
      </c>
      <c r="AA26" s="3" t="inlineStr">
        <is>
          <t>NOT_TESTED</t>
        </is>
      </c>
      <c r="AB26" s="3" t="inlineStr">
        <is>
          <t>NOT_TESTED</t>
        </is>
      </c>
      <c r="AC26" s="2" t="inlineStr">
        <is>
          <t>AssertionError</t>
        </is>
      </c>
      <c r="AD26" s="2" t="inlineStr">
        <is>
          <t>AssertionError: -1.2374811137735784 != 0 within 7 places (1.2374811137735784 difference)</t>
        </is>
      </c>
      <c r="AE26" s="2" t="inlineStr">
        <is>
          <t>The LLM left theta and phi complex and replaced circ.u3(theta, phi, 0, 0) with circ.initialize(arb_quantum_state, [0]). That prepares the right state, but the question is about getting real U3 angles, and the test checks that theta and phi are real (theta's imaginary part is -1.24). gpt-6-luna computed real angles and passed.</t>
        </is>
      </c>
      <c r="AF26" s="2" t="inlineStr">
        <is>
          <t>AssertionError</t>
        </is>
      </c>
      <c r="AG26" s="2" t="inlineStr">
        <is>
          <t>AssertionError: -1.2374811137735784 != 0 within 7 places (1.2374811137735784 difference)</t>
        </is>
      </c>
      <c r="AH26" s="2" t="inlineStr">
        <is>
          <t>The LLM left theta and phi complex and replaced circ.u3(theta, phi, 0, 0) with circ.initialize(arb_quantum_state, [0]). That prepares the right state, but the question is about getting real U3 angles, and the test checks that theta and phi are real (theta's imaginary part is -1.24). gpt-6-luna computed real angles and passed.</t>
        </is>
      </c>
      <c r="AI26" s="2" t="inlineStr">
        <is>
          <t>AssertionError</t>
        </is>
      </c>
      <c r="AJ26" s="2" t="inlineStr">
        <is>
          <t>AssertionError: -1.2374811137735784 != 0 within 7 places (1.2374811137735784 difference)</t>
        </is>
      </c>
      <c r="AK26" s="2" t="inlineStr">
        <is>
          <t>The LLM left theta and phi complex and replaced circ.u3(theta, phi, 0, 0) with circ.initialize(arb_quantum_state, [0]). That prepares the right state, but the question is about getting real U3 angles, and the test checks that theta and phi are real (theta's imaginary part is -1.24). gpt-6-luna computed real angles and passed.</t>
        </is>
      </c>
      <c r="AL26" s="2" t="inlineStr">
        <is>
          <t>AssertionError</t>
        </is>
      </c>
      <c r="AM26" s="2" t="inlineStr">
        <is>
          <t>AssertionError: -1.2374811137735784 != 0 within 7 places (1.2374811137735784 difference)</t>
        </is>
      </c>
      <c r="AN26" s="2" t="inlineStr">
        <is>
          <t>The LLM left theta and phi complex and replaced circ.u3(theta, phi, 0, 0) with circ.initialize(arb_quantum_state, [0]). That prepares the right state, but the question is about getting real U3 angles, and the test checks that theta and phi are real (theta's imaginary part is -1.24). gpt-6-luna computed real angles and passed.</t>
        </is>
      </c>
      <c r="AO26" s="2" t="n"/>
      <c r="AP26" s="2" t="n"/>
      <c r="AQ26" s="2" t="n"/>
      <c r="AR26" s="2" t="n"/>
      <c r="AS26" s="2" t="n"/>
      <c r="AT26" s="2" t="n"/>
      <c r="AU26" s="2" t="n"/>
      <c r="AV26" s="2" t="n"/>
      <c r="AW26" s="2" t="n"/>
      <c r="AX26" s="2" t="n"/>
      <c r="AY26" s="2" t="n"/>
      <c r="AZ26" s="2" t="n"/>
      <c r="BA26" s="2" t="n"/>
      <c r="BB26" s="2" t="n"/>
      <c r="BC26" s="2" t="n"/>
      <c r="BD26" s="2" t="n"/>
      <c r="BE26" s="2" t="n"/>
      <c r="BF26" s="2" t="n"/>
      <c r="BG26" s="2" t="n"/>
      <c r="BH26" s="2" t="n"/>
      <c r="BI26" s="2" t="n"/>
      <c r="BJ26" s="2" t="n"/>
      <c r="BK26" s="2" t="n"/>
      <c r="BL26" s="2" t="n"/>
      <c r="BM26" s="2" t="n"/>
      <c r="BN26" s="2" t="n"/>
      <c r="BO26" s="2" t="n"/>
      <c r="BP26" s="2" t="n"/>
      <c r="BQ26" s="2" t="n"/>
      <c r="BR26" s="2" t="n"/>
      <c r="BS26" s="2" t="n"/>
      <c r="BT26" s="2" t="n"/>
      <c r="BU26" s="2" t="n"/>
      <c r="BV26" s="2" t="n"/>
      <c r="BW26" s="2" t="n"/>
      <c r="BX26" s="2" t="n"/>
      <c r="BY26" s="2" t="n"/>
      <c r="BZ26" s="2" t="n"/>
      <c r="CA26" s="2" t="n"/>
      <c r="CB26" s="2" t="n"/>
      <c r="CC26" s="2" t="n"/>
      <c r="CD26" s="2" t="n"/>
      <c r="CE26" s="2" t="n"/>
      <c r="CF26" s="2" t="n"/>
      <c r="CG26" s="2" t="n"/>
      <c r="CH26" s="2" t="n"/>
      <c r="CI26" s="2" t="n"/>
      <c r="CJ26" s="2" t="n"/>
      <c r="CK26" s="2" t="n"/>
      <c r="CL26" s="2" t="n"/>
      <c r="CM26" s="2" t="n"/>
      <c r="CN26" s="2" t="n"/>
      <c r="CO26" s="2" t="n"/>
      <c r="CP26" s="2" t="n"/>
      <c r="CQ26" s="2" t="n"/>
      <c r="CR26" s="2" t="n"/>
      <c r="CS26" s="2" t="n"/>
      <c r="CT26" s="2" t="n"/>
      <c r="CU26" s="2" t="n"/>
      <c r="CV26" s="2" t="n"/>
      <c r="CW26" s="2" t="n"/>
      <c r="CX26" s="2" t="n"/>
      <c r="CY26" s="2" t="n"/>
      <c r="CZ26" s="2" t="n"/>
      <c r="DA26" s="2" t="n"/>
      <c r="DB26" s="2" t="n"/>
      <c r="DC26" s="2" t="n"/>
      <c r="DD26" s="2" t="n"/>
      <c r="DE26" s="2" t="n"/>
    </row>
    <row r="27">
      <c r="A27" s="2" t="inlineStr">
        <is>
          <t>issue_436</t>
        </is>
      </c>
      <c r="B27" s="4" t="inlineStr">
        <is>
          <t>Passed on test</t>
        </is>
      </c>
      <c r="C27" s="4" t="inlineStr">
        <is>
          <t>Passed on test</t>
        </is>
      </c>
      <c r="D27" s="4" t="inlineStr">
        <is>
          <t>Passed on test</t>
        </is>
      </c>
      <c r="E27" s="4" t="inlineStr">
        <is>
          <t>Passed on test</t>
        </is>
      </c>
      <c r="F27" s="3" t="inlineStr">
        <is>
          <t>NOT_TESTED</t>
        </is>
      </c>
      <c r="G27" s="3" t="inlineStr">
        <is>
          <t>NOT_TESTED</t>
        </is>
      </c>
      <c r="H27" s="3" t="inlineStr">
        <is>
          <t>NOT_TESTED</t>
        </is>
      </c>
      <c r="I27" s="3" t="inlineStr">
        <is>
          <t>NOT_TESTED</t>
        </is>
      </c>
      <c r="J27" s="3" t="inlineStr">
        <is>
          <t>NOT_TESTED</t>
        </is>
      </c>
      <c r="K27" s="3" t="inlineStr">
        <is>
          <t>NOT_TESTED</t>
        </is>
      </c>
      <c r="L27" s="3" t="inlineStr">
        <is>
          <t>NOT_TESTED</t>
        </is>
      </c>
      <c r="M27" s="3" t="inlineStr">
        <is>
          <t>NOT_TESTED</t>
        </is>
      </c>
      <c r="N27" s="3" t="inlineStr">
        <is>
          <t>NOT_TESTED</t>
        </is>
      </c>
      <c r="O27" s="3" t="inlineStr">
        <is>
          <t>NOT_TESTED</t>
        </is>
      </c>
      <c r="P27" s="3" t="inlineStr">
        <is>
          <t>NOT_TESTED</t>
        </is>
      </c>
      <c r="Q27" s="3" t="inlineStr">
        <is>
          <t>NOT_TESTED</t>
        </is>
      </c>
      <c r="R27" s="3" t="inlineStr">
        <is>
          <t>NOT_TESTED</t>
        </is>
      </c>
      <c r="S27" s="3" t="inlineStr">
        <is>
          <t>NOT_TESTED</t>
        </is>
      </c>
      <c r="T27" s="3" t="inlineStr">
        <is>
          <t>NOT_TESTED</t>
        </is>
      </c>
      <c r="U27" s="3" t="inlineStr">
        <is>
          <t>NOT_TESTED</t>
        </is>
      </c>
      <c r="V27" s="3" t="inlineStr">
        <is>
          <t>NOT_TESTED</t>
        </is>
      </c>
      <c r="W27" s="3" t="inlineStr">
        <is>
          <t>NOT_TESTED</t>
        </is>
      </c>
      <c r="X27" s="3" t="inlineStr">
        <is>
          <t>NOT_TESTED</t>
        </is>
      </c>
      <c r="Y27" s="3" t="inlineStr">
        <is>
          <t>NOT_TESTED</t>
        </is>
      </c>
      <c r="Z27" s="3" t="inlineStr">
        <is>
          <t>NOT_TESTED</t>
        </is>
      </c>
      <c r="AA27" s="3" t="inlineStr">
        <is>
          <t>NOT_TESTED</t>
        </is>
      </c>
      <c r="AB27" s="3" t="inlineStr">
        <is>
          <t>NOT_TESTED</t>
        </is>
      </c>
      <c r="AC27" s="2" t="n"/>
      <c r="AD27" s="2" t="n"/>
      <c r="AE27" s="2" t="n"/>
      <c r="AF27" s="2" t="n"/>
      <c r="AG27" s="2" t="n"/>
      <c r="AH27" s="2" t="n"/>
      <c r="AI27" s="2" t="n"/>
      <c r="AJ27" s="2" t="n"/>
      <c r="AK27" s="2" t="n"/>
      <c r="AL27" s="2" t="n"/>
      <c r="AM27" s="2" t="n"/>
      <c r="AN27" s="2" t="n"/>
      <c r="AO27" s="2" t="n"/>
      <c r="AP27" s="2" t="n"/>
      <c r="AQ27" s="2" t="n"/>
      <c r="AR27" s="2" t="n"/>
      <c r="AS27" s="2" t="n"/>
      <c r="AT27" s="2" t="n"/>
      <c r="AU27" s="2" t="n"/>
      <c r="AV27" s="2" t="n"/>
      <c r="AW27" s="2" t="n"/>
      <c r="AX27" s="2" t="n"/>
      <c r="AY27" s="2" t="n"/>
      <c r="AZ27" s="2" t="n"/>
      <c r="BA27" s="2" t="n"/>
      <c r="BB27" s="2" t="n"/>
      <c r="BC27" s="2" t="n"/>
      <c r="BD27" s="2" t="n"/>
      <c r="BE27" s="2" t="n"/>
      <c r="BF27" s="2" t="n"/>
      <c r="BG27" s="2" t="n"/>
      <c r="BH27" s="2" t="n"/>
      <c r="BI27" s="2" t="n"/>
      <c r="BJ27" s="2" t="n"/>
      <c r="BK27" s="2" t="n"/>
      <c r="BL27" s="2" t="n"/>
      <c r="BM27" s="2" t="n"/>
      <c r="BN27" s="2" t="n"/>
      <c r="BO27" s="2" t="n"/>
      <c r="BP27" s="2" t="n"/>
      <c r="BQ27" s="2" t="n"/>
      <c r="BR27" s="2" t="n"/>
      <c r="BS27" s="2" t="n"/>
      <c r="BT27" s="2" t="n"/>
      <c r="BU27" s="2" t="n"/>
      <c r="BV27" s="2" t="n"/>
      <c r="BW27" s="2" t="n"/>
      <c r="BX27" s="2" t="n"/>
      <c r="BY27" s="2" t="n"/>
      <c r="BZ27" s="2" t="n"/>
      <c r="CA27" s="2" t="n"/>
      <c r="CB27" s="2" t="n"/>
      <c r="CC27" s="2" t="n"/>
      <c r="CD27" s="2" t="n"/>
      <c r="CE27" s="2" t="n"/>
      <c r="CF27" s="2" t="n"/>
      <c r="CG27" s="2" t="n"/>
      <c r="CH27" s="2" t="n"/>
      <c r="CI27" s="2" t="n"/>
      <c r="CJ27" s="2" t="n"/>
      <c r="CK27" s="2" t="n"/>
      <c r="CL27" s="2" t="n"/>
      <c r="CM27" s="2" t="n"/>
      <c r="CN27" s="2" t="n"/>
      <c r="CO27" s="2" t="n"/>
      <c r="CP27" s="2" t="n"/>
      <c r="CQ27" s="2" t="n"/>
      <c r="CR27" s="2" t="n"/>
      <c r="CS27" s="2" t="n"/>
      <c r="CT27" s="2" t="n"/>
      <c r="CU27" s="2" t="n"/>
      <c r="CV27" s="2" t="n"/>
      <c r="CW27" s="2" t="n"/>
      <c r="CX27" s="2" t="n"/>
      <c r="CY27" s="2" t="n"/>
      <c r="CZ27" s="2" t="n"/>
      <c r="DA27" s="2" t="n"/>
      <c r="DB27" s="2" t="n"/>
      <c r="DC27" s="2" t="n"/>
      <c r="DD27" s="2" t="n"/>
      <c r="DE27" s="2" t="n"/>
    </row>
    <row r="28">
      <c r="A28" s="2" t="inlineStr">
        <is>
          <t>issue_443</t>
        </is>
      </c>
      <c r="B28" s="4" t="inlineStr">
        <is>
          <t>Passed on test</t>
        </is>
      </c>
      <c r="C28" s="4" t="inlineStr">
        <is>
          <t>Passed on test</t>
        </is>
      </c>
      <c r="D28" s="4" t="inlineStr">
        <is>
          <t>Passed on test</t>
        </is>
      </c>
      <c r="E28" s="4" t="inlineStr">
        <is>
          <t>Passed on test</t>
        </is>
      </c>
      <c r="F28" s="4" t="inlineStr">
        <is>
          <t>Passed on test</t>
        </is>
      </c>
      <c r="G28" s="4" t="inlineStr">
        <is>
          <t>Passed on test</t>
        </is>
      </c>
      <c r="H28" s="4" t="inlineStr">
        <is>
          <t>Passed on test</t>
        </is>
      </c>
      <c r="I28" s="4" t="inlineStr">
        <is>
          <t>Passed on test</t>
        </is>
      </c>
      <c r="J28" s="4" t="inlineStr">
        <is>
          <t>Passed on test</t>
        </is>
      </c>
      <c r="K28" s="4" t="inlineStr">
        <is>
          <t>Passed on test</t>
        </is>
      </c>
      <c r="L28" s="4" t="inlineStr">
        <is>
          <t>Passed on test</t>
        </is>
      </c>
      <c r="M28" s="4" t="inlineStr">
        <is>
          <t>Passed on test</t>
        </is>
      </c>
      <c r="N28" s="4" t="inlineStr">
        <is>
          <t>Passed on test</t>
        </is>
      </c>
      <c r="O28" s="4" t="inlineStr">
        <is>
          <t>Passed on test</t>
        </is>
      </c>
      <c r="P28" s="4" t="inlineStr">
        <is>
          <t>Passed on test</t>
        </is>
      </c>
      <c r="Q28" s="4" t="inlineStr">
        <is>
          <t>Passed on test</t>
        </is>
      </c>
      <c r="R28" s="4" t="inlineStr">
        <is>
          <t>Passed on test</t>
        </is>
      </c>
      <c r="S28" s="4" t="inlineStr">
        <is>
          <t>Passed on test</t>
        </is>
      </c>
      <c r="T28" s="4" t="inlineStr">
        <is>
          <t>Passed on test</t>
        </is>
      </c>
      <c r="U28" s="4" t="inlineStr">
        <is>
          <t>Passed on test</t>
        </is>
      </c>
      <c r="V28" s="4" t="inlineStr">
        <is>
          <t>Passed on test</t>
        </is>
      </c>
      <c r="W28" s="4" t="inlineStr">
        <is>
          <t>Passed on test</t>
        </is>
      </c>
      <c r="X28" s="4" t="inlineStr">
        <is>
          <t>Passed on test</t>
        </is>
      </c>
      <c r="Y28" s="4" t="inlineStr">
        <is>
          <t>Passed on test</t>
        </is>
      </c>
      <c r="Z28" s="4" t="inlineStr">
        <is>
          <t>Passed on test</t>
        </is>
      </c>
      <c r="AA28" s="4" t="inlineStr">
        <is>
          <t>Passed on test</t>
        </is>
      </c>
      <c r="AB28" s="4" t="inlineStr">
        <is>
          <t>Passed on test</t>
        </is>
      </c>
      <c r="AC28" s="2" t="n"/>
      <c r="AD28" s="2" t="n"/>
      <c r="AE28" s="2" t="n"/>
      <c r="AF28" s="2" t="n"/>
      <c r="AG28" s="2" t="n"/>
      <c r="AH28" s="2" t="n"/>
      <c r="AI28" s="2" t="n"/>
      <c r="AJ28" s="2" t="n"/>
      <c r="AK28" s="2" t="n"/>
      <c r="AL28" s="2" t="n"/>
      <c r="AM28" s="2" t="n"/>
      <c r="AN28" s="2" t="n"/>
      <c r="AO28" s="2" t="n"/>
      <c r="AP28" s="2" t="n"/>
      <c r="AQ28" s="2" t="n"/>
      <c r="AR28" s="2" t="n"/>
      <c r="AS28" s="2" t="n"/>
      <c r="AT28" s="2" t="n"/>
      <c r="AU28" s="2" t="n"/>
      <c r="AV28" s="2" t="n"/>
      <c r="AW28" s="2" t="n"/>
      <c r="AX28" s="2" t="n"/>
      <c r="AY28" s="2" t="n"/>
      <c r="AZ28" s="2" t="n"/>
      <c r="BA28" s="2" t="n"/>
      <c r="BB28" s="2" t="n"/>
      <c r="BC28" s="2" t="n"/>
      <c r="BD28" s="2" t="n"/>
      <c r="BE28" s="2" t="n"/>
      <c r="BF28" s="2" t="n"/>
      <c r="BG28" s="2" t="n"/>
      <c r="BH28" s="2" t="n"/>
      <c r="BI28" s="2" t="n"/>
      <c r="BJ28" s="2" t="n"/>
      <c r="BK28" s="2" t="n"/>
      <c r="BL28" s="2" t="n"/>
      <c r="BM28" s="2" t="n"/>
      <c r="BN28" s="2" t="n"/>
      <c r="BO28" s="2" t="n"/>
      <c r="BP28" s="2" t="n"/>
      <c r="BQ28" s="2" t="n"/>
      <c r="BR28" s="2" t="n"/>
      <c r="BS28" s="2" t="n"/>
      <c r="BT28" s="2" t="n"/>
      <c r="BU28" s="2" t="n"/>
      <c r="BV28" s="2" t="n"/>
      <c r="BW28" s="2" t="n"/>
      <c r="BX28" s="2" t="n"/>
      <c r="BY28" s="2" t="n"/>
      <c r="BZ28" s="2" t="n"/>
      <c r="CA28" s="2" t="n"/>
      <c r="CB28" s="2" t="n"/>
      <c r="CC28" s="2" t="n"/>
      <c r="CD28" s="2" t="n"/>
      <c r="CE28" s="2" t="n"/>
      <c r="CF28" s="2" t="n"/>
      <c r="CG28" s="2" t="n"/>
      <c r="CH28" s="2" t="n"/>
      <c r="CI28" s="2" t="n"/>
      <c r="CJ28" s="2" t="n"/>
      <c r="CK28" s="2" t="n"/>
      <c r="CL28" s="2" t="n"/>
      <c r="CM28" s="2" t="n"/>
      <c r="CN28" s="2" t="n"/>
      <c r="CO28" s="2" t="n"/>
      <c r="CP28" s="2" t="n"/>
      <c r="CQ28" s="2" t="n"/>
      <c r="CR28" s="2" t="n"/>
      <c r="CS28" s="2" t="n"/>
      <c r="CT28" s="2" t="n"/>
      <c r="CU28" s="2" t="n"/>
      <c r="CV28" s="2" t="n"/>
      <c r="CW28" s="2" t="n"/>
      <c r="CX28" s="2" t="n"/>
      <c r="CY28" s="2" t="n"/>
      <c r="CZ28" s="2" t="n"/>
      <c r="DA28" s="2" t="n"/>
      <c r="DB28" s="2" t="n"/>
      <c r="DC28" s="2" t="n"/>
      <c r="DD28" s="2" t="n"/>
      <c r="DE28" s="2" t="n"/>
    </row>
    <row r="29">
      <c r="A29" s="2" t="inlineStr">
        <is>
          <t>issue_453</t>
        </is>
      </c>
      <c r="B29" s="3" t="inlineStr">
        <is>
          <t>NOT_TESTED</t>
        </is>
      </c>
      <c r="C29" s="3" t="inlineStr">
        <is>
          <t>NOT_TESTED</t>
        </is>
      </c>
      <c r="D29" s="3" t="inlineStr">
        <is>
          <t>NOT_TESTED</t>
        </is>
      </c>
      <c r="E29" s="3" t="inlineStr">
        <is>
          <t>NOT_TESTED</t>
        </is>
      </c>
      <c r="F29" s="6" t="inlineStr">
        <is>
          <t>Runtime error</t>
        </is>
      </c>
      <c r="G29" s="6" t="inlineStr">
        <is>
          <t>Runtime error</t>
        </is>
      </c>
      <c r="H29" s="6" t="inlineStr">
        <is>
          <t>Runtime error</t>
        </is>
      </c>
      <c r="I29" s="6" t="inlineStr">
        <is>
          <t>Runtime error</t>
        </is>
      </c>
      <c r="J29" s="6" t="inlineStr">
        <is>
          <t>Runtime error</t>
        </is>
      </c>
      <c r="K29" s="6" t="inlineStr">
        <is>
          <t>Runtime error</t>
        </is>
      </c>
      <c r="L29" s="6" t="inlineStr">
        <is>
          <t>Runtime error</t>
        </is>
      </c>
      <c r="M29" s="6" t="inlineStr">
        <is>
          <t>Runtime error</t>
        </is>
      </c>
      <c r="N29" s="6" t="inlineStr">
        <is>
          <t>Runtime error</t>
        </is>
      </c>
      <c r="O29" s="6" t="inlineStr">
        <is>
          <t>Runtime error</t>
        </is>
      </c>
      <c r="P29" s="6" t="inlineStr">
        <is>
          <t>Runtime error</t>
        </is>
      </c>
      <c r="Q29" s="6" t="inlineStr">
        <is>
          <t>Runtime error</t>
        </is>
      </c>
      <c r="R29" s="6" t="inlineStr">
        <is>
          <t>Runtime error</t>
        </is>
      </c>
      <c r="S29" s="6" t="inlineStr">
        <is>
          <t>Runtime error</t>
        </is>
      </c>
      <c r="T29" s="6" t="inlineStr">
        <is>
          <t>Runtime error</t>
        </is>
      </c>
      <c r="U29" s="6" t="inlineStr">
        <is>
          <t>Runtime error</t>
        </is>
      </c>
      <c r="V29" s="6" t="inlineStr">
        <is>
          <t>Runtime error</t>
        </is>
      </c>
      <c r="W29" s="6" t="inlineStr">
        <is>
          <t>Runtime error</t>
        </is>
      </c>
      <c r="X29" s="6" t="inlineStr">
        <is>
          <t>Runtime error</t>
        </is>
      </c>
      <c r="Y29" s="6" t="inlineStr">
        <is>
          <t>Runtime error</t>
        </is>
      </c>
      <c r="Z29" s="6" t="inlineStr">
        <is>
          <t>Runtime error</t>
        </is>
      </c>
      <c r="AA29" s="6" t="inlineStr">
        <is>
          <t>Runtime error</t>
        </is>
      </c>
      <c r="AB29" s="6" t="inlineStr">
        <is>
          <t>Runtime error</t>
        </is>
      </c>
      <c r="AC29" s="2" t="n"/>
      <c r="AD29" s="2" t="n"/>
      <c r="AE29" s="2" t="n"/>
      <c r="AF29" s="2" t="n"/>
      <c r="AG29" s="2" t="n"/>
      <c r="AH29" s="2" t="n"/>
      <c r="AI29" s="2" t="n"/>
      <c r="AJ29" s="2" t="n"/>
      <c r="AK29" s="2" t="n"/>
      <c r="AL29" s="2" t="n"/>
      <c r="AM29" s="2" t="n"/>
      <c r="AN29" s="2" t="n"/>
      <c r="AO29" s="2" t="inlineStr">
        <is>
          <t>AttributeError</t>
        </is>
      </c>
      <c r="AP29" s="2" t="inlineStr">
        <is>
          <t>AttributeError: 'QuantumCircuit' object has no attribute 'compose_with_auto_ancillas'</t>
        </is>
      </c>
      <c r="AQ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AR29" s="2" t="inlineStr">
        <is>
          <t>AttributeError</t>
        </is>
      </c>
      <c r="AS29" s="2" t="inlineStr">
        <is>
          <t>AttributeError: 'QuantumCircuit' object has no attribute 'compose_with_auto_ancillas'</t>
        </is>
      </c>
      <c r="AT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AU29" s="2" t="inlineStr">
        <is>
          <t>AttributeError</t>
        </is>
      </c>
      <c r="AV29" s="2" t="inlineStr">
        <is>
          <t>AttributeError: 'QuantumCircuit' object has no attribute 'compose_with_auto_ancillas'</t>
        </is>
      </c>
      <c r="AW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AX29" s="2" t="inlineStr">
        <is>
          <t>AttributeError</t>
        </is>
      </c>
      <c r="AY29" s="2" t="inlineStr">
        <is>
          <t>AttributeError: 'QuantumCircuit' object has no attribute 'compose_with_auto_ancillas'</t>
        </is>
      </c>
      <c r="AZ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BA29" s="2" t="inlineStr">
        <is>
          <t>AttributeError</t>
        </is>
      </c>
      <c r="BB29" s="2" t="inlineStr">
        <is>
          <t>AttributeError: 'QuantumCircuit' object has no attribute 'compose_with_auto_ancillas'</t>
        </is>
      </c>
      <c r="BC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BD29" s="2" t="inlineStr">
        <is>
          <t>AttributeError</t>
        </is>
      </c>
      <c r="BE29" s="2" t="inlineStr">
        <is>
          <t>AttributeError: 'QuantumCircuit' object has no attribute 'compose_with_auto_ancillas'</t>
        </is>
      </c>
      <c r="BF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BG29" s="2" t="inlineStr">
        <is>
          <t>AttributeError</t>
        </is>
      </c>
      <c r="BH29" s="2" t="inlineStr">
        <is>
          <t>AttributeError: 'QuantumCircuit' object has no attribute 'compose_with_auto_ancillas'</t>
        </is>
      </c>
      <c r="BI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BJ29" s="2" t="inlineStr">
        <is>
          <t>AttributeError</t>
        </is>
      </c>
      <c r="BK29" s="2" t="inlineStr">
        <is>
          <t>AttributeError: 'QuantumCircuit' object has no attribute 'compose_with_auto_ancillas'</t>
        </is>
      </c>
      <c r="BL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BM29" s="2" t="inlineStr">
        <is>
          <t>AttributeError</t>
        </is>
      </c>
      <c r="BN29" s="2" t="inlineStr">
        <is>
          <t>AttributeError: 'QuantumCircuit' object has no attribute 'compose_with_auto_ancillas'</t>
        </is>
      </c>
      <c r="BO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BP29" s="2" t="inlineStr">
        <is>
          <t>AttributeError</t>
        </is>
      </c>
      <c r="BQ29" s="2" t="inlineStr">
        <is>
          <t>AttributeError: 'QuantumCircuit' object has no attribute 'compose_with_auto_ancillas'</t>
        </is>
      </c>
      <c r="BR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BS29" s="2" t="inlineStr">
        <is>
          <t>AttributeError</t>
        </is>
      </c>
      <c r="BT29" s="2" t="inlineStr">
        <is>
          <t>AttributeError: 'QuantumCircuit' object has no attribute 'compose_with_auto_ancillas'</t>
        </is>
      </c>
      <c r="BU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BV29" s="2" t="inlineStr">
        <is>
          <t>AttributeError</t>
        </is>
      </c>
      <c r="BW29" s="2" t="inlineStr">
        <is>
          <t>AttributeError: 'QuantumCircuit' object has no attribute 'compose_with_auto_ancillas'</t>
        </is>
      </c>
      <c r="BX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BY29" s="2" t="inlineStr">
        <is>
          <t>AttributeError</t>
        </is>
      </c>
      <c r="BZ29" s="2" t="inlineStr">
        <is>
          <t>AttributeError: 'QuantumCircuit' object has no attribute 'compose_with_auto_ancillas'</t>
        </is>
      </c>
      <c r="CA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CB29" s="2" t="inlineStr">
        <is>
          <t>AttributeError</t>
        </is>
      </c>
      <c r="CC29" s="2" t="inlineStr">
        <is>
          <t>AttributeError: 'QuantumCircuit' object has no attribute 'compose_with_auto_ancillas'</t>
        </is>
      </c>
      <c r="CD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CE29" s="2" t="inlineStr">
        <is>
          <t>AttributeError</t>
        </is>
      </c>
      <c r="CF29" s="2" t="inlineStr">
        <is>
          <t>AttributeError: 'QuantumCircuit' object has no attribute 'compose_with_auto_ancillas'</t>
        </is>
      </c>
      <c r="CG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CH29" s="2" t="inlineStr">
        <is>
          <t>AttributeError</t>
        </is>
      </c>
      <c r="CI29" s="2" t="inlineStr">
        <is>
          <t>AttributeError: 'QuantumCircuit' object has no attribute 'compose_with_auto_ancillas'</t>
        </is>
      </c>
      <c r="CJ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CK29" s="2" t="inlineStr">
        <is>
          <t>AttributeError</t>
        </is>
      </c>
      <c r="CL29" s="2" t="inlineStr">
        <is>
          <t>AttributeError: 'QuantumCircuit' object has no attribute 'compose_with_auto_ancillas'</t>
        </is>
      </c>
      <c r="CM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CN29" s="2" t="inlineStr">
        <is>
          <t>AttributeError</t>
        </is>
      </c>
      <c r="CO29" s="2" t="inlineStr">
        <is>
          <t>AttributeError: 'QuantumCircuit' object has no attribute 'compose_with_auto_ancillas'</t>
        </is>
      </c>
      <c r="CP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CQ29" s="2" t="inlineStr">
        <is>
          <t>AttributeError</t>
        </is>
      </c>
      <c r="CR29" s="2" t="inlineStr">
        <is>
          <t>AttributeError: 'QuantumCircuit' object has no attribute 'compose_with_auto_ancillas'</t>
        </is>
      </c>
      <c r="CS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CT29" s="2" t="inlineStr">
        <is>
          <t>AttributeError</t>
        </is>
      </c>
      <c r="CU29" s="2" t="inlineStr">
        <is>
          <t>AttributeError: 'QuantumCircuit' object has no attribute 'compose_with_auto_ancillas'</t>
        </is>
      </c>
      <c r="CV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CW29" s="2" t="inlineStr">
        <is>
          <t>AttributeError</t>
        </is>
      </c>
      <c r="CX29" s="2" t="inlineStr">
        <is>
          <t>AttributeError: 'QuantumCircuit' object has no attribute 'compose_with_auto_ancillas'</t>
        </is>
      </c>
      <c r="CY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CZ29" s="2" t="inlineStr">
        <is>
          <t>AttributeError</t>
        </is>
      </c>
      <c r="DA29" s="2" t="inlineStr">
        <is>
          <t>AttributeError: 'QuantumCircuit' object has no attribute 'compose_with_auto_ancillas'</t>
        </is>
      </c>
      <c r="DB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DC29" s="2" t="inlineStr">
        <is>
          <t>AttributeError</t>
        </is>
      </c>
      <c r="DD29" s="2" t="inlineStr">
        <is>
          <t>AttributeError: 'QuantumCircuit' object has no attribute 'compose_with_auto_ancillas'</t>
        </is>
      </c>
      <c r="DE29" s="2"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row>
    <row r="30">
      <c r="A30" s="2" t="inlineStr">
        <is>
          <t>issue_468</t>
        </is>
      </c>
      <c r="B30" s="6" t="inlineStr">
        <is>
          <t>Runtime error</t>
        </is>
      </c>
      <c r="C30" s="6" t="inlineStr">
        <is>
          <t>Runtime error</t>
        </is>
      </c>
      <c r="D30" s="6" t="inlineStr">
        <is>
          <t>Runtime error</t>
        </is>
      </c>
      <c r="E30" s="6" t="inlineStr">
        <is>
          <t>Runtime error</t>
        </is>
      </c>
      <c r="F30" s="3" t="inlineStr">
        <is>
          <t>NOT_TESTED</t>
        </is>
      </c>
      <c r="G30" s="3" t="inlineStr">
        <is>
          <t>NOT_TESTED</t>
        </is>
      </c>
      <c r="H30" s="3" t="inlineStr">
        <is>
          <t>NOT_TESTED</t>
        </is>
      </c>
      <c r="I30" s="3" t="inlineStr">
        <is>
          <t>NOT_TESTED</t>
        </is>
      </c>
      <c r="J30" s="3" t="inlineStr">
        <is>
          <t>NOT_TESTED</t>
        </is>
      </c>
      <c r="K30" s="3" t="inlineStr">
        <is>
          <t>NOT_TESTED</t>
        </is>
      </c>
      <c r="L30" s="3" t="inlineStr">
        <is>
          <t>NOT_TESTED</t>
        </is>
      </c>
      <c r="M30" s="3" t="inlineStr">
        <is>
          <t>NOT_TESTED</t>
        </is>
      </c>
      <c r="N30" s="3" t="inlineStr">
        <is>
          <t>NOT_TESTED</t>
        </is>
      </c>
      <c r="O30" s="3" t="inlineStr">
        <is>
          <t>NOT_TESTED</t>
        </is>
      </c>
      <c r="P30" s="3" t="inlineStr">
        <is>
          <t>NOT_TESTED</t>
        </is>
      </c>
      <c r="Q30" s="3" t="inlineStr">
        <is>
          <t>NOT_TESTED</t>
        </is>
      </c>
      <c r="R30" s="3" t="inlineStr">
        <is>
          <t>NOT_TESTED</t>
        </is>
      </c>
      <c r="S30" s="3" t="inlineStr">
        <is>
          <t>NOT_TESTED</t>
        </is>
      </c>
      <c r="T30" s="3" t="inlineStr">
        <is>
          <t>NOT_TESTED</t>
        </is>
      </c>
      <c r="U30" s="3" t="inlineStr">
        <is>
          <t>NOT_TESTED</t>
        </is>
      </c>
      <c r="V30" s="3" t="inlineStr">
        <is>
          <t>NOT_TESTED</t>
        </is>
      </c>
      <c r="W30" s="3" t="inlineStr">
        <is>
          <t>NOT_TESTED</t>
        </is>
      </c>
      <c r="X30" s="3" t="inlineStr">
        <is>
          <t>NOT_TESTED</t>
        </is>
      </c>
      <c r="Y30" s="3" t="inlineStr">
        <is>
          <t>NOT_TESTED</t>
        </is>
      </c>
      <c r="Z30" s="3" t="inlineStr">
        <is>
          <t>NOT_TESTED</t>
        </is>
      </c>
      <c r="AA30" s="3" t="inlineStr">
        <is>
          <t>NOT_TESTED</t>
        </is>
      </c>
      <c r="AB30" s="3" t="inlineStr">
        <is>
          <t>NOT_TESTED</t>
        </is>
      </c>
      <c r="AC30" s="2" t="inlineStr">
        <is>
          <t>AttributeError</t>
        </is>
      </c>
      <c r="AD30" s="2" t="inlineStr">
        <is>
          <t>AttributeError: 'MatrixOperator' object has no attribute 'simplify'</t>
        </is>
      </c>
      <c r="AE30" s="2" t="inlineStr">
        <is>
          <t>The LLM wrapped the density matrices in Aqua's legacy MatrixOperator before calling commutator(), but commutator() calls simplify(), which MatrixOperator doesn't have (AttributeError). Both luna models used opflow's MatrixOp and crashed too; the reference rewrites the operators as WeightedPauliOperators.</t>
        </is>
      </c>
      <c r="AF30" s="2" t="inlineStr">
        <is>
          <t>AttributeError</t>
        </is>
      </c>
      <c r="AG30" s="2" t="inlineStr">
        <is>
          <t>AttributeError: 'MatrixOperator' object has no attribute 'simplify'</t>
        </is>
      </c>
      <c r="AH30" s="2" t="inlineStr">
        <is>
          <t>The LLM wrapped the density matrices in Aqua's legacy MatrixOperator before calling commutator(), but commutator() calls simplify(), which MatrixOperator doesn't have (AttributeError). Both luna models used opflow's MatrixOp and crashed too; the reference rewrites the operators as WeightedPauliOperators.</t>
        </is>
      </c>
      <c r="AI30" s="2" t="inlineStr">
        <is>
          <t>AttributeError</t>
        </is>
      </c>
      <c r="AJ30" s="2" t="inlineStr">
        <is>
          <t>AttributeError: 'MatrixOperator' object has no attribute 'simplify'</t>
        </is>
      </c>
      <c r="AK30" s="2" t="inlineStr">
        <is>
          <t>The LLM wrapped the density matrices in Aqua's legacy MatrixOperator before calling commutator(), but commutator() calls simplify(), which MatrixOperator doesn't have (AttributeError). Both luna models used opflow's MatrixOp and crashed too; the reference rewrites the operators as WeightedPauliOperators.</t>
        </is>
      </c>
      <c r="AL30" s="2" t="inlineStr">
        <is>
          <t>AttributeError</t>
        </is>
      </c>
      <c r="AM30" s="2" t="inlineStr">
        <is>
          <t>AttributeError: 'MatrixOperator' object has no attribute 'simplify'</t>
        </is>
      </c>
      <c r="AN30" s="2" t="inlineStr">
        <is>
          <t>The LLM wrapped the density matrices in Aqua's legacy MatrixOperator before calling commutator(), but commutator() calls simplify(), which MatrixOperator doesn't have (AttributeError). Both luna models used opflow's MatrixOp and crashed too; the reference rewrites the operators as WeightedPauliOperators.</t>
        </is>
      </c>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2" t="n"/>
      <c r="BJ30" s="2" t="n"/>
      <c r="BK30" s="2" t="n"/>
      <c r="BL30" s="2" t="n"/>
      <c r="BM30" s="2" t="n"/>
      <c r="BN30" s="2" t="n"/>
      <c r="BO30" s="2" t="n"/>
      <c r="BP30" s="2" t="n"/>
      <c r="BQ30" s="2" t="n"/>
      <c r="BR30" s="2" t="n"/>
      <c r="BS30" s="2" t="n"/>
      <c r="BT30" s="2" t="n"/>
      <c r="BU30" s="2" t="n"/>
      <c r="BV30" s="2" t="n"/>
      <c r="BW30" s="2" t="n"/>
      <c r="BX30" s="2" t="n"/>
      <c r="BY30" s="2" t="n"/>
      <c r="BZ30" s="2" t="n"/>
      <c r="CA30" s="2" t="n"/>
      <c r="CB30" s="2" t="n"/>
      <c r="CC30" s="2" t="n"/>
      <c r="CD30" s="2" t="n"/>
      <c r="CE30" s="2" t="n"/>
      <c r="CF30" s="2" t="n"/>
      <c r="CG30" s="2" t="n"/>
      <c r="CH30" s="2" t="n"/>
      <c r="CI30" s="2" t="n"/>
      <c r="CJ30" s="2" t="n"/>
      <c r="CK30" s="2" t="n"/>
      <c r="CL30" s="2" t="n"/>
      <c r="CM30" s="2" t="n"/>
      <c r="CN30" s="2" t="n"/>
      <c r="CO30" s="2" t="n"/>
      <c r="CP30" s="2" t="n"/>
      <c r="CQ30" s="2" t="n"/>
      <c r="CR30" s="2" t="n"/>
      <c r="CS30" s="2" t="n"/>
      <c r="CT30" s="2" t="n"/>
      <c r="CU30" s="2" t="n"/>
      <c r="CV30" s="2" t="n"/>
      <c r="CW30" s="2" t="n"/>
      <c r="CX30" s="2" t="n"/>
      <c r="CY30" s="2" t="n"/>
      <c r="CZ30" s="2" t="n"/>
      <c r="DA30" s="2" t="n"/>
      <c r="DB30" s="2" t="n"/>
      <c r="DC30" s="2" t="n"/>
      <c r="DD30" s="2" t="n"/>
      <c r="DE30" s="2" t="n"/>
    </row>
    <row r="31">
      <c r="A31" s="2" t="inlineStr">
        <is>
          <t>issue_497</t>
        </is>
      </c>
      <c r="B31" s="6" t="inlineStr">
        <is>
          <t>Runtime error</t>
        </is>
      </c>
      <c r="C31" s="6" t="inlineStr">
        <is>
          <t>Runtime error</t>
        </is>
      </c>
      <c r="D31" s="6" t="inlineStr">
        <is>
          <t>Runtime error</t>
        </is>
      </c>
      <c r="E31" s="6" t="inlineStr">
        <is>
          <t>Runtime error</t>
        </is>
      </c>
      <c r="F31" s="3" t="inlineStr">
        <is>
          <t>NOT_TESTED</t>
        </is>
      </c>
      <c r="G31" s="3" t="inlineStr">
        <is>
          <t>NOT_TESTED</t>
        </is>
      </c>
      <c r="H31" s="3" t="inlineStr">
        <is>
          <t>NOT_TESTED</t>
        </is>
      </c>
      <c r="I31" s="3" t="inlineStr">
        <is>
          <t>NOT_TESTED</t>
        </is>
      </c>
      <c r="J31" s="3" t="inlineStr">
        <is>
          <t>NOT_TESTED</t>
        </is>
      </c>
      <c r="K31" s="3" t="inlineStr">
        <is>
          <t>NOT_TESTED</t>
        </is>
      </c>
      <c r="L31" s="3" t="inlineStr">
        <is>
          <t>NOT_TESTED</t>
        </is>
      </c>
      <c r="M31" s="3" t="inlineStr">
        <is>
          <t>NOT_TESTED</t>
        </is>
      </c>
      <c r="N31" s="3" t="inlineStr">
        <is>
          <t>NOT_TESTED</t>
        </is>
      </c>
      <c r="O31" s="3" t="inlineStr">
        <is>
          <t>NOT_TESTED</t>
        </is>
      </c>
      <c r="P31" s="3" t="inlineStr">
        <is>
          <t>NOT_TESTED</t>
        </is>
      </c>
      <c r="Q31" s="3" t="inlineStr">
        <is>
          <t>NOT_TESTED</t>
        </is>
      </c>
      <c r="R31" s="3" t="inlineStr">
        <is>
          <t>NOT_TESTED</t>
        </is>
      </c>
      <c r="S31" s="3" t="inlineStr">
        <is>
          <t>NOT_TESTED</t>
        </is>
      </c>
      <c r="T31" s="3" t="inlineStr">
        <is>
          <t>NOT_TESTED</t>
        </is>
      </c>
      <c r="U31" s="3" t="inlineStr">
        <is>
          <t>NOT_TESTED</t>
        </is>
      </c>
      <c r="V31" s="3" t="inlineStr">
        <is>
          <t>NOT_TESTED</t>
        </is>
      </c>
      <c r="W31" s="3" t="inlineStr">
        <is>
          <t>NOT_TESTED</t>
        </is>
      </c>
      <c r="X31" s="3" t="inlineStr">
        <is>
          <t>NOT_TESTED</t>
        </is>
      </c>
      <c r="Y31" s="3" t="inlineStr">
        <is>
          <t>NOT_TESTED</t>
        </is>
      </c>
      <c r="Z31" s="3" t="inlineStr">
        <is>
          <t>NOT_TESTED</t>
        </is>
      </c>
      <c r="AA31" s="3" t="inlineStr">
        <is>
          <t>NOT_TESTED</t>
        </is>
      </c>
      <c r="AB31" s="3" t="inlineStr">
        <is>
          <t>NOT_TESTED</t>
        </is>
      </c>
      <c r="AC31" s="2" t="inlineStr">
        <is>
          <t>KeyError</t>
        </is>
      </c>
      <c r="AD31" s="2" t="inlineStr">
        <is>
          <t>KeyError: 'sampler'</t>
        </is>
      </c>
      <c r="AE31" s="2" t="inlineStr">
        <is>
          <t>The LLM batched both expectation values into one ListOp converted by a single CircuitSampler call and removed the undefined IBMQJobManager(), like the reference, but unpacked the result into sampler1 and sampler2; the script runs, but the test reads the reference's variable sampler (KeyError: 'sampler'), so it never checks the values. Over-specific variable name, and no updated test exists for this case; gpt-5.6-luna kept the name and passed.</t>
        </is>
      </c>
      <c r="AF31" s="2" t="inlineStr">
        <is>
          <t>KeyError</t>
        </is>
      </c>
      <c r="AG31" s="2" t="inlineStr">
        <is>
          <t>KeyError: 'sampler'</t>
        </is>
      </c>
      <c r="AH31" s="2" t="inlineStr">
        <is>
          <t>The LLM batched both expectation values into one ListOp converted by a single CircuitSampler call and removed the undefined IBMQJobManager(), like the reference, but unpacked the result into sampler1 and sampler2; the script runs, but the test reads the reference's variable sampler (KeyError: 'sampler'), so it never checks the values. Over-specific variable name, and no updated test exists for this case; gpt-5.6-luna kept the name and passed.</t>
        </is>
      </c>
      <c r="AI31" s="2" t="inlineStr">
        <is>
          <t>KeyError</t>
        </is>
      </c>
      <c r="AJ31" s="2" t="inlineStr">
        <is>
          <t>KeyError: 'sampler'</t>
        </is>
      </c>
      <c r="AK31" s="2" t="inlineStr">
        <is>
          <t>The LLM batched both expectation values into one ListOp converted by a single CircuitSampler call and removed the undefined IBMQJobManager(), like the reference, but unpacked the result into sampler1 and sampler2; the script runs, but the test reads the reference's variable sampler (KeyError: 'sampler'), so it never checks the values. Over-specific variable name, and no updated test exists for this case; gpt-5.6-luna kept the name and passed.</t>
        </is>
      </c>
      <c r="AL31" s="2" t="inlineStr">
        <is>
          <t>KeyError</t>
        </is>
      </c>
      <c r="AM31" s="2" t="inlineStr">
        <is>
          <t>KeyError: 'sampler'</t>
        </is>
      </c>
      <c r="AN31" s="2" t="inlineStr">
        <is>
          <t>The LLM batched both expectation values into one ListOp converted by a single CircuitSampler call and removed the undefined IBMQJobManager(), like the reference, but unpacked the result into sampler1 and sampler2; the script runs, but the test reads the reference's variable sampler (KeyError: 'sampler'), so it never checks the values. Over-specific variable name, and no updated test exists for this case; gpt-5.6-luna kept the name and passed.</t>
        </is>
      </c>
      <c r="AO31" s="2" t="n"/>
      <c r="AP31" s="2" t="n"/>
      <c r="AQ31" s="2" t="n"/>
      <c r="AR31" s="2" t="n"/>
      <c r="AS31" s="2" t="n"/>
      <c r="AT31" s="2" t="n"/>
      <c r="AU31" s="2" t="n"/>
      <c r="AV31" s="2" t="n"/>
      <c r="AW31" s="2" t="n"/>
      <c r="AX31" s="2" t="n"/>
      <c r="AY31" s="2" t="n"/>
      <c r="AZ31" s="2" t="n"/>
      <c r="BA31" s="2" t="n"/>
      <c r="BB31" s="2" t="n"/>
      <c r="BC31" s="2" t="n"/>
      <c r="BD31" s="2" t="n"/>
      <c r="BE31" s="2" t="n"/>
      <c r="BF31" s="2" t="n"/>
      <c r="BG31" s="2" t="n"/>
      <c r="BH31" s="2" t="n"/>
      <c r="BI31" s="2" t="n"/>
      <c r="BJ31" s="2" t="n"/>
      <c r="BK31" s="2" t="n"/>
      <c r="BL31" s="2" t="n"/>
      <c r="BM31" s="2" t="n"/>
      <c r="BN31" s="2" t="n"/>
      <c r="BO31" s="2" t="n"/>
      <c r="BP31" s="2" t="n"/>
      <c r="BQ31" s="2" t="n"/>
      <c r="BR31" s="2" t="n"/>
      <c r="BS31" s="2" t="n"/>
      <c r="BT31" s="2" t="n"/>
      <c r="BU31" s="2" t="n"/>
      <c r="BV31" s="2" t="n"/>
      <c r="BW31" s="2" t="n"/>
      <c r="BX31" s="2" t="n"/>
      <c r="BY31" s="2" t="n"/>
      <c r="BZ31" s="2" t="n"/>
      <c r="CA31" s="2" t="n"/>
      <c r="CB31" s="2" t="n"/>
      <c r="CC31" s="2" t="n"/>
      <c r="CD31" s="2" t="n"/>
      <c r="CE31" s="2" t="n"/>
      <c r="CF31" s="2" t="n"/>
      <c r="CG31" s="2" t="n"/>
      <c r="CH31" s="2" t="n"/>
      <c r="CI31" s="2" t="n"/>
      <c r="CJ31" s="2" t="n"/>
      <c r="CK31" s="2" t="n"/>
      <c r="CL31" s="2" t="n"/>
      <c r="CM31" s="2" t="n"/>
      <c r="CN31" s="2" t="n"/>
      <c r="CO31" s="2" t="n"/>
      <c r="CP31" s="2" t="n"/>
      <c r="CQ31" s="2" t="n"/>
      <c r="CR31" s="2" t="n"/>
      <c r="CS31" s="2" t="n"/>
      <c r="CT31" s="2" t="n"/>
      <c r="CU31" s="2" t="n"/>
      <c r="CV31" s="2" t="n"/>
      <c r="CW31" s="2" t="n"/>
      <c r="CX31" s="2" t="n"/>
      <c r="CY31" s="2" t="n"/>
      <c r="CZ31" s="2" t="n"/>
      <c r="DA31" s="2" t="n"/>
      <c r="DB31" s="2" t="n"/>
      <c r="DC31" s="2" t="n"/>
      <c r="DD31" s="2" t="n"/>
      <c r="DE31" s="2" t="n"/>
    </row>
    <row r="32">
      <c r="A32" s="2" t="inlineStr">
        <is>
          <t>issue_504</t>
        </is>
      </c>
      <c r="B32" s="3" t="inlineStr">
        <is>
          <t>NOT_TESTED</t>
        </is>
      </c>
      <c r="C32" s="3" t="inlineStr">
        <is>
          <t>NOT_TESTED</t>
        </is>
      </c>
      <c r="D32" s="3" t="inlineStr">
        <is>
          <t>NOT_TESTED</t>
        </is>
      </c>
      <c r="E32" s="3" t="inlineStr">
        <is>
          <t>NOT_TESTED</t>
        </is>
      </c>
      <c r="F32" s="4" t="inlineStr">
        <is>
          <t>Passed on test</t>
        </is>
      </c>
      <c r="G32" s="4" t="inlineStr">
        <is>
          <t>Passed on test</t>
        </is>
      </c>
      <c r="H32" s="4" t="inlineStr">
        <is>
          <t>Passed on test</t>
        </is>
      </c>
      <c r="I32" s="4" t="inlineStr">
        <is>
          <t>Passed on test</t>
        </is>
      </c>
      <c r="J32" s="4" t="inlineStr">
        <is>
          <t>Passed on test</t>
        </is>
      </c>
      <c r="K32" s="4" t="inlineStr">
        <is>
          <t>Passed on test</t>
        </is>
      </c>
      <c r="L32" s="4" t="inlineStr">
        <is>
          <t>Passed on test</t>
        </is>
      </c>
      <c r="M32" s="4" t="inlineStr">
        <is>
          <t>Passed on test</t>
        </is>
      </c>
      <c r="N32" s="4" t="inlineStr">
        <is>
          <t>Passed on test</t>
        </is>
      </c>
      <c r="O32" s="4" t="inlineStr">
        <is>
          <t>Passed on test</t>
        </is>
      </c>
      <c r="P32" s="4" t="inlineStr">
        <is>
          <t>Passed on test</t>
        </is>
      </c>
      <c r="Q32" s="4" t="inlineStr">
        <is>
          <t>Passed on test</t>
        </is>
      </c>
      <c r="R32" s="4" t="inlineStr">
        <is>
          <t>Passed on test</t>
        </is>
      </c>
      <c r="S32" s="4" t="inlineStr">
        <is>
          <t>Passed on test</t>
        </is>
      </c>
      <c r="T32" s="4" t="inlineStr">
        <is>
          <t>Passed on test</t>
        </is>
      </c>
      <c r="U32" s="4" t="inlineStr">
        <is>
          <t>Passed on test</t>
        </is>
      </c>
      <c r="V32" s="4" t="inlineStr">
        <is>
          <t>Passed on test</t>
        </is>
      </c>
      <c r="W32" s="4" t="inlineStr">
        <is>
          <t>Passed on test</t>
        </is>
      </c>
      <c r="X32" s="4" t="inlineStr">
        <is>
          <t>Passed on test</t>
        </is>
      </c>
      <c r="Y32" s="4" t="inlineStr">
        <is>
          <t>Passed on test</t>
        </is>
      </c>
      <c r="Z32" s="4" t="inlineStr">
        <is>
          <t>Passed on test</t>
        </is>
      </c>
      <c r="AA32" s="4" t="inlineStr">
        <is>
          <t>Passed on test</t>
        </is>
      </c>
      <c r="AB32" s="4" t="inlineStr">
        <is>
          <t>Passed on test</t>
        </is>
      </c>
      <c r="AC32" s="2" t="n"/>
      <c r="AD32" s="2" t="n"/>
      <c r="AE32" s="2" t="n"/>
      <c r="AF32" s="2" t="n"/>
      <c r="AG32" s="2" t="n"/>
      <c r="AH32" s="2" t="n"/>
      <c r="AI32" s="2" t="n"/>
      <c r="AJ32" s="2" t="n"/>
      <c r="AK32" s="2" t="n"/>
      <c r="AL32" s="2" t="n"/>
      <c r="AM32" s="2" t="n"/>
      <c r="AN32" s="2" t="n"/>
      <c r="AO32" s="2" t="n"/>
      <c r="AP32" s="2" t="n"/>
      <c r="AQ32" s="2" t="n"/>
      <c r="AR32" s="2" t="n"/>
      <c r="AS32" s="2" t="n"/>
      <c r="AT32" s="2" t="n"/>
      <c r="AU32" s="2" t="n"/>
      <c r="AV32" s="2" t="n"/>
      <c r="AW32" s="2" t="n"/>
      <c r="AX32" s="2" t="n"/>
      <c r="AY32" s="2" t="n"/>
      <c r="AZ32" s="2" t="n"/>
      <c r="BA32" s="2" t="n"/>
      <c r="BB32" s="2" t="n"/>
      <c r="BC32" s="2" t="n"/>
      <c r="BD32" s="2" t="n"/>
      <c r="BE32" s="2" t="n"/>
      <c r="BF32" s="2" t="n"/>
      <c r="BG32" s="2" t="n"/>
      <c r="BH32" s="2" t="n"/>
      <c r="BI32" s="2" t="n"/>
      <c r="BJ32" s="2" t="n"/>
      <c r="BK32" s="2" t="n"/>
      <c r="BL32" s="2" t="n"/>
      <c r="BM32" s="2" t="n"/>
      <c r="BN32" s="2" t="n"/>
      <c r="BO32" s="2" t="n"/>
      <c r="BP32" s="2" t="n"/>
      <c r="BQ32" s="2" t="n"/>
      <c r="BR32" s="2" t="n"/>
      <c r="BS32" s="2" t="n"/>
      <c r="BT32" s="2" t="n"/>
      <c r="BU32" s="2" t="n"/>
      <c r="BV32" s="2" t="n"/>
      <c r="BW32" s="2" t="n"/>
      <c r="BX32" s="2" t="n"/>
      <c r="BY32" s="2" t="n"/>
      <c r="BZ32" s="2" t="n"/>
      <c r="CA32" s="2" t="n"/>
      <c r="CB32" s="2" t="n"/>
      <c r="CC32" s="2" t="n"/>
      <c r="CD32" s="2" t="n"/>
      <c r="CE32" s="2" t="n"/>
      <c r="CF32" s="2" t="n"/>
      <c r="CG32" s="2" t="n"/>
      <c r="CH32" s="2" t="n"/>
      <c r="CI32" s="2" t="n"/>
      <c r="CJ32" s="2" t="n"/>
      <c r="CK32" s="2" t="n"/>
      <c r="CL32" s="2" t="n"/>
      <c r="CM32" s="2" t="n"/>
      <c r="CN32" s="2" t="n"/>
      <c r="CO32" s="2" t="n"/>
      <c r="CP32" s="2" t="n"/>
      <c r="CQ32" s="2" t="n"/>
      <c r="CR32" s="2" t="n"/>
      <c r="CS32" s="2" t="n"/>
      <c r="CT32" s="2" t="n"/>
      <c r="CU32" s="2" t="n"/>
      <c r="CV32" s="2" t="n"/>
      <c r="CW32" s="2" t="n"/>
      <c r="CX32" s="2" t="n"/>
      <c r="CY32" s="2" t="n"/>
      <c r="CZ32" s="2" t="n"/>
      <c r="DA32" s="2" t="n"/>
      <c r="DB32" s="2" t="n"/>
      <c r="DC32" s="2" t="n"/>
      <c r="DD32" s="2" t="n"/>
      <c r="DE32" s="2" t="n"/>
    </row>
    <row r="33">
      <c r="A33" s="2" t="inlineStr">
        <is>
          <t>issue_505</t>
        </is>
      </c>
      <c r="B33" s="3" t="inlineStr">
        <is>
          <t>NOT_TESTED</t>
        </is>
      </c>
      <c r="C33" s="3" t="inlineStr">
        <is>
          <t>NOT_TESTED</t>
        </is>
      </c>
      <c r="D33" s="3" t="inlineStr">
        <is>
          <t>NOT_TESTED</t>
        </is>
      </c>
      <c r="E33" s="3" t="inlineStr">
        <is>
          <t>NOT_TESTED</t>
        </is>
      </c>
      <c r="F33" s="4" t="inlineStr">
        <is>
          <t>Passed on test</t>
        </is>
      </c>
      <c r="G33" s="4" t="inlineStr">
        <is>
          <t>Passed on test</t>
        </is>
      </c>
      <c r="H33" s="4" t="inlineStr">
        <is>
          <t>Passed on test</t>
        </is>
      </c>
      <c r="I33" s="4" t="inlineStr">
        <is>
          <t>Passed on test</t>
        </is>
      </c>
      <c r="J33" s="4" t="inlineStr">
        <is>
          <t>Passed on test</t>
        </is>
      </c>
      <c r="K33" s="4" t="inlineStr">
        <is>
          <t>Passed on test</t>
        </is>
      </c>
      <c r="L33" s="4" t="inlineStr">
        <is>
          <t>Passed on test</t>
        </is>
      </c>
      <c r="M33" s="4" t="inlineStr">
        <is>
          <t>Passed on test</t>
        </is>
      </c>
      <c r="N33" s="3" t="inlineStr">
        <is>
          <t>NOT_TESTED</t>
        </is>
      </c>
      <c r="O33" s="3" t="inlineStr">
        <is>
          <t>NOT_TESTED</t>
        </is>
      </c>
      <c r="P33" s="3" t="inlineStr">
        <is>
          <t>NOT_TESTED</t>
        </is>
      </c>
      <c r="Q33" s="3" t="inlineStr">
        <is>
          <t>NOT_TESTED</t>
        </is>
      </c>
      <c r="R33" s="3" t="inlineStr">
        <is>
          <t>NOT_TESTED</t>
        </is>
      </c>
      <c r="S33" s="3" t="inlineStr">
        <is>
          <t>NOT_TESTED</t>
        </is>
      </c>
      <c r="T33" s="3" t="inlineStr">
        <is>
          <t>NOT_TESTED</t>
        </is>
      </c>
      <c r="U33" s="3" t="inlineStr">
        <is>
          <t>NOT_TESTED</t>
        </is>
      </c>
      <c r="V33" s="3" t="inlineStr">
        <is>
          <t>NOT_TESTED</t>
        </is>
      </c>
      <c r="W33" s="3" t="inlineStr">
        <is>
          <t>NOT_TESTED</t>
        </is>
      </c>
      <c r="X33" s="3" t="inlineStr">
        <is>
          <t>NOT_TESTED</t>
        </is>
      </c>
      <c r="Y33" s="3" t="inlineStr">
        <is>
          <t>NOT_TESTED</t>
        </is>
      </c>
      <c r="Z33" s="3" t="inlineStr">
        <is>
          <t>NOT_TESTED</t>
        </is>
      </c>
      <c r="AA33" s="3" t="inlineStr">
        <is>
          <t>NOT_TESTED</t>
        </is>
      </c>
      <c r="AB33" s="3" t="inlineStr">
        <is>
          <t>NOT_TESTED</t>
        </is>
      </c>
      <c r="AC33" s="2" t="n"/>
      <c r="AD33" s="2" t="n"/>
      <c r="AE33" s="2" t="n"/>
      <c r="AF33" s="2" t="n"/>
      <c r="AG33" s="2" t="n"/>
      <c r="AH33" s="2" t="n"/>
      <c r="AI33" s="2" t="n"/>
      <c r="AJ33" s="2" t="n"/>
      <c r="AK33" s="2" t="n"/>
      <c r="AL33" s="2" t="n"/>
      <c r="AM33" s="2" t="n"/>
      <c r="AN33" s="2" t="n"/>
      <c r="AO33" s="2" t="n"/>
      <c r="AP33" s="2" t="n"/>
      <c r="AQ33" s="2" t="n"/>
      <c r="AR33" s="2" t="n"/>
      <c r="AS33" s="2" t="n"/>
      <c r="AT33" s="2" t="n"/>
      <c r="AU33" s="2" t="n"/>
      <c r="AV33" s="2" t="n"/>
      <c r="AW33" s="2" t="n"/>
      <c r="AX33" s="2" t="n"/>
      <c r="AY33" s="2" t="n"/>
      <c r="AZ33" s="2" t="n"/>
      <c r="BA33" s="2" t="n"/>
      <c r="BB33" s="2" t="n"/>
      <c r="BC33" s="2" t="n"/>
      <c r="BD33" s="2" t="n"/>
      <c r="BE33" s="2" t="n"/>
      <c r="BF33" s="2" t="n"/>
      <c r="BG33" s="2" t="n"/>
      <c r="BH33" s="2" t="n"/>
      <c r="BI33" s="2" t="n"/>
      <c r="BJ33" s="2" t="n"/>
      <c r="BK33" s="2" t="n"/>
      <c r="BL33" s="2" t="n"/>
      <c r="BM33" s="2" t="n"/>
      <c r="BN33" s="2" t="n"/>
      <c r="BO33" s="2" t="n"/>
      <c r="BP33" s="2" t="n"/>
      <c r="BQ33" s="2" t="n"/>
      <c r="BR33" s="2" t="n"/>
      <c r="BS33" s="2" t="n"/>
      <c r="BT33" s="2" t="n"/>
      <c r="BU33" s="2" t="n"/>
      <c r="BV33" s="2" t="n"/>
      <c r="BW33" s="2" t="n"/>
      <c r="BX33" s="2" t="n"/>
      <c r="BY33" s="2" t="n"/>
      <c r="BZ33" s="2" t="n"/>
      <c r="CA33" s="2" t="n"/>
      <c r="CB33" s="2" t="n"/>
      <c r="CC33" s="2" t="n"/>
      <c r="CD33" s="2" t="n"/>
      <c r="CE33" s="2" t="n"/>
      <c r="CF33" s="2" t="n"/>
      <c r="CG33" s="2" t="n"/>
      <c r="CH33" s="2" t="n"/>
      <c r="CI33" s="2" t="n"/>
      <c r="CJ33" s="2" t="n"/>
      <c r="CK33" s="2" t="n"/>
      <c r="CL33" s="2" t="n"/>
      <c r="CM33" s="2" t="n"/>
      <c r="CN33" s="2" t="n"/>
      <c r="CO33" s="2" t="n"/>
      <c r="CP33" s="2" t="n"/>
      <c r="CQ33" s="2" t="n"/>
      <c r="CR33" s="2" t="n"/>
      <c r="CS33" s="2" t="n"/>
      <c r="CT33" s="2" t="n"/>
      <c r="CU33" s="2" t="n"/>
      <c r="CV33" s="2" t="n"/>
      <c r="CW33" s="2" t="n"/>
      <c r="CX33" s="2" t="n"/>
      <c r="CY33" s="2" t="n"/>
      <c r="CZ33" s="2" t="n"/>
      <c r="DA33" s="2" t="n"/>
      <c r="DB33" s="2" t="n"/>
      <c r="DC33" s="2" t="n"/>
      <c r="DD33" s="2" t="n"/>
      <c r="DE33" s="2" t="n"/>
    </row>
    <row r="34">
      <c r="A34" s="2" t="inlineStr">
        <is>
          <t>issue_565</t>
        </is>
      </c>
      <c r="B34" s="6" t="inlineStr">
        <is>
          <t>Runtime error</t>
        </is>
      </c>
      <c r="C34" s="6" t="inlineStr">
        <is>
          <t>Runtime error</t>
        </is>
      </c>
      <c r="D34" s="6" t="inlineStr">
        <is>
          <t>Runtime error</t>
        </is>
      </c>
      <c r="E34" s="6" t="inlineStr">
        <is>
          <t>Runtime error</t>
        </is>
      </c>
      <c r="F34" s="3" t="inlineStr">
        <is>
          <t>NOT_TESTED</t>
        </is>
      </c>
      <c r="G34" s="3" t="inlineStr">
        <is>
          <t>NOT_TESTED</t>
        </is>
      </c>
      <c r="H34" s="3" t="inlineStr">
        <is>
          <t>NOT_TESTED</t>
        </is>
      </c>
      <c r="I34" s="3" t="inlineStr">
        <is>
          <t>NOT_TESTED</t>
        </is>
      </c>
      <c r="J34" s="3" t="inlineStr">
        <is>
          <t>NOT_TESTED</t>
        </is>
      </c>
      <c r="K34" s="3" t="inlineStr">
        <is>
          <t>NOT_TESTED</t>
        </is>
      </c>
      <c r="L34" s="3" t="inlineStr">
        <is>
          <t>NOT_TESTED</t>
        </is>
      </c>
      <c r="M34" s="3" t="inlineStr">
        <is>
          <t>NOT_TESTED</t>
        </is>
      </c>
      <c r="N34" s="3" t="inlineStr">
        <is>
          <t>NOT_TESTED</t>
        </is>
      </c>
      <c r="O34" s="3" t="inlineStr">
        <is>
          <t>NOT_TESTED</t>
        </is>
      </c>
      <c r="P34" s="3" t="inlineStr">
        <is>
          <t>NOT_TESTED</t>
        </is>
      </c>
      <c r="Q34" s="3" t="inlineStr">
        <is>
          <t>NOT_TESTED</t>
        </is>
      </c>
      <c r="R34" s="3" t="inlineStr">
        <is>
          <t>NOT_TESTED</t>
        </is>
      </c>
      <c r="S34" s="3" t="inlineStr">
        <is>
          <t>NOT_TESTED</t>
        </is>
      </c>
      <c r="T34" s="3" t="inlineStr">
        <is>
          <t>NOT_TESTED</t>
        </is>
      </c>
      <c r="U34" s="3" t="inlineStr">
        <is>
          <t>NOT_TESTED</t>
        </is>
      </c>
      <c r="V34" s="3" t="inlineStr">
        <is>
          <t>NOT_TESTED</t>
        </is>
      </c>
      <c r="W34" s="3" t="inlineStr">
        <is>
          <t>NOT_TESTED</t>
        </is>
      </c>
      <c r="X34" s="3" t="inlineStr">
        <is>
          <t>NOT_TESTED</t>
        </is>
      </c>
      <c r="Y34" s="3" t="inlineStr">
        <is>
          <t>NOT_TESTED</t>
        </is>
      </c>
      <c r="Z34" s="3" t="inlineStr">
        <is>
          <t>NOT_TESTED</t>
        </is>
      </c>
      <c r="AA34" s="3" t="inlineStr">
        <is>
          <t>NOT_TESTED</t>
        </is>
      </c>
      <c r="AB34" s="3" t="inlineStr">
        <is>
          <t>NOT_TESTED</t>
        </is>
      </c>
      <c r="AC34" s="2" t="inlineStr">
        <is>
          <t>Timeout</t>
        </is>
      </c>
      <c r="AD34" s="2" t="inlineStr">
        <is>
          <t>120 second timeout</t>
        </is>
      </c>
      <c r="AE34" s="2" t="inlineStr">
        <is>
          <t>Error (timeout): the LLM wrapped each mixer Operator in Aqua's MatrixOp before building the SummedOp, which removes the crash both luna models hit, but building the QAOA circuits doesn't finish within 120 seconds on any version (2 runs, the second with a single worker).</t>
        </is>
      </c>
      <c r="AF34" s="2" t="inlineStr">
        <is>
          <t>Timeout</t>
        </is>
      </c>
      <c r="AG34" s="2" t="inlineStr">
        <is>
          <t>120 second timeout</t>
        </is>
      </c>
      <c r="AH34" s="2" t="inlineStr">
        <is>
          <t>Error (timeout): the LLM wrapped each mixer Operator in Aqua's MatrixOp before building the SummedOp, which removes the crash both luna models hit, but building the QAOA circuits doesn't finish within 120 seconds on any version (2 runs, the second with a single worker).</t>
        </is>
      </c>
      <c r="AI34" s="2" t="inlineStr">
        <is>
          <t>Timeout</t>
        </is>
      </c>
      <c r="AJ34" s="2" t="inlineStr">
        <is>
          <t>120 second timeout</t>
        </is>
      </c>
      <c r="AK34" s="2" t="inlineStr">
        <is>
          <t>Error (timeout): the LLM wrapped each mixer Operator in Aqua's MatrixOp before building the SummedOp, which removes the crash both luna models hit, but building the QAOA circuits doesn't finish within 120 seconds on any version (2 runs, the second with a single worker).</t>
        </is>
      </c>
      <c r="AL34" s="2" t="inlineStr">
        <is>
          <t>Timeout</t>
        </is>
      </c>
      <c r="AM34" s="2" t="inlineStr">
        <is>
          <t>120 second timeout</t>
        </is>
      </c>
      <c r="AN34" s="2" t="inlineStr">
        <is>
          <t>Error (timeout): the LLM wrapped each mixer Operator in Aqua's MatrixOp before building the SummedOp, which removes the crash both luna models hit, but building the QAOA circuits doesn't finish within 120 seconds on any version (2 runs, the second with a single worker).</t>
        </is>
      </c>
      <c r="AO34" s="2" t="n"/>
      <c r="AP34" s="2" t="n"/>
      <c r="AQ34" s="2" t="n"/>
      <c r="AR34" s="2" t="n"/>
      <c r="AS34" s="2" t="n"/>
      <c r="AT34" s="2" t="n"/>
      <c r="AU34" s="2" t="n"/>
      <c r="AV34" s="2" t="n"/>
      <c r="AW34" s="2" t="n"/>
      <c r="AX34" s="2" t="n"/>
      <c r="AY34" s="2" t="n"/>
      <c r="AZ34" s="2" t="n"/>
      <c r="BA34" s="2" t="n"/>
      <c r="BB34" s="2" t="n"/>
      <c r="BC34" s="2" t="n"/>
      <c r="BD34" s="2" t="n"/>
      <c r="BE34" s="2" t="n"/>
      <c r="BF34" s="2" t="n"/>
      <c r="BG34" s="2" t="n"/>
      <c r="BH34" s="2" t="n"/>
      <c r="BI34" s="2" t="n"/>
      <c r="BJ34" s="2" t="n"/>
      <c r="BK34" s="2" t="n"/>
      <c r="BL34" s="2" t="n"/>
      <c r="BM34" s="2" t="n"/>
      <c r="BN34" s="2" t="n"/>
      <c r="BO34" s="2" t="n"/>
      <c r="BP34" s="2" t="n"/>
      <c r="BQ34" s="2" t="n"/>
      <c r="BR34" s="2" t="n"/>
      <c r="BS34" s="2" t="n"/>
      <c r="BT34" s="2" t="n"/>
      <c r="BU34" s="2" t="n"/>
      <c r="BV34" s="2" t="n"/>
      <c r="BW34" s="2" t="n"/>
      <c r="BX34" s="2" t="n"/>
      <c r="BY34" s="2" t="n"/>
      <c r="BZ34" s="2" t="n"/>
      <c r="CA34" s="2" t="n"/>
      <c r="CB34" s="2" t="n"/>
      <c r="CC34" s="2" t="n"/>
      <c r="CD34" s="2" t="n"/>
      <c r="CE34" s="2" t="n"/>
      <c r="CF34" s="2" t="n"/>
      <c r="CG34" s="2" t="n"/>
      <c r="CH34" s="2" t="n"/>
      <c r="CI34" s="2" t="n"/>
      <c r="CJ34" s="2" t="n"/>
      <c r="CK34" s="2" t="n"/>
      <c r="CL34" s="2" t="n"/>
      <c r="CM34" s="2" t="n"/>
      <c r="CN34" s="2" t="n"/>
      <c r="CO34" s="2" t="n"/>
      <c r="CP34" s="2" t="n"/>
      <c r="CQ34" s="2" t="n"/>
      <c r="CR34" s="2" t="n"/>
      <c r="CS34" s="2" t="n"/>
      <c r="CT34" s="2" t="n"/>
      <c r="CU34" s="2" t="n"/>
      <c r="CV34" s="2" t="n"/>
      <c r="CW34" s="2" t="n"/>
      <c r="CX34" s="2" t="n"/>
      <c r="CY34" s="2" t="n"/>
      <c r="CZ34" s="2" t="n"/>
      <c r="DA34" s="2" t="n"/>
      <c r="DB34" s="2" t="n"/>
      <c r="DC34" s="2" t="n"/>
      <c r="DD34" s="2" t="n"/>
      <c r="DE34" s="2" t="n"/>
    </row>
    <row r="35">
      <c r="A35" s="2" t="inlineStr">
        <is>
          <t>issue_595</t>
        </is>
      </c>
      <c r="B35" s="3" t="inlineStr">
        <is>
          <t>NOT_TESTED</t>
        </is>
      </c>
      <c r="C35" s="3" t="inlineStr">
        <is>
          <t>NOT_TESTED</t>
        </is>
      </c>
      <c r="D35" s="3" t="inlineStr">
        <is>
          <t>NOT_TESTED</t>
        </is>
      </c>
      <c r="E35" s="3" t="inlineStr">
        <is>
          <t>NOT_TESTED</t>
        </is>
      </c>
      <c r="F35" s="4" t="inlineStr">
        <is>
          <t>Passed on test</t>
        </is>
      </c>
      <c r="G35" s="4" t="inlineStr">
        <is>
          <t>Passed on test</t>
        </is>
      </c>
      <c r="H35" s="4" t="inlineStr">
        <is>
          <t>Passed on test</t>
        </is>
      </c>
      <c r="I35" s="4" t="inlineStr">
        <is>
          <t>Passed on test</t>
        </is>
      </c>
      <c r="J35" s="4" t="inlineStr">
        <is>
          <t>Passed on test</t>
        </is>
      </c>
      <c r="K35" s="4" t="inlineStr">
        <is>
          <t>Passed on test</t>
        </is>
      </c>
      <c r="L35" s="4" t="inlineStr">
        <is>
          <t>Passed on test</t>
        </is>
      </c>
      <c r="M35" s="4" t="inlineStr">
        <is>
          <t>Passed on test</t>
        </is>
      </c>
      <c r="N35" s="4" t="inlineStr">
        <is>
          <t>Passed on test</t>
        </is>
      </c>
      <c r="O35" s="4" t="inlineStr">
        <is>
          <t>Passed on test</t>
        </is>
      </c>
      <c r="P35" s="4" t="inlineStr">
        <is>
          <t>Passed on test</t>
        </is>
      </c>
      <c r="Q35" s="4" t="inlineStr">
        <is>
          <t>Passed on test</t>
        </is>
      </c>
      <c r="R35" s="4" t="inlineStr">
        <is>
          <t>Passed on test</t>
        </is>
      </c>
      <c r="S35" s="4" t="inlineStr">
        <is>
          <t>Passed on test</t>
        </is>
      </c>
      <c r="T35" s="4" t="inlineStr">
        <is>
          <t>Passed on test</t>
        </is>
      </c>
      <c r="U35" s="4" t="inlineStr">
        <is>
          <t>Passed on test</t>
        </is>
      </c>
      <c r="V35" s="4" t="inlineStr">
        <is>
          <t>Passed on test</t>
        </is>
      </c>
      <c r="W35" s="4" t="inlineStr">
        <is>
          <t>Passed on test</t>
        </is>
      </c>
      <c r="X35" s="4" t="inlineStr">
        <is>
          <t>Passed on test</t>
        </is>
      </c>
      <c r="Y35" s="4" t="inlineStr">
        <is>
          <t>Passed on test</t>
        </is>
      </c>
      <c r="Z35" s="4" t="inlineStr">
        <is>
          <t>Passed on test</t>
        </is>
      </c>
      <c r="AA35" s="4" t="inlineStr">
        <is>
          <t>Passed on test</t>
        </is>
      </c>
      <c r="AB35" s="4" t="inlineStr">
        <is>
          <t>Passed on test</t>
        </is>
      </c>
      <c r="AC35" s="2" t="n"/>
      <c r="AD35" s="2" t="n"/>
      <c r="AE35" s="2" t="n"/>
      <c r="AF35" s="2" t="n"/>
      <c r="AG35" s="2" t="n"/>
      <c r="AH35" s="2" t="n"/>
      <c r="AI35" s="2" t="n"/>
      <c r="AJ35" s="2" t="n"/>
      <c r="AK35" s="2" t="n"/>
      <c r="AL35" s="2" t="n"/>
      <c r="AM35" s="2" t="n"/>
      <c r="AN35" s="2" t="n"/>
      <c r="AO35" s="2" t="n"/>
      <c r="AP35" s="2" t="n"/>
      <c r="AQ35" s="2" t="n"/>
      <c r="AR35" s="2" t="n"/>
      <c r="AS35" s="2" t="n"/>
      <c r="AT35" s="2" t="n"/>
      <c r="AU35" s="2" t="n"/>
      <c r="AV35" s="2" t="n"/>
      <c r="AW35" s="2" t="n"/>
      <c r="AX35" s="2" t="n"/>
      <c r="AY35" s="2" t="n"/>
      <c r="AZ35" s="2" t="n"/>
      <c r="BA35" s="2" t="n"/>
      <c r="BB35" s="2" t="n"/>
      <c r="BC35" s="2" t="n"/>
      <c r="BD35" s="2" t="n"/>
      <c r="BE35" s="2" t="n"/>
      <c r="BF35" s="2" t="n"/>
      <c r="BG35" s="2" t="n"/>
      <c r="BH35" s="2" t="n"/>
      <c r="BI35" s="2" t="n"/>
      <c r="BJ35" s="2" t="n"/>
      <c r="BK35" s="2" t="n"/>
      <c r="BL35" s="2" t="n"/>
      <c r="BM35" s="2" t="n"/>
      <c r="BN35" s="2" t="n"/>
      <c r="BO35" s="2" t="n"/>
      <c r="BP35" s="2" t="n"/>
      <c r="BQ35" s="2" t="n"/>
      <c r="BR35" s="2" t="n"/>
      <c r="BS35" s="2" t="n"/>
      <c r="BT35" s="2" t="n"/>
      <c r="BU35" s="2" t="n"/>
      <c r="BV35" s="2" t="n"/>
      <c r="BW35" s="2" t="n"/>
      <c r="BX35" s="2" t="n"/>
      <c r="BY35" s="2" t="n"/>
      <c r="BZ35" s="2" t="n"/>
      <c r="CA35" s="2" t="n"/>
      <c r="CB35" s="2" t="n"/>
      <c r="CC35" s="2" t="n"/>
      <c r="CD35" s="2" t="n"/>
      <c r="CE35" s="2" t="n"/>
      <c r="CF35" s="2" t="n"/>
      <c r="CG35" s="2" t="n"/>
      <c r="CH35" s="2" t="n"/>
      <c r="CI35" s="2" t="n"/>
      <c r="CJ35" s="2" t="n"/>
      <c r="CK35" s="2" t="n"/>
      <c r="CL35" s="2" t="n"/>
      <c r="CM35" s="2" t="n"/>
      <c r="CN35" s="2" t="n"/>
      <c r="CO35" s="2" t="n"/>
      <c r="CP35" s="2" t="n"/>
      <c r="CQ35" s="2" t="n"/>
      <c r="CR35" s="2" t="n"/>
      <c r="CS35" s="2" t="n"/>
      <c r="CT35" s="2" t="n"/>
      <c r="CU35" s="2" t="n"/>
      <c r="CV35" s="2" t="n"/>
      <c r="CW35" s="2" t="n"/>
      <c r="CX35" s="2" t="n"/>
      <c r="CY35" s="2" t="n"/>
      <c r="CZ35" s="2" t="n"/>
      <c r="DA35" s="2" t="n"/>
      <c r="DB35" s="2" t="n"/>
      <c r="DC35" s="2" t="n"/>
      <c r="DD35" s="2" t="n"/>
      <c r="DE35" s="2" t="n"/>
    </row>
    <row r="36">
      <c r="A36" s="2" t="inlineStr">
        <is>
          <t>issue_596</t>
        </is>
      </c>
      <c r="B36" s="4" t="inlineStr">
        <is>
          <t>Passed on test</t>
        </is>
      </c>
      <c r="C36" s="4" t="inlineStr">
        <is>
          <t>Passed on test</t>
        </is>
      </c>
      <c r="D36" s="4" t="inlineStr">
        <is>
          <t>Passed on test</t>
        </is>
      </c>
      <c r="E36" s="4" t="inlineStr">
        <is>
          <t>Passed on test</t>
        </is>
      </c>
      <c r="F36" s="4" t="inlineStr">
        <is>
          <t>Passed on test</t>
        </is>
      </c>
      <c r="G36" s="4" t="inlineStr">
        <is>
          <t>Passed on test</t>
        </is>
      </c>
      <c r="H36" s="4" t="inlineStr">
        <is>
          <t>Passed on test</t>
        </is>
      </c>
      <c r="I36" s="4" t="inlineStr">
        <is>
          <t>Passed on test</t>
        </is>
      </c>
      <c r="J36" s="4" t="inlineStr">
        <is>
          <t>Passed on test</t>
        </is>
      </c>
      <c r="K36" s="4" t="inlineStr">
        <is>
          <t>Passed on test</t>
        </is>
      </c>
      <c r="L36" s="4" t="inlineStr">
        <is>
          <t>Passed on test</t>
        </is>
      </c>
      <c r="M36" s="4" t="inlineStr">
        <is>
          <t>Passed on test</t>
        </is>
      </c>
      <c r="N36" s="3" t="inlineStr">
        <is>
          <t>NOT_TESTED</t>
        </is>
      </c>
      <c r="O36" s="3" t="inlineStr">
        <is>
          <t>NOT_TESTED</t>
        </is>
      </c>
      <c r="P36" s="3" t="inlineStr">
        <is>
          <t>NOT_TESTED</t>
        </is>
      </c>
      <c r="Q36" s="3" t="inlineStr">
        <is>
          <t>NOT_TESTED</t>
        </is>
      </c>
      <c r="R36" s="3" t="inlineStr">
        <is>
          <t>NOT_TESTED</t>
        </is>
      </c>
      <c r="S36" s="3" t="inlineStr">
        <is>
          <t>NOT_TESTED</t>
        </is>
      </c>
      <c r="T36" s="3" t="inlineStr">
        <is>
          <t>NOT_TESTED</t>
        </is>
      </c>
      <c r="U36" s="3" t="inlineStr">
        <is>
          <t>NOT_TESTED</t>
        </is>
      </c>
      <c r="V36" s="3" t="inlineStr">
        <is>
          <t>NOT_TESTED</t>
        </is>
      </c>
      <c r="W36" s="3" t="inlineStr">
        <is>
          <t>NOT_TESTED</t>
        </is>
      </c>
      <c r="X36" s="3" t="inlineStr">
        <is>
          <t>NOT_TESTED</t>
        </is>
      </c>
      <c r="Y36" s="3" t="inlineStr">
        <is>
          <t>NOT_TESTED</t>
        </is>
      </c>
      <c r="Z36" s="3" t="inlineStr">
        <is>
          <t>NOT_TESTED</t>
        </is>
      </c>
      <c r="AA36" s="3" t="inlineStr">
        <is>
          <t>NOT_TESTED</t>
        </is>
      </c>
      <c r="AB36" s="3" t="inlineStr">
        <is>
          <t>NOT_TESTED</t>
        </is>
      </c>
      <c r="AC36" s="2" t="n"/>
      <c r="AD36" s="2" t="n"/>
      <c r="AE36" s="2" t="n"/>
      <c r="AF36" s="2" t="n"/>
      <c r="AG36" s="2" t="n"/>
      <c r="AH36" s="2" t="n"/>
      <c r="AI36" s="2" t="n"/>
      <c r="AJ36" s="2" t="n"/>
      <c r="AK36" s="2" t="n"/>
      <c r="AL36" s="2" t="n"/>
      <c r="AM36" s="2" t="n"/>
      <c r="AN36" s="2" t="n"/>
      <c r="AO36" s="2" t="n"/>
      <c r="AP36" s="2" t="n"/>
      <c r="AQ36" s="2" t="n"/>
      <c r="AR36" s="2" t="n"/>
      <c r="AS36" s="2" t="n"/>
      <c r="AT36" s="2" t="n"/>
      <c r="AU36" s="2" t="n"/>
      <c r="AV36" s="2" t="n"/>
      <c r="AW36" s="2" t="n"/>
      <c r="AX36" s="2" t="n"/>
      <c r="AY36" s="2" t="n"/>
      <c r="AZ36" s="2" t="n"/>
      <c r="BA36" s="2" t="n"/>
      <c r="BB36" s="2" t="n"/>
      <c r="BC36" s="2" t="n"/>
      <c r="BD36" s="2" t="n"/>
      <c r="BE36" s="2" t="n"/>
      <c r="BF36" s="2" t="n"/>
      <c r="BG36" s="2" t="n"/>
      <c r="BH36" s="2" t="n"/>
      <c r="BI36" s="2" t="n"/>
      <c r="BJ36" s="2" t="n"/>
      <c r="BK36" s="2" t="n"/>
      <c r="BL36" s="2" t="n"/>
      <c r="BM36" s="2" t="n"/>
      <c r="BN36" s="2" t="n"/>
      <c r="BO36" s="2" t="n"/>
      <c r="BP36" s="2" t="n"/>
      <c r="BQ36" s="2" t="n"/>
      <c r="BR36" s="2" t="n"/>
      <c r="BS36" s="2" t="n"/>
      <c r="BT36" s="2" t="n"/>
      <c r="BU36" s="2" t="n"/>
      <c r="BV36" s="2" t="n"/>
      <c r="BW36" s="2" t="n"/>
      <c r="BX36" s="2" t="n"/>
      <c r="BY36" s="2" t="n"/>
      <c r="BZ36" s="2" t="n"/>
      <c r="CA36" s="2" t="n"/>
      <c r="CB36" s="2" t="n"/>
      <c r="CC36" s="2" t="n"/>
      <c r="CD36" s="2" t="n"/>
      <c r="CE36" s="2" t="n"/>
      <c r="CF36" s="2" t="n"/>
      <c r="CG36" s="2" t="n"/>
      <c r="CH36" s="2" t="n"/>
      <c r="CI36" s="2" t="n"/>
      <c r="CJ36" s="2" t="n"/>
      <c r="CK36" s="2" t="n"/>
      <c r="CL36" s="2" t="n"/>
      <c r="CM36" s="2" t="n"/>
      <c r="CN36" s="2" t="n"/>
      <c r="CO36" s="2" t="n"/>
      <c r="CP36" s="2" t="n"/>
      <c r="CQ36" s="2" t="n"/>
      <c r="CR36" s="2" t="n"/>
      <c r="CS36" s="2" t="n"/>
      <c r="CT36" s="2" t="n"/>
      <c r="CU36" s="2" t="n"/>
      <c r="CV36" s="2" t="n"/>
      <c r="CW36" s="2" t="n"/>
      <c r="CX36" s="2" t="n"/>
      <c r="CY36" s="2" t="n"/>
      <c r="CZ36" s="2" t="n"/>
      <c r="DA36" s="2" t="n"/>
      <c r="DB36" s="2" t="n"/>
      <c r="DC36" s="2" t="n"/>
      <c r="DD36" s="2" t="n"/>
      <c r="DE36" s="2" t="n"/>
    </row>
    <row r="37">
      <c r="A37" s="2" t="inlineStr">
        <is>
          <t>issue_600</t>
        </is>
      </c>
      <c r="B37" s="4" t="inlineStr">
        <is>
          <t>Passed on test</t>
        </is>
      </c>
      <c r="C37" s="4" t="inlineStr">
        <is>
          <t>Passed on test</t>
        </is>
      </c>
      <c r="D37" s="4" t="inlineStr">
        <is>
          <t>Passed on test</t>
        </is>
      </c>
      <c r="E37" s="4" t="inlineStr">
        <is>
          <t>Passed on test</t>
        </is>
      </c>
      <c r="F37" s="4" t="inlineStr">
        <is>
          <t>Passed on test</t>
        </is>
      </c>
      <c r="G37" s="4" t="inlineStr">
        <is>
          <t>Passed on test</t>
        </is>
      </c>
      <c r="H37" s="4" t="inlineStr">
        <is>
          <t>Passed on test</t>
        </is>
      </c>
      <c r="I37" s="4" t="inlineStr">
        <is>
          <t>Passed on test</t>
        </is>
      </c>
      <c r="J37" s="4" t="inlineStr">
        <is>
          <t>Passed on test</t>
        </is>
      </c>
      <c r="K37" s="4" t="inlineStr">
        <is>
          <t>Passed on test</t>
        </is>
      </c>
      <c r="L37" s="4" t="inlineStr">
        <is>
          <t>Passed on test</t>
        </is>
      </c>
      <c r="M37" s="4" t="inlineStr">
        <is>
          <t>Passed on test</t>
        </is>
      </c>
      <c r="N37" s="3" t="inlineStr">
        <is>
          <t>NOT_TESTED</t>
        </is>
      </c>
      <c r="O37" s="3" t="inlineStr">
        <is>
          <t>NOT_TESTED</t>
        </is>
      </c>
      <c r="P37" s="3" t="inlineStr">
        <is>
          <t>NOT_TESTED</t>
        </is>
      </c>
      <c r="Q37" s="3" t="inlineStr">
        <is>
          <t>NOT_TESTED</t>
        </is>
      </c>
      <c r="R37" s="3" t="inlineStr">
        <is>
          <t>NOT_TESTED</t>
        </is>
      </c>
      <c r="S37" s="3" t="inlineStr">
        <is>
          <t>NOT_TESTED</t>
        </is>
      </c>
      <c r="T37" s="3" t="inlineStr">
        <is>
          <t>NOT_TESTED</t>
        </is>
      </c>
      <c r="U37" s="3" t="inlineStr">
        <is>
          <t>NOT_TESTED</t>
        </is>
      </c>
      <c r="V37" s="3" t="inlineStr">
        <is>
          <t>NOT_TESTED</t>
        </is>
      </c>
      <c r="W37" s="3" t="inlineStr">
        <is>
          <t>NOT_TESTED</t>
        </is>
      </c>
      <c r="X37" s="3" t="inlineStr">
        <is>
          <t>NOT_TESTED</t>
        </is>
      </c>
      <c r="Y37" s="3" t="inlineStr">
        <is>
          <t>NOT_TESTED</t>
        </is>
      </c>
      <c r="Z37" s="3" t="inlineStr">
        <is>
          <t>NOT_TESTED</t>
        </is>
      </c>
      <c r="AA37" s="3" t="inlineStr">
        <is>
          <t>NOT_TESTED</t>
        </is>
      </c>
      <c r="AB37" s="3" t="inlineStr">
        <is>
          <t>NOT_TESTED</t>
        </is>
      </c>
      <c r="AC37" s="2" t="n"/>
      <c r="AD37" s="2" t="n"/>
      <c r="AE37" s="2" t="n"/>
      <c r="AF37" s="2" t="n"/>
      <c r="AG37" s="2" t="n"/>
      <c r="AH37" s="2" t="n"/>
      <c r="AI37" s="2" t="n"/>
      <c r="AJ37" s="2" t="n"/>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2" t="n"/>
      <c r="BJ37" s="2" t="n"/>
      <c r="BK37" s="2" t="n"/>
      <c r="BL37" s="2" t="n"/>
      <c r="BM37" s="2" t="n"/>
      <c r="BN37" s="2" t="n"/>
      <c r="BO37" s="2" t="n"/>
      <c r="BP37" s="2" t="n"/>
      <c r="BQ37" s="2" t="n"/>
      <c r="BR37" s="2" t="n"/>
      <c r="BS37" s="2" t="n"/>
      <c r="BT37" s="2" t="n"/>
      <c r="BU37" s="2" t="n"/>
      <c r="BV37" s="2" t="n"/>
      <c r="BW37" s="2" t="n"/>
      <c r="BX37" s="2" t="n"/>
      <c r="BY37" s="2" t="n"/>
      <c r="BZ37" s="2" t="n"/>
      <c r="CA37" s="2" t="n"/>
      <c r="CB37" s="2" t="n"/>
      <c r="CC37" s="2" t="n"/>
      <c r="CD37" s="2" t="n"/>
      <c r="CE37" s="2" t="n"/>
      <c r="CF37" s="2" t="n"/>
      <c r="CG37" s="2" t="n"/>
      <c r="CH37" s="2" t="n"/>
      <c r="CI37" s="2" t="n"/>
      <c r="CJ37" s="2" t="n"/>
      <c r="CK37" s="2" t="n"/>
      <c r="CL37" s="2" t="n"/>
      <c r="CM37" s="2" t="n"/>
      <c r="CN37" s="2" t="n"/>
      <c r="CO37" s="2" t="n"/>
      <c r="CP37" s="2" t="n"/>
      <c r="CQ37" s="2" t="n"/>
      <c r="CR37" s="2" t="n"/>
      <c r="CS37" s="2" t="n"/>
      <c r="CT37" s="2" t="n"/>
      <c r="CU37" s="2" t="n"/>
      <c r="CV37" s="2" t="n"/>
      <c r="CW37" s="2" t="n"/>
      <c r="CX37" s="2" t="n"/>
      <c r="CY37" s="2" t="n"/>
      <c r="CZ37" s="2" t="n"/>
      <c r="DA37" s="2" t="n"/>
      <c r="DB37" s="2" t="n"/>
      <c r="DC37" s="2" t="n"/>
      <c r="DD37" s="2" t="n"/>
      <c r="DE37" s="2" t="n"/>
    </row>
    <row r="38">
      <c r="A38" s="2" t="inlineStr">
        <is>
          <t>issue_622</t>
        </is>
      </c>
      <c r="B38" s="4" t="inlineStr">
        <is>
          <t>Passed on test</t>
        </is>
      </c>
      <c r="C38" s="4" t="inlineStr">
        <is>
          <t>Passed on test</t>
        </is>
      </c>
      <c r="D38" s="4" t="inlineStr">
        <is>
          <t>Passed on test</t>
        </is>
      </c>
      <c r="E38" s="4" t="inlineStr">
        <is>
          <t>Passed on test</t>
        </is>
      </c>
      <c r="F38" s="4" t="inlineStr">
        <is>
          <t>Passed on test</t>
        </is>
      </c>
      <c r="G38" s="4" t="inlineStr">
        <is>
          <t>Passed on test</t>
        </is>
      </c>
      <c r="H38" s="4" t="inlineStr">
        <is>
          <t>Passed on test</t>
        </is>
      </c>
      <c r="I38" s="4" t="inlineStr">
        <is>
          <t>Passed on test</t>
        </is>
      </c>
      <c r="J38" s="4" t="inlineStr">
        <is>
          <t>Passed on test</t>
        </is>
      </c>
      <c r="K38" s="4" t="inlineStr">
        <is>
          <t>Passed on test</t>
        </is>
      </c>
      <c r="L38" s="4" t="inlineStr">
        <is>
          <t>Passed on test</t>
        </is>
      </c>
      <c r="M38" s="4" t="inlineStr">
        <is>
          <t>Passed on test</t>
        </is>
      </c>
      <c r="N38" s="3" t="inlineStr">
        <is>
          <t>NOT_TESTED</t>
        </is>
      </c>
      <c r="O38" s="3" t="inlineStr">
        <is>
          <t>NOT_TESTED</t>
        </is>
      </c>
      <c r="P38" s="3" t="inlineStr">
        <is>
          <t>NOT_TESTED</t>
        </is>
      </c>
      <c r="Q38" s="3" t="inlineStr">
        <is>
          <t>NOT_TESTED</t>
        </is>
      </c>
      <c r="R38" s="3" t="inlineStr">
        <is>
          <t>NOT_TESTED</t>
        </is>
      </c>
      <c r="S38" s="3" t="inlineStr">
        <is>
          <t>NOT_TESTED</t>
        </is>
      </c>
      <c r="T38" s="3" t="inlineStr">
        <is>
          <t>NOT_TESTED</t>
        </is>
      </c>
      <c r="U38" s="3" t="inlineStr">
        <is>
          <t>NOT_TESTED</t>
        </is>
      </c>
      <c r="V38" s="3" t="inlineStr">
        <is>
          <t>NOT_TESTED</t>
        </is>
      </c>
      <c r="W38" s="3" t="inlineStr">
        <is>
          <t>NOT_TESTED</t>
        </is>
      </c>
      <c r="X38" s="3" t="inlineStr">
        <is>
          <t>NOT_TESTED</t>
        </is>
      </c>
      <c r="Y38" s="3" t="inlineStr">
        <is>
          <t>NOT_TESTED</t>
        </is>
      </c>
      <c r="Z38" s="3" t="inlineStr">
        <is>
          <t>NOT_TESTED</t>
        </is>
      </c>
      <c r="AA38" s="3" t="inlineStr">
        <is>
          <t>NOT_TESTED</t>
        </is>
      </c>
      <c r="AB38" s="3" t="inlineStr">
        <is>
          <t>NOT_TESTED</t>
        </is>
      </c>
      <c r="AC38" s="2" t="n"/>
      <c r="AD38" s="2" t="n"/>
      <c r="AE38" s="2" t="n"/>
      <c r="AF38" s="2" t="n"/>
      <c r="AG38" s="2" t="n"/>
      <c r="AH38" s="2" t="n"/>
      <c r="AI38" s="2" t="n"/>
      <c r="AJ38" s="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2" t="n"/>
      <c r="BJ38" s="2" t="n"/>
      <c r="BK38" s="2" t="n"/>
      <c r="BL38" s="2" t="n"/>
      <c r="BM38" s="2" t="n"/>
      <c r="BN38" s="2" t="n"/>
      <c r="BO38" s="2" t="n"/>
      <c r="BP38" s="2" t="n"/>
      <c r="BQ38" s="2" t="n"/>
      <c r="BR38" s="2" t="n"/>
      <c r="BS38" s="2" t="n"/>
      <c r="BT38" s="2" t="n"/>
      <c r="BU38" s="2" t="n"/>
      <c r="BV38" s="2" t="n"/>
      <c r="BW38" s="2" t="n"/>
      <c r="BX38" s="2" t="n"/>
      <c r="BY38" s="2" t="n"/>
      <c r="BZ38" s="2" t="n"/>
      <c r="CA38" s="2" t="n"/>
      <c r="CB38" s="2" t="n"/>
      <c r="CC38" s="2" t="n"/>
      <c r="CD38" s="2" t="n"/>
      <c r="CE38" s="2" t="n"/>
      <c r="CF38" s="2" t="n"/>
      <c r="CG38" s="2" t="n"/>
      <c r="CH38" s="2" t="n"/>
      <c r="CI38" s="2" t="n"/>
      <c r="CJ38" s="2" t="n"/>
      <c r="CK38" s="2" t="n"/>
      <c r="CL38" s="2" t="n"/>
      <c r="CM38" s="2" t="n"/>
      <c r="CN38" s="2" t="n"/>
      <c r="CO38" s="2" t="n"/>
      <c r="CP38" s="2" t="n"/>
      <c r="CQ38" s="2" t="n"/>
      <c r="CR38" s="2" t="n"/>
      <c r="CS38" s="2" t="n"/>
      <c r="CT38" s="2" t="n"/>
      <c r="CU38" s="2" t="n"/>
      <c r="CV38" s="2" t="n"/>
      <c r="CW38" s="2" t="n"/>
      <c r="CX38" s="2" t="n"/>
      <c r="CY38" s="2" t="n"/>
      <c r="CZ38" s="2" t="n"/>
      <c r="DA38" s="2" t="n"/>
      <c r="DB38" s="2" t="n"/>
      <c r="DC38" s="2" t="n"/>
      <c r="DD38" s="2" t="n"/>
      <c r="DE38" s="2" t="n"/>
    </row>
    <row r="39">
      <c r="A39" s="2" t="inlineStr">
        <is>
          <t>issue_624</t>
        </is>
      </c>
      <c r="B39" s="4" t="inlineStr">
        <is>
          <t>Passed on test</t>
        </is>
      </c>
      <c r="C39" s="4" t="inlineStr">
        <is>
          <t>Passed on test</t>
        </is>
      </c>
      <c r="D39" s="4" t="inlineStr">
        <is>
          <t>Passed on test</t>
        </is>
      </c>
      <c r="E39" s="4" t="inlineStr">
        <is>
          <t>Passed on test</t>
        </is>
      </c>
      <c r="F39" s="4" t="inlineStr">
        <is>
          <t>Passed on test</t>
        </is>
      </c>
      <c r="G39" s="4" t="inlineStr">
        <is>
          <t>Passed on test</t>
        </is>
      </c>
      <c r="H39" s="4" t="inlineStr">
        <is>
          <t>Passed on test</t>
        </is>
      </c>
      <c r="I39" s="4" t="inlineStr">
        <is>
          <t>Passed on test</t>
        </is>
      </c>
      <c r="J39" s="4" t="inlineStr">
        <is>
          <t>Passed on test</t>
        </is>
      </c>
      <c r="K39" s="4" t="inlineStr">
        <is>
          <t>Passed on test</t>
        </is>
      </c>
      <c r="L39" s="4" t="inlineStr">
        <is>
          <t>Passed on test</t>
        </is>
      </c>
      <c r="M39" s="4" t="inlineStr">
        <is>
          <t>Passed on test</t>
        </is>
      </c>
      <c r="N39" s="3" t="inlineStr">
        <is>
          <t>NOT_TESTED</t>
        </is>
      </c>
      <c r="O39" s="3" t="inlineStr">
        <is>
          <t>NOT_TESTED</t>
        </is>
      </c>
      <c r="P39" s="3" t="inlineStr">
        <is>
          <t>NOT_TESTED</t>
        </is>
      </c>
      <c r="Q39" s="3" t="inlineStr">
        <is>
          <t>NOT_TESTED</t>
        </is>
      </c>
      <c r="R39" s="3" t="inlineStr">
        <is>
          <t>NOT_TESTED</t>
        </is>
      </c>
      <c r="S39" s="3" t="inlineStr">
        <is>
          <t>NOT_TESTED</t>
        </is>
      </c>
      <c r="T39" s="3" t="inlineStr">
        <is>
          <t>NOT_TESTED</t>
        </is>
      </c>
      <c r="U39" s="3" t="inlineStr">
        <is>
          <t>NOT_TESTED</t>
        </is>
      </c>
      <c r="V39" s="3" t="inlineStr">
        <is>
          <t>NOT_TESTED</t>
        </is>
      </c>
      <c r="W39" s="3" t="inlineStr">
        <is>
          <t>NOT_TESTED</t>
        </is>
      </c>
      <c r="X39" s="3" t="inlineStr">
        <is>
          <t>NOT_TESTED</t>
        </is>
      </c>
      <c r="Y39" s="3" t="inlineStr">
        <is>
          <t>NOT_TESTED</t>
        </is>
      </c>
      <c r="Z39" s="3" t="inlineStr">
        <is>
          <t>NOT_TESTED</t>
        </is>
      </c>
      <c r="AA39" s="3" t="inlineStr">
        <is>
          <t>NOT_TESTED</t>
        </is>
      </c>
      <c r="AB39" s="3" t="inlineStr">
        <is>
          <t>NOT_TESTED</t>
        </is>
      </c>
      <c r="AC39" s="2" t="n"/>
      <c r="AD39" s="2" t="n"/>
      <c r="AE39" s="2" t="n"/>
      <c r="AF39" s="2" t="n"/>
      <c r="AG39" s="2" t="n"/>
      <c r="AH39" s="2" t="n"/>
      <c r="AI39" s="2" t="n"/>
      <c r="AJ39" s="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2" t="n"/>
      <c r="BJ39" s="2" t="n"/>
      <c r="BK39" s="2" t="n"/>
      <c r="BL39" s="2" t="n"/>
      <c r="BM39" s="2" t="n"/>
      <c r="BN39" s="2" t="n"/>
      <c r="BO39" s="2" t="n"/>
      <c r="BP39" s="2" t="n"/>
      <c r="BQ39" s="2" t="n"/>
      <c r="BR39" s="2" t="n"/>
      <c r="BS39" s="2" t="n"/>
      <c r="BT39" s="2" t="n"/>
      <c r="BU39" s="2" t="n"/>
      <c r="BV39" s="2" t="n"/>
      <c r="BW39" s="2" t="n"/>
      <c r="BX39" s="2" t="n"/>
      <c r="BY39" s="2" t="n"/>
      <c r="BZ39" s="2" t="n"/>
      <c r="CA39" s="2" t="n"/>
      <c r="CB39" s="2" t="n"/>
      <c r="CC39" s="2" t="n"/>
      <c r="CD39" s="2" t="n"/>
      <c r="CE39" s="2" t="n"/>
      <c r="CF39" s="2" t="n"/>
      <c r="CG39" s="2" t="n"/>
      <c r="CH39" s="2" t="n"/>
      <c r="CI39" s="2" t="n"/>
      <c r="CJ39" s="2" t="n"/>
      <c r="CK39" s="2" t="n"/>
      <c r="CL39" s="2" t="n"/>
      <c r="CM39" s="2" t="n"/>
      <c r="CN39" s="2" t="n"/>
      <c r="CO39" s="2" t="n"/>
      <c r="CP39" s="2" t="n"/>
      <c r="CQ39" s="2" t="n"/>
      <c r="CR39" s="2" t="n"/>
      <c r="CS39" s="2" t="n"/>
      <c r="CT39" s="2" t="n"/>
      <c r="CU39" s="2" t="n"/>
      <c r="CV39" s="2" t="n"/>
      <c r="CW39" s="2" t="n"/>
      <c r="CX39" s="2" t="n"/>
      <c r="CY39" s="2" t="n"/>
      <c r="CZ39" s="2" t="n"/>
      <c r="DA39" s="2" t="n"/>
      <c r="DB39" s="2" t="n"/>
      <c r="DC39" s="2" t="n"/>
      <c r="DD39" s="2" t="n"/>
      <c r="DE39" s="2" t="n"/>
    </row>
    <row r="40">
      <c r="A40" s="2" t="inlineStr">
        <is>
          <t>issue_635</t>
        </is>
      </c>
      <c r="B40" s="6" t="inlineStr">
        <is>
          <t>Runtime error</t>
        </is>
      </c>
      <c r="C40" s="6" t="inlineStr">
        <is>
          <t>Runtime error</t>
        </is>
      </c>
      <c r="D40" s="6" t="inlineStr">
        <is>
          <t>Runtime error</t>
        </is>
      </c>
      <c r="E40" s="6" t="inlineStr">
        <is>
          <t>Runtime error</t>
        </is>
      </c>
      <c r="F40" s="3" t="inlineStr">
        <is>
          <t>NOT_TESTED</t>
        </is>
      </c>
      <c r="G40" s="3" t="inlineStr">
        <is>
          <t>NOT_TESTED</t>
        </is>
      </c>
      <c r="H40" s="3" t="inlineStr">
        <is>
          <t>NOT_TESTED</t>
        </is>
      </c>
      <c r="I40" s="3" t="inlineStr">
        <is>
          <t>NOT_TESTED</t>
        </is>
      </c>
      <c r="J40" s="3" t="inlineStr">
        <is>
          <t>NOT_TESTED</t>
        </is>
      </c>
      <c r="K40" s="3" t="inlineStr">
        <is>
          <t>NOT_TESTED</t>
        </is>
      </c>
      <c r="L40" s="3" t="inlineStr">
        <is>
          <t>NOT_TESTED</t>
        </is>
      </c>
      <c r="M40" s="3" t="inlineStr">
        <is>
          <t>NOT_TESTED</t>
        </is>
      </c>
      <c r="N40" s="3" t="inlineStr">
        <is>
          <t>NOT_TESTED</t>
        </is>
      </c>
      <c r="O40" s="3" t="inlineStr">
        <is>
          <t>NOT_TESTED</t>
        </is>
      </c>
      <c r="P40" s="3" t="inlineStr">
        <is>
          <t>NOT_TESTED</t>
        </is>
      </c>
      <c r="Q40" s="3" t="inlineStr">
        <is>
          <t>NOT_TESTED</t>
        </is>
      </c>
      <c r="R40" s="3" t="inlineStr">
        <is>
          <t>NOT_TESTED</t>
        </is>
      </c>
      <c r="S40" s="3" t="inlineStr">
        <is>
          <t>NOT_TESTED</t>
        </is>
      </c>
      <c r="T40" s="3" t="inlineStr">
        <is>
          <t>NOT_TESTED</t>
        </is>
      </c>
      <c r="U40" s="3" t="inlineStr">
        <is>
          <t>NOT_TESTED</t>
        </is>
      </c>
      <c r="V40" s="3" t="inlineStr">
        <is>
          <t>NOT_TESTED</t>
        </is>
      </c>
      <c r="W40" s="3" t="inlineStr">
        <is>
          <t>NOT_TESTED</t>
        </is>
      </c>
      <c r="X40" s="3" t="inlineStr">
        <is>
          <t>NOT_TESTED</t>
        </is>
      </c>
      <c r="Y40" s="3" t="inlineStr">
        <is>
          <t>NOT_TESTED</t>
        </is>
      </c>
      <c r="Z40" s="3" t="inlineStr">
        <is>
          <t>NOT_TESTED</t>
        </is>
      </c>
      <c r="AA40" s="3" t="inlineStr">
        <is>
          <t>NOT_TESTED</t>
        </is>
      </c>
      <c r="AB40" s="3" t="inlineStr">
        <is>
          <t>NOT_TESTED</t>
        </is>
      </c>
      <c r="AC40" s="2" t="inlineStr">
        <is>
          <t>AttributeError</t>
        </is>
      </c>
      <c r="AD40" s="2" t="inlineStr">
        <is>
          <t>AttributeError: 'QuantumCircuit' object has no attribute 'if_test'</t>
        </is>
      </c>
      <c r="AE40" s="2" t="inlineStr">
        <is>
          <t>The LLM nested two qc.if_test() blocks so both X gates need c[0] = 1 and c[1] = 1, which is the logic the question asks for, but if_test() doesn't exist in Qiskit 0.25, the only versions this case runs on (AttributeError). Both luna models used c_if with the wrong conditions and failed.</t>
        </is>
      </c>
      <c r="AF40" s="2" t="inlineStr">
        <is>
          <t>AttributeError</t>
        </is>
      </c>
      <c r="AG40" s="2" t="inlineStr">
        <is>
          <t>AttributeError: 'QuantumCircuit' object has no attribute 'if_test'</t>
        </is>
      </c>
      <c r="AH40" s="2" t="inlineStr">
        <is>
          <t>The LLM nested two qc.if_test() blocks so both X gates need c[0] = 1 and c[1] = 1, which is the logic the question asks for, but if_test() doesn't exist in Qiskit 0.25, the only versions this case runs on (AttributeError). Both luna models used c_if with the wrong conditions and failed.</t>
        </is>
      </c>
      <c r="AI40" s="2" t="inlineStr">
        <is>
          <t>AttributeError</t>
        </is>
      </c>
      <c r="AJ40" s="2" t="inlineStr">
        <is>
          <t>AttributeError: 'QuantumCircuit' object has no attribute 'if_test'</t>
        </is>
      </c>
      <c r="AK40" s="2" t="inlineStr">
        <is>
          <t>The LLM nested two qc.if_test() blocks so both X gates need c[0] = 1 and c[1] = 1, which is the logic the question asks for, but if_test() doesn't exist in Qiskit 0.25, the only versions this case runs on (AttributeError). Both luna models used c_if with the wrong conditions and failed.</t>
        </is>
      </c>
      <c r="AL40" s="2" t="inlineStr">
        <is>
          <t>AttributeError</t>
        </is>
      </c>
      <c r="AM40" s="2" t="inlineStr">
        <is>
          <t>AttributeError: 'QuantumCircuit' object has no attribute 'if_test'</t>
        </is>
      </c>
      <c r="AN40" s="2" t="inlineStr">
        <is>
          <t>The LLM nested two qc.if_test() blocks so both X gates need c[0] = 1 and c[1] = 1, which is the logic the question asks for, but if_test() doesn't exist in Qiskit 0.25, the only versions this case runs on (AttributeError). Both luna models used c_if with the wrong conditions and failed.</t>
        </is>
      </c>
      <c r="AO40" s="2" t="n"/>
      <c r="AP40" s="2" t="n"/>
      <c r="AQ40" s="2" t="n"/>
      <c r="AR40" s="2" t="n"/>
      <c r="AS40" s="2" t="n"/>
      <c r="AT40" s="2" t="n"/>
      <c r="AU40" s="2" t="n"/>
      <c r="AV40" s="2" t="n"/>
      <c r="AW40" s="2" t="n"/>
      <c r="AX40" s="2" t="n"/>
      <c r="AY40" s="2" t="n"/>
      <c r="AZ40" s="2" t="n"/>
      <c r="BA40" s="2" t="n"/>
      <c r="BB40" s="2" t="n"/>
      <c r="BC40" s="2" t="n"/>
      <c r="BD40" s="2" t="n"/>
      <c r="BE40" s="2" t="n"/>
      <c r="BF40" s="2" t="n"/>
      <c r="BG40" s="2" t="n"/>
      <c r="BH40" s="2" t="n"/>
      <c r="BI40" s="2" t="n"/>
      <c r="BJ40" s="2" t="n"/>
      <c r="BK40" s="2" t="n"/>
      <c r="BL40" s="2" t="n"/>
      <c r="BM40" s="2" t="n"/>
      <c r="BN40" s="2" t="n"/>
      <c r="BO40" s="2" t="n"/>
      <c r="BP40" s="2" t="n"/>
      <c r="BQ40" s="2" t="n"/>
      <c r="BR40" s="2" t="n"/>
      <c r="BS40" s="2" t="n"/>
      <c r="BT40" s="2" t="n"/>
      <c r="BU40" s="2" t="n"/>
      <c r="BV40" s="2" t="n"/>
      <c r="BW40" s="2" t="n"/>
      <c r="BX40" s="2" t="n"/>
      <c r="BY40" s="2" t="n"/>
      <c r="BZ40" s="2" t="n"/>
      <c r="CA40" s="2" t="n"/>
      <c r="CB40" s="2" t="n"/>
      <c r="CC40" s="2" t="n"/>
      <c r="CD40" s="2" t="n"/>
      <c r="CE40" s="2" t="n"/>
      <c r="CF40" s="2" t="n"/>
      <c r="CG40" s="2" t="n"/>
      <c r="CH40" s="2" t="n"/>
      <c r="CI40" s="2" t="n"/>
      <c r="CJ40" s="2" t="n"/>
      <c r="CK40" s="2" t="n"/>
      <c r="CL40" s="2" t="n"/>
      <c r="CM40" s="2" t="n"/>
      <c r="CN40" s="2" t="n"/>
      <c r="CO40" s="2" t="n"/>
      <c r="CP40" s="2" t="n"/>
      <c r="CQ40" s="2" t="n"/>
      <c r="CR40" s="2" t="n"/>
      <c r="CS40" s="2" t="n"/>
      <c r="CT40" s="2" t="n"/>
      <c r="CU40" s="2" t="n"/>
      <c r="CV40" s="2" t="n"/>
      <c r="CW40" s="2" t="n"/>
      <c r="CX40" s="2" t="n"/>
      <c r="CY40" s="2" t="n"/>
      <c r="CZ40" s="2" t="n"/>
      <c r="DA40" s="2" t="n"/>
      <c r="DB40" s="2" t="n"/>
      <c r="DC40" s="2" t="n"/>
      <c r="DD40" s="2" t="n"/>
      <c r="DE40" s="2" t="n"/>
    </row>
    <row r="41">
      <c r="A41" s="2" t="inlineStr">
        <is>
          <t>issue_662</t>
        </is>
      </c>
      <c r="B41" s="3" t="inlineStr">
        <is>
          <t>NOT_TESTED</t>
        </is>
      </c>
      <c r="C41" s="3" t="inlineStr">
        <is>
          <t>NOT_TESTED</t>
        </is>
      </c>
      <c r="D41" s="3" t="inlineStr">
        <is>
          <t>NOT_TESTED</t>
        </is>
      </c>
      <c r="E41" s="3" t="inlineStr">
        <is>
          <t>NOT_TESTED</t>
        </is>
      </c>
      <c r="F41" s="4" t="inlineStr">
        <is>
          <t>Passed on test</t>
        </is>
      </c>
      <c r="G41" s="4" t="inlineStr">
        <is>
          <t>Passed on test</t>
        </is>
      </c>
      <c r="H41" s="4" t="inlineStr">
        <is>
          <t>Passed on test</t>
        </is>
      </c>
      <c r="I41" s="4" t="inlineStr">
        <is>
          <t>Passed on test</t>
        </is>
      </c>
      <c r="J41" s="4" t="inlineStr">
        <is>
          <t>Passed on test</t>
        </is>
      </c>
      <c r="K41" s="4" t="inlineStr">
        <is>
          <t>Passed on test</t>
        </is>
      </c>
      <c r="L41" s="4" t="inlineStr">
        <is>
          <t>Passed on test</t>
        </is>
      </c>
      <c r="M41" s="4" t="inlineStr">
        <is>
          <t>Passed on test</t>
        </is>
      </c>
      <c r="N41" s="4" t="inlineStr">
        <is>
          <t>Passed on test</t>
        </is>
      </c>
      <c r="O41" s="4" t="inlineStr">
        <is>
          <t>Passed on test</t>
        </is>
      </c>
      <c r="P41" s="4" t="inlineStr">
        <is>
          <t>Passed on test</t>
        </is>
      </c>
      <c r="Q41" s="4" t="inlineStr">
        <is>
          <t>Passed on test</t>
        </is>
      </c>
      <c r="R41" s="4" t="inlineStr">
        <is>
          <t>Passed on test</t>
        </is>
      </c>
      <c r="S41" s="4" t="inlineStr">
        <is>
          <t>Passed on test</t>
        </is>
      </c>
      <c r="T41" s="4" t="inlineStr">
        <is>
          <t>Passed on test</t>
        </is>
      </c>
      <c r="U41" s="4" t="inlineStr">
        <is>
          <t>Passed on test</t>
        </is>
      </c>
      <c r="V41" s="4" t="inlineStr">
        <is>
          <t>Passed on test</t>
        </is>
      </c>
      <c r="W41" s="4" t="inlineStr">
        <is>
          <t>Passed on test</t>
        </is>
      </c>
      <c r="X41" s="4" t="inlineStr">
        <is>
          <t>Passed on test</t>
        </is>
      </c>
      <c r="Y41" s="4" t="inlineStr">
        <is>
          <t>Passed on test</t>
        </is>
      </c>
      <c r="Z41" s="4" t="inlineStr">
        <is>
          <t>Passed on test</t>
        </is>
      </c>
      <c r="AA41" s="4" t="inlineStr">
        <is>
          <t>Passed on test</t>
        </is>
      </c>
      <c r="AB41" s="4" t="inlineStr">
        <is>
          <t>Passed on test</t>
        </is>
      </c>
      <c r="AC41" s="2" t="n"/>
      <c r="AD41" s="2" t="n"/>
      <c r="AE41" s="2" t="n"/>
      <c r="AF41" s="2" t="n"/>
      <c r="AG41" s="2" t="n"/>
      <c r="AH41" s="2" t="n"/>
      <c r="AI41" s="2" t="n"/>
      <c r="AJ41" s="2" t="n"/>
      <c r="AK41" s="2" t="n"/>
      <c r="AL41" s="2" t="n"/>
      <c r="AM41" s="2" t="n"/>
      <c r="AN41" s="2" t="n"/>
      <c r="AO41" s="2" t="n"/>
      <c r="AP41" s="2" t="n"/>
      <c r="AQ41" s="2" t="n"/>
      <c r="AR41" s="2" t="n"/>
      <c r="AS41" s="2" t="n"/>
      <c r="AT41" s="2" t="n"/>
      <c r="AU41" s="2" t="n"/>
      <c r="AV41" s="2" t="n"/>
      <c r="AW41" s="2" t="n"/>
      <c r="AX41" s="2" t="n"/>
      <c r="AY41" s="2" t="n"/>
      <c r="AZ41" s="2" t="n"/>
      <c r="BA41" s="2" t="n"/>
      <c r="BB41" s="2" t="n"/>
      <c r="BC41" s="2" t="n"/>
      <c r="BD41" s="2" t="n"/>
      <c r="BE41" s="2" t="n"/>
      <c r="BF41" s="2" t="n"/>
      <c r="BG41" s="2" t="n"/>
      <c r="BH41" s="2" t="n"/>
      <c r="BI41" s="2" t="n"/>
      <c r="BJ41" s="2" t="n"/>
      <c r="BK41" s="2" t="n"/>
      <c r="BL41" s="2" t="n"/>
      <c r="BM41" s="2" t="n"/>
      <c r="BN41" s="2" t="n"/>
      <c r="BO41" s="2" t="n"/>
      <c r="BP41" s="2" t="n"/>
      <c r="BQ41" s="2" t="n"/>
      <c r="BR41" s="2" t="n"/>
      <c r="BS41" s="2" t="n"/>
      <c r="BT41" s="2" t="n"/>
      <c r="BU41" s="2" t="n"/>
      <c r="BV41" s="2" t="n"/>
      <c r="BW41" s="2" t="n"/>
      <c r="BX41" s="2" t="n"/>
      <c r="BY41" s="2" t="n"/>
      <c r="BZ41" s="2" t="n"/>
      <c r="CA41" s="2" t="n"/>
      <c r="CB41" s="2" t="n"/>
      <c r="CC41" s="2" t="n"/>
      <c r="CD41" s="2" t="n"/>
      <c r="CE41" s="2" t="n"/>
      <c r="CF41" s="2" t="n"/>
      <c r="CG41" s="2" t="n"/>
      <c r="CH41" s="2" t="n"/>
      <c r="CI41" s="2" t="n"/>
      <c r="CJ41" s="2" t="n"/>
      <c r="CK41" s="2" t="n"/>
      <c r="CL41" s="2" t="n"/>
      <c r="CM41" s="2" t="n"/>
      <c r="CN41" s="2" t="n"/>
      <c r="CO41" s="2" t="n"/>
      <c r="CP41" s="2" t="n"/>
      <c r="CQ41" s="2" t="n"/>
      <c r="CR41" s="2" t="n"/>
      <c r="CS41" s="2" t="n"/>
      <c r="CT41" s="2" t="n"/>
      <c r="CU41" s="2" t="n"/>
      <c r="CV41" s="2" t="n"/>
      <c r="CW41" s="2" t="n"/>
      <c r="CX41" s="2" t="n"/>
      <c r="CY41" s="2" t="n"/>
      <c r="CZ41" s="2" t="n"/>
      <c r="DA41" s="2" t="n"/>
      <c r="DB41" s="2" t="n"/>
      <c r="DC41" s="2" t="n"/>
      <c r="DD41" s="2" t="n"/>
      <c r="DE41" s="2" t="n"/>
    </row>
    <row r="42">
      <c r="A42" s="2" t="inlineStr">
        <is>
          <t>issue_663</t>
        </is>
      </c>
      <c r="B42" s="3" t="inlineStr">
        <is>
          <t>NOT_TESTED</t>
        </is>
      </c>
      <c r="C42" s="3" t="inlineStr">
        <is>
          <t>NOT_TESTED</t>
        </is>
      </c>
      <c r="D42" s="3" t="inlineStr">
        <is>
          <t>NOT_TESTED</t>
        </is>
      </c>
      <c r="E42" s="3" t="inlineStr">
        <is>
          <t>NOT_TESTED</t>
        </is>
      </c>
      <c r="F42" s="4" t="inlineStr">
        <is>
          <t>Passed on test</t>
        </is>
      </c>
      <c r="G42" s="4" t="inlineStr">
        <is>
          <t>Passed on test</t>
        </is>
      </c>
      <c r="H42" s="4" t="inlineStr">
        <is>
          <t>Passed on test</t>
        </is>
      </c>
      <c r="I42" s="4" t="inlineStr">
        <is>
          <t>Passed on test</t>
        </is>
      </c>
      <c r="J42" s="4" t="inlineStr">
        <is>
          <t>Passed on test</t>
        </is>
      </c>
      <c r="K42" s="4" t="inlineStr">
        <is>
          <t>Passed on test</t>
        </is>
      </c>
      <c r="L42" s="4" t="inlineStr">
        <is>
          <t>Passed on test</t>
        </is>
      </c>
      <c r="M42" s="4" t="inlineStr">
        <is>
          <t>Passed on test</t>
        </is>
      </c>
      <c r="N42" s="3" t="inlineStr">
        <is>
          <t>NOT_TESTED</t>
        </is>
      </c>
      <c r="O42" s="3" t="inlineStr">
        <is>
          <t>NOT_TESTED</t>
        </is>
      </c>
      <c r="P42" s="3" t="inlineStr">
        <is>
          <t>NOT_TESTED</t>
        </is>
      </c>
      <c r="Q42" s="3" t="inlineStr">
        <is>
          <t>NOT_TESTED</t>
        </is>
      </c>
      <c r="R42" s="3" t="inlineStr">
        <is>
          <t>NOT_TESTED</t>
        </is>
      </c>
      <c r="S42" s="3" t="inlineStr">
        <is>
          <t>NOT_TESTED</t>
        </is>
      </c>
      <c r="T42" s="3" t="inlineStr">
        <is>
          <t>NOT_TESTED</t>
        </is>
      </c>
      <c r="U42" s="3" t="inlineStr">
        <is>
          <t>NOT_TESTED</t>
        </is>
      </c>
      <c r="V42" s="3" t="inlineStr">
        <is>
          <t>NOT_TESTED</t>
        </is>
      </c>
      <c r="W42" s="3" t="inlineStr">
        <is>
          <t>NOT_TESTED</t>
        </is>
      </c>
      <c r="X42" s="3" t="inlineStr">
        <is>
          <t>NOT_TESTED</t>
        </is>
      </c>
      <c r="Y42" s="3" t="inlineStr">
        <is>
          <t>NOT_TESTED</t>
        </is>
      </c>
      <c r="Z42" s="3" t="inlineStr">
        <is>
          <t>NOT_TESTED</t>
        </is>
      </c>
      <c r="AA42" s="3" t="inlineStr">
        <is>
          <t>NOT_TESTED</t>
        </is>
      </c>
      <c r="AB42" s="3" t="inlineStr">
        <is>
          <t>NOT_TESTED</t>
        </is>
      </c>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2" t="n"/>
      <c r="BQ42" s="2" t="n"/>
      <c r="BR42" s="2" t="n"/>
      <c r="BS42" s="2" t="n"/>
      <c r="BT42" s="2" t="n"/>
      <c r="BU42" s="2" t="n"/>
      <c r="BV42" s="2" t="n"/>
      <c r="BW42" s="2" t="n"/>
      <c r="BX42" s="2" t="n"/>
      <c r="BY42" s="2" t="n"/>
      <c r="BZ42" s="2" t="n"/>
      <c r="CA42" s="2" t="n"/>
      <c r="CB42" s="2" t="n"/>
      <c r="CC42" s="2" t="n"/>
      <c r="CD42" s="2" t="n"/>
      <c r="CE42" s="2" t="n"/>
      <c r="CF42" s="2" t="n"/>
      <c r="CG42" s="2" t="n"/>
      <c r="CH42" s="2" t="n"/>
      <c r="CI42" s="2" t="n"/>
      <c r="CJ42" s="2" t="n"/>
      <c r="CK42" s="2" t="n"/>
      <c r="CL42" s="2" t="n"/>
      <c r="CM42" s="2" t="n"/>
      <c r="CN42" s="2" t="n"/>
      <c r="CO42" s="2" t="n"/>
      <c r="CP42" s="2" t="n"/>
      <c r="CQ42" s="2" t="n"/>
      <c r="CR42" s="2" t="n"/>
      <c r="CS42" s="2" t="n"/>
      <c r="CT42" s="2" t="n"/>
      <c r="CU42" s="2" t="n"/>
      <c r="CV42" s="2" t="n"/>
      <c r="CW42" s="2" t="n"/>
      <c r="CX42" s="2" t="n"/>
      <c r="CY42" s="2" t="n"/>
      <c r="CZ42" s="2" t="n"/>
      <c r="DA42" s="2" t="n"/>
      <c r="DB42" s="2" t="n"/>
      <c r="DC42" s="2" t="n"/>
      <c r="DD42" s="2" t="n"/>
      <c r="DE42" s="2" t="n"/>
    </row>
    <row r="43">
      <c r="A43" s="2" t="inlineStr">
        <is>
          <t>issue_671</t>
        </is>
      </c>
      <c r="B43" s="4" t="inlineStr">
        <is>
          <t>Passed on test</t>
        </is>
      </c>
      <c r="C43" s="4" t="inlineStr">
        <is>
          <t>Passed on test</t>
        </is>
      </c>
      <c r="D43" s="4" t="inlineStr">
        <is>
          <t>Passed on test</t>
        </is>
      </c>
      <c r="E43" s="4" t="inlineStr">
        <is>
          <t>Passed on test</t>
        </is>
      </c>
      <c r="F43" s="4" t="inlineStr">
        <is>
          <t>Passed on test</t>
        </is>
      </c>
      <c r="G43" s="4" t="inlineStr">
        <is>
          <t>Passed on test</t>
        </is>
      </c>
      <c r="H43" s="4" t="inlineStr">
        <is>
          <t>Passed on test</t>
        </is>
      </c>
      <c r="I43" s="4" t="inlineStr">
        <is>
          <t>Passed on test</t>
        </is>
      </c>
      <c r="J43" s="4" t="inlineStr">
        <is>
          <t>Passed on test</t>
        </is>
      </c>
      <c r="K43" s="4" t="inlineStr">
        <is>
          <t>Passed on test</t>
        </is>
      </c>
      <c r="L43" s="4" t="inlineStr">
        <is>
          <t>Passed on test</t>
        </is>
      </c>
      <c r="M43" s="4" t="inlineStr">
        <is>
          <t>Passed on test</t>
        </is>
      </c>
      <c r="N43" s="4" t="inlineStr">
        <is>
          <t>Passed on test</t>
        </is>
      </c>
      <c r="O43" s="4" t="inlineStr">
        <is>
          <t>Passed on test</t>
        </is>
      </c>
      <c r="P43" s="4" t="inlineStr">
        <is>
          <t>Passed on test</t>
        </is>
      </c>
      <c r="Q43" s="4" t="inlineStr">
        <is>
          <t>Passed on test</t>
        </is>
      </c>
      <c r="R43" s="4" t="inlineStr">
        <is>
          <t>Passed on test</t>
        </is>
      </c>
      <c r="S43" s="4" t="inlineStr">
        <is>
          <t>Passed on test</t>
        </is>
      </c>
      <c r="T43" s="4" t="inlineStr">
        <is>
          <t>Passed on test</t>
        </is>
      </c>
      <c r="U43" s="4" t="inlineStr">
        <is>
          <t>Passed on test</t>
        </is>
      </c>
      <c r="V43" s="4" t="inlineStr">
        <is>
          <t>Passed on test</t>
        </is>
      </c>
      <c r="W43" s="4" t="inlineStr">
        <is>
          <t>Passed on test</t>
        </is>
      </c>
      <c r="X43" s="4" t="inlineStr">
        <is>
          <t>Passed on test</t>
        </is>
      </c>
      <c r="Y43" s="4" t="inlineStr">
        <is>
          <t>Passed on test</t>
        </is>
      </c>
      <c r="Z43" s="4" t="inlineStr">
        <is>
          <t>Passed on test</t>
        </is>
      </c>
      <c r="AA43" s="4" t="inlineStr">
        <is>
          <t>Passed on test</t>
        </is>
      </c>
      <c r="AB43" s="4" t="inlineStr">
        <is>
          <t>Passed on test</t>
        </is>
      </c>
      <c r="AC43" s="2" t="n"/>
      <c r="AD43" s="2" t="n"/>
      <c r="AE43" s="2" t="n"/>
      <c r="AF43" s="2" t="n"/>
      <c r="AG43" s="2" t="n"/>
      <c r="AH43" s="2" t="n"/>
      <c r="AI43" s="2" t="n"/>
      <c r="AJ43" s="2" t="n"/>
      <c r="AK43" s="2" t="n"/>
      <c r="AL43" s="2" t="n"/>
      <c r="AM43" s="2" t="n"/>
      <c r="AN43" s="2" t="n"/>
      <c r="AO43" s="2" t="n"/>
      <c r="AP43" s="2" t="n"/>
      <c r="AQ43" s="2" t="n"/>
      <c r="AR43" s="2" t="n"/>
      <c r="AS43" s="2" t="n"/>
      <c r="AT43" s="2" t="n"/>
      <c r="AU43" s="2" t="n"/>
      <c r="AV43" s="2" t="n"/>
      <c r="AW43" s="2" t="n"/>
      <c r="AX43" s="2" t="n"/>
      <c r="AY43" s="2" t="n"/>
      <c r="AZ43" s="2" t="n"/>
      <c r="BA43" s="2" t="n"/>
      <c r="BB43" s="2" t="n"/>
      <c r="BC43" s="2" t="n"/>
      <c r="BD43" s="2" t="n"/>
      <c r="BE43" s="2" t="n"/>
      <c r="BF43" s="2" t="n"/>
      <c r="BG43" s="2" t="n"/>
      <c r="BH43" s="2" t="n"/>
      <c r="BI43" s="2" t="n"/>
      <c r="BJ43" s="2" t="n"/>
      <c r="BK43" s="2" t="n"/>
      <c r="BL43" s="2" t="n"/>
      <c r="BM43" s="2" t="n"/>
      <c r="BN43" s="2" t="n"/>
      <c r="BO43" s="2" t="n"/>
      <c r="BP43" s="2" t="n"/>
      <c r="BQ43" s="2" t="n"/>
      <c r="BR43" s="2" t="n"/>
      <c r="BS43" s="2" t="n"/>
      <c r="BT43" s="2" t="n"/>
      <c r="BU43" s="2" t="n"/>
      <c r="BV43" s="2" t="n"/>
      <c r="BW43" s="2" t="n"/>
      <c r="BX43" s="2" t="n"/>
      <c r="BY43" s="2" t="n"/>
      <c r="BZ43" s="2" t="n"/>
      <c r="CA43" s="2" t="n"/>
      <c r="CB43" s="2" t="n"/>
      <c r="CC43" s="2" t="n"/>
      <c r="CD43" s="2" t="n"/>
      <c r="CE43" s="2" t="n"/>
      <c r="CF43" s="2" t="n"/>
      <c r="CG43" s="2" t="n"/>
      <c r="CH43" s="2" t="n"/>
      <c r="CI43" s="2" t="n"/>
      <c r="CJ43" s="2" t="n"/>
      <c r="CK43" s="2" t="n"/>
      <c r="CL43" s="2" t="n"/>
      <c r="CM43" s="2" t="n"/>
      <c r="CN43" s="2" t="n"/>
      <c r="CO43" s="2" t="n"/>
      <c r="CP43" s="2" t="n"/>
      <c r="CQ43" s="2" t="n"/>
      <c r="CR43" s="2" t="n"/>
      <c r="CS43" s="2" t="n"/>
      <c r="CT43" s="2" t="n"/>
      <c r="CU43" s="2" t="n"/>
      <c r="CV43" s="2" t="n"/>
      <c r="CW43" s="2" t="n"/>
      <c r="CX43" s="2" t="n"/>
      <c r="CY43" s="2" t="n"/>
      <c r="CZ43" s="2" t="n"/>
      <c r="DA43" s="2" t="n"/>
      <c r="DB43" s="2" t="n"/>
      <c r="DC43" s="2" t="n"/>
      <c r="DD43" s="2" t="n"/>
      <c r="DE43" s="2" t="n"/>
    </row>
    <row r="44">
      <c r="A44" s="2" t="inlineStr">
        <is>
          <t>issue_727</t>
        </is>
      </c>
      <c r="B44" s="4" t="inlineStr">
        <is>
          <t>Passed on test</t>
        </is>
      </c>
      <c r="C44" s="4" t="inlineStr">
        <is>
          <t>Passed on test</t>
        </is>
      </c>
      <c r="D44" s="4" t="inlineStr">
        <is>
          <t>Passed on test</t>
        </is>
      </c>
      <c r="E44" s="4" t="inlineStr">
        <is>
          <t>Passed on test</t>
        </is>
      </c>
      <c r="F44" s="4" t="inlineStr">
        <is>
          <t>Passed on test</t>
        </is>
      </c>
      <c r="G44" s="4" t="inlineStr">
        <is>
          <t>Passed on test</t>
        </is>
      </c>
      <c r="H44" s="4" t="inlineStr">
        <is>
          <t>Passed on test</t>
        </is>
      </c>
      <c r="I44" s="4" t="inlineStr">
        <is>
          <t>Passed on test</t>
        </is>
      </c>
      <c r="J44" s="4" t="inlineStr">
        <is>
          <t>Passed on test</t>
        </is>
      </c>
      <c r="K44" s="4" t="inlineStr">
        <is>
          <t>Passed on test</t>
        </is>
      </c>
      <c r="L44" s="4" t="inlineStr">
        <is>
          <t>Passed on test</t>
        </is>
      </c>
      <c r="M44" s="4" t="inlineStr">
        <is>
          <t>Passed on test</t>
        </is>
      </c>
      <c r="N44" s="3" t="inlineStr">
        <is>
          <t>NOT_TESTED</t>
        </is>
      </c>
      <c r="O44" s="3" t="inlineStr">
        <is>
          <t>NOT_TESTED</t>
        </is>
      </c>
      <c r="P44" s="3" t="inlineStr">
        <is>
          <t>NOT_TESTED</t>
        </is>
      </c>
      <c r="Q44" s="3" t="inlineStr">
        <is>
          <t>NOT_TESTED</t>
        </is>
      </c>
      <c r="R44" s="3" t="inlineStr">
        <is>
          <t>NOT_TESTED</t>
        </is>
      </c>
      <c r="S44" s="3" t="inlineStr">
        <is>
          <t>NOT_TESTED</t>
        </is>
      </c>
      <c r="T44" s="3" t="inlineStr">
        <is>
          <t>NOT_TESTED</t>
        </is>
      </c>
      <c r="U44" s="3" t="inlineStr">
        <is>
          <t>NOT_TESTED</t>
        </is>
      </c>
      <c r="V44" s="3" t="inlineStr">
        <is>
          <t>NOT_TESTED</t>
        </is>
      </c>
      <c r="W44" s="3" t="inlineStr">
        <is>
          <t>NOT_TESTED</t>
        </is>
      </c>
      <c r="X44" s="3" t="inlineStr">
        <is>
          <t>NOT_TESTED</t>
        </is>
      </c>
      <c r="Y44" s="3" t="inlineStr">
        <is>
          <t>NOT_TESTED</t>
        </is>
      </c>
      <c r="Z44" s="3" t="inlineStr">
        <is>
          <t>NOT_TESTED</t>
        </is>
      </c>
      <c r="AA44" s="3" t="inlineStr">
        <is>
          <t>NOT_TESTED</t>
        </is>
      </c>
      <c r="AB44" s="3" t="inlineStr">
        <is>
          <t>NOT_TESTED</t>
        </is>
      </c>
      <c r="AC44" s="2" t="n"/>
      <c r="AD44" s="2" t="n"/>
      <c r="AE44" s="2" t="n"/>
      <c r="AF44" s="2" t="n"/>
      <c r="AG44" s="2" t="n"/>
      <c r="AH44" s="2" t="n"/>
      <c r="AI44" s="2" t="n"/>
      <c r="AJ44" s="2" t="n"/>
      <c r="AK44" s="2" t="n"/>
      <c r="AL44" s="2" t="n"/>
      <c r="AM44" s="2" t="n"/>
      <c r="AN44" s="2" t="n"/>
      <c r="AO44" s="2" t="n"/>
      <c r="AP44" s="2" t="n"/>
      <c r="AQ44" s="2" t="n"/>
      <c r="AR44" s="2" t="n"/>
      <c r="AS44" s="2" t="n"/>
      <c r="AT44" s="2" t="n"/>
      <c r="AU44" s="2" t="n"/>
      <c r="AV44" s="2" t="n"/>
      <c r="AW44" s="2" t="n"/>
      <c r="AX44" s="2" t="n"/>
      <c r="AY44" s="2" t="n"/>
      <c r="AZ44" s="2" t="n"/>
      <c r="BA44" s="2" t="n"/>
      <c r="BB44" s="2" t="n"/>
      <c r="BC44" s="2" t="n"/>
      <c r="BD44" s="2" t="n"/>
      <c r="BE44" s="2" t="n"/>
      <c r="BF44" s="2" t="n"/>
      <c r="BG44" s="2" t="n"/>
      <c r="BH44" s="2" t="n"/>
      <c r="BI44" s="2" t="n"/>
      <c r="BJ44" s="2" t="n"/>
      <c r="BK44" s="2" t="n"/>
      <c r="BL44" s="2" t="n"/>
      <c r="BM44" s="2" t="n"/>
      <c r="BN44" s="2" t="n"/>
      <c r="BO44" s="2" t="n"/>
      <c r="BP44" s="2" t="n"/>
      <c r="BQ44" s="2" t="n"/>
      <c r="BR44" s="2" t="n"/>
      <c r="BS44" s="2" t="n"/>
      <c r="BT44" s="2" t="n"/>
      <c r="BU44" s="2" t="n"/>
      <c r="BV44" s="2" t="n"/>
      <c r="BW44" s="2" t="n"/>
      <c r="BX44" s="2" t="n"/>
      <c r="BY44" s="2" t="n"/>
      <c r="BZ44" s="2" t="n"/>
      <c r="CA44" s="2" t="n"/>
      <c r="CB44" s="2" t="n"/>
      <c r="CC44" s="2" t="n"/>
      <c r="CD44" s="2" t="n"/>
      <c r="CE44" s="2" t="n"/>
      <c r="CF44" s="2" t="n"/>
      <c r="CG44" s="2" t="n"/>
      <c r="CH44" s="2" t="n"/>
      <c r="CI44" s="2" t="n"/>
      <c r="CJ44" s="2" t="n"/>
      <c r="CK44" s="2" t="n"/>
      <c r="CL44" s="2" t="n"/>
      <c r="CM44" s="2" t="n"/>
      <c r="CN44" s="2" t="n"/>
      <c r="CO44" s="2" t="n"/>
      <c r="CP44" s="2" t="n"/>
      <c r="CQ44" s="2" t="n"/>
      <c r="CR44" s="2" t="n"/>
      <c r="CS44" s="2" t="n"/>
      <c r="CT44" s="2" t="n"/>
      <c r="CU44" s="2" t="n"/>
      <c r="CV44" s="2" t="n"/>
      <c r="CW44" s="2" t="n"/>
      <c r="CX44" s="2" t="n"/>
      <c r="CY44" s="2" t="n"/>
      <c r="CZ44" s="2" t="n"/>
      <c r="DA44" s="2" t="n"/>
      <c r="DB44" s="2" t="n"/>
      <c r="DC44" s="2" t="n"/>
      <c r="DD44" s="2" t="n"/>
      <c r="DE44" s="2" t="n"/>
    </row>
    <row r="45">
      <c r="A45" s="2" t="inlineStr">
        <is>
          <t>issue_742</t>
        </is>
      </c>
      <c r="B45" s="3" t="inlineStr">
        <is>
          <t>NOT_TESTED</t>
        </is>
      </c>
      <c r="C45" s="3" t="inlineStr">
        <is>
          <t>NOT_TESTED</t>
        </is>
      </c>
      <c r="D45" s="3" t="inlineStr">
        <is>
          <t>NOT_TESTED</t>
        </is>
      </c>
      <c r="E45" s="3" t="inlineStr">
        <is>
          <t>NOT_TESTED</t>
        </is>
      </c>
      <c r="F45" s="3" t="inlineStr">
        <is>
          <t>NOT_TESTED</t>
        </is>
      </c>
      <c r="G45" s="3" t="inlineStr">
        <is>
          <t>NOT_TESTED</t>
        </is>
      </c>
      <c r="H45" s="3" t="inlineStr">
        <is>
          <t>NOT_TESTED</t>
        </is>
      </c>
      <c r="I45" s="3" t="inlineStr">
        <is>
          <t>NOT_TESTED</t>
        </is>
      </c>
      <c r="J45" s="3" t="inlineStr">
        <is>
          <t>NOT_TESTED</t>
        </is>
      </c>
      <c r="K45" s="3" t="inlineStr">
        <is>
          <t>NOT_TESTED</t>
        </is>
      </c>
      <c r="L45" s="3" t="inlineStr">
        <is>
          <t>NOT_TESTED</t>
        </is>
      </c>
      <c r="M45" s="3" t="inlineStr">
        <is>
          <t>NOT_TESTED</t>
        </is>
      </c>
      <c r="N45" s="3" t="inlineStr">
        <is>
          <t>NOT_TESTED</t>
        </is>
      </c>
      <c r="O45" s="3" t="inlineStr">
        <is>
          <t>NOT_TESTED</t>
        </is>
      </c>
      <c r="P45" s="3" t="inlineStr">
        <is>
          <t>NOT_TESTED</t>
        </is>
      </c>
      <c r="Q45" s="4" t="inlineStr">
        <is>
          <t>Passed on test</t>
        </is>
      </c>
      <c r="R45" s="4" t="inlineStr">
        <is>
          <t>Passed on test</t>
        </is>
      </c>
      <c r="S45" s="4" t="inlineStr">
        <is>
          <t>Passed on test</t>
        </is>
      </c>
      <c r="T45" s="4" t="inlineStr">
        <is>
          <t>Passed on test</t>
        </is>
      </c>
      <c r="U45" s="4" t="inlineStr">
        <is>
          <t>Passed on test</t>
        </is>
      </c>
      <c r="V45" s="4" t="inlineStr">
        <is>
          <t>Passed on test</t>
        </is>
      </c>
      <c r="W45" s="4" t="inlineStr">
        <is>
          <t>Passed on test</t>
        </is>
      </c>
      <c r="X45" s="4" t="inlineStr">
        <is>
          <t>Passed on test</t>
        </is>
      </c>
      <c r="Y45" s="4" t="inlineStr">
        <is>
          <t>Passed on test</t>
        </is>
      </c>
      <c r="Z45" s="4" t="inlineStr">
        <is>
          <t>Passed on test</t>
        </is>
      </c>
      <c r="AA45" s="4" t="inlineStr">
        <is>
          <t>Passed on test</t>
        </is>
      </c>
      <c r="AB45" s="4" t="inlineStr">
        <is>
          <t>Passed on test</t>
        </is>
      </c>
      <c r="AC45" s="2" t="n"/>
      <c r="AD45" s="2" t="n"/>
      <c r="AE45" s="2" t="n"/>
      <c r="AF45" s="2" t="n"/>
      <c r="AG45" s="2" t="n"/>
      <c r="AH45" s="2" t="n"/>
      <c r="AI45" s="2" t="n"/>
      <c r="AJ45" s="2" t="n"/>
      <c r="AK45" s="2" t="n"/>
      <c r="AL45" s="2" t="n"/>
      <c r="AM45" s="2" t="n"/>
      <c r="AN45" s="2" t="n"/>
      <c r="AO45" s="2" t="n"/>
      <c r="AP45" s="2" t="n"/>
      <c r="AQ45" s="2" t="n"/>
      <c r="AR45" s="2" t="n"/>
      <c r="AS45" s="2" t="n"/>
      <c r="AT45" s="2" t="n"/>
      <c r="AU45" s="2" t="n"/>
      <c r="AV45" s="2" t="n"/>
      <c r="AW45" s="2" t="n"/>
      <c r="AX45" s="2" t="n"/>
      <c r="AY45" s="2" t="n"/>
      <c r="AZ45" s="2" t="n"/>
      <c r="BA45" s="2" t="n"/>
      <c r="BB45" s="2" t="n"/>
      <c r="BC45" s="2" t="n"/>
      <c r="BD45" s="2" t="n"/>
      <c r="BE45" s="2" t="n"/>
      <c r="BF45" s="2" t="n"/>
      <c r="BG45" s="2" t="n"/>
      <c r="BH45" s="2" t="n"/>
      <c r="BI45" s="2" t="n"/>
      <c r="BJ45" s="2" t="n"/>
      <c r="BK45" s="2" t="n"/>
      <c r="BL45" s="2" t="n"/>
      <c r="BM45" s="2" t="n"/>
      <c r="BN45" s="2" t="n"/>
      <c r="BO45" s="2" t="n"/>
      <c r="BP45" s="2" t="n"/>
      <c r="BQ45" s="2" t="n"/>
      <c r="BR45" s="2" t="n"/>
      <c r="BS45" s="2" t="n"/>
      <c r="BT45" s="2" t="n"/>
      <c r="BU45" s="2" t="n"/>
      <c r="BV45" s="2" t="n"/>
      <c r="BW45" s="2" t="n"/>
      <c r="BX45" s="2" t="n"/>
      <c r="BY45" s="2" t="n"/>
      <c r="BZ45" s="2" t="n"/>
      <c r="CA45" s="2" t="n"/>
      <c r="CB45" s="2" t="n"/>
      <c r="CC45" s="2" t="n"/>
      <c r="CD45" s="2" t="n"/>
      <c r="CE45" s="2" t="n"/>
      <c r="CF45" s="2" t="n"/>
      <c r="CG45" s="2" t="n"/>
      <c r="CH45" s="2" t="n"/>
      <c r="CI45" s="2" t="n"/>
      <c r="CJ45" s="2" t="n"/>
      <c r="CK45" s="2" t="n"/>
      <c r="CL45" s="2" t="n"/>
      <c r="CM45" s="2" t="n"/>
      <c r="CN45" s="2" t="n"/>
      <c r="CO45" s="2" t="n"/>
      <c r="CP45" s="2" t="n"/>
      <c r="CQ45" s="2" t="n"/>
      <c r="CR45" s="2" t="n"/>
      <c r="CS45" s="2" t="n"/>
      <c r="CT45" s="2" t="n"/>
      <c r="CU45" s="2" t="n"/>
      <c r="CV45" s="2" t="n"/>
      <c r="CW45" s="2" t="n"/>
      <c r="CX45" s="2" t="n"/>
      <c r="CY45" s="2" t="n"/>
      <c r="CZ45" s="2" t="n"/>
      <c r="DA45" s="2" t="n"/>
      <c r="DB45" s="2" t="n"/>
      <c r="DC45" s="2" t="n"/>
      <c r="DD45" s="2" t="n"/>
      <c r="DE45" s="2" t="n"/>
    </row>
    <row r="46">
      <c r="A46" s="2" t="inlineStr">
        <is>
          <t>issue_747</t>
        </is>
      </c>
      <c r="B46" s="3" t="inlineStr">
        <is>
          <t>NOT_TESTED</t>
        </is>
      </c>
      <c r="C46" s="3" t="inlineStr">
        <is>
          <t>NOT_TESTED</t>
        </is>
      </c>
      <c r="D46" s="3" t="inlineStr">
        <is>
          <t>NOT_TESTED</t>
        </is>
      </c>
      <c r="E46" s="3" t="inlineStr">
        <is>
          <t>NOT_TESTED</t>
        </is>
      </c>
      <c r="F46" s="4" t="inlineStr">
        <is>
          <t>Passed on test</t>
        </is>
      </c>
      <c r="G46" s="4" t="inlineStr">
        <is>
          <t>Passed on test</t>
        </is>
      </c>
      <c r="H46" s="4" t="inlineStr">
        <is>
          <t>Passed on test</t>
        </is>
      </c>
      <c r="I46" s="4" t="inlineStr">
        <is>
          <t>Passed on test</t>
        </is>
      </c>
      <c r="J46" s="4" t="inlineStr">
        <is>
          <t>Passed on test</t>
        </is>
      </c>
      <c r="K46" s="4" t="inlineStr">
        <is>
          <t>Passed on test</t>
        </is>
      </c>
      <c r="L46" s="4" t="inlineStr">
        <is>
          <t>Passed on test</t>
        </is>
      </c>
      <c r="M46" s="4" t="inlineStr">
        <is>
          <t>Passed on test</t>
        </is>
      </c>
      <c r="N46" s="3" t="inlineStr">
        <is>
          <t>NOT_TESTED</t>
        </is>
      </c>
      <c r="O46" s="3" t="inlineStr">
        <is>
          <t>NOT_TESTED</t>
        </is>
      </c>
      <c r="P46" s="3" t="inlineStr">
        <is>
          <t>NOT_TESTED</t>
        </is>
      </c>
      <c r="Q46" s="3" t="inlineStr">
        <is>
          <t>NOT_TESTED</t>
        </is>
      </c>
      <c r="R46" s="3" t="inlineStr">
        <is>
          <t>NOT_TESTED</t>
        </is>
      </c>
      <c r="S46" s="3" t="inlineStr">
        <is>
          <t>NOT_TESTED</t>
        </is>
      </c>
      <c r="T46" s="3" t="inlineStr">
        <is>
          <t>NOT_TESTED</t>
        </is>
      </c>
      <c r="U46" s="3" t="inlineStr">
        <is>
          <t>NOT_TESTED</t>
        </is>
      </c>
      <c r="V46" s="3" t="inlineStr">
        <is>
          <t>NOT_TESTED</t>
        </is>
      </c>
      <c r="W46" s="3" t="inlineStr">
        <is>
          <t>NOT_TESTED</t>
        </is>
      </c>
      <c r="X46" s="3" t="inlineStr">
        <is>
          <t>NOT_TESTED</t>
        </is>
      </c>
      <c r="Y46" s="3" t="inlineStr">
        <is>
          <t>NOT_TESTED</t>
        </is>
      </c>
      <c r="Z46" s="3" t="inlineStr">
        <is>
          <t>NOT_TESTED</t>
        </is>
      </c>
      <c r="AA46" s="3" t="inlineStr">
        <is>
          <t>NOT_TESTED</t>
        </is>
      </c>
      <c r="AB46" s="3" t="inlineStr">
        <is>
          <t>NOT_TESTED</t>
        </is>
      </c>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2" t="n"/>
      <c r="BQ46" s="2" t="n"/>
      <c r="BR46" s="2" t="n"/>
      <c r="BS46" s="2" t="n"/>
      <c r="BT46" s="2" t="n"/>
      <c r="BU46" s="2" t="n"/>
      <c r="BV46" s="2" t="n"/>
      <c r="BW46" s="2" t="n"/>
      <c r="BX46" s="2" t="n"/>
      <c r="BY46" s="2" t="n"/>
      <c r="BZ46" s="2" t="n"/>
      <c r="CA46" s="2" t="n"/>
      <c r="CB46" s="2" t="n"/>
      <c r="CC46" s="2" t="n"/>
      <c r="CD46" s="2" t="n"/>
      <c r="CE46" s="2" t="n"/>
      <c r="CF46" s="2" t="n"/>
      <c r="CG46" s="2" t="n"/>
      <c r="CH46" s="2" t="n"/>
      <c r="CI46" s="2" t="n"/>
      <c r="CJ46" s="2" t="n"/>
      <c r="CK46" s="2" t="n"/>
      <c r="CL46" s="2" t="n"/>
      <c r="CM46" s="2" t="n"/>
      <c r="CN46" s="2" t="n"/>
      <c r="CO46" s="2" t="n"/>
      <c r="CP46" s="2" t="n"/>
      <c r="CQ46" s="2" t="n"/>
      <c r="CR46" s="2" t="n"/>
      <c r="CS46" s="2" t="n"/>
      <c r="CT46" s="2" t="n"/>
      <c r="CU46" s="2" t="n"/>
      <c r="CV46" s="2" t="n"/>
      <c r="CW46" s="2" t="n"/>
      <c r="CX46" s="2" t="n"/>
      <c r="CY46" s="2" t="n"/>
      <c r="CZ46" s="2" t="n"/>
      <c r="DA46" s="2" t="n"/>
      <c r="DB46" s="2" t="n"/>
      <c r="DC46" s="2" t="n"/>
      <c r="DD46" s="2" t="n"/>
      <c r="DE46" s="2" t="n"/>
    </row>
    <row r="47">
      <c r="A47" s="2" t="inlineStr">
        <is>
          <t>issue_750</t>
        </is>
      </c>
      <c r="B47" s="3" t="inlineStr">
        <is>
          <t>NOT_TESTED</t>
        </is>
      </c>
      <c r="C47" s="3" t="inlineStr">
        <is>
          <t>NOT_TESTED</t>
        </is>
      </c>
      <c r="D47" s="3" t="inlineStr">
        <is>
          <t>NOT_TESTED</t>
        </is>
      </c>
      <c r="E47" s="3" t="inlineStr">
        <is>
          <t>NOT_TESTED</t>
        </is>
      </c>
      <c r="F47" s="4" t="inlineStr">
        <is>
          <t>Passed on test</t>
        </is>
      </c>
      <c r="G47" s="4" t="inlineStr">
        <is>
          <t>Passed on test</t>
        </is>
      </c>
      <c r="H47" s="4" t="inlineStr">
        <is>
          <t>Passed on test</t>
        </is>
      </c>
      <c r="I47" s="4" t="inlineStr">
        <is>
          <t>Passed on test</t>
        </is>
      </c>
      <c r="J47" s="4" t="inlineStr">
        <is>
          <t>Passed on test</t>
        </is>
      </c>
      <c r="K47" s="4" t="inlineStr">
        <is>
          <t>Passed on test</t>
        </is>
      </c>
      <c r="L47" s="4" t="inlineStr">
        <is>
          <t>Passed on test</t>
        </is>
      </c>
      <c r="M47" s="4" t="inlineStr">
        <is>
          <t>Passed on test</t>
        </is>
      </c>
      <c r="N47" s="4" t="inlineStr">
        <is>
          <t>Passed on test</t>
        </is>
      </c>
      <c r="O47" s="4" t="inlineStr">
        <is>
          <t>Passed on test</t>
        </is>
      </c>
      <c r="P47" s="4" t="inlineStr">
        <is>
          <t>Passed on test</t>
        </is>
      </c>
      <c r="Q47" s="4" t="inlineStr">
        <is>
          <t>Passed on test</t>
        </is>
      </c>
      <c r="R47" s="4" t="inlineStr">
        <is>
          <t>Passed on test</t>
        </is>
      </c>
      <c r="S47" s="4" t="inlineStr">
        <is>
          <t>Passed on test</t>
        </is>
      </c>
      <c r="T47" s="4" t="inlineStr">
        <is>
          <t>Passed on test</t>
        </is>
      </c>
      <c r="U47" s="4" t="inlineStr">
        <is>
          <t>Passed on test</t>
        </is>
      </c>
      <c r="V47" s="4" t="inlineStr">
        <is>
          <t>Passed on test</t>
        </is>
      </c>
      <c r="W47" s="4" t="inlineStr">
        <is>
          <t>Passed on test</t>
        </is>
      </c>
      <c r="X47" s="4" t="inlineStr">
        <is>
          <t>Passed on test</t>
        </is>
      </c>
      <c r="Y47" s="4" t="inlineStr">
        <is>
          <t>Passed on test</t>
        </is>
      </c>
      <c r="Z47" s="4" t="inlineStr">
        <is>
          <t>Passed on test</t>
        </is>
      </c>
      <c r="AA47" s="4" t="inlineStr">
        <is>
          <t>Passed on test</t>
        </is>
      </c>
      <c r="AB47" s="4" t="inlineStr">
        <is>
          <t>Passed on test</t>
        </is>
      </c>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2" t="n"/>
      <c r="BQ47" s="2" t="n"/>
      <c r="BR47" s="2" t="n"/>
      <c r="BS47" s="2" t="n"/>
      <c r="BT47" s="2" t="n"/>
      <c r="BU47" s="2" t="n"/>
      <c r="BV47" s="2" t="n"/>
      <c r="BW47" s="2" t="n"/>
      <c r="BX47" s="2" t="n"/>
      <c r="BY47" s="2" t="n"/>
      <c r="BZ47" s="2" t="n"/>
      <c r="CA47" s="2" t="n"/>
      <c r="CB47" s="2" t="n"/>
      <c r="CC47" s="2" t="n"/>
      <c r="CD47" s="2" t="n"/>
      <c r="CE47" s="2" t="n"/>
      <c r="CF47" s="2" t="n"/>
      <c r="CG47" s="2" t="n"/>
      <c r="CH47" s="2" t="n"/>
      <c r="CI47" s="2" t="n"/>
      <c r="CJ47" s="2" t="n"/>
      <c r="CK47" s="2" t="n"/>
      <c r="CL47" s="2" t="n"/>
      <c r="CM47" s="2" t="n"/>
      <c r="CN47" s="2" t="n"/>
      <c r="CO47" s="2" t="n"/>
      <c r="CP47" s="2" t="n"/>
      <c r="CQ47" s="2" t="n"/>
      <c r="CR47" s="2" t="n"/>
      <c r="CS47" s="2" t="n"/>
      <c r="CT47" s="2" t="n"/>
      <c r="CU47" s="2" t="n"/>
      <c r="CV47" s="2" t="n"/>
      <c r="CW47" s="2" t="n"/>
      <c r="CX47" s="2" t="n"/>
      <c r="CY47" s="2" t="n"/>
      <c r="CZ47" s="2" t="n"/>
      <c r="DA47" s="2" t="n"/>
      <c r="DB47" s="2" t="n"/>
      <c r="DC47" s="2" t="n"/>
      <c r="DD47" s="2" t="n"/>
      <c r="DE47" s="2" t="n"/>
    </row>
    <row r="48">
      <c r="A48" s="2" t="inlineStr">
        <is>
          <t>issue_769</t>
        </is>
      </c>
      <c r="B48" s="3" t="inlineStr">
        <is>
          <t>NOT_TESTED</t>
        </is>
      </c>
      <c r="C48" s="3" t="inlineStr">
        <is>
          <t>NOT_TESTED</t>
        </is>
      </c>
      <c r="D48" s="3" t="inlineStr">
        <is>
          <t>NOT_TESTED</t>
        </is>
      </c>
      <c r="E48" s="3" t="inlineStr">
        <is>
          <t>NOT_TESTED</t>
        </is>
      </c>
      <c r="F48" s="3" t="inlineStr">
        <is>
          <t>NOT_TESTED</t>
        </is>
      </c>
      <c r="G48" s="3" t="inlineStr">
        <is>
          <t>NOT_TESTED</t>
        </is>
      </c>
      <c r="H48" s="3" t="inlineStr">
        <is>
          <t>NOT_TESTED</t>
        </is>
      </c>
      <c r="I48" s="3" t="inlineStr">
        <is>
          <t>NOT_TESTED</t>
        </is>
      </c>
      <c r="J48" s="3" t="inlineStr">
        <is>
          <t>NOT_TESTED</t>
        </is>
      </c>
      <c r="K48" s="3" t="inlineStr">
        <is>
          <t>NOT_TESTED</t>
        </is>
      </c>
      <c r="L48" s="3" t="inlineStr">
        <is>
          <t>NOT_TESTED</t>
        </is>
      </c>
      <c r="M48" s="3" t="inlineStr">
        <is>
          <t>NOT_TESTED</t>
        </is>
      </c>
      <c r="N48" s="6" t="inlineStr">
        <is>
          <t>Runtime error</t>
        </is>
      </c>
      <c r="O48" s="6" t="inlineStr">
        <is>
          <t>Runtime error</t>
        </is>
      </c>
      <c r="P48" s="6" t="inlineStr">
        <is>
          <t>Runtime error</t>
        </is>
      </c>
      <c r="Q48" s="6" t="inlineStr">
        <is>
          <t>Runtime error</t>
        </is>
      </c>
      <c r="R48" s="6" t="inlineStr">
        <is>
          <t>Runtime error</t>
        </is>
      </c>
      <c r="S48" s="6" t="inlineStr">
        <is>
          <t>Runtime error</t>
        </is>
      </c>
      <c r="T48" s="6" t="inlineStr">
        <is>
          <t>Runtime error</t>
        </is>
      </c>
      <c r="U48" s="6" t="inlineStr">
        <is>
          <t>Runtime error</t>
        </is>
      </c>
      <c r="V48" s="6" t="inlineStr">
        <is>
          <t>Runtime error</t>
        </is>
      </c>
      <c r="W48" s="6" t="inlineStr">
        <is>
          <t>Runtime error</t>
        </is>
      </c>
      <c r="X48" s="6" t="inlineStr">
        <is>
          <t>Runtime error</t>
        </is>
      </c>
      <c r="Y48" s="6" t="inlineStr">
        <is>
          <t>Runtime error</t>
        </is>
      </c>
      <c r="Z48" s="6" t="inlineStr">
        <is>
          <t>Runtime error</t>
        </is>
      </c>
      <c r="AA48" s="6" t="inlineStr">
        <is>
          <t>Runtime error</t>
        </is>
      </c>
      <c r="AB48" s="6" t="inlineStr">
        <is>
          <t>Runtime error</t>
        </is>
      </c>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inlineStr">
        <is>
          <t>KeyError</t>
        </is>
      </c>
      <c r="BN48" s="2" t="inlineStr">
        <is>
          <t>KeyError: 'get_qiskit_gate'</t>
        </is>
      </c>
      <c r="BO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BP48" s="2" t="inlineStr">
        <is>
          <t>KeyError</t>
        </is>
      </c>
      <c r="BQ48" s="2" t="inlineStr">
        <is>
          <t>KeyError: 'get_qiskit_gate'</t>
        </is>
      </c>
      <c r="BR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BS48" s="2" t="inlineStr">
        <is>
          <t>KeyError</t>
        </is>
      </c>
      <c r="BT48" s="2" t="inlineStr">
        <is>
          <t>KeyError: 'get_qiskit_gate'</t>
        </is>
      </c>
      <c r="BU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BV48" s="2" t="inlineStr">
        <is>
          <t>KeyError</t>
        </is>
      </c>
      <c r="BW48" s="2" t="inlineStr">
        <is>
          <t>KeyError: 'get_qiskit_gate'</t>
        </is>
      </c>
      <c r="BX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BY48" s="2" t="inlineStr">
        <is>
          <t>KeyError</t>
        </is>
      </c>
      <c r="BZ48" s="2" t="inlineStr">
        <is>
          <t>KeyError: 'get_qiskit_gate'</t>
        </is>
      </c>
      <c r="CA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CB48" s="2" t="inlineStr">
        <is>
          <t>KeyError</t>
        </is>
      </c>
      <c r="CC48" s="2" t="inlineStr">
        <is>
          <t>KeyError: 'get_qiskit_gate'</t>
        </is>
      </c>
      <c r="CD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CE48" s="2" t="inlineStr">
        <is>
          <t>KeyError</t>
        </is>
      </c>
      <c r="CF48" s="2" t="inlineStr">
        <is>
          <t>KeyError: 'get_qiskit_gate'</t>
        </is>
      </c>
      <c r="CG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CH48" s="2" t="inlineStr">
        <is>
          <t>KeyError</t>
        </is>
      </c>
      <c r="CI48" s="2" t="inlineStr">
        <is>
          <t>KeyError: 'get_qiskit_gate'</t>
        </is>
      </c>
      <c r="CJ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CK48" s="2" t="inlineStr">
        <is>
          <t>KeyError</t>
        </is>
      </c>
      <c r="CL48" s="2" t="inlineStr">
        <is>
          <t>KeyError: 'get_qiskit_gate'</t>
        </is>
      </c>
      <c r="CM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CN48" s="2" t="inlineStr">
        <is>
          <t>KeyError</t>
        </is>
      </c>
      <c r="CO48" s="2" t="inlineStr">
        <is>
          <t>KeyError: 'get_qiskit_gate'</t>
        </is>
      </c>
      <c r="CP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CQ48" s="2" t="inlineStr">
        <is>
          <t>KeyError</t>
        </is>
      </c>
      <c r="CR48" s="2" t="inlineStr">
        <is>
          <t>KeyError: 'get_qiskit_gate'</t>
        </is>
      </c>
      <c r="CS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CT48" s="2" t="inlineStr">
        <is>
          <t>KeyError</t>
        </is>
      </c>
      <c r="CU48" s="2" t="inlineStr">
        <is>
          <t>KeyError: 'get_qiskit_gate'</t>
        </is>
      </c>
      <c r="CV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CW48" s="2" t="inlineStr">
        <is>
          <t>KeyError</t>
        </is>
      </c>
      <c r="CX48" s="2" t="inlineStr">
        <is>
          <t>KeyError: 'get_qiskit_gate'</t>
        </is>
      </c>
      <c r="CY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CZ48" s="2" t="inlineStr">
        <is>
          <t>KeyError</t>
        </is>
      </c>
      <c r="DA48" s="2" t="inlineStr">
        <is>
          <t>KeyError: 'get_qiskit_gate'</t>
        </is>
      </c>
      <c r="DB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DC48" s="2" t="inlineStr">
        <is>
          <t>KeyError</t>
        </is>
      </c>
      <c r="DD48" s="2" t="inlineStr">
        <is>
          <t>KeyError: 'get_qiskit_gate'</t>
        </is>
      </c>
      <c r="DE48" s="2"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row>
    <row r="49">
      <c r="A49" s="2" t="inlineStr">
        <is>
          <t>issue_773</t>
        </is>
      </c>
      <c r="B49" s="3" t="inlineStr">
        <is>
          <t>NOT_TESTED</t>
        </is>
      </c>
      <c r="C49" s="3" t="inlineStr">
        <is>
          <t>NOT_TESTED</t>
        </is>
      </c>
      <c r="D49" s="3" t="inlineStr">
        <is>
          <t>NOT_TESTED</t>
        </is>
      </c>
      <c r="E49" s="3" t="inlineStr">
        <is>
          <t>NOT_TESTED</t>
        </is>
      </c>
      <c r="F49" s="4" t="inlineStr">
        <is>
          <t>Passed on test</t>
        </is>
      </c>
      <c r="G49" s="4" t="inlineStr">
        <is>
          <t>Passed on test</t>
        </is>
      </c>
      <c r="H49" s="4" t="inlineStr">
        <is>
          <t>Passed on test</t>
        </is>
      </c>
      <c r="I49" s="4" t="inlineStr">
        <is>
          <t>Passed on test</t>
        </is>
      </c>
      <c r="J49" s="4" t="inlineStr">
        <is>
          <t>Passed on test</t>
        </is>
      </c>
      <c r="K49" s="4" t="inlineStr">
        <is>
          <t>Passed on test</t>
        </is>
      </c>
      <c r="L49" s="4" t="inlineStr">
        <is>
          <t>Passed on test</t>
        </is>
      </c>
      <c r="M49" s="4" t="inlineStr">
        <is>
          <t>Passed on test</t>
        </is>
      </c>
      <c r="N49" s="3" t="inlineStr">
        <is>
          <t>NOT_TESTED</t>
        </is>
      </c>
      <c r="O49" s="3" t="inlineStr">
        <is>
          <t>NOT_TESTED</t>
        </is>
      </c>
      <c r="P49" s="3" t="inlineStr">
        <is>
          <t>NOT_TESTED</t>
        </is>
      </c>
      <c r="Q49" s="3" t="inlineStr">
        <is>
          <t>NOT_TESTED</t>
        </is>
      </c>
      <c r="R49" s="3" t="inlineStr">
        <is>
          <t>NOT_TESTED</t>
        </is>
      </c>
      <c r="S49" s="3" t="inlineStr">
        <is>
          <t>NOT_TESTED</t>
        </is>
      </c>
      <c r="T49" s="3" t="inlineStr">
        <is>
          <t>NOT_TESTED</t>
        </is>
      </c>
      <c r="U49" s="3" t="inlineStr">
        <is>
          <t>NOT_TESTED</t>
        </is>
      </c>
      <c r="V49" s="3" t="inlineStr">
        <is>
          <t>NOT_TESTED</t>
        </is>
      </c>
      <c r="W49" s="3" t="inlineStr">
        <is>
          <t>NOT_TESTED</t>
        </is>
      </c>
      <c r="X49" s="3" t="inlineStr">
        <is>
          <t>NOT_TESTED</t>
        </is>
      </c>
      <c r="Y49" s="3" t="inlineStr">
        <is>
          <t>NOT_TESTED</t>
        </is>
      </c>
      <c r="Z49" s="3" t="inlineStr">
        <is>
          <t>NOT_TESTED</t>
        </is>
      </c>
      <c r="AA49" s="3" t="inlineStr">
        <is>
          <t>NOT_TESTED</t>
        </is>
      </c>
      <c r="AB49" s="3" t="inlineStr">
        <is>
          <t>NOT_TESTED</t>
        </is>
      </c>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2" t="n"/>
      <c r="BQ49" s="2" t="n"/>
      <c r="BR49" s="2" t="n"/>
      <c r="BS49" s="2" t="n"/>
      <c r="BT49" s="2" t="n"/>
      <c r="BU49" s="2" t="n"/>
      <c r="BV49" s="2" t="n"/>
      <c r="BW49" s="2" t="n"/>
      <c r="BX49" s="2" t="n"/>
      <c r="BY49" s="2" t="n"/>
      <c r="BZ49" s="2" t="n"/>
      <c r="CA49" s="2" t="n"/>
      <c r="CB49" s="2" t="n"/>
      <c r="CC49" s="2" t="n"/>
      <c r="CD49" s="2" t="n"/>
      <c r="CE49" s="2" t="n"/>
      <c r="CF49" s="2" t="n"/>
      <c r="CG49" s="2" t="n"/>
      <c r="CH49" s="2" t="n"/>
      <c r="CI49" s="2" t="n"/>
      <c r="CJ49" s="2" t="n"/>
      <c r="CK49" s="2" t="n"/>
      <c r="CL49" s="2" t="n"/>
      <c r="CM49" s="2" t="n"/>
      <c r="CN49" s="2" t="n"/>
      <c r="CO49" s="2" t="n"/>
      <c r="CP49" s="2" t="n"/>
      <c r="CQ49" s="2" t="n"/>
      <c r="CR49" s="2" t="n"/>
      <c r="CS49" s="2" t="n"/>
      <c r="CT49" s="2" t="n"/>
      <c r="CU49" s="2" t="n"/>
      <c r="CV49" s="2" t="n"/>
      <c r="CW49" s="2" t="n"/>
      <c r="CX49" s="2" t="n"/>
      <c r="CY49" s="2" t="n"/>
      <c r="CZ49" s="2" t="n"/>
      <c r="DA49" s="2" t="n"/>
      <c r="DB49" s="2" t="n"/>
      <c r="DC49" s="2" t="n"/>
      <c r="DD49" s="2" t="n"/>
      <c r="DE49" s="2" t="n"/>
    </row>
    <row r="50">
      <c r="A50" s="2" t="inlineStr">
        <is>
          <t>issue_775</t>
        </is>
      </c>
      <c r="B50" s="4" t="inlineStr">
        <is>
          <t>Passed on test</t>
        </is>
      </c>
      <c r="C50" s="4" t="inlineStr">
        <is>
          <t>Passed on test</t>
        </is>
      </c>
      <c r="D50" s="4" t="inlineStr">
        <is>
          <t>Passed on test</t>
        </is>
      </c>
      <c r="E50" s="4" t="inlineStr">
        <is>
          <t>Passed on test</t>
        </is>
      </c>
      <c r="F50" s="4" t="inlineStr">
        <is>
          <t>Passed on test</t>
        </is>
      </c>
      <c r="G50" s="4" t="inlineStr">
        <is>
          <t>Passed on test</t>
        </is>
      </c>
      <c r="H50" s="4" t="inlineStr">
        <is>
          <t>Passed on test</t>
        </is>
      </c>
      <c r="I50" s="4" t="inlineStr">
        <is>
          <t>Passed on test</t>
        </is>
      </c>
      <c r="J50" s="4" t="inlineStr">
        <is>
          <t>Passed on test</t>
        </is>
      </c>
      <c r="K50" s="4" t="inlineStr">
        <is>
          <t>Passed on test</t>
        </is>
      </c>
      <c r="L50" s="4" t="inlineStr">
        <is>
          <t>Passed on test</t>
        </is>
      </c>
      <c r="M50" s="4" t="inlineStr">
        <is>
          <t>Passed on test</t>
        </is>
      </c>
      <c r="N50" s="3" t="inlineStr">
        <is>
          <t>NOT_TESTED</t>
        </is>
      </c>
      <c r="O50" s="3" t="inlineStr">
        <is>
          <t>NOT_TESTED</t>
        </is>
      </c>
      <c r="P50" s="3" t="inlineStr">
        <is>
          <t>NOT_TESTED</t>
        </is>
      </c>
      <c r="Q50" s="3" t="inlineStr">
        <is>
          <t>NOT_TESTED</t>
        </is>
      </c>
      <c r="R50" s="3" t="inlineStr">
        <is>
          <t>NOT_TESTED</t>
        </is>
      </c>
      <c r="S50" s="3" t="inlineStr">
        <is>
          <t>NOT_TESTED</t>
        </is>
      </c>
      <c r="T50" s="3" t="inlineStr">
        <is>
          <t>NOT_TESTED</t>
        </is>
      </c>
      <c r="U50" s="3" t="inlineStr">
        <is>
          <t>NOT_TESTED</t>
        </is>
      </c>
      <c r="V50" s="3" t="inlineStr">
        <is>
          <t>NOT_TESTED</t>
        </is>
      </c>
      <c r="W50" s="3" t="inlineStr">
        <is>
          <t>NOT_TESTED</t>
        </is>
      </c>
      <c r="X50" s="3" t="inlineStr">
        <is>
          <t>NOT_TESTED</t>
        </is>
      </c>
      <c r="Y50" s="3" t="inlineStr">
        <is>
          <t>NOT_TESTED</t>
        </is>
      </c>
      <c r="Z50" s="3" t="inlineStr">
        <is>
          <t>NOT_TESTED</t>
        </is>
      </c>
      <c r="AA50" s="3" t="inlineStr">
        <is>
          <t>NOT_TESTED</t>
        </is>
      </c>
      <c r="AB50" s="3" t="inlineStr">
        <is>
          <t>NOT_TESTED</t>
        </is>
      </c>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2" t="n"/>
      <c r="BQ50" s="2" t="n"/>
      <c r="BR50" s="2" t="n"/>
      <c r="BS50" s="2" t="n"/>
      <c r="BT50" s="2" t="n"/>
      <c r="BU50" s="2" t="n"/>
      <c r="BV50" s="2" t="n"/>
      <c r="BW50" s="2" t="n"/>
      <c r="BX50" s="2" t="n"/>
      <c r="BY50" s="2" t="n"/>
      <c r="BZ50" s="2" t="n"/>
      <c r="CA50" s="2" t="n"/>
      <c r="CB50" s="2" t="n"/>
      <c r="CC50" s="2" t="n"/>
      <c r="CD50" s="2" t="n"/>
      <c r="CE50" s="2" t="n"/>
      <c r="CF50" s="2" t="n"/>
      <c r="CG50" s="2" t="n"/>
      <c r="CH50" s="2" t="n"/>
      <c r="CI50" s="2" t="n"/>
      <c r="CJ50" s="2" t="n"/>
      <c r="CK50" s="2" t="n"/>
      <c r="CL50" s="2" t="n"/>
      <c r="CM50" s="2" t="n"/>
      <c r="CN50" s="2" t="n"/>
      <c r="CO50" s="2" t="n"/>
      <c r="CP50" s="2" t="n"/>
      <c r="CQ50" s="2" t="n"/>
      <c r="CR50" s="2" t="n"/>
      <c r="CS50" s="2" t="n"/>
      <c r="CT50" s="2" t="n"/>
      <c r="CU50" s="2" t="n"/>
      <c r="CV50" s="2" t="n"/>
      <c r="CW50" s="2" t="n"/>
      <c r="CX50" s="2" t="n"/>
      <c r="CY50" s="2" t="n"/>
      <c r="CZ50" s="2" t="n"/>
      <c r="DA50" s="2" t="n"/>
      <c r="DB50" s="2" t="n"/>
      <c r="DC50" s="2" t="n"/>
      <c r="DD50" s="2" t="n"/>
      <c r="DE50" s="2" t="n"/>
    </row>
    <row r="51">
      <c r="A51" s="2" t="inlineStr">
        <is>
          <t>issue_795</t>
        </is>
      </c>
      <c r="B51" s="4" t="inlineStr">
        <is>
          <t>Passed on test</t>
        </is>
      </c>
      <c r="C51" s="4" t="inlineStr">
        <is>
          <t>Passed on test</t>
        </is>
      </c>
      <c r="D51" s="4" t="inlineStr">
        <is>
          <t>Passed on test</t>
        </is>
      </c>
      <c r="E51" s="4" t="inlineStr">
        <is>
          <t>Passed on test</t>
        </is>
      </c>
      <c r="F51" s="4" t="inlineStr">
        <is>
          <t>Passed on test</t>
        </is>
      </c>
      <c r="G51" s="4" t="inlineStr">
        <is>
          <t>Passed on test</t>
        </is>
      </c>
      <c r="H51" s="4" t="inlineStr">
        <is>
          <t>Passed on test</t>
        </is>
      </c>
      <c r="I51" s="4" t="inlineStr">
        <is>
          <t>Passed on test</t>
        </is>
      </c>
      <c r="J51" s="4" t="inlineStr">
        <is>
          <t>Passed on test</t>
        </is>
      </c>
      <c r="K51" s="4" t="inlineStr">
        <is>
          <t>Passed on test</t>
        </is>
      </c>
      <c r="L51" s="4" t="inlineStr">
        <is>
          <t>Passed on test</t>
        </is>
      </c>
      <c r="M51" s="4" t="inlineStr">
        <is>
          <t>Passed on test</t>
        </is>
      </c>
      <c r="N51" s="3" t="inlineStr">
        <is>
          <t>NOT_TESTED</t>
        </is>
      </c>
      <c r="O51" s="3" t="inlineStr">
        <is>
          <t>NOT_TESTED</t>
        </is>
      </c>
      <c r="P51" s="3" t="inlineStr">
        <is>
          <t>NOT_TESTED</t>
        </is>
      </c>
      <c r="Q51" s="3" t="inlineStr">
        <is>
          <t>NOT_TESTED</t>
        </is>
      </c>
      <c r="R51" s="3" t="inlineStr">
        <is>
          <t>NOT_TESTED</t>
        </is>
      </c>
      <c r="S51" s="3" t="inlineStr">
        <is>
          <t>NOT_TESTED</t>
        </is>
      </c>
      <c r="T51" s="3" t="inlineStr">
        <is>
          <t>NOT_TESTED</t>
        </is>
      </c>
      <c r="U51" s="3" t="inlineStr">
        <is>
          <t>NOT_TESTED</t>
        </is>
      </c>
      <c r="V51" s="3" t="inlineStr">
        <is>
          <t>NOT_TESTED</t>
        </is>
      </c>
      <c r="W51" s="3" t="inlineStr">
        <is>
          <t>NOT_TESTED</t>
        </is>
      </c>
      <c r="X51" s="3" t="inlineStr">
        <is>
          <t>NOT_TESTED</t>
        </is>
      </c>
      <c r="Y51" s="3" t="inlineStr">
        <is>
          <t>NOT_TESTED</t>
        </is>
      </c>
      <c r="Z51" s="3" t="inlineStr">
        <is>
          <t>NOT_TESTED</t>
        </is>
      </c>
      <c r="AA51" s="3" t="inlineStr">
        <is>
          <t>NOT_TESTED</t>
        </is>
      </c>
      <c r="AB51" s="3" t="inlineStr">
        <is>
          <t>NOT_TESTED</t>
        </is>
      </c>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2" t="n"/>
      <c r="BQ51" s="2" t="n"/>
      <c r="BR51" s="2" t="n"/>
      <c r="BS51" s="2" t="n"/>
      <c r="BT51" s="2" t="n"/>
      <c r="BU51" s="2" t="n"/>
      <c r="BV51" s="2" t="n"/>
      <c r="BW51" s="2" t="n"/>
      <c r="BX51" s="2" t="n"/>
      <c r="BY51" s="2" t="n"/>
      <c r="BZ51" s="2" t="n"/>
      <c r="CA51" s="2" t="n"/>
      <c r="CB51" s="2" t="n"/>
      <c r="CC51" s="2" t="n"/>
      <c r="CD51" s="2" t="n"/>
      <c r="CE51" s="2" t="n"/>
      <c r="CF51" s="2" t="n"/>
      <c r="CG51" s="2" t="n"/>
      <c r="CH51" s="2" t="n"/>
      <c r="CI51" s="2" t="n"/>
      <c r="CJ51" s="2" t="n"/>
      <c r="CK51" s="2" t="n"/>
      <c r="CL51" s="2" t="n"/>
      <c r="CM51" s="2" t="n"/>
      <c r="CN51" s="2" t="n"/>
      <c r="CO51" s="2" t="n"/>
      <c r="CP51" s="2" t="n"/>
      <c r="CQ51" s="2" t="n"/>
      <c r="CR51" s="2" t="n"/>
      <c r="CS51" s="2" t="n"/>
      <c r="CT51" s="2" t="n"/>
      <c r="CU51" s="2" t="n"/>
      <c r="CV51" s="2" t="n"/>
      <c r="CW51" s="2" t="n"/>
      <c r="CX51" s="2" t="n"/>
      <c r="CY51" s="2" t="n"/>
      <c r="CZ51" s="2" t="n"/>
      <c r="DA51" s="2" t="n"/>
      <c r="DB51" s="2" t="n"/>
      <c r="DC51" s="2" t="n"/>
      <c r="DD51" s="2" t="n"/>
      <c r="DE51" s="2" t="n"/>
    </row>
    <row r="52">
      <c r="A52" s="2" t="inlineStr">
        <is>
          <t>issue_803</t>
        </is>
      </c>
      <c r="B52" s="5" t="inlineStr">
        <is>
          <t>Failed on test</t>
        </is>
      </c>
      <c r="C52" s="5" t="inlineStr">
        <is>
          <t>Failed on test</t>
        </is>
      </c>
      <c r="D52" s="5" t="inlineStr">
        <is>
          <t>Failed on test</t>
        </is>
      </c>
      <c r="E52" s="5" t="inlineStr">
        <is>
          <t>Failed on test</t>
        </is>
      </c>
      <c r="F52" s="6" t="inlineStr">
        <is>
          <t>Runtime error</t>
        </is>
      </c>
      <c r="G52" s="6" t="inlineStr">
        <is>
          <t>Runtime error</t>
        </is>
      </c>
      <c r="H52" s="6" t="inlineStr">
        <is>
          <t>Runtime error</t>
        </is>
      </c>
      <c r="I52" s="6" t="inlineStr">
        <is>
          <t>Runtime error</t>
        </is>
      </c>
      <c r="J52" s="6" t="inlineStr">
        <is>
          <t>Runtime error</t>
        </is>
      </c>
      <c r="K52" s="6" t="inlineStr">
        <is>
          <t>Runtime error</t>
        </is>
      </c>
      <c r="L52" s="6" t="inlineStr">
        <is>
          <t>Runtime error</t>
        </is>
      </c>
      <c r="M52" s="6" t="inlineStr">
        <is>
          <t>Runtime error</t>
        </is>
      </c>
      <c r="N52" s="3" t="inlineStr">
        <is>
          <t>NOT_TESTED</t>
        </is>
      </c>
      <c r="O52" s="3" t="inlineStr">
        <is>
          <t>NOT_TESTED</t>
        </is>
      </c>
      <c r="P52" s="3" t="inlineStr">
        <is>
          <t>NOT_TESTED</t>
        </is>
      </c>
      <c r="Q52" s="3" t="inlineStr">
        <is>
          <t>NOT_TESTED</t>
        </is>
      </c>
      <c r="R52" s="3" t="inlineStr">
        <is>
          <t>NOT_TESTED</t>
        </is>
      </c>
      <c r="S52" s="3" t="inlineStr">
        <is>
          <t>NOT_TESTED</t>
        </is>
      </c>
      <c r="T52" s="3" t="inlineStr">
        <is>
          <t>NOT_TESTED</t>
        </is>
      </c>
      <c r="U52" s="3" t="inlineStr">
        <is>
          <t>NOT_TESTED</t>
        </is>
      </c>
      <c r="V52" s="3" t="inlineStr">
        <is>
          <t>NOT_TESTED</t>
        </is>
      </c>
      <c r="W52" s="3" t="inlineStr">
        <is>
          <t>NOT_TESTED</t>
        </is>
      </c>
      <c r="X52" s="3" t="inlineStr">
        <is>
          <t>NOT_TESTED</t>
        </is>
      </c>
      <c r="Y52" s="3" t="inlineStr">
        <is>
          <t>NOT_TESTED</t>
        </is>
      </c>
      <c r="Z52" s="3" t="inlineStr">
        <is>
          <t>NOT_TESTED</t>
        </is>
      </c>
      <c r="AA52" s="3" t="inlineStr">
        <is>
          <t>NOT_TESTED</t>
        </is>
      </c>
      <c r="AB52" s="3" t="inlineStr">
        <is>
          <t>NOT_TESTED</t>
        </is>
      </c>
      <c r="AC52" s="2" t="inlineStr">
        <is>
          <t>AssertionError</t>
        </is>
      </c>
      <c r="AD52" s="2" t="inlineStr">
        <is>
          <t>ValueError: The truth value of an array with more than one element is ambiguous. Use a.any() or a.all(); AssertionError: array([list([55, 45]), list([100]), list([100])], dtype=object) is not an instance of &lt;class 'list'&gt;</t>
        </is>
      </c>
      <c r="AE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AF52" s="2" t="inlineStr">
        <is>
          <t>AssertionError</t>
        </is>
      </c>
      <c r="AG52" s="2" t="inlineStr">
        <is>
          <t>ValueError: The truth value of an array with more than one element is ambiguous. Use a.any() or a.all(); AssertionError: array([list([54, 46]), list([100]), list([100])], dtype=object) is not an instance of &lt;class 'list'&gt;</t>
        </is>
      </c>
      <c r="AH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AI52" s="2" t="inlineStr">
        <is>
          <t>AssertionError</t>
        </is>
      </c>
      <c r="AJ52" s="2" t="inlineStr">
        <is>
          <t>ValueError: The truth value of an array with more than one element is ambiguous. Use a.any() or a.all(); AssertionError: array([list([51, 49]), list([100]), list([100])], dtype=object) is not an instance of &lt;class 'list'&gt;</t>
        </is>
      </c>
      <c r="AK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AL52" s="2" t="inlineStr">
        <is>
          <t>AssertionError</t>
        </is>
      </c>
      <c r="AM52" s="2" t="inlineStr">
        <is>
          <t>ValueError: The truth value of an array with more than one element is ambiguous. Use a.any() or a.all(); AssertionError: array([list([45, 55]), list([100]), list([100])], dtype=object) is not an instance of &lt;class 'list'&gt;</t>
        </is>
      </c>
      <c r="AN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AO52" s="2" t="inlineStr">
        <is>
          <t>ValueError</t>
        </is>
      </c>
      <c r="AP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AQ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AR52" s="2" t="inlineStr">
        <is>
          <t>ValueError</t>
        </is>
      </c>
      <c r="AS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AT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AU52" s="2" t="inlineStr">
        <is>
          <t>ValueError</t>
        </is>
      </c>
      <c r="AV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AW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AX52" s="2" t="inlineStr">
        <is>
          <t>ValueError</t>
        </is>
      </c>
      <c r="AY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AZ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BA52" s="2" t="inlineStr">
        <is>
          <t>ValueError</t>
        </is>
      </c>
      <c r="BB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BC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BD52" s="2" t="inlineStr">
        <is>
          <t>ValueError</t>
        </is>
      </c>
      <c r="BE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BF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BG52" s="2" t="inlineStr">
        <is>
          <t>ValueError</t>
        </is>
      </c>
      <c r="BH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BI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BJ52" s="2" t="inlineStr">
        <is>
          <t>ValueError</t>
        </is>
      </c>
      <c r="BK52" s="2"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BL52" s="2"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BM52" s="2" t="n"/>
      <c r="BN52" s="2" t="n"/>
      <c r="BO52" s="2" t="n"/>
      <c r="BP52" s="2" t="n"/>
      <c r="BQ52" s="2" t="n"/>
      <c r="BR52" s="2" t="n"/>
      <c r="BS52" s="2" t="n"/>
      <c r="BT52" s="2" t="n"/>
      <c r="BU52" s="2" t="n"/>
      <c r="BV52" s="2" t="n"/>
      <c r="BW52" s="2" t="n"/>
      <c r="BX52" s="2" t="n"/>
      <c r="BY52" s="2" t="n"/>
      <c r="BZ52" s="2" t="n"/>
      <c r="CA52" s="2" t="n"/>
      <c r="CB52" s="2" t="n"/>
      <c r="CC52" s="2" t="n"/>
      <c r="CD52" s="2" t="n"/>
      <c r="CE52" s="2" t="n"/>
      <c r="CF52" s="2" t="n"/>
      <c r="CG52" s="2" t="n"/>
      <c r="CH52" s="2" t="n"/>
      <c r="CI52" s="2" t="n"/>
      <c r="CJ52" s="2" t="n"/>
      <c r="CK52" s="2" t="n"/>
      <c r="CL52" s="2" t="n"/>
      <c r="CM52" s="2" t="n"/>
      <c r="CN52" s="2" t="n"/>
      <c r="CO52" s="2" t="n"/>
      <c r="CP52" s="2" t="n"/>
      <c r="CQ52" s="2" t="n"/>
      <c r="CR52" s="2" t="n"/>
      <c r="CS52" s="2" t="n"/>
      <c r="CT52" s="2" t="n"/>
      <c r="CU52" s="2" t="n"/>
      <c r="CV52" s="2" t="n"/>
      <c r="CW52" s="2" t="n"/>
      <c r="CX52" s="2" t="n"/>
      <c r="CY52" s="2" t="n"/>
      <c r="CZ52" s="2" t="n"/>
      <c r="DA52" s="2" t="n"/>
      <c r="DB52" s="2" t="n"/>
      <c r="DC52" s="2" t="n"/>
      <c r="DD52" s="2" t="n"/>
      <c r="DE52" s="2" t="n"/>
    </row>
    <row r="53">
      <c r="A53" s="2" t="inlineStr">
        <is>
          <t>issue_810</t>
        </is>
      </c>
      <c r="B53" s="3" t="inlineStr">
        <is>
          <t>NOT_TESTED</t>
        </is>
      </c>
      <c r="C53" s="3" t="inlineStr">
        <is>
          <t>NOT_TESTED</t>
        </is>
      </c>
      <c r="D53" s="3" t="inlineStr">
        <is>
          <t>NOT_TESTED</t>
        </is>
      </c>
      <c r="E53" s="3" t="inlineStr">
        <is>
          <t>NOT_TESTED</t>
        </is>
      </c>
      <c r="F53" s="3" t="inlineStr">
        <is>
          <t>NOT_TESTED</t>
        </is>
      </c>
      <c r="G53" s="5" t="inlineStr">
        <is>
          <t>Failed on test</t>
        </is>
      </c>
      <c r="H53" s="3" t="inlineStr">
        <is>
          <t>NOT_TESTED</t>
        </is>
      </c>
      <c r="I53" s="3" t="inlineStr">
        <is>
          <t>NOT_TESTED</t>
        </is>
      </c>
      <c r="J53" s="3" t="inlineStr">
        <is>
          <t>NOT_TESTED</t>
        </is>
      </c>
      <c r="K53" s="3" t="inlineStr">
        <is>
          <t>NOT_TESTED</t>
        </is>
      </c>
      <c r="L53" s="5" t="inlineStr">
        <is>
          <t>Failed on test</t>
        </is>
      </c>
      <c r="M53" s="3" t="inlineStr">
        <is>
          <t>NOT_TESTED</t>
        </is>
      </c>
      <c r="N53" s="3" t="inlineStr">
        <is>
          <t>NOT_TESTED</t>
        </is>
      </c>
      <c r="O53" s="3" t="inlineStr">
        <is>
          <t>NOT_TESTED</t>
        </is>
      </c>
      <c r="P53" s="3" t="inlineStr">
        <is>
          <t>NOT_TESTED</t>
        </is>
      </c>
      <c r="Q53" s="3" t="inlineStr">
        <is>
          <t>NOT_TESTED</t>
        </is>
      </c>
      <c r="R53" s="3" t="inlineStr">
        <is>
          <t>NOT_TESTED</t>
        </is>
      </c>
      <c r="S53" s="3" t="inlineStr">
        <is>
          <t>NOT_TESTED</t>
        </is>
      </c>
      <c r="T53" s="3" t="inlineStr">
        <is>
          <t>NOT_TESTED</t>
        </is>
      </c>
      <c r="U53" s="3" t="inlineStr">
        <is>
          <t>NOT_TESTED</t>
        </is>
      </c>
      <c r="V53" s="3" t="inlineStr">
        <is>
          <t>NOT_TESTED</t>
        </is>
      </c>
      <c r="W53" s="3" t="inlineStr">
        <is>
          <t>NOT_TESTED</t>
        </is>
      </c>
      <c r="X53" s="3" t="inlineStr">
        <is>
          <t>NOT_TESTED</t>
        </is>
      </c>
      <c r="Y53" s="3" t="inlineStr">
        <is>
          <t>NOT_TESTED</t>
        </is>
      </c>
      <c r="Z53" s="3" t="inlineStr">
        <is>
          <t>NOT_TESTED</t>
        </is>
      </c>
      <c r="AA53" s="3" t="inlineStr">
        <is>
          <t>NOT_TESTED</t>
        </is>
      </c>
      <c r="AB53" s="3" t="inlineStr">
        <is>
          <t>NOT_TESTED</t>
        </is>
      </c>
      <c r="AC53" s="2" t="n"/>
      <c r="AD53" s="2" t="n"/>
      <c r="AE53" s="2" t="n"/>
      <c r="AF53" s="2" t="n"/>
      <c r="AG53" s="2" t="n"/>
      <c r="AH53" s="2" t="n"/>
      <c r="AI53" s="2" t="n"/>
      <c r="AJ53" s="2" t="n"/>
      <c r="AK53" s="2" t="n"/>
      <c r="AL53" s="2" t="n"/>
      <c r="AM53" s="2" t="n"/>
      <c r="AN53" s="2" t="n"/>
      <c r="AO53" s="2" t="n"/>
      <c r="AP53" s="2" t="n"/>
      <c r="AQ53" s="2" t="n"/>
      <c r="AR53" s="2" t="inlineStr">
        <is>
          <t>AssertionError</t>
        </is>
      </c>
      <c r="AS53" s="2" t="inlineStr">
        <is>
          <t>AssertionError: [] is not true : no raw counts dictionary</t>
        </is>
      </c>
      <c r="AT53" s="2" t="inlineStr">
        <is>
          <t>The LLM enabled memory=True and returned the per-shot list job.result().get_memory(circuit) instead of a counts dictionary; the updated test, which accepts any variable name and shot count, finds no raw counts dictionary. Both luna models used get_counts() and passed.</t>
        </is>
      </c>
      <c r="AU53" s="2" t="n"/>
      <c r="AV53" s="2" t="n"/>
      <c r="AW53" s="2" t="n"/>
      <c r="AX53" s="2" t="n"/>
      <c r="AY53" s="2" t="n"/>
      <c r="AZ53" s="2" t="n"/>
      <c r="BA53" s="2" t="n"/>
      <c r="BB53" s="2" t="n"/>
      <c r="BC53" s="2" t="n"/>
      <c r="BD53" s="2" t="n"/>
      <c r="BE53" s="2" t="n"/>
      <c r="BF53" s="2" t="n"/>
      <c r="BG53" s="2" t="inlineStr">
        <is>
          <t>AssertionError</t>
        </is>
      </c>
      <c r="BH53" s="2" t="inlineStr">
        <is>
          <t>AssertionError: [] is not true : no raw counts dictionary</t>
        </is>
      </c>
      <c r="BI53" s="2" t="inlineStr">
        <is>
          <t>The LLM enabled memory=True and returned the per-shot list job.result().get_memory(circuit) instead of a counts dictionary; the updated test, which accepts any variable name and shot count, finds no raw counts dictionary. Both luna models used get_counts() and passed.</t>
        </is>
      </c>
      <c r="BJ53" s="2" t="n"/>
      <c r="BK53" s="2" t="n"/>
      <c r="BL53" s="2" t="n"/>
      <c r="BM53" s="2" t="n"/>
      <c r="BN53" s="2" t="n"/>
      <c r="BO53" s="2" t="n"/>
      <c r="BP53" s="2" t="n"/>
      <c r="BQ53" s="2" t="n"/>
      <c r="BR53" s="2" t="n"/>
      <c r="BS53" s="2" t="n"/>
      <c r="BT53" s="2" t="n"/>
      <c r="BU53" s="2" t="n"/>
      <c r="BV53" s="2" t="n"/>
      <c r="BW53" s="2" t="n"/>
      <c r="BX53" s="2" t="n"/>
      <c r="BY53" s="2" t="n"/>
      <c r="BZ53" s="2" t="n"/>
      <c r="CA53" s="2" t="n"/>
      <c r="CB53" s="2" t="n"/>
      <c r="CC53" s="2" t="n"/>
      <c r="CD53" s="2" t="n"/>
      <c r="CE53" s="2" t="n"/>
      <c r="CF53" s="2" t="n"/>
      <c r="CG53" s="2" t="n"/>
      <c r="CH53" s="2" t="n"/>
      <c r="CI53" s="2" t="n"/>
      <c r="CJ53" s="2" t="n"/>
      <c r="CK53" s="2" t="n"/>
      <c r="CL53" s="2" t="n"/>
      <c r="CM53" s="2" t="n"/>
      <c r="CN53" s="2" t="n"/>
      <c r="CO53" s="2" t="n"/>
      <c r="CP53" s="2" t="n"/>
      <c r="CQ53" s="2" t="n"/>
      <c r="CR53" s="2" t="n"/>
      <c r="CS53" s="2" t="n"/>
      <c r="CT53" s="2" t="n"/>
      <c r="CU53" s="2" t="n"/>
      <c r="CV53" s="2" t="n"/>
      <c r="CW53" s="2" t="n"/>
      <c r="CX53" s="2" t="n"/>
      <c r="CY53" s="2" t="n"/>
      <c r="CZ53" s="2" t="n"/>
      <c r="DA53" s="2" t="n"/>
      <c r="DB53" s="2" t="n"/>
      <c r="DC53" s="2" t="n"/>
      <c r="DD53" s="2" t="n"/>
      <c r="DE53" s="2" t="n"/>
    </row>
    <row r="54">
      <c r="A54" s="2" t="inlineStr">
        <is>
          <t>issue_816</t>
        </is>
      </c>
      <c r="B54" s="3" t="inlineStr">
        <is>
          <t>NOT_TESTED</t>
        </is>
      </c>
      <c r="C54" s="3" t="inlineStr">
        <is>
          <t>NOT_TESTED</t>
        </is>
      </c>
      <c r="D54" s="3" t="inlineStr">
        <is>
          <t>NOT_TESTED</t>
        </is>
      </c>
      <c r="E54" s="3" t="inlineStr">
        <is>
          <t>NOT_TESTED</t>
        </is>
      </c>
      <c r="F54" s="4" t="inlineStr">
        <is>
          <t>Passed on test</t>
        </is>
      </c>
      <c r="G54" s="4" t="inlineStr">
        <is>
          <t>Passed on test</t>
        </is>
      </c>
      <c r="H54" s="4" t="inlineStr">
        <is>
          <t>Passed on test</t>
        </is>
      </c>
      <c r="I54" s="4" t="inlineStr">
        <is>
          <t>Passed on test</t>
        </is>
      </c>
      <c r="J54" s="4" t="inlineStr">
        <is>
          <t>Passed on test</t>
        </is>
      </c>
      <c r="K54" s="4" t="inlineStr">
        <is>
          <t>Passed on test</t>
        </is>
      </c>
      <c r="L54" s="4" t="inlineStr">
        <is>
          <t>Passed on test</t>
        </is>
      </c>
      <c r="M54" s="4" t="inlineStr">
        <is>
          <t>Passed on test</t>
        </is>
      </c>
      <c r="N54" s="4" t="inlineStr">
        <is>
          <t>Passed on test</t>
        </is>
      </c>
      <c r="O54" s="4" t="inlineStr">
        <is>
          <t>Passed on test</t>
        </is>
      </c>
      <c r="P54" s="4" t="inlineStr">
        <is>
          <t>Passed on test</t>
        </is>
      </c>
      <c r="Q54" s="4" t="inlineStr">
        <is>
          <t>Passed on test</t>
        </is>
      </c>
      <c r="R54" s="4" t="inlineStr">
        <is>
          <t>Passed on test</t>
        </is>
      </c>
      <c r="S54" s="4" t="inlineStr">
        <is>
          <t>Passed on test</t>
        </is>
      </c>
      <c r="T54" s="4" t="inlineStr">
        <is>
          <t>Passed on test</t>
        </is>
      </c>
      <c r="U54" s="4" t="inlineStr">
        <is>
          <t>Passed on test</t>
        </is>
      </c>
      <c r="V54" s="4" t="inlineStr">
        <is>
          <t>Passed on test</t>
        </is>
      </c>
      <c r="W54" s="4" t="inlineStr">
        <is>
          <t>Passed on test</t>
        </is>
      </c>
      <c r="X54" s="4" t="inlineStr">
        <is>
          <t>Passed on test</t>
        </is>
      </c>
      <c r="Y54" s="4" t="inlineStr">
        <is>
          <t>Passed on test</t>
        </is>
      </c>
      <c r="Z54" s="4" t="inlineStr">
        <is>
          <t>Passed on test</t>
        </is>
      </c>
      <c r="AA54" s="4" t="inlineStr">
        <is>
          <t>Passed on test</t>
        </is>
      </c>
      <c r="AB54" s="4" t="inlineStr">
        <is>
          <t>Passed on test</t>
        </is>
      </c>
      <c r="AC54" s="2" t="n"/>
      <c r="AD54" s="2" t="n"/>
      <c r="AE54" s="2" t="n"/>
      <c r="AF54" s="2" t="n"/>
      <c r="AG54" s="2" t="n"/>
      <c r="AH54" s="2" t="n"/>
      <c r="AI54" s="2" t="n"/>
      <c r="AJ54" s="2" t="n"/>
      <c r="AK54" s="2" t="n"/>
      <c r="AL54" s="2" t="n"/>
      <c r="AM54" s="2" t="n"/>
      <c r="AN54" s="2" t="n"/>
      <c r="AO54" s="2" t="n"/>
      <c r="AP54" s="2" t="n"/>
      <c r="AQ54" s="2" t="n"/>
      <c r="AR54" s="2" t="n"/>
      <c r="AS54" s="2" t="n"/>
      <c r="AT54" s="2" t="n"/>
      <c r="AU54" s="2" t="n"/>
      <c r="AV54" s="2" t="n"/>
      <c r="AW54" s="2" t="n"/>
      <c r="AX54" s="2" t="n"/>
      <c r="AY54" s="2" t="n"/>
      <c r="AZ54" s="2" t="n"/>
      <c r="BA54" s="2" t="n"/>
      <c r="BB54" s="2" t="n"/>
      <c r="BC54" s="2" t="n"/>
      <c r="BD54" s="2" t="n"/>
      <c r="BE54" s="2" t="n"/>
      <c r="BF54" s="2" t="n"/>
      <c r="BG54" s="2" t="n"/>
      <c r="BH54" s="2" t="n"/>
      <c r="BI54" s="2" t="n"/>
      <c r="BJ54" s="2" t="n"/>
      <c r="BK54" s="2" t="n"/>
      <c r="BL54" s="2" t="n"/>
      <c r="BM54" s="2" t="n"/>
      <c r="BN54" s="2" t="n"/>
      <c r="BO54" s="2" t="n"/>
      <c r="BP54" s="2" t="n"/>
      <c r="BQ54" s="2" t="n"/>
      <c r="BR54" s="2" t="n"/>
      <c r="BS54" s="2" t="n"/>
      <c r="BT54" s="2" t="n"/>
      <c r="BU54" s="2" t="n"/>
      <c r="BV54" s="2" t="n"/>
      <c r="BW54" s="2" t="n"/>
      <c r="BX54" s="2" t="n"/>
      <c r="BY54" s="2" t="n"/>
      <c r="BZ54" s="2" t="n"/>
      <c r="CA54" s="2" t="n"/>
      <c r="CB54" s="2" t="n"/>
      <c r="CC54" s="2" t="n"/>
      <c r="CD54" s="2" t="n"/>
      <c r="CE54" s="2" t="n"/>
      <c r="CF54" s="2" t="n"/>
      <c r="CG54" s="2" t="n"/>
      <c r="CH54" s="2" t="n"/>
      <c r="CI54" s="2" t="n"/>
      <c r="CJ54" s="2" t="n"/>
      <c r="CK54" s="2" t="n"/>
      <c r="CL54" s="2" t="n"/>
      <c r="CM54" s="2" t="n"/>
      <c r="CN54" s="2" t="n"/>
      <c r="CO54" s="2" t="n"/>
      <c r="CP54" s="2" t="n"/>
      <c r="CQ54" s="2" t="n"/>
      <c r="CR54" s="2" t="n"/>
      <c r="CS54" s="2" t="n"/>
      <c r="CT54" s="2" t="n"/>
      <c r="CU54" s="2" t="n"/>
      <c r="CV54" s="2" t="n"/>
      <c r="CW54" s="2" t="n"/>
      <c r="CX54" s="2" t="n"/>
      <c r="CY54" s="2" t="n"/>
      <c r="CZ54" s="2" t="n"/>
      <c r="DA54" s="2" t="n"/>
      <c r="DB54" s="2" t="n"/>
      <c r="DC54" s="2" t="n"/>
      <c r="DD54" s="2" t="n"/>
      <c r="DE54" s="2" t="n"/>
    </row>
    <row r="55">
      <c r="A55" s="2" t="inlineStr">
        <is>
          <t>issue_876</t>
        </is>
      </c>
      <c r="B55" s="3" t="inlineStr">
        <is>
          <t>NOT_TESTED</t>
        </is>
      </c>
      <c r="C55" s="3" t="inlineStr">
        <is>
          <t>NOT_TESTED</t>
        </is>
      </c>
      <c r="D55" s="3" t="inlineStr">
        <is>
          <t>NOT_TESTED</t>
        </is>
      </c>
      <c r="E55" s="3" t="inlineStr">
        <is>
          <t>NOT_TESTED</t>
        </is>
      </c>
      <c r="F55" s="3" t="inlineStr">
        <is>
          <t>NOT_TESTED</t>
        </is>
      </c>
      <c r="G55" s="3" t="inlineStr">
        <is>
          <t>NOT_TESTED</t>
        </is>
      </c>
      <c r="H55" s="3" t="inlineStr">
        <is>
          <t>NOT_TESTED</t>
        </is>
      </c>
      <c r="I55" s="3" t="inlineStr">
        <is>
          <t>NOT_TESTED</t>
        </is>
      </c>
      <c r="J55" s="3" t="inlineStr">
        <is>
          <t>NOT_TESTED</t>
        </is>
      </c>
      <c r="K55" s="3" t="inlineStr">
        <is>
          <t>NOT_TESTED</t>
        </is>
      </c>
      <c r="L55" s="3" t="inlineStr">
        <is>
          <t>NOT_TESTED</t>
        </is>
      </c>
      <c r="M55" s="3" t="inlineStr">
        <is>
          <t>NOT_TESTED</t>
        </is>
      </c>
      <c r="N55" s="6" t="inlineStr">
        <is>
          <t>Runtime error</t>
        </is>
      </c>
      <c r="O55" s="6" t="inlineStr">
        <is>
          <t>Runtime error</t>
        </is>
      </c>
      <c r="P55" s="6" t="inlineStr">
        <is>
          <t>Runtime error</t>
        </is>
      </c>
      <c r="Q55" s="6" t="inlineStr">
        <is>
          <t>Runtime error</t>
        </is>
      </c>
      <c r="R55" s="6" t="inlineStr">
        <is>
          <t>Runtime error</t>
        </is>
      </c>
      <c r="S55" s="6" t="inlineStr">
        <is>
          <t>Runtime error</t>
        </is>
      </c>
      <c r="T55" s="6" t="inlineStr">
        <is>
          <t>Runtime error</t>
        </is>
      </c>
      <c r="U55" s="6" t="inlineStr">
        <is>
          <t>Runtime error</t>
        </is>
      </c>
      <c r="V55" s="6" t="inlineStr">
        <is>
          <t>Runtime error</t>
        </is>
      </c>
      <c r="W55" s="6" t="inlineStr">
        <is>
          <t>Runtime error</t>
        </is>
      </c>
      <c r="X55" s="6" t="inlineStr">
        <is>
          <t>Runtime error</t>
        </is>
      </c>
      <c r="Y55" s="6" t="inlineStr">
        <is>
          <t>Runtime error</t>
        </is>
      </c>
      <c r="Z55" s="6" t="inlineStr">
        <is>
          <t>Runtime error</t>
        </is>
      </c>
      <c r="AA55" s="6" t="inlineStr">
        <is>
          <t>Runtime error</t>
        </is>
      </c>
      <c r="AB55" s="6" t="inlineStr">
        <is>
          <t>Runtime error</t>
        </is>
      </c>
      <c r="AC55" s="2" t="n"/>
      <c r="AD55" s="2" t="n"/>
      <c r="AE55" s="2" t="n"/>
      <c r="AF55" s="2" t="n"/>
      <c r="AG55" s="2" t="n"/>
      <c r="AH55" s="2" t="n"/>
      <c r="AI55" s="2" t="n"/>
      <c r="AJ55" s="2" t="n"/>
      <c r="AK55" s="2" t="n"/>
      <c r="AL55" s="2" t="n"/>
      <c r="AM55" s="2" t="n"/>
      <c r="AN55" s="2" t="n"/>
      <c r="AO55" s="2" t="n"/>
      <c r="AP55" s="2" t="n"/>
      <c r="AQ55" s="2" t="n"/>
      <c r="AR55" s="2" t="n"/>
      <c r="AS55" s="2" t="n"/>
      <c r="AT55" s="2" t="n"/>
      <c r="AU55" s="2" t="n"/>
      <c r="AV55" s="2" t="n"/>
      <c r="AW55" s="2" t="n"/>
      <c r="AX55" s="2" t="n"/>
      <c r="AY55" s="2" t="n"/>
      <c r="AZ55" s="2" t="n"/>
      <c r="BA55" s="2" t="n"/>
      <c r="BB55" s="2" t="n"/>
      <c r="BC55" s="2" t="n"/>
      <c r="BD55" s="2" t="n"/>
      <c r="BE55" s="2" t="n"/>
      <c r="BF55" s="2" t="n"/>
      <c r="BG55" s="2" t="n"/>
      <c r="BH55" s="2" t="n"/>
      <c r="BI55" s="2" t="n"/>
      <c r="BJ55" s="2" t="n"/>
      <c r="BK55" s="2" t="n"/>
      <c r="BL55" s="2" t="n"/>
      <c r="BM55" s="2" t="inlineStr">
        <is>
          <t>KeyError</t>
        </is>
      </c>
      <c r="BN55" s="2" t="inlineStr">
        <is>
          <t>KeyError: 'rho_real'</t>
        </is>
      </c>
      <c r="BO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BP55" s="2" t="inlineStr">
        <is>
          <t>KeyError</t>
        </is>
      </c>
      <c r="BQ55" s="2" t="inlineStr">
        <is>
          <t>KeyError: 'rho_real'</t>
        </is>
      </c>
      <c r="BR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BS55" s="2" t="inlineStr">
        <is>
          <t>KeyError</t>
        </is>
      </c>
      <c r="BT55" s="2" t="inlineStr">
        <is>
          <t>KeyError: 'rho_real'</t>
        </is>
      </c>
      <c r="BU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BV55" s="2" t="inlineStr">
        <is>
          <t>KeyError</t>
        </is>
      </c>
      <c r="BW55" s="2" t="inlineStr">
        <is>
          <t>KeyError: 'rho_real'</t>
        </is>
      </c>
      <c r="BX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BY55" s="2" t="inlineStr">
        <is>
          <t>KeyError</t>
        </is>
      </c>
      <c r="BZ55" s="2" t="inlineStr">
        <is>
          <t>KeyError: 'rho_real'</t>
        </is>
      </c>
      <c r="CA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CB55" s="2" t="inlineStr">
        <is>
          <t>KeyError</t>
        </is>
      </c>
      <c r="CC55" s="2" t="inlineStr">
        <is>
          <t>KeyError: 'rho_real'</t>
        </is>
      </c>
      <c r="CD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CE55" s="2" t="inlineStr">
        <is>
          <t>KeyError</t>
        </is>
      </c>
      <c r="CF55" s="2" t="inlineStr">
        <is>
          <t>KeyError: 'rho_real'</t>
        </is>
      </c>
      <c r="CG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CH55" s="2" t="inlineStr">
        <is>
          <t>KeyError</t>
        </is>
      </c>
      <c r="CI55" s="2" t="inlineStr">
        <is>
          <t>KeyError: 'rho_real'</t>
        </is>
      </c>
      <c r="CJ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CK55" s="2" t="inlineStr">
        <is>
          <t>KeyError</t>
        </is>
      </c>
      <c r="CL55" s="2" t="inlineStr">
        <is>
          <t>KeyError: 'rho_real'</t>
        </is>
      </c>
      <c r="CM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CN55" s="2" t="inlineStr">
        <is>
          <t>KeyError</t>
        </is>
      </c>
      <c r="CO55" s="2" t="inlineStr">
        <is>
          <t>KeyError: 'rho_real'</t>
        </is>
      </c>
      <c r="CP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CQ55" s="2" t="inlineStr">
        <is>
          <t>KeyError</t>
        </is>
      </c>
      <c r="CR55" s="2" t="inlineStr">
        <is>
          <t>KeyError: 'rho_real'</t>
        </is>
      </c>
      <c r="CS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CT55" s="2" t="inlineStr">
        <is>
          <t>KeyError</t>
        </is>
      </c>
      <c r="CU55" s="2" t="inlineStr">
        <is>
          <t>KeyError: 'rho_real'</t>
        </is>
      </c>
      <c r="CV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CW55" s="2" t="inlineStr">
        <is>
          <t>KeyError</t>
        </is>
      </c>
      <c r="CX55" s="2" t="inlineStr">
        <is>
          <t>KeyError: 'rho_real'</t>
        </is>
      </c>
      <c r="CY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CZ55" s="2" t="inlineStr">
        <is>
          <t>KeyError</t>
        </is>
      </c>
      <c r="DA55" s="2" t="inlineStr">
        <is>
          <t>KeyError: 'rho_real'</t>
        </is>
      </c>
      <c r="DB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DC55" s="2" t="inlineStr">
        <is>
          <t>KeyError</t>
        </is>
      </c>
      <c r="DD55" s="2" t="inlineStr">
        <is>
          <t>KeyError: 'rho_real'</t>
        </is>
      </c>
      <c r="DE55" s="2"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row>
    <row r="56">
      <c r="A56" s="2" t="inlineStr">
        <is>
          <t>issue_877</t>
        </is>
      </c>
      <c r="B56" s="3" t="inlineStr">
        <is>
          <t>NOT_TESTED</t>
        </is>
      </c>
      <c r="C56" s="3" t="inlineStr">
        <is>
          <t>NOT_TESTED</t>
        </is>
      </c>
      <c r="D56" s="3" t="inlineStr">
        <is>
          <t>NOT_TESTED</t>
        </is>
      </c>
      <c r="E56" s="3" t="inlineStr">
        <is>
          <t>NOT_TESTED</t>
        </is>
      </c>
      <c r="F56" s="6" t="inlineStr">
        <is>
          <t>Runtime error</t>
        </is>
      </c>
      <c r="G56" s="6" t="inlineStr">
        <is>
          <t>Runtime error</t>
        </is>
      </c>
      <c r="H56" s="6" t="inlineStr">
        <is>
          <t>Runtime error</t>
        </is>
      </c>
      <c r="I56" s="6" t="inlineStr">
        <is>
          <t>Runtime error</t>
        </is>
      </c>
      <c r="J56" s="6" t="inlineStr">
        <is>
          <t>Runtime error</t>
        </is>
      </c>
      <c r="K56" s="6" t="inlineStr">
        <is>
          <t>Runtime error</t>
        </is>
      </c>
      <c r="L56" s="6" t="inlineStr">
        <is>
          <t>Runtime error</t>
        </is>
      </c>
      <c r="M56" s="6" t="inlineStr">
        <is>
          <t>Runtime error</t>
        </is>
      </c>
      <c r="N56" s="3" t="inlineStr">
        <is>
          <t>NOT_TESTED</t>
        </is>
      </c>
      <c r="O56" s="3" t="inlineStr">
        <is>
          <t>NOT_TESTED</t>
        </is>
      </c>
      <c r="P56" s="3" t="inlineStr">
        <is>
          <t>NOT_TESTED</t>
        </is>
      </c>
      <c r="Q56" s="3" t="inlineStr">
        <is>
          <t>NOT_TESTED</t>
        </is>
      </c>
      <c r="R56" s="3" t="inlineStr">
        <is>
          <t>NOT_TESTED</t>
        </is>
      </c>
      <c r="S56" s="3" t="inlineStr">
        <is>
          <t>NOT_TESTED</t>
        </is>
      </c>
      <c r="T56" s="3" t="inlineStr">
        <is>
          <t>NOT_TESTED</t>
        </is>
      </c>
      <c r="U56" s="3" t="inlineStr">
        <is>
          <t>NOT_TESTED</t>
        </is>
      </c>
      <c r="V56" s="3" t="inlineStr">
        <is>
          <t>NOT_TESTED</t>
        </is>
      </c>
      <c r="W56" s="3" t="inlineStr">
        <is>
          <t>NOT_TESTED</t>
        </is>
      </c>
      <c r="X56" s="3" t="inlineStr">
        <is>
          <t>NOT_TESTED</t>
        </is>
      </c>
      <c r="Y56" s="3" t="inlineStr">
        <is>
          <t>NOT_TESTED</t>
        </is>
      </c>
      <c r="Z56" s="3" t="inlineStr">
        <is>
          <t>NOT_TESTED</t>
        </is>
      </c>
      <c r="AA56" s="3" t="inlineStr">
        <is>
          <t>NOT_TESTED</t>
        </is>
      </c>
      <c r="AB56" s="3" t="inlineStr">
        <is>
          <t>NOT_TESTED</t>
        </is>
      </c>
      <c r="AC56" s="2" t="n"/>
      <c r="AD56" s="2" t="n"/>
      <c r="AE56" s="2" t="n"/>
      <c r="AF56" s="2" t="n"/>
      <c r="AG56" s="2" t="n"/>
      <c r="AH56" s="2" t="n"/>
      <c r="AI56" s="2" t="n"/>
      <c r="AJ56" s="2" t="n"/>
      <c r="AK56" s="2" t="n"/>
      <c r="AL56" s="2" t="n"/>
      <c r="AM56" s="2" t="n"/>
      <c r="AN56" s="2" t="n"/>
      <c r="AO56" s="2" t="inlineStr">
        <is>
          <t>ModuleNotFoundError</t>
        </is>
      </c>
      <c r="AP56" s="2" t="inlineStr">
        <is>
          <t>ModuleNotFoundError: No module named 'qiskit_ibm_runtime'</t>
        </is>
      </c>
      <c r="AQ56" s="2" t="inlineStr">
        <is>
          <t>The LLM defined the missing backend as FakeWashingtonV2 from qiskit_ibm_runtime.fake_provider, but qiskit_ibm_runtime isn't installed for Qiskit 0.45 / 0.46 (ModuleNotFoundError). gpt-6-luna used the bundled FakeMontreal snapshot and passed.</t>
        </is>
      </c>
      <c r="AR56" s="2" t="inlineStr">
        <is>
          <t>ModuleNotFoundError</t>
        </is>
      </c>
      <c r="AS56" s="2" t="inlineStr">
        <is>
          <t>ModuleNotFoundError: No module named 'qiskit_ibm_runtime'</t>
        </is>
      </c>
      <c r="AT56" s="2" t="inlineStr">
        <is>
          <t>The LLM defined the missing backend as FakeWashingtonV2 from qiskit_ibm_runtime.fake_provider, but qiskit_ibm_runtime isn't installed for Qiskit 0.45 / 0.46 (ModuleNotFoundError). gpt-6-luna used the bundled FakeMontreal snapshot and passed.</t>
        </is>
      </c>
      <c r="AU56" s="2" t="inlineStr">
        <is>
          <t>ModuleNotFoundError</t>
        </is>
      </c>
      <c r="AV56" s="2" t="inlineStr">
        <is>
          <t>ModuleNotFoundError: No module named 'qiskit_ibm_runtime'</t>
        </is>
      </c>
      <c r="AW56" s="2" t="inlineStr">
        <is>
          <t>The LLM defined the missing backend as FakeWashingtonV2 from qiskit_ibm_runtime.fake_provider, but qiskit_ibm_runtime isn't installed for Qiskit 0.45 / 0.46 (ModuleNotFoundError). gpt-6-luna used the bundled FakeMontreal snapshot and passed.</t>
        </is>
      </c>
      <c r="AX56" s="2" t="inlineStr">
        <is>
          <t>ModuleNotFoundError</t>
        </is>
      </c>
      <c r="AY56" s="2" t="inlineStr">
        <is>
          <t>ModuleNotFoundError: No module named 'qiskit_ibm_runtime'</t>
        </is>
      </c>
      <c r="AZ56" s="2" t="inlineStr">
        <is>
          <t>The LLM defined the missing backend as FakeWashingtonV2 from qiskit_ibm_runtime.fake_provider, but qiskit_ibm_runtime isn't installed for Qiskit 0.45 / 0.46 (ModuleNotFoundError). gpt-6-luna used the bundled FakeMontreal snapshot and passed.</t>
        </is>
      </c>
      <c r="BA56" s="2" t="inlineStr">
        <is>
          <t>ModuleNotFoundError</t>
        </is>
      </c>
      <c r="BB56" s="2" t="inlineStr">
        <is>
          <t>ModuleNotFoundError: No module named 'qiskit_ibm_runtime'</t>
        </is>
      </c>
      <c r="BC56" s="2" t="inlineStr">
        <is>
          <t>The LLM defined the missing backend as FakeWashingtonV2 from qiskit_ibm_runtime.fake_provider, but qiskit_ibm_runtime isn't installed for Qiskit 0.45 / 0.46 (ModuleNotFoundError). gpt-6-luna used the bundled FakeMontreal snapshot and passed.</t>
        </is>
      </c>
      <c r="BD56" s="2" t="inlineStr">
        <is>
          <t>ModuleNotFoundError</t>
        </is>
      </c>
      <c r="BE56" s="2" t="inlineStr">
        <is>
          <t>ModuleNotFoundError: No module named 'qiskit_ibm_runtime'</t>
        </is>
      </c>
      <c r="BF56" s="2" t="inlineStr">
        <is>
          <t>The LLM defined the missing backend as FakeWashingtonV2 from qiskit_ibm_runtime.fake_provider, but qiskit_ibm_runtime isn't installed for Qiskit 0.45 / 0.46 (ModuleNotFoundError). gpt-6-luna used the bundled FakeMontreal snapshot and passed.</t>
        </is>
      </c>
      <c r="BG56" s="2" t="inlineStr">
        <is>
          <t>ModuleNotFoundError</t>
        </is>
      </c>
      <c r="BH56" s="2" t="inlineStr">
        <is>
          <t>ModuleNotFoundError: No module named 'qiskit_ibm_runtime'</t>
        </is>
      </c>
      <c r="BI56" s="2" t="inlineStr">
        <is>
          <t>The LLM defined the missing backend as FakeWashingtonV2 from qiskit_ibm_runtime.fake_provider, but qiskit_ibm_runtime isn't installed for Qiskit 0.45 / 0.46 (ModuleNotFoundError). gpt-6-luna used the bundled FakeMontreal snapshot and passed.</t>
        </is>
      </c>
      <c r="BJ56" s="2" t="inlineStr">
        <is>
          <t>ModuleNotFoundError</t>
        </is>
      </c>
      <c r="BK56" s="2" t="inlineStr">
        <is>
          <t>ModuleNotFoundError: No module named 'qiskit_ibm_runtime'</t>
        </is>
      </c>
      <c r="BL56" s="2" t="inlineStr">
        <is>
          <t>The LLM defined the missing backend as FakeWashingtonV2 from qiskit_ibm_runtime.fake_provider, but qiskit_ibm_runtime isn't installed for Qiskit 0.45 / 0.46 (ModuleNotFoundError). gpt-6-luna used the bundled FakeMontreal snapshot and passed.</t>
        </is>
      </c>
      <c r="BM56" s="2" t="n"/>
      <c r="BN56" s="2" t="n"/>
      <c r="BO56" s="2" t="n"/>
      <c r="BP56" s="2" t="n"/>
      <c r="BQ56" s="2" t="n"/>
      <c r="BR56" s="2" t="n"/>
      <c r="BS56" s="2" t="n"/>
      <c r="BT56" s="2" t="n"/>
      <c r="BU56" s="2" t="n"/>
      <c r="BV56" s="2" t="n"/>
      <c r="BW56" s="2" t="n"/>
      <c r="BX56" s="2" t="n"/>
      <c r="BY56" s="2" t="n"/>
      <c r="BZ56" s="2" t="n"/>
      <c r="CA56" s="2" t="n"/>
      <c r="CB56" s="2" t="n"/>
      <c r="CC56" s="2" t="n"/>
      <c r="CD56" s="2" t="n"/>
      <c r="CE56" s="2" t="n"/>
      <c r="CF56" s="2" t="n"/>
      <c r="CG56" s="2" t="n"/>
      <c r="CH56" s="2" t="n"/>
      <c r="CI56" s="2" t="n"/>
      <c r="CJ56" s="2" t="n"/>
      <c r="CK56" s="2" t="n"/>
      <c r="CL56" s="2" t="n"/>
      <c r="CM56" s="2" t="n"/>
      <c r="CN56" s="2" t="n"/>
      <c r="CO56" s="2" t="n"/>
      <c r="CP56" s="2" t="n"/>
      <c r="CQ56" s="2" t="n"/>
      <c r="CR56" s="2" t="n"/>
      <c r="CS56" s="2" t="n"/>
      <c r="CT56" s="2" t="n"/>
      <c r="CU56" s="2" t="n"/>
      <c r="CV56" s="2" t="n"/>
      <c r="CW56" s="2" t="n"/>
      <c r="CX56" s="2" t="n"/>
      <c r="CY56" s="2" t="n"/>
      <c r="CZ56" s="2" t="n"/>
      <c r="DA56" s="2" t="n"/>
      <c r="DB56" s="2" t="n"/>
      <c r="DC56" s="2" t="n"/>
      <c r="DD56" s="2" t="n"/>
      <c r="DE56" s="2" t="n"/>
    </row>
    <row r="57">
      <c r="A57" s="2" t="inlineStr">
        <is>
          <t>issue_886</t>
        </is>
      </c>
      <c r="B57" s="3" t="inlineStr">
        <is>
          <t>NOT_TESTED</t>
        </is>
      </c>
      <c r="C57" s="3" t="inlineStr">
        <is>
          <t>NOT_TESTED</t>
        </is>
      </c>
      <c r="D57" s="3" t="inlineStr">
        <is>
          <t>NOT_TESTED</t>
        </is>
      </c>
      <c r="E57" s="3" t="inlineStr">
        <is>
          <t>NOT_TESTED</t>
        </is>
      </c>
      <c r="F57" s="4" t="inlineStr">
        <is>
          <t>Passed on test</t>
        </is>
      </c>
      <c r="G57" s="4" t="inlineStr">
        <is>
          <t>Passed on test</t>
        </is>
      </c>
      <c r="H57" s="3" t="inlineStr">
        <is>
          <t>NOT_TESTED</t>
        </is>
      </c>
      <c r="I57" s="3" t="inlineStr">
        <is>
          <t>NOT_TESTED</t>
        </is>
      </c>
      <c r="J57" s="3" t="inlineStr">
        <is>
          <t>NOT_TESTED</t>
        </is>
      </c>
      <c r="K57" s="3" t="inlineStr">
        <is>
          <t>NOT_TESTED</t>
        </is>
      </c>
      <c r="L57" s="3" t="inlineStr">
        <is>
          <t>NOT_TESTED</t>
        </is>
      </c>
      <c r="M57" s="3" t="inlineStr">
        <is>
          <t>NOT_TESTED</t>
        </is>
      </c>
      <c r="N57" s="3" t="inlineStr">
        <is>
          <t>NOT_TESTED</t>
        </is>
      </c>
      <c r="O57" s="3" t="inlineStr">
        <is>
          <t>NOT_TESTED</t>
        </is>
      </c>
      <c r="P57" s="3" t="inlineStr">
        <is>
          <t>NOT_TESTED</t>
        </is>
      </c>
      <c r="Q57" s="3" t="inlineStr">
        <is>
          <t>NOT_TESTED</t>
        </is>
      </c>
      <c r="R57" s="3" t="inlineStr">
        <is>
          <t>NOT_TESTED</t>
        </is>
      </c>
      <c r="S57" s="3" t="inlineStr">
        <is>
          <t>NOT_TESTED</t>
        </is>
      </c>
      <c r="T57" s="3" t="inlineStr">
        <is>
          <t>NOT_TESTED</t>
        </is>
      </c>
      <c r="U57" s="3" t="inlineStr">
        <is>
          <t>NOT_TESTED</t>
        </is>
      </c>
      <c r="V57" s="3" t="inlineStr">
        <is>
          <t>NOT_TESTED</t>
        </is>
      </c>
      <c r="W57" s="3" t="inlineStr">
        <is>
          <t>NOT_TESTED</t>
        </is>
      </c>
      <c r="X57" s="3" t="inlineStr">
        <is>
          <t>NOT_TESTED</t>
        </is>
      </c>
      <c r="Y57" s="3" t="inlineStr">
        <is>
          <t>NOT_TESTED</t>
        </is>
      </c>
      <c r="Z57" s="3" t="inlineStr">
        <is>
          <t>NOT_TESTED</t>
        </is>
      </c>
      <c r="AA57" s="3" t="inlineStr">
        <is>
          <t>NOT_TESTED</t>
        </is>
      </c>
      <c r="AB57" s="3" t="inlineStr">
        <is>
          <t>NOT_TESTED</t>
        </is>
      </c>
      <c r="AC57" s="2" t="n"/>
      <c r="AD57" s="2" t="n"/>
      <c r="AE57" s="2" t="n"/>
      <c r="AF57" s="2" t="n"/>
      <c r="AG57" s="2" t="n"/>
      <c r="AH57" s="2" t="n"/>
      <c r="AI57" s="2" t="n"/>
      <c r="AJ57" s="2" t="n"/>
      <c r="AK57" s="2" t="n"/>
      <c r="AL57" s="2" t="n"/>
      <c r="AM57" s="2" t="n"/>
      <c r="AN57" s="2" t="n"/>
      <c r="AO57" s="2" t="n"/>
      <c r="AP57" s="2" t="n"/>
      <c r="AQ57" s="2" t="n"/>
      <c r="AR57" s="2" t="n"/>
      <c r="AS57" s="2" t="n"/>
      <c r="AT57" s="2" t="n"/>
      <c r="AU57" s="2" t="n"/>
      <c r="AV57" s="2" t="n"/>
      <c r="AW57" s="2" t="n"/>
      <c r="AX57" s="2" t="n"/>
      <c r="AY57" s="2" t="n"/>
      <c r="AZ57" s="2" t="n"/>
      <c r="BA57" s="2" t="n"/>
      <c r="BB57" s="2" t="n"/>
      <c r="BC57" s="2" t="n"/>
      <c r="BD57" s="2" t="n"/>
      <c r="BE57" s="2" t="n"/>
      <c r="BF57" s="2" t="n"/>
      <c r="BG57" s="2" t="n"/>
      <c r="BH57" s="2" t="n"/>
      <c r="BI57" s="2" t="n"/>
      <c r="BJ57" s="2" t="n"/>
      <c r="BK57" s="2" t="n"/>
      <c r="BL57" s="2" t="n"/>
      <c r="BM57" s="2" t="n"/>
      <c r="BN57" s="2" t="n"/>
      <c r="BO57" s="2" t="n"/>
      <c r="BP57" s="2" t="n"/>
      <c r="BQ57" s="2" t="n"/>
      <c r="BR57" s="2" t="n"/>
      <c r="BS57" s="2" t="n"/>
      <c r="BT57" s="2" t="n"/>
      <c r="BU57" s="2" t="n"/>
      <c r="BV57" s="2" t="n"/>
      <c r="BW57" s="2" t="n"/>
      <c r="BX57" s="2" t="n"/>
      <c r="BY57" s="2" t="n"/>
      <c r="BZ57" s="2" t="n"/>
      <c r="CA57" s="2" t="n"/>
      <c r="CB57" s="2" t="n"/>
      <c r="CC57" s="2" t="n"/>
      <c r="CD57" s="2" t="n"/>
      <c r="CE57" s="2" t="n"/>
      <c r="CF57" s="2" t="n"/>
      <c r="CG57" s="2" t="n"/>
      <c r="CH57" s="2" t="n"/>
      <c r="CI57" s="2" t="n"/>
      <c r="CJ57" s="2" t="n"/>
      <c r="CK57" s="2" t="n"/>
      <c r="CL57" s="2" t="n"/>
      <c r="CM57" s="2" t="n"/>
      <c r="CN57" s="2" t="n"/>
      <c r="CO57" s="2" t="n"/>
      <c r="CP57" s="2" t="n"/>
      <c r="CQ57" s="2" t="n"/>
      <c r="CR57" s="2" t="n"/>
      <c r="CS57" s="2" t="n"/>
      <c r="CT57" s="2" t="n"/>
      <c r="CU57" s="2" t="n"/>
      <c r="CV57" s="2" t="n"/>
      <c r="CW57" s="2" t="n"/>
      <c r="CX57" s="2" t="n"/>
      <c r="CY57" s="2" t="n"/>
      <c r="CZ57" s="2" t="n"/>
      <c r="DA57" s="2" t="n"/>
      <c r="DB57" s="2" t="n"/>
      <c r="DC57" s="2" t="n"/>
      <c r="DD57" s="2" t="n"/>
      <c r="DE57" s="2" t="n"/>
    </row>
    <row r="58">
      <c r="A58" s="2" t="inlineStr">
        <is>
          <t>issue_889</t>
        </is>
      </c>
      <c r="B58" s="6" t="inlineStr">
        <is>
          <t>Runtime error</t>
        </is>
      </c>
      <c r="C58" s="6" t="inlineStr">
        <is>
          <t>Runtime error</t>
        </is>
      </c>
      <c r="D58" s="6" t="inlineStr">
        <is>
          <t>Runtime error</t>
        </is>
      </c>
      <c r="E58" s="6" t="inlineStr">
        <is>
          <t>Runtime error</t>
        </is>
      </c>
      <c r="F58" s="5" t="inlineStr">
        <is>
          <t>Failed on test</t>
        </is>
      </c>
      <c r="G58" s="5" t="inlineStr">
        <is>
          <t>Failed on test</t>
        </is>
      </c>
      <c r="H58" s="5" t="inlineStr">
        <is>
          <t>Failed on test</t>
        </is>
      </c>
      <c r="I58" s="5" t="inlineStr">
        <is>
          <t>Failed on test</t>
        </is>
      </c>
      <c r="J58" s="5" t="inlineStr">
        <is>
          <t>Failed on test</t>
        </is>
      </c>
      <c r="K58" s="5" t="inlineStr">
        <is>
          <t>Failed on test</t>
        </is>
      </c>
      <c r="L58" s="5" t="inlineStr">
        <is>
          <t>Failed on test</t>
        </is>
      </c>
      <c r="M58" s="5" t="inlineStr">
        <is>
          <t>Failed on test</t>
        </is>
      </c>
      <c r="N58" s="3" t="inlineStr">
        <is>
          <t>NOT_TESTED</t>
        </is>
      </c>
      <c r="O58" s="3" t="inlineStr">
        <is>
          <t>NOT_TESTED</t>
        </is>
      </c>
      <c r="P58" s="3" t="inlineStr">
        <is>
          <t>NOT_TESTED</t>
        </is>
      </c>
      <c r="Q58" s="3" t="inlineStr">
        <is>
          <t>NOT_TESTED</t>
        </is>
      </c>
      <c r="R58" s="3" t="inlineStr">
        <is>
          <t>NOT_TESTED</t>
        </is>
      </c>
      <c r="S58" s="3" t="inlineStr">
        <is>
          <t>NOT_TESTED</t>
        </is>
      </c>
      <c r="T58" s="3" t="inlineStr">
        <is>
          <t>NOT_TESTED</t>
        </is>
      </c>
      <c r="U58" s="3" t="inlineStr">
        <is>
          <t>NOT_TESTED</t>
        </is>
      </c>
      <c r="V58" s="3" t="inlineStr">
        <is>
          <t>NOT_TESTED</t>
        </is>
      </c>
      <c r="W58" s="3" t="inlineStr">
        <is>
          <t>NOT_TESTED</t>
        </is>
      </c>
      <c r="X58" s="3" t="inlineStr">
        <is>
          <t>NOT_TESTED</t>
        </is>
      </c>
      <c r="Y58" s="3" t="inlineStr">
        <is>
          <t>NOT_TESTED</t>
        </is>
      </c>
      <c r="Z58" s="3" t="inlineStr">
        <is>
          <t>NOT_TESTED</t>
        </is>
      </c>
      <c r="AA58" s="3" t="inlineStr">
        <is>
          <t>NOT_TESTED</t>
        </is>
      </c>
      <c r="AB58" s="3" t="inlineStr">
        <is>
          <t>NOT_TESTED</t>
        </is>
      </c>
      <c r="AC58" s="2" t="inlineStr">
        <is>
          <t>ImportError</t>
        </is>
      </c>
      <c r="AD58" s="2" t="inlineStr">
        <is>
          <t>ImportError: cannot import name 'PauliEvolutionGate' from 'qiskit.circuit.library' (C:\qiskit_envs\q0250\lib\site-packages\qiskit\circuit\library\__init__.py)</t>
        </is>
      </c>
      <c r="AE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AF58" s="2" t="inlineStr">
        <is>
          <t>ImportError</t>
        </is>
      </c>
      <c r="AG58" s="2" t="inlineStr">
        <is>
          <t>ImportError: cannot import name 'PauliEvolutionGate' from 'qiskit.circuit.library' (C:\qiskit_envs\q0251\lib\site-packages\qiskit\circuit\library\__init__.py)</t>
        </is>
      </c>
      <c r="AH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AI58" s="2" t="inlineStr">
        <is>
          <t>ImportError</t>
        </is>
      </c>
      <c r="AJ58" s="2" t="inlineStr">
        <is>
          <t>ImportError: cannot import name 'PauliEvolutionGate' from 'qiskit.circuit.library' (C:\qiskit_envs\q0252\lib\site-packages\qiskit\circuit\library\__init__.py)</t>
        </is>
      </c>
      <c r="AK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AL58" s="2" t="inlineStr">
        <is>
          <t>ImportError</t>
        </is>
      </c>
      <c r="AM58" s="2" t="inlineStr">
        <is>
          <t>ImportError: cannot import name 'PauliEvolutionGate' from 'qiskit.circuit.library' (C:\qiskit_envs\q0253\lib\site-packages\qiskit\circuit\library\__init__.py)</t>
        </is>
      </c>
      <c r="AN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AO58" s="2" t="inlineStr">
        <is>
          <t>AssertionError</t>
        </is>
      </c>
      <c r="AP58" s="2" t="inlineStr">
        <is>
          <t>AssertionError:</t>
        </is>
      </c>
      <c r="AQ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AR58" s="2" t="inlineStr">
        <is>
          <t>AssertionError</t>
        </is>
      </c>
      <c r="AS58" s="2" t="inlineStr">
        <is>
          <t>AssertionError:</t>
        </is>
      </c>
      <c r="AT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AU58" s="2" t="inlineStr">
        <is>
          <t>AssertionError</t>
        </is>
      </c>
      <c r="AV58" s="2" t="inlineStr">
        <is>
          <t>AssertionError:</t>
        </is>
      </c>
      <c r="AW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AX58" s="2" t="inlineStr">
        <is>
          <t>AssertionError</t>
        </is>
      </c>
      <c r="AY58" s="2" t="inlineStr">
        <is>
          <t>AssertionError:</t>
        </is>
      </c>
      <c r="AZ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BA58" s="2" t="inlineStr">
        <is>
          <t>AssertionError</t>
        </is>
      </c>
      <c r="BB58" s="2" t="inlineStr">
        <is>
          <t>AssertionError:</t>
        </is>
      </c>
      <c r="BC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BD58" s="2" t="inlineStr">
        <is>
          <t>AssertionError</t>
        </is>
      </c>
      <c r="BE58" s="2" t="inlineStr">
        <is>
          <t>AssertionError:</t>
        </is>
      </c>
      <c r="BF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BG58" s="2" t="inlineStr">
        <is>
          <t>AssertionError</t>
        </is>
      </c>
      <c r="BH58" s="2" t="inlineStr">
        <is>
          <t>AssertionError:</t>
        </is>
      </c>
      <c r="BI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BJ58" s="2" t="inlineStr">
        <is>
          <t>AssertionError</t>
        </is>
      </c>
      <c r="BK58" s="2" t="inlineStr">
        <is>
          <t>AssertionError:</t>
        </is>
      </c>
      <c r="BL58" s="2"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BM58" s="2" t="n"/>
      <c r="BN58" s="2" t="n"/>
      <c r="BO58" s="2" t="n"/>
      <c r="BP58" s="2" t="n"/>
      <c r="BQ58" s="2" t="n"/>
      <c r="BR58" s="2" t="n"/>
      <c r="BS58" s="2" t="n"/>
      <c r="BT58" s="2" t="n"/>
      <c r="BU58" s="2" t="n"/>
      <c r="BV58" s="2" t="n"/>
      <c r="BW58" s="2" t="n"/>
      <c r="BX58" s="2" t="n"/>
      <c r="BY58" s="2" t="n"/>
      <c r="BZ58" s="2" t="n"/>
      <c r="CA58" s="2" t="n"/>
      <c r="CB58" s="2" t="n"/>
      <c r="CC58" s="2" t="n"/>
      <c r="CD58" s="2" t="n"/>
      <c r="CE58" s="2" t="n"/>
      <c r="CF58" s="2" t="n"/>
      <c r="CG58" s="2" t="n"/>
      <c r="CH58" s="2" t="n"/>
      <c r="CI58" s="2" t="n"/>
      <c r="CJ58" s="2" t="n"/>
      <c r="CK58" s="2" t="n"/>
      <c r="CL58" s="2" t="n"/>
      <c r="CM58" s="2" t="n"/>
      <c r="CN58" s="2" t="n"/>
      <c r="CO58" s="2" t="n"/>
      <c r="CP58" s="2" t="n"/>
      <c r="CQ58" s="2" t="n"/>
      <c r="CR58" s="2" t="n"/>
      <c r="CS58" s="2" t="n"/>
      <c r="CT58" s="2" t="n"/>
      <c r="CU58" s="2" t="n"/>
      <c r="CV58" s="2" t="n"/>
      <c r="CW58" s="2" t="n"/>
      <c r="CX58" s="2" t="n"/>
      <c r="CY58" s="2" t="n"/>
      <c r="CZ58" s="2" t="n"/>
      <c r="DA58" s="2" t="n"/>
      <c r="DB58" s="2" t="n"/>
      <c r="DC58" s="2" t="n"/>
      <c r="DD58" s="2" t="n"/>
      <c r="DE58" s="2" t="n"/>
    </row>
    <row r="59">
      <c r="A59" s="2" t="inlineStr">
        <is>
          <t>issue_911</t>
        </is>
      </c>
      <c r="B59" s="3" t="inlineStr">
        <is>
          <t>NOT_TESTED</t>
        </is>
      </c>
      <c r="C59" s="3" t="inlineStr">
        <is>
          <t>NOT_TESTED</t>
        </is>
      </c>
      <c r="D59" s="3" t="inlineStr">
        <is>
          <t>NOT_TESTED</t>
        </is>
      </c>
      <c r="E59" s="3" t="inlineStr">
        <is>
          <t>NOT_TESTED</t>
        </is>
      </c>
      <c r="F59" s="5" t="inlineStr">
        <is>
          <t>Failed on test</t>
        </is>
      </c>
      <c r="G59" s="5" t="inlineStr">
        <is>
          <t>Failed on test</t>
        </is>
      </c>
      <c r="H59" s="5" t="inlineStr">
        <is>
          <t>Failed on test</t>
        </is>
      </c>
      <c r="I59" s="5" t="inlineStr">
        <is>
          <t>Failed on test</t>
        </is>
      </c>
      <c r="J59" s="5" t="inlineStr">
        <is>
          <t>Failed on test</t>
        </is>
      </c>
      <c r="K59" s="5" t="inlineStr">
        <is>
          <t>Failed on test</t>
        </is>
      </c>
      <c r="L59" s="5" t="inlineStr">
        <is>
          <t>Failed on test</t>
        </is>
      </c>
      <c r="M59" s="5" t="inlineStr">
        <is>
          <t>Failed on test</t>
        </is>
      </c>
      <c r="N59" s="5" t="inlineStr">
        <is>
          <t>Failed on test</t>
        </is>
      </c>
      <c r="O59" s="5" t="inlineStr">
        <is>
          <t>Failed on test</t>
        </is>
      </c>
      <c r="P59" s="5" t="inlineStr">
        <is>
          <t>Failed on test</t>
        </is>
      </c>
      <c r="Q59" s="5" t="inlineStr">
        <is>
          <t>Failed on test</t>
        </is>
      </c>
      <c r="R59" s="5" t="inlineStr">
        <is>
          <t>Failed on test</t>
        </is>
      </c>
      <c r="S59" s="5" t="inlineStr">
        <is>
          <t>Failed on test</t>
        </is>
      </c>
      <c r="T59" s="5" t="inlineStr">
        <is>
          <t>Failed on test</t>
        </is>
      </c>
      <c r="U59" s="5" t="inlineStr">
        <is>
          <t>Failed on test</t>
        </is>
      </c>
      <c r="V59" s="5" t="inlineStr">
        <is>
          <t>Failed on test</t>
        </is>
      </c>
      <c r="W59" s="5" t="inlineStr">
        <is>
          <t>Failed on test</t>
        </is>
      </c>
      <c r="X59" s="5" t="inlineStr">
        <is>
          <t>Failed on test</t>
        </is>
      </c>
      <c r="Y59" s="5" t="inlineStr">
        <is>
          <t>Failed on test</t>
        </is>
      </c>
      <c r="Z59" s="5" t="inlineStr">
        <is>
          <t>Failed on test</t>
        </is>
      </c>
      <c r="AA59" s="5" t="inlineStr">
        <is>
          <t>Failed on test</t>
        </is>
      </c>
      <c r="AB59" s="5" t="inlineStr">
        <is>
          <t>Failed on test</t>
        </is>
      </c>
      <c r="AC59" s="2" t="n"/>
      <c r="AD59" s="2" t="n"/>
      <c r="AE59" s="2" t="n"/>
      <c r="AF59" s="2" t="n"/>
      <c r="AG59" s="2" t="n"/>
      <c r="AH59" s="2" t="n"/>
      <c r="AI59" s="2" t="n"/>
      <c r="AJ59" s="2" t="n"/>
      <c r="AK59" s="2" t="n"/>
      <c r="AL59" s="2" t="n"/>
      <c r="AM59" s="2" t="n"/>
      <c r="AN59" s="2" t="n"/>
      <c r="AO59" s="2" t="inlineStr">
        <is>
          <t>AssertionError</t>
        </is>
      </c>
      <c r="AP59" s="2" t="inlineStr">
        <is>
          <t>AssertionError: Lists differ: [] != [1, 2, 0]</t>
        </is>
      </c>
      <c r="AQ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AR59" s="2" t="inlineStr">
        <is>
          <t>AssertionError</t>
        </is>
      </c>
      <c r="AS59" s="2" t="inlineStr">
        <is>
          <t>AssertionError: Lists differ: [] != [1, 2, 0]</t>
        </is>
      </c>
      <c r="AT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AU59" s="2" t="inlineStr">
        <is>
          <t>AssertionError</t>
        </is>
      </c>
      <c r="AV59" s="2" t="inlineStr">
        <is>
          <t>AssertionError: Lists differ: [] != [1, 2, 0]</t>
        </is>
      </c>
      <c r="AW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AX59" s="2" t="inlineStr">
        <is>
          <t>AssertionError</t>
        </is>
      </c>
      <c r="AY59" s="2" t="inlineStr">
        <is>
          <t>AssertionError: Lists differ: [] != [1, 2, 0]</t>
        </is>
      </c>
      <c r="AZ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BA59" s="2" t="inlineStr">
        <is>
          <t>AssertionError</t>
        </is>
      </c>
      <c r="BB59" s="2" t="inlineStr">
        <is>
          <t>AssertionError: Lists differ: [] != [1, 2, 0]</t>
        </is>
      </c>
      <c r="BC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BD59" s="2" t="inlineStr">
        <is>
          <t>AssertionError</t>
        </is>
      </c>
      <c r="BE59" s="2" t="inlineStr">
        <is>
          <t>AssertionError: Lists differ: [] != [1, 2, 0]</t>
        </is>
      </c>
      <c r="BF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BG59" s="2" t="inlineStr">
        <is>
          <t>AssertionError</t>
        </is>
      </c>
      <c r="BH59" s="2" t="inlineStr">
        <is>
          <t>AssertionError: Lists differ: [] != [1, 2, 0]</t>
        </is>
      </c>
      <c r="BI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BJ59" s="2" t="inlineStr">
        <is>
          <t>AssertionError</t>
        </is>
      </c>
      <c r="BK59" s="2" t="inlineStr">
        <is>
          <t>AssertionError: Lists differ: [] != [1, 2, 0]</t>
        </is>
      </c>
      <c r="BL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BM59" s="2" t="inlineStr">
        <is>
          <t>AssertionError</t>
        </is>
      </c>
      <c r="BN59" s="2" t="inlineStr">
        <is>
          <t>AssertionError: Lists differ: [] != [1, 2, 0]</t>
        </is>
      </c>
      <c r="BO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BP59" s="2" t="inlineStr">
        <is>
          <t>AssertionError</t>
        </is>
      </c>
      <c r="BQ59" s="2" t="inlineStr">
        <is>
          <t>AssertionError: Lists differ: [] != [1, 2, 0]</t>
        </is>
      </c>
      <c r="BR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BS59" s="2" t="inlineStr">
        <is>
          <t>AssertionError</t>
        </is>
      </c>
      <c r="BT59" s="2" t="inlineStr">
        <is>
          <t>AssertionError: Lists differ: [] != [1, 2, 0]</t>
        </is>
      </c>
      <c r="BU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BV59" s="2" t="inlineStr">
        <is>
          <t>AssertionError</t>
        </is>
      </c>
      <c r="BW59" s="2" t="inlineStr">
        <is>
          <t>AssertionError: Lists differ: [] != [1, 2, 0]</t>
        </is>
      </c>
      <c r="BX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BY59" s="2" t="inlineStr">
        <is>
          <t>AssertionError</t>
        </is>
      </c>
      <c r="BZ59" s="2" t="inlineStr">
        <is>
          <t>AssertionError: Lists differ: [] != [1, 2, 0]</t>
        </is>
      </c>
      <c r="CA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CB59" s="2" t="inlineStr">
        <is>
          <t>AssertionError</t>
        </is>
      </c>
      <c r="CC59" s="2" t="inlineStr">
        <is>
          <t>AssertionError: Lists differ: [] != [1, 2, 0]</t>
        </is>
      </c>
      <c r="CD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CE59" s="2" t="inlineStr">
        <is>
          <t>AssertionError</t>
        </is>
      </c>
      <c r="CF59" s="2" t="inlineStr">
        <is>
          <t>AssertionError: Lists differ: [] != [0, 0, 0, 0, 0, 1, 1, 0, 1, 0, 1, 0, 1, 0, 0, 0, 0, 0, 1, 1, 2]</t>
        </is>
      </c>
      <c r="CG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CH59" s="2" t="inlineStr">
        <is>
          <t>AssertionError</t>
        </is>
      </c>
      <c r="CI59" s="2" t="inlineStr">
        <is>
          <t>AssertionError: Lists differ: [] != [0, 0, 0, 0, 0, 1, 1, 0, 1, 0, 1, 0, 1, 0, 0, 0, 0, 0, 1, 1, 2]</t>
        </is>
      </c>
      <c r="CJ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CK59" s="2" t="inlineStr">
        <is>
          <t>AssertionError</t>
        </is>
      </c>
      <c r="CL59" s="2" t="inlineStr">
        <is>
          <t>AssertionError: Lists differ: [] != [0, 0, 0, 0, 0, 1, 1, 0, 1, 0, 1, 0, 1, 0, 0, 0, 0, 0, 1, 1, 2]</t>
        </is>
      </c>
      <c r="CM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CN59" s="2" t="inlineStr">
        <is>
          <t>AssertionError</t>
        </is>
      </c>
      <c r="CO59" s="2" t="inlineStr">
        <is>
          <t>AssertionError: Lists differ: [] != [0, 0, 0, 0, 0, 1, 1, 0, 1, 0, 1, 0, 1, 0, 0, 0, 0, 0, 1, 1, 2]</t>
        </is>
      </c>
      <c r="CP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CQ59" s="2" t="inlineStr">
        <is>
          <t>AssertionError</t>
        </is>
      </c>
      <c r="CR59" s="2" t="inlineStr">
        <is>
          <t>AssertionError: Lists differ: [] != [0, 0, 0, 0, 0, 1, 1, 0, 1, 0, 1, 0, 1, 0, 0, 0, 0, 0, 1, 1, 2]</t>
        </is>
      </c>
      <c r="CS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CT59" s="2" t="inlineStr">
        <is>
          <t>AssertionError</t>
        </is>
      </c>
      <c r="CU59" s="2" t="inlineStr">
        <is>
          <t>AssertionError: Lists differ: [] != [0, 0, 0, 0, 0, 1, 1, 0, 1, 0, 1, 0, 1, 0, 0, 0, 0, 0, 1, 1, 2]</t>
        </is>
      </c>
      <c r="CV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CW59" s="2" t="inlineStr">
        <is>
          <t>AssertionError</t>
        </is>
      </c>
      <c r="CX59" s="2" t="inlineStr">
        <is>
          <t>AssertionError: Lists differ: [] != [0, 0, 0, 0, 0, 1, 1, 0, 1, 0, 1, 0, 1, 0, 0, 0, 0, 0, 1, 1, 2]</t>
        </is>
      </c>
      <c r="CY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CZ59" s="2" t="inlineStr">
        <is>
          <t>AssertionError</t>
        </is>
      </c>
      <c r="DA59" s="2" t="inlineStr">
        <is>
          <t>AssertionError: Lists differ: [] != [0, 0, 0, 0, 0, 1, 1, 0, 1, 0, 1, 0, 1, 0, 0, 0, 0, 0, 1, 1, 2]</t>
        </is>
      </c>
      <c r="DB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DC59" s="2" t="inlineStr">
        <is>
          <t>AssertionError</t>
        </is>
      </c>
      <c r="DD59" s="2" t="inlineStr">
        <is>
          <t>AssertionError: Lists differ: [] != [0, 0, 0, 0, 0, 1, 1, 0, 1, 0, 1, 0, 1, 0, 0, 0, 0, 0, 1, 1, 2]</t>
        </is>
      </c>
      <c r="DE59" s="2"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row>
    <row r="60">
      <c r="A60" s="2" t="inlineStr">
        <is>
          <t>issue_925</t>
        </is>
      </c>
      <c r="B60" s="6" t="inlineStr">
        <is>
          <t>Runtime error</t>
        </is>
      </c>
      <c r="C60" s="6" t="inlineStr">
        <is>
          <t>Runtime error</t>
        </is>
      </c>
      <c r="D60" s="6" t="inlineStr">
        <is>
          <t>Runtime error</t>
        </is>
      </c>
      <c r="E60" s="6" t="inlineStr">
        <is>
          <t>Runtime error</t>
        </is>
      </c>
      <c r="F60" s="3" t="inlineStr">
        <is>
          <t>NOT_TESTED</t>
        </is>
      </c>
      <c r="G60" s="3" t="inlineStr">
        <is>
          <t>NOT_TESTED</t>
        </is>
      </c>
      <c r="H60" s="3" t="inlineStr">
        <is>
          <t>NOT_TESTED</t>
        </is>
      </c>
      <c r="I60" s="3" t="inlineStr">
        <is>
          <t>NOT_TESTED</t>
        </is>
      </c>
      <c r="J60" s="3" t="inlineStr">
        <is>
          <t>NOT_TESTED</t>
        </is>
      </c>
      <c r="K60" s="3" t="inlineStr">
        <is>
          <t>NOT_TESTED</t>
        </is>
      </c>
      <c r="L60" s="3" t="inlineStr">
        <is>
          <t>NOT_TESTED</t>
        </is>
      </c>
      <c r="M60" s="3" t="inlineStr">
        <is>
          <t>NOT_TESTED</t>
        </is>
      </c>
      <c r="N60" s="3" t="inlineStr">
        <is>
          <t>NOT_TESTED</t>
        </is>
      </c>
      <c r="O60" s="3" t="inlineStr">
        <is>
          <t>NOT_TESTED</t>
        </is>
      </c>
      <c r="P60" s="3" t="inlineStr">
        <is>
          <t>NOT_TESTED</t>
        </is>
      </c>
      <c r="Q60" s="3" t="inlineStr">
        <is>
          <t>NOT_TESTED</t>
        </is>
      </c>
      <c r="R60" s="3" t="inlineStr">
        <is>
          <t>NOT_TESTED</t>
        </is>
      </c>
      <c r="S60" s="3" t="inlineStr">
        <is>
          <t>NOT_TESTED</t>
        </is>
      </c>
      <c r="T60" s="3" t="inlineStr">
        <is>
          <t>NOT_TESTED</t>
        </is>
      </c>
      <c r="U60" s="3" t="inlineStr">
        <is>
          <t>NOT_TESTED</t>
        </is>
      </c>
      <c r="V60" s="3" t="inlineStr">
        <is>
          <t>NOT_TESTED</t>
        </is>
      </c>
      <c r="W60" s="3" t="inlineStr">
        <is>
          <t>NOT_TESTED</t>
        </is>
      </c>
      <c r="X60" s="3" t="inlineStr">
        <is>
          <t>NOT_TESTED</t>
        </is>
      </c>
      <c r="Y60" s="3" t="inlineStr">
        <is>
          <t>NOT_TESTED</t>
        </is>
      </c>
      <c r="Z60" s="3" t="inlineStr">
        <is>
          <t>NOT_TESTED</t>
        </is>
      </c>
      <c r="AA60" s="3" t="inlineStr">
        <is>
          <t>NOT_TESTED</t>
        </is>
      </c>
      <c r="AB60" s="3" t="inlineStr">
        <is>
          <t>NOT_TESTED</t>
        </is>
      </c>
      <c r="AC60" s="2" t="inlineStr">
        <is>
          <t>TranspilerError</t>
        </is>
      </c>
      <c r="AD60" s="2" t="inlineStr">
        <is>
          <t>qiskit.transpiler.exceptions.TranspilerError: 'Number of qubits (18) in Shor(N=15, a=2) is greater than maximum (14) in the coupling_map'</t>
        </is>
      </c>
      <c r="AE60" s="2" t="inlineStr">
        <is>
          <t>The LLM answered NO BUG: it explained that Aqua's Shor needs 18 qubits for N = 15, more than FakeMelbourne has, but said changing the backend isn't allowed. The code is unchanged, so it fails exactly like the buggy code (TranspilerError). Same answer as gpt-5.6-luna; the reference switches to Aer's qasm_simulator.</t>
        </is>
      </c>
      <c r="AF60" s="2" t="inlineStr">
        <is>
          <t>TranspilerError</t>
        </is>
      </c>
      <c r="AG60" s="2" t="inlineStr">
        <is>
          <t>qiskit.transpiler.exceptions.TranspilerError: 'Number of qubits (18) in Shor(N=15, a=2) is greater than maximum (14) in the coupling_map'</t>
        </is>
      </c>
      <c r="AH60" s="2" t="inlineStr">
        <is>
          <t>The LLM answered NO BUG: it explained that Aqua's Shor needs 18 qubits for N = 15, more than FakeMelbourne has, but said changing the backend isn't allowed. The code is unchanged, so it fails exactly like the buggy code (TranspilerError). Same answer as gpt-5.6-luna; the reference switches to Aer's qasm_simulator.</t>
        </is>
      </c>
      <c r="AI60" s="2" t="inlineStr">
        <is>
          <t>TranspilerError</t>
        </is>
      </c>
      <c r="AJ60" s="2" t="inlineStr">
        <is>
          <t>qiskit.transpiler.exceptions.TranspilerError: 'Number of qubits (18) in Shor(N=15, a=2) is greater than maximum (14) in the coupling_map'</t>
        </is>
      </c>
      <c r="AK60" s="2" t="inlineStr">
        <is>
          <t>The LLM answered NO BUG: it explained that Aqua's Shor needs 18 qubits for N = 15, more than FakeMelbourne has, but said changing the backend isn't allowed. The code is unchanged, so it fails exactly like the buggy code (TranspilerError). Same answer as gpt-5.6-luna; the reference switches to Aer's qasm_simulator.</t>
        </is>
      </c>
      <c r="AL60" s="2" t="inlineStr">
        <is>
          <t>TranspilerError</t>
        </is>
      </c>
      <c r="AM60" s="2" t="inlineStr">
        <is>
          <t>qiskit.transpiler.exceptions.TranspilerError: 'Number of qubits (18) in Shor(N=15, a=2) is greater than maximum (14) in the coupling_map'</t>
        </is>
      </c>
      <c r="AN60" s="2" t="inlineStr">
        <is>
          <t>The LLM answered NO BUG: it explained that Aqua's Shor needs 18 qubits for N = 15, more than FakeMelbourne has, but said changing the backend isn't allowed. The code is unchanged, so it fails exactly like the buggy code (TranspilerError). Same answer as gpt-5.6-luna; the reference switches to Aer's qasm_simulator.</t>
        </is>
      </c>
      <c r="AO60" s="2" t="n"/>
      <c r="AP60" s="2" t="n"/>
      <c r="AQ60" s="2" t="n"/>
      <c r="AR60" s="2" t="n"/>
      <c r="AS60" s="2" t="n"/>
      <c r="AT60" s="2" t="n"/>
      <c r="AU60" s="2" t="n"/>
      <c r="AV60" s="2" t="n"/>
      <c r="AW60" s="2" t="n"/>
      <c r="AX60" s="2" t="n"/>
      <c r="AY60" s="2" t="n"/>
      <c r="AZ60" s="2" t="n"/>
      <c r="BA60" s="2" t="n"/>
      <c r="BB60" s="2" t="n"/>
      <c r="BC60" s="2" t="n"/>
      <c r="BD60" s="2" t="n"/>
      <c r="BE60" s="2" t="n"/>
      <c r="BF60" s="2" t="n"/>
      <c r="BG60" s="2" t="n"/>
      <c r="BH60" s="2" t="n"/>
      <c r="BI60" s="2" t="n"/>
      <c r="BJ60" s="2" t="n"/>
      <c r="BK60" s="2" t="n"/>
      <c r="BL60" s="2" t="n"/>
      <c r="BM60" s="2" t="n"/>
      <c r="BN60" s="2" t="n"/>
      <c r="BO60" s="2" t="n"/>
      <c r="BP60" s="2" t="n"/>
      <c r="BQ60" s="2" t="n"/>
      <c r="BR60" s="2" t="n"/>
      <c r="BS60" s="2" t="n"/>
      <c r="BT60" s="2" t="n"/>
      <c r="BU60" s="2" t="n"/>
      <c r="BV60" s="2" t="n"/>
      <c r="BW60" s="2" t="n"/>
      <c r="BX60" s="2" t="n"/>
      <c r="BY60" s="2" t="n"/>
      <c r="BZ60" s="2" t="n"/>
      <c r="CA60" s="2" t="n"/>
      <c r="CB60" s="2" t="n"/>
      <c r="CC60" s="2" t="n"/>
      <c r="CD60" s="2" t="n"/>
      <c r="CE60" s="2" t="n"/>
      <c r="CF60" s="2" t="n"/>
      <c r="CG60" s="2" t="n"/>
      <c r="CH60" s="2" t="n"/>
      <c r="CI60" s="2" t="n"/>
      <c r="CJ60" s="2" t="n"/>
      <c r="CK60" s="2" t="n"/>
      <c r="CL60" s="2" t="n"/>
      <c r="CM60" s="2" t="n"/>
      <c r="CN60" s="2" t="n"/>
      <c r="CO60" s="2" t="n"/>
      <c r="CP60" s="2" t="n"/>
      <c r="CQ60" s="2" t="n"/>
      <c r="CR60" s="2" t="n"/>
      <c r="CS60" s="2" t="n"/>
      <c r="CT60" s="2" t="n"/>
      <c r="CU60" s="2" t="n"/>
      <c r="CV60" s="2" t="n"/>
      <c r="CW60" s="2" t="n"/>
      <c r="CX60" s="2" t="n"/>
      <c r="CY60" s="2" t="n"/>
      <c r="CZ60" s="2" t="n"/>
      <c r="DA60" s="2" t="n"/>
      <c r="DB60" s="2" t="n"/>
      <c r="DC60" s="2" t="n"/>
      <c r="DD60" s="2" t="n"/>
      <c r="DE60" s="2" t="n"/>
    </row>
    <row r="61">
      <c r="A61" s="2" t="inlineStr">
        <is>
          <t>issue_944</t>
        </is>
      </c>
      <c r="B61" s="4" t="inlineStr">
        <is>
          <t>Passed on test</t>
        </is>
      </c>
      <c r="C61" s="4" t="inlineStr">
        <is>
          <t>Passed on test</t>
        </is>
      </c>
      <c r="D61" s="4" t="inlineStr">
        <is>
          <t>Passed on test</t>
        </is>
      </c>
      <c r="E61" s="4" t="inlineStr">
        <is>
          <t>Passed on test</t>
        </is>
      </c>
      <c r="F61" s="4" t="inlineStr">
        <is>
          <t>Passed on test</t>
        </is>
      </c>
      <c r="G61" s="4" t="inlineStr">
        <is>
          <t>Passed on test</t>
        </is>
      </c>
      <c r="H61" s="4" t="inlineStr">
        <is>
          <t>Passed on test</t>
        </is>
      </c>
      <c r="I61" s="4" t="inlineStr">
        <is>
          <t>Passed on test</t>
        </is>
      </c>
      <c r="J61" s="4" t="inlineStr">
        <is>
          <t>Passed on test</t>
        </is>
      </c>
      <c r="K61" s="4" t="inlineStr">
        <is>
          <t>Passed on test</t>
        </is>
      </c>
      <c r="L61" s="4" t="inlineStr">
        <is>
          <t>Passed on test</t>
        </is>
      </c>
      <c r="M61" s="4" t="inlineStr">
        <is>
          <t>Passed on test</t>
        </is>
      </c>
      <c r="N61" s="3" t="inlineStr">
        <is>
          <t>NOT_TESTED</t>
        </is>
      </c>
      <c r="O61" s="3" t="inlineStr">
        <is>
          <t>NOT_TESTED</t>
        </is>
      </c>
      <c r="P61" s="3" t="inlineStr">
        <is>
          <t>NOT_TESTED</t>
        </is>
      </c>
      <c r="Q61" s="3" t="inlineStr">
        <is>
          <t>NOT_TESTED</t>
        </is>
      </c>
      <c r="R61" s="3" t="inlineStr">
        <is>
          <t>NOT_TESTED</t>
        </is>
      </c>
      <c r="S61" s="3" t="inlineStr">
        <is>
          <t>NOT_TESTED</t>
        </is>
      </c>
      <c r="T61" s="3" t="inlineStr">
        <is>
          <t>NOT_TESTED</t>
        </is>
      </c>
      <c r="U61" s="3" t="inlineStr">
        <is>
          <t>NOT_TESTED</t>
        </is>
      </c>
      <c r="V61" s="3" t="inlineStr">
        <is>
          <t>NOT_TESTED</t>
        </is>
      </c>
      <c r="W61" s="3" t="inlineStr">
        <is>
          <t>NOT_TESTED</t>
        </is>
      </c>
      <c r="X61" s="3" t="inlineStr">
        <is>
          <t>NOT_TESTED</t>
        </is>
      </c>
      <c r="Y61" s="3" t="inlineStr">
        <is>
          <t>NOT_TESTED</t>
        </is>
      </c>
      <c r="Z61" s="3" t="inlineStr">
        <is>
          <t>NOT_TESTED</t>
        </is>
      </c>
      <c r="AA61" s="3" t="inlineStr">
        <is>
          <t>NOT_TESTED</t>
        </is>
      </c>
      <c r="AB61" s="3" t="inlineStr">
        <is>
          <t>NOT_TESTED</t>
        </is>
      </c>
      <c r="AC61" s="2" t="n"/>
      <c r="AD61" s="2" t="n"/>
      <c r="AE61" s="2" t="n"/>
      <c r="AF61" s="2" t="n"/>
      <c r="AG61" s="2" t="n"/>
      <c r="AH61" s="2" t="n"/>
      <c r="AI61" s="2" t="n"/>
      <c r="AJ61" s="2" t="n"/>
      <c r="AK61" s="2" t="n"/>
      <c r="AL61" s="2" t="n"/>
      <c r="AM61" s="2" t="n"/>
      <c r="AN61" s="2" t="n"/>
      <c r="AO61" s="2" t="n"/>
      <c r="AP61" s="2" t="n"/>
      <c r="AQ61" s="2" t="n"/>
      <c r="AR61" s="2" t="n"/>
      <c r="AS61" s="2" t="n"/>
      <c r="AT61" s="2" t="n"/>
      <c r="AU61" s="2" t="n"/>
      <c r="AV61" s="2" t="n"/>
      <c r="AW61" s="2" t="n"/>
      <c r="AX61" s="2" t="n"/>
      <c r="AY61" s="2" t="n"/>
      <c r="AZ61" s="2" t="n"/>
      <c r="BA61" s="2" t="n"/>
      <c r="BB61" s="2" t="n"/>
      <c r="BC61" s="2" t="n"/>
      <c r="BD61" s="2" t="n"/>
      <c r="BE61" s="2" t="n"/>
      <c r="BF61" s="2" t="n"/>
      <c r="BG61" s="2" t="n"/>
      <c r="BH61" s="2" t="n"/>
      <c r="BI61" s="2" t="n"/>
      <c r="BJ61" s="2" t="n"/>
      <c r="BK61" s="2" t="n"/>
      <c r="BL61" s="2" t="n"/>
      <c r="BM61" s="2" t="n"/>
      <c r="BN61" s="2" t="n"/>
      <c r="BO61" s="2" t="n"/>
      <c r="BP61" s="2" t="n"/>
      <c r="BQ61" s="2" t="n"/>
      <c r="BR61" s="2" t="n"/>
      <c r="BS61" s="2" t="n"/>
      <c r="BT61" s="2" t="n"/>
      <c r="BU61" s="2" t="n"/>
      <c r="BV61" s="2" t="n"/>
      <c r="BW61" s="2" t="n"/>
      <c r="BX61" s="2" t="n"/>
      <c r="BY61" s="2" t="n"/>
      <c r="BZ61" s="2" t="n"/>
      <c r="CA61" s="2" t="n"/>
      <c r="CB61" s="2" t="n"/>
      <c r="CC61" s="2" t="n"/>
      <c r="CD61" s="2" t="n"/>
      <c r="CE61" s="2" t="n"/>
      <c r="CF61" s="2" t="n"/>
      <c r="CG61" s="2" t="n"/>
      <c r="CH61" s="2" t="n"/>
      <c r="CI61" s="2" t="n"/>
      <c r="CJ61" s="2" t="n"/>
      <c r="CK61" s="2" t="n"/>
      <c r="CL61" s="2" t="n"/>
      <c r="CM61" s="2" t="n"/>
      <c r="CN61" s="2" t="n"/>
      <c r="CO61" s="2" t="n"/>
      <c r="CP61" s="2" t="n"/>
      <c r="CQ61" s="2" t="n"/>
      <c r="CR61" s="2" t="n"/>
      <c r="CS61" s="2" t="n"/>
      <c r="CT61" s="2" t="n"/>
      <c r="CU61" s="2" t="n"/>
      <c r="CV61" s="2" t="n"/>
      <c r="CW61" s="2" t="n"/>
      <c r="CX61" s="2" t="n"/>
      <c r="CY61" s="2" t="n"/>
      <c r="CZ61" s="2" t="n"/>
      <c r="DA61" s="2" t="n"/>
      <c r="DB61" s="2" t="n"/>
      <c r="DC61" s="2" t="n"/>
      <c r="DD61" s="2" t="n"/>
      <c r="DE61" s="2" t="n"/>
    </row>
    <row r="62">
      <c r="A62" s="2" t="inlineStr">
        <is>
          <t>issue_950</t>
        </is>
      </c>
      <c r="B62" s="4" t="inlineStr">
        <is>
          <t>Passed on test</t>
        </is>
      </c>
      <c r="C62" s="4" t="inlineStr">
        <is>
          <t>Passed on test</t>
        </is>
      </c>
      <c r="D62" s="4" t="inlineStr">
        <is>
          <t>Passed on test</t>
        </is>
      </c>
      <c r="E62" s="4" t="inlineStr">
        <is>
          <t>Passed on test</t>
        </is>
      </c>
      <c r="F62" s="4" t="inlineStr">
        <is>
          <t>Passed on test</t>
        </is>
      </c>
      <c r="G62" s="4" t="inlineStr">
        <is>
          <t>Passed on test</t>
        </is>
      </c>
      <c r="H62" s="4" t="inlineStr">
        <is>
          <t>Passed on test</t>
        </is>
      </c>
      <c r="I62" s="4" t="inlineStr">
        <is>
          <t>Passed on test</t>
        </is>
      </c>
      <c r="J62" s="4" t="inlineStr">
        <is>
          <t>Passed on test</t>
        </is>
      </c>
      <c r="K62" s="4" t="inlineStr">
        <is>
          <t>Passed on test</t>
        </is>
      </c>
      <c r="L62" s="4" t="inlineStr">
        <is>
          <t>Passed on test</t>
        </is>
      </c>
      <c r="M62" s="4" t="inlineStr">
        <is>
          <t>Passed on test</t>
        </is>
      </c>
      <c r="N62" s="4" t="inlineStr">
        <is>
          <t>Passed on test</t>
        </is>
      </c>
      <c r="O62" s="4" t="inlineStr">
        <is>
          <t>Passed on test</t>
        </is>
      </c>
      <c r="P62" s="4" t="inlineStr">
        <is>
          <t>Passed on test</t>
        </is>
      </c>
      <c r="Q62" s="4" t="inlineStr">
        <is>
          <t>Passed on test</t>
        </is>
      </c>
      <c r="R62" s="4" t="inlineStr">
        <is>
          <t>Passed on test</t>
        </is>
      </c>
      <c r="S62" s="4" t="inlineStr">
        <is>
          <t>Passed on test</t>
        </is>
      </c>
      <c r="T62" s="4" t="inlineStr">
        <is>
          <t>Passed on test</t>
        </is>
      </c>
      <c r="U62" s="4" t="inlineStr">
        <is>
          <t>Passed on test</t>
        </is>
      </c>
      <c r="V62" s="4" t="inlineStr">
        <is>
          <t>Passed on test</t>
        </is>
      </c>
      <c r="W62" s="4" t="inlineStr">
        <is>
          <t>Passed on test</t>
        </is>
      </c>
      <c r="X62" s="4" t="inlineStr">
        <is>
          <t>Passed on test</t>
        </is>
      </c>
      <c r="Y62" s="4" t="inlineStr">
        <is>
          <t>Passed on test</t>
        </is>
      </c>
      <c r="Z62" s="4" t="inlineStr">
        <is>
          <t>Passed on test</t>
        </is>
      </c>
      <c r="AA62" s="4" t="inlineStr">
        <is>
          <t>Passed on test</t>
        </is>
      </c>
      <c r="AB62" s="4" t="inlineStr">
        <is>
          <t>Passed on test</t>
        </is>
      </c>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2" t="n"/>
      <c r="BQ62" s="2" t="n"/>
      <c r="BR62" s="2" t="n"/>
      <c r="BS62" s="2" t="n"/>
      <c r="BT62" s="2" t="n"/>
      <c r="BU62" s="2" t="n"/>
      <c r="BV62" s="2" t="n"/>
      <c r="BW62" s="2" t="n"/>
      <c r="BX62" s="2" t="n"/>
      <c r="BY62" s="2" t="n"/>
      <c r="BZ62" s="2" t="n"/>
      <c r="CA62" s="2" t="n"/>
      <c r="CB62" s="2" t="n"/>
      <c r="CC62" s="2" t="n"/>
      <c r="CD62" s="2" t="n"/>
      <c r="CE62" s="2" t="n"/>
      <c r="CF62" s="2" t="n"/>
      <c r="CG62" s="2" t="n"/>
      <c r="CH62" s="2" t="n"/>
      <c r="CI62" s="2" t="n"/>
      <c r="CJ62" s="2" t="n"/>
      <c r="CK62" s="2" t="n"/>
      <c r="CL62" s="2" t="n"/>
      <c r="CM62" s="2" t="n"/>
      <c r="CN62" s="2" t="n"/>
      <c r="CO62" s="2" t="n"/>
      <c r="CP62" s="2" t="n"/>
      <c r="CQ62" s="2" t="n"/>
      <c r="CR62" s="2" t="n"/>
      <c r="CS62" s="2" t="n"/>
      <c r="CT62" s="2" t="n"/>
      <c r="CU62" s="2" t="n"/>
      <c r="CV62" s="2" t="n"/>
      <c r="CW62" s="2" t="n"/>
      <c r="CX62" s="2" t="n"/>
      <c r="CY62" s="2" t="n"/>
      <c r="CZ62" s="2" t="n"/>
      <c r="DA62" s="2" t="n"/>
      <c r="DB62" s="2" t="n"/>
      <c r="DC62" s="2" t="n"/>
      <c r="DD62" s="2" t="n"/>
      <c r="DE62" s="2" t="n"/>
    </row>
    <row r="63">
      <c r="A63" s="2" t="inlineStr">
        <is>
          <t>issue_958</t>
        </is>
      </c>
      <c r="B63" s="3" t="inlineStr">
        <is>
          <t>NOT_TESTED</t>
        </is>
      </c>
      <c r="C63" s="3" t="inlineStr">
        <is>
          <t>NOT_TESTED</t>
        </is>
      </c>
      <c r="D63" s="3" t="inlineStr">
        <is>
          <t>NOT_TESTED</t>
        </is>
      </c>
      <c r="E63" s="3" t="inlineStr">
        <is>
          <t>NOT_TESTED</t>
        </is>
      </c>
      <c r="F63" s="6" t="inlineStr">
        <is>
          <t>Runtime error</t>
        </is>
      </c>
      <c r="G63" s="6" t="inlineStr">
        <is>
          <t>Runtime error</t>
        </is>
      </c>
      <c r="H63" s="6" t="inlineStr">
        <is>
          <t>Runtime error</t>
        </is>
      </c>
      <c r="I63" s="6" t="inlineStr">
        <is>
          <t>Runtime error</t>
        </is>
      </c>
      <c r="J63" s="6" t="inlineStr">
        <is>
          <t>Runtime error</t>
        </is>
      </c>
      <c r="K63" s="6" t="inlineStr">
        <is>
          <t>Runtime error</t>
        </is>
      </c>
      <c r="L63" s="6" t="inlineStr">
        <is>
          <t>Runtime error</t>
        </is>
      </c>
      <c r="M63" s="6" t="inlineStr">
        <is>
          <t>Runtime error</t>
        </is>
      </c>
      <c r="N63" s="6" t="inlineStr">
        <is>
          <t>Runtime error</t>
        </is>
      </c>
      <c r="O63" s="6" t="inlineStr">
        <is>
          <t>Runtime error</t>
        </is>
      </c>
      <c r="P63" s="6" t="inlineStr">
        <is>
          <t>Runtime error</t>
        </is>
      </c>
      <c r="Q63" s="6" t="inlineStr">
        <is>
          <t>Runtime error</t>
        </is>
      </c>
      <c r="R63" s="6" t="inlineStr">
        <is>
          <t>Runtime error</t>
        </is>
      </c>
      <c r="S63" s="6" t="inlineStr">
        <is>
          <t>Runtime error</t>
        </is>
      </c>
      <c r="T63" s="6" t="inlineStr">
        <is>
          <t>Runtime error</t>
        </is>
      </c>
      <c r="U63" s="6" t="inlineStr">
        <is>
          <t>Runtime error</t>
        </is>
      </c>
      <c r="V63" s="6" t="inlineStr">
        <is>
          <t>Runtime error</t>
        </is>
      </c>
      <c r="W63" s="6" t="inlineStr">
        <is>
          <t>Runtime error</t>
        </is>
      </c>
      <c r="X63" s="6" t="inlineStr">
        <is>
          <t>Runtime error</t>
        </is>
      </c>
      <c r="Y63" s="6" t="inlineStr">
        <is>
          <t>Runtime error</t>
        </is>
      </c>
      <c r="Z63" s="6" t="inlineStr">
        <is>
          <t>Runtime error</t>
        </is>
      </c>
      <c r="AA63" s="6" t="inlineStr">
        <is>
          <t>Runtime error</t>
        </is>
      </c>
      <c r="AB63" s="6" t="inlineStr">
        <is>
          <t>Runtime error</t>
        </is>
      </c>
      <c r="AC63" s="2" t="n"/>
      <c r="AD63" s="2" t="n"/>
      <c r="AE63" s="2" t="n"/>
      <c r="AF63" s="2" t="n"/>
      <c r="AG63" s="2" t="n"/>
      <c r="AH63" s="2" t="n"/>
      <c r="AI63" s="2" t="n"/>
      <c r="AJ63" s="2" t="n"/>
      <c r="AK63" s="2" t="n"/>
      <c r="AL63" s="2" t="n"/>
      <c r="AM63" s="2" t="n"/>
      <c r="AN63" s="2" t="n"/>
      <c r="AO63" s="2" t="inlineStr">
        <is>
          <t>KeyError</t>
        </is>
      </c>
      <c r="AP63" s="2" t="inlineStr">
        <is>
          <t>KeyError: 'qc2'</t>
        </is>
      </c>
      <c r="AQ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AR63" s="2" t="inlineStr">
        <is>
          <t>KeyError</t>
        </is>
      </c>
      <c r="AS63" s="2" t="inlineStr">
        <is>
          <t>KeyError: 'qc2'</t>
        </is>
      </c>
      <c r="AT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AU63" s="2" t="inlineStr">
        <is>
          <t>KeyError</t>
        </is>
      </c>
      <c r="AV63" s="2" t="inlineStr">
        <is>
          <t>KeyError: 'qc2'</t>
        </is>
      </c>
      <c r="AW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AX63" s="2" t="inlineStr">
        <is>
          <t>KeyError</t>
        </is>
      </c>
      <c r="AY63" s="2" t="inlineStr">
        <is>
          <t>KeyError: 'qc2'</t>
        </is>
      </c>
      <c r="AZ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BA63" s="2" t="inlineStr">
        <is>
          <t>KeyError</t>
        </is>
      </c>
      <c r="BB63" s="2" t="inlineStr">
        <is>
          <t>KeyError: 'qc2'</t>
        </is>
      </c>
      <c r="BC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BD63" s="2" t="inlineStr">
        <is>
          <t>KeyError</t>
        </is>
      </c>
      <c r="BE63" s="2" t="inlineStr">
        <is>
          <t>KeyError: 'qc2'</t>
        </is>
      </c>
      <c r="BF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BG63" s="2" t="inlineStr">
        <is>
          <t>KeyError</t>
        </is>
      </c>
      <c r="BH63" s="2" t="inlineStr">
        <is>
          <t>KeyError: 'qc2'</t>
        </is>
      </c>
      <c r="BI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BJ63" s="2" t="inlineStr">
        <is>
          <t>KeyError</t>
        </is>
      </c>
      <c r="BK63" s="2" t="inlineStr">
        <is>
          <t>KeyError: 'qc2'</t>
        </is>
      </c>
      <c r="BL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BM63" s="2" t="inlineStr">
        <is>
          <t>KeyError</t>
        </is>
      </c>
      <c r="BN63" s="2" t="inlineStr">
        <is>
          <t>KeyError: 'qc2'</t>
        </is>
      </c>
      <c r="BO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BP63" s="2" t="inlineStr">
        <is>
          <t>KeyError</t>
        </is>
      </c>
      <c r="BQ63" s="2" t="inlineStr">
        <is>
          <t>KeyError: 'qc2'</t>
        </is>
      </c>
      <c r="BR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BS63" s="2" t="inlineStr">
        <is>
          <t>KeyError</t>
        </is>
      </c>
      <c r="BT63" s="2" t="inlineStr">
        <is>
          <t>KeyError: 'qc2'</t>
        </is>
      </c>
      <c r="BU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BV63" s="2" t="inlineStr">
        <is>
          <t>KeyError</t>
        </is>
      </c>
      <c r="BW63" s="2" t="inlineStr">
        <is>
          <t>KeyError: 'qc2'</t>
        </is>
      </c>
      <c r="BX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BY63" s="2" t="inlineStr">
        <is>
          <t>KeyError</t>
        </is>
      </c>
      <c r="BZ63" s="2" t="inlineStr">
        <is>
          <t>KeyError: 'qc2'</t>
        </is>
      </c>
      <c r="CA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CB63" s="2" t="inlineStr">
        <is>
          <t>KeyError</t>
        </is>
      </c>
      <c r="CC63" s="2" t="inlineStr">
        <is>
          <t>KeyError: 'qc2'</t>
        </is>
      </c>
      <c r="CD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CE63" s="2" t="inlineStr">
        <is>
          <t>KeyError</t>
        </is>
      </c>
      <c r="CF63" s="2" t="inlineStr">
        <is>
          <t>KeyError: 'qc2'</t>
        </is>
      </c>
      <c r="CG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CH63" s="2" t="inlineStr">
        <is>
          <t>KeyError</t>
        </is>
      </c>
      <c r="CI63" s="2" t="inlineStr">
        <is>
          <t>KeyError: 'qc2'</t>
        </is>
      </c>
      <c r="CJ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CK63" s="2" t="inlineStr">
        <is>
          <t>KeyError</t>
        </is>
      </c>
      <c r="CL63" s="2" t="inlineStr">
        <is>
          <t>KeyError: 'qc2'</t>
        </is>
      </c>
      <c r="CM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CN63" s="2" t="inlineStr">
        <is>
          <t>KeyError</t>
        </is>
      </c>
      <c r="CO63" s="2" t="inlineStr">
        <is>
          <t>KeyError: 'qc2'</t>
        </is>
      </c>
      <c r="CP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CQ63" s="2" t="inlineStr">
        <is>
          <t>KeyError</t>
        </is>
      </c>
      <c r="CR63" s="2" t="inlineStr">
        <is>
          <t>KeyError: 'qc2'</t>
        </is>
      </c>
      <c r="CS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CT63" s="2" t="inlineStr">
        <is>
          <t>KeyError</t>
        </is>
      </c>
      <c r="CU63" s="2" t="inlineStr">
        <is>
          <t>KeyError: 'qc2'</t>
        </is>
      </c>
      <c r="CV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CW63" s="2" t="inlineStr">
        <is>
          <t>KeyError</t>
        </is>
      </c>
      <c r="CX63" s="2" t="inlineStr">
        <is>
          <t>KeyError: 'qc2'</t>
        </is>
      </c>
      <c r="CY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CZ63" s="2" t="inlineStr">
        <is>
          <t>KeyError</t>
        </is>
      </c>
      <c r="DA63" s="2" t="inlineStr">
        <is>
          <t>KeyError: 'qc2'</t>
        </is>
      </c>
      <c r="DB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DC63" s="2" t="inlineStr">
        <is>
          <t>KeyError</t>
        </is>
      </c>
      <c r="DD63" s="2" t="inlineStr">
        <is>
          <t>KeyError: 'qc2'</t>
        </is>
      </c>
      <c r="DE63" s="2"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row>
    <row r="64">
      <c r="A64" s="2" t="inlineStr">
        <is>
          <t>issue_977</t>
        </is>
      </c>
      <c r="B64" s="3" t="inlineStr">
        <is>
          <t>NOT_TESTED</t>
        </is>
      </c>
      <c r="C64" s="3" t="inlineStr">
        <is>
          <t>NOT_TESTED</t>
        </is>
      </c>
      <c r="D64" s="3" t="inlineStr">
        <is>
          <t>NOT_TESTED</t>
        </is>
      </c>
      <c r="E64" s="3" t="inlineStr">
        <is>
          <t>NOT_TESTED</t>
        </is>
      </c>
      <c r="F64" s="4" t="inlineStr">
        <is>
          <t>Passed on test</t>
        </is>
      </c>
      <c r="G64" s="4" t="inlineStr">
        <is>
          <t>Passed on test</t>
        </is>
      </c>
      <c r="H64" s="4" t="inlineStr">
        <is>
          <t>Passed on test</t>
        </is>
      </c>
      <c r="I64" s="4" t="inlineStr">
        <is>
          <t>Passed on test</t>
        </is>
      </c>
      <c r="J64" s="4" t="inlineStr">
        <is>
          <t>Passed on test</t>
        </is>
      </c>
      <c r="K64" s="4" t="inlineStr">
        <is>
          <t>Passed on test</t>
        </is>
      </c>
      <c r="L64" s="4" t="inlineStr">
        <is>
          <t>Passed on test</t>
        </is>
      </c>
      <c r="M64" s="4" t="inlineStr">
        <is>
          <t>Passed on test</t>
        </is>
      </c>
      <c r="N64" s="4" t="inlineStr">
        <is>
          <t>Passed on test</t>
        </is>
      </c>
      <c r="O64" s="4" t="inlineStr">
        <is>
          <t>Passed on test</t>
        </is>
      </c>
      <c r="P64" s="4" t="inlineStr">
        <is>
          <t>Passed on test</t>
        </is>
      </c>
      <c r="Q64" s="4" t="inlineStr">
        <is>
          <t>Passed on test</t>
        </is>
      </c>
      <c r="R64" s="4" t="inlineStr">
        <is>
          <t>Passed on test</t>
        </is>
      </c>
      <c r="S64" s="4" t="inlineStr">
        <is>
          <t>Passed on test</t>
        </is>
      </c>
      <c r="T64" s="4" t="inlineStr">
        <is>
          <t>Passed on test</t>
        </is>
      </c>
      <c r="U64" s="4" t="inlineStr">
        <is>
          <t>Passed on test</t>
        </is>
      </c>
      <c r="V64" s="4" t="inlineStr">
        <is>
          <t>Passed on test</t>
        </is>
      </c>
      <c r="W64" s="4" t="inlineStr">
        <is>
          <t>Passed on test</t>
        </is>
      </c>
      <c r="X64" s="4" t="inlineStr">
        <is>
          <t>Passed on test</t>
        </is>
      </c>
      <c r="Y64" s="4" t="inlineStr">
        <is>
          <t>Passed on test</t>
        </is>
      </c>
      <c r="Z64" s="4" t="inlineStr">
        <is>
          <t>Passed on test</t>
        </is>
      </c>
      <c r="AA64" s="4" t="inlineStr">
        <is>
          <t>Passed on test</t>
        </is>
      </c>
      <c r="AB64" s="4" t="inlineStr">
        <is>
          <t>Passed on test</t>
        </is>
      </c>
      <c r="AC64" s="2" t="n"/>
      <c r="AD64" s="2" t="n"/>
      <c r="AE64" s="2" t="n"/>
      <c r="AF64" s="2" t="n"/>
      <c r="AG64" s="2" t="n"/>
      <c r="AH64" s="2" t="n"/>
      <c r="AI64" s="2" t="n"/>
      <c r="AJ64" s="2" t="n"/>
      <c r="AK64" s="2" t="n"/>
      <c r="AL64" s="2" t="n"/>
      <c r="AM64" s="2" t="n"/>
      <c r="AN64" s="2" t="n"/>
      <c r="AO64" s="2" t="n"/>
      <c r="AP64" s="2" t="n"/>
      <c r="AQ64" s="2" t="n"/>
      <c r="AR64" s="2" t="n"/>
      <c r="AS64" s="2" t="n"/>
      <c r="AT64" s="2" t="n"/>
      <c r="AU64" s="2" t="n"/>
      <c r="AV64" s="2" t="n"/>
      <c r="AW64" s="2" t="n"/>
      <c r="AX64" s="2" t="n"/>
      <c r="AY64" s="2" t="n"/>
      <c r="AZ64" s="2" t="n"/>
      <c r="BA64" s="2" t="n"/>
      <c r="BB64" s="2" t="n"/>
      <c r="BC64" s="2" t="n"/>
      <c r="BD64" s="2" t="n"/>
      <c r="BE64" s="2" t="n"/>
      <c r="BF64" s="2" t="n"/>
      <c r="BG64" s="2" t="n"/>
      <c r="BH64" s="2" t="n"/>
      <c r="BI64" s="2" t="n"/>
      <c r="BJ64" s="2" t="n"/>
      <c r="BK64" s="2" t="n"/>
      <c r="BL64" s="2" t="n"/>
      <c r="BM64" s="2" t="n"/>
      <c r="BN64" s="2" t="n"/>
      <c r="BO64" s="2" t="n"/>
      <c r="BP64" s="2" t="n"/>
      <c r="BQ64" s="2" t="n"/>
      <c r="BR64" s="2" t="n"/>
      <c r="BS64" s="2" t="n"/>
      <c r="BT64" s="2" t="n"/>
      <c r="BU64" s="2" t="n"/>
      <c r="BV64" s="2" t="n"/>
      <c r="BW64" s="2" t="n"/>
      <c r="BX64" s="2" t="n"/>
      <c r="BY64" s="2" t="n"/>
      <c r="BZ64" s="2" t="n"/>
      <c r="CA64" s="2" t="n"/>
      <c r="CB64" s="2" t="n"/>
      <c r="CC64" s="2" t="n"/>
      <c r="CD64" s="2" t="n"/>
      <c r="CE64" s="2" t="n"/>
      <c r="CF64" s="2" t="n"/>
      <c r="CG64" s="2" t="n"/>
      <c r="CH64" s="2" t="n"/>
      <c r="CI64" s="2" t="n"/>
      <c r="CJ64" s="2" t="n"/>
      <c r="CK64" s="2" t="n"/>
      <c r="CL64" s="2" t="n"/>
      <c r="CM64" s="2" t="n"/>
      <c r="CN64" s="2" t="n"/>
      <c r="CO64" s="2" t="n"/>
      <c r="CP64" s="2" t="n"/>
      <c r="CQ64" s="2" t="n"/>
      <c r="CR64" s="2" t="n"/>
      <c r="CS64" s="2" t="n"/>
      <c r="CT64" s="2" t="n"/>
      <c r="CU64" s="2" t="n"/>
      <c r="CV64" s="2" t="n"/>
      <c r="CW64" s="2" t="n"/>
      <c r="CX64" s="2" t="n"/>
      <c r="CY64" s="2" t="n"/>
      <c r="CZ64" s="2" t="n"/>
      <c r="DA64" s="2" t="n"/>
      <c r="DB64" s="2" t="n"/>
      <c r="DC64" s="2" t="n"/>
      <c r="DD64" s="2" t="n"/>
      <c r="DE64" s="2" t="n"/>
    </row>
    <row r="65">
      <c r="A65" s="2" t="inlineStr">
        <is>
          <t>issue_985</t>
        </is>
      </c>
      <c r="B65" s="3" t="inlineStr">
        <is>
          <t>NOT_TESTED</t>
        </is>
      </c>
      <c r="C65" s="3" t="inlineStr">
        <is>
          <t>NOT_TESTED</t>
        </is>
      </c>
      <c r="D65" s="3" t="inlineStr">
        <is>
          <t>NOT_TESTED</t>
        </is>
      </c>
      <c r="E65" s="3" t="inlineStr">
        <is>
          <t>NOT_TESTED</t>
        </is>
      </c>
      <c r="F65" s="5" t="inlineStr">
        <is>
          <t>Failed on test</t>
        </is>
      </c>
      <c r="G65" s="5" t="inlineStr">
        <is>
          <t>Failed on test</t>
        </is>
      </c>
      <c r="H65" s="5" t="inlineStr">
        <is>
          <t>Failed on test</t>
        </is>
      </c>
      <c r="I65" s="5" t="inlineStr">
        <is>
          <t>Failed on test</t>
        </is>
      </c>
      <c r="J65" s="5" t="inlineStr">
        <is>
          <t>Failed on test</t>
        </is>
      </c>
      <c r="K65" s="5" t="inlineStr">
        <is>
          <t>Failed on test</t>
        </is>
      </c>
      <c r="L65" s="5" t="inlineStr">
        <is>
          <t>Failed on test</t>
        </is>
      </c>
      <c r="M65" s="5" t="inlineStr">
        <is>
          <t>Failed on test</t>
        </is>
      </c>
      <c r="N65" s="5" t="inlineStr">
        <is>
          <t>Failed on test</t>
        </is>
      </c>
      <c r="O65" s="5" t="inlineStr">
        <is>
          <t>Failed on test</t>
        </is>
      </c>
      <c r="P65" s="5" t="inlineStr">
        <is>
          <t>Failed on test</t>
        </is>
      </c>
      <c r="Q65" s="5" t="inlineStr">
        <is>
          <t>Failed on test</t>
        </is>
      </c>
      <c r="R65" s="5" t="inlineStr">
        <is>
          <t>Failed on test</t>
        </is>
      </c>
      <c r="S65" s="5" t="inlineStr">
        <is>
          <t>Failed on test</t>
        </is>
      </c>
      <c r="T65" s="5" t="inlineStr">
        <is>
          <t>Failed on test</t>
        </is>
      </c>
      <c r="U65" s="5" t="inlineStr">
        <is>
          <t>Failed on test</t>
        </is>
      </c>
      <c r="V65" s="5" t="inlineStr">
        <is>
          <t>Failed on test</t>
        </is>
      </c>
      <c r="W65" s="5" t="inlineStr">
        <is>
          <t>Failed on test</t>
        </is>
      </c>
      <c r="X65" s="5" t="inlineStr">
        <is>
          <t>Failed on test</t>
        </is>
      </c>
      <c r="Y65" s="5" t="inlineStr">
        <is>
          <t>Failed on test</t>
        </is>
      </c>
      <c r="Z65" s="5" t="inlineStr">
        <is>
          <t>Failed on test</t>
        </is>
      </c>
      <c r="AA65" s="5" t="inlineStr">
        <is>
          <t>Failed on test</t>
        </is>
      </c>
      <c r="AB65" s="5" t="inlineStr">
        <is>
          <t>Failed on test</t>
        </is>
      </c>
      <c r="AC65" s="2" t="n"/>
      <c r="AD65" s="2" t="n"/>
      <c r="AE65" s="2" t="n"/>
      <c r="AF65" s="2" t="n"/>
      <c r="AG65" s="2" t="n"/>
      <c r="AH65" s="2" t="n"/>
      <c r="AI65" s="2" t="n"/>
      <c r="AJ65" s="2" t="n"/>
      <c r="AK65" s="2" t="n"/>
      <c r="AL65" s="2" t="n"/>
      <c r="AM65" s="2" t="n"/>
      <c r="AN65" s="2" t="n"/>
      <c r="AO65" s="2" t="inlineStr">
        <is>
          <t>AssertionError</t>
        </is>
      </c>
      <c r="AP65" s="2" t="inlineStr">
        <is>
          <t>AssertionError:</t>
        </is>
      </c>
      <c r="AQ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AR65" s="2" t="inlineStr">
        <is>
          <t>AssertionError</t>
        </is>
      </c>
      <c r="AS65" s="2" t="inlineStr">
        <is>
          <t>AssertionError:</t>
        </is>
      </c>
      <c r="AT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AU65" s="2" t="inlineStr">
        <is>
          <t>AssertionError</t>
        </is>
      </c>
      <c r="AV65" s="2" t="inlineStr">
        <is>
          <t>AssertionError:</t>
        </is>
      </c>
      <c r="AW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AX65" s="2" t="inlineStr">
        <is>
          <t>AssertionError</t>
        </is>
      </c>
      <c r="AY65" s="2" t="inlineStr">
        <is>
          <t>AssertionError:</t>
        </is>
      </c>
      <c r="AZ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BA65" s="2" t="inlineStr">
        <is>
          <t>AssertionError</t>
        </is>
      </c>
      <c r="BB65" s="2" t="inlineStr">
        <is>
          <t>AssertionError:</t>
        </is>
      </c>
      <c r="BC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BD65" s="2" t="inlineStr">
        <is>
          <t>AssertionError</t>
        </is>
      </c>
      <c r="BE65" s="2" t="inlineStr">
        <is>
          <t>AssertionError:</t>
        </is>
      </c>
      <c r="BF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BG65" s="2" t="inlineStr">
        <is>
          <t>AssertionError</t>
        </is>
      </c>
      <c r="BH65" s="2" t="inlineStr">
        <is>
          <t>AssertionError:</t>
        </is>
      </c>
      <c r="BI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BJ65" s="2" t="inlineStr">
        <is>
          <t>AssertionError</t>
        </is>
      </c>
      <c r="BK65" s="2" t="inlineStr">
        <is>
          <t>AssertionError:</t>
        </is>
      </c>
      <c r="BL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BM65" s="2" t="inlineStr">
        <is>
          <t>AssertionError</t>
        </is>
      </c>
      <c r="BN65" s="2" t="inlineStr">
        <is>
          <t>AssertionError:</t>
        </is>
      </c>
      <c r="BO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BP65" s="2" t="inlineStr">
        <is>
          <t>AssertionError</t>
        </is>
      </c>
      <c r="BQ65" s="2" t="inlineStr">
        <is>
          <t>AssertionError:</t>
        </is>
      </c>
      <c r="BR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BS65" s="2" t="inlineStr">
        <is>
          <t>AssertionError</t>
        </is>
      </c>
      <c r="BT65" s="2" t="inlineStr">
        <is>
          <t>AssertionError:</t>
        </is>
      </c>
      <c r="BU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BV65" s="2" t="inlineStr">
        <is>
          <t>AssertionError</t>
        </is>
      </c>
      <c r="BW65" s="2" t="inlineStr">
        <is>
          <t>AssertionError:</t>
        </is>
      </c>
      <c r="BX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BY65" s="2" t="inlineStr">
        <is>
          <t>AssertionError</t>
        </is>
      </c>
      <c r="BZ65" s="2" t="inlineStr">
        <is>
          <t>AssertionError:</t>
        </is>
      </c>
      <c r="CA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CB65" s="2" t="inlineStr">
        <is>
          <t>AssertionError</t>
        </is>
      </c>
      <c r="CC65" s="2" t="inlineStr">
        <is>
          <t>AssertionError:</t>
        </is>
      </c>
      <c r="CD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CE65" s="2" t="inlineStr">
        <is>
          <t>AssertionError</t>
        </is>
      </c>
      <c r="CF65" s="2" t="inlineStr">
        <is>
          <t>AssertionError:</t>
        </is>
      </c>
      <c r="CG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CH65" s="2" t="inlineStr">
        <is>
          <t>AssertionError</t>
        </is>
      </c>
      <c r="CI65" s="2" t="inlineStr">
        <is>
          <t>AssertionError:</t>
        </is>
      </c>
      <c r="CJ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CK65" s="2" t="inlineStr">
        <is>
          <t>AssertionError</t>
        </is>
      </c>
      <c r="CL65" s="2" t="inlineStr">
        <is>
          <t>AssertionError:</t>
        </is>
      </c>
      <c r="CM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CN65" s="2" t="inlineStr">
        <is>
          <t>AssertionError</t>
        </is>
      </c>
      <c r="CO65" s="2" t="inlineStr">
        <is>
          <t>AssertionError:</t>
        </is>
      </c>
      <c r="CP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CQ65" s="2" t="inlineStr">
        <is>
          <t>AssertionError</t>
        </is>
      </c>
      <c r="CR65" s="2" t="inlineStr">
        <is>
          <t>AssertionError:</t>
        </is>
      </c>
      <c r="CS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CT65" s="2" t="inlineStr">
        <is>
          <t>AssertionError</t>
        </is>
      </c>
      <c r="CU65" s="2" t="inlineStr">
        <is>
          <t>AssertionError:</t>
        </is>
      </c>
      <c r="CV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CW65" s="2" t="inlineStr">
        <is>
          <t>AssertionError</t>
        </is>
      </c>
      <c r="CX65" s="2" t="inlineStr">
        <is>
          <t>AssertionError:</t>
        </is>
      </c>
      <c r="CY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CZ65" s="2" t="inlineStr">
        <is>
          <t>AssertionError</t>
        </is>
      </c>
      <c r="DA65" s="2" t="inlineStr">
        <is>
          <t>AssertionError:</t>
        </is>
      </c>
      <c r="DB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DC65" s="2" t="inlineStr">
        <is>
          <t>AssertionError</t>
        </is>
      </c>
      <c r="DD65" s="2" t="inlineStr">
        <is>
          <t>AssertionError:</t>
        </is>
      </c>
      <c r="DE65" s="2"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row>
    <row r="66">
      <c r="A66" s="2" t="inlineStr">
        <is>
          <t>issue_989</t>
        </is>
      </c>
      <c r="B66" s="3" t="inlineStr">
        <is>
          <t>NOT_TESTED</t>
        </is>
      </c>
      <c r="C66" s="3" t="inlineStr">
        <is>
          <t>NOT_TESTED</t>
        </is>
      </c>
      <c r="D66" s="3" t="inlineStr">
        <is>
          <t>NOT_TESTED</t>
        </is>
      </c>
      <c r="E66" s="3" t="inlineStr">
        <is>
          <t>NOT_TESTED</t>
        </is>
      </c>
      <c r="F66" s="3" t="inlineStr">
        <is>
          <t>NOT_TESTED</t>
        </is>
      </c>
      <c r="G66" s="3" t="inlineStr">
        <is>
          <t>NOT_TESTED</t>
        </is>
      </c>
      <c r="H66" s="3" t="inlineStr">
        <is>
          <t>NOT_TESTED</t>
        </is>
      </c>
      <c r="I66" s="3" t="inlineStr">
        <is>
          <t>NOT_TESTED</t>
        </is>
      </c>
      <c r="J66" s="3" t="inlineStr">
        <is>
          <t>NOT_TESTED</t>
        </is>
      </c>
      <c r="K66" s="3" t="inlineStr">
        <is>
          <t>NOT_TESTED</t>
        </is>
      </c>
      <c r="L66" s="3" t="inlineStr">
        <is>
          <t>NOT_TESTED</t>
        </is>
      </c>
      <c r="M66" s="3" t="inlineStr">
        <is>
          <t>NOT_TESTED</t>
        </is>
      </c>
      <c r="N66" s="4" t="inlineStr">
        <is>
          <t>Passed on test</t>
        </is>
      </c>
      <c r="O66" s="4" t="inlineStr">
        <is>
          <t>Passed on test</t>
        </is>
      </c>
      <c r="P66" s="4" t="inlineStr">
        <is>
          <t>Passed on test</t>
        </is>
      </c>
      <c r="Q66" s="4" t="inlineStr">
        <is>
          <t>Passed on test</t>
        </is>
      </c>
      <c r="R66" s="4" t="inlineStr">
        <is>
          <t>Passed on test</t>
        </is>
      </c>
      <c r="S66" s="4" t="inlineStr">
        <is>
          <t>Passed on test</t>
        </is>
      </c>
      <c r="T66" s="4" t="inlineStr">
        <is>
          <t>Passed on test</t>
        </is>
      </c>
      <c r="U66" s="4" t="inlineStr">
        <is>
          <t>Passed on test</t>
        </is>
      </c>
      <c r="V66" s="4" t="inlineStr">
        <is>
          <t>Passed on test</t>
        </is>
      </c>
      <c r="W66" s="4" t="inlineStr">
        <is>
          <t>Passed on test</t>
        </is>
      </c>
      <c r="X66" s="4" t="inlineStr">
        <is>
          <t>Passed on test</t>
        </is>
      </c>
      <c r="Y66" s="4" t="inlineStr">
        <is>
          <t>Passed on test</t>
        </is>
      </c>
      <c r="Z66" s="4" t="inlineStr">
        <is>
          <t>Passed on test</t>
        </is>
      </c>
      <c r="AA66" s="4" t="inlineStr">
        <is>
          <t>Passed on test</t>
        </is>
      </c>
      <c r="AB66" s="4" t="inlineStr">
        <is>
          <t>Passed on test</t>
        </is>
      </c>
      <c r="AC66" s="2" t="n"/>
      <c r="AD66" s="2" t="n"/>
      <c r="AE66" s="2" t="n"/>
      <c r="AF66" s="2" t="n"/>
      <c r="AG66" s="2" t="n"/>
      <c r="AH66" s="2" t="n"/>
      <c r="AI66" s="2" t="n"/>
      <c r="AJ66" s="2" t="n"/>
      <c r="AK66" s="2" t="n"/>
      <c r="AL66" s="2" t="n"/>
      <c r="AM66" s="2" t="n"/>
      <c r="AN66" s="2" t="n"/>
      <c r="AO66" s="2" t="n"/>
      <c r="AP66" s="2" t="n"/>
      <c r="AQ66" s="2" t="n"/>
      <c r="AR66" s="2" t="n"/>
      <c r="AS66" s="2" t="n"/>
      <c r="AT66" s="2" t="n"/>
      <c r="AU66" s="2" t="n"/>
      <c r="AV66" s="2" t="n"/>
      <c r="AW66" s="2" t="n"/>
      <c r="AX66" s="2" t="n"/>
      <c r="AY66" s="2" t="n"/>
      <c r="AZ66" s="2" t="n"/>
      <c r="BA66" s="2" t="n"/>
      <c r="BB66" s="2" t="n"/>
      <c r="BC66" s="2" t="n"/>
      <c r="BD66" s="2" t="n"/>
      <c r="BE66" s="2" t="n"/>
      <c r="BF66" s="2" t="n"/>
      <c r="BG66" s="2" t="n"/>
      <c r="BH66" s="2" t="n"/>
      <c r="BI66" s="2" t="n"/>
      <c r="BJ66" s="2" t="n"/>
      <c r="BK66" s="2" t="n"/>
      <c r="BL66" s="2" t="n"/>
      <c r="BM66" s="2" t="n"/>
      <c r="BN66" s="2" t="n"/>
      <c r="BO66" s="2" t="n"/>
      <c r="BP66" s="2" t="n"/>
      <c r="BQ66" s="2" t="n"/>
      <c r="BR66" s="2" t="n"/>
      <c r="BS66" s="2" t="n"/>
      <c r="BT66" s="2" t="n"/>
      <c r="BU66" s="2" t="n"/>
      <c r="BV66" s="2" t="n"/>
      <c r="BW66" s="2" t="n"/>
      <c r="BX66" s="2" t="n"/>
      <c r="BY66" s="2" t="n"/>
      <c r="BZ66" s="2" t="n"/>
      <c r="CA66" s="2" t="n"/>
      <c r="CB66" s="2" t="n"/>
      <c r="CC66" s="2" t="n"/>
      <c r="CD66" s="2" t="n"/>
      <c r="CE66" s="2" t="n"/>
      <c r="CF66" s="2" t="n"/>
      <c r="CG66" s="2" t="n"/>
      <c r="CH66" s="2" t="n"/>
      <c r="CI66" s="2" t="n"/>
      <c r="CJ66" s="2" t="n"/>
      <c r="CK66" s="2" t="n"/>
      <c r="CL66" s="2" t="n"/>
      <c r="CM66" s="2" t="n"/>
      <c r="CN66" s="2" t="n"/>
      <c r="CO66" s="2" t="n"/>
      <c r="CP66" s="2" t="n"/>
      <c r="CQ66" s="2" t="n"/>
      <c r="CR66" s="2" t="n"/>
      <c r="CS66" s="2" t="n"/>
      <c r="CT66" s="2" t="n"/>
      <c r="CU66" s="2" t="n"/>
      <c r="CV66" s="2" t="n"/>
      <c r="CW66" s="2" t="n"/>
      <c r="CX66" s="2" t="n"/>
      <c r="CY66" s="2" t="n"/>
      <c r="CZ66" s="2" t="n"/>
      <c r="DA66" s="2" t="n"/>
      <c r="DB66" s="2" t="n"/>
      <c r="DC66" s="2" t="n"/>
      <c r="DD66" s="2" t="n"/>
      <c r="DE66" s="2" t="n"/>
    </row>
    <row r="67">
      <c r="A67" s="2" t="inlineStr">
        <is>
          <t>issue_994</t>
        </is>
      </c>
      <c r="B67" s="4" t="inlineStr">
        <is>
          <t>Passed on test</t>
        </is>
      </c>
      <c r="C67" s="4" t="inlineStr">
        <is>
          <t>Passed on test</t>
        </is>
      </c>
      <c r="D67" s="4" t="inlineStr">
        <is>
          <t>Passed on test</t>
        </is>
      </c>
      <c r="E67" s="4" t="inlineStr">
        <is>
          <t>Passed on test</t>
        </is>
      </c>
      <c r="F67" s="3" t="inlineStr">
        <is>
          <t>NOT_TESTED</t>
        </is>
      </c>
      <c r="G67" s="3" t="inlineStr">
        <is>
          <t>NOT_TESTED</t>
        </is>
      </c>
      <c r="H67" s="3" t="inlineStr">
        <is>
          <t>NOT_TESTED</t>
        </is>
      </c>
      <c r="I67" s="3" t="inlineStr">
        <is>
          <t>NOT_TESTED</t>
        </is>
      </c>
      <c r="J67" s="3" t="inlineStr">
        <is>
          <t>NOT_TESTED</t>
        </is>
      </c>
      <c r="K67" s="3" t="inlineStr">
        <is>
          <t>NOT_TESTED</t>
        </is>
      </c>
      <c r="L67" s="3" t="inlineStr">
        <is>
          <t>NOT_TESTED</t>
        </is>
      </c>
      <c r="M67" s="3" t="inlineStr">
        <is>
          <t>NOT_TESTED</t>
        </is>
      </c>
      <c r="N67" s="3" t="inlineStr">
        <is>
          <t>NOT_TESTED</t>
        </is>
      </c>
      <c r="O67" s="3" t="inlineStr">
        <is>
          <t>NOT_TESTED</t>
        </is>
      </c>
      <c r="P67" s="3" t="inlineStr">
        <is>
          <t>NOT_TESTED</t>
        </is>
      </c>
      <c r="Q67" s="3" t="inlineStr">
        <is>
          <t>NOT_TESTED</t>
        </is>
      </c>
      <c r="R67" s="3" t="inlineStr">
        <is>
          <t>NOT_TESTED</t>
        </is>
      </c>
      <c r="S67" s="3" t="inlineStr">
        <is>
          <t>NOT_TESTED</t>
        </is>
      </c>
      <c r="T67" s="3" t="inlineStr">
        <is>
          <t>NOT_TESTED</t>
        </is>
      </c>
      <c r="U67" s="3" t="inlineStr">
        <is>
          <t>NOT_TESTED</t>
        </is>
      </c>
      <c r="V67" s="3" t="inlineStr">
        <is>
          <t>NOT_TESTED</t>
        </is>
      </c>
      <c r="W67" s="3" t="inlineStr">
        <is>
          <t>NOT_TESTED</t>
        </is>
      </c>
      <c r="X67" s="3" t="inlineStr">
        <is>
          <t>NOT_TESTED</t>
        </is>
      </c>
      <c r="Y67" s="3" t="inlineStr">
        <is>
          <t>NOT_TESTED</t>
        </is>
      </c>
      <c r="Z67" s="3" t="inlineStr">
        <is>
          <t>NOT_TESTED</t>
        </is>
      </c>
      <c r="AA67" s="3" t="inlineStr">
        <is>
          <t>NOT_TESTED</t>
        </is>
      </c>
      <c r="AB67" s="3" t="inlineStr">
        <is>
          <t>NOT_TESTED</t>
        </is>
      </c>
      <c r="AC67" s="2" t="n"/>
      <c r="AD67" s="2" t="n"/>
      <c r="AE67" s="2" t="n"/>
      <c r="AF67" s="2" t="n"/>
      <c r="AG67" s="2" t="n"/>
      <c r="AH67" s="2" t="n"/>
      <c r="AI67" s="2" t="n"/>
      <c r="AJ67" s="2" t="n"/>
      <c r="AK67" s="2" t="n"/>
      <c r="AL67" s="2" t="n"/>
      <c r="AM67" s="2" t="n"/>
      <c r="AN67" s="2" t="n"/>
      <c r="AO67" s="2" t="n"/>
      <c r="AP67" s="2" t="n"/>
      <c r="AQ67" s="2" t="n"/>
      <c r="AR67" s="2" t="n"/>
      <c r="AS67" s="2" t="n"/>
      <c r="AT67" s="2" t="n"/>
      <c r="AU67" s="2" t="n"/>
      <c r="AV67" s="2" t="n"/>
      <c r="AW67" s="2" t="n"/>
      <c r="AX67" s="2" t="n"/>
      <c r="AY67" s="2" t="n"/>
      <c r="AZ67" s="2" t="n"/>
      <c r="BA67" s="2" t="n"/>
      <c r="BB67" s="2" t="n"/>
      <c r="BC67" s="2" t="n"/>
      <c r="BD67" s="2" t="n"/>
      <c r="BE67" s="2" t="n"/>
      <c r="BF67" s="2" t="n"/>
      <c r="BG67" s="2" t="n"/>
      <c r="BH67" s="2" t="n"/>
      <c r="BI67" s="2" t="n"/>
      <c r="BJ67" s="2" t="n"/>
      <c r="BK67" s="2" t="n"/>
      <c r="BL67" s="2" t="n"/>
      <c r="BM67" s="2" t="n"/>
      <c r="BN67" s="2" t="n"/>
      <c r="BO67" s="2" t="n"/>
      <c r="BP67" s="2" t="n"/>
      <c r="BQ67" s="2" t="n"/>
      <c r="BR67" s="2" t="n"/>
      <c r="BS67" s="2" t="n"/>
      <c r="BT67" s="2" t="n"/>
      <c r="BU67" s="2" t="n"/>
      <c r="BV67" s="2" t="n"/>
      <c r="BW67" s="2" t="n"/>
      <c r="BX67" s="2" t="n"/>
      <c r="BY67" s="2" t="n"/>
      <c r="BZ67" s="2" t="n"/>
      <c r="CA67" s="2" t="n"/>
      <c r="CB67" s="2" t="n"/>
      <c r="CC67" s="2" t="n"/>
      <c r="CD67" s="2" t="n"/>
      <c r="CE67" s="2" t="n"/>
      <c r="CF67" s="2" t="n"/>
      <c r="CG67" s="2" t="n"/>
      <c r="CH67" s="2" t="n"/>
      <c r="CI67" s="2" t="n"/>
      <c r="CJ67" s="2" t="n"/>
      <c r="CK67" s="2" t="n"/>
      <c r="CL67" s="2" t="n"/>
      <c r="CM67" s="2" t="n"/>
      <c r="CN67" s="2" t="n"/>
      <c r="CO67" s="2" t="n"/>
      <c r="CP67" s="2" t="n"/>
      <c r="CQ67" s="2" t="n"/>
      <c r="CR67" s="2" t="n"/>
      <c r="CS67" s="2" t="n"/>
      <c r="CT67" s="2" t="n"/>
      <c r="CU67" s="2" t="n"/>
      <c r="CV67" s="2" t="n"/>
      <c r="CW67" s="2" t="n"/>
      <c r="CX67" s="2" t="n"/>
      <c r="CY67" s="2" t="n"/>
      <c r="CZ67" s="2" t="n"/>
      <c r="DA67" s="2" t="n"/>
      <c r="DB67" s="2" t="n"/>
      <c r="DC67" s="2" t="n"/>
      <c r="DD67" s="2" t="n"/>
      <c r="DE67" s="2" t="n"/>
    </row>
    <row r="68">
      <c r="A68" s="2" t="inlineStr">
        <is>
          <t>issue_1035</t>
        </is>
      </c>
      <c r="B68" s="3" t="inlineStr">
        <is>
          <t>NOT_TESTED</t>
        </is>
      </c>
      <c r="C68" s="3" t="inlineStr">
        <is>
          <t>NOT_TESTED</t>
        </is>
      </c>
      <c r="D68" s="3" t="inlineStr">
        <is>
          <t>NOT_TESTED</t>
        </is>
      </c>
      <c r="E68" s="3" t="inlineStr">
        <is>
          <t>NOT_TESTED</t>
        </is>
      </c>
      <c r="F68" s="5" t="inlineStr">
        <is>
          <t>Failed on test</t>
        </is>
      </c>
      <c r="G68" s="5" t="inlineStr">
        <is>
          <t>Failed on test</t>
        </is>
      </c>
      <c r="H68" s="5" t="inlineStr">
        <is>
          <t>Failed on test</t>
        </is>
      </c>
      <c r="I68" s="5" t="inlineStr">
        <is>
          <t>Failed on test</t>
        </is>
      </c>
      <c r="J68" s="5" t="inlineStr">
        <is>
          <t>Failed on test</t>
        </is>
      </c>
      <c r="K68" s="5" t="inlineStr">
        <is>
          <t>Failed on test</t>
        </is>
      </c>
      <c r="L68" s="5" t="inlineStr">
        <is>
          <t>Failed on test</t>
        </is>
      </c>
      <c r="M68" s="5" t="inlineStr">
        <is>
          <t>Failed on test</t>
        </is>
      </c>
      <c r="N68" s="3" t="inlineStr">
        <is>
          <t>NOT_TESTED</t>
        </is>
      </c>
      <c r="O68" s="3" t="inlineStr">
        <is>
          <t>NOT_TESTED</t>
        </is>
      </c>
      <c r="P68" s="3" t="inlineStr">
        <is>
          <t>NOT_TESTED</t>
        </is>
      </c>
      <c r="Q68" s="3" t="inlineStr">
        <is>
          <t>NOT_TESTED</t>
        </is>
      </c>
      <c r="R68" s="3" t="inlineStr">
        <is>
          <t>NOT_TESTED</t>
        </is>
      </c>
      <c r="S68" s="3" t="inlineStr">
        <is>
          <t>NOT_TESTED</t>
        </is>
      </c>
      <c r="T68" s="3" t="inlineStr">
        <is>
          <t>NOT_TESTED</t>
        </is>
      </c>
      <c r="U68" s="3" t="inlineStr">
        <is>
          <t>NOT_TESTED</t>
        </is>
      </c>
      <c r="V68" s="3" t="inlineStr">
        <is>
          <t>NOT_TESTED</t>
        </is>
      </c>
      <c r="W68" s="3" t="inlineStr">
        <is>
          <t>NOT_TESTED</t>
        </is>
      </c>
      <c r="X68" s="3" t="inlineStr">
        <is>
          <t>NOT_TESTED</t>
        </is>
      </c>
      <c r="Y68" s="3" t="inlineStr">
        <is>
          <t>NOT_TESTED</t>
        </is>
      </c>
      <c r="Z68" s="3" t="inlineStr">
        <is>
          <t>NOT_TESTED</t>
        </is>
      </c>
      <c r="AA68" s="3" t="inlineStr">
        <is>
          <t>NOT_TESTED</t>
        </is>
      </c>
      <c r="AB68" s="3" t="inlineStr">
        <is>
          <t>NOT_TESTED</t>
        </is>
      </c>
      <c r="AC68" s="2" t="n"/>
      <c r="AD68" s="2" t="n"/>
      <c r="AE68" s="2" t="n"/>
      <c r="AF68" s="2" t="n"/>
      <c r="AG68" s="2" t="n"/>
      <c r="AH68" s="2" t="n"/>
      <c r="AI68" s="2" t="n"/>
      <c r="AJ68" s="2" t="n"/>
      <c r="AK68" s="2" t="n"/>
      <c r="AL68" s="2" t="n"/>
      <c r="AM68" s="2" t="n"/>
      <c r="AN68" s="2" t="n"/>
      <c r="AO68" s="2" t="inlineStr">
        <is>
          <t>AssertionError</t>
        </is>
      </c>
      <c r="AP68" s="2" t="inlineStr">
        <is>
          <t>AssertionError: OFFLINE_CONTRACT: Runtime account/session is not a local fake backend</t>
        </is>
      </c>
      <c r="AQ68" s="2" t="inlineStr">
        <is>
          <t>The LLM answered NO BUG, saying the Runtime Estimator code is correct and adding fake-backend noise would be an enhancement, so the code still uses the cloud Runtime service, which the offline test rejects. Both luna models switched to a local Aer Estimator with FakeManila's noise model and passed.</t>
        </is>
      </c>
      <c r="AR68" s="2" t="inlineStr">
        <is>
          <t>AssertionError</t>
        </is>
      </c>
      <c r="AS68" s="2" t="inlineStr">
        <is>
          <t>AssertionError: OFFLINE_CONTRACT: Runtime account/session is not a local fake backend</t>
        </is>
      </c>
      <c r="AT68" s="2" t="inlineStr">
        <is>
          <t>The LLM answered NO BUG, saying the Runtime Estimator code is correct and adding fake-backend noise would be an enhancement, so the code still uses the cloud Runtime service, which the offline test rejects. Both luna models switched to a local Aer Estimator with FakeManila's noise model and passed.</t>
        </is>
      </c>
      <c r="AU68" s="2" t="inlineStr">
        <is>
          <t>AssertionError</t>
        </is>
      </c>
      <c r="AV68" s="2" t="inlineStr">
        <is>
          <t>AssertionError: OFFLINE_CONTRACT: Runtime account/session is not a local fake backend</t>
        </is>
      </c>
      <c r="AW68" s="2" t="inlineStr">
        <is>
          <t>The LLM answered NO BUG, saying the Runtime Estimator code is correct and adding fake-backend noise would be an enhancement, so the code still uses the cloud Runtime service, which the offline test rejects. Both luna models switched to a local Aer Estimator with FakeManila's noise model and passed.</t>
        </is>
      </c>
      <c r="AX68" s="2" t="inlineStr">
        <is>
          <t>AssertionError</t>
        </is>
      </c>
      <c r="AY68" s="2" t="inlineStr">
        <is>
          <t>AssertionError: OFFLINE_CONTRACT: Runtime account/session is not a local fake backend</t>
        </is>
      </c>
      <c r="AZ68" s="2" t="inlineStr">
        <is>
          <t>The LLM answered NO BUG, saying the Runtime Estimator code is correct and adding fake-backend noise would be an enhancement, so the code still uses the cloud Runtime service, which the offline test rejects. Both luna models switched to a local Aer Estimator with FakeManila's noise model and passed.</t>
        </is>
      </c>
      <c r="BA68" s="2" t="inlineStr">
        <is>
          <t>AssertionError</t>
        </is>
      </c>
      <c r="BB68" s="2" t="inlineStr">
        <is>
          <t>AssertionError: OFFLINE_CONTRACT: Runtime account/session is not a local fake backend</t>
        </is>
      </c>
      <c r="BC68" s="2" t="inlineStr">
        <is>
          <t>The LLM answered NO BUG, saying the Runtime Estimator code is correct and adding fake-backend noise would be an enhancement, so the code still uses the cloud Runtime service, which the offline test rejects. Both luna models switched to a local Aer Estimator with FakeManila's noise model and passed.</t>
        </is>
      </c>
      <c r="BD68" s="2" t="inlineStr">
        <is>
          <t>AssertionError</t>
        </is>
      </c>
      <c r="BE68" s="2" t="inlineStr">
        <is>
          <t>AssertionError: OFFLINE_CONTRACT: Runtime account/session is not a local fake backend</t>
        </is>
      </c>
      <c r="BF68" s="2" t="inlineStr">
        <is>
          <t>The LLM answered NO BUG, saying the Runtime Estimator code is correct and adding fake-backend noise would be an enhancement, so the code still uses the cloud Runtime service, which the offline test rejects. Both luna models switched to a local Aer Estimator with FakeManila's noise model and passed.</t>
        </is>
      </c>
      <c r="BG68" s="2" t="inlineStr">
        <is>
          <t>AssertionError</t>
        </is>
      </c>
      <c r="BH68" s="2" t="inlineStr">
        <is>
          <t>AssertionError: OFFLINE_CONTRACT: Runtime account/session is not a local fake backend</t>
        </is>
      </c>
      <c r="BI68" s="2" t="inlineStr">
        <is>
          <t>The LLM answered NO BUG, saying the Runtime Estimator code is correct and adding fake-backend noise would be an enhancement, so the code still uses the cloud Runtime service, which the offline test rejects. Both luna models switched to a local Aer Estimator with FakeManila's noise model and passed.</t>
        </is>
      </c>
      <c r="BJ68" s="2" t="inlineStr">
        <is>
          <t>AssertionError</t>
        </is>
      </c>
      <c r="BK68" s="2" t="inlineStr">
        <is>
          <t>AssertionError: OFFLINE_CONTRACT: Runtime account/session is not a local fake backend</t>
        </is>
      </c>
      <c r="BL68" s="2" t="inlineStr">
        <is>
          <t>The LLM answered NO BUG, saying the Runtime Estimator code is correct and adding fake-backend noise would be an enhancement, so the code still uses the cloud Runtime service, which the offline test rejects. Both luna models switched to a local Aer Estimator with FakeManila's noise model and passed.</t>
        </is>
      </c>
      <c r="BM68" s="2" t="n"/>
      <c r="BN68" s="2" t="n"/>
      <c r="BO68" s="2" t="n"/>
      <c r="BP68" s="2" t="n"/>
      <c r="BQ68" s="2" t="n"/>
      <c r="BR68" s="2" t="n"/>
      <c r="BS68" s="2" t="n"/>
      <c r="BT68" s="2" t="n"/>
      <c r="BU68" s="2" t="n"/>
      <c r="BV68" s="2" t="n"/>
      <c r="BW68" s="2" t="n"/>
      <c r="BX68" s="2" t="n"/>
      <c r="BY68" s="2" t="n"/>
      <c r="BZ68" s="2" t="n"/>
      <c r="CA68" s="2" t="n"/>
      <c r="CB68" s="2" t="n"/>
      <c r="CC68" s="2" t="n"/>
      <c r="CD68" s="2" t="n"/>
      <c r="CE68" s="2" t="n"/>
      <c r="CF68" s="2" t="n"/>
      <c r="CG68" s="2" t="n"/>
      <c r="CH68" s="2" t="n"/>
      <c r="CI68" s="2" t="n"/>
      <c r="CJ68" s="2" t="n"/>
      <c r="CK68" s="2" t="n"/>
      <c r="CL68" s="2" t="n"/>
      <c r="CM68" s="2" t="n"/>
      <c r="CN68" s="2" t="n"/>
      <c r="CO68" s="2" t="n"/>
      <c r="CP68" s="2" t="n"/>
      <c r="CQ68" s="2" t="n"/>
      <c r="CR68" s="2" t="n"/>
      <c r="CS68" s="2" t="n"/>
      <c r="CT68" s="2" t="n"/>
      <c r="CU68" s="2" t="n"/>
      <c r="CV68" s="2" t="n"/>
      <c r="CW68" s="2" t="n"/>
      <c r="CX68" s="2" t="n"/>
      <c r="CY68" s="2" t="n"/>
      <c r="CZ68" s="2" t="n"/>
      <c r="DA68" s="2" t="n"/>
      <c r="DB68" s="2" t="n"/>
      <c r="DC68" s="2" t="n"/>
      <c r="DD68" s="2" t="n"/>
      <c r="DE68" s="2" t="n"/>
    </row>
    <row r="69">
      <c r="A69" s="2" t="inlineStr">
        <is>
          <t>issue_772</t>
        </is>
      </c>
      <c r="B69" s="4" t="inlineStr">
        <is>
          <t>Passed on test</t>
        </is>
      </c>
      <c r="C69" s="4" t="inlineStr">
        <is>
          <t>Passed on test</t>
        </is>
      </c>
      <c r="D69" s="4" t="inlineStr">
        <is>
          <t>Passed on test</t>
        </is>
      </c>
      <c r="E69" s="4" t="inlineStr">
        <is>
          <t>Passed on test</t>
        </is>
      </c>
      <c r="F69" s="4" t="inlineStr">
        <is>
          <t>Passed on test</t>
        </is>
      </c>
      <c r="G69" s="4" t="inlineStr">
        <is>
          <t>Passed on test</t>
        </is>
      </c>
      <c r="H69" s="4" t="inlineStr">
        <is>
          <t>Passed on test</t>
        </is>
      </c>
      <c r="I69" s="4" t="inlineStr">
        <is>
          <t>Passed on test</t>
        </is>
      </c>
      <c r="J69" s="4" t="inlineStr">
        <is>
          <t>Passed on test</t>
        </is>
      </c>
      <c r="K69" s="4" t="inlineStr">
        <is>
          <t>Passed on test</t>
        </is>
      </c>
      <c r="L69" s="4" t="inlineStr">
        <is>
          <t>Passed on test</t>
        </is>
      </c>
      <c r="M69" s="4" t="inlineStr">
        <is>
          <t>Passed on test</t>
        </is>
      </c>
      <c r="N69" s="3" t="inlineStr">
        <is>
          <t>NOT_TESTED</t>
        </is>
      </c>
      <c r="O69" s="3" t="inlineStr">
        <is>
          <t>NOT_TESTED</t>
        </is>
      </c>
      <c r="P69" s="3" t="inlineStr">
        <is>
          <t>NOT_TESTED</t>
        </is>
      </c>
      <c r="Q69" s="3" t="inlineStr">
        <is>
          <t>NOT_TESTED</t>
        </is>
      </c>
      <c r="R69" s="3" t="inlineStr">
        <is>
          <t>NOT_TESTED</t>
        </is>
      </c>
      <c r="S69" s="3" t="inlineStr">
        <is>
          <t>NOT_TESTED</t>
        </is>
      </c>
      <c r="T69" s="3" t="inlineStr">
        <is>
          <t>NOT_TESTED</t>
        </is>
      </c>
      <c r="U69" s="3" t="inlineStr">
        <is>
          <t>NOT_TESTED</t>
        </is>
      </c>
      <c r="V69" s="3" t="inlineStr">
        <is>
          <t>NOT_TESTED</t>
        </is>
      </c>
      <c r="W69" s="3" t="inlineStr">
        <is>
          <t>NOT_TESTED</t>
        </is>
      </c>
      <c r="X69" s="3" t="inlineStr">
        <is>
          <t>NOT_TESTED</t>
        </is>
      </c>
      <c r="Y69" s="3" t="inlineStr">
        <is>
          <t>NOT_TESTED</t>
        </is>
      </c>
      <c r="Z69" s="3" t="inlineStr">
        <is>
          <t>NOT_TESTED</t>
        </is>
      </c>
      <c r="AA69" s="3" t="inlineStr">
        <is>
          <t>NOT_TESTED</t>
        </is>
      </c>
      <c r="AB69" s="3" t="inlineStr">
        <is>
          <t>NOT_TESTED</t>
        </is>
      </c>
      <c r="AC69" s="2" t="n"/>
      <c r="AD69" s="2" t="n"/>
      <c r="AE69" s="2" t="n"/>
      <c r="AF69" s="2" t="n"/>
      <c r="AG69" s="2" t="n"/>
      <c r="AH69" s="2" t="n"/>
      <c r="AI69" s="2" t="n"/>
      <c r="AJ69" s="2" t="n"/>
      <c r="AK69" s="2" t="n"/>
      <c r="AL69" s="2" t="n"/>
      <c r="AM69" s="2" t="n"/>
      <c r="AN69" s="2" t="n"/>
      <c r="AO69" s="2" t="n"/>
      <c r="AP69" s="2" t="n"/>
      <c r="AQ69" s="2" t="n"/>
      <c r="AR69" s="2" t="n"/>
      <c r="AS69" s="2" t="n"/>
      <c r="AT69" s="2" t="n"/>
      <c r="AU69" s="2" t="n"/>
      <c r="AV69" s="2" t="n"/>
      <c r="AW69" s="2" t="n"/>
      <c r="AX69" s="2" t="n"/>
      <c r="AY69" s="2" t="n"/>
      <c r="AZ69" s="2" t="n"/>
      <c r="BA69" s="2" t="n"/>
      <c r="BB69" s="2" t="n"/>
      <c r="BC69" s="2" t="n"/>
      <c r="BD69" s="2" t="n"/>
      <c r="BE69" s="2" t="n"/>
      <c r="BF69" s="2" t="n"/>
      <c r="BG69" s="2" t="n"/>
      <c r="BH69" s="2" t="n"/>
      <c r="BI69" s="2" t="n"/>
      <c r="BJ69" s="2" t="n"/>
      <c r="BK69" s="2" t="n"/>
      <c r="BL69" s="2" t="n"/>
      <c r="BM69" s="2" t="n"/>
      <c r="BN69" s="2" t="n"/>
      <c r="BO69" s="2" t="n"/>
      <c r="BP69" s="2" t="n"/>
      <c r="BQ69" s="2" t="n"/>
      <c r="BR69" s="2" t="n"/>
      <c r="BS69" s="2" t="n"/>
      <c r="BT69" s="2" t="n"/>
      <c r="BU69" s="2" t="n"/>
      <c r="BV69" s="2" t="n"/>
      <c r="BW69" s="2" t="n"/>
      <c r="BX69" s="2" t="n"/>
      <c r="BY69" s="2" t="n"/>
      <c r="BZ69" s="2" t="n"/>
      <c r="CA69" s="2" t="n"/>
      <c r="CB69" s="2" t="n"/>
      <c r="CC69" s="2" t="n"/>
      <c r="CD69" s="2" t="n"/>
      <c r="CE69" s="2" t="n"/>
      <c r="CF69" s="2" t="n"/>
      <c r="CG69" s="2" t="n"/>
      <c r="CH69" s="2" t="n"/>
      <c r="CI69" s="2" t="n"/>
      <c r="CJ69" s="2" t="n"/>
      <c r="CK69" s="2" t="n"/>
      <c r="CL69" s="2" t="n"/>
      <c r="CM69" s="2" t="n"/>
      <c r="CN69" s="2" t="n"/>
      <c r="CO69" s="2" t="n"/>
      <c r="CP69" s="2" t="n"/>
      <c r="CQ69" s="2" t="n"/>
      <c r="CR69" s="2" t="n"/>
      <c r="CS69" s="2" t="n"/>
      <c r="CT69" s="2" t="n"/>
      <c r="CU69" s="2" t="n"/>
      <c r="CV69" s="2" t="n"/>
      <c r="CW69" s="2" t="n"/>
      <c r="CX69" s="2" t="n"/>
      <c r="CY69" s="2" t="n"/>
      <c r="CZ69" s="2" t="n"/>
      <c r="DA69" s="2" t="n"/>
      <c r="DB69" s="2" t="n"/>
      <c r="DC69" s="2" t="n"/>
      <c r="DD69" s="2" t="n"/>
      <c r="DE69" s="2" t="n"/>
    </row>
    <row r="70">
      <c r="A70" s="2" t="inlineStr">
        <is>
          <t>issue_790</t>
        </is>
      </c>
      <c r="B70" s="3" t="inlineStr">
        <is>
          <t>NOT_TESTED</t>
        </is>
      </c>
      <c r="C70" s="3" t="inlineStr">
        <is>
          <t>NOT_TESTED</t>
        </is>
      </c>
      <c r="D70" s="3" t="inlineStr">
        <is>
          <t>NOT_TESTED</t>
        </is>
      </c>
      <c r="E70" s="3" t="inlineStr">
        <is>
          <t>NOT_TESTED</t>
        </is>
      </c>
      <c r="F70" s="5" t="inlineStr">
        <is>
          <t>Failed on test</t>
        </is>
      </c>
      <c r="G70" s="5" t="inlineStr">
        <is>
          <t>Failed on test</t>
        </is>
      </c>
      <c r="H70" s="5" t="inlineStr">
        <is>
          <t>Failed on test</t>
        </is>
      </c>
      <c r="I70" s="5" t="inlineStr">
        <is>
          <t>Failed on test</t>
        </is>
      </c>
      <c r="J70" s="5" t="inlineStr">
        <is>
          <t>Failed on test</t>
        </is>
      </c>
      <c r="K70" s="5" t="inlineStr">
        <is>
          <t>Failed on test</t>
        </is>
      </c>
      <c r="L70" s="5" t="inlineStr">
        <is>
          <t>Failed on test</t>
        </is>
      </c>
      <c r="M70" s="5" t="inlineStr">
        <is>
          <t>Failed on test</t>
        </is>
      </c>
      <c r="N70" s="5" t="inlineStr">
        <is>
          <t>Failed on test</t>
        </is>
      </c>
      <c r="O70" s="5" t="inlineStr">
        <is>
          <t>Failed on test</t>
        </is>
      </c>
      <c r="P70" s="5" t="inlineStr">
        <is>
          <t>Failed on test</t>
        </is>
      </c>
      <c r="Q70" s="5" t="inlineStr">
        <is>
          <t>Failed on test</t>
        </is>
      </c>
      <c r="R70" s="5" t="inlineStr">
        <is>
          <t>Failed on test</t>
        </is>
      </c>
      <c r="S70" s="5" t="inlineStr">
        <is>
          <t>Failed on test</t>
        </is>
      </c>
      <c r="T70" s="5" t="inlineStr">
        <is>
          <t>Failed on test</t>
        </is>
      </c>
      <c r="U70" s="5" t="inlineStr">
        <is>
          <t>Failed on test</t>
        </is>
      </c>
      <c r="V70" s="5" t="inlineStr">
        <is>
          <t>Failed on test</t>
        </is>
      </c>
      <c r="W70" s="5" t="inlineStr">
        <is>
          <t>Failed on test</t>
        </is>
      </c>
      <c r="X70" s="5" t="inlineStr">
        <is>
          <t>Failed on test</t>
        </is>
      </c>
      <c r="Y70" s="5" t="inlineStr">
        <is>
          <t>Failed on test</t>
        </is>
      </c>
      <c r="Z70" s="5" t="inlineStr">
        <is>
          <t>Failed on test</t>
        </is>
      </c>
      <c r="AA70" s="5" t="inlineStr">
        <is>
          <t>Failed on test</t>
        </is>
      </c>
      <c r="AB70" s="5" t="inlineStr">
        <is>
          <t>Failed on test</t>
        </is>
      </c>
      <c r="AC70" s="2" t="n"/>
      <c r="AD70" s="2" t="n"/>
      <c r="AE70" s="2" t="n"/>
      <c r="AF70" s="2" t="n"/>
      <c r="AG70" s="2" t="n"/>
      <c r="AH70" s="2" t="n"/>
      <c r="AI70" s="2" t="n"/>
      <c r="AJ70" s="2" t="n"/>
      <c r="AK70" s="2" t="n"/>
      <c r="AL70" s="2" t="n"/>
      <c r="AM70" s="2" t="n"/>
      <c r="AN70" s="2" t="n"/>
      <c r="AO70" s="2" t="inlineStr">
        <is>
          <t>AssertionError</t>
        </is>
      </c>
      <c r="AP70" s="2" t="inlineStr">
        <is>
          <t>AssertionError: 1.630715739004526 not less than or equal to 0.7083783495810843 : circuit does not approximate exp(-i H) within the six-step second-order bound</t>
        </is>
      </c>
      <c r="AQ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AR70" s="2" t="inlineStr">
        <is>
          <t>AssertionError</t>
        </is>
      </c>
      <c r="AS70" s="2" t="inlineStr">
        <is>
          <t>AssertionError: 1.630715739004526 not less than or equal to 0.7083783495810843 : circuit does not approximate exp(-i H) within the six-step second-order bound</t>
        </is>
      </c>
      <c r="AT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AU70" s="2" t="inlineStr">
        <is>
          <t>AssertionError</t>
        </is>
      </c>
      <c r="AV70" s="2" t="inlineStr">
        <is>
          <t>AssertionError: 1.630715739004526 not less than or equal to 0.7083783495810843 : circuit does not approximate exp(-i H) within the six-step second-order bound</t>
        </is>
      </c>
      <c r="AW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AX70" s="2" t="inlineStr">
        <is>
          <t>AssertionError</t>
        </is>
      </c>
      <c r="AY70" s="2" t="inlineStr">
        <is>
          <t>AssertionError: 1.630715739004526 not less than or equal to 0.7083783495810843 : circuit does not approximate exp(-i H) within the six-step second-order bound</t>
        </is>
      </c>
      <c r="AZ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BA70" s="2" t="inlineStr">
        <is>
          <t>AssertionError</t>
        </is>
      </c>
      <c r="BB70" s="2" t="inlineStr">
        <is>
          <t>AssertionError: 1.630715739004526 not less than or equal to 0.7083783495810843 : circuit does not approximate exp(-i H) within the six-step second-order bound</t>
        </is>
      </c>
      <c r="BC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BD70" s="2" t="inlineStr">
        <is>
          <t>AssertionError</t>
        </is>
      </c>
      <c r="BE70" s="2" t="inlineStr">
        <is>
          <t>AssertionError: 1.630715739004526 not less than or equal to 0.7083783495810843 : circuit does not approximate exp(-i H) within the six-step second-order bound</t>
        </is>
      </c>
      <c r="BF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BG70" s="2" t="inlineStr">
        <is>
          <t>AssertionError</t>
        </is>
      </c>
      <c r="BH70" s="2" t="inlineStr">
        <is>
          <t>AssertionError: np.float64(1.6307157390045257) not less than or equal to np.float64(0.7083783495810843) : circuit does not approximate exp(-i H) within the six-step second-order bound</t>
        </is>
      </c>
      <c r="BI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BJ70" s="2" t="inlineStr">
        <is>
          <t>AssertionError</t>
        </is>
      </c>
      <c r="BK70" s="2" t="inlineStr">
        <is>
          <t>AssertionError: np.float64(1.6307157390045257) not less than or equal to np.float64(0.7083783495810843) : circuit does not approximate exp(-i H) within the six-step second-order bound</t>
        </is>
      </c>
      <c r="BL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BM70" s="2" t="inlineStr">
        <is>
          <t>AssertionError</t>
        </is>
      </c>
      <c r="BN70" s="2" t="inlineStr">
        <is>
          <t>AssertionError: 1.630715739004526 not less than or equal to 0.7083783495810843 : circuit does not approximate exp(-i H) within the six-step second-order bound</t>
        </is>
      </c>
      <c r="BO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BP70" s="2" t="inlineStr">
        <is>
          <t>AssertionError</t>
        </is>
      </c>
      <c r="BQ70" s="2" t="inlineStr">
        <is>
          <t>AssertionError: 1.630715739004526 not less than or equal to 0.7083783495810843 : circuit does not approximate exp(-i H) within the six-step second-order bound</t>
        </is>
      </c>
      <c r="BR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BS70" s="2" t="inlineStr">
        <is>
          <t>AssertionError</t>
        </is>
      </c>
      <c r="BT70" s="2" t="inlineStr">
        <is>
          <t>AssertionError: 1.630715739004526 not less than or equal to 0.7083783495810843 : circuit does not approximate exp(-i H) within the six-step second-order bound</t>
        </is>
      </c>
      <c r="BU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BV70" s="2" t="inlineStr">
        <is>
          <t>AssertionError</t>
        </is>
      </c>
      <c r="BW70" s="2" t="inlineStr">
        <is>
          <t>AssertionError: np.float64(1.6307157390045257) not less than or equal to np.float64(0.7083783495810843) : circuit does not approximate exp(-i H) within the six-step second-order bound</t>
        </is>
      </c>
      <c r="BX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BY70" s="2" t="inlineStr">
        <is>
          <t>AssertionError</t>
        </is>
      </c>
      <c r="BZ70" s="2" t="inlineStr">
        <is>
          <t>AssertionError: np.float64(1.6307157390045257) not less than or equal to np.float64(0.7083783495810843) : circuit does not approximate exp(-i H) within the six-step second-order bound</t>
        </is>
      </c>
      <c r="CA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CB70" s="2" t="inlineStr">
        <is>
          <t>AssertionError</t>
        </is>
      </c>
      <c r="CC70" s="2" t="inlineStr">
        <is>
          <t>AssertionError: np.float64(1.6307157390045257) not less than or equal to np.float64(0.7083783495810843) : circuit does not approximate exp(-i H) within the six-step second-order bound</t>
        </is>
      </c>
      <c r="CD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CE70" s="2" t="inlineStr">
        <is>
          <t>AssertionError</t>
        </is>
      </c>
      <c r="CF70" s="2" t="inlineStr">
        <is>
          <t>AssertionError: np.float64(1.6307157390045257) not less than or equal to np.float64(0.7083783495810843) : circuit does not approximate exp(-i H) within the six-step second-order bound</t>
        </is>
      </c>
      <c r="CG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CH70" s="2" t="inlineStr">
        <is>
          <t>AssertionError</t>
        </is>
      </c>
      <c r="CI70" s="2" t="inlineStr">
        <is>
          <t>AssertionError: np.float64(1.6307157390045257) not less than or equal to np.float64(0.7083783495810843) : circuit does not approximate exp(-i H) within the six-step second-order bound</t>
        </is>
      </c>
      <c r="CJ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CK70" s="2" t="inlineStr">
        <is>
          <t>AssertionError</t>
        </is>
      </c>
      <c r="CL70" s="2" t="inlineStr">
        <is>
          <t>AssertionError: np.float64(1.6307157390045257) not less than or equal to np.float64(0.7083783495810843) : circuit does not approximate exp(-i H) within the six-step second-order bound</t>
        </is>
      </c>
      <c r="CM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CN70" s="2" t="inlineStr">
        <is>
          <t>AssertionError</t>
        </is>
      </c>
      <c r="CO70" s="2" t="inlineStr">
        <is>
          <t>AssertionError: np.float64(1.630715739004526) not less than or equal to np.float64(0.7083783495810843) : circuit does not approximate exp(-i H) within the six-step second-order bound</t>
        </is>
      </c>
      <c r="CP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CQ70" s="2" t="inlineStr">
        <is>
          <t>AssertionError</t>
        </is>
      </c>
      <c r="CR70" s="2" t="inlineStr">
        <is>
          <t>AssertionError: np.float64(1.630715739004526) not less than or equal to np.float64(0.7083783495810843) : circuit does not approximate exp(-i H) within the six-step second-order bound</t>
        </is>
      </c>
      <c r="CS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CT70" s="2" t="inlineStr">
        <is>
          <t>AssertionError</t>
        </is>
      </c>
      <c r="CU70" s="2" t="inlineStr">
        <is>
          <t>AssertionError: np.float64(1.630715739004526) not less than or equal to np.float64(0.7083783495810843) : circuit does not approximate exp(-i H) within the six-step second-order bound</t>
        </is>
      </c>
      <c r="CV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CW70" s="2" t="inlineStr">
        <is>
          <t>AssertionError</t>
        </is>
      </c>
      <c r="CX70" s="2" t="inlineStr">
        <is>
          <t>AssertionError: np.float64(1.630715739004526) not less than or equal to np.float64(0.7083783495810843) : circuit does not approximate exp(-i H) within the six-step second-order bound</t>
        </is>
      </c>
      <c r="CY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CZ70" s="2" t="inlineStr">
        <is>
          <t>AssertionError</t>
        </is>
      </c>
      <c r="DA70" s="2" t="inlineStr">
        <is>
          <t>AssertionError: np.float64(1.630715739004526) not less than or equal to np.float64(0.7083783495810843) : circuit does not approximate exp(-i H) within the six-step second-order bound</t>
        </is>
      </c>
      <c r="DB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DC70" s="2" t="inlineStr">
        <is>
          <t>AssertionError</t>
        </is>
      </c>
      <c r="DD70" s="2" t="inlineStr">
        <is>
          <t>AssertionError: np.float64(1.630715739004526) not less than or equal to np.float64(0.7083783495810843) : circuit does not approximate exp(-i H) within the six-step second-order bound</t>
        </is>
      </c>
      <c r="DE70" s="2"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row>
    <row r="71">
      <c r="A71" s="2" t="inlineStr">
        <is>
          <t>issue_827</t>
        </is>
      </c>
      <c r="B71" s="6" t="inlineStr">
        <is>
          <t>Runtime error</t>
        </is>
      </c>
      <c r="C71" s="6" t="inlineStr">
        <is>
          <t>Runtime error</t>
        </is>
      </c>
      <c r="D71" s="6" t="inlineStr">
        <is>
          <t>Runtime error</t>
        </is>
      </c>
      <c r="E71" s="6" t="inlineStr">
        <is>
          <t>Runtime error</t>
        </is>
      </c>
      <c r="F71" s="6" t="inlineStr">
        <is>
          <t>Runtime error</t>
        </is>
      </c>
      <c r="G71" s="6" t="inlineStr">
        <is>
          <t>Runtime error</t>
        </is>
      </c>
      <c r="H71" s="6" t="inlineStr">
        <is>
          <t>Runtime error</t>
        </is>
      </c>
      <c r="I71" s="6" t="inlineStr">
        <is>
          <t>Runtime error</t>
        </is>
      </c>
      <c r="J71" s="6" t="inlineStr">
        <is>
          <t>Runtime error</t>
        </is>
      </c>
      <c r="K71" s="6" t="inlineStr">
        <is>
          <t>Runtime error</t>
        </is>
      </c>
      <c r="L71" s="6" t="inlineStr">
        <is>
          <t>Runtime error</t>
        </is>
      </c>
      <c r="M71" s="6" t="inlineStr">
        <is>
          <t>Runtime error</t>
        </is>
      </c>
      <c r="N71" s="3" t="inlineStr">
        <is>
          <t>NOT_TESTED</t>
        </is>
      </c>
      <c r="O71" s="3" t="inlineStr">
        <is>
          <t>NOT_TESTED</t>
        </is>
      </c>
      <c r="P71" s="3" t="inlineStr">
        <is>
          <t>NOT_TESTED</t>
        </is>
      </c>
      <c r="Q71" s="3" t="inlineStr">
        <is>
          <t>NOT_TESTED</t>
        </is>
      </c>
      <c r="R71" s="3" t="inlineStr">
        <is>
          <t>NOT_TESTED</t>
        </is>
      </c>
      <c r="S71" s="3" t="inlineStr">
        <is>
          <t>NOT_TESTED</t>
        </is>
      </c>
      <c r="T71" s="3" t="inlineStr">
        <is>
          <t>NOT_TESTED</t>
        </is>
      </c>
      <c r="U71" s="3" t="inlineStr">
        <is>
          <t>NOT_TESTED</t>
        </is>
      </c>
      <c r="V71" s="3" t="inlineStr">
        <is>
          <t>NOT_TESTED</t>
        </is>
      </c>
      <c r="W71" s="3" t="inlineStr">
        <is>
          <t>NOT_TESTED</t>
        </is>
      </c>
      <c r="X71" s="3" t="inlineStr">
        <is>
          <t>NOT_TESTED</t>
        </is>
      </c>
      <c r="Y71" s="3" t="inlineStr">
        <is>
          <t>NOT_TESTED</t>
        </is>
      </c>
      <c r="Z71" s="3" t="inlineStr">
        <is>
          <t>NOT_TESTED</t>
        </is>
      </c>
      <c r="AA71" s="3" t="inlineStr">
        <is>
          <t>NOT_TESTED</t>
        </is>
      </c>
      <c r="AB71" s="3" t="inlineStr">
        <is>
          <t>NOT_TESTED</t>
        </is>
      </c>
      <c r="AC71" s="2" t="inlineStr">
        <is>
          <t>ModuleNotFoundError</t>
        </is>
      </c>
      <c r="AD71" s="2" t="inlineStr">
        <is>
          <t>ModuleNotFoundError: No module named 'qiskit.backends'</t>
        </is>
      </c>
      <c r="AE71" s="2" t="inlineStr">
        <is>
          <t>The LLM replaced compile() with transpile() + assemble(), but the code still imports qiskit.backends, which no longer exists (ModuleNotFoundError). Same problem as both luna models.</t>
        </is>
      </c>
      <c r="AF71" s="2" t="inlineStr">
        <is>
          <t>ModuleNotFoundError</t>
        </is>
      </c>
      <c r="AG71" s="2" t="inlineStr">
        <is>
          <t>ModuleNotFoundError: No module named 'qiskit.backends'</t>
        </is>
      </c>
      <c r="AH71" s="2" t="inlineStr">
        <is>
          <t>The LLM replaced compile() with transpile() + assemble(), but the code still imports qiskit.backends, which no longer exists (ModuleNotFoundError). Same problem as both luna models.</t>
        </is>
      </c>
      <c r="AI71" s="2" t="inlineStr">
        <is>
          <t>ModuleNotFoundError</t>
        </is>
      </c>
      <c r="AJ71" s="2" t="inlineStr">
        <is>
          <t>ModuleNotFoundError: No module named 'qiskit.backends'</t>
        </is>
      </c>
      <c r="AK71" s="2" t="inlineStr">
        <is>
          <t>The LLM replaced compile() with transpile() + assemble(), but the code still imports qiskit.backends, which no longer exists (ModuleNotFoundError). Same problem as both luna models.</t>
        </is>
      </c>
      <c r="AL71" s="2" t="inlineStr">
        <is>
          <t>ModuleNotFoundError</t>
        </is>
      </c>
      <c r="AM71" s="2" t="inlineStr">
        <is>
          <t>ModuleNotFoundError: No module named 'qiskit.backends'</t>
        </is>
      </c>
      <c r="AN71" s="2" t="inlineStr">
        <is>
          <t>The LLM replaced compile() with transpile() + assemble(), but the code still imports qiskit.backends, which no longer exists (ModuleNotFoundError). Same problem as both luna models.</t>
        </is>
      </c>
      <c r="AO71" s="2" t="inlineStr">
        <is>
          <t>ModuleNotFoundError</t>
        </is>
      </c>
      <c r="AP71" s="2" t="inlineStr">
        <is>
          <t>ModuleNotFoundError: No module named 'qiskit.backends'</t>
        </is>
      </c>
      <c r="AQ71" s="2" t="inlineStr">
        <is>
          <t>The LLM replaced compile() with transpile() + assemble(), but the code still imports qiskit.backends, which no longer exists (ModuleNotFoundError). Same problem as both luna models.</t>
        </is>
      </c>
      <c r="AR71" s="2" t="inlineStr">
        <is>
          <t>ModuleNotFoundError</t>
        </is>
      </c>
      <c r="AS71" s="2" t="inlineStr">
        <is>
          <t>ModuleNotFoundError: No module named 'qiskit.backends'</t>
        </is>
      </c>
      <c r="AT71" s="2" t="inlineStr">
        <is>
          <t>The LLM replaced compile() with transpile() + assemble(), but the code still imports qiskit.backends, which no longer exists (ModuleNotFoundError). Same problem as both luna models.</t>
        </is>
      </c>
      <c r="AU71" s="2" t="inlineStr">
        <is>
          <t>ModuleNotFoundError</t>
        </is>
      </c>
      <c r="AV71" s="2" t="inlineStr">
        <is>
          <t>ModuleNotFoundError: No module named 'qiskit.backends'</t>
        </is>
      </c>
      <c r="AW71" s="2" t="inlineStr">
        <is>
          <t>The LLM replaced compile() with transpile() + assemble(), but the code still imports qiskit.backends, which no longer exists (ModuleNotFoundError). Same problem as both luna models.</t>
        </is>
      </c>
      <c r="AX71" s="2" t="inlineStr">
        <is>
          <t>ModuleNotFoundError</t>
        </is>
      </c>
      <c r="AY71" s="2" t="inlineStr">
        <is>
          <t>ModuleNotFoundError: No module named 'qiskit.backends'</t>
        </is>
      </c>
      <c r="AZ71" s="2" t="inlineStr">
        <is>
          <t>The LLM replaced compile() with transpile() + assemble(), but the code still imports qiskit.backends, which no longer exists (ModuleNotFoundError). Same problem as both luna models.</t>
        </is>
      </c>
      <c r="BA71" s="2" t="inlineStr">
        <is>
          <t>ModuleNotFoundError</t>
        </is>
      </c>
      <c r="BB71" s="2" t="inlineStr">
        <is>
          <t>ModuleNotFoundError: No module named 'qiskit.backends'</t>
        </is>
      </c>
      <c r="BC71" s="2" t="inlineStr">
        <is>
          <t>The LLM replaced compile() with transpile() + assemble(), but the code still imports qiskit.backends, which no longer exists (ModuleNotFoundError). Same problem as both luna models.</t>
        </is>
      </c>
      <c r="BD71" s="2" t="inlineStr">
        <is>
          <t>ModuleNotFoundError</t>
        </is>
      </c>
      <c r="BE71" s="2" t="inlineStr">
        <is>
          <t>ModuleNotFoundError: No module named 'qiskit.backends'</t>
        </is>
      </c>
      <c r="BF71" s="2" t="inlineStr">
        <is>
          <t>The LLM replaced compile() with transpile() + assemble(), but the code still imports qiskit.backends, which no longer exists (ModuleNotFoundError). Same problem as both luna models.</t>
        </is>
      </c>
      <c r="BG71" s="2" t="inlineStr">
        <is>
          <t>ModuleNotFoundError</t>
        </is>
      </c>
      <c r="BH71" s="2" t="inlineStr">
        <is>
          <t>ModuleNotFoundError: No module named 'qiskit.backends'</t>
        </is>
      </c>
      <c r="BI71" s="2" t="inlineStr">
        <is>
          <t>The LLM replaced compile() with transpile() + assemble(), but the code still imports qiskit.backends, which no longer exists (ModuleNotFoundError). Same problem as both luna models.</t>
        </is>
      </c>
      <c r="BJ71" s="2" t="inlineStr">
        <is>
          <t>ModuleNotFoundError</t>
        </is>
      </c>
      <c r="BK71" s="2" t="inlineStr">
        <is>
          <t>ModuleNotFoundError: No module named 'qiskit.backends'</t>
        </is>
      </c>
      <c r="BL71" s="2" t="inlineStr">
        <is>
          <t>The LLM replaced compile() with transpile() + assemble(), but the code still imports qiskit.backends, which no longer exists (ModuleNotFoundError). Same problem as both luna models.</t>
        </is>
      </c>
      <c r="BM71" s="2" t="n"/>
      <c r="BN71" s="2" t="n"/>
      <c r="BO71" s="2" t="n"/>
      <c r="BP71" s="2" t="n"/>
      <c r="BQ71" s="2" t="n"/>
      <c r="BR71" s="2" t="n"/>
      <c r="BS71" s="2" t="n"/>
      <c r="BT71" s="2" t="n"/>
      <c r="BU71" s="2" t="n"/>
      <c r="BV71" s="2" t="n"/>
      <c r="BW71" s="2" t="n"/>
      <c r="BX71" s="2" t="n"/>
      <c r="BY71" s="2" t="n"/>
      <c r="BZ71" s="2" t="n"/>
      <c r="CA71" s="2" t="n"/>
      <c r="CB71" s="2" t="n"/>
      <c r="CC71" s="2" t="n"/>
      <c r="CD71" s="2" t="n"/>
      <c r="CE71" s="2" t="n"/>
      <c r="CF71" s="2" t="n"/>
      <c r="CG71" s="2" t="n"/>
      <c r="CH71" s="2" t="n"/>
      <c r="CI71" s="2" t="n"/>
      <c r="CJ71" s="2" t="n"/>
      <c r="CK71" s="2" t="n"/>
      <c r="CL71" s="2" t="n"/>
      <c r="CM71" s="2" t="n"/>
      <c r="CN71" s="2" t="n"/>
      <c r="CO71" s="2" t="n"/>
      <c r="CP71" s="2" t="n"/>
      <c r="CQ71" s="2" t="n"/>
      <c r="CR71" s="2" t="n"/>
      <c r="CS71" s="2" t="n"/>
      <c r="CT71" s="2" t="n"/>
      <c r="CU71" s="2" t="n"/>
      <c r="CV71" s="2" t="n"/>
      <c r="CW71" s="2" t="n"/>
      <c r="CX71" s="2" t="n"/>
      <c r="CY71" s="2" t="n"/>
      <c r="CZ71" s="2" t="n"/>
      <c r="DA71" s="2" t="n"/>
      <c r="DB71" s="2" t="n"/>
      <c r="DC71" s="2" t="n"/>
      <c r="DD71" s="2" t="n"/>
      <c r="DE71" s="2" t="n"/>
    </row>
    <row r="72">
      <c r="A72" s="2" t="inlineStr">
        <is>
          <t>issue_858</t>
        </is>
      </c>
      <c r="B72" s="3" t="inlineStr">
        <is>
          <t>NOT_TESTED</t>
        </is>
      </c>
      <c r="C72" s="3" t="inlineStr">
        <is>
          <t>NOT_TESTED</t>
        </is>
      </c>
      <c r="D72" s="3" t="inlineStr">
        <is>
          <t>NOT_TESTED</t>
        </is>
      </c>
      <c r="E72" s="3" t="inlineStr">
        <is>
          <t>NOT_TESTED</t>
        </is>
      </c>
      <c r="F72" s="6" t="inlineStr">
        <is>
          <t>Runtime error</t>
        </is>
      </c>
      <c r="G72" s="6" t="inlineStr">
        <is>
          <t>Runtime error</t>
        </is>
      </c>
      <c r="H72" s="6" t="inlineStr">
        <is>
          <t>Runtime error</t>
        </is>
      </c>
      <c r="I72" s="6" t="inlineStr">
        <is>
          <t>Runtime error</t>
        </is>
      </c>
      <c r="J72" s="6" t="inlineStr">
        <is>
          <t>Runtime error</t>
        </is>
      </c>
      <c r="K72" s="6" t="inlineStr">
        <is>
          <t>Runtime error</t>
        </is>
      </c>
      <c r="L72" s="6" t="inlineStr">
        <is>
          <t>Runtime error</t>
        </is>
      </c>
      <c r="M72" s="6" t="inlineStr">
        <is>
          <t>Runtime error</t>
        </is>
      </c>
      <c r="N72" s="3" t="inlineStr">
        <is>
          <t>NOT_TESTED</t>
        </is>
      </c>
      <c r="O72" s="3" t="inlineStr">
        <is>
          <t>NOT_TESTED</t>
        </is>
      </c>
      <c r="P72" s="3" t="inlineStr">
        <is>
          <t>NOT_TESTED</t>
        </is>
      </c>
      <c r="Q72" s="3" t="inlineStr">
        <is>
          <t>NOT_TESTED</t>
        </is>
      </c>
      <c r="R72" s="3" t="inlineStr">
        <is>
          <t>NOT_TESTED</t>
        </is>
      </c>
      <c r="S72" s="3" t="inlineStr">
        <is>
          <t>NOT_TESTED</t>
        </is>
      </c>
      <c r="T72" s="3" t="inlineStr">
        <is>
          <t>NOT_TESTED</t>
        </is>
      </c>
      <c r="U72" s="3" t="inlineStr">
        <is>
          <t>NOT_TESTED</t>
        </is>
      </c>
      <c r="V72" s="3" t="inlineStr">
        <is>
          <t>NOT_TESTED</t>
        </is>
      </c>
      <c r="W72" s="3" t="inlineStr">
        <is>
          <t>NOT_TESTED</t>
        </is>
      </c>
      <c r="X72" s="3" t="inlineStr">
        <is>
          <t>NOT_TESTED</t>
        </is>
      </c>
      <c r="Y72" s="3" t="inlineStr">
        <is>
          <t>NOT_TESTED</t>
        </is>
      </c>
      <c r="Z72" s="3" t="inlineStr">
        <is>
          <t>NOT_TESTED</t>
        </is>
      </c>
      <c r="AA72" s="3" t="inlineStr">
        <is>
          <t>NOT_TESTED</t>
        </is>
      </c>
      <c r="AB72" s="3" t="inlineStr">
        <is>
          <t>NOT_TESTED</t>
        </is>
      </c>
      <c r="AC72" s="2" t="n"/>
      <c r="AD72" s="2" t="n"/>
      <c r="AE72" s="2" t="n"/>
      <c r="AF72" s="2" t="n"/>
      <c r="AG72" s="2" t="n"/>
      <c r="AH72" s="2" t="n"/>
      <c r="AI72" s="2" t="n"/>
      <c r="AJ72" s="2" t="n"/>
      <c r="AK72" s="2" t="n"/>
      <c r="AL72" s="2" t="n"/>
      <c r="AM72" s="2" t="n"/>
      <c r="AN72" s="2" t="n"/>
      <c r="AO72" s="2" t="inlineStr">
        <is>
          <t>AttributeError</t>
        </is>
      </c>
      <c r="AP72" s="2" t="inlineStr">
        <is>
          <t>AttributeError: 'FakeOslo' object has no attribute 'properties'</t>
        </is>
      </c>
      <c r="AQ72" s="2" t="inlineStr">
        <is>
          <t>The LLM switched from IBMQ to the FakeOslo snapshot of the retired backend, but the code still calls properties(), which FakeOslo doesn't have (AttributeError); the reference reads backend.qubit_properties(). Same problem as gpt-5.6-luna.</t>
        </is>
      </c>
      <c r="AR72" s="2" t="inlineStr">
        <is>
          <t>AttributeError</t>
        </is>
      </c>
      <c r="AS72" s="2" t="inlineStr">
        <is>
          <t>AttributeError: 'FakeOslo' object has no attribute 'properties'</t>
        </is>
      </c>
      <c r="AT72" s="2" t="inlineStr">
        <is>
          <t>The LLM switched from IBMQ to the FakeOslo snapshot of the retired backend, but the code still calls properties(), which FakeOslo doesn't have (AttributeError); the reference reads backend.qubit_properties(). Same problem as gpt-5.6-luna.</t>
        </is>
      </c>
      <c r="AU72" s="2" t="inlineStr">
        <is>
          <t>AttributeError</t>
        </is>
      </c>
      <c r="AV72" s="2" t="inlineStr">
        <is>
          <t>AttributeError: 'FakeOslo' object has no attribute 'properties'</t>
        </is>
      </c>
      <c r="AW72" s="2" t="inlineStr">
        <is>
          <t>The LLM switched from IBMQ to the FakeOslo snapshot of the retired backend, but the code still calls properties(), which FakeOslo doesn't have (AttributeError); the reference reads backend.qubit_properties(). Same problem as gpt-5.6-luna.</t>
        </is>
      </c>
      <c r="AX72" s="2" t="inlineStr">
        <is>
          <t>AttributeError</t>
        </is>
      </c>
      <c r="AY72" s="2" t="inlineStr">
        <is>
          <t>AttributeError: 'FakeOslo' object has no attribute 'properties'</t>
        </is>
      </c>
      <c r="AZ72" s="2" t="inlineStr">
        <is>
          <t>The LLM switched from IBMQ to the FakeOslo snapshot of the retired backend, but the code still calls properties(), which FakeOslo doesn't have (AttributeError); the reference reads backend.qubit_properties(). Same problem as gpt-5.6-luna.</t>
        </is>
      </c>
      <c r="BA72" s="2" t="inlineStr">
        <is>
          <t>AttributeError</t>
        </is>
      </c>
      <c r="BB72" s="2" t="inlineStr">
        <is>
          <t>AttributeError: 'FakeOslo' object has no attribute 'properties'</t>
        </is>
      </c>
      <c r="BC72" s="2" t="inlineStr">
        <is>
          <t>The LLM switched from IBMQ to the FakeOslo snapshot of the retired backend, but the code still calls properties(), which FakeOslo doesn't have (AttributeError); the reference reads backend.qubit_properties(). Same problem as gpt-5.6-luna.</t>
        </is>
      </c>
      <c r="BD72" s="2" t="inlineStr">
        <is>
          <t>AttributeError</t>
        </is>
      </c>
      <c r="BE72" s="2" t="inlineStr">
        <is>
          <t>AttributeError: 'FakeOslo' object has no attribute 'properties'</t>
        </is>
      </c>
      <c r="BF72" s="2" t="inlineStr">
        <is>
          <t>The LLM switched from IBMQ to the FakeOslo snapshot of the retired backend, but the code still calls properties(), which FakeOslo doesn't have (AttributeError); the reference reads backend.qubit_properties(). Same problem as gpt-5.6-luna.</t>
        </is>
      </c>
      <c r="BG72" s="2" t="inlineStr">
        <is>
          <t>AttributeError</t>
        </is>
      </c>
      <c r="BH72" s="2" t="inlineStr">
        <is>
          <t>AttributeError: 'FakeOslo' object has no attribute 'properties'</t>
        </is>
      </c>
      <c r="BI72" s="2" t="inlineStr">
        <is>
          <t>The LLM switched from IBMQ to the FakeOslo snapshot of the retired backend, but the code still calls properties(), which FakeOslo doesn't have (AttributeError); the reference reads backend.qubit_properties(). Same problem as gpt-5.6-luna.</t>
        </is>
      </c>
      <c r="BJ72" s="2" t="inlineStr">
        <is>
          <t>AttributeError</t>
        </is>
      </c>
      <c r="BK72" s="2" t="inlineStr">
        <is>
          <t>AttributeError: 'FakeOslo' object has no attribute 'properties'</t>
        </is>
      </c>
      <c r="BL72" s="2" t="inlineStr">
        <is>
          <t>The LLM switched from IBMQ to the FakeOslo snapshot of the retired backend, but the code still calls properties(), which FakeOslo doesn't have (AttributeError); the reference reads backend.qubit_properties(). Same problem as gpt-5.6-luna.</t>
        </is>
      </c>
      <c r="BM72" s="2" t="n"/>
      <c r="BN72" s="2" t="n"/>
      <c r="BO72" s="2" t="n"/>
      <c r="BP72" s="2" t="n"/>
      <c r="BQ72" s="2" t="n"/>
      <c r="BR72" s="2" t="n"/>
      <c r="BS72" s="2" t="n"/>
      <c r="BT72" s="2" t="n"/>
      <c r="BU72" s="2" t="n"/>
      <c r="BV72" s="2" t="n"/>
      <c r="BW72" s="2" t="n"/>
      <c r="BX72" s="2" t="n"/>
      <c r="BY72" s="2" t="n"/>
      <c r="BZ72" s="2" t="n"/>
      <c r="CA72" s="2" t="n"/>
      <c r="CB72" s="2" t="n"/>
      <c r="CC72" s="2" t="n"/>
      <c r="CD72" s="2" t="n"/>
      <c r="CE72" s="2" t="n"/>
      <c r="CF72" s="2" t="n"/>
      <c r="CG72" s="2" t="n"/>
      <c r="CH72" s="2" t="n"/>
      <c r="CI72" s="2" t="n"/>
      <c r="CJ72" s="2" t="n"/>
      <c r="CK72" s="2" t="n"/>
      <c r="CL72" s="2" t="n"/>
      <c r="CM72" s="2" t="n"/>
      <c r="CN72" s="2" t="n"/>
      <c r="CO72" s="2" t="n"/>
      <c r="CP72" s="2" t="n"/>
      <c r="CQ72" s="2" t="n"/>
      <c r="CR72" s="2" t="n"/>
      <c r="CS72" s="2" t="n"/>
      <c r="CT72" s="2" t="n"/>
      <c r="CU72" s="2" t="n"/>
      <c r="CV72" s="2" t="n"/>
      <c r="CW72" s="2" t="n"/>
      <c r="CX72" s="2" t="n"/>
      <c r="CY72" s="2" t="n"/>
      <c r="CZ72" s="2" t="n"/>
      <c r="DA72" s="2" t="n"/>
      <c r="DB72" s="2" t="n"/>
      <c r="DC72" s="2" t="n"/>
      <c r="DD72" s="2" t="n"/>
      <c r="DE72" s="2" t="n"/>
    </row>
    <row r="73">
      <c r="A73" s="2" t="inlineStr">
        <is>
          <t>issue_901</t>
        </is>
      </c>
      <c r="B73" s="3" t="inlineStr">
        <is>
          <t>NOT_TESTED</t>
        </is>
      </c>
      <c r="C73" s="3" t="inlineStr">
        <is>
          <t>NOT_TESTED</t>
        </is>
      </c>
      <c r="D73" s="3" t="inlineStr">
        <is>
          <t>NOT_TESTED</t>
        </is>
      </c>
      <c r="E73" s="3" t="inlineStr">
        <is>
          <t>NOT_TESTED</t>
        </is>
      </c>
      <c r="F73" s="4" t="inlineStr">
        <is>
          <t>Passed on test</t>
        </is>
      </c>
      <c r="G73" s="4" t="inlineStr">
        <is>
          <t>Passed on test</t>
        </is>
      </c>
      <c r="H73" s="4" t="inlineStr">
        <is>
          <t>Passed on test</t>
        </is>
      </c>
      <c r="I73" s="4" t="inlineStr">
        <is>
          <t>Passed on test</t>
        </is>
      </c>
      <c r="J73" s="4" t="inlineStr">
        <is>
          <t>Passed on test</t>
        </is>
      </c>
      <c r="K73" s="4" t="inlineStr">
        <is>
          <t>Passed on test</t>
        </is>
      </c>
      <c r="L73" s="4" t="inlineStr">
        <is>
          <t>Passed on test</t>
        </is>
      </c>
      <c r="M73" s="4" t="inlineStr">
        <is>
          <t>Passed on test</t>
        </is>
      </c>
      <c r="N73" s="4" t="inlineStr">
        <is>
          <t>Passed on test</t>
        </is>
      </c>
      <c r="O73" s="4" t="inlineStr">
        <is>
          <t>Passed on test</t>
        </is>
      </c>
      <c r="P73" s="4" t="inlineStr">
        <is>
          <t>Passed on test</t>
        </is>
      </c>
      <c r="Q73" s="4" t="inlineStr">
        <is>
          <t>Passed on test</t>
        </is>
      </c>
      <c r="R73" s="4" t="inlineStr">
        <is>
          <t>Passed on test</t>
        </is>
      </c>
      <c r="S73" s="4" t="inlineStr">
        <is>
          <t>Passed on test</t>
        </is>
      </c>
      <c r="T73" s="4" t="inlineStr">
        <is>
          <t>Passed on test</t>
        </is>
      </c>
      <c r="U73" s="4" t="inlineStr">
        <is>
          <t>Passed on test</t>
        </is>
      </c>
      <c r="V73" s="4" t="inlineStr">
        <is>
          <t>Passed on test</t>
        </is>
      </c>
      <c r="W73" s="4" t="inlineStr">
        <is>
          <t>Passed on test</t>
        </is>
      </c>
      <c r="X73" s="4" t="inlineStr">
        <is>
          <t>Passed on test</t>
        </is>
      </c>
      <c r="Y73" s="3" t="inlineStr">
        <is>
          <t>NOT_TESTED</t>
        </is>
      </c>
      <c r="Z73" s="3" t="inlineStr">
        <is>
          <t>NOT_TESTED</t>
        </is>
      </c>
      <c r="AA73" s="3" t="inlineStr">
        <is>
          <t>NOT_TESTED</t>
        </is>
      </c>
      <c r="AB73" s="3" t="inlineStr">
        <is>
          <t>NOT_TESTED</t>
        </is>
      </c>
      <c r="AC73" s="2" t="n"/>
      <c r="AD73" s="2" t="n"/>
      <c r="AE73" s="2" t="n"/>
      <c r="AF73" s="2" t="n"/>
      <c r="AG73" s="2" t="n"/>
      <c r="AH73" s="2" t="n"/>
      <c r="AI73" s="2" t="n"/>
      <c r="AJ73" s="2" t="n"/>
      <c r="AK73" s="2" t="n"/>
      <c r="AL73" s="2" t="n"/>
      <c r="AM73" s="2" t="n"/>
      <c r="AN73" s="2" t="n"/>
      <c r="AO73" s="2" t="n"/>
      <c r="AP73" s="2" t="n"/>
      <c r="AQ73" s="2" t="n"/>
      <c r="AR73" s="2" t="n"/>
      <c r="AS73" s="2" t="n"/>
      <c r="AT73" s="2" t="n"/>
      <c r="AU73" s="2" t="n"/>
      <c r="AV73" s="2" t="n"/>
      <c r="AW73" s="2" t="n"/>
      <c r="AX73" s="2" t="n"/>
      <c r="AY73" s="2" t="n"/>
      <c r="AZ73" s="2" t="n"/>
      <c r="BA73" s="2" t="n"/>
      <c r="BB73" s="2" t="n"/>
      <c r="BC73" s="2" t="n"/>
      <c r="BD73" s="2" t="n"/>
      <c r="BE73" s="2" t="n"/>
      <c r="BF73" s="2" t="n"/>
      <c r="BG73" s="2" t="n"/>
      <c r="BH73" s="2" t="n"/>
      <c r="BI73" s="2" t="n"/>
      <c r="BJ73" s="2" t="n"/>
      <c r="BK73" s="2" t="n"/>
      <c r="BL73" s="2" t="n"/>
      <c r="BM73" s="2" t="n"/>
      <c r="BN73" s="2" t="n"/>
      <c r="BO73" s="2" t="n"/>
      <c r="BP73" s="2" t="n"/>
      <c r="BQ73" s="2" t="n"/>
      <c r="BR73" s="2" t="n"/>
      <c r="BS73" s="2" t="n"/>
      <c r="BT73" s="2" t="n"/>
      <c r="BU73" s="2" t="n"/>
      <c r="BV73" s="2" t="n"/>
      <c r="BW73" s="2" t="n"/>
      <c r="BX73" s="2" t="n"/>
      <c r="BY73" s="2" t="n"/>
      <c r="BZ73" s="2" t="n"/>
      <c r="CA73" s="2" t="n"/>
      <c r="CB73" s="2" t="n"/>
      <c r="CC73" s="2" t="n"/>
      <c r="CD73" s="2" t="n"/>
      <c r="CE73" s="2" t="n"/>
      <c r="CF73" s="2" t="n"/>
      <c r="CG73" s="2" t="n"/>
      <c r="CH73" s="2" t="n"/>
      <c r="CI73" s="2" t="n"/>
      <c r="CJ73" s="2" t="n"/>
      <c r="CK73" s="2" t="n"/>
      <c r="CL73" s="2" t="n"/>
      <c r="CM73" s="2" t="n"/>
      <c r="CN73" s="2" t="n"/>
      <c r="CO73" s="2" t="n"/>
      <c r="CP73" s="2" t="n"/>
      <c r="CQ73" s="2" t="n"/>
      <c r="CR73" s="2" t="n"/>
      <c r="CS73" s="2" t="n"/>
      <c r="CT73" s="2" t="n"/>
      <c r="CU73" s="2" t="n"/>
      <c r="CV73" s="2" t="n"/>
      <c r="CW73" s="2" t="n"/>
      <c r="CX73" s="2" t="n"/>
      <c r="CY73" s="2" t="n"/>
      <c r="CZ73" s="2" t="n"/>
      <c r="DA73" s="2" t="n"/>
      <c r="DB73" s="2" t="n"/>
      <c r="DC73" s="2" t="n"/>
      <c r="DD73" s="2" t="n"/>
      <c r="DE73" s="2" t="n"/>
    </row>
    <row r="74">
      <c r="A74" s="2" t="inlineStr">
        <is>
          <t>issue_921</t>
        </is>
      </c>
      <c r="B74" s="6" t="inlineStr">
        <is>
          <t>Runtime error</t>
        </is>
      </c>
      <c r="C74" s="6" t="inlineStr">
        <is>
          <t>Runtime error</t>
        </is>
      </c>
      <c r="D74" s="6" t="inlineStr">
        <is>
          <t>Runtime error</t>
        </is>
      </c>
      <c r="E74" s="6" t="inlineStr">
        <is>
          <t>Runtime error</t>
        </is>
      </c>
      <c r="F74" s="3" t="inlineStr">
        <is>
          <t>NOT_TESTED</t>
        </is>
      </c>
      <c r="G74" s="3" t="inlineStr">
        <is>
          <t>NOT_TESTED</t>
        </is>
      </c>
      <c r="H74" s="3" t="inlineStr">
        <is>
          <t>NOT_TESTED</t>
        </is>
      </c>
      <c r="I74" s="3" t="inlineStr">
        <is>
          <t>NOT_TESTED</t>
        </is>
      </c>
      <c r="J74" s="3" t="inlineStr">
        <is>
          <t>NOT_TESTED</t>
        </is>
      </c>
      <c r="K74" s="3" t="inlineStr">
        <is>
          <t>NOT_TESTED</t>
        </is>
      </c>
      <c r="L74" s="3" t="inlineStr">
        <is>
          <t>NOT_TESTED</t>
        </is>
      </c>
      <c r="M74" s="3" t="inlineStr">
        <is>
          <t>NOT_TESTED</t>
        </is>
      </c>
      <c r="N74" s="3" t="inlineStr">
        <is>
          <t>NOT_TESTED</t>
        </is>
      </c>
      <c r="O74" s="3" t="inlineStr">
        <is>
          <t>NOT_TESTED</t>
        </is>
      </c>
      <c r="P74" s="3" t="inlineStr">
        <is>
          <t>NOT_TESTED</t>
        </is>
      </c>
      <c r="Q74" s="3" t="inlineStr">
        <is>
          <t>NOT_TESTED</t>
        </is>
      </c>
      <c r="R74" s="3" t="inlineStr">
        <is>
          <t>NOT_TESTED</t>
        </is>
      </c>
      <c r="S74" s="3" t="inlineStr">
        <is>
          <t>NOT_TESTED</t>
        </is>
      </c>
      <c r="T74" s="3" t="inlineStr">
        <is>
          <t>NOT_TESTED</t>
        </is>
      </c>
      <c r="U74" s="3" t="inlineStr">
        <is>
          <t>NOT_TESTED</t>
        </is>
      </c>
      <c r="V74" s="3" t="inlineStr">
        <is>
          <t>NOT_TESTED</t>
        </is>
      </c>
      <c r="W74" s="3" t="inlineStr">
        <is>
          <t>NOT_TESTED</t>
        </is>
      </c>
      <c r="X74" s="3" t="inlineStr">
        <is>
          <t>NOT_TESTED</t>
        </is>
      </c>
      <c r="Y74" s="3" t="inlineStr">
        <is>
          <t>NOT_TESTED</t>
        </is>
      </c>
      <c r="Z74" s="3" t="inlineStr">
        <is>
          <t>NOT_TESTED</t>
        </is>
      </c>
      <c r="AA74" s="3" t="inlineStr">
        <is>
          <t>NOT_TESTED</t>
        </is>
      </c>
      <c r="AB74" s="3" t="inlineStr">
        <is>
          <t>NOT_TESTED</t>
        </is>
      </c>
      <c r="AC74" s="2" t="inlineStr">
        <is>
          <t>ImportError</t>
        </is>
      </c>
      <c r="AD74" s="2" t="inlineStr">
        <is>
          <t>ImportError: cannot import name 'run_algorithm' from 'qiskit.aqua' (C:\qiskit_envs\q0250\lib\site-packages\qiskit\aqua\__init__.py)</t>
        </is>
      </c>
      <c r="AE74" s="2" t="inlineStr">
        <is>
          <t>The LLM changed the problem name from 'ising' to 'energy' but kept the run_algorithm import, which no longer exists in qiskit.aqua (ImportError). Both luna models also left run_algorithm in place.</t>
        </is>
      </c>
      <c r="AF74" s="2" t="inlineStr">
        <is>
          <t>ImportError</t>
        </is>
      </c>
      <c r="AG74" s="2" t="inlineStr">
        <is>
          <t>ImportError: cannot import name 'run_algorithm' from 'qiskit.aqua' (C:\qiskit_envs\q0251\lib\site-packages\qiskit\aqua\__init__.py)</t>
        </is>
      </c>
      <c r="AH74" s="2" t="inlineStr">
        <is>
          <t>The LLM changed the problem name from 'ising' to 'energy' but kept the run_algorithm import, which no longer exists in qiskit.aqua (ImportError). Both luna models also left run_algorithm in place.</t>
        </is>
      </c>
      <c r="AI74" s="2" t="inlineStr">
        <is>
          <t>ImportError</t>
        </is>
      </c>
      <c r="AJ74" s="2" t="inlineStr">
        <is>
          <t>ImportError: cannot import name 'run_algorithm' from 'qiskit.aqua' (C:\qiskit_envs\q0252\lib\site-packages\qiskit\aqua\__init__.py)</t>
        </is>
      </c>
      <c r="AK74" s="2" t="inlineStr">
        <is>
          <t>The LLM changed the problem name from 'ising' to 'energy' but kept the run_algorithm import, which no longer exists in qiskit.aqua (ImportError). Both luna models also left run_algorithm in place.</t>
        </is>
      </c>
      <c r="AL74" s="2" t="inlineStr">
        <is>
          <t>ImportError</t>
        </is>
      </c>
      <c r="AM74" s="2" t="inlineStr">
        <is>
          <t>ImportError: cannot import name 'run_algorithm' from 'qiskit.aqua' (C:\qiskit_envs\q0253\lib\site-packages\qiskit\aqua\__init__.py)</t>
        </is>
      </c>
      <c r="AN74" s="2" t="inlineStr">
        <is>
          <t>The LLM changed the problem name from 'ising' to 'energy' but kept the run_algorithm import, which no longer exists in qiskit.aqua (ImportError). Both luna models also left run_algorithm in place.</t>
        </is>
      </c>
      <c r="AO74" s="2" t="n"/>
      <c r="AP74" s="2" t="n"/>
      <c r="AQ74" s="2" t="n"/>
      <c r="AR74" s="2" t="n"/>
      <c r="AS74" s="2" t="n"/>
      <c r="AT74" s="2" t="n"/>
      <c r="AU74" s="2" t="n"/>
      <c r="AV74" s="2" t="n"/>
      <c r="AW74" s="2" t="n"/>
      <c r="AX74" s="2" t="n"/>
      <c r="AY74" s="2" t="n"/>
      <c r="AZ74" s="2" t="n"/>
      <c r="BA74" s="2" t="n"/>
      <c r="BB74" s="2" t="n"/>
      <c r="BC74" s="2" t="n"/>
      <c r="BD74" s="2" t="n"/>
      <c r="BE74" s="2" t="n"/>
      <c r="BF74" s="2" t="n"/>
      <c r="BG74" s="2" t="n"/>
      <c r="BH74" s="2" t="n"/>
      <c r="BI74" s="2" t="n"/>
      <c r="BJ74" s="2" t="n"/>
      <c r="BK74" s="2" t="n"/>
      <c r="BL74" s="2" t="n"/>
      <c r="BM74" s="2" t="n"/>
      <c r="BN74" s="2" t="n"/>
      <c r="BO74" s="2" t="n"/>
      <c r="BP74" s="2" t="n"/>
      <c r="BQ74" s="2" t="n"/>
      <c r="BR74" s="2" t="n"/>
      <c r="BS74" s="2" t="n"/>
      <c r="BT74" s="2" t="n"/>
      <c r="BU74" s="2" t="n"/>
      <c r="BV74" s="2" t="n"/>
      <c r="BW74" s="2" t="n"/>
      <c r="BX74" s="2" t="n"/>
      <c r="BY74" s="2" t="n"/>
      <c r="BZ74" s="2" t="n"/>
      <c r="CA74" s="2" t="n"/>
      <c r="CB74" s="2" t="n"/>
      <c r="CC74" s="2" t="n"/>
      <c r="CD74" s="2" t="n"/>
      <c r="CE74" s="2" t="n"/>
      <c r="CF74" s="2" t="n"/>
      <c r="CG74" s="2" t="n"/>
      <c r="CH74" s="2" t="n"/>
      <c r="CI74" s="2" t="n"/>
      <c r="CJ74" s="2" t="n"/>
      <c r="CK74" s="2" t="n"/>
      <c r="CL74" s="2" t="n"/>
      <c r="CM74" s="2" t="n"/>
      <c r="CN74" s="2" t="n"/>
      <c r="CO74" s="2" t="n"/>
      <c r="CP74" s="2" t="n"/>
      <c r="CQ74" s="2" t="n"/>
      <c r="CR74" s="2" t="n"/>
      <c r="CS74" s="2" t="n"/>
      <c r="CT74" s="2" t="n"/>
      <c r="CU74" s="2" t="n"/>
      <c r="CV74" s="2" t="n"/>
      <c r="CW74" s="2" t="n"/>
      <c r="CX74" s="2" t="n"/>
      <c r="CY74" s="2" t="n"/>
      <c r="CZ74" s="2" t="n"/>
      <c r="DA74" s="2" t="n"/>
      <c r="DB74" s="2" t="n"/>
      <c r="DC74" s="2" t="n"/>
      <c r="DD74" s="2" t="n"/>
      <c r="DE7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257"/>
  <sheetViews>
    <sheetView workbookViewId="0">
      <selection activeCell="A1" sqref="A1"/>
    </sheetView>
  </sheetViews>
  <sheetFormatPr baseColWidth="8" defaultRowHeight="15"/>
  <cols>
    <col width="16" customWidth="1" min="1" max="1"/>
    <col width="15" customWidth="1" min="2" max="2"/>
    <col width="34" customWidth="1" min="3" max="3"/>
    <col width="11" customWidth="1" min="4" max="4"/>
    <col width="26" customWidth="1" min="5" max="5"/>
    <col width="48" customWidth="1" min="6" max="6"/>
    <col width="60" customWidth="1" min="7" max="7"/>
    <col width="10" customWidth="1" min="8" max="8"/>
    <col width="14" customWidth="1" min="9" max="9"/>
    <col width="10" customWidth="1" min="10" max="10"/>
    <col width="12" customWidth="1" min="11" max="11"/>
  </cols>
  <sheetData>
    <row r="1">
      <c r="A1" s="7" t="inlineStr">
        <is>
          <t>LLM bug-repair results (gpt-6-astra), judged by each case's test (test_new.py / test-new.py for issue_021_se, issue_058_se and issue_061; test.py for the rest) Since 9 Oct 2026, the test.py of 12 over-specific cases holds an updated test that replaced the old one.</t>
        </is>
      </c>
    </row>
    <row r="2">
      <c r="A2" t="inlineStr">
        <is>
          <t>All numbers below are formulas over the Summary sheet, so they update if Summary changes. batch 1 = Summary rows 2-11, batch 2 = Summary rows 12-21, batch 3 = Summary rows 22-31, batch 4 = Summary rows 32-41, batch 5 = Summary rows 42-51, batch 6 = Summary rows 52-61, batch 7 = Summary rows 62-68, batch 8 = Summary rows 69-74. The 4 runs that hit the 120-second timeout are counted as Runtime error.</t>
        </is>
      </c>
    </row>
    <row r="3"/>
    <row r="4">
      <c r="A4" s="7" t="inlineStr">
        <is>
          <t>1. Case × version pairs</t>
        </is>
      </c>
    </row>
    <row r="5">
      <c r="A5" s="1" t="inlineStr">
        <is>
          <t>Result</t>
        </is>
      </c>
      <c r="B5" s="1" t="inlineStr">
        <is>
          <t>Count</t>
        </is>
      </c>
      <c r="C5" s="1" t="inlineStr">
        <is>
          <t>% of tested pairs</t>
        </is>
      </c>
      <c r="D5" s="1" t="inlineStr">
        <is>
          <t>Batch 1</t>
        </is>
      </c>
      <c r="E5" s="1" t="inlineStr">
        <is>
          <t>Batch 1 %</t>
        </is>
      </c>
      <c r="F5" s="1" t="inlineStr">
        <is>
          <t>Batch 2</t>
        </is>
      </c>
      <c r="G5" s="1" t="inlineStr">
        <is>
          <t>Batch 2 %</t>
        </is>
      </c>
      <c r="H5" s="1" t="inlineStr">
        <is>
          <t>Batch 3</t>
        </is>
      </c>
      <c r="I5" s="1" t="inlineStr">
        <is>
          <t>Batch 3 %</t>
        </is>
      </c>
      <c r="J5" s="1" t="inlineStr">
        <is>
          <t>Batch 4</t>
        </is>
      </c>
      <c r="K5" s="1" t="inlineStr">
        <is>
          <t>Batch 4 %</t>
        </is>
      </c>
      <c r="L5" s="1" t="inlineStr">
        <is>
          <t>Batch 5</t>
        </is>
      </c>
      <c r="M5" s="1" t="inlineStr">
        <is>
          <t>Batch 5 %</t>
        </is>
      </c>
      <c r="N5" s="1" t="inlineStr">
        <is>
          <t>Batch 6</t>
        </is>
      </c>
      <c r="O5" s="1" t="inlineStr">
        <is>
          <t>Batch 6 %</t>
        </is>
      </c>
      <c r="P5" s="1" t="inlineStr">
        <is>
          <t>Batch 7</t>
        </is>
      </c>
      <c r="Q5" s="1" t="inlineStr">
        <is>
          <t>Batch 7 %</t>
        </is>
      </c>
      <c r="R5" s="1" t="inlineStr">
        <is>
          <t>Batch 8</t>
        </is>
      </c>
      <c r="S5" s="1" t="inlineStr">
        <is>
          <t>Batch 8 %</t>
        </is>
      </c>
    </row>
    <row r="6">
      <c r="A6" s="8" t="inlineStr">
        <is>
          <t>Passed on test</t>
        </is>
      </c>
      <c r="B6" s="2">
        <f>COUNTIF(Summary!$B$2:$AB$74,"Passed on test")</f>
        <v/>
      </c>
      <c r="C6" s="9">
        <f>IF($B$9=0,0,B6/$B$9)</f>
        <v/>
      </c>
      <c r="D6" s="2">
        <f>COUNTIF(Summary!$B$2:$AB$11,"Passed on test")</f>
        <v/>
      </c>
      <c r="E6" s="9">
        <f>IF(D$9=0,0,D6/D$9)</f>
        <v/>
      </c>
      <c r="F6" s="2">
        <f>COUNTIF(Summary!$B$12:$AB$21,"Passed on test")</f>
        <v/>
      </c>
      <c r="G6" s="9">
        <f>IF(F$9=0,0,F6/F$9)</f>
        <v/>
      </c>
      <c r="H6" s="2">
        <f>COUNTIF(Summary!$B$22:$AB$31,"Passed on test")</f>
        <v/>
      </c>
      <c r="I6" s="9">
        <f>IF(H$9=0,0,H6/H$9)</f>
        <v/>
      </c>
      <c r="J6" s="2">
        <f>COUNTIF(Summary!$B$32:$AB$41,"Passed on test")</f>
        <v/>
      </c>
      <c r="K6" s="9">
        <f>IF(J$9=0,0,J6/J$9)</f>
        <v/>
      </c>
      <c r="L6" s="2">
        <f>COUNTIF(Summary!$B$42:$AB$51,"Passed on test")</f>
        <v/>
      </c>
      <c r="M6" s="9">
        <f>IF(L$9=0,0,L6/L$9)</f>
        <v/>
      </c>
      <c r="N6" s="2">
        <f>COUNTIF(Summary!$B$52:$AB$61,"Passed on test")</f>
        <v/>
      </c>
      <c r="O6" s="9">
        <f>IF(N$9=0,0,N6/N$9)</f>
        <v/>
      </c>
      <c r="P6" s="2">
        <f>COUNTIF(Summary!$B$62:$AB$68,"Passed on test")</f>
        <v/>
      </c>
      <c r="Q6" s="9">
        <f>IF(P$9=0,0,P6/P$9)</f>
        <v/>
      </c>
      <c r="R6" s="2">
        <f>COUNTIF(Summary!$B$69:$AB$74,"Passed on test")</f>
        <v/>
      </c>
      <c r="S6" s="9">
        <f>IF(R$9=0,0,R6/R$9)</f>
        <v/>
      </c>
    </row>
    <row r="7">
      <c r="A7" s="10" t="inlineStr">
        <is>
          <t>Failed on test</t>
        </is>
      </c>
      <c r="B7" s="2">
        <f>COUNTIF(Summary!$B$2:$AB$74,"Failed on test")</f>
        <v/>
      </c>
      <c r="C7" s="9">
        <f>IF($B$9=0,0,B7/$B$9)</f>
        <v/>
      </c>
      <c r="D7" s="2">
        <f>COUNTIF(Summary!$B$2:$AB$11,"Failed on test")</f>
        <v/>
      </c>
      <c r="E7" s="9">
        <f>IF(D$9=0,0,D7/D$9)</f>
        <v/>
      </c>
      <c r="F7" s="2">
        <f>COUNTIF(Summary!$B$12:$AB$21,"Failed on test")</f>
        <v/>
      </c>
      <c r="G7" s="9">
        <f>IF(F$9=0,0,F7/F$9)</f>
        <v/>
      </c>
      <c r="H7" s="2">
        <f>COUNTIF(Summary!$B$22:$AB$31,"Failed on test")</f>
        <v/>
      </c>
      <c r="I7" s="9">
        <f>IF(H$9=0,0,H7/H$9)</f>
        <v/>
      </c>
      <c r="J7" s="2">
        <f>COUNTIF(Summary!$B$32:$AB$41,"Failed on test")</f>
        <v/>
      </c>
      <c r="K7" s="9">
        <f>IF(J$9=0,0,J7/J$9)</f>
        <v/>
      </c>
      <c r="L7" s="2">
        <f>COUNTIF(Summary!$B$42:$AB$51,"Failed on test")</f>
        <v/>
      </c>
      <c r="M7" s="9">
        <f>IF(L$9=0,0,L7/L$9)</f>
        <v/>
      </c>
      <c r="N7" s="2">
        <f>COUNTIF(Summary!$B$52:$AB$61,"Failed on test")</f>
        <v/>
      </c>
      <c r="O7" s="9">
        <f>IF(N$9=0,0,N7/N$9)</f>
        <v/>
      </c>
      <c r="P7" s="2">
        <f>COUNTIF(Summary!$B$62:$AB$68,"Failed on test")</f>
        <v/>
      </c>
      <c r="Q7" s="9">
        <f>IF(P$9=0,0,P7/P$9)</f>
        <v/>
      </c>
      <c r="R7" s="2">
        <f>COUNTIF(Summary!$B$69:$AB$74,"Failed on test")</f>
        <v/>
      </c>
      <c r="S7" s="9">
        <f>IF(R$9=0,0,R7/R$9)</f>
        <v/>
      </c>
    </row>
    <row r="8">
      <c r="A8" s="11" t="inlineStr">
        <is>
          <t>Runtime error</t>
        </is>
      </c>
      <c r="B8" s="2">
        <f>COUNTIF(Summary!$B$2:$AB$74,"Runtime error")</f>
        <v/>
      </c>
      <c r="C8" s="9">
        <f>IF($B$9=0,0,B8/$B$9)</f>
        <v/>
      </c>
      <c r="D8" s="2">
        <f>COUNTIF(Summary!$B$2:$AB$11,"Runtime error")</f>
        <v/>
      </c>
      <c r="E8" s="9">
        <f>IF(D$9=0,0,D8/D$9)</f>
        <v/>
      </c>
      <c r="F8" s="2">
        <f>COUNTIF(Summary!$B$12:$AB$21,"Runtime error")</f>
        <v/>
      </c>
      <c r="G8" s="9">
        <f>IF(F$9=0,0,F8/F$9)</f>
        <v/>
      </c>
      <c r="H8" s="2">
        <f>COUNTIF(Summary!$B$22:$AB$31,"Runtime error")</f>
        <v/>
      </c>
      <c r="I8" s="9">
        <f>IF(H$9=0,0,H8/H$9)</f>
        <v/>
      </c>
      <c r="J8" s="2">
        <f>COUNTIF(Summary!$B$32:$AB$41,"Runtime error")</f>
        <v/>
      </c>
      <c r="K8" s="9">
        <f>IF(J$9=0,0,J8/J$9)</f>
        <v/>
      </c>
      <c r="L8" s="2">
        <f>COUNTIF(Summary!$B$42:$AB$51,"Runtime error")</f>
        <v/>
      </c>
      <c r="M8" s="9">
        <f>IF(L$9=0,0,L8/L$9)</f>
        <v/>
      </c>
      <c r="N8" s="2">
        <f>COUNTIF(Summary!$B$52:$AB$61,"Runtime error")</f>
        <v/>
      </c>
      <c r="O8" s="9">
        <f>IF(N$9=0,0,N8/N$9)</f>
        <v/>
      </c>
      <c r="P8" s="2">
        <f>COUNTIF(Summary!$B$62:$AB$68,"Runtime error")</f>
        <v/>
      </c>
      <c r="Q8" s="9">
        <f>IF(P$9=0,0,P8/P$9)</f>
        <v/>
      </c>
      <c r="R8" s="2">
        <f>COUNTIF(Summary!$B$69:$AB$74,"Runtime error")</f>
        <v/>
      </c>
      <c r="S8" s="9">
        <f>IF(R$9=0,0,R8/R$9)</f>
        <v/>
      </c>
    </row>
    <row r="9">
      <c r="A9" s="12" t="inlineStr">
        <is>
          <t>Total tested</t>
        </is>
      </c>
      <c r="B9" s="12">
        <f>SUM(B6:B8)</f>
        <v/>
      </c>
      <c r="C9" s="13">
        <f>SUM(C6:C8)</f>
        <v/>
      </c>
      <c r="D9" s="12">
        <f>SUM(D6:D8)</f>
        <v/>
      </c>
      <c r="E9" s="13">
        <f>SUM(E6:E8)</f>
        <v/>
      </c>
      <c r="F9" s="12">
        <f>SUM(F6:F8)</f>
        <v/>
      </c>
      <c r="G9" s="13">
        <f>SUM(G6:G8)</f>
        <v/>
      </c>
      <c r="H9" s="12">
        <f>SUM(H6:H8)</f>
        <v/>
      </c>
      <c r="I9" s="13">
        <f>SUM(I6:I8)</f>
        <v/>
      </c>
      <c r="J9" s="12">
        <f>SUM(J6:J8)</f>
        <v/>
      </c>
      <c r="K9" s="13">
        <f>SUM(K6:K8)</f>
        <v/>
      </c>
      <c r="L9" s="12">
        <f>SUM(L6:L8)</f>
        <v/>
      </c>
      <c r="M9" s="13">
        <f>SUM(M6:M8)</f>
        <v/>
      </c>
      <c r="N9" s="12">
        <f>SUM(N6:N8)</f>
        <v/>
      </c>
      <c r="O9" s="13">
        <f>SUM(O6:O8)</f>
        <v/>
      </c>
      <c r="P9" s="12">
        <f>SUM(P6:P8)</f>
        <v/>
      </c>
      <c r="Q9" s="13">
        <f>SUM(Q6:Q8)</f>
        <v/>
      </c>
      <c r="R9" s="12">
        <f>SUM(R6:R8)</f>
        <v/>
      </c>
      <c r="S9" s="13">
        <f>SUM(S6:S8)</f>
        <v/>
      </c>
    </row>
    <row r="10">
      <c r="A10" s="2" t="inlineStr">
        <is>
          <t>Not tested (version not listed for that case)</t>
        </is>
      </c>
      <c r="B10" s="2">
        <f>COUNTIF(Summary!$B$2:$AB$74,"NOT_TESTED")</f>
        <v/>
      </c>
      <c r="D10" s="2">
        <f>COUNTIF(Summary!$B$2:$AB$11,"NOT_TESTED")</f>
        <v/>
      </c>
      <c r="F10" s="2">
        <f>COUNTIF(Summary!$B$12:$AB$21,"NOT_TESTED")</f>
        <v/>
      </c>
      <c r="H10" s="2">
        <f>COUNTIF(Summary!$B$22:$AB$31,"NOT_TESTED")</f>
        <v/>
      </c>
      <c r="J10" s="2">
        <f>COUNTIF(Summary!$B$32:$AB$41,"NOT_TESTED")</f>
        <v/>
      </c>
      <c r="L10" s="2">
        <f>COUNTIF(Summary!$B$42:$AB$51,"NOT_TESTED")</f>
        <v/>
      </c>
      <c r="N10" s="2">
        <f>COUNTIF(Summary!$B$52:$AB$61,"NOT_TESTED")</f>
        <v/>
      </c>
      <c r="P10" s="2">
        <f>COUNTIF(Summary!$B$62:$AB$68,"NOT_TESTED")</f>
        <v/>
      </c>
      <c r="R10" s="2">
        <f>COUNTIF(Summary!$B$69:$AB$74,"NOT_TESTED")</f>
        <v/>
      </c>
    </row>
    <row r="11"/>
    <row r="12">
      <c r="A12" s="7" t="inlineStr">
        <is>
          <t>2. Per case</t>
        </is>
      </c>
    </row>
    <row r="13">
      <c r="A13" s="1" t="inlineStr">
        <is>
          <t>Case</t>
        </is>
      </c>
      <c r="B13" s="1" t="inlineStr">
        <is>
          <t>Versions tested</t>
        </is>
      </c>
      <c r="C13" s="1" t="inlineStr">
        <is>
          <t>Passed on test</t>
        </is>
      </c>
      <c r="D13" s="1" t="inlineStr">
        <is>
          <t>Failed on test</t>
        </is>
      </c>
      <c r="E13" s="1" t="inlineStr">
        <is>
          <t>Runtime error</t>
        </is>
      </c>
      <c r="F13" s="1" t="inlineStr">
        <is>
          <t>Passed on test %</t>
        </is>
      </c>
      <c r="G13" s="1" t="inlineStr">
        <is>
          <t>Failed on test %</t>
        </is>
      </c>
      <c r="H13" s="1" t="inlineStr">
        <is>
          <t>Runtime error %</t>
        </is>
      </c>
      <c r="I13" s="1" t="inlineStr">
        <is>
          <t>Case outcome</t>
        </is>
      </c>
      <c r="J13" s="1" t="inlineStr">
        <is>
          <t>Batch</t>
        </is>
      </c>
    </row>
    <row r="14">
      <c r="A14" s="2">
        <f>Summary!A2</f>
        <v/>
      </c>
      <c r="B14" s="2">
        <f>COUNTIF(Summary!$B$2:$AB$2,"Passed on test")+COUNTIF(Summary!$B$2:$AB$2,"Failed on test")+COUNTIF(Summary!$B$2:$AB$2,"Runtime error")</f>
        <v/>
      </c>
      <c r="C14" s="2">
        <f>COUNTIF(Summary!$B$2:$AB$2,"Passed on test")</f>
        <v/>
      </c>
      <c r="D14" s="2">
        <f>COUNTIF(Summary!$B$2:$AB$2,"Failed on test")</f>
        <v/>
      </c>
      <c r="E14" s="2">
        <f>COUNTIF(Summary!$B$2:$AB$2,"Runtime error")</f>
        <v/>
      </c>
      <c r="F14" s="9">
        <f>IF($B14=0,0,C14/$B14)</f>
        <v/>
      </c>
      <c r="G14" s="9">
        <f>IF($B14=0,0,D14/$B14)</f>
        <v/>
      </c>
      <c r="H14" s="9">
        <f>IF($B14=0,0,E14/$B14)</f>
        <v/>
      </c>
      <c r="I14" s="2">
        <f>IF(C14=B14,"Passed on test",IF(E14&gt;0,"Runtime error","Failed on test"))</f>
        <v/>
      </c>
      <c r="J14" s="2" t="n">
        <v>1</v>
      </c>
    </row>
    <row r="15">
      <c r="A15" s="2">
        <f>Summary!A3</f>
        <v/>
      </c>
      <c r="B15" s="2">
        <f>COUNTIF(Summary!$B$3:$AB$3,"Passed on test")+COUNTIF(Summary!$B$3:$AB$3,"Failed on test")+COUNTIF(Summary!$B$3:$AB$3,"Runtime error")</f>
        <v/>
      </c>
      <c r="C15" s="2">
        <f>COUNTIF(Summary!$B$3:$AB$3,"Passed on test")</f>
        <v/>
      </c>
      <c r="D15" s="2">
        <f>COUNTIF(Summary!$B$3:$AB$3,"Failed on test")</f>
        <v/>
      </c>
      <c r="E15" s="2">
        <f>COUNTIF(Summary!$B$3:$AB$3,"Runtime error")</f>
        <v/>
      </c>
      <c r="F15" s="9">
        <f>IF($B15=0,0,C15/$B15)</f>
        <v/>
      </c>
      <c r="G15" s="9">
        <f>IF($B15=0,0,D15/$B15)</f>
        <v/>
      </c>
      <c r="H15" s="9">
        <f>IF($B15=0,0,E15/$B15)</f>
        <v/>
      </c>
      <c r="I15" s="2">
        <f>IF(C15=B15,"Passed on test",IF(E15&gt;0,"Runtime error","Failed on test"))</f>
        <v/>
      </c>
      <c r="J15" s="2" t="n">
        <v>1</v>
      </c>
    </row>
    <row r="16">
      <c r="A16" s="2">
        <f>Summary!A4</f>
        <v/>
      </c>
      <c r="B16" s="2">
        <f>COUNTIF(Summary!$B$4:$AB$4,"Passed on test")+COUNTIF(Summary!$B$4:$AB$4,"Failed on test")+COUNTIF(Summary!$B$4:$AB$4,"Runtime error")</f>
        <v/>
      </c>
      <c r="C16" s="2">
        <f>COUNTIF(Summary!$B$4:$AB$4,"Passed on test")</f>
        <v/>
      </c>
      <c r="D16" s="2">
        <f>COUNTIF(Summary!$B$4:$AB$4,"Failed on test")</f>
        <v/>
      </c>
      <c r="E16" s="2">
        <f>COUNTIF(Summary!$B$4:$AB$4,"Runtime error")</f>
        <v/>
      </c>
      <c r="F16" s="9">
        <f>IF($B16=0,0,C16/$B16)</f>
        <v/>
      </c>
      <c r="G16" s="9">
        <f>IF($B16=0,0,D16/$B16)</f>
        <v/>
      </c>
      <c r="H16" s="9">
        <f>IF($B16=0,0,E16/$B16)</f>
        <v/>
      </c>
      <c r="I16" s="2">
        <f>IF(C16=B16,"Passed on test",IF(E16&gt;0,"Runtime error","Failed on test"))</f>
        <v/>
      </c>
      <c r="J16" s="2" t="n">
        <v>1</v>
      </c>
    </row>
    <row r="17">
      <c r="A17" s="2">
        <f>Summary!A5</f>
        <v/>
      </c>
      <c r="B17" s="2">
        <f>COUNTIF(Summary!$B$5:$AB$5,"Passed on test")+COUNTIF(Summary!$B$5:$AB$5,"Failed on test")+COUNTIF(Summary!$B$5:$AB$5,"Runtime error")</f>
        <v/>
      </c>
      <c r="C17" s="2">
        <f>COUNTIF(Summary!$B$5:$AB$5,"Passed on test")</f>
        <v/>
      </c>
      <c r="D17" s="2">
        <f>COUNTIF(Summary!$B$5:$AB$5,"Failed on test")</f>
        <v/>
      </c>
      <c r="E17" s="2">
        <f>COUNTIF(Summary!$B$5:$AB$5,"Runtime error")</f>
        <v/>
      </c>
      <c r="F17" s="9">
        <f>IF($B17=0,0,C17/$B17)</f>
        <v/>
      </c>
      <c r="G17" s="9">
        <f>IF($B17=0,0,D17/$B17)</f>
        <v/>
      </c>
      <c r="H17" s="9">
        <f>IF($B17=0,0,E17/$B17)</f>
        <v/>
      </c>
      <c r="I17" s="2">
        <f>IF(C17=B17,"Passed on test",IF(E17&gt;0,"Runtime error","Failed on test"))</f>
        <v/>
      </c>
      <c r="J17" s="2" t="n">
        <v>1</v>
      </c>
    </row>
    <row r="18">
      <c r="A18" s="2">
        <f>Summary!A6</f>
        <v/>
      </c>
      <c r="B18" s="2">
        <f>COUNTIF(Summary!$B$6:$AB$6,"Passed on test")+COUNTIF(Summary!$B$6:$AB$6,"Failed on test")+COUNTIF(Summary!$B$6:$AB$6,"Runtime error")</f>
        <v/>
      </c>
      <c r="C18" s="2">
        <f>COUNTIF(Summary!$B$6:$AB$6,"Passed on test")</f>
        <v/>
      </c>
      <c r="D18" s="2">
        <f>COUNTIF(Summary!$B$6:$AB$6,"Failed on test")</f>
        <v/>
      </c>
      <c r="E18" s="2">
        <f>COUNTIF(Summary!$B$6:$AB$6,"Runtime error")</f>
        <v/>
      </c>
      <c r="F18" s="9">
        <f>IF($B18=0,0,C18/$B18)</f>
        <v/>
      </c>
      <c r="G18" s="9">
        <f>IF($B18=0,0,D18/$B18)</f>
        <v/>
      </c>
      <c r="H18" s="9">
        <f>IF($B18=0,0,E18/$B18)</f>
        <v/>
      </c>
      <c r="I18" s="2">
        <f>IF(C18=B18,"Passed on test",IF(E18&gt;0,"Runtime error","Failed on test"))</f>
        <v/>
      </c>
      <c r="J18" s="2" t="n">
        <v>1</v>
      </c>
    </row>
    <row r="19">
      <c r="A19" s="2">
        <f>Summary!A7</f>
        <v/>
      </c>
      <c r="B19" s="2">
        <f>COUNTIF(Summary!$B$7:$AB$7,"Passed on test")+COUNTIF(Summary!$B$7:$AB$7,"Failed on test")+COUNTIF(Summary!$B$7:$AB$7,"Runtime error")</f>
        <v/>
      </c>
      <c r="C19" s="2">
        <f>COUNTIF(Summary!$B$7:$AB$7,"Passed on test")</f>
        <v/>
      </c>
      <c r="D19" s="2">
        <f>COUNTIF(Summary!$B$7:$AB$7,"Failed on test")</f>
        <v/>
      </c>
      <c r="E19" s="2">
        <f>COUNTIF(Summary!$B$7:$AB$7,"Runtime error")</f>
        <v/>
      </c>
      <c r="F19" s="9">
        <f>IF($B19=0,0,C19/$B19)</f>
        <v/>
      </c>
      <c r="G19" s="9">
        <f>IF($B19=0,0,D19/$B19)</f>
        <v/>
      </c>
      <c r="H19" s="9">
        <f>IF($B19=0,0,E19/$B19)</f>
        <v/>
      </c>
      <c r="I19" s="2">
        <f>IF(C19=B19,"Passed on test",IF(E19&gt;0,"Runtime error","Failed on test"))</f>
        <v/>
      </c>
      <c r="J19" s="2" t="n">
        <v>1</v>
      </c>
    </row>
    <row r="20">
      <c r="A20" s="2">
        <f>Summary!A8</f>
        <v/>
      </c>
      <c r="B20" s="2">
        <f>COUNTIF(Summary!$B$8:$AB$8,"Passed on test")+COUNTIF(Summary!$B$8:$AB$8,"Failed on test")+COUNTIF(Summary!$B$8:$AB$8,"Runtime error")</f>
        <v/>
      </c>
      <c r="C20" s="2">
        <f>COUNTIF(Summary!$B$8:$AB$8,"Passed on test")</f>
        <v/>
      </c>
      <c r="D20" s="2">
        <f>COUNTIF(Summary!$B$8:$AB$8,"Failed on test")</f>
        <v/>
      </c>
      <c r="E20" s="2">
        <f>COUNTIF(Summary!$B$8:$AB$8,"Runtime error")</f>
        <v/>
      </c>
      <c r="F20" s="9">
        <f>IF($B20=0,0,C20/$B20)</f>
        <v/>
      </c>
      <c r="G20" s="9">
        <f>IF($B20=0,0,D20/$B20)</f>
        <v/>
      </c>
      <c r="H20" s="9">
        <f>IF($B20=0,0,E20/$B20)</f>
        <v/>
      </c>
      <c r="I20" s="2">
        <f>IF(C20=B20,"Passed on test",IF(E20&gt;0,"Runtime error","Failed on test"))</f>
        <v/>
      </c>
      <c r="J20" s="2" t="n">
        <v>1</v>
      </c>
    </row>
    <row r="21">
      <c r="A21" s="2">
        <f>Summary!A9</f>
        <v/>
      </c>
      <c r="B21" s="2">
        <f>COUNTIF(Summary!$B$9:$AB$9,"Passed on test")+COUNTIF(Summary!$B$9:$AB$9,"Failed on test")+COUNTIF(Summary!$B$9:$AB$9,"Runtime error")</f>
        <v/>
      </c>
      <c r="C21" s="2">
        <f>COUNTIF(Summary!$B$9:$AB$9,"Passed on test")</f>
        <v/>
      </c>
      <c r="D21" s="2">
        <f>COUNTIF(Summary!$B$9:$AB$9,"Failed on test")</f>
        <v/>
      </c>
      <c r="E21" s="2">
        <f>COUNTIF(Summary!$B$9:$AB$9,"Runtime error")</f>
        <v/>
      </c>
      <c r="F21" s="9">
        <f>IF($B21=0,0,C21/$B21)</f>
        <v/>
      </c>
      <c r="G21" s="9">
        <f>IF($B21=0,0,D21/$B21)</f>
        <v/>
      </c>
      <c r="H21" s="9">
        <f>IF($B21=0,0,E21/$B21)</f>
        <v/>
      </c>
      <c r="I21" s="2">
        <f>IF(C21=B21,"Passed on test",IF(E21&gt;0,"Runtime error","Failed on test"))</f>
        <v/>
      </c>
      <c r="J21" s="2" t="n">
        <v>1</v>
      </c>
    </row>
    <row r="22">
      <c r="A22" s="2">
        <f>Summary!A10</f>
        <v/>
      </c>
      <c r="B22" s="2">
        <f>COUNTIF(Summary!$B$10:$AB$10,"Passed on test")+COUNTIF(Summary!$B$10:$AB$10,"Failed on test")+COUNTIF(Summary!$B$10:$AB$10,"Runtime error")</f>
        <v/>
      </c>
      <c r="C22" s="2">
        <f>COUNTIF(Summary!$B$10:$AB$10,"Passed on test")</f>
        <v/>
      </c>
      <c r="D22" s="2">
        <f>COUNTIF(Summary!$B$10:$AB$10,"Failed on test")</f>
        <v/>
      </c>
      <c r="E22" s="2">
        <f>COUNTIF(Summary!$B$10:$AB$10,"Runtime error")</f>
        <v/>
      </c>
      <c r="F22" s="9">
        <f>IF($B22=0,0,C22/$B22)</f>
        <v/>
      </c>
      <c r="G22" s="9">
        <f>IF($B22=0,0,D22/$B22)</f>
        <v/>
      </c>
      <c r="H22" s="9">
        <f>IF($B22=0,0,E22/$B22)</f>
        <v/>
      </c>
      <c r="I22" s="2">
        <f>IF(C22=B22,"Passed on test",IF(E22&gt;0,"Runtime error","Failed on test"))</f>
        <v/>
      </c>
      <c r="J22" s="2" t="n">
        <v>1</v>
      </c>
    </row>
    <row r="23">
      <c r="A23" s="2">
        <f>Summary!A11</f>
        <v/>
      </c>
      <c r="B23" s="2">
        <f>COUNTIF(Summary!$B$11:$AB$11,"Passed on test")+COUNTIF(Summary!$B$11:$AB$11,"Failed on test")+COUNTIF(Summary!$B$11:$AB$11,"Runtime error")</f>
        <v/>
      </c>
      <c r="C23" s="2">
        <f>COUNTIF(Summary!$B$11:$AB$11,"Passed on test")</f>
        <v/>
      </c>
      <c r="D23" s="2">
        <f>COUNTIF(Summary!$B$11:$AB$11,"Failed on test")</f>
        <v/>
      </c>
      <c r="E23" s="2">
        <f>COUNTIF(Summary!$B$11:$AB$11,"Runtime error")</f>
        <v/>
      </c>
      <c r="F23" s="9">
        <f>IF($B23=0,0,C23/$B23)</f>
        <v/>
      </c>
      <c r="G23" s="9">
        <f>IF($B23=0,0,D23/$B23)</f>
        <v/>
      </c>
      <c r="H23" s="9">
        <f>IF($B23=0,0,E23/$B23)</f>
        <v/>
      </c>
      <c r="I23" s="2">
        <f>IF(C23=B23,"Passed on test",IF(E23&gt;0,"Runtime error","Failed on test"))</f>
        <v/>
      </c>
      <c r="J23" s="2" t="n">
        <v>1</v>
      </c>
    </row>
    <row r="24">
      <c r="A24" s="2">
        <f>Summary!A12</f>
        <v/>
      </c>
      <c r="B24" s="2">
        <f>COUNTIF(Summary!$B$12:$AB$12,"Passed on test")+COUNTIF(Summary!$B$12:$AB$12,"Failed on test")+COUNTIF(Summary!$B$12:$AB$12,"Runtime error")</f>
        <v/>
      </c>
      <c r="C24" s="2">
        <f>COUNTIF(Summary!$B$12:$AB$12,"Passed on test")</f>
        <v/>
      </c>
      <c r="D24" s="2">
        <f>COUNTIF(Summary!$B$12:$AB$12,"Failed on test")</f>
        <v/>
      </c>
      <c r="E24" s="2">
        <f>COUNTIF(Summary!$B$12:$AB$12,"Runtime error")</f>
        <v/>
      </c>
      <c r="F24" s="9">
        <f>IF($B24=0,0,C24/$B24)</f>
        <v/>
      </c>
      <c r="G24" s="9">
        <f>IF($B24=0,0,D24/$B24)</f>
        <v/>
      </c>
      <c r="H24" s="9">
        <f>IF($B24=0,0,E24/$B24)</f>
        <v/>
      </c>
      <c r="I24" s="2">
        <f>IF(C24=B24,"Passed on test",IF(E24&gt;0,"Runtime error","Failed on test"))</f>
        <v/>
      </c>
      <c r="J24" s="2" t="n">
        <v>2</v>
      </c>
    </row>
    <row r="25">
      <c r="A25" s="2">
        <f>Summary!A13</f>
        <v/>
      </c>
      <c r="B25" s="2">
        <f>COUNTIF(Summary!$B$13:$AB$13,"Passed on test")+COUNTIF(Summary!$B$13:$AB$13,"Failed on test")+COUNTIF(Summary!$B$13:$AB$13,"Runtime error")</f>
        <v/>
      </c>
      <c r="C25" s="2">
        <f>COUNTIF(Summary!$B$13:$AB$13,"Passed on test")</f>
        <v/>
      </c>
      <c r="D25" s="2">
        <f>COUNTIF(Summary!$B$13:$AB$13,"Failed on test")</f>
        <v/>
      </c>
      <c r="E25" s="2">
        <f>COUNTIF(Summary!$B$13:$AB$13,"Runtime error")</f>
        <v/>
      </c>
      <c r="F25" s="9">
        <f>IF($B25=0,0,C25/$B25)</f>
        <v/>
      </c>
      <c r="G25" s="9">
        <f>IF($B25=0,0,D25/$B25)</f>
        <v/>
      </c>
      <c r="H25" s="9">
        <f>IF($B25=0,0,E25/$B25)</f>
        <v/>
      </c>
      <c r="I25" s="2">
        <f>IF(C25=B25,"Passed on test",IF(E25&gt;0,"Runtime error","Failed on test"))</f>
        <v/>
      </c>
      <c r="J25" s="2" t="n">
        <v>2</v>
      </c>
    </row>
    <row r="26">
      <c r="A26" s="2">
        <f>Summary!A14</f>
        <v/>
      </c>
      <c r="B26" s="2">
        <f>COUNTIF(Summary!$B$14:$AB$14,"Passed on test")+COUNTIF(Summary!$B$14:$AB$14,"Failed on test")+COUNTIF(Summary!$B$14:$AB$14,"Runtime error")</f>
        <v/>
      </c>
      <c r="C26" s="2">
        <f>COUNTIF(Summary!$B$14:$AB$14,"Passed on test")</f>
        <v/>
      </c>
      <c r="D26" s="2">
        <f>COUNTIF(Summary!$B$14:$AB$14,"Failed on test")</f>
        <v/>
      </c>
      <c r="E26" s="2">
        <f>COUNTIF(Summary!$B$14:$AB$14,"Runtime error")</f>
        <v/>
      </c>
      <c r="F26" s="9">
        <f>IF($B26=0,0,C26/$B26)</f>
        <v/>
      </c>
      <c r="G26" s="9">
        <f>IF($B26=0,0,D26/$B26)</f>
        <v/>
      </c>
      <c r="H26" s="9">
        <f>IF($B26=0,0,E26/$B26)</f>
        <v/>
      </c>
      <c r="I26" s="2">
        <f>IF(C26=B26,"Passed on test",IF(E26&gt;0,"Runtime error","Failed on test"))</f>
        <v/>
      </c>
      <c r="J26" s="2" t="n">
        <v>2</v>
      </c>
    </row>
    <row r="27">
      <c r="A27" s="2">
        <f>Summary!A15</f>
        <v/>
      </c>
      <c r="B27" s="2">
        <f>COUNTIF(Summary!$B$15:$AB$15,"Passed on test")+COUNTIF(Summary!$B$15:$AB$15,"Failed on test")+COUNTIF(Summary!$B$15:$AB$15,"Runtime error")</f>
        <v/>
      </c>
      <c r="C27" s="2">
        <f>COUNTIF(Summary!$B$15:$AB$15,"Passed on test")</f>
        <v/>
      </c>
      <c r="D27" s="2">
        <f>COUNTIF(Summary!$B$15:$AB$15,"Failed on test")</f>
        <v/>
      </c>
      <c r="E27" s="2">
        <f>COUNTIF(Summary!$B$15:$AB$15,"Runtime error")</f>
        <v/>
      </c>
      <c r="F27" s="9">
        <f>IF($B27=0,0,C27/$B27)</f>
        <v/>
      </c>
      <c r="G27" s="9">
        <f>IF($B27=0,0,D27/$B27)</f>
        <v/>
      </c>
      <c r="H27" s="9">
        <f>IF($B27=0,0,E27/$B27)</f>
        <v/>
      </c>
      <c r="I27" s="2">
        <f>IF(C27=B27,"Passed on test",IF(E27&gt;0,"Runtime error","Failed on test"))</f>
        <v/>
      </c>
      <c r="J27" s="2" t="n">
        <v>2</v>
      </c>
    </row>
    <row r="28">
      <c r="A28" s="2">
        <f>Summary!A16</f>
        <v/>
      </c>
      <c r="B28" s="2">
        <f>COUNTIF(Summary!$B$16:$AB$16,"Passed on test")+COUNTIF(Summary!$B$16:$AB$16,"Failed on test")+COUNTIF(Summary!$B$16:$AB$16,"Runtime error")</f>
        <v/>
      </c>
      <c r="C28" s="2">
        <f>COUNTIF(Summary!$B$16:$AB$16,"Passed on test")</f>
        <v/>
      </c>
      <c r="D28" s="2">
        <f>COUNTIF(Summary!$B$16:$AB$16,"Failed on test")</f>
        <v/>
      </c>
      <c r="E28" s="2">
        <f>COUNTIF(Summary!$B$16:$AB$16,"Runtime error")</f>
        <v/>
      </c>
      <c r="F28" s="9">
        <f>IF($B28=0,0,C28/$B28)</f>
        <v/>
      </c>
      <c r="G28" s="9">
        <f>IF($B28=0,0,D28/$B28)</f>
        <v/>
      </c>
      <c r="H28" s="9">
        <f>IF($B28=0,0,E28/$B28)</f>
        <v/>
      </c>
      <c r="I28" s="2">
        <f>IF(C28=B28,"Passed on test",IF(E28&gt;0,"Runtime error","Failed on test"))</f>
        <v/>
      </c>
      <c r="J28" s="2" t="n">
        <v>2</v>
      </c>
    </row>
    <row r="29">
      <c r="A29" s="2">
        <f>Summary!A17</f>
        <v/>
      </c>
      <c r="B29" s="2">
        <f>COUNTIF(Summary!$B$17:$AB$17,"Passed on test")+COUNTIF(Summary!$B$17:$AB$17,"Failed on test")+COUNTIF(Summary!$B$17:$AB$17,"Runtime error")</f>
        <v/>
      </c>
      <c r="C29" s="2">
        <f>COUNTIF(Summary!$B$17:$AB$17,"Passed on test")</f>
        <v/>
      </c>
      <c r="D29" s="2">
        <f>COUNTIF(Summary!$B$17:$AB$17,"Failed on test")</f>
        <v/>
      </c>
      <c r="E29" s="2">
        <f>COUNTIF(Summary!$B$17:$AB$17,"Runtime error")</f>
        <v/>
      </c>
      <c r="F29" s="9">
        <f>IF($B29=0,0,C29/$B29)</f>
        <v/>
      </c>
      <c r="G29" s="9">
        <f>IF($B29=0,0,D29/$B29)</f>
        <v/>
      </c>
      <c r="H29" s="9">
        <f>IF($B29=0,0,E29/$B29)</f>
        <v/>
      </c>
      <c r="I29" s="2">
        <f>IF(C29=B29,"Passed on test",IF(E29&gt;0,"Runtime error","Failed on test"))</f>
        <v/>
      </c>
      <c r="J29" s="2" t="n">
        <v>2</v>
      </c>
    </row>
    <row r="30">
      <c r="A30" s="2">
        <f>Summary!A18</f>
        <v/>
      </c>
      <c r="B30" s="2">
        <f>COUNTIF(Summary!$B$18:$AB$18,"Passed on test")+COUNTIF(Summary!$B$18:$AB$18,"Failed on test")+COUNTIF(Summary!$B$18:$AB$18,"Runtime error")</f>
        <v/>
      </c>
      <c r="C30" s="2">
        <f>COUNTIF(Summary!$B$18:$AB$18,"Passed on test")</f>
        <v/>
      </c>
      <c r="D30" s="2">
        <f>COUNTIF(Summary!$B$18:$AB$18,"Failed on test")</f>
        <v/>
      </c>
      <c r="E30" s="2">
        <f>COUNTIF(Summary!$B$18:$AB$18,"Runtime error")</f>
        <v/>
      </c>
      <c r="F30" s="9">
        <f>IF($B30=0,0,C30/$B30)</f>
        <v/>
      </c>
      <c r="G30" s="9">
        <f>IF($B30=0,0,D30/$B30)</f>
        <v/>
      </c>
      <c r="H30" s="9">
        <f>IF($B30=0,0,E30/$B30)</f>
        <v/>
      </c>
      <c r="I30" s="2">
        <f>IF(C30=B30,"Passed on test",IF(E30&gt;0,"Runtime error","Failed on test"))</f>
        <v/>
      </c>
      <c r="J30" s="2" t="n">
        <v>2</v>
      </c>
    </row>
    <row r="31">
      <c r="A31" s="2">
        <f>Summary!A19</f>
        <v/>
      </c>
      <c r="B31" s="2">
        <f>COUNTIF(Summary!$B$19:$AB$19,"Passed on test")+COUNTIF(Summary!$B$19:$AB$19,"Failed on test")+COUNTIF(Summary!$B$19:$AB$19,"Runtime error")</f>
        <v/>
      </c>
      <c r="C31" s="2">
        <f>COUNTIF(Summary!$B$19:$AB$19,"Passed on test")</f>
        <v/>
      </c>
      <c r="D31" s="2">
        <f>COUNTIF(Summary!$B$19:$AB$19,"Failed on test")</f>
        <v/>
      </c>
      <c r="E31" s="2">
        <f>COUNTIF(Summary!$B$19:$AB$19,"Runtime error")</f>
        <v/>
      </c>
      <c r="F31" s="9">
        <f>IF($B31=0,0,C31/$B31)</f>
        <v/>
      </c>
      <c r="G31" s="9">
        <f>IF($B31=0,0,D31/$B31)</f>
        <v/>
      </c>
      <c r="H31" s="9">
        <f>IF($B31=0,0,E31/$B31)</f>
        <v/>
      </c>
      <c r="I31" s="2">
        <f>IF(C31=B31,"Passed on test",IF(E31&gt;0,"Runtime error","Failed on test"))</f>
        <v/>
      </c>
      <c r="J31" s="2" t="n">
        <v>2</v>
      </c>
    </row>
    <row r="32">
      <c r="A32" s="2">
        <f>Summary!A20</f>
        <v/>
      </c>
      <c r="B32" s="2">
        <f>COUNTIF(Summary!$B$20:$AB$20,"Passed on test")+COUNTIF(Summary!$B$20:$AB$20,"Failed on test")+COUNTIF(Summary!$B$20:$AB$20,"Runtime error")</f>
        <v/>
      </c>
      <c r="C32" s="2">
        <f>COUNTIF(Summary!$B$20:$AB$20,"Passed on test")</f>
        <v/>
      </c>
      <c r="D32" s="2">
        <f>COUNTIF(Summary!$B$20:$AB$20,"Failed on test")</f>
        <v/>
      </c>
      <c r="E32" s="2">
        <f>COUNTIF(Summary!$B$20:$AB$20,"Runtime error")</f>
        <v/>
      </c>
      <c r="F32" s="9">
        <f>IF($B32=0,0,C32/$B32)</f>
        <v/>
      </c>
      <c r="G32" s="9">
        <f>IF($B32=0,0,D32/$B32)</f>
        <v/>
      </c>
      <c r="H32" s="9">
        <f>IF($B32=0,0,E32/$B32)</f>
        <v/>
      </c>
      <c r="I32" s="2">
        <f>IF(C32=B32,"Passed on test",IF(E32&gt;0,"Runtime error","Failed on test"))</f>
        <v/>
      </c>
      <c r="J32" s="2" t="n">
        <v>2</v>
      </c>
    </row>
    <row r="33">
      <c r="A33" s="2">
        <f>Summary!A21</f>
        <v/>
      </c>
      <c r="B33" s="2">
        <f>COUNTIF(Summary!$B$21:$AB$21,"Passed on test")+COUNTIF(Summary!$B$21:$AB$21,"Failed on test")+COUNTIF(Summary!$B$21:$AB$21,"Runtime error")</f>
        <v/>
      </c>
      <c r="C33" s="2">
        <f>COUNTIF(Summary!$B$21:$AB$21,"Passed on test")</f>
        <v/>
      </c>
      <c r="D33" s="2">
        <f>COUNTIF(Summary!$B$21:$AB$21,"Failed on test")</f>
        <v/>
      </c>
      <c r="E33" s="2">
        <f>COUNTIF(Summary!$B$21:$AB$21,"Runtime error")</f>
        <v/>
      </c>
      <c r="F33" s="9">
        <f>IF($B33=0,0,C33/$B33)</f>
        <v/>
      </c>
      <c r="G33" s="9">
        <f>IF($B33=0,0,D33/$B33)</f>
        <v/>
      </c>
      <c r="H33" s="9">
        <f>IF($B33=0,0,E33/$B33)</f>
        <v/>
      </c>
      <c r="I33" s="2">
        <f>IF(C33=B33,"Passed on test",IF(E33&gt;0,"Runtime error","Failed on test"))</f>
        <v/>
      </c>
      <c r="J33" s="2" t="n">
        <v>2</v>
      </c>
    </row>
    <row r="34">
      <c r="A34" s="2">
        <f>Summary!A22</f>
        <v/>
      </c>
      <c r="B34" s="2">
        <f>COUNTIF(Summary!$B$22:$AB$22,"Passed on test")+COUNTIF(Summary!$B$22:$AB$22,"Failed on test")+COUNTIF(Summary!$B$22:$AB$22,"Runtime error")</f>
        <v/>
      </c>
      <c r="C34" s="2">
        <f>COUNTIF(Summary!$B$22:$AB$22,"Passed on test")</f>
        <v/>
      </c>
      <c r="D34" s="2">
        <f>COUNTIF(Summary!$B$22:$AB$22,"Failed on test")</f>
        <v/>
      </c>
      <c r="E34" s="2">
        <f>COUNTIF(Summary!$B$22:$AB$22,"Runtime error")</f>
        <v/>
      </c>
      <c r="F34" s="9">
        <f>IF($B34=0,0,C34/$B34)</f>
        <v/>
      </c>
      <c r="G34" s="9">
        <f>IF($B34=0,0,D34/$B34)</f>
        <v/>
      </c>
      <c r="H34" s="9">
        <f>IF($B34=0,0,E34/$B34)</f>
        <v/>
      </c>
      <c r="I34" s="2">
        <f>IF(C34=B34,"Passed on test",IF(E34&gt;0,"Runtime error","Failed on test"))</f>
        <v/>
      </c>
      <c r="J34" s="2" t="n">
        <v>3</v>
      </c>
    </row>
    <row r="35">
      <c r="A35" s="2">
        <f>Summary!A23</f>
        <v/>
      </c>
      <c r="B35" s="2">
        <f>COUNTIF(Summary!$B$23:$AB$23,"Passed on test")+COUNTIF(Summary!$B$23:$AB$23,"Failed on test")+COUNTIF(Summary!$B$23:$AB$23,"Runtime error")</f>
        <v/>
      </c>
      <c r="C35" s="2">
        <f>COUNTIF(Summary!$B$23:$AB$23,"Passed on test")</f>
        <v/>
      </c>
      <c r="D35" s="2">
        <f>COUNTIF(Summary!$B$23:$AB$23,"Failed on test")</f>
        <v/>
      </c>
      <c r="E35" s="2">
        <f>COUNTIF(Summary!$B$23:$AB$23,"Runtime error")</f>
        <v/>
      </c>
      <c r="F35" s="9">
        <f>IF($B35=0,0,C35/$B35)</f>
        <v/>
      </c>
      <c r="G35" s="9">
        <f>IF($B35=0,0,D35/$B35)</f>
        <v/>
      </c>
      <c r="H35" s="9">
        <f>IF($B35=0,0,E35/$B35)</f>
        <v/>
      </c>
      <c r="I35" s="2">
        <f>IF(C35=B35,"Passed on test",IF(E35&gt;0,"Runtime error","Failed on test"))</f>
        <v/>
      </c>
      <c r="J35" s="2" t="n">
        <v>3</v>
      </c>
    </row>
    <row r="36">
      <c r="A36" s="2">
        <f>Summary!A24</f>
        <v/>
      </c>
      <c r="B36" s="2">
        <f>COUNTIF(Summary!$B$24:$AB$24,"Passed on test")+COUNTIF(Summary!$B$24:$AB$24,"Failed on test")+COUNTIF(Summary!$B$24:$AB$24,"Runtime error")</f>
        <v/>
      </c>
      <c r="C36" s="2">
        <f>COUNTIF(Summary!$B$24:$AB$24,"Passed on test")</f>
        <v/>
      </c>
      <c r="D36" s="2">
        <f>COUNTIF(Summary!$B$24:$AB$24,"Failed on test")</f>
        <v/>
      </c>
      <c r="E36" s="2">
        <f>COUNTIF(Summary!$B$24:$AB$24,"Runtime error")</f>
        <v/>
      </c>
      <c r="F36" s="9">
        <f>IF($B36=0,0,C36/$B36)</f>
        <v/>
      </c>
      <c r="G36" s="9">
        <f>IF($B36=0,0,D36/$B36)</f>
        <v/>
      </c>
      <c r="H36" s="9">
        <f>IF($B36=0,0,E36/$B36)</f>
        <v/>
      </c>
      <c r="I36" s="2">
        <f>IF(C36=B36,"Passed on test",IF(E36&gt;0,"Runtime error","Failed on test"))</f>
        <v/>
      </c>
      <c r="J36" s="2" t="n">
        <v>3</v>
      </c>
    </row>
    <row r="37">
      <c r="A37" s="2">
        <f>Summary!A25</f>
        <v/>
      </c>
      <c r="B37" s="2">
        <f>COUNTIF(Summary!$B$25:$AB$25,"Passed on test")+COUNTIF(Summary!$B$25:$AB$25,"Failed on test")+COUNTIF(Summary!$B$25:$AB$25,"Runtime error")</f>
        <v/>
      </c>
      <c r="C37" s="2">
        <f>COUNTIF(Summary!$B$25:$AB$25,"Passed on test")</f>
        <v/>
      </c>
      <c r="D37" s="2">
        <f>COUNTIF(Summary!$B$25:$AB$25,"Failed on test")</f>
        <v/>
      </c>
      <c r="E37" s="2">
        <f>COUNTIF(Summary!$B$25:$AB$25,"Runtime error")</f>
        <v/>
      </c>
      <c r="F37" s="9">
        <f>IF($B37=0,0,C37/$B37)</f>
        <v/>
      </c>
      <c r="G37" s="9">
        <f>IF($B37=0,0,D37/$B37)</f>
        <v/>
      </c>
      <c r="H37" s="9">
        <f>IF($B37=0,0,E37/$B37)</f>
        <v/>
      </c>
      <c r="I37" s="2">
        <f>IF(C37=B37,"Passed on test",IF(E37&gt;0,"Runtime error","Failed on test"))</f>
        <v/>
      </c>
      <c r="J37" s="2" t="n">
        <v>3</v>
      </c>
    </row>
    <row r="38">
      <c r="A38" s="2">
        <f>Summary!A26</f>
        <v/>
      </c>
      <c r="B38" s="2">
        <f>COUNTIF(Summary!$B$26:$AB$26,"Passed on test")+COUNTIF(Summary!$B$26:$AB$26,"Failed on test")+COUNTIF(Summary!$B$26:$AB$26,"Runtime error")</f>
        <v/>
      </c>
      <c r="C38" s="2">
        <f>COUNTIF(Summary!$B$26:$AB$26,"Passed on test")</f>
        <v/>
      </c>
      <c r="D38" s="2">
        <f>COUNTIF(Summary!$B$26:$AB$26,"Failed on test")</f>
        <v/>
      </c>
      <c r="E38" s="2">
        <f>COUNTIF(Summary!$B$26:$AB$26,"Runtime error")</f>
        <v/>
      </c>
      <c r="F38" s="9">
        <f>IF($B38=0,0,C38/$B38)</f>
        <v/>
      </c>
      <c r="G38" s="9">
        <f>IF($B38=0,0,D38/$B38)</f>
        <v/>
      </c>
      <c r="H38" s="9">
        <f>IF($B38=0,0,E38/$B38)</f>
        <v/>
      </c>
      <c r="I38" s="2">
        <f>IF(C38=B38,"Passed on test",IF(E38&gt;0,"Runtime error","Failed on test"))</f>
        <v/>
      </c>
      <c r="J38" s="2" t="n">
        <v>3</v>
      </c>
    </row>
    <row r="39">
      <c r="A39" s="2">
        <f>Summary!A27</f>
        <v/>
      </c>
      <c r="B39" s="2">
        <f>COUNTIF(Summary!$B$27:$AB$27,"Passed on test")+COUNTIF(Summary!$B$27:$AB$27,"Failed on test")+COUNTIF(Summary!$B$27:$AB$27,"Runtime error")</f>
        <v/>
      </c>
      <c r="C39" s="2">
        <f>COUNTIF(Summary!$B$27:$AB$27,"Passed on test")</f>
        <v/>
      </c>
      <c r="D39" s="2">
        <f>COUNTIF(Summary!$B$27:$AB$27,"Failed on test")</f>
        <v/>
      </c>
      <c r="E39" s="2">
        <f>COUNTIF(Summary!$B$27:$AB$27,"Runtime error")</f>
        <v/>
      </c>
      <c r="F39" s="9">
        <f>IF($B39=0,0,C39/$B39)</f>
        <v/>
      </c>
      <c r="G39" s="9">
        <f>IF($B39=0,0,D39/$B39)</f>
        <v/>
      </c>
      <c r="H39" s="9">
        <f>IF($B39=0,0,E39/$B39)</f>
        <v/>
      </c>
      <c r="I39" s="2">
        <f>IF(C39=B39,"Passed on test",IF(E39&gt;0,"Runtime error","Failed on test"))</f>
        <v/>
      </c>
      <c r="J39" s="2" t="n">
        <v>3</v>
      </c>
    </row>
    <row r="40">
      <c r="A40" s="2">
        <f>Summary!A28</f>
        <v/>
      </c>
      <c r="B40" s="2">
        <f>COUNTIF(Summary!$B$28:$AB$28,"Passed on test")+COUNTIF(Summary!$B$28:$AB$28,"Failed on test")+COUNTIF(Summary!$B$28:$AB$28,"Runtime error")</f>
        <v/>
      </c>
      <c r="C40" s="2">
        <f>COUNTIF(Summary!$B$28:$AB$28,"Passed on test")</f>
        <v/>
      </c>
      <c r="D40" s="2">
        <f>COUNTIF(Summary!$B$28:$AB$28,"Failed on test")</f>
        <v/>
      </c>
      <c r="E40" s="2">
        <f>COUNTIF(Summary!$B$28:$AB$28,"Runtime error")</f>
        <v/>
      </c>
      <c r="F40" s="9">
        <f>IF($B40=0,0,C40/$B40)</f>
        <v/>
      </c>
      <c r="G40" s="9">
        <f>IF($B40=0,0,D40/$B40)</f>
        <v/>
      </c>
      <c r="H40" s="9">
        <f>IF($B40=0,0,E40/$B40)</f>
        <v/>
      </c>
      <c r="I40" s="2">
        <f>IF(C40=B40,"Passed on test",IF(E40&gt;0,"Runtime error","Failed on test"))</f>
        <v/>
      </c>
      <c r="J40" s="2" t="n">
        <v>3</v>
      </c>
    </row>
    <row r="41">
      <c r="A41" s="2">
        <f>Summary!A29</f>
        <v/>
      </c>
      <c r="B41" s="2">
        <f>COUNTIF(Summary!$B$29:$AB$29,"Passed on test")+COUNTIF(Summary!$B$29:$AB$29,"Failed on test")+COUNTIF(Summary!$B$29:$AB$29,"Runtime error")</f>
        <v/>
      </c>
      <c r="C41" s="2">
        <f>COUNTIF(Summary!$B$29:$AB$29,"Passed on test")</f>
        <v/>
      </c>
      <c r="D41" s="2">
        <f>COUNTIF(Summary!$B$29:$AB$29,"Failed on test")</f>
        <v/>
      </c>
      <c r="E41" s="2">
        <f>COUNTIF(Summary!$B$29:$AB$29,"Runtime error")</f>
        <v/>
      </c>
      <c r="F41" s="9">
        <f>IF($B41=0,0,C41/$B41)</f>
        <v/>
      </c>
      <c r="G41" s="9">
        <f>IF($B41=0,0,D41/$B41)</f>
        <v/>
      </c>
      <c r="H41" s="9">
        <f>IF($B41=0,0,E41/$B41)</f>
        <v/>
      </c>
      <c r="I41" s="2">
        <f>IF(C41=B41,"Passed on test",IF(E41&gt;0,"Runtime error","Failed on test"))</f>
        <v/>
      </c>
      <c r="J41" s="2" t="n">
        <v>3</v>
      </c>
    </row>
    <row r="42">
      <c r="A42" s="2">
        <f>Summary!A30</f>
        <v/>
      </c>
      <c r="B42" s="2">
        <f>COUNTIF(Summary!$B$30:$AB$30,"Passed on test")+COUNTIF(Summary!$B$30:$AB$30,"Failed on test")+COUNTIF(Summary!$B$30:$AB$30,"Runtime error")</f>
        <v/>
      </c>
      <c r="C42" s="2">
        <f>COUNTIF(Summary!$B$30:$AB$30,"Passed on test")</f>
        <v/>
      </c>
      <c r="D42" s="2">
        <f>COUNTIF(Summary!$B$30:$AB$30,"Failed on test")</f>
        <v/>
      </c>
      <c r="E42" s="2">
        <f>COUNTIF(Summary!$B$30:$AB$30,"Runtime error")</f>
        <v/>
      </c>
      <c r="F42" s="9">
        <f>IF($B42=0,0,C42/$B42)</f>
        <v/>
      </c>
      <c r="G42" s="9">
        <f>IF($B42=0,0,D42/$B42)</f>
        <v/>
      </c>
      <c r="H42" s="9">
        <f>IF($B42=0,0,E42/$B42)</f>
        <v/>
      </c>
      <c r="I42" s="2">
        <f>IF(C42=B42,"Passed on test",IF(E42&gt;0,"Runtime error","Failed on test"))</f>
        <v/>
      </c>
      <c r="J42" s="2" t="n">
        <v>3</v>
      </c>
    </row>
    <row r="43">
      <c r="A43" s="2">
        <f>Summary!A31</f>
        <v/>
      </c>
      <c r="B43" s="2">
        <f>COUNTIF(Summary!$B$31:$AB$31,"Passed on test")+COUNTIF(Summary!$B$31:$AB$31,"Failed on test")+COUNTIF(Summary!$B$31:$AB$31,"Runtime error")</f>
        <v/>
      </c>
      <c r="C43" s="2">
        <f>COUNTIF(Summary!$B$31:$AB$31,"Passed on test")</f>
        <v/>
      </c>
      <c r="D43" s="2">
        <f>COUNTIF(Summary!$B$31:$AB$31,"Failed on test")</f>
        <v/>
      </c>
      <c r="E43" s="2">
        <f>COUNTIF(Summary!$B$31:$AB$31,"Runtime error")</f>
        <v/>
      </c>
      <c r="F43" s="9">
        <f>IF($B43=0,0,C43/$B43)</f>
        <v/>
      </c>
      <c r="G43" s="9">
        <f>IF($B43=0,0,D43/$B43)</f>
        <v/>
      </c>
      <c r="H43" s="9">
        <f>IF($B43=0,0,E43/$B43)</f>
        <v/>
      </c>
      <c r="I43" s="2">
        <f>IF(C43=B43,"Passed on test",IF(E43&gt;0,"Runtime error","Failed on test"))</f>
        <v/>
      </c>
      <c r="J43" s="2" t="n">
        <v>3</v>
      </c>
    </row>
    <row r="44">
      <c r="A44" s="2">
        <f>Summary!A32</f>
        <v/>
      </c>
      <c r="B44" s="2">
        <f>COUNTIF(Summary!$B$32:$AB$32,"Passed on test")+COUNTIF(Summary!$B$32:$AB$32,"Failed on test")+COUNTIF(Summary!$B$32:$AB$32,"Runtime error")</f>
        <v/>
      </c>
      <c r="C44" s="2">
        <f>COUNTIF(Summary!$B$32:$AB$32,"Passed on test")</f>
        <v/>
      </c>
      <c r="D44" s="2">
        <f>COUNTIF(Summary!$B$32:$AB$32,"Failed on test")</f>
        <v/>
      </c>
      <c r="E44" s="2">
        <f>COUNTIF(Summary!$B$32:$AB$32,"Runtime error")</f>
        <v/>
      </c>
      <c r="F44" s="9">
        <f>IF($B44=0,0,C44/$B44)</f>
        <v/>
      </c>
      <c r="G44" s="9">
        <f>IF($B44=0,0,D44/$B44)</f>
        <v/>
      </c>
      <c r="H44" s="9">
        <f>IF($B44=0,0,E44/$B44)</f>
        <v/>
      </c>
      <c r="I44" s="2">
        <f>IF(C44=B44,"Passed on test",IF(E44&gt;0,"Runtime error","Failed on test"))</f>
        <v/>
      </c>
      <c r="J44" s="2" t="n">
        <v>4</v>
      </c>
    </row>
    <row r="45">
      <c r="A45" s="2">
        <f>Summary!A33</f>
        <v/>
      </c>
      <c r="B45" s="2">
        <f>COUNTIF(Summary!$B$33:$AB$33,"Passed on test")+COUNTIF(Summary!$B$33:$AB$33,"Failed on test")+COUNTIF(Summary!$B$33:$AB$33,"Runtime error")</f>
        <v/>
      </c>
      <c r="C45" s="2">
        <f>COUNTIF(Summary!$B$33:$AB$33,"Passed on test")</f>
        <v/>
      </c>
      <c r="D45" s="2">
        <f>COUNTIF(Summary!$B$33:$AB$33,"Failed on test")</f>
        <v/>
      </c>
      <c r="E45" s="2">
        <f>COUNTIF(Summary!$B$33:$AB$33,"Runtime error")</f>
        <v/>
      </c>
      <c r="F45" s="9">
        <f>IF($B45=0,0,C45/$B45)</f>
        <v/>
      </c>
      <c r="G45" s="9">
        <f>IF($B45=0,0,D45/$B45)</f>
        <v/>
      </c>
      <c r="H45" s="9">
        <f>IF($B45=0,0,E45/$B45)</f>
        <v/>
      </c>
      <c r="I45" s="2">
        <f>IF(C45=B45,"Passed on test",IF(E45&gt;0,"Runtime error","Failed on test"))</f>
        <v/>
      </c>
      <c r="J45" s="2" t="n">
        <v>4</v>
      </c>
    </row>
    <row r="46">
      <c r="A46" s="2">
        <f>Summary!A34</f>
        <v/>
      </c>
      <c r="B46" s="2">
        <f>COUNTIF(Summary!$B$34:$AB$34,"Passed on test")+COUNTIF(Summary!$B$34:$AB$34,"Failed on test")+COUNTIF(Summary!$B$34:$AB$34,"Runtime error")</f>
        <v/>
      </c>
      <c r="C46" s="2">
        <f>COUNTIF(Summary!$B$34:$AB$34,"Passed on test")</f>
        <v/>
      </c>
      <c r="D46" s="2">
        <f>COUNTIF(Summary!$B$34:$AB$34,"Failed on test")</f>
        <v/>
      </c>
      <c r="E46" s="2">
        <f>COUNTIF(Summary!$B$34:$AB$34,"Runtime error")</f>
        <v/>
      </c>
      <c r="F46" s="9">
        <f>IF($B46=0,0,C46/$B46)</f>
        <v/>
      </c>
      <c r="G46" s="9">
        <f>IF($B46=0,0,D46/$B46)</f>
        <v/>
      </c>
      <c r="H46" s="9">
        <f>IF($B46=0,0,E46/$B46)</f>
        <v/>
      </c>
      <c r="I46" s="2">
        <f>IF(C46=B46,"Passed on test",IF(E46&gt;0,"Runtime error","Failed on test"))</f>
        <v/>
      </c>
      <c r="J46" s="2" t="n">
        <v>4</v>
      </c>
    </row>
    <row r="47">
      <c r="A47" s="2">
        <f>Summary!A35</f>
        <v/>
      </c>
      <c r="B47" s="2">
        <f>COUNTIF(Summary!$B$35:$AB$35,"Passed on test")+COUNTIF(Summary!$B$35:$AB$35,"Failed on test")+COUNTIF(Summary!$B$35:$AB$35,"Runtime error")</f>
        <v/>
      </c>
      <c r="C47" s="2">
        <f>COUNTIF(Summary!$B$35:$AB$35,"Passed on test")</f>
        <v/>
      </c>
      <c r="D47" s="2">
        <f>COUNTIF(Summary!$B$35:$AB$35,"Failed on test")</f>
        <v/>
      </c>
      <c r="E47" s="2">
        <f>COUNTIF(Summary!$B$35:$AB$35,"Runtime error")</f>
        <v/>
      </c>
      <c r="F47" s="9">
        <f>IF($B47=0,0,C47/$B47)</f>
        <v/>
      </c>
      <c r="G47" s="9">
        <f>IF($B47=0,0,D47/$B47)</f>
        <v/>
      </c>
      <c r="H47" s="9">
        <f>IF($B47=0,0,E47/$B47)</f>
        <v/>
      </c>
      <c r="I47" s="2">
        <f>IF(C47=B47,"Passed on test",IF(E47&gt;0,"Runtime error","Failed on test"))</f>
        <v/>
      </c>
      <c r="J47" s="2" t="n">
        <v>4</v>
      </c>
    </row>
    <row r="48">
      <c r="A48" s="2">
        <f>Summary!A36</f>
        <v/>
      </c>
      <c r="B48" s="2">
        <f>COUNTIF(Summary!$B$36:$AB$36,"Passed on test")+COUNTIF(Summary!$B$36:$AB$36,"Failed on test")+COUNTIF(Summary!$B$36:$AB$36,"Runtime error")</f>
        <v/>
      </c>
      <c r="C48" s="2">
        <f>COUNTIF(Summary!$B$36:$AB$36,"Passed on test")</f>
        <v/>
      </c>
      <c r="D48" s="2">
        <f>COUNTIF(Summary!$B$36:$AB$36,"Failed on test")</f>
        <v/>
      </c>
      <c r="E48" s="2">
        <f>COUNTIF(Summary!$B$36:$AB$36,"Runtime error")</f>
        <v/>
      </c>
      <c r="F48" s="9">
        <f>IF($B48=0,0,C48/$B48)</f>
        <v/>
      </c>
      <c r="G48" s="9">
        <f>IF($B48=0,0,D48/$B48)</f>
        <v/>
      </c>
      <c r="H48" s="9">
        <f>IF($B48=0,0,E48/$B48)</f>
        <v/>
      </c>
      <c r="I48" s="2">
        <f>IF(C48=B48,"Passed on test",IF(E48&gt;0,"Runtime error","Failed on test"))</f>
        <v/>
      </c>
      <c r="J48" s="2" t="n">
        <v>4</v>
      </c>
    </row>
    <row r="49">
      <c r="A49" s="2">
        <f>Summary!A37</f>
        <v/>
      </c>
      <c r="B49" s="2">
        <f>COUNTIF(Summary!$B$37:$AB$37,"Passed on test")+COUNTIF(Summary!$B$37:$AB$37,"Failed on test")+COUNTIF(Summary!$B$37:$AB$37,"Runtime error")</f>
        <v/>
      </c>
      <c r="C49" s="2">
        <f>COUNTIF(Summary!$B$37:$AB$37,"Passed on test")</f>
        <v/>
      </c>
      <c r="D49" s="2">
        <f>COUNTIF(Summary!$B$37:$AB$37,"Failed on test")</f>
        <v/>
      </c>
      <c r="E49" s="2">
        <f>COUNTIF(Summary!$B$37:$AB$37,"Runtime error")</f>
        <v/>
      </c>
      <c r="F49" s="9">
        <f>IF($B49=0,0,C49/$B49)</f>
        <v/>
      </c>
      <c r="G49" s="9">
        <f>IF($B49=0,0,D49/$B49)</f>
        <v/>
      </c>
      <c r="H49" s="9">
        <f>IF($B49=0,0,E49/$B49)</f>
        <v/>
      </c>
      <c r="I49" s="2">
        <f>IF(C49=B49,"Passed on test",IF(E49&gt;0,"Runtime error","Failed on test"))</f>
        <v/>
      </c>
      <c r="J49" s="2" t="n">
        <v>4</v>
      </c>
    </row>
    <row r="50">
      <c r="A50" s="2">
        <f>Summary!A38</f>
        <v/>
      </c>
      <c r="B50" s="2">
        <f>COUNTIF(Summary!$B$38:$AB$38,"Passed on test")+COUNTIF(Summary!$B$38:$AB$38,"Failed on test")+COUNTIF(Summary!$B$38:$AB$38,"Runtime error")</f>
        <v/>
      </c>
      <c r="C50" s="2">
        <f>COUNTIF(Summary!$B$38:$AB$38,"Passed on test")</f>
        <v/>
      </c>
      <c r="D50" s="2">
        <f>COUNTIF(Summary!$B$38:$AB$38,"Failed on test")</f>
        <v/>
      </c>
      <c r="E50" s="2">
        <f>COUNTIF(Summary!$B$38:$AB$38,"Runtime error")</f>
        <v/>
      </c>
      <c r="F50" s="9">
        <f>IF($B50=0,0,C50/$B50)</f>
        <v/>
      </c>
      <c r="G50" s="9">
        <f>IF($B50=0,0,D50/$B50)</f>
        <v/>
      </c>
      <c r="H50" s="9">
        <f>IF($B50=0,0,E50/$B50)</f>
        <v/>
      </c>
      <c r="I50" s="2">
        <f>IF(C50=B50,"Passed on test",IF(E50&gt;0,"Runtime error","Failed on test"))</f>
        <v/>
      </c>
      <c r="J50" s="2" t="n">
        <v>4</v>
      </c>
    </row>
    <row r="51">
      <c r="A51" s="2">
        <f>Summary!A39</f>
        <v/>
      </c>
      <c r="B51" s="2">
        <f>COUNTIF(Summary!$B$39:$AB$39,"Passed on test")+COUNTIF(Summary!$B$39:$AB$39,"Failed on test")+COUNTIF(Summary!$B$39:$AB$39,"Runtime error")</f>
        <v/>
      </c>
      <c r="C51" s="2">
        <f>COUNTIF(Summary!$B$39:$AB$39,"Passed on test")</f>
        <v/>
      </c>
      <c r="D51" s="2">
        <f>COUNTIF(Summary!$B$39:$AB$39,"Failed on test")</f>
        <v/>
      </c>
      <c r="E51" s="2">
        <f>COUNTIF(Summary!$B$39:$AB$39,"Runtime error")</f>
        <v/>
      </c>
      <c r="F51" s="9">
        <f>IF($B51=0,0,C51/$B51)</f>
        <v/>
      </c>
      <c r="G51" s="9">
        <f>IF($B51=0,0,D51/$B51)</f>
        <v/>
      </c>
      <c r="H51" s="9">
        <f>IF($B51=0,0,E51/$B51)</f>
        <v/>
      </c>
      <c r="I51" s="2">
        <f>IF(C51=B51,"Passed on test",IF(E51&gt;0,"Runtime error","Failed on test"))</f>
        <v/>
      </c>
      <c r="J51" s="2" t="n">
        <v>4</v>
      </c>
    </row>
    <row r="52">
      <c r="A52" s="2">
        <f>Summary!A40</f>
        <v/>
      </c>
      <c r="B52" s="2">
        <f>COUNTIF(Summary!$B$40:$AB$40,"Passed on test")+COUNTIF(Summary!$B$40:$AB$40,"Failed on test")+COUNTIF(Summary!$B$40:$AB$40,"Runtime error")</f>
        <v/>
      </c>
      <c r="C52" s="2">
        <f>COUNTIF(Summary!$B$40:$AB$40,"Passed on test")</f>
        <v/>
      </c>
      <c r="D52" s="2">
        <f>COUNTIF(Summary!$B$40:$AB$40,"Failed on test")</f>
        <v/>
      </c>
      <c r="E52" s="2">
        <f>COUNTIF(Summary!$B$40:$AB$40,"Runtime error")</f>
        <v/>
      </c>
      <c r="F52" s="9">
        <f>IF($B52=0,0,C52/$B52)</f>
        <v/>
      </c>
      <c r="G52" s="9">
        <f>IF($B52=0,0,D52/$B52)</f>
        <v/>
      </c>
      <c r="H52" s="9">
        <f>IF($B52=0,0,E52/$B52)</f>
        <v/>
      </c>
      <c r="I52" s="2">
        <f>IF(C52=B52,"Passed on test",IF(E52&gt;0,"Runtime error","Failed on test"))</f>
        <v/>
      </c>
      <c r="J52" s="2" t="n">
        <v>4</v>
      </c>
    </row>
    <row r="53">
      <c r="A53" s="2">
        <f>Summary!A41</f>
        <v/>
      </c>
      <c r="B53" s="2">
        <f>COUNTIF(Summary!$B$41:$AB$41,"Passed on test")+COUNTIF(Summary!$B$41:$AB$41,"Failed on test")+COUNTIF(Summary!$B$41:$AB$41,"Runtime error")</f>
        <v/>
      </c>
      <c r="C53" s="2">
        <f>COUNTIF(Summary!$B$41:$AB$41,"Passed on test")</f>
        <v/>
      </c>
      <c r="D53" s="2">
        <f>COUNTIF(Summary!$B$41:$AB$41,"Failed on test")</f>
        <v/>
      </c>
      <c r="E53" s="2">
        <f>COUNTIF(Summary!$B$41:$AB$41,"Runtime error")</f>
        <v/>
      </c>
      <c r="F53" s="9">
        <f>IF($B53=0,0,C53/$B53)</f>
        <v/>
      </c>
      <c r="G53" s="9">
        <f>IF($B53=0,0,D53/$B53)</f>
        <v/>
      </c>
      <c r="H53" s="9">
        <f>IF($B53=0,0,E53/$B53)</f>
        <v/>
      </c>
      <c r="I53" s="2">
        <f>IF(C53=B53,"Passed on test",IF(E53&gt;0,"Runtime error","Failed on test"))</f>
        <v/>
      </c>
      <c r="J53" s="2" t="n">
        <v>4</v>
      </c>
    </row>
    <row r="54">
      <c r="A54" s="2">
        <f>Summary!A42</f>
        <v/>
      </c>
      <c r="B54" s="2">
        <f>COUNTIF(Summary!$B$42:$AB$42,"Passed on test")+COUNTIF(Summary!$B$42:$AB$42,"Failed on test")+COUNTIF(Summary!$B$42:$AB$42,"Runtime error")</f>
        <v/>
      </c>
      <c r="C54" s="2">
        <f>COUNTIF(Summary!$B$42:$AB$42,"Passed on test")</f>
        <v/>
      </c>
      <c r="D54" s="2">
        <f>COUNTIF(Summary!$B$42:$AB$42,"Failed on test")</f>
        <v/>
      </c>
      <c r="E54" s="2">
        <f>COUNTIF(Summary!$B$42:$AB$42,"Runtime error")</f>
        <v/>
      </c>
      <c r="F54" s="9">
        <f>IF($B54=0,0,C54/$B54)</f>
        <v/>
      </c>
      <c r="G54" s="9">
        <f>IF($B54=0,0,D54/$B54)</f>
        <v/>
      </c>
      <c r="H54" s="9">
        <f>IF($B54=0,0,E54/$B54)</f>
        <v/>
      </c>
      <c r="I54" s="2">
        <f>IF(C54=B54,"Passed on test",IF(E54&gt;0,"Runtime error","Failed on test"))</f>
        <v/>
      </c>
      <c r="J54" s="2" t="n">
        <v>5</v>
      </c>
    </row>
    <row r="55">
      <c r="A55" s="2">
        <f>Summary!A43</f>
        <v/>
      </c>
      <c r="B55" s="2">
        <f>COUNTIF(Summary!$B$43:$AB$43,"Passed on test")+COUNTIF(Summary!$B$43:$AB$43,"Failed on test")+COUNTIF(Summary!$B$43:$AB$43,"Runtime error")</f>
        <v/>
      </c>
      <c r="C55" s="2">
        <f>COUNTIF(Summary!$B$43:$AB$43,"Passed on test")</f>
        <v/>
      </c>
      <c r="D55" s="2">
        <f>COUNTIF(Summary!$B$43:$AB$43,"Failed on test")</f>
        <v/>
      </c>
      <c r="E55" s="2">
        <f>COUNTIF(Summary!$B$43:$AB$43,"Runtime error")</f>
        <v/>
      </c>
      <c r="F55" s="9">
        <f>IF($B55=0,0,C55/$B55)</f>
        <v/>
      </c>
      <c r="G55" s="9">
        <f>IF($B55=0,0,D55/$B55)</f>
        <v/>
      </c>
      <c r="H55" s="9">
        <f>IF($B55=0,0,E55/$B55)</f>
        <v/>
      </c>
      <c r="I55" s="2">
        <f>IF(C55=B55,"Passed on test",IF(E55&gt;0,"Runtime error","Failed on test"))</f>
        <v/>
      </c>
      <c r="J55" s="2" t="n">
        <v>5</v>
      </c>
    </row>
    <row r="56">
      <c r="A56" s="2">
        <f>Summary!A44</f>
        <v/>
      </c>
      <c r="B56" s="2">
        <f>COUNTIF(Summary!$B$44:$AB$44,"Passed on test")+COUNTIF(Summary!$B$44:$AB$44,"Failed on test")+COUNTIF(Summary!$B$44:$AB$44,"Runtime error")</f>
        <v/>
      </c>
      <c r="C56" s="2">
        <f>COUNTIF(Summary!$B$44:$AB$44,"Passed on test")</f>
        <v/>
      </c>
      <c r="D56" s="2">
        <f>COUNTIF(Summary!$B$44:$AB$44,"Failed on test")</f>
        <v/>
      </c>
      <c r="E56" s="2">
        <f>COUNTIF(Summary!$B$44:$AB$44,"Runtime error")</f>
        <v/>
      </c>
      <c r="F56" s="9">
        <f>IF($B56=0,0,C56/$B56)</f>
        <v/>
      </c>
      <c r="G56" s="9">
        <f>IF($B56=0,0,D56/$B56)</f>
        <v/>
      </c>
      <c r="H56" s="9">
        <f>IF($B56=0,0,E56/$B56)</f>
        <v/>
      </c>
      <c r="I56" s="2">
        <f>IF(C56=B56,"Passed on test",IF(E56&gt;0,"Runtime error","Failed on test"))</f>
        <v/>
      </c>
      <c r="J56" s="2" t="n">
        <v>5</v>
      </c>
    </row>
    <row r="57">
      <c r="A57" s="2">
        <f>Summary!A45</f>
        <v/>
      </c>
      <c r="B57" s="2">
        <f>COUNTIF(Summary!$B$45:$AB$45,"Passed on test")+COUNTIF(Summary!$B$45:$AB$45,"Failed on test")+COUNTIF(Summary!$B$45:$AB$45,"Runtime error")</f>
        <v/>
      </c>
      <c r="C57" s="2">
        <f>COUNTIF(Summary!$B$45:$AB$45,"Passed on test")</f>
        <v/>
      </c>
      <c r="D57" s="2">
        <f>COUNTIF(Summary!$B$45:$AB$45,"Failed on test")</f>
        <v/>
      </c>
      <c r="E57" s="2">
        <f>COUNTIF(Summary!$B$45:$AB$45,"Runtime error")</f>
        <v/>
      </c>
      <c r="F57" s="9">
        <f>IF($B57=0,0,C57/$B57)</f>
        <v/>
      </c>
      <c r="G57" s="9">
        <f>IF($B57=0,0,D57/$B57)</f>
        <v/>
      </c>
      <c r="H57" s="9">
        <f>IF($B57=0,0,E57/$B57)</f>
        <v/>
      </c>
      <c r="I57" s="2">
        <f>IF(C57=B57,"Passed on test",IF(E57&gt;0,"Runtime error","Failed on test"))</f>
        <v/>
      </c>
      <c r="J57" s="2" t="n">
        <v>5</v>
      </c>
    </row>
    <row r="58">
      <c r="A58" s="2">
        <f>Summary!A46</f>
        <v/>
      </c>
      <c r="B58" s="2">
        <f>COUNTIF(Summary!$B$46:$AB$46,"Passed on test")+COUNTIF(Summary!$B$46:$AB$46,"Failed on test")+COUNTIF(Summary!$B$46:$AB$46,"Runtime error")</f>
        <v/>
      </c>
      <c r="C58" s="2">
        <f>COUNTIF(Summary!$B$46:$AB$46,"Passed on test")</f>
        <v/>
      </c>
      <c r="D58" s="2">
        <f>COUNTIF(Summary!$B$46:$AB$46,"Failed on test")</f>
        <v/>
      </c>
      <c r="E58" s="2">
        <f>COUNTIF(Summary!$B$46:$AB$46,"Runtime error")</f>
        <v/>
      </c>
      <c r="F58" s="9">
        <f>IF($B58=0,0,C58/$B58)</f>
        <v/>
      </c>
      <c r="G58" s="9">
        <f>IF($B58=0,0,D58/$B58)</f>
        <v/>
      </c>
      <c r="H58" s="9">
        <f>IF($B58=0,0,E58/$B58)</f>
        <v/>
      </c>
      <c r="I58" s="2">
        <f>IF(C58=B58,"Passed on test",IF(E58&gt;0,"Runtime error","Failed on test"))</f>
        <v/>
      </c>
      <c r="J58" s="2" t="n">
        <v>5</v>
      </c>
    </row>
    <row r="59">
      <c r="A59" s="2">
        <f>Summary!A47</f>
        <v/>
      </c>
      <c r="B59" s="2">
        <f>COUNTIF(Summary!$B$47:$AB$47,"Passed on test")+COUNTIF(Summary!$B$47:$AB$47,"Failed on test")+COUNTIF(Summary!$B$47:$AB$47,"Runtime error")</f>
        <v/>
      </c>
      <c r="C59" s="2">
        <f>COUNTIF(Summary!$B$47:$AB$47,"Passed on test")</f>
        <v/>
      </c>
      <c r="D59" s="2">
        <f>COUNTIF(Summary!$B$47:$AB$47,"Failed on test")</f>
        <v/>
      </c>
      <c r="E59" s="2">
        <f>COUNTIF(Summary!$B$47:$AB$47,"Runtime error")</f>
        <v/>
      </c>
      <c r="F59" s="9">
        <f>IF($B59=0,0,C59/$B59)</f>
        <v/>
      </c>
      <c r="G59" s="9">
        <f>IF($B59=0,0,D59/$B59)</f>
        <v/>
      </c>
      <c r="H59" s="9">
        <f>IF($B59=0,0,E59/$B59)</f>
        <v/>
      </c>
      <c r="I59" s="2">
        <f>IF(C59=B59,"Passed on test",IF(E59&gt;0,"Runtime error","Failed on test"))</f>
        <v/>
      </c>
      <c r="J59" s="2" t="n">
        <v>5</v>
      </c>
    </row>
    <row r="60">
      <c r="A60" s="2">
        <f>Summary!A48</f>
        <v/>
      </c>
      <c r="B60" s="2">
        <f>COUNTIF(Summary!$B$48:$AB$48,"Passed on test")+COUNTIF(Summary!$B$48:$AB$48,"Failed on test")+COUNTIF(Summary!$B$48:$AB$48,"Runtime error")</f>
        <v/>
      </c>
      <c r="C60" s="2">
        <f>COUNTIF(Summary!$B$48:$AB$48,"Passed on test")</f>
        <v/>
      </c>
      <c r="D60" s="2">
        <f>COUNTIF(Summary!$B$48:$AB$48,"Failed on test")</f>
        <v/>
      </c>
      <c r="E60" s="2">
        <f>COUNTIF(Summary!$B$48:$AB$48,"Runtime error")</f>
        <v/>
      </c>
      <c r="F60" s="9">
        <f>IF($B60=0,0,C60/$B60)</f>
        <v/>
      </c>
      <c r="G60" s="9">
        <f>IF($B60=0,0,D60/$B60)</f>
        <v/>
      </c>
      <c r="H60" s="9">
        <f>IF($B60=0,0,E60/$B60)</f>
        <v/>
      </c>
      <c r="I60" s="2">
        <f>IF(C60=B60,"Passed on test",IF(E60&gt;0,"Runtime error","Failed on test"))</f>
        <v/>
      </c>
      <c r="J60" s="2" t="n">
        <v>5</v>
      </c>
    </row>
    <row r="61">
      <c r="A61" s="2">
        <f>Summary!A49</f>
        <v/>
      </c>
      <c r="B61" s="2">
        <f>COUNTIF(Summary!$B$49:$AB$49,"Passed on test")+COUNTIF(Summary!$B$49:$AB$49,"Failed on test")+COUNTIF(Summary!$B$49:$AB$49,"Runtime error")</f>
        <v/>
      </c>
      <c r="C61" s="2">
        <f>COUNTIF(Summary!$B$49:$AB$49,"Passed on test")</f>
        <v/>
      </c>
      <c r="D61" s="2">
        <f>COUNTIF(Summary!$B$49:$AB$49,"Failed on test")</f>
        <v/>
      </c>
      <c r="E61" s="2">
        <f>COUNTIF(Summary!$B$49:$AB$49,"Runtime error")</f>
        <v/>
      </c>
      <c r="F61" s="9">
        <f>IF($B61=0,0,C61/$B61)</f>
        <v/>
      </c>
      <c r="G61" s="9">
        <f>IF($B61=0,0,D61/$B61)</f>
        <v/>
      </c>
      <c r="H61" s="9">
        <f>IF($B61=0,0,E61/$B61)</f>
        <v/>
      </c>
      <c r="I61" s="2">
        <f>IF(C61=B61,"Passed on test",IF(E61&gt;0,"Runtime error","Failed on test"))</f>
        <v/>
      </c>
      <c r="J61" s="2" t="n">
        <v>5</v>
      </c>
    </row>
    <row r="62">
      <c r="A62" s="2">
        <f>Summary!A50</f>
        <v/>
      </c>
      <c r="B62" s="2">
        <f>COUNTIF(Summary!$B$50:$AB$50,"Passed on test")+COUNTIF(Summary!$B$50:$AB$50,"Failed on test")+COUNTIF(Summary!$B$50:$AB$50,"Runtime error")</f>
        <v/>
      </c>
      <c r="C62" s="2">
        <f>COUNTIF(Summary!$B$50:$AB$50,"Passed on test")</f>
        <v/>
      </c>
      <c r="D62" s="2">
        <f>COUNTIF(Summary!$B$50:$AB$50,"Failed on test")</f>
        <v/>
      </c>
      <c r="E62" s="2">
        <f>COUNTIF(Summary!$B$50:$AB$50,"Runtime error")</f>
        <v/>
      </c>
      <c r="F62" s="9">
        <f>IF($B62=0,0,C62/$B62)</f>
        <v/>
      </c>
      <c r="G62" s="9">
        <f>IF($B62=0,0,D62/$B62)</f>
        <v/>
      </c>
      <c r="H62" s="9">
        <f>IF($B62=0,0,E62/$B62)</f>
        <v/>
      </c>
      <c r="I62" s="2">
        <f>IF(C62=B62,"Passed on test",IF(E62&gt;0,"Runtime error","Failed on test"))</f>
        <v/>
      </c>
      <c r="J62" s="2" t="n">
        <v>5</v>
      </c>
    </row>
    <row r="63">
      <c r="A63" s="2">
        <f>Summary!A51</f>
        <v/>
      </c>
      <c r="B63" s="2">
        <f>COUNTIF(Summary!$B$51:$AB$51,"Passed on test")+COUNTIF(Summary!$B$51:$AB$51,"Failed on test")+COUNTIF(Summary!$B$51:$AB$51,"Runtime error")</f>
        <v/>
      </c>
      <c r="C63" s="2">
        <f>COUNTIF(Summary!$B$51:$AB$51,"Passed on test")</f>
        <v/>
      </c>
      <c r="D63" s="2">
        <f>COUNTIF(Summary!$B$51:$AB$51,"Failed on test")</f>
        <v/>
      </c>
      <c r="E63" s="2">
        <f>COUNTIF(Summary!$B$51:$AB$51,"Runtime error")</f>
        <v/>
      </c>
      <c r="F63" s="9">
        <f>IF($B63=0,0,C63/$B63)</f>
        <v/>
      </c>
      <c r="G63" s="9">
        <f>IF($B63=0,0,D63/$B63)</f>
        <v/>
      </c>
      <c r="H63" s="9">
        <f>IF($B63=0,0,E63/$B63)</f>
        <v/>
      </c>
      <c r="I63" s="2">
        <f>IF(C63=B63,"Passed on test",IF(E63&gt;0,"Runtime error","Failed on test"))</f>
        <v/>
      </c>
      <c r="J63" s="2" t="n">
        <v>5</v>
      </c>
    </row>
    <row r="64">
      <c r="A64" s="2">
        <f>Summary!A52</f>
        <v/>
      </c>
      <c r="B64" s="2">
        <f>COUNTIF(Summary!$B$52:$AB$52,"Passed on test")+COUNTIF(Summary!$B$52:$AB$52,"Failed on test")+COUNTIF(Summary!$B$52:$AB$52,"Runtime error")</f>
        <v/>
      </c>
      <c r="C64" s="2">
        <f>COUNTIF(Summary!$B$52:$AB$52,"Passed on test")</f>
        <v/>
      </c>
      <c r="D64" s="2">
        <f>COUNTIF(Summary!$B$52:$AB$52,"Failed on test")</f>
        <v/>
      </c>
      <c r="E64" s="2">
        <f>COUNTIF(Summary!$B$52:$AB$52,"Runtime error")</f>
        <v/>
      </c>
      <c r="F64" s="9">
        <f>IF($B64=0,0,C64/$B64)</f>
        <v/>
      </c>
      <c r="G64" s="9">
        <f>IF($B64=0,0,D64/$B64)</f>
        <v/>
      </c>
      <c r="H64" s="9">
        <f>IF($B64=0,0,E64/$B64)</f>
        <v/>
      </c>
      <c r="I64" s="2">
        <f>IF(C64=B64,"Passed on test",IF(E64&gt;0,"Runtime error","Failed on test"))</f>
        <v/>
      </c>
      <c r="J64" s="2" t="n">
        <v>6</v>
      </c>
    </row>
    <row r="65">
      <c r="A65" s="2">
        <f>Summary!A53</f>
        <v/>
      </c>
      <c r="B65" s="2">
        <f>COUNTIF(Summary!$B$53:$AB$53,"Passed on test")+COUNTIF(Summary!$B$53:$AB$53,"Failed on test")+COUNTIF(Summary!$B$53:$AB$53,"Runtime error")</f>
        <v/>
      </c>
      <c r="C65" s="2">
        <f>COUNTIF(Summary!$B$53:$AB$53,"Passed on test")</f>
        <v/>
      </c>
      <c r="D65" s="2">
        <f>COUNTIF(Summary!$B$53:$AB$53,"Failed on test")</f>
        <v/>
      </c>
      <c r="E65" s="2">
        <f>COUNTIF(Summary!$B$53:$AB$53,"Runtime error")</f>
        <v/>
      </c>
      <c r="F65" s="9">
        <f>IF($B65=0,0,C65/$B65)</f>
        <v/>
      </c>
      <c r="G65" s="9">
        <f>IF($B65=0,0,D65/$B65)</f>
        <v/>
      </c>
      <c r="H65" s="9">
        <f>IF($B65=0,0,E65/$B65)</f>
        <v/>
      </c>
      <c r="I65" s="2">
        <f>IF(C65=B65,"Passed on test",IF(E65&gt;0,"Runtime error","Failed on test"))</f>
        <v/>
      </c>
      <c r="J65" s="2" t="n">
        <v>6</v>
      </c>
    </row>
    <row r="66">
      <c r="A66" s="2">
        <f>Summary!A54</f>
        <v/>
      </c>
      <c r="B66" s="2">
        <f>COUNTIF(Summary!$B$54:$AB$54,"Passed on test")+COUNTIF(Summary!$B$54:$AB$54,"Failed on test")+COUNTIF(Summary!$B$54:$AB$54,"Runtime error")</f>
        <v/>
      </c>
      <c r="C66" s="2">
        <f>COUNTIF(Summary!$B$54:$AB$54,"Passed on test")</f>
        <v/>
      </c>
      <c r="D66" s="2">
        <f>COUNTIF(Summary!$B$54:$AB$54,"Failed on test")</f>
        <v/>
      </c>
      <c r="E66" s="2">
        <f>COUNTIF(Summary!$B$54:$AB$54,"Runtime error")</f>
        <v/>
      </c>
      <c r="F66" s="9">
        <f>IF($B66=0,0,C66/$B66)</f>
        <v/>
      </c>
      <c r="G66" s="9">
        <f>IF($B66=0,0,D66/$B66)</f>
        <v/>
      </c>
      <c r="H66" s="9">
        <f>IF($B66=0,0,E66/$B66)</f>
        <v/>
      </c>
      <c r="I66" s="2">
        <f>IF(C66=B66,"Passed on test",IF(E66&gt;0,"Runtime error","Failed on test"))</f>
        <v/>
      </c>
      <c r="J66" s="2" t="n">
        <v>6</v>
      </c>
    </row>
    <row r="67">
      <c r="A67" s="2">
        <f>Summary!A55</f>
        <v/>
      </c>
      <c r="B67" s="2">
        <f>COUNTIF(Summary!$B$55:$AB$55,"Passed on test")+COUNTIF(Summary!$B$55:$AB$55,"Failed on test")+COUNTIF(Summary!$B$55:$AB$55,"Runtime error")</f>
        <v/>
      </c>
      <c r="C67" s="2">
        <f>COUNTIF(Summary!$B$55:$AB$55,"Passed on test")</f>
        <v/>
      </c>
      <c r="D67" s="2">
        <f>COUNTIF(Summary!$B$55:$AB$55,"Failed on test")</f>
        <v/>
      </c>
      <c r="E67" s="2">
        <f>COUNTIF(Summary!$B$55:$AB$55,"Runtime error")</f>
        <v/>
      </c>
      <c r="F67" s="9">
        <f>IF($B67=0,0,C67/$B67)</f>
        <v/>
      </c>
      <c r="G67" s="9">
        <f>IF($B67=0,0,D67/$B67)</f>
        <v/>
      </c>
      <c r="H67" s="9">
        <f>IF($B67=0,0,E67/$B67)</f>
        <v/>
      </c>
      <c r="I67" s="2">
        <f>IF(C67=B67,"Passed on test",IF(E67&gt;0,"Runtime error","Failed on test"))</f>
        <v/>
      </c>
      <c r="J67" s="2" t="n">
        <v>6</v>
      </c>
    </row>
    <row r="68">
      <c r="A68" s="2">
        <f>Summary!A56</f>
        <v/>
      </c>
      <c r="B68" s="2">
        <f>COUNTIF(Summary!$B$56:$AB$56,"Passed on test")+COUNTIF(Summary!$B$56:$AB$56,"Failed on test")+COUNTIF(Summary!$B$56:$AB$56,"Runtime error")</f>
        <v/>
      </c>
      <c r="C68" s="2">
        <f>COUNTIF(Summary!$B$56:$AB$56,"Passed on test")</f>
        <v/>
      </c>
      <c r="D68" s="2">
        <f>COUNTIF(Summary!$B$56:$AB$56,"Failed on test")</f>
        <v/>
      </c>
      <c r="E68" s="2">
        <f>COUNTIF(Summary!$B$56:$AB$56,"Runtime error")</f>
        <v/>
      </c>
      <c r="F68" s="9">
        <f>IF($B68=0,0,C68/$B68)</f>
        <v/>
      </c>
      <c r="G68" s="9">
        <f>IF($B68=0,0,D68/$B68)</f>
        <v/>
      </c>
      <c r="H68" s="9">
        <f>IF($B68=0,0,E68/$B68)</f>
        <v/>
      </c>
      <c r="I68" s="2">
        <f>IF(C68=B68,"Passed on test",IF(E68&gt;0,"Runtime error","Failed on test"))</f>
        <v/>
      </c>
      <c r="J68" s="2" t="n">
        <v>6</v>
      </c>
    </row>
    <row r="69">
      <c r="A69" s="2">
        <f>Summary!A57</f>
        <v/>
      </c>
      <c r="B69" s="2">
        <f>COUNTIF(Summary!$B$57:$AB$57,"Passed on test")+COUNTIF(Summary!$B$57:$AB$57,"Failed on test")+COUNTIF(Summary!$B$57:$AB$57,"Runtime error")</f>
        <v/>
      </c>
      <c r="C69" s="2">
        <f>COUNTIF(Summary!$B$57:$AB$57,"Passed on test")</f>
        <v/>
      </c>
      <c r="D69" s="2">
        <f>COUNTIF(Summary!$B$57:$AB$57,"Failed on test")</f>
        <v/>
      </c>
      <c r="E69" s="2">
        <f>COUNTIF(Summary!$B$57:$AB$57,"Runtime error")</f>
        <v/>
      </c>
      <c r="F69" s="9">
        <f>IF($B69=0,0,C69/$B69)</f>
        <v/>
      </c>
      <c r="G69" s="9">
        <f>IF($B69=0,0,D69/$B69)</f>
        <v/>
      </c>
      <c r="H69" s="9">
        <f>IF($B69=0,0,E69/$B69)</f>
        <v/>
      </c>
      <c r="I69" s="2">
        <f>IF(C69=B69,"Passed on test",IF(E69&gt;0,"Runtime error","Failed on test"))</f>
        <v/>
      </c>
      <c r="J69" s="2" t="n">
        <v>6</v>
      </c>
    </row>
    <row r="70">
      <c r="A70" s="2">
        <f>Summary!A58</f>
        <v/>
      </c>
      <c r="B70" s="2">
        <f>COUNTIF(Summary!$B$58:$AB$58,"Passed on test")+COUNTIF(Summary!$B$58:$AB$58,"Failed on test")+COUNTIF(Summary!$B$58:$AB$58,"Runtime error")</f>
        <v/>
      </c>
      <c r="C70" s="2">
        <f>COUNTIF(Summary!$B$58:$AB$58,"Passed on test")</f>
        <v/>
      </c>
      <c r="D70" s="2">
        <f>COUNTIF(Summary!$B$58:$AB$58,"Failed on test")</f>
        <v/>
      </c>
      <c r="E70" s="2">
        <f>COUNTIF(Summary!$B$58:$AB$58,"Runtime error")</f>
        <v/>
      </c>
      <c r="F70" s="9">
        <f>IF($B70=0,0,C70/$B70)</f>
        <v/>
      </c>
      <c r="G70" s="9">
        <f>IF($B70=0,0,D70/$B70)</f>
        <v/>
      </c>
      <c r="H70" s="9">
        <f>IF($B70=0,0,E70/$B70)</f>
        <v/>
      </c>
      <c r="I70" s="2">
        <f>IF(C70=B70,"Passed on test",IF(E70&gt;0,"Runtime error","Failed on test"))</f>
        <v/>
      </c>
      <c r="J70" s="2" t="n">
        <v>6</v>
      </c>
    </row>
    <row r="71">
      <c r="A71" s="2">
        <f>Summary!A59</f>
        <v/>
      </c>
      <c r="B71" s="2">
        <f>COUNTIF(Summary!$B$59:$AB$59,"Passed on test")+COUNTIF(Summary!$B$59:$AB$59,"Failed on test")+COUNTIF(Summary!$B$59:$AB$59,"Runtime error")</f>
        <v/>
      </c>
      <c r="C71" s="2">
        <f>COUNTIF(Summary!$B$59:$AB$59,"Passed on test")</f>
        <v/>
      </c>
      <c r="D71" s="2">
        <f>COUNTIF(Summary!$B$59:$AB$59,"Failed on test")</f>
        <v/>
      </c>
      <c r="E71" s="2">
        <f>COUNTIF(Summary!$B$59:$AB$59,"Runtime error")</f>
        <v/>
      </c>
      <c r="F71" s="9">
        <f>IF($B71=0,0,C71/$B71)</f>
        <v/>
      </c>
      <c r="G71" s="9">
        <f>IF($B71=0,0,D71/$B71)</f>
        <v/>
      </c>
      <c r="H71" s="9">
        <f>IF($B71=0,0,E71/$B71)</f>
        <v/>
      </c>
      <c r="I71" s="2">
        <f>IF(C71=B71,"Passed on test",IF(E71&gt;0,"Runtime error","Failed on test"))</f>
        <v/>
      </c>
      <c r="J71" s="2" t="n">
        <v>6</v>
      </c>
    </row>
    <row r="72">
      <c r="A72" s="2">
        <f>Summary!A60</f>
        <v/>
      </c>
      <c r="B72" s="2">
        <f>COUNTIF(Summary!$B$60:$AB$60,"Passed on test")+COUNTIF(Summary!$B$60:$AB$60,"Failed on test")+COUNTIF(Summary!$B$60:$AB$60,"Runtime error")</f>
        <v/>
      </c>
      <c r="C72" s="2">
        <f>COUNTIF(Summary!$B$60:$AB$60,"Passed on test")</f>
        <v/>
      </c>
      <c r="D72" s="2">
        <f>COUNTIF(Summary!$B$60:$AB$60,"Failed on test")</f>
        <v/>
      </c>
      <c r="E72" s="2">
        <f>COUNTIF(Summary!$B$60:$AB$60,"Runtime error")</f>
        <v/>
      </c>
      <c r="F72" s="9">
        <f>IF($B72=0,0,C72/$B72)</f>
        <v/>
      </c>
      <c r="G72" s="9">
        <f>IF($B72=0,0,D72/$B72)</f>
        <v/>
      </c>
      <c r="H72" s="9">
        <f>IF($B72=0,0,E72/$B72)</f>
        <v/>
      </c>
      <c r="I72" s="2">
        <f>IF(C72=B72,"Passed on test",IF(E72&gt;0,"Runtime error","Failed on test"))</f>
        <v/>
      </c>
      <c r="J72" s="2" t="n">
        <v>6</v>
      </c>
    </row>
    <row r="73">
      <c r="A73" s="2">
        <f>Summary!A61</f>
        <v/>
      </c>
      <c r="B73" s="2">
        <f>COUNTIF(Summary!$B$61:$AB$61,"Passed on test")+COUNTIF(Summary!$B$61:$AB$61,"Failed on test")+COUNTIF(Summary!$B$61:$AB$61,"Runtime error")</f>
        <v/>
      </c>
      <c r="C73" s="2">
        <f>COUNTIF(Summary!$B$61:$AB$61,"Passed on test")</f>
        <v/>
      </c>
      <c r="D73" s="2">
        <f>COUNTIF(Summary!$B$61:$AB$61,"Failed on test")</f>
        <v/>
      </c>
      <c r="E73" s="2">
        <f>COUNTIF(Summary!$B$61:$AB$61,"Runtime error")</f>
        <v/>
      </c>
      <c r="F73" s="9">
        <f>IF($B73=0,0,C73/$B73)</f>
        <v/>
      </c>
      <c r="G73" s="9">
        <f>IF($B73=0,0,D73/$B73)</f>
        <v/>
      </c>
      <c r="H73" s="9">
        <f>IF($B73=0,0,E73/$B73)</f>
        <v/>
      </c>
      <c r="I73" s="2">
        <f>IF(C73=B73,"Passed on test",IF(E73&gt;0,"Runtime error","Failed on test"))</f>
        <v/>
      </c>
      <c r="J73" s="2" t="n">
        <v>6</v>
      </c>
    </row>
    <row r="74">
      <c r="A74" s="2">
        <f>Summary!A62</f>
        <v/>
      </c>
      <c r="B74" s="2">
        <f>COUNTIF(Summary!$B$62:$AB$62,"Passed on test")+COUNTIF(Summary!$B$62:$AB$62,"Failed on test")+COUNTIF(Summary!$B$62:$AB$62,"Runtime error")</f>
        <v/>
      </c>
      <c r="C74" s="2">
        <f>COUNTIF(Summary!$B$62:$AB$62,"Passed on test")</f>
        <v/>
      </c>
      <c r="D74" s="2">
        <f>COUNTIF(Summary!$B$62:$AB$62,"Failed on test")</f>
        <v/>
      </c>
      <c r="E74" s="2">
        <f>COUNTIF(Summary!$B$62:$AB$62,"Runtime error")</f>
        <v/>
      </c>
      <c r="F74" s="9">
        <f>IF($B74=0,0,C74/$B74)</f>
        <v/>
      </c>
      <c r="G74" s="9">
        <f>IF($B74=0,0,D74/$B74)</f>
        <v/>
      </c>
      <c r="H74" s="9">
        <f>IF($B74=0,0,E74/$B74)</f>
        <v/>
      </c>
      <c r="I74" s="2">
        <f>IF(C74=B74,"Passed on test",IF(E74&gt;0,"Runtime error","Failed on test"))</f>
        <v/>
      </c>
      <c r="J74" s="2" t="n">
        <v>7</v>
      </c>
    </row>
    <row r="75">
      <c r="A75" s="2">
        <f>Summary!A63</f>
        <v/>
      </c>
      <c r="B75" s="2">
        <f>COUNTIF(Summary!$B$63:$AB$63,"Passed on test")+COUNTIF(Summary!$B$63:$AB$63,"Failed on test")+COUNTIF(Summary!$B$63:$AB$63,"Runtime error")</f>
        <v/>
      </c>
      <c r="C75" s="2">
        <f>COUNTIF(Summary!$B$63:$AB$63,"Passed on test")</f>
        <v/>
      </c>
      <c r="D75" s="2">
        <f>COUNTIF(Summary!$B$63:$AB$63,"Failed on test")</f>
        <v/>
      </c>
      <c r="E75" s="2">
        <f>COUNTIF(Summary!$B$63:$AB$63,"Runtime error")</f>
        <v/>
      </c>
      <c r="F75" s="9">
        <f>IF($B75=0,0,C75/$B75)</f>
        <v/>
      </c>
      <c r="G75" s="9">
        <f>IF($B75=0,0,D75/$B75)</f>
        <v/>
      </c>
      <c r="H75" s="9">
        <f>IF($B75=0,0,E75/$B75)</f>
        <v/>
      </c>
      <c r="I75" s="2">
        <f>IF(C75=B75,"Passed on test",IF(E75&gt;0,"Runtime error","Failed on test"))</f>
        <v/>
      </c>
      <c r="J75" s="2" t="n">
        <v>7</v>
      </c>
    </row>
    <row r="76">
      <c r="A76" s="2">
        <f>Summary!A64</f>
        <v/>
      </c>
      <c r="B76" s="2">
        <f>COUNTIF(Summary!$B$64:$AB$64,"Passed on test")+COUNTIF(Summary!$B$64:$AB$64,"Failed on test")+COUNTIF(Summary!$B$64:$AB$64,"Runtime error")</f>
        <v/>
      </c>
      <c r="C76" s="2">
        <f>COUNTIF(Summary!$B$64:$AB$64,"Passed on test")</f>
        <v/>
      </c>
      <c r="D76" s="2">
        <f>COUNTIF(Summary!$B$64:$AB$64,"Failed on test")</f>
        <v/>
      </c>
      <c r="E76" s="2">
        <f>COUNTIF(Summary!$B$64:$AB$64,"Runtime error")</f>
        <v/>
      </c>
      <c r="F76" s="9">
        <f>IF($B76=0,0,C76/$B76)</f>
        <v/>
      </c>
      <c r="G76" s="9">
        <f>IF($B76=0,0,D76/$B76)</f>
        <v/>
      </c>
      <c r="H76" s="9">
        <f>IF($B76=0,0,E76/$B76)</f>
        <v/>
      </c>
      <c r="I76" s="2">
        <f>IF(C76=B76,"Passed on test",IF(E76&gt;0,"Runtime error","Failed on test"))</f>
        <v/>
      </c>
      <c r="J76" s="2" t="n">
        <v>7</v>
      </c>
    </row>
    <row r="77">
      <c r="A77" s="2">
        <f>Summary!A65</f>
        <v/>
      </c>
      <c r="B77" s="2">
        <f>COUNTIF(Summary!$B$65:$AB$65,"Passed on test")+COUNTIF(Summary!$B$65:$AB$65,"Failed on test")+COUNTIF(Summary!$B$65:$AB$65,"Runtime error")</f>
        <v/>
      </c>
      <c r="C77" s="2">
        <f>COUNTIF(Summary!$B$65:$AB$65,"Passed on test")</f>
        <v/>
      </c>
      <c r="D77" s="2">
        <f>COUNTIF(Summary!$B$65:$AB$65,"Failed on test")</f>
        <v/>
      </c>
      <c r="E77" s="2">
        <f>COUNTIF(Summary!$B$65:$AB$65,"Runtime error")</f>
        <v/>
      </c>
      <c r="F77" s="9">
        <f>IF($B77=0,0,C77/$B77)</f>
        <v/>
      </c>
      <c r="G77" s="9">
        <f>IF($B77=0,0,D77/$B77)</f>
        <v/>
      </c>
      <c r="H77" s="9">
        <f>IF($B77=0,0,E77/$B77)</f>
        <v/>
      </c>
      <c r="I77" s="2">
        <f>IF(C77=B77,"Passed on test",IF(E77&gt;0,"Runtime error","Failed on test"))</f>
        <v/>
      </c>
      <c r="J77" s="2" t="n">
        <v>7</v>
      </c>
    </row>
    <row r="78">
      <c r="A78" s="2">
        <f>Summary!A66</f>
        <v/>
      </c>
      <c r="B78" s="2">
        <f>COUNTIF(Summary!$B$66:$AB$66,"Passed on test")+COUNTIF(Summary!$B$66:$AB$66,"Failed on test")+COUNTIF(Summary!$B$66:$AB$66,"Runtime error")</f>
        <v/>
      </c>
      <c r="C78" s="2">
        <f>COUNTIF(Summary!$B$66:$AB$66,"Passed on test")</f>
        <v/>
      </c>
      <c r="D78" s="2">
        <f>COUNTIF(Summary!$B$66:$AB$66,"Failed on test")</f>
        <v/>
      </c>
      <c r="E78" s="2">
        <f>COUNTIF(Summary!$B$66:$AB$66,"Runtime error")</f>
        <v/>
      </c>
      <c r="F78" s="9">
        <f>IF($B78=0,0,C78/$B78)</f>
        <v/>
      </c>
      <c r="G78" s="9">
        <f>IF($B78=0,0,D78/$B78)</f>
        <v/>
      </c>
      <c r="H78" s="9">
        <f>IF($B78=0,0,E78/$B78)</f>
        <v/>
      </c>
      <c r="I78" s="2">
        <f>IF(C78=B78,"Passed on test",IF(E78&gt;0,"Runtime error","Failed on test"))</f>
        <v/>
      </c>
      <c r="J78" s="2" t="n">
        <v>7</v>
      </c>
    </row>
    <row r="79">
      <c r="A79" s="2">
        <f>Summary!A67</f>
        <v/>
      </c>
      <c r="B79" s="2">
        <f>COUNTIF(Summary!$B$67:$AB$67,"Passed on test")+COUNTIF(Summary!$B$67:$AB$67,"Failed on test")+COUNTIF(Summary!$B$67:$AB$67,"Runtime error")</f>
        <v/>
      </c>
      <c r="C79" s="2">
        <f>COUNTIF(Summary!$B$67:$AB$67,"Passed on test")</f>
        <v/>
      </c>
      <c r="D79" s="2">
        <f>COUNTIF(Summary!$B$67:$AB$67,"Failed on test")</f>
        <v/>
      </c>
      <c r="E79" s="2">
        <f>COUNTIF(Summary!$B$67:$AB$67,"Runtime error")</f>
        <v/>
      </c>
      <c r="F79" s="9">
        <f>IF($B79=0,0,C79/$B79)</f>
        <v/>
      </c>
      <c r="G79" s="9">
        <f>IF($B79=0,0,D79/$B79)</f>
        <v/>
      </c>
      <c r="H79" s="9">
        <f>IF($B79=0,0,E79/$B79)</f>
        <v/>
      </c>
      <c r="I79" s="2">
        <f>IF(C79=B79,"Passed on test",IF(E79&gt;0,"Runtime error","Failed on test"))</f>
        <v/>
      </c>
      <c r="J79" s="2" t="n">
        <v>7</v>
      </c>
    </row>
    <row r="80">
      <c r="A80" s="2">
        <f>Summary!A68</f>
        <v/>
      </c>
      <c r="B80" s="2">
        <f>COUNTIF(Summary!$B$68:$AB$68,"Passed on test")+COUNTIF(Summary!$B$68:$AB$68,"Failed on test")+COUNTIF(Summary!$B$68:$AB$68,"Runtime error")</f>
        <v/>
      </c>
      <c r="C80" s="2">
        <f>COUNTIF(Summary!$B$68:$AB$68,"Passed on test")</f>
        <v/>
      </c>
      <c r="D80" s="2">
        <f>COUNTIF(Summary!$B$68:$AB$68,"Failed on test")</f>
        <v/>
      </c>
      <c r="E80" s="2">
        <f>COUNTIF(Summary!$B$68:$AB$68,"Runtime error")</f>
        <v/>
      </c>
      <c r="F80" s="9">
        <f>IF($B80=0,0,C80/$B80)</f>
        <v/>
      </c>
      <c r="G80" s="9">
        <f>IF($B80=0,0,D80/$B80)</f>
        <v/>
      </c>
      <c r="H80" s="9">
        <f>IF($B80=0,0,E80/$B80)</f>
        <v/>
      </c>
      <c r="I80" s="2">
        <f>IF(C80=B80,"Passed on test",IF(E80&gt;0,"Runtime error","Failed on test"))</f>
        <v/>
      </c>
      <c r="J80" s="2" t="n">
        <v>7</v>
      </c>
    </row>
    <row r="81">
      <c r="A81" s="2">
        <f>Summary!A69</f>
        <v/>
      </c>
      <c r="B81" s="2">
        <f>COUNTIF(Summary!$B$69:$AB$69,"Passed on test")+COUNTIF(Summary!$B$69:$AB$69,"Failed on test")+COUNTIF(Summary!$B$69:$AB$69,"Runtime error")</f>
        <v/>
      </c>
      <c r="C81" s="2">
        <f>COUNTIF(Summary!$B$69:$AB$69,"Passed on test")</f>
        <v/>
      </c>
      <c r="D81" s="2">
        <f>COUNTIF(Summary!$B$69:$AB$69,"Failed on test")</f>
        <v/>
      </c>
      <c r="E81" s="2">
        <f>COUNTIF(Summary!$B$69:$AB$69,"Runtime error")</f>
        <v/>
      </c>
      <c r="F81" s="9">
        <f>IF($B81=0,0,C81/$B81)</f>
        <v/>
      </c>
      <c r="G81" s="9">
        <f>IF($B81=0,0,D81/$B81)</f>
        <v/>
      </c>
      <c r="H81" s="9">
        <f>IF($B81=0,0,E81/$B81)</f>
        <v/>
      </c>
      <c r="I81" s="2">
        <f>IF(C81=B81,"Passed on test",IF(E81&gt;0,"Runtime error","Failed on test"))</f>
        <v/>
      </c>
      <c r="J81" s="2" t="n">
        <v>8</v>
      </c>
    </row>
    <row r="82">
      <c r="A82" s="2">
        <f>Summary!A70</f>
        <v/>
      </c>
      <c r="B82" s="2">
        <f>COUNTIF(Summary!$B$70:$AB$70,"Passed on test")+COUNTIF(Summary!$B$70:$AB$70,"Failed on test")+COUNTIF(Summary!$B$70:$AB$70,"Runtime error")</f>
        <v/>
      </c>
      <c r="C82" s="2">
        <f>COUNTIF(Summary!$B$70:$AB$70,"Passed on test")</f>
        <v/>
      </c>
      <c r="D82" s="2">
        <f>COUNTIF(Summary!$B$70:$AB$70,"Failed on test")</f>
        <v/>
      </c>
      <c r="E82" s="2">
        <f>COUNTIF(Summary!$B$70:$AB$70,"Runtime error")</f>
        <v/>
      </c>
      <c r="F82" s="9">
        <f>IF($B82=0,0,C82/$B82)</f>
        <v/>
      </c>
      <c r="G82" s="9">
        <f>IF($B82=0,0,D82/$B82)</f>
        <v/>
      </c>
      <c r="H82" s="9">
        <f>IF($B82=0,0,E82/$B82)</f>
        <v/>
      </c>
      <c r="I82" s="2">
        <f>IF(C82=B82,"Passed on test",IF(E82&gt;0,"Runtime error","Failed on test"))</f>
        <v/>
      </c>
      <c r="J82" s="2" t="n">
        <v>8</v>
      </c>
    </row>
    <row r="83">
      <c r="A83" s="2">
        <f>Summary!A71</f>
        <v/>
      </c>
      <c r="B83" s="2">
        <f>COUNTIF(Summary!$B$71:$AB$71,"Passed on test")+COUNTIF(Summary!$B$71:$AB$71,"Failed on test")+COUNTIF(Summary!$B$71:$AB$71,"Runtime error")</f>
        <v/>
      </c>
      <c r="C83" s="2">
        <f>COUNTIF(Summary!$B$71:$AB$71,"Passed on test")</f>
        <v/>
      </c>
      <c r="D83" s="2">
        <f>COUNTIF(Summary!$B$71:$AB$71,"Failed on test")</f>
        <v/>
      </c>
      <c r="E83" s="2">
        <f>COUNTIF(Summary!$B$71:$AB$71,"Runtime error")</f>
        <v/>
      </c>
      <c r="F83" s="9">
        <f>IF($B83=0,0,C83/$B83)</f>
        <v/>
      </c>
      <c r="G83" s="9">
        <f>IF($B83=0,0,D83/$B83)</f>
        <v/>
      </c>
      <c r="H83" s="9">
        <f>IF($B83=0,0,E83/$B83)</f>
        <v/>
      </c>
      <c r="I83" s="2">
        <f>IF(C83=B83,"Passed on test",IF(E83&gt;0,"Runtime error","Failed on test"))</f>
        <v/>
      </c>
      <c r="J83" s="2" t="n">
        <v>8</v>
      </c>
    </row>
    <row r="84">
      <c r="A84" s="2">
        <f>Summary!A72</f>
        <v/>
      </c>
      <c r="B84" s="2">
        <f>COUNTIF(Summary!$B$72:$AB$72,"Passed on test")+COUNTIF(Summary!$B$72:$AB$72,"Failed on test")+COUNTIF(Summary!$B$72:$AB$72,"Runtime error")</f>
        <v/>
      </c>
      <c r="C84" s="2">
        <f>COUNTIF(Summary!$B$72:$AB$72,"Passed on test")</f>
        <v/>
      </c>
      <c r="D84" s="2">
        <f>COUNTIF(Summary!$B$72:$AB$72,"Failed on test")</f>
        <v/>
      </c>
      <c r="E84" s="2">
        <f>COUNTIF(Summary!$B$72:$AB$72,"Runtime error")</f>
        <v/>
      </c>
      <c r="F84" s="9">
        <f>IF($B84=0,0,C84/$B84)</f>
        <v/>
      </c>
      <c r="G84" s="9">
        <f>IF($B84=0,0,D84/$B84)</f>
        <v/>
      </c>
      <c r="H84" s="9">
        <f>IF($B84=0,0,E84/$B84)</f>
        <v/>
      </c>
      <c r="I84" s="2">
        <f>IF(C84=B84,"Passed on test",IF(E84&gt;0,"Runtime error","Failed on test"))</f>
        <v/>
      </c>
      <c r="J84" s="2" t="n">
        <v>8</v>
      </c>
    </row>
    <row r="85">
      <c r="A85" s="2">
        <f>Summary!A73</f>
        <v/>
      </c>
      <c r="B85" s="2">
        <f>COUNTIF(Summary!$B$73:$AB$73,"Passed on test")+COUNTIF(Summary!$B$73:$AB$73,"Failed on test")+COUNTIF(Summary!$B$73:$AB$73,"Runtime error")</f>
        <v/>
      </c>
      <c r="C85" s="2">
        <f>COUNTIF(Summary!$B$73:$AB$73,"Passed on test")</f>
        <v/>
      </c>
      <c r="D85" s="2">
        <f>COUNTIF(Summary!$B$73:$AB$73,"Failed on test")</f>
        <v/>
      </c>
      <c r="E85" s="2">
        <f>COUNTIF(Summary!$B$73:$AB$73,"Runtime error")</f>
        <v/>
      </c>
      <c r="F85" s="9">
        <f>IF($B85=0,0,C85/$B85)</f>
        <v/>
      </c>
      <c r="G85" s="9">
        <f>IF($B85=0,0,D85/$B85)</f>
        <v/>
      </c>
      <c r="H85" s="9">
        <f>IF($B85=0,0,E85/$B85)</f>
        <v/>
      </c>
      <c r="I85" s="2">
        <f>IF(C85=B85,"Passed on test",IF(E85&gt;0,"Runtime error","Failed on test"))</f>
        <v/>
      </c>
      <c r="J85" s="2" t="n">
        <v>8</v>
      </c>
    </row>
    <row r="86">
      <c r="A86" s="2">
        <f>Summary!A74</f>
        <v/>
      </c>
      <c r="B86" s="2">
        <f>COUNTIF(Summary!$B$74:$AB$74,"Passed on test")+COUNTIF(Summary!$B$74:$AB$74,"Failed on test")+COUNTIF(Summary!$B$74:$AB$74,"Runtime error")</f>
        <v/>
      </c>
      <c r="C86" s="2">
        <f>COUNTIF(Summary!$B$74:$AB$74,"Passed on test")</f>
        <v/>
      </c>
      <c r="D86" s="2">
        <f>COUNTIF(Summary!$B$74:$AB$74,"Failed on test")</f>
        <v/>
      </c>
      <c r="E86" s="2">
        <f>COUNTIF(Summary!$B$74:$AB$74,"Runtime error")</f>
        <v/>
      </c>
      <c r="F86" s="9">
        <f>IF($B86=0,0,C86/$B86)</f>
        <v/>
      </c>
      <c r="G86" s="9">
        <f>IF($B86=0,0,D86/$B86)</f>
        <v/>
      </c>
      <c r="H86" s="9">
        <f>IF($B86=0,0,E86/$B86)</f>
        <v/>
      </c>
      <c r="I86" s="2">
        <f>IF(C86=B86,"Passed on test",IF(E86&gt;0,"Runtime error","Failed on test"))</f>
        <v/>
      </c>
      <c r="J86" s="2" t="n">
        <v>8</v>
      </c>
    </row>
    <row r="87"/>
    <row r="88">
      <c r="A88" s="7" t="inlineStr">
        <is>
          <t>3. Cases by outcome</t>
        </is>
      </c>
    </row>
    <row r="89">
      <c r="A89" s="1" t="inlineStr">
        <is>
          <t>Outcome</t>
        </is>
      </c>
      <c r="B89" s="1" t="inlineStr">
        <is>
          <t>Cases</t>
        </is>
      </c>
      <c r="C89" s="1" t="inlineStr">
        <is>
          <t>% of cases</t>
        </is>
      </c>
      <c r="D89" s="1" t="inlineStr">
        <is>
          <t>Batch 1</t>
        </is>
      </c>
      <c r="E89" s="1" t="inlineStr">
        <is>
          <t>Batch 1 %</t>
        </is>
      </c>
      <c r="F89" s="1" t="inlineStr">
        <is>
          <t>Batch 2</t>
        </is>
      </c>
      <c r="G89" s="1" t="inlineStr">
        <is>
          <t>Batch 2 %</t>
        </is>
      </c>
      <c r="H89" s="1" t="inlineStr">
        <is>
          <t>Batch 3</t>
        </is>
      </c>
      <c r="I89" s="1" t="inlineStr">
        <is>
          <t>Batch 3 %</t>
        </is>
      </c>
      <c r="J89" s="1" t="inlineStr">
        <is>
          <t>Batch 4</t>
        </is>
      </c>
      <c r="K89" s="1" t="inlineStr">
        <is>
          <t>Batch 4 %</t>
        </is>
      </c>
      <c r="L89" s="1" t="inlineStr">
        <is>
          <t>Batch 5</t>
        </is>
      </c>
      <c r="M89" s="1" t="inlineStr">
        <is>
          <t>Batch 5 %</t>
        </is>
      </c>
      <c r="N89" s="1" t="inlineStr">
        <is>
          <t>Batch 6</t>
        </is>
      </c>
      <c r="O89" s="1" t="inlineStr">
        <is>
          <t>Batch 6 %</t>
        </is>
      </c>
      <c r="P89" s="1" t="inlineStr">
        <is>
          <t>Batch 7</t>
        </is>
      </c>
      <c r="Q89" s="1" t="inlineStr">
        <is>
          <t>Batch 7 %</t>
        </is>
      </c>
      <c r="R89" s="1" t="inlineStr">
        <is>
          <t>Batch 8</t>
        </is>
      </c>
      <c r="S89" s="1" t="inlineStr">
        <is>
          <t>Batch 8 %</t>
        </is>
      </c>
    </row>
    <row r="90">
      <c r="A90" s="8" t="inlineStr">
        <is>
          <t>Passed on test</t>
        </is>
      </c>
      <c r="B90" s="2">
        <f>COUNTIF($I$14:$I$86,"Passed on test")</f>
        <v/>
      </c>
      <c r="C90" s="9">
        <f>IF($B$93=0,0,B90/$B$93)</f>
        <v/>
      </c>
      <c r="D90" s="2">
        <f>COUNTIFS($I$14:$I$86,"Passed on test",$J$14:$J$86,1)</f>
        <v/>
      </c>
      <c r="E90" s="9">
        <f>IF(D$93=0,0,D90/D$93)</f>
        <v/>
      </c>
      <c r="F90" s="2">
        <f>COUNTIFS($I$14:$I$86,"Passed on test",$J$14:$J$86,2)</f>
        <v/>
      </c>
      <c r="G90" s="9">
        <f>IF(F$93=0,0,F90/F$93)</f>
        <v/>
      </c>
      <c r="H90" s="2">
        <f>COUNTIFS($I$14:$I$86,"Passed on test",$J$14:$J$86,3)</f>
        <v/>
      </c>
      <c r="I90" s="9">
        <f>IF(H$93=0,0,H90/H$93)</f>
        <v/>
      </c>
      <c r="J90" s="2">
        <f>COUNTIFS($I$14:$I$86,"Passed on test",$J$14:$J$86,4)</f>
        <v/>
      </c>
      <c r="K90" s="9">
        <f>IF(J$93=0,0,J90/J$93)</f>
        <v/>
      </c>
      <c r="L90" s="2">
        <f>COUNTIFS($I$14:$I$86,"Passed on test",$J$14:$J$86,5)</f>
        <v/>
      </c>
      <c r="M90" s="9">
        <f>IF(L$93=0,0,L90/L$93)</f>
        <v/>
      </c>
      <c r="N90" s="2">
        <f>COUNTIFS($I$14:$I$86,"Passed on test",$J$14:$J$86,6)</f>
        <v/>
      </c>
      <c r="O90" s="9">
        <f>IF(N$93=0,0,N90/N$93)</f>
        <v/>
      </c>
      <c r="P90" s="2">
        <f>COUNTIFS($I$14:$I$86,"Passed on test",$J$14:$J$86,7)</f>
        <v/>
      </c>
      <c r="Q90" s="9">
        <f>IF(P$93=0,0,P90/P$93)</f>
        <v/>
      </c>
      <c r="R90" s="2">
        <f>COUNTIFS($I$14:$I$86,"Passed on test",$J$14:$J$86,8)</f>
        <v/>
      </c>
      <c r="S90" s="9">
        <f>IF(R$93=0,0,R90/R$93)</f>
        <v/>
      </c>
    </row>
    <row r="91">
      <c r="A91" s="10" t="inlineStr">
        <is>
          <t>Failed on test</t>
        </is>
      </c>
      <c r="B91" s="2">
        <f>COUNTIF($I$14:$I$86,"Failed on test")</f>
        <v/>
      </c>
      <c r="C91" s="9">
        <f>IF($B$93=0,0,B91/$B$93)</f>
        <v/>
      </c>
      <c r="D91" s="2">
        <f>COUNTIFS($I$14:$I$86,"Failed on test",$J$14:$J$86,1)</f>
        <v/>
      </c>
      <c r="E91" s="9">
        <f>IF(D$93=0,0,D91/D$93)</f>
        <v/>
      </c>
      <c r="F91" s="2">
        <f>COUNTIFS($I$14:$I$86,"Failed on test",$J$14:$J$86,2)</f>
        <v/>
      </c>
      <c r="G91" s="9">
        <f>IF(F$93=0,0,F91/F$93)</f>
        <v/>
      </c>
      <c r="H91" s="2">
        <f>COUNTIFS($I$14:$I$86,"Failed on test",$J$14:$J$86,3)</f>
        <v/>
      </c>
      <c r="I91" s="9">
        <f>IF(H$93=0,0,H91/H$93)</f>
        <v/>
      </c>
      <c r="J91" s="2">
        <f>COUNTIFS($I$14:$I$86,"Failed on test",$J$14:$J$86,4)</f>
        <v/>
      </c>
      <c r="K91" s="9">
        <f>IF(J$93=0,0,J91/J$93)</f>
        <v/>
      </c>
      <c r="L91" s="2">
        <f>COUNTIFS($I$14:$I$86,"Failed on test",$J$14:$J$86,5)</f>
        <v/>
      </c>
      <c r="M91" s="9">
        <f>IF(L$93=0,0,L91/L$93)</f>
        <v/>
      </c>
      <c r="N91" s="2">
        <f>COUNTIFS($I$14:$I$86,"Failed on test",$J$14:$J$86,6)</f>
        <v/>
      </c>
      <c r="O91" s="9">
        <f>IF(N$93=0,0,N91/N$93)</f>
        <v/>
      </c>
      <c r="P91" s="2">
        <f>COUNTIFS($I$14:$I$86,"Failed on test",$J$14:$J$86,7)</f>
        <v/>
      </c>
      <c r="Q91" s="9">
        <f>IF(P$93=0,0,P91/P$93)</f>
        <v/>
      </c>
      <c r="R91" s="2">
        <f>COUNTIFS($I$14:$I$86,"Failed on test",$J$14:$J$86,8)</f>
        <v/>
      </c>
      <c r="S91" s="9">
        <f>IF(R$93=0,0,R91/R$93)</f>
        <v/>
      </c>
    </row>
    <row r="92">
      <c r="A92" s="11" t="inlineStr">
        <is>
          <t>Runtime error</t>
        </is>
      </c>
      <c r="B92" s="2">
        <f>COUNTIF($I$14:$I$86,"Runtime error")</f>
        <v/>
      </c>
      <c r="C92" s="9">
        <f>IF($B$93=0,0,B92/$B$93)</f>
        <v/>
      </c>
      <c r="D92" s="2">
        <f>COUNTIFS($I$14:$I$86,"Runtime error",$J$14:$J$86,1)</f>
        <v/>
      </c>
      <c r="E92" s="9">
        <f>IF(D$93=0,0,D92/D$93)</f>
        <v/>
      </c>
      <c r="F92" s="2">
        <f>COUNTIFS($I$14:$I$86,"Runtime error",$J$14:$J$86,2)</f>
        <v/>
      </c>
      <c r="G92" s="9">
        <f>IF(F$93=0,0,F92/F$93)</f>
        <v/>
      </c>
      <c r="H92" s="2">
        <f>COUNTIFS($I$14:$I$86,"Runtime error",$J$14:$J$86,3)</f>
        <v/>
      </c>
      <c r="I92" s="9">
        <f>IF(H$93=0,0,H92/H$93)</f>
        <v/>
      </c>
      <c r="J92" s="2">
        <f>COUNTIFS($I$14:$I$86,"Runtime error",$J$14:$J$86,4)</f>
        <v/>
      </c>
      <c r="K92" s="9">
        <f>IF(J$93=0,0,J92/J$93)</f>
        <v/>
      </c>
      <c r="L92" s="2">
        <f>COUNTIFS($I$14:$I$86,"Runtime error",$J$14:$J$86,5)</f>
        <v/>
      </c>
      <c r="M92" s="9">
        <f>IF(L$93=0,0,L92/L$93)</f>
        <v/>
      </c>
      <c r="N92" s="2">
        <f>COUNTIFS($I$14:$I$86,"Runtime error",$J$14:$J$86,6)</f>
        <v/>
      </c>
      <c r="O92" s="9">
        <f>IF(N$93=0,0,N92/N$93)</f>
        <v/>
      </c>
      <c r="P92" s="2">
        <f>COUNTIFS($I$14:$I$86,"Runtime error",$J$14:$J$86,7)</f>
        <v/>
      </c>
      <c r="Q92" s="9">
        <f>IF(P$93=0,0,P92/P$93)</f>
        <v/>
      </c>
      <c r="R92" s="2">
        <f>COUNTIFS($I$14:$I$86,"Runtime error",$J$14:$J$86,8)</f>
        <v/>
      </c>
      <c r="S92" s="9">
        <f>IF(R$93=0,0,R92/R$93)</f>
        <v/>
      </c>
    </row>
    <row r="93">
      <c r="A93" s="12" t="inlineStr">
        <is>
          <t>Total cases</t>
        </is>
      </c>
      <c r="B93" s="12">
        <f>SUM(B90:B92)</f>
        <v/>
      </c>
      <c r="C93" s="13">
        <f>SUM(C90:C92)</f>
        <v/>
      </c>
      <c r="D93" s="12">
        <f>SUM(D90:D92)</f>
        <v/>
      </c>
      <c r="E93" s="13">
        <f>SUM(E90:E92)</f>
        <v/>
      </c>
      <c r="F93" s="12">
        <f>SUM(F90:F92)</f>
        <v/>
      </c>
      <c r="G93" s="13">
        <f>SUM(G90:G92)</f>
        <v/>
      </c>
      <c r="H93" s="12">
        <f>SUM(H90:H92)</f>
        <v/>
      </c>
      <c r="I93" s="13">
        <f>SUM(I90:I92)</f>
        <v/>
      </c>
      <c r="J93" s="12">
        <f>SUM(J90:J92)</f>
        <v/>
      </c>
      <c r="K93" s="13">
        <f>SUM(K90:K92)</f>
        <v/>
      </c>
      <c r="L93" s="12">
        <f>SUM(L90:L92)</f>
        <v/>
      </c>
      <c r="M93" s="13">
        <f>SUM(M90:M92)</f>
        <v/>
      </c>
      <c r="N93" s="12">
        <f>SUM(N90:N92)</f>
        <v/>
      </c>
      <c r="O93" s="13">
        <f>SUM(O90:O92)</f>
        <v/>
      </c>
      <c r="P93" s="12">
        <f>SUM(P90:P92)</f>
        <v/>
      </c>
      <c r="Q93" s="13">
        <f>SUM(Q90:Q92)</f>
        <v/>
      </c>
      <c r="R93" s="12">
        <f>SUM(R90:R92)</f>
        <v/>
      </c>
      <c r="S93" s="13">
        <f>SUM(S90:S92)</f>
        <v/>
      </c>
    </row>
    <row r="94">
      <c r="A94" t="inlineStr">
        <is>
          <t>A case counts as "Passed on test" only if it passed on every version it was tested on, "Runtime error" if any version crashed, otherwise "Failed on test".</t>
        </is>
      </c>
    </row>
    <row r="95"/>
    <row r="96">
      <c r="A96" s="7" t="inlineStr">
        <is>
          <t>4. Cases that passed on at least one version</t>
        </is>
      </c>
    </row>
    <row r="97">
      <c r="A97" s="1" t="inlineStr">
        <is>
          <t>Measure</t>
        </is>
      </c>
      <c r="B97" s="1" t="inlineStr">
        <is>
          <t>Cases</t>
        </is>
      </c>
      <c r="C97" s="1" t="inlineStr">
        <is>
          <t>% of cases</t>
        </is>
      </c>
      <c r="D97" s="1" t="inlineStr">
        <is>
          <t>Batch 1</t>
        </is>
      </c>
      <c r="E97" s="1" t="inlineStr">
        <is>
          <t>Batch 1 %</t>
        </is>
      </c>
      <c r="F97" s="1" t="inlineStr">
        <is>
          <t>Batch 2</t>
        </is>
      </c>
      <c r="G97" s="1" t="inlineStr">
        <is>
          <t>Batch 2 %</t>
        </is>
      </c>
      <c r="H97" s="1" t="inlineStr">
        <is>
          <t>Batch 3</t>
        </is>
      </c>
      <c r="I97" s="1" t="inlineStr">
        <is>
          <t>Batch 3 %</t>
        </is>
      </c>
      <c r="J97" s="1" t="inlineStr">
        <is>
          <t>Batch 4</t>
        </is>
      </c>
      <c r="K97" s="1" t="inlineStr">
        <is>
          <t>Batch 4 %</t>
        </is>
      </c>
      <c r="L97" s="1" t="inlineStr">
        <is>
          <t>Batch 5</t>
        </is>
      </c>
      <c r="M97" s="1" t="inlineStr">
        <is>
          <t>Batch 5 %</t>
        </is>
      </c>
      <c r="N97" s="1" t="inlineStr">
        <is>
          <t>Batch 6</t>
        </is>
      </c>
      <c r="O97" s="1" t="inlineStr">
        <is>
          <t>Batch 6 %</t>
        </is>
      </c>
      <c r="P97" s="1" t="inlineStr">
        <is>
          <t>Batch 7</t>
        </is>
      </c>
      <c r="Q97" s="1" t="inlineStr">
        <is>
          <t>Batch 7 %</t>
        </is>
      </c>
      <c r="R97" s="1" t="inlineStr">
        <is>
          <t>Batch 8</t>
        </is>
      </c>
      <c r="S97" s="1" t="inlineStr">
        <is>
          <t>Batch 8 %</t>
        </is>
      </c>
    </row>
    <row r="98">
      <c r="A98" s="2" t="inlineStr">
        <is>
          <t>Passed on at least one version</t>
        </is>
      </c>
      <c r="B98" s="2">
        <f>COUNTIF($B$103:$B$175,"YES")</f>
        <v/>
      </c>
      <c r="C98" s="9">
        <f>IF(COUNTA($A$103:$A$175)=0,0,B98/COUNTA($A$103:$A$175))</f>
        <v/>
      </c>
      <c r="D98" s="2">
        <f>COUNTIFS($B$103:$B$175,"YES",$F$103:$F$175,1)</f>
        <v/>
      </c>
      <c r="E98" s="9">
        <f>IF(COUNTIF($F$103:$F$175,1)=0,0,D98/COUNTIF($F$103:$F$175,1))</f>
        <v/>
      </c>
      <c r="F98" s="2">
        <f>COUNTIFS($B$103:$B$175,"YES",$F$103:$F$175,2)</f>
        <v/>
      </c>
      <c r="G98" s="9">
        <f>IF(COUNTIF($F$103:$F$175,2)=0,0,F98/COUNTIF($F$103:$F$175,2))</f>
        <v/>
      </c>
      <c r="H98" s="2">
        <f>COUNTIFS($B$103:$B$175,"YES",$F$103:$F$175,3)</f>
        <v/>
      </c>
      <c r="I98" s="9">
        <f>IF(COUNTIF($F$103:$F$175,3)=0,0,H98/COUNTIF($F$103:$F$175,3))</f>
        <v/>
      </c>
      <c r="J98" s="2">
        <f>COUNTIFS($B$103:$B$175,"YES",$F$103:$F$175,4)</f>
        <v/>
      </c>
      <c r="K98" s="9">
        <f>IF(COUNTIF($F$103:$F$175,4)=0,0,J98/COUNTIF($F$103:$F$175,4))</f>
        <v/>
      </c>
      <c r="L98" s="2">
        <f>COUNTIFS($B$103:$B$175,"YES",$F$103:$F$175,5)</f>
        <v/>
      </c>
      <c r="M98" s="9">
        <f>IF(COUNTIF($F$103:$F$175,5)=0,0,L98/COUNTIF($F$103:$F$175,5))</f>
        <v/>
      </c>
      <c r="N98" s="2">
        <f>COUNTIFS($B$103:$B$175,"YES",$F$103:$F$175,6)</f>
        <v/>
      </c>
      <c r="O98" s="9">
        <f>IF(COUNTIF($F$103:$F$175,6)=0,0,N98/COUNTIF($F$103:$F$175,6))</f>
        <v/>
      </c>
      <c r="P98" s="2">
        <f>COUNTIFS($B$103:$B$175,"YES",$F$103:$F$175,7)</f>
        <v/>
      </c>
      <c r="Q98" s="9">
        <f>IF(COUNTIF($F$103:$F$175,7)=0,0,P98/COUNTIF($F$103:$F$175,7))</f>
        <v/>
      </c>
      <c r="R98" s="2">
        <f>COUNTIFS($B$103:$B$175,"YES",$F$103:$F$175,8)</f>
        <v/>
      </c>
      <c r="S98" s="9">
        <f>IF(COUNTIF($F$103:$F$175,8)=0,0,R98/COUNTIF($F$103:$F$175,8))</f>
        <v/>
      </c>
    </row>
    <row r="99">
      <c r="A99" s="2" t="inlineStr">
        <is>
          <t>Passed on every version (strict, as in section 3)</t>
        </is>
      </c>
      <c r="B99" s="2">
        <f>B90</f>
        <v/>
      </c>
      <c r="C99" s="9">
        <f>IF(COUNTA($A$103:$A$175)=0,0,B99/COUNTA($A$103:$A$175))</f>
        <v/>
      </c>
      <c r="D99" s="2">
        <f>D90</f>
        <v/>
      </c>
      <c r="E99" s="9">
        <f>IF(COUNTIF($F$103:$F$175,1)=0,0,D99/COUNTIF($F$103:$F$175,1))</f>
        <v/>
      </c>
      <c r="F99" s="2">
        <f>F90</f>
        <v/>
      </c>
      <c r="G99" s="9">
        <f>IF(COUNTIF($F$103:$F$175,2)=0,0,F99/COUNTIF($F$103:$F$175,2))</f>
        <v/>
      </c>
      <c r="H99" s="2">
        <f>H90</f>
        <v/>
      </c>
      <c r="I99" s="9">
        <f>IF(COUNTIF($F$103:$F$175,3)=0,0,H99/COUNTIF($F$103:$F$175,3))</f>
        <v/>
      </c>
      <c r="J99" s="2">
        <f>J90</f>
        <v/>
      </c>
      <c r="K99" s="9">
        <f>IF(COUNTIF($F$103:$F$175,4)=0,0,J99/COUNTIF($F$103:$F$175,4))</f>
        <v/>
      </c>
      <c r="L99" s="2">
        <f>L90</f>
        <v/>
      </c>
      <c r="M99" s="9">
        <f>IF(COUNTIF($F$103:$F$175,5)=0,0,L99/COUNTIF($F$103:$F$175,5))</f>
        <v/>
      </c>
      <c r="N99" s="2">
        <f>N90</f>
        <v/>
      </c>
      <c r="O99" s="9">
        <f>IF(COUNTIF($F$103:$F$175,6)=0,0,N99/COUNTIF($F$103:$F$175,6))</f>
        <v/>
      </c>
      <c r="P99" s="2">
        <f>P90</f>
        <v/>
      </c>
      <c r="Q99" s="9">
        <f>IF(COUNTIF($F$103:$F$175,7)=0,0,P99/COUNTIF($F$103:$F$175,7))</f>
        <v/>
      </c>
      <c r="R99" s="2">
        <f>R90</f>
        <v/>
      </c>
      <c r="S99" s="9">
        <f>IF(COUNTIF($F$103:$F$175,8)=0,0,R99/COUNTIF($F$103:$F$175,8))</f>
        <v/>
      </c>
    </row>
    <row r="100">
      <c r="A100" s="2" t="inlineStr">
        <is>
          <t>Passed on some but not all versions</t>
        </is>
      </c>
      <c r="B100" s="2">
        <f>B98-B99</f>
        <v/>
      </c>
      <c r="C100" s="9">
        <f>IF(COUNTA($A$103:$A$175)=0,0,B100/COUNTA($A$103:$A$175))</f>
        <v/>
      </c>
      <c r="D100" s="2">
        <f>D98-D99</f>
        <v/>
      </c>
      <c r="E100" s="9">
        <f>IF(COUNTIF($F$103:$F$175,1)=0,0,D100/COUNTIF($F$103:$F$175,1))</f>
        <v/>
      </c>
      <c r="F100" s="2">
        <f>F98-F99</f>
        <v/>
      </c>
      <c r="G100" s="9">
        <f>IF(COUNTIF($F$103:$F$175,2)=0,0,F100/COUNTIF($F$103:$F$175,2))</f>
        <v/>
      </c>
      <c r="H100" s="2">
        <f>H98-H99</f>
        <v/>
      </c>
      <c r="I100" s="9">
        <f>IF(COUNTIF($F$103:$F$175,3)=0,0,H100/COUNTIF($F$103:$F$175,3))</f>
        <v/>
      </c>
      <c r="J100" s="2">
        <f>J98-J99</f>
        <v/>
      </c>
      <c r="K100" s="9">
        <f>IF(COUNTIF($F$103:$F$175,4)=0,0,J100/COUNTIF($F$103:$F$175,4))</f>
        <v/>
      </c>
      <c r="L100" s="2">
        <f>L98-L99</f>
        <v/>
      </c>
      <c r="M100" s="9">
        <f>IF(COUNTIF($F$103:$F$175,5)=0,0,L100/COUNTIF($F$103:$F$175,5))</f>
        <v/>
      </c>
      <c r="N100" s="2">
        <f>N98-N99</f>
        <v/>
      </c>
      <c r="O100" s="9">
        <f>IF(COUNTIF($F$103:$F$175,6)=0,0,N100/COUNTIF($F$103:$F$175,6))</f>
        <v/>
      </c>
      <c r="P100" s="2">
        <f>P98-P99</f>
        <v/>
      </c>
      <c r="Q100" s="9">
        <f>IF(COUNTIF($F$103:$F$175,7)=0,0,P100/COUNTIF($F$103:$F$175,7))</f>
        <v/>
      </c>
      <c r="R100" s="2">
        <f>R98-R99</f>
        <v/>
      </c>
      <c r="S100" s="9">
        <f>IF(COUNTIF($F$103:$F$175,8)=0,0,R100/COUNTIF($F$103:$F$175,8))</f>
        <v/>
      </c>
    </row>
    <row r="101">
      <c r="A101" s="2" t="inlineStr">
        <is>
          <t>Passed on no version</t>
        </is>
      </c>
      <c r="B101" s="2">
        <f>COUNTIF($B$103:$B$175,"NO")</f>
        <v/>
      </c>
      <c r="C101" s="9">
        <f>IF(COUNTA($A$103:$A$175)=0,0,B101/COUNTA($A$103:$A$175))</f>
        <v/>
      </c>
      <c r="D101" s="2">
        <f>COUNTIFS($B$103:$B$175,"NO",$F$103:$F$175,1)</f>
        <v/>
      </c>
      <c r="E101" s="9">
        <f>IF(COUNTIF($F$103:$F$175,1)=0,0,D101/COUNTIF($F$103:$F$175,1))</f>
        <v/>
      </c>
      <c r="F101" s="2">
        <f>COUNTIFS($B$103:$B$175,"NO",$F$103:$F$175,2)</f>
        <v/>
      </c>
      <c r="G101" s="9">
        <f>IF(COUNTIF($F$103:$F$175,2)=0,0,F101/COUNTIF($F$103:$F$175,2))</f>
        <v/>
      </c>
      <c r="H101" s="2">
        <f>COUNTIFS($B$103:$B$175,"NO",$F$103:$F$175,3)</f>
        <v/>
      </c>
      <c r="I101" s="9">
        <f>IF(COUNTIF($F$103:$F$175,3)=0,0,H101/COUNTIF($F$103:$F$175,3))</f>
        <v/>
      </c>
      <c r="J101" s="2">
        <f>COUNTIFS($B$103:$B$175,"NO",$F$103:$F$175,4)</f>
        <v/>
      </c>
      <c r="K101" s="9">
        <f>IF(COUNTIF($F$103:$F$175,4)=0,0,J101/COUNTIF($F$103:$F$175,4))</f>
        <v/>
      </c>
      <c r="L101" s="2">
        <f>COUNTIFS($B$103:$B$175,"NO",$F$103:$F$175,5)</f>
        <v/>
      </c>
      <c r="M101" s="9">
        <f>IF(COUNTIF($F$103:$F$175,5)=0,0,L101/COUNTIF($F$103:$F$175,5))</f>
        <v/>
      </c>
      <c r="N101" s="2">
        <f>COUNTIFS($B$103:$B$175,"NO",$F$103:$F$175,6)</f>
        <v/>
      </c>
      <c r="O101" s="9">
        <f>IF(COUNTIF($F$103:$F$175,6)=0,0,N101/COUNTIF($F$103:$F$175,6))</f>
        <v/>
      </c>
      <c r="P101" s="2">
        <f>COUNTIFS($B$103:$B$175,"NO",$F$103:$F$175,7)</f>
        <v/>
      </c>
      <c r="Q101" s="9">
        <f>IF(COUNTIF($F$103:$F$175,7)=0,0,P101/COUNTIF($F$103:$F$175,7))</f>
        <v/>
      </c>
      <c r="R101" s="2">
        <f>COUNTIFS($B$103:$B$175,"NO",$F$103:$F$175,8)</f>
        <v/>
      </c>
      <c r="S101" s="9">
        <f>IF(COUNTIF($F$103:$F$175,8)=0,0,R101/COUNTIF($F$103:$F$175,8))</f>
        <v/>
      </c>
    </row>
    <row r="102">
      <c r="A102" s="1" t="inlineStr">
        <is>
          <t>Case</t>
        </is>
      </c>
      <c r="B102" s="1" t="inlineStr">
        <is>
          <t>Passed on ≥1 version?</t>
        </is>
      </c>
      <c r="C102" s="1" t="inlineStr">
        <is>
          <t>Versions it passed on</t>
        </is>
      </c>
      <c r="D102" s="1" t="inlineStr">
        <is>
          <t># passed</t>
        </is>
      </c>
      <c r="E102" s="1" t="inlineStr">
        <is>
          <t># tested</t>
        </is>
      </c>
      <c r="F102" s="1" t="inlineStr">
        <is>
          <t>Batch</t>
        </is>
      </c>
    </row>
    <row r="103">
      <c r="A103" s="2">
        <f>Summary!A2</f>
        <v/>
      </c>
      <c r="B103" s="2">
        <f>IF(C14&gt;0,"YES","NO")</f>
        <v/>
      </c>
      <c r="C103" s="14">
        <f t="array" ref="C103">IF(C14=0,"-",_xlfn.TEXTJOIN(", ",TRUE,IF(Summary!$B$2:$AB$2="Passed on test",Summary!$B$1:$AB$1,"")))</f>
        <v/>
      </c>
      <c r="D103" s="2">
        <f>C14</f>
        <v/>
      </c>
      <c r="E103" s="2">
        <f>B14</f>
        <v/>
      </c>
      <c r="F103" s="2" t="n">
        <v>1</v>
      </c>
    </row>
    <row r="104">
      <c r="A104" s="2">
        <f>Summary!A3</f>
        <v/>
      </c>
      <c r="B104" s="2">
        <f>IF(C15&gt;0,"YES","NO")</f>
        <v/>
      </c>
      <c r="C104" s="14">
        <f t="array" ref="C104">IF(C15=0,"-",_xlfn.TEXTJOIN(", ",TRUE,IF(Summary!$B$3:$AB$3="Passed on test",Summary!$B$1:$AB$1,"")))</f>
        <v/>
      </c>
      <c r="D104" s="2">
        <f>C15</f>
        <v/>
      </c>
      <c r="E104" s="2">
        <f>B15</f>
        <v/>
      </c>
      <c r="F104" s="2" t="n">
        <v>1</v>
      </c>
    </row>
    <row r="105">
      <c r="A105" s="2">
        <f>Summary!A4</f>
        <v/>
      </c>
      <c r="B105" s="2">
        <f>IF(C16&gt;0,"YES","NO")</f>
        <v/>
      </c>
      <c r="C105" s="14">
        <f t="array" ref="C105">IF(C16=0,"-",_xlfn.TEXTJOIN(", ",TRUE,IF(Summary!$B$4:$AB$4="Passed on test",Summary!$B$1:$AB$1,"")))</f>
        <v/>
      </c>
      <c r="D105" s="2">
        <f>C16</f>
        <v/>
      </c>
      <c r="E105" s="2">
        <f>B16</f>
        <v/>
      </c>
      <c r="F105" s="2" t="n">
        <v>1</v>
      </c>
    </row>
    <row r="106">
      <c r="A106" s="2">
        <f>Summary!A5</f>
        <v/>
      </c>
      <c r="B106" s="2">
        <f>IF(C17&gt;0,"YES","NO")</f>
        <v/>
      </c>
      <c r="C106" s="14">
        <f t="array" ref="C106">IF(C17=0,"-",_xlfn.TEXTJOIN(", ",TRUE,IF(Summary!$B$5:$AB$5="Passed on test",Summary!$B$1:$AB$1,"")))</f>
        <v/>
      </c>
      <c r="D106" s="2">
        <f>C17</f>
        <v/>
      </c>
      <c r="E106" s="2">
        <f>B17</f>
        <v/>
      </c>
      <c r="F106" s="2" t="n">
        <v>1</v>
      </c>
    </row>
    <row r="107">
      <c r="A107" s="2">
        <f>Summary!A6</f>
        <v/>
      </c>
      <c r="B107" s="2">
        <f>IF(C18&gt;0,"YES","NO")</f>
        <v/>
      </c>
      <c r="C107" s="14">
        <f t="array" ref="C107">IF(C18=0,"-",_xlfn.TEXTJOIN(", ",TRUE,IF(Summary!$B$6:$AB$6="Passed on test",Summary!$B$1:$AB$1,"")))</f>
        <v/>
      </c>
      <c r="D107" s="2">
        <f>C18</f>
        <v/>
      </c>
      <c r="E107" s="2">
        <f>B18</f>
        <v/>
      </c>
      <c r="F107" s="2" t="n">
        <v>1</v>
      </c>
    </row>
    <row r="108">
      <c r="A108" s="2">
        <f>Summary!A7</f>
        <v/>
      </c>
      <c r="B108" s="2">
        <f>IF(C19&gt;0,"YES","NO")</f>
        <v/>
      </c>
      <c r="C108" s="14">
        <f t="array" ref="C108">IF(C19=0,"-",_xlfn.TEXTJOIN(", ",TRUE,IF(Summary!$B$7:$AB$7="Passed on test",Summary!$B$1:$AB$1,"")))</f>
        <v/>
      </c>
      <c r="D108" s="2">
        <f>C19</f>
        <v/>
      </c>
      <c r="E108" s="2">
        <f>B19</f>
        <v/>
      </c>
      <c r="F108" s="2" t="n">
        <v>1</v>
      </c>
    </row>
    <row r="109">
      <c r="A109" s="2">
        <f>Summary!A8</f>
        <v/>
      </c>
      <c r="B109" s="2">
        <f>IF(C20&gt;0,"YES","NO")</f>
        <v/>
      </c>
      <c r="C109" s="14">
        <f t="array" ref="C109">IF(C20=0,"-",_xlfn.TEXTJOIN(", ",TRUE,IF(Summary!$B$8:$AB$8="Passed on test",Summary!$B$1:$AB$1,"")))</f>
        <v/>
      </c>
      <c r="D109" s="2">
        <f>C20</f>
        <v/>
      </c>
      <c r="E109" s="2">
        <f>B20</f>
        <v/>
      </c>
      <c r="F109" s="2" t="n">
        <v>1</v>
      </c>
    </row>
    <row r="110">
      <c r="A110" s="2">
        <f>Summary!A9</f>
        <v/>
      </c>
      <c r="B110" s="2">
        <f>IF(C21&gt;0,"YES","NO")</f>
        <v/>
      </c>
      <c r="C110" s="14">
        <f t="array" ref="C110">IF(C21=0,"-",_xlfn.TEXTJOIN(", ",TRUE,IF(Summary!$B$9:$AB$9="Passed on test",Summary!$B$1:$AB$1,"")))</f>
        <v/>
      </c>
      <c r="D110" s="2">
        <f>C21</f>
        <v/>
      </c>
      <c r="E110" s="2">
        <f>B21</f>
        <v/>
      </c>
      <c r="F110" s="2" t="n">
        <v>1</v>
      </c>
    </row>
    <row r="111">
      <c r="A111" s="2">
        <f>Summary!A10</f>
        <v/>
      </c>
      <c r="B111" s="2">
        <f>IF(C22&gt;0,"YES","NO")</f>
        <v/>
      </c>
      <c r="C111" s="14">
        <f t="array" ref="C111">IF(C22=0,"-",_xlfn.TEXTJOIN(", ",TRUE,IF(Summary!$B$10:$AB$10="Passed on test",Summary!$B$1:$AB$1,"")))</f>
        <v/>
      </c>
      <c r="D111" s="2">
        <f>C22</f>
        <v/>
      </c>
      <c r="E111" s="2">
        <f>B22</f>
        <v/>
      </c>
      <c r="F111" s="2" t="n">
        <v>1</v>
      </c>
    </row>
    <row r="112">
      <c r="A112" s="2">
        <f>Summary!A11</f>
        <v/>
      </c>
      <c r="B112" s="2">
        <f>IF(C23&gt;0,"YES","NO")</f>
        <v/>
      </c>
      <c r="C112" s="14">
        <f t="array" ref="C112">IF(C23=0,"-",_xlfn.TEXTJOIN(", ",TRUE,IF(Summary!$B$11:$AB$11="Passed on test",Summary!$B$1:$AB$1,"")))</f>
        <v/>
      </c>
      <c r="D112" s="2">
        <f>C23</f>
        <v/>
      </c>
      <c r="E112" s="2">
        <f>B23</f>
        <v/>
      </c>
      <c r="F112" s="2" t="n">
        <v>1</v>
      </c>
    </row>
    <row r="113">
      <c r="A113" s="2">
        <f>Summary!A12</f>
        <v/>
      </c>
      <c r="B113" s="2">
        <f>IF(C24&gt;0,"YES","NO")</f>
        <v/>
      </c>
      <c r="C113" s="14">
        <f t="array" ref="C113">IF(C24=0,"-",_xlfn.TEXTJOIN(", ",TRUE,IF(Summary!$B$12:$AB$12="Passed on test",Summary!$B$1:$AB$1,"")))</f>
        <v/>
      </c>
      <c r="D113" s="2">
        <f>C24</f>
        <v/>
      </c>
      <c r="E113" s="2">
        <f>B24</f>
        <v/>
      </c>
      <c r="F113" s="2" t="n">
        <v>2</v>
      </c>
    </row>
    <row r="114">
      <c r="A114" s="2">
        <f>Summary!A13</f>
        <v/>
      </c>
      <c r="B114" s="2">
        <f>IF(C25&gt;0,"YES","NO")</f>
        <v/>
      </c>
      <c r="C114" s="14">
        <f t="array" ref="C114">IF(C25=0,"-",_xlfn.TEXTJOIN(", ",TRUE,IF(Summary!$B$13:$AB$13="Passed on test",Summary!$B$1:$AB$1,"")))</f>
        <v/>
      </c>
      <c r="D114" s="2">
        <f>C25</f>
        <v/>
      </c>
      <c r="E114" s="2">
        <f>B25</f>
        <v/>
      </c>
      <c r="F114" s="2" t="n">
        <v>2</v>
      </c>
    </row>
    <row r="115">
      <c r="A115" s="2">
        <f>Summary!A14</f>
        <v/>
      </c>
      <c r="B115" s="2">
        <f>IF(C26&gt;0,"YES","NO")</f>
        <v/>
      </c>
      <c r="C115" s="14">
        <f t="array" ref="C115">IF(C26=0,"-",_xlfn.TEXTJOIN(", ",TRUE,IF(Summary!$B$14:$AB$14="Passed on test",Summary!$B$1:$AB$1,"")))</f>
        <v/>
      </c>
      <c r="D115" s="2">
        <f>C26</f>
        <v/>
      </c>
      <c r="E115" s="2">
        <f>B26</f>
        <v/>
      </c>
      <c r="F115" s="2" t="n">
        <v>2</v>
      </c>
    </row>
    <row r="116">
      <c r="A116" s="2">
        <f>Summary!A15</f>
        <v/>
      </c>
      <c r="B116" s="2">
        <f>IF(C27&gt;0,"YES","NO")</f>
        <v/>
      </c>
      <c r="C116" s="14">
        <f t="array" ref="C116">IF(C27=0,"-",_xlfn.TEXTJOIN(", ",TRUE,IF(Summary!$B$15:$AB$15="Passed on test",Summary!$B$1:$AB$1,"")))</f>
        <v/>
      </c>
      <c r="D116" s="2">
        <f>C27</f>
        <v/>
      </c>
      <c r="E116" s="2">
        <f>B27</f>
        <v/>
      </c>
      <c r="F116" s="2" t="n">
        <v>2</v>
      </c>
    </row>
    <row r="117">
      <c r="A117" s="2">
        <f>Summary!A16</f>
        <v/>
      </c>
      <c r="B117" s="2">
        <f>IF(C28&gt;0,"YES","NO")</f>
        <v/>
      </c>
      <c r="C117" s="14">
        <f t="array" ref="C117">IF(C28=0,"-",_xlfn.TEXTJOIN(", ",TRUE,IF(Summary!$B$16:$AB$16="Passed on test",Summary!$B$1:$AB$1,"")))</f>
        <v/>
      </c>
      <c r="D117" s="2">
        <f>C28</f>
        <v/>
      </c>
      <c r="E117" s="2">
        <f>B28</f>
        <v/>
      </c>
      <c r="F117" s="2" t="n">
        <v>2</v>
      </c>
    </row>
    <row r="118">
      <c r="A118" s="2">
        <f>Summary!A17</f>
        <v/>
      </c>
      <c r="B118" s="2">
        <f>IF(C29&gt;0,"YES","NO")</f>
        <v/>
      </c>
      <c r="C118" s="14">
        <f t="array" ref="C118">IF(C29=0,"-",_xlfn.TEXTJOIN(", ",TRUE,IF(Summary!$B$17:$AB$17="Passed on test",Summary!$B$1:$AB$1,"")))</f>
        <v/>
      </c>
      <c r="D118" s="2">
        <f>C29</f>
        <v/>
      </c>
      <c r="E118" s="2">
        <f>B29</f>
        <v/>
      </c>
      <c r="F118" s="2" t="n">
        <v>2</v>
      </c>
    </row>
    <row r="119">
      <c r="A119" s="2">
        <f>Summary!A18</f>
        <v/>
      </c>
      <c r="B119" s="2">
        <f>IF(C30&gt;0,"YES","NO")</f>
        <v/>
      </c>
      <c r="C119" s="14">
        <f t="array" ref="C119">IF(C30=0,"-",_xlfn.TEXTJOIN(", ",TRUE,IF(Summary!$B$18:$AB$18="Passed on test",Summary!$B$1:$AB$1,"")))</f>
        <v/>
      </c>
      <c r="D119" s="2">
        <f>C30</f>
        <v/>
      </c>
      <c r="E119" s="2">
        <f>B30</f>
        <v/>
      </c>
      <c r="F119" s="2" t="n">
        <v>2</v>
      </c>
    </row>
    <row r="120">
      <c r="A120" s="2">
        <f>Summary!A19</f>
        <v/>
      </c>
      <c r="B120" s="2">
        <f>IF(C31&gt;0,"YES","NO")</f>
        <v/>
      </c>
      <c r="C120" s="14">
        <f t="array" ref="C120">IF(C31=0,"-",_xlfn.TEXTJOIN(", ",TRUE,IF(Summary!$B$19:$AB$19="Passed on test",Summary!$B$1:$AB$1,"")))</f>
        <v/>
      </c>
      <c r="D120" s="2">
        <f>C31</f>
        <v/>
      </c>
      <c r="E120" s="2">
        <f>B31</f>
        <v/>
      </c>
      <c r="F120" s="2" t="n">
        <v>2</v>
      </c>
    </row>
    <row r="121">
      <c r="A121" s="2">
        <f>Summary!A20</f>
        <v/>
      </c>
      <c r="B121" s="2">
        <f>IF(C32&gt;0,"YES","NO")</f>
        <v/>
      </c>
      <c r="C121" s="14">
        <f t="array" ref="C121">IF(C32=0,"-",_xlfn.TEXTJOIN(", ",TRUE,IF(Summary!$B$20:$AB$20="Passed on test",Summary!$B$1:$AB$1,"")))</f>
        <v/>
      </c>
      <c r="D121" s="2">
        <f>C32</f>
        <v/>
      </c>
      <c r="E121" s="2">
        <f>B32</f>
        <v/>
      </c>
      <c r="F121" s="2" t="n">
        <v>2</v>
      </c>
    </row>
    <row r="122">
      <c r="A122" s="2">
        <f>Summary!A21</f>
        <v/>
      </c>
      <c r="B122" s="2">
        <f>IF(C33&gt;0,"YES","NO")</f>
        <v/>
      </c>
      <c r="C122" s="14">
        <f t="array" ref="C122">IF(C33=0,"-",_xlfn.TEXTJOIN(", ",TRUE,IF(Summary!$B$21:$AB$21="Passed on test",Summary!$B$1:$AB$1,"")))</f>
        <v/>
      </c>
      <c r="D122" s="2">
        <f>C33</f>
        <v/>
      </c>
      <c r="E122" s="2">
        <f>B33</f>
        <v/>
      </c>
      <c r="F122" s="2" t="n">
        <v>2</v>
      </c>
    </row>
    <row r="123">
      <c r="A123" s="2">
        <f>Summary!A22</f>
        <v/>
      </c>
      <c r="B123" s="2">
        <f>IF(C34&gt;0,"YES","NO")</f>
        <v/>
      </c>
      <c r="C123" s="14">
        <f t="array" ref="C123">IF(C34=0,"-",_xlfn.TEXTJOIN(", ",TRUE,IF(Summary!$B$22:$AB$22="Passed on test",Summary!$B$1:$AB$1,"")))</f>
        <v/>
      </c>
      <c r="D123" s="2">
        <f>C34</f>
        <v/>
      </c>
      <c r="E123" s="2">
        <f>B34</f>
        <v/>
      </c>
      <c r="F123" s="2" t="n">
        <v>3</v>
      </c>
    </row>
    <row r="124">
      <c r="A124" s="2">
        <f>Summary!A23</f>
        <v/>
      </c>
      <c r="B124" s="2">
        <f>IF(C35&gt;0,"YES","NO")</f>
        <v/>
      </c>
      <c r="C124" s="14">
        <f t="array" ref="C124">IF(C35=0,"-",_xlfn.TEXTJOIN(", ",TRUE,IF(Summary!$B$23:$AB$23="Passed on test",Summary!$B$1:$AB$1,"")))</f>
        <v/>
      </c>
      <c r="D124" s="2">
        <f>C35</f>
        <v/>
      </c>
      <c r="E124" s="2">
        <f>B35</f>
        <v/>
      </c>
      <c r="F124" s="2" t="n">
        <v>3</v>
      </c>
    </row>
    <row r="125">
      <c r="A125" s="2">
        <f>Summary!A24</f>
        <v/>
      </c>
      <c r="B125" s="2">
        <f>IF(C36&gt;0,"YES","NO")</f>
        <v/>
      </c>
      <c r="C125" s="14">
        <f t="array" ref="C125">IF(C36=0,"-",_xlfn.TEXTJOIN(", ",TRUE,IF(Summary!$B$24:$AB$24="Passed on test",Summary!$B$1:$AB$1,"")))</f>
        <v/>
      </c>
      <c r="D125" s="2">
        <f>C36</f>
        <v/>
      </c>
      <c r="E125" s="2">
        <f>B36</f>
        <v/>
      </c>
      <c r="F125" s="2" t="n">
        <v>3</v>
      </c>
    </row>
    <row r="126">
      <c r="A126" s="2">
        <f>Summary!A25</f>
        <v/>
      </c>
      <c r="B126" s="2">
        <f>IF(C37&gt;0,"YES","NO")</f>
        <v/>
      </c>
      <c r="C126" s="14">
        <f t="array" ref="C126">IF(C37=0,"-",_xlfn.TEXTJOIN(", ",TRUE,IF(Summary!$B$25:$AB$25="Passed on test",Summary!$B$1:$AB$1,"")))</f>
        <v/>
      </c>
      <c r="D126" s="2">
        <f>C37</f>
        <v/>
      </c>
      <c r="E126" s="2">
        <f>B37</f>
        <v/>
      </c>
      <c r="F126" s="2" t="n">
        <v>3</v>
      </c>
    </row>
    <row r="127">
      <c r="A127" s="2">
        <f>Summary!A26</f>
        <v/>
      </c>
      <c r="B127" s="2">
        <f>IF(C38&gt;0,"YES","NO")</f>
        <v/>
      </c>
      <c r="C127" s="14">
        <f t="array" ref="C127">IF(C38=0,"-",_xlfn.TEXTJOIN(", ",TRUE,IF(Summary!$B$26:$AB$26="Passed on test",Summary!$B$1:$AB$1,"")))</f>
        <v/>
      </c>
      <c r="D127" s="2">
        <f>C38</f>
        <v/>
      </c>
      <c r="E127" s="2">
        <f>B38</f>
        <v/>
      </c>
      <c r="F127" s="2" t="n">
        <v>3</v>
      </c>
    </row>
    <row r="128">
      <c r="A128" s="2">
        <f>Summary!A27</f>
        <v/>
      </c>
      <c r="B128" s="2">
        <f>IF(C39&gt;0,"YES","NO")</f>
        <v/>
      </c>
      <c r="C128" s="14">
        <f t="array" ref="C128">IF(C39=0,"-",_xlfn.TEXTJOIN(", ",TRUE,IF(Summary!$B$27:$AB$27="Passed on test",Summary!$B$1:$AB$1,"")))</f>
        <v/>
      </c>
      <c r="D128" s="2">
        <f>C39</f>
        <v/>
      </c>
      <c r="E128" s="2">
        <f>B39</f>
        <v/>
      </c>
      <c r="F128" s="2" t="n">
        <v>3</v>
      </c>
    </row>
    <row r="129">
      <c r="A129" s="2">
        <f>Summary!A28</f>
        <v/>
      </c>
      <c r="B129" s="2">
        <f>IF(C40&gt;0,"YES","NO")</f>
        <v/>
      </c>
      <c r="C129" s="14">
        <f t="array" ref="C129">IF(C40=0,"-",_xlfn.TEXTJOIN(", ",TRUE,IF(Summary!$B$28:$AB$28="Passed on test",Summary!$B$1:$AB$1,"")))</f>
        <v/>
      </c>
      <c r="D129" s="2">
        <f>C40</f>
        <v/>
      </c>
      <c r="E129" s="2">
        <f>B40</f>
        <v/>
      </c>
      <c r="F129" s="2" t="n">
        <v>3</v>
      </c>
    </row>
    <row r="130">
      <c r="A130" s="2">
        <f>Summary!A29</f>
        <v/>
      </c>
      <c r="B130" s="2">
        <f>IF(C41&gt;0,"YES","NO")</f>
        <v/>
      </c>
      <c r="C130" s="14">
        <f t="array" ref="C130">IF(C41=0,"-",_xlfn.TEXTJOIN(", ",TRUE,IF(Summary!$B$29:$AB$29="Passed on test",Summary!$B$1:$AB$1,"")))</f>
        <v/>
      </c>
      <c r="D130" s="2">
        <f>C41</f>
        <v/>
      </c>
      <c r="E130" s="2">
        <f>B41</f>
        <v/>
      </c>
      <c r="F130" s="2" t="n">
        <v>3</v>
      </c>
    </row>
    <row r="131">
      <c r="A131" s="2">
        <f>Summary!A30</f>
        <v/>
      </c>
      <c r="B131" s="2">
        <f>IF(C42&gt;0,"YES","NO")</f>
        <v/>
      </c>
      <c r="C131" s="14">
        <f t="array" ref="C131">IF(C42=0,"-",_xlfn.TEXTJOIN(", ",TRUE,IF(Summary!$B$30:$AB$30="Passed on test",Summary!$B$1:$AB$1,"")))</f>
        <v/>
      </c>
      <c r="D131" s="2">
        <f>C42</f>
        <v/>
      </c>
      <c r="E131" s="2">
        <f>B42</f>
        <v/>
      </c>
      <c r="F131" s="2" t="n">
        <v>3</v>
      </c>
    </row>
    <row r="132">
      <c r="A132" s="2">
        <f>Summary!A31</f>
        <v/>
      </c>
      <c r="B132" s="2">
        <f>IF(C43&gt;0,"YES","NO")</f>
        <v/>
      </c>
      <c r="C132" s="14">
        <f t="array" ref="C132">IF(C43=0,"-",_xlfn.TEXTJOIN(", ",TRUE,IF(Summary!$B$31:$AB$31="Passed on test",Summary!$B$1:$AB$1,"")))</f>
        <v/>
      </c>
      <c r="D132" s="2">
        <f>C43</f>
        <v/>
      </c>
      <c r="E132" s="2">
        <f>B43</f>
        <v/>
      </c>
      <c r="F132" s="2" t="n">
        <v>3</v>
      </c>
    </row>
    <row r="133">
      <c r="A133" s="2">
        <f>Summary!A32</f>
        <v/>
      </c>
      <c r="B133" s="2">
        <f>IF(C44&gt;0,"YES","NO")</f>
        <v/>
      </c>
      <c r="C133" s="14">
        <f t="array" ref="C133">IF(C44=0,"-",_xlfn.TEXTJOIN(", ",TRUE,IF(Summary!$B$32:$AB$32="Passed on test",Summary!$B$1:$AB$1,"")))</f>
        <v/>
      </c>
      <c r="D133" s="2">
        <f>C44</f>
        <v/>
      </c>
      <c r="E133" s="2">
        <f>B44</f>
        <v/>
      </c>
      <c r="F133" s="2" t="n">
        <v>4</v>
      </c>
    </row>
    <row r="134">
      <c r="A134" s="2">
        <f>Summary!A33</f>
        <v/>
      </c>
      <c r="B134" s="2">
        <f>IF(C45&gt;0,"YES","NO")</f>
        <v/>
      </c>
      <c r="C134" s="14">
        <f t="array" ref="C134">IF(C45=0,"-",_xlfn.TEXTJOIN(", ",TRUE,IF(Summary!$B$33:$AB$33="Passed on test",Summary!$B$1:$AB$1,"")))</f>
        <v/>
      </c>
      <c r="D134" s="2">
        <f>C45</f>
        <v/>
      </c>
      <c r="E134" s="2">
        <f>B45</f>
        <v/>
      </c>
      <c r="F134" s="2" t="n">
        <v>4</v>
      </c>
    </row>
    <row r="135">
      <c r="A135" s="2">
        <f>Summary!A34</f>
        <v/>
      </c>
      <c r="B135" s="2">
        <f>IF(C46&gt;0,"YES","NO")</f>
        <v/>
      </c>
      <c r="C135" s="14">
        <f t="array" ref="C135">IF(C46=0,"-",_xlfn.TEXTJOIN(", ",TRUE,IF(Summary!$B$34:$AB$34="Passed on test",Summary!$B$1:$AB$1,"")))</f>
        <v/>
      </c>
      <c r="D135" s="2">
        <f>C46</f>
        <v/>
      </c>
      <c r="E135" s="2">
        <f>B46</f>
        <v/>
      </c>
      <c r="F135" s="2" t="n">
        <v>4</v>
      </c>
    </row>
    <row r="136">
      <c r="A136" s="2">
        <f>Summary!A35</f>
        <v/>
      </c>
      <c r="B136" s="2">
        <f>IF(C47&gt;0,"YES","NO")</f>
        <v/>
      </c>
      <c r="C136" s="14">
        <f t="array" ref="C136">IF(C47=0,"-",_xlfn.TEXTJOIN(", ",TRUE,IF(Summary!$B$35:$AB$35="Passed on test",Summary!$B$1:$AB$1,"")))</f>
        <v/>
      </c>
      <c r="D136" s="2">
        <f>C47</f>
        <v/>
      </c>
      <c r="E136" s="2">
        <f>B47</f>
        <v/>
      </c>
      <c r="F136" s="2" t="n">
        <v>4</v>
      </c>
    </row>
    <row r="137">
      <c r="A137" s="2">
        <f>Summary!A36</f>
        <v/>
      </c>
      <c r="B137" s="2">
        <f>IF(C48&gt;0,"YES","NO")</f>
        <v/>
      </c>
      <c r="C137" s="14">
        <f t="array" ref="C137">IF(C48=0,"-",_xlfn.TEXTJOIN(", ",TRUE,IF(Summary!$B$36:$AB$36="Passed on test",Summary!$B$1:$AB$1,"")))</f>
        <v/>
      </c>
      <c r="D137" s="2">
        <f>C48</f>
        <v/>
      </c>
      <c r="E137" s="2">
        <f>B48</f>
        <v/>
      </c>
      <c r="F137" s="2" t="n">
        <v>4</v>
      </c>
    </row>
    <row r="138">
      <c r="A138" s="2">
        <f>Summary!A37</f>
        <v/>
      </c>
      <c r="B138" s="2">
        <f>IF(C49&gt;0,"YES","NO")</f>
        <v/>
      </c>
      <c r="C138" s="14">
        <f t="array" ref="C138">IF(C49=0,"-",_xlfn.TEXTJOIN(", ",TRUE,IF(Summary!$B$37:$AB$37="Passed on test",Summary!$B$1:$AB$1,"")))</f>
        <v/>
      </c>
      <c r="D138" s="2">
        <f>C49</f>
        <v/>
      </c>
      <c r="E138" s="2">
        <f>B49</f>
        <v/>
      </c>
      <c r="F138" s="2" t="n">
        <v>4</v>
      </c>
    </row>
    <row r="139">
      <c r="A139" s="2">
        <f>Summary!A38</f>
        <v/>
      </c>
      <c r="B139" s="2">
        <f>IF(C50&gt;0,"YES","NO")</f>
        <v/>
      </c>
      <c r="C139" s="14">
        <f t="array" ref="C139">IF(C50=0,"-",_xlfn.TEXTJOIN(", ",TRUE,IF(Summary!$B$38:$AB$38="Passed on test",Summary!$B$1:$AB$1,"")))</f>
        <v/>
      </c>
      <c r="D139" s="2">
        <f>C50</f>
        <v/>
      </c>
      <c r="E139" s="2">
        <f>B50</f>
        <v/>
      </c>
      <c r="F139" s="2" t="n">
        <v>4</v>
      </c>
    </row>
    <row r="140">
      <c r="A140" s="2">
        <f>Summary!A39</f>
        <v/>
      </c>
      <c r="B140" s="2">
        <f>IF(C51&gt;0,"YES","NO")</f>
        <v/>
      </c>
      <c r="C140" s="14">
        <f t="array" ref="C140">IF(C51=0,"-",_xlfn.TEXTJOIN(", ",TRUE,IF(Summary!$B$39:$AB$39="Passed on test",Summary!$B$1:$AB$1,"")))</f>
        <v/>
      </c>
      <c r="D140" s="2">
        <f>C51</f>
        <v/>
      </c>
      <c r="E140" s="2">
        <f>B51</f>
        <v/>
      </c>
      <c r="F140" s="2" t="n">
        <v>4</v>
      </c>
    </row>
    <row r="141">
      <c r="A141" s="2">
        <f>Summary!A40</f>
        <v/>
      </c>
      <c r="B141" s="2">
        <f>IF(C52&gt;0,"YES","NO")</f>
        <v/>
      </c>
      <c r="C141" s="14">
        <f t="array" ref="C141">IF(C52=0,"-",_xlfn.TEXTJOIN(", ",TRUE,IF(Summary!$B$40:$AB$40="Passed on test",Summary!$B$1:$AB$1,"")))</f>
        <v/>
      </c>
      <c r="D141" s="2">
        <f>C52</f>
        <v/>
      </c>
      <c r="E141" s="2">
        <f>B52</f>
        <v/>
      </c>
      <c r="F141" s="2" t="n">
        <v>4</v>
      </c>
    </row>
    <row r="142">
      <c r="A142" s="2">
        <f>Summary!A41</f>
        <v/>
      </c>
      <c r="B142" s="2">
        <f>IF(C53&gt;0,"YES","NO")</f>
        <v/>
      </c>
      <c r="C142" s="14">
        <f t="array" ref="C142">IF(C53=0,"-",_xlfn.TEXTJOIN(", ",TRUE,IF(Summary!$B$41:$AB$41="Passed on test",Summary!$B$1:$AB$1,"")))</f>
        <v/>
      </c>
      <c r="D142" s="2">
        <f>C53</f>
        <v/>
      </c>
      <c r="E142" s="2">
        <f>B53</f>
        <v/>
      </c>
      <c r="F142" s="2" t="n">
        <v>4</v>
      </c>
    </row>
    <row r="143">
      <c r="A143" s="2">
        <f>Summary!A42</f>
        <v/>
      </c>
      <c r="B143" s="2">
        <f>IF(C54&gt;0,"YES","NO")</f>
        <v/>
      </c>
      <c r="C143" s="14">
        <f t="array" ref="C143">IF(C54=0,"-",_xlfn.TEXTJOIN(", ",TRUE,IF(Summary!$B$42:$AB$42="Passed on test",Summary!$B$1:$AB$1,"")))</f>
        <v/>
      </c>
      <c r="D143" s="2">
        <f>C54</f>
        <v/>
      </c>
      <c r="E143" s="2">
        <f>B54</f>
        <v/>
      </c>
      <c r="F143" s="2" t="n">
        <v>5</v>
      </c>
    </row>
    <row r="144">
      <c r="A144" s="2">
        <f>Summary!A43</f>
        <v/>
      </c>
      <c r="B144" s="2">
        <f>IF(C55&gt;0,"YES","NO")</f>
        <v/>
      </c>
      <c r="C144" s="14">
        <f t="array" ref="C144">IF(C55=0,"-",_xlfn.TEXTJOIN(", ",TRUE,IF(Summary!$B$43:$AB$43="Passed on test",Summary!$B$1:$AB$1,"")))</f>
        <v/>
      </c>
      <c r="D144" s="2">
        <f>C55</f>
        <v/>
      </c>
      <c r="E144" s="2">
        <f>B55</f>
        <v/>
      </c>
      <c r="F144" s="2" t="n">
        <v>5</v>
      </c>
    </row>
    <row r="145">
      <c r="A145" s="2">
        <f>Summary!A44</f>
        <v/>
      </c>
      <c r="B145" s="2">
        <f>IF(C56&gt;0,"YES","NO")</f>
        <v/>
      </c>
      <c r="C145" s="14">
        <f t="array" ref="C145">IF(C56=0,"-",_xlfn.TEXTJOIN(", ",TRUE,IF(Summary!$B$44:$AB$44="Passed on test",Summary!$B$1:$AB$1,"")))</f>
        <v/>
      </c>
      <c r="D145" s="2">
        <f>C56</f>
        <v/>
      </c>
      <c r="E145" s="2">
        <f>B56</f>
        <v/>
      </c>
      <c r="F145" s="2" t="n">
        <v>5</v>
      </c>
    </row>
    <row r="146">
      <c r="A146" s="2">
        <f>Summary!A45</f>
        <v/>
      </c>
      <c r="B146" s="2">
        <f>IF(C57&gt;0,"YES","NO")</f>
        <v/>
      </c>
      <c r="C146" s="14">
        <f t="array" ref="C146">IF(C57=0,"-",_xlfn.TEXTJOIN(", ",TRUE,IF(Summary!$B$45:$AB$45="Passed on test",Summary!$B$1:$AB$1,"")))</f>
        <v/>
      </c>
      <c r="D146" s="2">
        <f>C57</f>
        <v/>
      </c>
      <c r="E146" s="2">
        <f>B57</f>
        <v/>
      </c>
      <c r="F146" s="2" t="n">
        <v>5</v>
      </c>
    </row>
    <row r="147">
      <c r="A147" s="2">
        <f>Summary!A46</f>
        <v/>
      </c>
      <c r="B147" s="2">
        <f>IF(C58&gt;0,"YES","NO")</f>
        <v/>
      </c>
      <c r="C147" s="14">
        <f t="array" ref="C147">IF(C58=0,"-",_xlfn.TEXTJOIN(", ",TRUE,IF(Summary!$B$46:$AB$46="Passed on test",Summary!$B$1:$AB$1,"")))</f>
        <v/>
      </c>
      <c r="D147" s="2">
        <f>C58</f>
        <v/>
      </c>
      <c r="E147" s="2">
        <f>B58</f>
        <v/>
      </c>
      <c r="F147" s="2" t="n">
        <v>5</v>
      </c>
    </row>
    <row r="148">
      <c r="A148" s="2">
        <f>Summary!A47</f>
        <v/>
      </c>
      <c r="B148" s="2">
        <f>IF(C59&gt;0,"YES","NO")</f>
        <v/>
      </c>
      <c r="C148" s="14">
        <f t="array" ref="C148">IF(C59=0,"-",_xlfn.TEXTJOIN(", ",TRUE,IF(Summary!$B$47:$AB$47="Passed on test",Summary!$B$1:$AB$1,"")))</f>
        <v/>
      </c>
      <c r="D148" s="2">
        <f>C59</f>
        <v/>
      </c>
      <c r="E148" s="2">
        <f>B59</f>
        <v/>
      </c>
      <c r="F148" s="2" t="n">
        <v>5</v>
      </c>
    </row>
    <row r="149">
      <c r="A149" s="2">
        <f>Summary!A48</f>
        <v/>
      </c>
      <c r="B149" s="2">
        <f>IF(C60&gt;0,"YES","NO")</f>
        <v/>
      </c>
      <c r="C149" s="14">
        <f t="array" ref="C149">IF(C60=0,"-",_xlfn.TEXTJOIN(", ",TRUE,IF(Summary!$B$48:$AB$48="Passed on test",Summary!$B$1:$AB$1,"")))</f>
        <v/>
      </c>
      <c r="D149" s="2">
        <f>C60</f>
        <v/>
      </c>
      <c r="E149" s="2">
        <f>B60</f>
        <v/>
      </c>
      <c r="F149" s="2" t="n">
        <v>5</v>
      </c>
    </row>
    <row r="150">
      <c r="A150" s="2">
        <f>Summary!A49</f>
        <v/>
      </c>
      <c r="B150" s="2">
        <f>IF(C61&gt;0,"YES","NO")</f>
        <v/>
      </c>
      <c r="C150" s="14">
        <f t="array" ref="C150">IF(C61=0,"-",_xlfn.TEXTJOIN(", ",TRUE,IF(Summary!$B$49:$AB$49="Passed on test",Summary!$B$1:$AB$1,"")))</f>
        <v/>
      </c>
      <c r="D150" s="2">
        <f>C61</f>
        <v/>
      </c>
      <c r="E150" s="2">
        <f>B61</f>
        <v/>
      </c>
      <c r="F150" s="2" t="n">
        <v>5</v>
      </c>
    </row>
    <row r="151">
      <c r="A151" s="2">
        <f>Summary!A50</f>
        <v/>
      </c>
      <c r="B151" s="2">
        <f>IF(C62&gt;0,"YES","NO")</f>
        <v/>
      </c>
      <c r="C151" s="14">
        <f t="array" ref="C151">IF(C62=0,"-",_xlfn.TEXTJOIN(", ",TRUE,IF(Summary!$B$50:$AB$50="Passed on test",Summary!$B$1:$AB$1,"")))</f>
        <v/>
      </c>
      <c r="D151" s="2">
        <f>C62</f>
        <v/>
      </c>
      <c r="E151" s="2">
        <f>B62</f>
        <v/>
      </c>
      <c r="F151" s="2" t="n">
        <v>5</v>
      </c>
    </row>
    <row r="152">
      <c r="A152" s="2">
        <f>Summary!A51</f>
        <v/>
      </c>
      <c r="B152" s="2">
        <f>IF(C63&gt;0,"YES","NO")</f>
        <v/>
      </c>
      <c r="C152" s="14">
        <f t="array" ref="C152">IF(C63=0,"-",_xlfn.TEXTJOIN(", ",TRUE,IF(Summary!$B$51:$AB$51="Passed on test",Summary!$B$1:$AB$1,"")))</f>
        <v/>
      </c>
      <c r="D152" s="2">
        <f>C63</f>
        <v/>
      </c>
      <c r="E152" s="2">
        <f>B63</f>
        <v/>
      </c>
      <c r="F152" s="2" t="n">
        <v>5</v>
      </c>
    </row>
    <row r="153">
      <c r="A153" s="2">
        <f>Summary!A52</f>
        <v/>
      </c>
      <c r="B153" s="2">
        <f>IF(C64&gt;0,"YES","NO")</f>
        <v/>
      </c>
      <c r="C153" s="14">
        <f t="array" ref="C153">IF(C64=0,"-",_xlfn.TEXTJOIN(", ",TRUE,IF(Summary!$B$52:$AB$52="Passed on test",Summary!$B$1:$AB$1,"")))</f>
        <v/>
      </c>
      <c r="D153" s="2">
        <f>C64</f>
        <v/>
      </c>
      <c r="E153" s="2">
        <f>B64</f>
        <v/>
      </c>
      <c r="F153" s="2" t="n">
        <v>6</v>
      </c>
    </row>
    <row r="154">
      <c r="A154" s="2">
        <f>Summary!A53</f>
        <v/>
      </c>
      <c r="B154" s="2">
        <f>IF(C65&gt;0,"YES","NO")</f>
        <v/>
      </c>
      <c r="C154" s="14">
        <f t="array" ref="C154">IF(C65=0,"-",_xlfn.TEXTJOIN(", ",TRUE,IF(Summary!$B$53:$AB$53="Passed on test",Summary!$B$1:$AB$1,"")))</f>
        <v/>
      </c>
      <c r="D154" s="2">
        <f>C65</f>
        <v/>
      </c>
      <c r="E154" s="2">
        <f>B65</f>
        <v/>
      </c>
      <c r="F154" s="2" t="n">
        <v>6</v>
      </c>
    </row>
    <row r="155">
      <c r="A155" s="2">
        <f>Summary!A54</f>
        <v/>
      </c>
      <c r="B155" s="2">
        <f>IF(C66&gt;0,"YES","NO")</f>
        <v/>
      </c>
      <c r="C155" s="14">
        <f t="array" ref="C155">IF(C66=0,"-",_xlfn.TEXTJOIN(", ",TRUE,IF(Summary!$B$54:$AB$54="Passed on test",Summary!$B$1:$AB$1,"")))</f>
        <v/>
      </c>
      <c r="D155" s="2">
        <f>C66</f>
        <v/>
      </c>
      <c r="E155" s="2">
        <f>B66</f>
        <v/>
      </c>
      <c r="F155" s="2" t="n">
        <v>6</v>
      </c>
    </row>
    <row r="156">
      <c r="A156" s="2">
        <f>Summary!A55</f>
        <v/>
      </c>
      <c r="B156" s="2">
        <f>IF(C67&gt;0,"YES","NO")</f>
        <v/>
      </c>
      <c r="C156" s="14">
        <f t="array" ref="C156">IF(C67=0,"-",_xlfn.TEXTJOIN(", ",TRUE,IF(Summary!$B$55:$AB$55="Passed on test",Summary!$B$1:$AB$1,"")))</f>
        <v/>
      </c>
      <c r="D156" s="2">
        <f>C67</f>
        <v/>
      </c>
      <c r="E156" s="2">
        <f>B67</f>
        <v/>
      </c>
      <c r="F156" s="2" t="n">
        <v>6</v>
      </c>
    </row>
    <row r="157">
      <c r="A157" s="2">
        <f>Summary!A56</f>
        <v/>
      </c>
      <c r="B157" s="2">
        <f>IF(C68&gt;0,"YES","NO")</f>
        <v/>
      </c>
      <c r="C157" s="14">
        <f t="array" ref="C157">IF(C68=0,"-",_xlfn.TEXTJOIN(", ",TRUE,IF(Summary!$B$56:$AB$56="Passed on test",Summary!$B$1:$AB$1,"")))</f>
        <v/>
      </c>
      <c r="D157" s="2">
        <f>C68</f>
        <v/>
      </c>
      <c r="E157" s="2">
        <f>B68</f>
        <v/>
      </c>
      <c r="F157" s="2" t="n">
        <v>6</v>
      </c>
    </row>
    <row r="158">
      <c r="A158" s="2">
        <f>Summary!A57</f>
        <v/>
      </c>
      <c r="B158" s="2">
        <f>IF(C69&gt;0,"YES","NO")</f>
        <v/>
      </c>
      <c r="C158" s="14">
        <f t="array" ref="C158">IF(C69=0,"-",_xlfn.TEXTJOIN(", ",TRUE,IF(Summary!$B$57:$AB$57="Passed on test",Summary!$B$1:$AB$1,"")))</f>
        <v/>
      </c>
      <c r="D158" s="2">
        <f>C69</f>
        <v/>
      </c>
      <c r="E158" s="2">
        <f>B69</f>
        <v/>
      </c>
      <c r="F158" s="2" t="n">
        <v>6</v>
      </c>
    </row>
    <row r="159">
      <c r="A159" s="2">
        <f>Summary!A58</f>
        <v/>
      </c>
      <c r="B159" s="2">
        <f>IF(C70&gt;0,"YES","NO")</f>
        <v/>
      </c>
      <c r="C159" s="14">
        <f t="array" ref="C159">IF(C70=0,"-",_xlfn.TEXTJOIN(", ",TRUE,IF(Summary!$B$58:$AB$58="Passed on test",Summary!$B$1:$AB$1,"")))</f>
        <v/>
      </c>
      <c r="D159" s="2">
        <f>C70</f>
        <v/>
      </c>
      <c r="E159" s="2">
        <f>B70</f>
        <v/>
      </c>
      <c r="F159" s="2" t="n">
        <v>6</v>
      </c>
    </row>
    <row r="160">
      <c r="A160" s="2">
        <f>Summary!A59</f>
        <v/>
      </c>
      <c r="B160" s="2">
        <f>IF(C71&gt;0,"YES","NO")</f>
        <v/>
      </c>
      <c r="C160" s="14">
        <f t="array" ref="C160">IF(C71=0,"-",_xlfn.TEXTJOIN(", ",TRUE,IF(Summary!$B$59:$AB$59="Passed on test",Summary!$B$1:$AB$1,"")))</f>
        <v/>
      </c>
      <c r="D160" s="2">
        <f>C71</f>
        <v/>
      </c>
      <c r="E160" s="2">
        <f>B71</f>
        <v/>
      </c>
      <c r="F160" s="2" t="n">
        <v>6</v>
      </c>
    </row>
    <row r="161">
      <c r="A161" s="2">
        <f>Summary!A60</f>
        <v/>
      </c>
      <c r="B161" s="2">
        <f>IF(C72&gt;0,"YES","NO")</f>
        <v/>
      </c>
      <c r="C161" s="14">
        <f t="array" ref="C161">IF(C72=0,"-",_xlfn.TEXTJOIN(", ",TRUE,IF(Summary!$B$60:$AB$60="Passed on test",Summary!$B$1:$AB$1,"")))</f>
        <v/>
      </c>
      <c r="D161" s="2">
        <f>C72</f>
        <v/>
      </c>
      <c r="E161" s="2">
        <f>B72</f>
        <v/>
      </c>
      <c r="F161" s="2" t="n">
        <v>6</v>
      </c>
    </row>
    <row r="162">
      <c r="A162" s="2">
        <f>Summary!A61</f>
        <v/>
      </c>
      <c r="B162" s="2">
        <f>IF(C73&gt;0,"YES","NO")</f>
        <v/>
      </c>
      <c r="C162" s="14">
        <f t="array" ref="C162">IF(C73=0,"-",_xlfn.TEXTJOIN(", ",TRUE,IF(Summary!$B$61:$AB$61="Passed on test",Summary!$B$1:$AB$1,"")))</f>
        <v/>
      </c>
      <c r="D162" s="2">
        <f>C73</f>
        <v/>
      </c>
      <c r="E162" s="2">
        <f>B73</f>
        <v/>
      </c>
      <c r="F162" s="2" t="n">
        <v>6</v>
      </c>
    </row>
    <row r="163">
      <c r="A163" s="2">
        <f>Summary!A62</f>
        <v/>
      </c>
      <c r="B163" s="2">
        <f>IF(C74&gt;0,"YES","NO")</f>
        <v/>
      </c>
      <c r="C163" s="14">
        <f t="array" ref="C163">IF(C74=0,"-",_xlfn.TEXTJOIN(", ",TRUE,IF(Summary!$B$62:$AB$62="Passed on test",Summary!$B$1:$AB$1,"")))</f>
        <v/>
      </c>
      <c r="D163" s="2">
        <f>C74</f>
        <v/>
      </c>
      <c r="E163" s="2">
        <f>B74</f>
        <v/>
      </c>
      <c r="F163" s="2" t="n">
        <v>7</v>
      </c>
    </row>
    <row r="164">
      <c r="A164" s="2">
        <f>Summary!A63</f>
        <v/>
      </c>
      <c r="B164" s="2">
        <f>IF(C75&gt;0,"YES","NO")</f>
        <v/>
      </c>
      <c r="C164" s="14">
        <f t="array" ref="C164">IF(C75=0,"-",_xlfn.TEXTJOIN(", ",TRUE,IF(Summary!$B$63:$AB$63="Passed on test",Summary!$B$1:$AB$1,"")))</f>
        <v/>
      </c>
      <c r="D164" s="2">
        <f>C75</f>
        <v/>
      </c>
      <c r="E164" s="2">
        <f>B75</f>
        <v/>
      </c>
      <c r="F164" s="2" t="n">
        <v>7</v>
      </c>
    </row>
    <row r="165">
      <c r="A165" s="2">
        <f>Summary!A64</f>
        <v/>
      </c>
      <c r="B165" s="2">
        <f>IF(C76&gt;0,"YES","NO")</f>
        <v/>
      </c>
      <c r="C165" s="14">
        <f t="array" ref="C165">IF(C76=0,"-",_xlfn.TEXTJOIN(", ",TRUE,IF(Summary!$B$64:$AB$64="Passed on test",Summary!$B$1:$AB$1,"")))</f>
        <v/>
      </c>
      <c r="D165" s="2">
        <f>C76</f>
        <v/>
      </c>
      <c r="E165" s="2">
        <f>B76</f>
        <v/>
      </c>
      <c r="F165" s="2" t="n">
        <v>7</v>
      </c>
    </row>
    <row r="166">
      <c r="A166" s="2">
        <f>Summary!A65</f>
        <v/>
      </c>
      <c r="B166" s="2">
        <f>IF(C77&gt;0,"YES","NO")</f>
        <v/>
      </c>
      <c r="C166" s="14">
        <f t="array" ref="C166">IF(C77=0,"-",_xlfn.TEXTJOIN(", ",TRUE,IF(Summary!$B$65:$AB$65="Passed on test",Summary!$B$1:$AB$1,"")))</f>
        <v/>
      </c>
      <c r="D166" s="2">
        <f>C77</f>
        <v/>
      </c>
      <c r="E166" s="2">
        <f>B77</f>
        <v/>
      </c>
      <c r="F166" s="2" t="n">
        <v>7</v>
      </c>
    </row>
    <row r="167">
      <c r="A167" s="2">
        <f>Summary!A66</f>
        <v/>
      </c>
      <c r="B167" s="2">
        <f>IF(C78&gt;0,"YES","NO")</f>
        <v/>
      </c>
      <c r="C167" s="14">
        <f t="array" ref="C167">IF(C78=0,"-",_xlfn.TEXTJOIN(", ",TRUE,IF(Summary!$B$66:$AB$66="Passed on test",Summary!$B$1:$AB$1,"")))</f>
        <v/>
      </c>
      <c r="D167" s="2">
        <f>C78</f>
        <v/>
      </c>
      <c r="E167" s="2">
        <f>B78</f>
        <v/>
      </c>
      <c r="F167" s="2" t="n">
        <v>7</v>
      </c>
    </row>
    <row r="168">
      <c r="A168" s="2">
        <f>Summary!A67</f>
        <v/>
      </c>
      <c r="B168" s="2">
        <f>IF(C79&gt;0,"YES","NO")</f>
        <v/>
      </c>
      <c r="C168" s="14">
        <f t="array" ref="C168">IF(C79=0,"-",_xlfn.TEXTJOIN(", ",TRUE,IF(Summary!$B$67:$AB$67="Passed on test",Summary!$B$1:$AB$1,"")))</f>
        <v/>
      </c>
      <c r="D168" s="2">
        <f>C79</f>
        <v/>
      </c>
      <c r="E168" s="2">
        <f>B79</f>
        <v/>
      </c>
      <c r="F168" s="2" t="n">
        <v>7</v>
      </c>
    </row>
    <row r="169">
      <c r="A169" s="2">
        <f>Summary!A68</f>
        <v/>
      </c>
      <c r="B169" s="2">
        <f>IF(C80&gt;0,"YES","NO")</f>
        <v/>
      </c>
      <c r="C169" s="14">
        <f t="array" ref="C169">IF(C80=0,"-",_xlfn.TEXTJOIN(", ",TRUE,IF(Summary!$B$68:$AB$68="Passed on test",Summary!$B$1:$AB$1,"")))</f>
        <v/>
      </c>
      <c r="D169" s="2">
        <f>C80</f>
        <v/>
      </c>
      <c r="E169" s="2">
        <f>B80</f>
        <v/>
      </c>
      <c r="F169" s="2" t="n">
        <v>7</v>
      </c>
    </row>
    <row r="170">
      <c r="A170" s="2">
        <f>Summary!A69</f>
        <v/>
      </c>
      <c r="B170" s="2">
        <f>IF(C81&gt;0,"YES","NO")</f>
        <v/>
      </c>
      <c r="C170" s="14">
        <f t="array" ref="C170">IF(C81=0,"-",_xlfn.TEXTJOIN(", ",TRUE,IF(Summary!$B$69:$AB$69="Passed on test",Summary!$B$1:$AB$1,"")))</f>
        <v/>
      </c>
      <c r="D170" s="2">
        <f>C81</f>
        <v/>
      </c>
      <c r="E170" s="2">
        <f>B81</f>
        <v/>
      </c>
      <c r="F170" s="2" t="n">
        <v>8</v>
      </c>
    </row>
    <row r="171">
      <c r="A171" s="2">
        <f>Summary!A70</f>
        <v/>
      </c>
      <c r="B171" s="2">
        <f>IF(C82&gt;0,"YES","NO")</f>
        <v/>
      </c>
      <c r="C171" s="14">
        <f t="array" ref="C171">IF(C82=0,"-",_xlfn.TEXTJOIN(", ",TRUE,IF(Summary!$B$70:$AB$70="Passed on test",Summary!$B$1:$AB$1,"")))</f>
        <v/>
      </c>
      <c r="D171" s="2">
        <f>C82</f>
        <v/>
      </c>
      <c r="E171" s="2">
        <f>B82</f>
        <v/>
      </c>
      <c r="F171" s="2" t="n">
        <v>8</v>
      </c>
    </row>
    <row r="172">
      <c r="A172" s="2">
        <f>Summary!A71</f>
        <v/>
      </c>
      <c r="B172" s="2">
        <f>IF(C83&gt;0,"YES","NO")</f>
        <v/>
      </c>
      <c r="C172" s="14">
        <f t="array" ref="C172">IF(C83=0,"-",_xlfn.TEXTJOIN(", ",TRUE,IF(Summary!$B$71:$AB$71="Passed on test",Summary!$B$1:$AB$1,"")))</f>
        <v/>
      </c>
      <c r="D172" s="2">
        <f>C83</f>
        <v/>
      </c>
      <c r="E172" s="2">
        <f>B83</f>
        <v/>
      </c>
      <c r="F172" s="2" t="n">
        <v>8</v>
      </c>
    </row>
    <row r="173">
      <c r="A173" s="2">
        <f>Summary!A72</f>
        <v/>
      </c>
      <c r="B173" s="2">
        <f>IF(C84&gt;0,"YES","NO")</f>
        <v/>
      </c>
      <c r="C173" s="14">
        <f t="array" ref="C173">IF(C84=0,"-",_xlfn.TEXTJOIN(", ",TRUE,IF(Summary!$B$72:$AB$72="Passed on test",Summary!$B$1:$AB$1,"")))</f>
        <v/>
      </c>
      <c r="D173" s="2">
        <f>C84</f>
        <v/>
      </c>
      <c r="E173" s="2">
        <f>B84</f>
        <v/>
      </c>
      <c r="F173" s="2" t="n">
        <v>8</v>
      </c>
    </row>
    <row r="174">
      <c r="A174" s="2">
        <f>Summary!A73</f>
        <v/>
      </c>
      <c r="B174" s="2">
        <f>IF(C85&gt;0,"YES","NO")</f>
        <v/>
      </c>
      <c r="C174" s="14">
        <f t="array" ref="C174">IF(C85=0,"-",_xlfn.TEXTJOIN(", ",TRUE,IF(Summary!$B$73:$AB$73="Passed on test",Summary!$B$1:$AB$1,"")))</f>
        <v/>
      </c>
      <c r="D174" s="2">
        <f>C85</f>
        <v/>
      </c>
      <c r="E174" s="2">
        <f>B85</f>
        <v/>
      </c>
      <c r="F174" s="2" t="n">
        <v>8</v>
      </c>
    </row>
    <row r="175">
      <c r="A175" s="2">
        <f>Summary!A74</f>
        <v/>
      </c>
      <c r="B175" s="2">
        <f>IF(C86&gt;0,"YES","NO")</f>
        <v/>
      </c>
      <c r="C175" s="14">
        <f t="array" ref="C175">IF(C86=0,"-",_xlfn.TEXTJOIN(", ",TRUE,IF(Summary!$B$74:$AB$74="Passed on test",Summary!$B$1:$AB$1,"")))</f>
        <v/>
      </c>
      <c r="D175" s="2">
        <f>C86</f>
        <v/>
      </c>
      <c r="E175" s="2">
        <f>B86</f>
        <v/>
      </c>
      <c r="F175" s="2" t="n">
        <v>8</v>
      </c>
    </row>
    <row r="176">
      <c r="A176">
        <f>IF(B100=0,"Every case passed on either all or none of its versions, so the at-least-one count equals the strict count.","Some cases passed on only part of their versions; see the table above.")</f>
        <v/>
      </c>
    </row>
    <row r="177"/>
    <row r="178">
      <c r="A178" s="7" t="inlineStr">
        <is>
          <t>5. Notes: every case, its versions and what happened</t>
        </is>
      </c>
    </row>
    <row r="179">
      <c r="A179" s="1" t="inlineStr">
        <is>
          <t>Result</t>
        </is>
      </c>
      <c r="B179" s="1" t="inlineStr">
        <is>
          <t>Case</t>
        </is>
      </c>
      <c r="C179" s="1" t="inlineStr">
        <is>
          <t>Versions</t>
        </is>
      </c>
      <c r="D179" s="1" t="inlineStr">
        <is>
          <t># versions</t>
        </is>
      </c>
      <c r="E179" s="1" t="inlineStr">
        <is>
          <t>Error type</t>
        </is>
      </c>
      <c r="F179" s="1" t="inlineStr">
        <is>
          <t>Error message (last traceback line)</t>
        </is>
      </c>
      <c r="G179" s="1" t="inlineStr">
        <is>
          <t>What happened (plain English)</t>
        </is>
      </c>
      <c r="H179" s="1" t="inlineStr">
        <is>
          <t>Batch</t>
        </is>
      </c>
    </row>
    <row r="180">
      <c r="A180" s="15" t="inlineStr">
        <is>
          <t>Passed on test</t>
        </is>
      </c>
      <c r="B180" s="14" t="inlineStr">
        <is>
          <t>issue_009</t>
        </is>
      </c>
      <c r="C180" s="14" t="inlineStr">
        <is>
          <t>0.45.0, 0.45.1, 0.45.2, 0.45.3, 0.46.0, 0.46.1, 0.46.2, 0.46.3</t>
        </is>
      </c>
      <c r="D180" s="14" t="n">
        <v>8</v>
      </c>
      <c r="E180" s="14" t="n"/>
      <c r="F180" s="14" t="n"/>
      <c r="G180" s="14" t="inlineStr">
        <is>
          <t>The LLM ran CSPLayout explicitly through a PassManager and passed the layout it found to transpile() as initial_layout, instead of the invalid layout_method='csp_layout'. gpt-5.6-luna tried the same pass by hand but applied it with ApplyLayout, which rejects a 3-qubit layout on a 5-qubit backend; handing the layout to transpile() lets it add the ancillas itself.</t>
        </is>
      </c>
      <c r="H180" s="14" t="n">
        <v>1</v>
      </c>
    </row>
    <row r="181">
      <c r="A181" s="16" t="inlineStr">
        <is>
          <t>Failed on test</t>
        </is>
      </c>
      <c r="B181" s="14" t="inlineStr">
        <is>
          <t>issue_018_se</t>
        </is>
      </c>
      <c r="C181" s="14" t="inlineStr">
        <is>
          <t>1.0.0, 1.0.1, 1.0.2, 1.1.0, 1.1.1, 1.1.2, 1.2.0, 1.2.1, 1.2.2, 1.2.4, 2.0.0, 2.2.0, 2.3.0, 2.4.0, 2.5.0</t>
        </is>
      </c>
      <c r="D181" s="14" t="n">
        <v>15</v>
      </c>
      <c r="E181" s="14" t="inlineStr">
        <is>
          <t>AssertionError</t>
        </is>
      </c>
      <c r="F181" s="14" t="inlineStr">
        <is>
          <t>RuntimeError: SIMULATOR_PROCESS_ERROR: exit=3221226356 (0xC0000374); AssertionError:</t>
        </is>
      </c>
      <c r="G181" s="14" t="inlineStr">
        <is>
          <t>The LLM swapped which classical bit positions it reads as Alice's and Bob's outputs (a different change from both luna models, which swapped x and y). The real bug is which qubits the players measure, so the exact loss probabilities are identical to the buggy code (0.5 on six of the nine (x, y) inputs) and test_exact_perfect_strategy_for_all_nine_inputs fails. The simulator check also hits the Windows Aer native crash.</t>
        </is>
      </c>
      <c r="H181" s="14" t="n">
        <v>1</v>
      </c>
    </row>
    <row r="182">
      <c r="A182" s="15" t="inlineStr">
        <is>
          <t>Passed on test</t>
        </is>
      </c>
      <c r="B182" s="14" t="inlineStr">
        <is>
          <t>issue_021_se</t>
        </is>
      </c>
      <c r="C182" s="14" t="inlineStr">
        <is>
          <t>0.25.0, 0.25.1, 0.25.2, 0.25.3, 0.45.0, 0.45.1, 0.45.2, 0.45.3, 0.46.0, 0.46.1, 0.46.2, 0.46.3</t>
        </is>
      </c>
      <c r="D182" s="14" t="n">
        <v>12</v>
      </c>
      <c r="E182" s="14" t="n"/>
      <c r="F182" s="14" t="n"/>
      <c r="G182" s="14" t="inlineStr">
        <is>
          <t>The LLM called assemble(transpile(circuit, svsim)), which fully unrolls both the custom CNOTNOT gate and initialize into instructions Aer supports. Both luna models used circuit.decompose(), which only expands one level and leaves disentangler_dg / state_preparation, so they crashed.</t>
        </is>
      </c>
      <c r="H182" s="14" t="n">
        <v>1</v>
      </c>
    </row>
    <row r="183">
      <c r="A183" s="15" t="inlineStr">
        <is>
          <t>Passed on test</t>
        </is>
      </c>
      <c r="B183" s="14" t="inlineStr">
        <is>
          <t>issue_032_se</t>
        </is>
      </c>
      <c r="C183" s="14" t="inlineStr">
        <is>
          <t>0.25.0, 0.25.1, 0.25.2, 0.25.3</t>
        </is>
      </c>
      <c r="D183" s="14" t="n">
        <v>4</v>
      </c>
      <c r="E183" s="14" t="n"/>
      <c r="F183" s="14" t="n"/>
      <c r="G183" s="14" t="inlineStr">
        <is>
          <t>The LLM imported iSwapGate and passed iSwapGate() as entanglement_blocks instead of the unrecognised string 'iswap' (same code as both luna models).</t>
        </is>
      </c>
      <c r="H183" s="14" t="n">
        <v>1</v>
      </c>
    </row>
    <row r="184">
      <c r="A184" s="15" t="inlineStr">
        <is>
          <t>Passed on test</t>
        </is>
      </c>
      <c r="B184" s="14" t="inlineStr">
        <is>
          <t>issue_034</t>
        </is>
      </c>
      <c r="C184" s="14" t="inlineStr">
        <is>
          <t>1.0.0, 1.0.1, 1.0.2, 1.1.0, 1.1.1, 1.1.2, 1.2.0, 1.2.1, 1.2.2, 1.2.4, 2.0.0, 2.2.0, 2.3.0, 2.4.0, 2.5.0</t>
        </is>
      </c>
      <c r="D184" s="14" t="n">
        <v>15</v>
      </c>
      <c r="E184" s="14" t="n"/>
      <c r="F184" s="14" t="n"/>
      <c r="G184" s="14" t="inlineStr">
        <is>
          <t>The LLM imported Aer from qiskit_aer instead of qiskit, where it no longer exists (same code as both luna models).</t>
        </is>
      </c>
      <c r="H184" s="14" t="n">
        <v>1</v>
      </c>
    </row>
    <row r="185">
      <c r="A185" s="15" t="inlineStr">
        <is>
          <t>Passed on test</t>
        </is>
      </c>
      <c r="B185" s="14" t="inlineStr">
        <is>
          <t>issue_036</t>
        </is>
      </c>
      <c r="C185" s="14" t="inlineStr">
        <is>
          <t>1.0.0, 1.0.1, 1.0.2, 1.1.0, 1.1.1, 1.1.2, 1.2.0, 1.2.1, 1.2.2, 1.2.4, 2.0.0, 2.2.0, 2.3.0, 2.4.0, 2.5.0</t>
        </is>
      </c>
      <c r="D185" s="14" t="n">
        <v>15</v>
      </c>
      <c r="E185" s="14" t="n"/>
      <c r="F185" s="14" t="n"/>
      <c r="G185" s="14" t="inlineStr">
        <is>
          <t>The LLM imported qiskit.qasm2 and replaced the removed QuantumCircuit.qasm() with qiskit.qasm2.dumps(c).</t>
        </is>
      </c>
      <c r="H185" s="14" t="n">
        <v>1</v>
      </c>
    </row>
    <row r="186">
      <c r="A186" s="15" t="inlineStr">
        <is>
          <t>Passed on test</t>
        </is>
      </c>
      <c r="B186" s="14" t="inlineStr">
        <is>
          <t>issue_058_se</t>
        </is>
      </c>
      <c r="C186" s="14" t="inlineStr">
        <is>
          <t>0.25.0, 0.25.1, 0.25.2, 0.25.3, 0.45.0, 0.45.1, 0.45.2, 0.45.3, 0.46.0, 0.46.1, 0.46.2, 0.46.3</t>
        </is>
      </c>
      <c r="D186" s="14" t="n">
        <v>12</v>
      </c>
      <c r="E186" s="14" t="n"/>
      <c r="F186" s="14" t="n"/>
      <c r="G186" s="14" t="inlineStr">
        <is>
          <t>The LLM transpiled the circuit for the backend before backend.run(), so the custom diffuser gate is decomposed into gates Aer supports (same code as gpt-6-luna).</t>
        </is>
      </c>
      <c r="H186" s="14" t="n">
        <v>1</v>
      </c>
    </row>
    <row r="187">
      <c r="A187" s="15" t="inlineStr">
        <is>
          <t>Passed on test</t>
        </is>
      </c>
      <c r="B187" s="14" t="inlineStr">
        <is>
          <t>issue_061</t>
        </is>
      </c>
      <c r="C187" s="14" t="inlineStr">
        <is>
          <t>1.0.0, 1.0.1, 1.0.2, 1.1.0, 1.1.1, 1.1.2, 1.2.0, 1.2.1, 1.2.2, 1.2.4, 2.0.0, 2.2.0, 2.3.0, 2.4.0, 2.5.0</t>
        </is>
      </c>
      <c r="D187" s="14" t="n">
        <v>15</v>
      </c>
      <c r="E187" s="14" t="n"/>
      <c r="F187" s="14" t="n"/>
      <c r="G187" s="14" t="inlineStr">
        <is>
          <t>The LLM read the register and register-local index through qc.find_bit(qbit).registers[0] instead of the removed Bit.register / Bit.index attributes (same code as gpt-5.6-luna).</t>
        </is>
      </c>
      <c r="H187" s="14" t="n">
        <v>1</v>
      </c>
    </row>
    <row r="188">
      <c r="A188" s="15" t="inlineStr">
        <is>
          <t>Passed on test</t>
        </is>
      </c>
      <c r="B188" s="14" t="inlineStr">
        <is>
          <t>issue_072</t>
        </is>
      </c>
      <c r="C188" s="14" t="inlineStr">
        <is>
          <t>0.25.0, 0.25.1, 0.25.2, 0.25.3</t>
        </is>
      </c>
      <c r="D188" s="14" t="n">
        <v>4</v>
      </c>
      <c r="E188" s="14" t="n"/>
      <c r="F188" s="14" t="n"/>
      <c r="G188" s="14" t="inlineStr">
        <is>
          <t>Qreg[0] and qreg[5] were both mapped to physical qubit 12; the LLM mapped qreg[5] to the unused qubit 15, so the initial layout is valid (same code as both luna models).</t>
        </is>
      </c>
      <c r="H188" s="14" t="n">
        <v>1</v>
      </c>
    </row>
    <row r="189">
      <c r="A189" s="16" t="inlineStr">
        <is>
          <t>Failed on test</t>
        </is>
      </c>
      <c r="B189" s="14" t="inlineStr">
        <is>
          <t>issue_096</t>
        </is>
      </c>
      <c r="C189" s="14" t="inlineStr">
        <is>
          <t>0.25.0, 0.25.1, 0.25.2, 0.25.3, 0.45.0, 0.45.1, 0.45.2, 0.45.3, 0.46.0, 0.46.1, 0.46.2, 0.46.3, 1.0.0, 1.0.1, 1.0.2, 1.1.0, 1.1.1, 1.1.2, 1.2.0, 1.2.1, 1.2.2, 1.2.4, 2.0.0, 2.2.0, 2.3.0, 2.4.0, 2.5.0</t>
        </is>
      </c>
      <c r="D189" s="14" t="n">
        <v>27</v>
      </c>
      <c r="E189" s="14" t="inlineStr">
        <is>
          <t>AssertionError</t>
        </is>
      </c>
      <c r="F189" s="14" t="inlineStr">
        <is>
          <t>AssertionError: '' != '[default]\n'; AssertionError: False is not true : Missing ipython_kernel_config.py (even when the profile directory already exists)</t>
        </is>
      </c>
      <c r="G189" s="14" t="inlineStr">
        <is>
          <t>The LLM creates ~/.qiskit and opens settings.conf in a+ mode so a missing file is created empty, which stops the crash, but the test expects the file to contain a [default] section and the IPython profile's ipython_kernel_config.py to be created, which the fix does not do. Same problem as both luna models.</t>
        </is>
      </c>
      <c r="H189" s="14" t="n">
        <v>1</v>
      </c>
    </row>
    <row r="190">
      <c r="A190" s="15" t="inlineStr">
        <is>
          <t>Passed on test</t>
        </is>
      </c>
      <c r="B190" s="14" t="inlineStr">
        <is>
          <t>issue_155</t>
        </is>
      </c>
      <c r="C190" s="14" t="inlineStr">
        <is>
          <t>0.45.0, 0.45.1, 0.45.2, 0.45.3, 0.46.0, 0.46.1, 0.46.2, 0.46.3</t>
        </is>
      </c>
      <c r="D190" s="14" t="n">
        <v>8</v>
      </c>
      <c r="E190" s="14" t="n"/>
      <c r="F190" s="14" t="n"/>
      <c r="G190" s="14" t="inlineStr">
        <is>
          <t>Error on 0.25.x, passed on 0.45.x / 0.46.x: the LLM turned the traced-out registers into qubit indices with qc.find_bit(qubit).index, which is correct but QuantumCircuit.find_bit() doesn't exist yet in Qiskit 0.25 (AttributeError). Same approach as gpt-6-luna; gpt-5.6-luna used qc.qubits.index() and passed on all 12 versions.</t>
        </is>
      </c>
      <c r="H190" s="14" t="n">
        <v>2</v>
      </c>
    </row>
    <row r="191">
      <c r="A191" s="17" t="inlineStr">
        <is>
          <t>Runtime error</t>
        </is>
      </c>
      <c r="B191" s="14" t="inlineStr">
        <is>
          <t>issue_155</t>
        </is>
      </c>
      <c r="C191" s="14" t="inlineStr">
        <is>
          <t>0.25.0, 0.25.1, 0.25.2, 0.25.3</t>
        </is>
      </c>
      <c r="D191" s="14" t="n">
        <v>4</v>
      </c>
      <c r="E191" s="14" t="inlineStr">
        <is>
          <t>AttributeError</t>
        </is>
      </c>
      <c r="F191" s="14" t="inlineStr">
        <is>
          <t>AttributeError: 'QuantumCircuit' object has no attribute 'find_bit'</t>
        </is>
      </c>
      <c r="G191" s="14" t="inlineStr">
        <is>
          <t>Error on 0.25.x, passed on 0.45.x / 0.46.x: the LLM turned the traced-out registers into qubit indices with qc.find_bit(qubit).index, which is correct but QuantumCircuit.find_bit() doesn't exist yet in Qiskit 0.25 (AttributeError). Same approach as gpt-6-luna; gpt-5.6-luna used qc.qubits.index() and passed on all 12 versions.</t>
        </is>
      </c>
      <c r="H191" s="14" t="n">
        <v>2</v>
      </c>
    </row>
    <row r="192">
      <c r="A192" s="15" t="inlineStr">
        <is>
          <t>Passed on test</t>
        </is>
      </c>
      <c r="B192" s="14" t="inlineStr">
        <is>
          <t>issue_157</t>
        </is>
      </c>
      <c r="C192" s="14" t="inlineStr">
        <is>
          <t>0.45.0, 0.45.1, 0.45.2, 0.45.3, 0.46.0, 0.46.1, 0.46.2, 0.46.3</t>
        </is>
      </c>
      <c r="D192" s="14" t="n">
        <v>8</v>
      </c>
      <c r="E192" s="14" t="n"/>
      <c r="F192" s="14" t="n"/>
      <c r="G192" s="14" t="inlineStr">
        <is>
          <t>Error on 0.25.x, passed on 0.45.x / 0.46.x: the LLM replaced initialize() (which contains a non-unitary reset and can't be controlled) with prepare_state(), which is correct but doesn't exist yet in Qiskit 0.25 (AttributeError). Same code as gpt-6-luna.</t>
        </is>
      </c>
      <c r="H192" s="14" t="n">
        <v>2</v>
      </c>
    </row>
    <row r="193">
      <c r="A193" s="17" t="inlineStr">
        <is>
          <t>Runtime error</t>
        </is>
      </c>
      <c r="B193" s="14" t="inlineStr">
        <is>
          <t>issue_157</t>
        </is>
      </c>
      <c r="C193" s="14" t="inlineStr">
        <is>
          <t>0.25.0, 0.25.1, 0.25.2, 0.25.3</t>
        </is>
      </c>
      <c r="D193" s="14" t="n">
        <v>4</v>
      </c>
      <c r="E193" s="14" t="inlineStr">
        <is>
          <t>AttributeError</t>
        </is>
      </c>
      <c r="F193" s="14" t="inlineStr">
        <is>
          <t>AttributeError: 'QuantumCircuit' object has no attribute 'prepare_state'</t>
        </is>
      </c>
      <c r="G193" s="14" t="inlineStr">
        <is>
          <t>Error on 0.25.x, passed on 0.45.x / 0.46.x: the LLM replaced initialize() (which contains a non-unitary reset and can't be controlled) with prepare_state(), which is correct but doesn't exist yet in Qiskit 0.25 (AttributeError). Same code as gpt-6-luna.</t>
        </is>
      </c>
      <c r="H193" s="14" t="n">
        <v>2</v>
      </c>
    </row>
    <row r="194">
      <c r="A194" s="15" t="inlineStr">
        <is>
          <t>Passed on test</t>
        </is>
      </c>
      <c r="B194" s="14" t="inlineStr">
        <is>
          <t>issue_174</t>
        </is>
      </c>
      <c r="C194" s="14" t="inlineStr">
        <is>
          <t>0.25.0, 0.25.1, 0.25.2, 0.25.3, 0.45.0, 0.45.1, 0.45.2, 0.45.3, 0.46.0, 0.46.1, 0.46.2, 0.46.3</t>
        </is>
      </c>
      <c r="D194" s="14" t="n">
        <v>12</v>
      </c>
      <c r="E194" s="14" t="n"/>
      <c r="F194" s="14" t="n"/>
      <c r="G194" s="14" t="inlineStr">
        <is>
          <t>The LLM changed all six conditions to if (c==1), like the reference, and put its '# FIX:' comment above the QASM string. Both luna models made the same QASM change but put the comment inside the string, where '#' is not valid OpenQASM, so their fixes crashed.</t>
        </is>
      </c>
      <c r="H194" s="14" t="n">
        <v>2</v>
      </c>
    </row>
    <row r="195">
      <c r="A195" s="15" t="inlineStr">
        <is>
          <t>Passed on test</t>
        </is>
      </c>
      <c r="B195" s="14" t="inlineStr">
        <is>
          <t>issue_189</t>
        </is>
      </c>
      <c r="C195" s="14" t="inlineStr">
        <is>
          <t>0.45.0, 0.45.1, 0.45.2, 0.45.3, 0.46.0, 0.46.1, 0.46.2, 0.46.3, 1.0.0, 1.0.1, 1.0.2, 1.1.0, 1.1.1, 1.1.2, 1.2.0, 1.2.1, 1.2.2, 1.2.4, 2.0.0, 2.2.0, 2.3.0, 2.4.0, 2.5.0</t>
        </is>
      </c>
      <c r="D195" s="14" t="n">
        <v>23</v>
      </c>
      <c r="E195" s="14" t="n"/>
      <c r="F195" s="14" t="n"/>
      <c r="G195" s="14" t="inlineStr">
        <is>
          <t>The LLM rebuilt the qubit list as [n - j] + list(np.arange(n, n + lg + 2)), one control qubit plus the system qubits, with the control order reversed relative to the reference. The updated test accepts either control order (same change as gpt-6-luna).</t>
        </is>
      </c>
      <c r="H195" s="14" t="n">
        <v>2</v>
      </c>
    </row>
    <row r="196">
      <c r="A196" s="15" t="inlineStr">
        <is>
          <t>Passed on test</t>
        </is>
      </c>
      <c r="B196" s="14" t="inlineStr">
        <is>
          <t>issue_225</t>
        </is>
      </c>
      <c r="C196" s="14" t="inlineStr">
        <is>
          <t>0.45.0, 0.45.1, 0.45.2, 0.45.3, 0.46.0, 0.46.1, 0.46.2, 0.46.3</t>
        </is>
      </c>
      <c r="D196" s="14" t="n">
        <v>8</v>
      </c>
      <c r="E196" s="14" t="n"/>
      <c r="F196" s="14" t="n"/>
      <c r="G196" s="14" t="inlineStr">
        <is>
          <t>The LLM reshaped the Statevector's .data array instead of calling reshape() on the Statevector object.</t>
        </is>
      </c>
      <c r="H196" s="14" t="n">
        <v>2</v>
      </c>
    </row>
    <row r="197">
      <c r="A197" s="15" t="inlineStr">
        <is>
          <t>Passed on test</t>
        </is>
      </c>
      <c r="B197" s="14" t="inlineStr">
        <is>
          <t>issue_233</t>
        </is>
      </c>
      <c r="C197" s="14" t="inlineStr">
        <is>
          <t>0.25.0, 0.25.1, 0.25.2, 0.25.3, 0.45.0, 0.45.1, 0.45.2, 0.45.3, 0.46.0, 0.46.1, 0.46.2, 0.46.3, 1.0.0, 1.0.1, 1.0.2, 1.1.0, 1.1.1, 1.1.2, 1.2.0, 1.2.1, 1.2.2, 1.2.4, 2.0.0, 2.2.0, 2.3.0, 2.4.0, 2.5.0</t>
        </is>
      </c>
      <c r="D197" s="14" t="n">
        <v>27</v>
      </c>
      <c r="E197" s="14" t="n"/>
      <c r="F197" s="14" t="n"/>
      <c r="G197" s="14" t="inlineStr">
        <is>
          <t>The LLM replaced both rot.num_parameters_settable() calls with rot.num_parameters. Both luna models replaced only the second call and kept the first, which raises TypeError because num_parameters_settable is an int property.</t>
        </is>
      </c>
      <c r="H197" s="14" t="n">
        <v>2</v>
      </c>
    </row>
    <row r="198">
      <c r="A198" s="15" t="inlineStr">
        <is>
          <t>Passed on test</t>
        </is>
      </c>
      <c r="B198" s="14" t="inlineStr">
        <is>
          <t>issue_261</t>
        </is>
      </c>
      <c r="C198" s="14" t="inlineStr">
        <is>
          <t>0.25.0, 0.25.1, 0.25.2, 0.25.3, 0.45.0, 0.45.1, 0.45.2, 0.45.3, 0.46.0, 0.46.1, 0.46.2, 0.46.3</t>
        </is>
      </c>
      <c r="D198" s="14" t="n">
        <v>12</v>
      </c>
      <c r="E198" s="14" t="n"/>
      <c r="F198" s="14" t="n"/>
      <c r="G198" s="14" t="inlineStr">
        <is>
          <t>The LLM replaced PauliOp(hamiltonian_string) with eval(hamiltonian_string), the same fix as the reference (same code as both luna models).</t>
        </is>
      </c>
      <c r="H198" s="14" t="n">
        <v>2</v>
      </c>
    </row>
    <row r="199">
      <c r="A199" s="15" t="inlineStr">
        <is>
          <t>Passed on test</t>
        </is>
      </c>
      <c r="B199" s="14" t="inlineStr">
        <is>
          <t>issue_280</t>
        </is>
      </c>
      <c r="C199" s="14" t="inlineStr">
        <is>
          <t>0.25.0, 0.25.1, 0.25.2, 0.25.3, 0.45.0, 0.45.1, 0.45.2, 0.45.3, 0.46.0, 0.46.1, 0.46.2, 0.46.3</t>
        </is>
      </c>
      <c r="D199" s="14" t="n">
        <v>12</v>
      </c>
      <c r="E199" s="14" t="n"/>
      <c r="F199" s="14" t="n"/>
      <c r="G199" s="14" t="inlineStr">
        <is>
          <t>The LLM used a two-qubit depolarizing_error(0.05, 2) for the cx gate instead of the one-qubit error (same code as gpt-6-luna).</t>
        </is>
      </c>
      <c r="H199" s="14" t="n">
        <v>2</v>
      </c>
    </row>
    <row r="200">
      <c r="A200" s="15" t="inlineStr">
        <is>
          <t>Passed on test</t>
        </is>
      </c>
      <c r="B200" s="14" t="inlineStr">
        <is>
          <t>issue_295</t>
        </is>
      </c>
      <c r="C200" s="14" t="inlineStr">
        <is>
          <t>0.45.0, 0.45.1, 0.45.2, 0.45.3, 0.46.0, 0.46.1, 0.46.2, 0.46.3</t>
        </is>
      </c>
      <c r="D200" s="14" t="n">
        <v>8</v>
      </c>
      <c r="E200" s="14" t="n"/>
      <c r="F200" s="14" t="n"/>
      <c r="G200" s="14" t="inlineStr">
        <is>
          <t>The LLM replaced circuit += oracle with circuit.compose(oracle, inplace=True) (same code as both luna models).</t>
        </is>
      </c>
      <c r="H200" s="14" t="n">
        <v>2</v>
      </c>
    </row>
    <row r="201">
      <c r="A201" s="17" t="inlineStr">
        <is>
          <t>Runtime error</t>
        </is>
      </c>
      <c r="B201" s="14" t="inlineStr">
        <is>
          <t>issue_315</t>
        </is>
      </c>
      <c r="C201" s="14" t="inlineStr">
        <is>
          <t>0.45.0, 0.45.1, 0.45.2, 0.45.3, 0.46.0, 0.46.1, 0.46.2, 0.46.3, 1.0.0, 1.0.1, 1.0.2, 1.1.0, 1.1.1, 1.1.2, 1.2.0, 1.2.1, 1.2.2, 1.2.4, 2.0.0, 2.2.0, 2.3.0, 2.4.0, 2.5.0</t>
        </is>
      </c>
      <c r="D201" s="14" t="n">
        <v>23</v>
      </c>
      <c r="E201" s="14" t="inlineStr">
        <is>
          <t>ModuleNotFoundError, KeyError</t>
        </is>
      </c>
      <c r="F201" s="14" t="inlineStr">
        <is>
          <t>KeyError: 'max_parallel_threads'; AttributeError: Option max_parallel_threads is not defined</t>
        </is>
      </c>
      <c r="G201" s="14" t="inlineStr">
        <is>
          <t>The LLM deleted the backend.set_options(...) call instead of switching to a simulator that supports the parallel options (the reference and gpt-6-luna use AerSimulator), so the settings the user wanted are never applied: on 0.46.x / 1.x / 2.x the backend has no max_parallel_threads option to read (AttributeError), and on 0.45.x the code's BasicProvider import doesn't exist yet (ModuleNotFoundError). Same code as gpt-5.6-luna.</t>
        </is>
      </c>
      <c r="H201" s="14" t="n">
        <v>2</v>
      </c>
    </row>
    <row r="202">
      <c r="A202" s="15" t="inlineStr">
        <is>
          <t>Passed on test</t>
        </is>
      </c>
      <c r="B202" s="14" t="inlineStr">
        <is>
          <t>issue_344</t>
        </is>
      </c>
      <c r="C202" s="14" t="inlineStr">
        <is>
          <t>0.25.0, 0.25.1, 0.25.2, 0.25.3, 0.45.0, 0.45.1, 0.45.2, 0.45.3, 0.46.0, 0.46.1, 0.46.2, 0.46.3</t>
        </is>
      </c>
      <c r="D202" s="14" t="n">
        <v>12</v>
      </c>
      <c r="E202" s="14" t="n"/>
      <c r="F202" s="14" t="n"/>
      <c r="G202" s="14" t="inlineStr">
        <is>
          <t>The LLM dropped decimals=3 from get_statevector(), so the rounded amplitudes no longer break the normalization check in entropy() (same code as gpt-6-luna).</t>
        </is>
      </c>
      <c r="H202" s="14" t="n">
        <v>3</v>
      </c>
    </row>
    <row r="203">
      <c r="A203" s="15" t="inlineStr">
        <is>
          <t>Passed on test</t>
        </is>
      </c>
      <c r="B203" s="14" t="inlineStr">
        <is>
          <t>issue_362</t>
        </is>
      </c>
      <c r="C203" s="14" t="inlineStr">
        <is>
          <t>0.45.0, 0.45.1, 0.45.2, 0.45.3, 0.46.0, 0.46.1, 0.46.2, 0.46.3, 1.0.0, 1.0.1, 1.0.2, 1.1.0, 1.1.1, 1.1.2, 1.2.0, 1.2.1, 1.2.2, 1.2.4, 2.0.0, 2.2.0, 2.3.0, 2.4.0, 2.5.0</t>
        </is>
      </c>
      <c r="D203" s="14" t="n">
        <v>23</v>
      </c>
      <c r="E203" s="14" t="n"/>
      <c r="F203" s="14" t="n"/>
      <c r="G203" s="14" t="inlineStr">
        <is>
          <t>The LLM added circuit.save_unitary(), so AerSimulator returns the unitary.</t>
        </is>
      </c>
      <c r="H203" s="14" t="n">
        <v>3</v>
      </c>
    </row>
    <row r="204">
      <c r="A204" s="15" t="inlineStr">
        <is>
          <t>Passed on test</t>
        </is>
      </c>
      <c r="B204" s="14" t="inlineStr">
        <is>
          <t>issue_369</t>
        </is>
      </c>
      <c r="C204" s="14" t="inlineStr">
        <is>
          <t>0.25.0, 0.25.1, 0.25.2, 0.25.3, 0.45.0, 0.45.1, 0.45.2, 0.45.3, 0.46.0, 0.46.1, 0.46.2, 0.46.3, 1.0.0, 1.0.1, 1.0.2, 1.1.0, 1.1.1, 1.1.2, 1.2.0, 1.2.1, 1.2.2, 1.2.4, 2.0.0, 2.2.0, 2.3.0, 2.4.0, 2.5.0</t>
        </is>
      </c>
      <c r="D204" s="14" t="n">
        <v>27</v>
      </c>
      <c r="E204" s="14" t="n"/>
      <c r="F204" s="14" t="n"/>
      <c r="G204" s="14" t="inlineStr">
        <is>
          <t>The LLM mapped the control and all 16 subcircuit qubits in compose(csub, [i] + list(range(1, 17))) instead of only the control wire.</t>
        </is>
      </c>
      <c r="H204" s="14" t="n">
        <v>3</v>
      </c>
    </row>
    <row r="205">
      <c r="A205" s="15" t="inlineStr">
        <is>
          <t>Passed on test</t>
        </is>
      </c>
      <c r="B205" s="14" t="inlineStr">
        <is>
          <t>issue_396</t>
        </is>
      </c>
      <c r="C205" s="14" t="inlineStr">
        <is>
          <t>0.45.0, 0.45.1, 0.45.2, 0.45.3, 0.46.0, 0.46.1, 0.46.2, 0.46.3, 1.0.0, 1.0.1, 1.0.2, 1.1.0, 1.1.1, 1.1.2, 1.2.0, 1.2.1, 1.2.2, 1.2.4, 2.0.0, 2.2.0, 2.3.0, 2.4.0, 2.5.0</t>
        </is>
      </c>
      <c r="D205" s="14" t="n">
        <v>23</v>
      </c>
      <c r="E205" s="14" t="n"/>
      <c r="F205" s="14" t="n"/>
      <c r="G205" s="14" t="inlineStr">
        <is>
          <t>Failed on 0.25.x, passed on the other 23 versions: the LLM built the phase oracle as a Diagonal circuit (-1 on the two targets, +1 elsewhere), which is exact and, unlike the QuantumCircuit.diagonal() both luna models used, still exists in Qiskit 1.x / 2.x. On 0.25.x, GroverOperator drops the Diagonal circuit's global phase, so the Grover operator is off by a factor e^(-i*pi/4), and the test compares the operator exactly.</t>
        </is>
      </c>
      <c r="H205" s="14" t="n">
        <v>3</v>
      </c>
    </row>
    <row r="206">
      <c r="A206" s="16" t="inlineStr">
        <is>
          <t>Failed on test</t>
        </is>
      </c>
      <c r="B206" s="14" t="inlineStr">
        <is>
          <t>issue_396</t>
        </is>
      </c>
      <c r="C206" s="14" t="inlineStr">
        <is>
          <t>0.25.0, 0.25.1, 0.25.2, 0.25.3</t>
        </is>
      </c>
      <c r="D206" s="14" t="n">
        <v>4</v>
      </c>
      <c r="E206" s="14" t="inlineStr">
        <is>
          <t>AssertionError</t>
        </is>
      </c>
      <c r="F206" s="14" t="inlineStr">
        <is>
          <t>AssertionError:</t>
        </is>
      </c>
      <c r="G206" s="14" t="inlineStr">
        <is>
          <t>Failed on 0.25.x, passed on the other 23 versions: the LLM built the phase oracle as a Diagonal circuit (-1 on the two targets, +1 elsewhere), which is exact and, unlike the QuantumCircuit.diagonal() both luna models used, still exists in Qiskit 1.x / 2.x. On 0.25.x, GroverOperator drops the Diagonal circuit's global phase, so the Grover operator is off by a factor e^(-i*pi/4), and the test compares the operator exactly.</t>
        </is>
      </c>
      <c r="H206" s="14" t="n">
        <v>3</v>
      </c>
    </row>
    <row r="207">
      <c r="A207" s="16" t="inlineStr">
        <is>
          <t>Failed on test</t>
        </is>
      </c>
      <c r="B207" s="14" t="inlineStr">
        <is>
          <t>issue_415</t>
        </is>
      </c>
      <c r="C207" s="14" t="inlineStr">
        <is>
          <t>0.25.0, 0.25.1, 0.25.2, 0.25.3</t>
        </is>
      </c>
      <c r="D207" s="14" t="n">
        <v>4</v>
      </c>
      <c r="E207" s="14" t="inlineStr">
        <is>
          <t>AssertionError</t>
        </is>
      </c>
      <c r="F207" s="14" t="inlineStr">
        <is>
          <t>AssertionError: -1.2374811137735784 != 0 within 7 places (1.2374811137735784 difference)</t>
        </is>
      </c>
      <c r="G207" s="14" t="inlineStr">
        <is>
          <t>The LLM left theta and phi complex and replaced circ.u3(theta, phi, 0, 0) with circ.initialize(arb_quantum_state, [0]). That prepares the right state, but the question is about getting real U3 angles, and the test checks that theta and phi are real (theta's imaginary part is -1.24). gpt-6-luna computed real angles and passed.</t>
        </is>
      </c>
      <c r="H207" s="14" t="n">
        <v>3</v>
      </c>
    </row>
    <row r="208">
      <c r="A208" s="15" t="inlineStr">
        <is>
          <t>Passed on test</t>
        </is>
      </c>
      <c r="B208" s="14" t="inlineStr">
        <is>
          <t>issue_436</t>
        </is>
      </c>
      <c r="C208" s="14" t="inlineStr">
        <is>
          <t>0.25.0, 0.25.1, 0.25.2, 0.25.3</t>
        </is>
      </c>
      <c r="D208" s="14" t="n">
        <v>4</v>
      </c>
      <c r="E208" s="14" t="n"/>
      <c r="F208" s="14" t="n"/>
      <c r="G208" s="14" t="inlineStr">
        <is>
          <t>The LLM removed set_frequency(), which PulseSimulator doesn't support, and modulated the pulse samples by exp(2*pi*i*df*t) instead.</t>
        </is>
      </c>
      <c r="H208" s="14" t="n">
        <v>3</v>
      </c>
    </row>
    <row r="209">
      <c r="A209" s="15" t="inlineStr">
        <is>
          <t>Passed on test</t>
        </is>
      </c>
      <c r="B209" s="14" t="inlineStr">
        <is>
          <t>issue_443</t>
        </is>
      </c>
      <c r="C209" s="14" t="inlineStr">
        <is>
          <t>0.25.0, 0.25.1, 0.25.2, 0.25.3, 0.45.0, 0.45.1, 0.45.2, 0.45.3, 0.46.0, 0.46.1, 0.46.2, 0.46.3, 1.0.0, 1.0.1, 1.0.2, 1.1.0, 1.1.1, 1.1.2, 1.2.0, 1.2.1, 1.2.2, 1.2.4, 2.0.0, 2.2.0, 2.3.0, 2.4.0, 2.5.0</t>
        </is>
      </c>
      <c r="D209" s="14" t="n">
        <v>27</v>
      </c>
      <c r="E209" s="14" t="n"/>
      <c r="F209" s="14" t="n"/>
      <c r="G209" s="14" t="inlineStr">
        <is>
          <t>The LLM passed the qubits of both registers as one flat list (list(train_register) + list(control)) to append().</t>
        </is>
      </c>
      <c r="H209" s="14" t="n">
        <v>3</v>
      </c>
    </row>
    <row r="210">
      <c r="A210" s="17" t="inlineStr">
        <is>
          <t>Runtime error</t>
        </is>
      </c>
      <c r="B210" s="14" t="inlineStr">
        <is>
          <t>issue_453</t>
        </is>
      </c>
      <c r="C210" s="14" t="inlineStr">
        <is>
          <t>0.45.0, 0.45.1, 0.45.2, 0.45.3, 0.46.0, 0.46.1, 0.46.2, 0.46.3, 1.0.0, 1.0.1, 1.0.2, 1.1.0, 1.1.1, 1.1.2, 1.2.0, 1.2.1, 1.2.2, 1.2.4, 2.0.0, 2.2.0, 2.3.0, 2.4.0, 2.5.0</t>
        </is>
      </c>
      <c r="D210" s="14" t="n">
        <v>23</v>
      </c>
      <c r="E210" s="14" t="inlineStr">
        <is>
          <t>AttributeError</t>
        </is>
      </c>
      <c r="F210" s="14" t="inlineStr">
        <is>
          <t>AttributeError: 'QuantumCircuit' object has no attribute 'compose_with_auto_ancillas'</t>
        </is>
      </c>
      <c r="G210" s="14" t="inlineStr">
        <is>
          <t>The LLM added the ancilla register to the target circuit by hand and mapped all six qubits, instead of adding ancillas automatically as the user asked; the test also calls the reference answer's helper compose_with_auto_ancillas() by name (AttributeError). Over-specific test, and no updated test exists for this case; same situation as both luna models.</t>
        </is>
      </c>
      <c r="H210" s="14" t="n">
        <v>3</v>
      </c>
    </row>
    <row r="211">
      <c r="A211" s="17" t="inlineStr">
        <is>
          <t>Runtime error</t>
        </is>
      </c>
      <c r="B211" s="14" t="inlineStr">
        <is>
          <t>issue_468</t>
        </is>
      </c>
      <c r="C211" s="14" t="inlineStr">
        <is>
          <t>0.25.0, 0.25.1, 0.25.2, 0.25.3</t>
        </is>
      </c>
      <c r="D211" s="14" t="n">
        <v>4</v>
      </c>
      <c r="E211" s="14" t="inlineStr">
        <is>
          <t>AttributeError</t>
        </is>
      </c>
      <c r="F211" s="14" t="inlineStr">
        <is>
          <t>AttributeError: 'MatrixOperator' object has no attribute 'simplify'</t>
        </is>
      </c>
      <c r="G211" s="14" t="inlineStr">
        <is>
          <t>The LLM wrapped the density matrices in Aqua's legacy MatrixOperator before calling commutator(), but commutator() calls simplify(), which MatrixOperator doesn't have (AttributeError). Both luna models used opflow's MatrixOp and crashed too; the reference rewrites the operators as WeightedPauliOperators.</t>
        </is>
      </c>
      <c r="H211" s="14" t="n">
        <v>3</v>
      </c>
    </row>
    <row r="212">
      <c r="A212" s="17" t="inlineStr">
        <is>
          <t>Runtime error</t>
        </is>
      </c>
      <c r="B212" s="14" t="inlineStr">
        <is>
          <t>issue_497</t>
        </is>
      </c>
      <c r="C212" s="14" t="inlineStr">
        <is>
          <t>0.25.0, 0.25.1, 0.25.2, 0.25.3</t>
        </is>
      </c>
      <c r="D212" s="14" t="n">
        <v>4</v>
      </c>
      <c r="E212" s="14" t="inlineStr">
        <is>
          <t>KeyError</t>
        </is>
      </c>
      <c r="F212" s="14" t="inlineStr">
        <is>
          <t>KeyError: 'sampler'</t>
        </is>
      </c>
      <c r="G212" s="14" t="inlineStr">
        <is>
          <t>The LLM batched both expectation values into one ListOp converted by a single CircuitSampler call and removed the undefined IBMQJobManager(), like the reference, but unpacked the result into sampler1 and sampler2; the script runs, but the test reads the reference's variable sampler (KeyError: 'sampler'), so it never checks the values. Over-specific variable name, and no updated test exists for this case; gpt-5.6-luna kept the name and passed.</t>
        </is>
      </c>
      <c r="H212" s="14" t="n">
        <v>3</v>
      </c>
    </row>
    <row r="213">
      <c r="A213" s="15" t="inlineStr">
        <is>
          <t>Passed on test</t>
        </is>
      </c>
      <c r="B213" s="14" t="inlineStr">
        <is>
          <t>issue_504</t>
        </is>
      </c>
      <c r="C213" s="14" t="inlineStr">
        <is>
          <t>0.45.0, 0.45.1, 0.45.2, 0.45.3, 0.46.0, 0.46.1, 0.46.2, 0.46.3, 1.0.0, 1.0.1, 1.0.2, 1.1.0, 1.1.1, 1.1.2, 1.2.0, 1.2.1, 1.2.2, 1.2.4, 2.0.0, 2.2.0, 2.3.0, 2.4.0, 2.5.0</t>
        </is>
      </c>
      <c r="D213" s="14" t="n">
        <v>23</v>
      </c>
      <c r="E213" s="14" t="n"/>
      <c r="F213" s="14" t="n"/>
      <c r="G213" s="14" t="inlineStr">
        <is>
          <t>The LLM reused the circuit's own register (circuit.qregs[0]) instead of building a new QuantumRegister(n) each time, and ran the transpiled circuit with backend.run() instead of treating transpile()'s output as a job.</t>
        </is>
      </c>
      <c r="H213" s="14" t="n">
        <v>4</v>
      </c>
    </row>
    <row r="214">
      <c r="A214" s="15" t="inlineStr">
        <is>
          <t>Passed on test</t>
        </is>
      </c>
      <c r="B214" s="14" t="inlineStr">
        <is>
          <t>issue_505</t>
        </is>
      </c>
      <c r="C214" s="14" t="inlineStr">
        <is>
          <t>0.45.0, 0.45.1, 0.45.2, 0.45.3, 0.46.0, 0.46.1, 0.46.2, 0.46.3</t>
        </is>
      </c>
      <c r="D214" s="14" t="n">
        <v>8</v>
      </c>
      <c r="E214" s="14" t="n"/>
      <c r="F214" s="14" t="n"/>
      <c r="G214" s="14" t="inlineStr">
        <is>
          <t>The LLM cast x to a Python float, so the Qiskit operator handles the scalar multiplication instead of NumPy (the same cast as the reference).</t>
        </is>
      </c>
      <c r="H214" s="14" t="n">
        <v>4</v>
      </c>
    </row>
    <row r="215">
      <c r="A215" s="17" t="inlineStr">
        <is>
          <t>Runtime error</t>
        </is>
      </c>
      <c r="B215" s="14" t="inlineStr">
        <is>
          <t>issue_565</t>
        </is>
      </c>
      <c r="C215" s="14" t="inlineStr">
        <is>
          <t>0.25.0, 0.25.1, 0.25.2, 0.25.3</t>
        </is>
      </c>
      <c r="D215" s="14" t="n">
        <v>4</v>
      </c>
      <c r="E215" s="14" t="inlineStr">
        <is>
          <t>Timeout</t>
        </is>
      </c>
      <c r="F215" s="14" t="inlineStr">
        <is>
          <t>120 second timeout</t>
        </is>
      </c>
      <c r="G215" s="14" t="inlineStr">
        <is>
          <t>Error (timeout): the LLM wrapped each mixer Operator in Aqua's MatrixOp before building the SummedOp, which removes the crash both luna models hit, but building the QAOA circuits doesn't finish within 120 seconds on any version (2 runs, the second with a single worker).</t>
        </is>
      </c>
      <c r="H215" s="14" t="n">
        <v>4</v>
      </c>
    </row>
    <row r="216">
      <c r="A216" s="15" t="inlineStr">
        <is>
          <t>Passed on test</t>
        </is>
      </c>
      <c r="B216" s="14" t="inlineStr">
        <is>
          <t>issue_595</t>
        </is>
      </c>
      <c r="C216" s="14" t="inlineStr">
        <is>
          <t>0.45.0, 0.45.1, 0.45.2, 0.45.3, 0.46.0, 0.46.1, 0.46.2, 0.46.3, 1.0.0, 1.0.1, 1.0.2, 1.1.0, 1.1.1, 1.1.2, 1.2.0, 1.2.1, 1.2.2, 1.2.4, 2.0.0, 2.2.0, 2.3.0, 2.4.0, 2.5.0</t>
        </is>
      </c>
      <c r="D216" s="14" t="n">
        <v>23</v>
      </c>
      <c r="E216" s="14" t="n"/>
      <c r="F216" s="14" t="n"/>
      <c r="G216" s="14" t="inlineStr">
        <is>
          <t>The LLM selected AerSimulator(method='unitary') and added circ.save_unitary().</t>
        </is>
      </c>
      <c r="H216" s="14" t="n">
        <v>4</v>
      </c>
    </row>
    <row r="217">
      <c r="A217" s="15" t="inlineStr">
        <is>
          <t>Passed on test</t>
        </is>
      </c>
      <c r="B217" s="14" t="inlineStr">
        <is>
          <t>issue_596</t>
        </is>
      </c>
      <c r="C217" s="14" t="inlineStr">
        <is>
          <t>0.25.0, 0.25.1, 0.25.2, 0.25.3, 0.45.0, 0.45.1, 0.45.2, 0.45.3, 0.46.0, 0.46.1, 0.46.2, 0.46.3</t>
        </is>
      </c>
      <c r="D217" s="14" t="n">
        <v>12</v>
      </c>
      <c r="E217" s="14" t="n"/>
      <c r="F217" s="14" t="n"/>
      <c r="G217" s="14" t="inlineStr">
        <is>
          <t>The LLM bound each parameter vector in one dictionary ({p: inp[0], th: theta}) and assigned it in place, so the circuit used by assemble() has no unbound parameters.</t>
        </is>
      </c>
      <c r="H217" s="14" t="n">
        <v>4</v>
      </c>
    </row>
    <row r="218">
      <c r="A218" s="15" t="inlineStr">
        <is>
          <t>Passed on test</t>
        </is>
      </c>
      <c r="B218" s="14" t="inlineStr">
        <is>
          <t>issue_600</t>
        </is>
      </c>
      <c r="C218" s="14" t="inlineStr">
        <is>
          <t>0.25.0, 0.25.1, 0.25.2, 0.25.3, 0.45.0, 0.45.1, 0.45.2, 0.45.3, 0.46.0, 0.46.1, 0.46.2, 0.46.3</t>
        </is>
      </c>
      <c r="D218" s="14" t="n">
        <v>12</v>
      </c>
      <c r="E218" s="14" t="n"/>
      <c r="F218" s="14" t="n"/>
      <c r="G218" s="14" t="inlineStr">
        <is>
          <t>The LLM replaced PauliGate(...).power(param) with RXXGate / RYYGate / RZZGate(pi * param) plus the matching global phase, and removed the PauliGate import, so it also runs on Qiskit 0.25. gpt-6-luna kept the PauliGate import and gpt-5.6-luna used PauliEvolutionGate; neither exists in 0.25, so both crashed there.</t>
        </is>
      </c>
      <c r="H218" s="14" t="n">
        <v>4</v>
      </c>
    </row>
    <row r="219">
      <c r="A219" s="15" t="inlineStr">
        <is>
          <t>Passed on test</t>
        </is>
      </c>
      <c r="B219" s="14" t="inlineStr">
        <is>
          <t>issue_622</t>
        </is>
      </c>
      <c r="C219" s="14" t="inlineStr">
        <is>
          <t>0.25.0, 0.25.1, 0.25.2, 0.25.3, 0.45.0, 0.45.1, 0.45.2, 0.45.3, 0.46.0, 0.46.1, 0.46.2, 0.46.3</t>
        </is>
      </c>
      <c r="D219" s="14" t="n">
        <v>12</v>
      </c>
      <c r="E219" s="14" t="n"/>
      <c r="F219" s="14" t="n"/>
      <c r="G219" s="14" t="inlineStr">
        <is>
          <t>The LLM swapped the 1-qubit FakeArmonk for the 5-qubit FakeVigo and kept import qiskit, so the Bell circuit runs. The updated test allows the fake device's noise. gpt-6-luna made the same switch but deleted import qiskit and crashed.</t>
        </is>
      </c>
      <c r="H219" s="14" t="n">
        <v>4</v>
      </c>
    </row>
    <row r="220">
      <c r="A220" s="15" t="inlineStr">
        <is>
          <t>Passed on test</t>
        </is>
      </c>
      <c r="B220" s="14" t="inlineStr">
        <is>
          <t>issue_624</t>
        </is>
      </c>
      <c r="C220" s="14" t="inlineStr">
        <is>
          <t>0.25.0, 0.25.1, 0.25.2, 0.25.3, 0.45.0, 0.45.1, 0.45.2, 0.45.3, 0.46.0, 0.46.1, 0.46.2, 0.46.3</t>
        </is>
      </c>
      <c r="D220" s="14" t="n">
        <v>12</v>
      </c>
      <c r="E220" s="14" t="n"/>
      <c r="F220" s="14" t="n"/>
      <c r="G220" s="14" t="inlineStr">
        <is>
          <t>The LLM converted the circuit into a Pauli operator with CircuitOp(H).to_pauli_op() before compute_minimum_eigenvalue(). gpt-5.6-luna passed a CircuitOp without converting it and gpt-6-luna called a non-existent PauliSumOp.from_operator(); both crashed.</t>
        </is>
      </c>
      <c r="H220" s="14" t="n">
        <v>4</v>
      </c>
    </row>
    <row r="221">
      <c r="A221" s="17" t="inlineStr">
        <is>
          <t>Runtime error</t>
        </is>
      </c>
      <c r="B221" s="14" t="inlineStr">
        <is>
          <t>issue_635</t>
        </is>
      </c>
      <c r="C221" s="14" t="inlineStr">
        <is>
          <t>0.25.0, 0.25.1, 0.25.2, 0.25.3</t>
        </is>
      </c>
      <c r="D221" s="14" t="n">
        <v>4</v>
      </c>
      <c r="E221" s="14" t="inlineStr">
        <is>
          <t>AttributeError</t>
        </is>
      </c>
      <c r="F221" s="14" t="inlineStr">
        <is>
          <t>AttributeError: 'QuantumCircuit' object has no attribute 'if_test'</t>
        </is>
      </c>
      <c r="G221" s="14" t="inlineStr">
        <is>
          <t>The LLM nested two qc.if_test() blocks so both X gates need c[0] = 1 and c[1] = 1, which is the logic the question asks for, but if_test() doesn't exist in Qiskit 0.25, the only versions this case runs on (AttributeError). Both luna models used c_if with the wrong conditions and failed.</t>
        </is>
      </c>
      <c r="H221" s="14" t="n">
        <v>4</v>
      </c>
    </row>
    <row r="222">
      <c r="A222" s="15" t="inlineStr">
        <is>
          <t>Passed on test</t>
        </is>
      </c>
      <c r="B222" s="14" t="inlineStr">
        <is>
          <t>issue_662</t>
        </is>
      </c>
      <c r="C222" s="14" t="inlineStr">
        <is>
          <t>0.45.0, 0.45.1, 0.45.2, 0.45.3, 0.46.0, 0.46.1, 0.46.2, 0.46.3, 1.0.0, 1.0.1, 1.0.2, 1.1.0, 1.1.1, 1.1.2, 1.2.0, 1.2.1, 1.2.2, 1.2.4, 2.0.0, 2.2.0, 2.3.0, 2.4.0, 2.5.0</t>
        </is>
      </c>
      <c r="D222" s="14" t="n">
        <v>23</v>
      </c>
      <c r="E222" s="14" t="n"/>
      <c r="F222" s="14" t="n"/>
      <c r="G222" s="14" t="inlineStr">
        <is>
          <t>The LLM counted gates over dag.op_nodes() and removed the node.type check. Both luna models kept that check, which raises AttributeError because DAG nodes no longer have a type attribute.</t>
        </is>
      </c>
      <c r="H222" s="14" t="n">
        <v>4</v>
      </c>
    </row>
    <row r="223">
      <c r="A223" s="15" t="inlineStr">
        <is>
          <t>Passed on test</t>
        </is>
      </c>
      <c r="B223" s="14" t="inlineStr">
        <is>
          <t>issue_663</t>
        </is>
      </c>
      <c r="C223" s="14" t="inlineStr">
        <is>
          <t>0.45.0, 0.45.1, 0.45.2, 0.45.3, 0.46.0, 0.46.1, 0.46.2, 0.46.3</t>
        </is>
      </c>
      <c r="D223" s="14" t="n">
        <v>8</v>
      </c>
      <c r="E223" s="14" t="n"/>
      <c r="F223" s="14" t="n"/>
      <c r="G223" s="14" t="inlineStr">
        <is>
          <t>The LLM measured each qubit into its classical bit, so the counts are no longer always 000.</t>
        </is>
      </c>
      <c r="H223" s="14" t="n">
        <v>5</v>
      </c>
    </row>
    <row r="224">
      <c r="A224" s="15" t="inlineStr">
        <is>
          <t>Passed on test</t>
        </is>
      </c>
      <c r="B224" s="14" t="inlineStr">
        <is>
          <t>issue_671</t>
        </is>
      </c>
      <c r="C224" s="14" t="inlineStr">
        <is>
          <t>0.25.0, 0.25.1, 0.25.2, 0.25.3, 0.45.0, 0.45.1, 0.45.2, 0.45.3, 0.46.0, 0.46.1, 0.46.2, 0.46.3, 1.0.0, 1.0.1, 1.0.2, 1.1.0, 1.1.1, 1.1.2, 1.2.0, 1.2.1, 1.2.2, 1.2.4, 2.0.0, 2.2.0, 2.3.0, 2.4.0, 2.5.0</t>
        </is>
      </c>
      <c r="D224" s="14" t="n">
        <v>27</v>
      </c>
      <c r="E224" s="14" t="n"/>
      <c r="F224" s="14" t="n"/>
      <c r="G224" s="14" t="inlineStr">
        <is>
          <t>QuantumCircuit(a, *v, b) unpacks the list of registers, which builds exactly the registers the question asks for. The updated test checks the registers, not the answer's example gates. Same code as both luna models.</t>
        </is>
      </c>
      <c r="H224" s="14" t="n">
        <v>5</v>
      </c>
    </row>
    <row r="225">
      <c r="A225" s="15" t="inlineStr">
        <is>
          <t>Passed on test</t>
        </is>
      </c>
      <c r="B225" s="14" t="inlineStr">
        <is>
          <t>issue_727</t>
        </is>
      </c>
      <c r="C225" s="14" t="inlineStr">
        <is>
          <t>0.25.0, 0.25.1, 0.25.2, 0.25.3, 0.45.0, 0.45.1, 0.45.2, 0.45.3, 0.46.0, 0.46.1, 0.46.2, 0.46.3</t>
        </is>
      </c>
      <c r="D225" s="14" t="n">
        <v>12</v>
      </c>
      <c r="E225" s="14" t="n"/>
      <c r="F225" s="14" t="n"/>
      <c r="G225" s="14" t="inlineStr">
        <is>
          <t>The LLM wrote 2 ** k as (k * numpy.log(2)).exp(), which works with a symbolic Parameter.</t>
        </is>
      </c>
      <c r="H225" s="14" t="n">
        <v>5</v>
      </c>
    </row>
    <row r="226">
      <c r="A226" s="15" t="inlineStr">
        <is>
          <t>Passed on test</t>
        </is>
      </c>
      <c r="B226" s="14" t="inlineStr">
        <is>
          <t>issue_742</t>
        </is>
      </c>
      <c r="C226" s="14" t="inlineStr">
        <is>
          <t>1.1.0, 1.1.1, 1.1.2, 1.2.0, 1.2.1, 1.2.2, 1.2.4, 2.0.0, 2.2.0, 2.3.0, 2.4.0, 2.5.0</t>
        </is>
      </c>
      <c r="D226" s="14" t="n">
        <v>12</v>
      </c>
      <c r="E226" s="14" t="n"/>
      <c r="F226" s="14" t="n"/>
      <c r="G226" s="14" t="inlineStr">
        <is>
          <t>The LLM converted the Operator observable with SparsePauliOp.from_operator(O) (same code as gpt-6-luna).</t>
        </is>
      </c>
      <c r="H226" s="14" t="n">
        <v>5</v>
      </c>
    </row>
    <row r="227">
      <c r="A227" s="15" t="inlineStr">
        <is>
          <t>Passed on test</t>
        </is>
      </c>
      <c r="B227" s="14" t="inlineStr">
        <is>
          <t>issue_747</t>
        </is>
      </c>
      <c r="C227" s="14" t="inlineStr">
        <is>
          <t>0.45.0, 0.45.1, 0.45.2, 0.45.3, 0.46.0, 0.46.1, 0.46.2, 0.46.3</t>
        </is>
      </c>
      <c r="D227" s="14" t="n">
        <v>8</v>
      </c>
      <c r="E227" s="14" t="n"/>
      <c r="F227" s="14" t="n"/>
      <c r="G227" s="14" t="inlineStr">
        <is>
          <t>The LLM measured the three qubits into the existing classical register with circ.measure([0, 1, 2], [0, 1, 2]), so the count keys are 000 / 111 (gpt-5.6-luna used measure_all(), which adds a second register).</t>
        </is>
      </c>
      <c r="H227" s="14" t="n">
        <v>5</v>
      </c>
    </row>
    <row r="228">
      <c r="A228" s="15" t="inlineStr">
        <is>
          <t>Passed on test</t>
        </is>
      </c>
      <c r="B228" s="14" t="inlineStr">
        <is>
          <t>issue_750</t>
        </is>
      </c>
      <c r="C228" s="14" t="inlineStr">
        <is>
          <t>0.45.0, 0.45.1, 0.45.2, 0.45.3, 0.46.0, 0.46.1, 0.46.2, 0.46.3, 1.0.0, 1.0.1, 1.0.2, 1.1.0, 1.1.1, 1.1.2, 1.2.0, 1.2.1, 1.2.2, 1.2.4, 2.0.0, 2.2.0, 2.3.0, 2.4.0, 2.5.0</t>
        </is>
      </c>
      <c r="D228" s="14" t="n">
        <v>23</v>
      </c>
      <c r="E228" s="14" t="n"/>
      <c r="F228" s="14" t="n"/>
      <c r="G228" s="14" t="inlineStr">
        <is>
          <t>The LLM passed the label positionally, Pauli('XZ'), because the label= keyword no longer exists. Both luna models answered that there is no bug and kept Pauli(label='XZ'), which raises TypeError.</t>
        </is>
      </c>
      <c r="H228" s="14" t="n">
        <v>5</v>
      </c>
    </row>
    <row r="229">
      <c r="A229" s="17" t="inlineStr">
        <is>
          <t>Runtime error</t>
        </is>
      </c>
      <c r="B229" s="14" t="inlineStr">
        <is>
          <t>issue_769</t>
        </is>
      </c>
      <c r="C229" s="14" t="inlineStr">
        <is>
          <t>1.0.0, 1.0.1, 1.0.2, 1.1.0, 1.1.1, 1.1.2, 1.2.0, 1.2.1, 1.2.2, 1.2.4, 2.0.0, 2.2.0, 2.3.0, 2.4.0, 2.5.0</t>
        </is>
      </c>
      <c r="D229" s="14" t="n">
        <v>15</v>
      </c>
      <c r="E229" s="14" t="inlineStr">
        <is>
          <t>KeyError</t>
        </is>
      </c>
      <c r="F229" s="14" t="inlineStr">
        <is>
          <t>KeyError: 'get_qiskit_gate'</t>
        </is>
      </c>
      <c r="G229" s="14" t="inlineStr">
        <is>
          <t>The LLM wrote a general matcher that searches Qiskit's standard gates for one whose operator equals the matrix (up to global phase) and prints its name, which is what the user asked for, and the script runs; but the test calls the reference answer's function get_qiskit_gate() by name (KeyError). Over-specific test, and no updated test exists for this case. Both luna models only checked for the X gate.</t>
        </is>
      </c>
      <c r="H229" s="14" t="n">
        <v>5</v>
      </c>
    </row>
    <row r="230">
      <c r="A230" s="15" t="inlineStr">
        <is>
          <t>Passed on test</t>
        </is>
      </c>
      <c r="B230" s="14" t="inlineStr">
        <is>
          <t>issue_773</t>
        </is>
      </c>
      <c r="C230" s="14" t="inlineStr">
        <is>
          <t>0.45.0, 0.45.1, 0.45.2, 0.45.3, 0.46.0, 0.46.1, 0.46.2, 0.46.3</t>
        </is>
      </c>
      <c r="D230" s="14" t="n">
        <v>8</v>
      </c>
      <c r="E230" s="14" t="n"/>
      <c r="F230" s="14" t="n"/>
      <c r="G230" s="14" t="inlineStr">
        <is>
          <t>The LLM removed the IBMQ job_monitor import that shadowed the general one (same code as both luna models).</t>
        </is>
      </c>
      <c r="H230" s="14" t="n">
        <v>5</v>
      </c>
    </row>
    <row r="231">
      <c r="A231" s="15" t="inlineStr">
        <is>
          <t>Passed on test</t>
        </is>
      </c>
      <c r="B231" s="14" t="inlineStr">
        <is>
          <t>issue_775</t>
        </is>
      </c>
      <c r="C231" s="14" t="inlineStr">
        <is>
          <t>0.25.0, 0.25.1, 0.25.2, 0.25.3, 0.45.0, 0.45.1, 0.45.2, 0.45.3, 0.46.0, 0.46.1, 0.46.2, 0.46.3</t>
        </is>
      </c>
      <c r="D231" s="14" t="n">
        <v>12</v>
      </c>
      <c r="E231" s="14" t="n"/>
      <c r="F231" s="14" t="n"/>
      <c r="G231" s="14" t="inlineStr">
        <is>
          <t>The LLM parsed the OpenQASM string with QuantumCircuit.from_qasm_str() inside the execute() call. The updated test checks the executed result instead of a variable named qc. Same code as gpt-6-luna.</t>
        </is>
      </c>
      <c r="H231" s="14" t="n">
        <v>5</v>
      </c>
    </row>
    <row r="232">
      <c r="A232" s="15" t="inlineStr">
        <is>
          <t>Passed on test</t>
        </is>
      </c>
      <c r="B232" s="14" t="inlineStr">
        <is>
          <t>issue_795</t>
        </is>
      </c>
      <c r="C232" s="14" t="inlineStr">
        <is>
          <t>0.25.0, 0.25.1, 0.25.2, 0.25.3, 0.45.0, 0.45.1, 0.45.2, 0.45.3, 0.46.0, 0.46.1, 0.46.2, 0.46.3</t>
        </is>
      </c>
      <c r="D232" s="14" t="n">
        <v>12</v>
      </c>
      <c r="E232" s="14" t="n"/>
      <c r="F232" s="14" t="n"/>
      <c r="G232" s="14" t="inlineStr">
        <is>
          <t>The LLM appended the operator's matrix with circuit.unitary(...to_matrix(), [0]) (same code as both luna models).</t>
        </is>
      </c>
      <c r="H232" s="14" t="n">
        <v>5</v>
      </c>
    </row>
    <row r="233">
      <c r="A233" s="16" t="inlineStr">
        <is>
          <t>Failed on test</t>
        </is>
      </c>
      <c r="B233" s="14" t="inlineStr">
        <is>
          <t>issue_803</t>
        </is>
      </c>
      <c r="C233" s="14" t="inlineStr">
        <is>
          <t>0.25.0, 0.25.1, 0.25.2, 0.25.3</t>
        </is>
      </c>
      <c r="D233" s="14" t="n">
        <v>4</v>
      </c>
      <c r="E233" s="14" t="inlineStr">
        <is>
          <t>AssertionError</t>
        </is>
      </c>
      <c r="F233" s="14" t="inlineStr">
        <is>
          <t>ValueError: The truth value of an array with more than one element is ambiguous. Use a.any() or a.all(); AssertionError: array([list([55, 45]), list([100]), list([100])], dtype=object) is not an instance of &lt;class 'list'&gt;</t>
        </is>
      </c>
      <c r="G233" s="14"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H233" s="14" t="n">
        <v>6</v>
      </c>
    </row>
    <row r="234">
      <c r="A234" s="17" t="inlineStr">
        <is>
          <t>Runtime error</t>
        </is>
      </c>
      <c r="B234" s="14" t="inlineStr">
        <is>
          <t>issue_803</t>
        </is>
      </c>
      <c r="C234" s="14" t="inlineStr">
        <is>
          <t>0.45.0, 0.45.1, 0.45.2, 0.45.3, 0.46.0, 0.46.1, 0.46.2, 0.46.3</t>
        </is>
      </c>
      <c r="D234" s="14" t="n">
        <v>8</v>
      </c>
      <c r="E234" s="14" t="inlineStr">
        <is>
          <t>ValueError</t>
        </is>
      </c>
      <c r="F234" s="14" t="inlineStr">
        <is>
          <t>ValueError: The truth value of an array with more than one element is ambiguous. Use a.any() or a.all(); ValueError: setting an array element with a sequence. The requested array has an inhomogeneous shape after 1 dimensions. The detected shape was (3,) + inhomogeneous part.</t>
        </is>
      </c>
      <c r="G234" s="14" t="inlineStr">
        <is>
          <t>Error on 0.45.x / 0.46.x, failed on 0.25.x: the LLM turned the list of count dictionaries into a NumPy array of value lists, which loses the outcome keys; the test wants one counts dictionary per circuit, and newer NumPy refuses the ragged array (ValueError). Same problem as both luna models.</t>
        </is>
      </c>
      <c r="H234" s="14" t="n">
        <v>6</v>
      </c>
    </row>
    <row r="235">
      <c r="A235" s="16" t="inlineStr">
        <is>
          <t>Failed on test</t>
        </is>
      </c>
      <c r="B235" s="14" t="inlineStr">
        <is>
          <t>issue_810</t>
        </is>
      </c>
      <c r="C235" s="14" t="inlineStr">
        <is>
          <t>0.45.1, 0.46.2</t>
        </is>
      </c>
      <c r="D235" s="14" t="n">
        <v>2</v>
      </c>
      <c r="E235" s="14" t="inlineStr">
        <is>
          <t>AssertionError</t>
        </is>
      </c>
      <c r="F235" s="14" t="inlineStr">
        <is>
          <t>AssertionError: [] is not true : no raw counts dictionary</t>
        </is>
      </c>
      <c r="G235" s="14" t="inlineStr">
        <is>
          <t>The LLM enabled memory=True and returned the per-shot list job.result().get_memory(circuit) instead of a counts dictionary; the updated test, which accepts any variable name and shot count, finds no raw counts dictionary. Both luna models used get_counts() and passed.</t>
        </is>
      </c>
      <c r="H235" s="14" t="n">
        <v>6</v>
      </c>
    </row>
    <row r="236">
      <c r="A236" s="15" t="inlineStr">
        <is>
          <t>Passed on test</t>
        </is>
      </c>
      <c r="B236" s="14" t="inlineStr">
        <is>
          <t>issue_816</t>
        </is>
      </c>
      <c r="C236" s="14" t="inlineStr">
        <is>
          <t>0.45.0, 0.45.1, 0.45.2, 0.45.3, 0.46.0, 0.46.1, 0.46.2, 0.46.3, 1.0.0, 1.0.1, 1.0.2, 1.1.0, 1.1.1, 1.1.2, 1.2.0, 1.2.1, 1.2.2, 1.2.4, 2.0.0, 2.2.0, 2.3.0, 2.4.0, 2.5.0</t>
        </is>
      </c>
      <c r="D236" s="14" t="n">
        <v>23</v>
      </c>
      <c r="E236" s="14" t="n"/>
      <c r="F236" s="14" t="n"/>
      <c r="G236" s="14" t="inlineStr">
        <is>
          <t>The LLM passed memory=True to simulator.run() (same code as both luna models).</t>
        </is>
      </c>
      <c r="H236" s="14" t="n">
        <v>6</v>
      </c>
    </row>
    <row r="237">
      <c r="A237" s="17" t="inlineStr">
        <is>
          <t>Runtime error</t>
        </is>
      </c>
      <c r="B237" s="14" t="inlineStr">
        <is>
          <t>issue_876</t>
        </is>
      </c>
      <c r="C237" s="14" t="inlineStr">
        <is>
          <t>1.0.0, 1.0.1, 1.0.2, 1.1.0, 1.1.1, 1.1.2, 1.2.0, 1.2.1, 1.2.2, 1.2.4, 2.0.0, 2.2.0, 2.3.0, 2.4.0, 2.5.0</t>
        </is>
      </c>
      <c r="D237" s="14" t="n">
        <v>15</v>
      </c>
      <c r="E237" s="14" t="inlineStr">
        <is>
          <t>KeyError</t>
        </is>
      </c>
      <c r="F237" s="14" t="inlineStr">
        <is>
          <t>KeyError: 'rho_real'</t>
        </is>
      </c>
      <c r="G237" s="14" t="inlineStr">
        <is>
          <t>The LLM switched to AerSimulator.from_backend(FakeBrisbane, method='density_matrix') and saved the density matrix of the logical qubits, which addresses the noise question, and the script runs; but it stores the result in statevector_real, and the test reads the reference's variable rho_real (KeyError). No updated test exists for this case.</t>
        </is>
      </c>
      <c r="H237" s="14" t="n">
        <v>6</v>
      </c>
    </row>
    <row r="238">
      <c r="A238" s="17" t="inlineStr">
        <is>
          <t>Runtime error</t>
        </is>
      </c>
      <c r="B238" s="14" t="inlineStr">
        <is>
          <t>issue_877</t>
        </is>
      </c>
      <c r="C238" s="14" t="inlineStr">
        <is>
          <t>0.45.0, 0.45.1, 0.45.2, 0.45.3, 0.46.0, 0.46.1, 0.46.2, 0.46.3</t>
        </is>
      </c>
      <c r="D238" s="14" t="n">
        <v>8</v>
      </c>
      <c r="E238" s="14" t="inlineStr">
        <is>
          <t>ModuleNotFoundError</t>
        </is>
      </c>
      <c r="F238" s="14" t="inlineStr">
        <is>
          <t>ModuleNotFoundError: No module named 'qiskit_ibm_runtime'</t>
        </is>
      </c>
      <c r="G238" s="14" t="inlineStr">
        <is>
          <t>The LLM defined the missing backend as FakeWashingtonV2 from qiskit_ibm_runtime.fake_provider, but qiskit_ibm_runtime isn't installed for Qiskit 0.45 / 0.46 (ModuleNotFoundError). gpt-6-luna used the bundled FakeMontreal snapshot and passed.</t>
        </is>
      </c>
      <c r="H238" s="14" t="n">
        <v>6</v>
      </c>
    </row>
    <row r="239">
      <c r="A239" s="15" t="inlineStr">
        <is>
          <t>Passed on test</t>
        </is>
      </c>
      <c r="B239" s="14" t="inlineStr">
        <is>
          <t>issue_886</t>
        </is>
      </c>
      <c r="C239" s="14" t="inlineStr">
        <is>
          <t>0.45.0, 0.45.1</t>
        </is>
      </c>
      <c r="D239" s="14" t="n">
        <v>2</v>
      </c>
      <c r="E239" s="14" t="n"/>
      <c r="F239" s="14" t="n"/>
      <c r="G239" s="14" t="inlineStr">
        <is>
          <t>The LLM ran circ.decompose() instead of transpiling, which also removes the crx gate Aer can't run. The updated test checks the job result regardless of the unused classical register and the variable name.</t>
        </is>
      </c>
      <c r="H239" s="14" t="n">
        <v>6</v>
      </c>
    </row>
    <row r="240">
      <c r="A240" s="16" t="inlineStr">
        <is>
          <t>Failed on test</t>
        </is>
      </c>
      <c r="B240" s="14" t="inlineStr">
        <is>
          <t>issue_889</t>
        </is>
      </c>
      <c r="C240" s="14" t="inlineStr">
        <is>
          <t>0.45.0, 0.45.1, 0.45.2, 0.45.3, 0.46.0, 0.46.1, 0.46.2, 0.46.3</t>
        </is>
      </c>
      <c r="D240" s="14" t="n">
        <v>8</v>
      </c>
      <c r="E240" s="14" t="inlineStr">
        <is>
          <t>AssertionError</t>
        </is>
      </c>
      <c r="F240" s="14" t="inlineStr">
        <is>
          <t>AssertionError:</t>
        </is>
      </c>
      <c r="G240" s="14"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H240" s="14" t="n">
        <v>6</v>
      </c>
    </row>
    <row r="241">
      <c r="A241" s="17" t="inlineStr">
        <is>
          <t>Runtime error</t>
        </is>
      </c>
      <c r="B241" s="14" t="inlineStr">
        <is>
          <t>issue_889</t>
        </is>
      </c>
      <c r="C241" s="14" t="inlineStr">
        <is>
          <t>0.25.0, 0.25.1, 0.25.2, 0.25.3</t>
        </is>
      </c>
      <c r="D241" s="14" t="n">
        <v>4</v>
      </c>
      <c r="E241" s="14" t="inlineStr">
        <is>
          <t>ImportError</t>
        </is>
      </c>
      <c r="F241" s="14" t="inlineStr">
        <is>
          <t>ImportError: cannot import name 'PauliEvolutionGate' from 'qiskit.circuit.library' (C:\qiskit_envs\q0250\lib\site-packages\qiskit\circuit\library\__init__.py)</t>
        </is>
      </c>
      <c r="G241" s="14" t="inlineStr">
        <is>
          <t>Error on 0.25.x, failed on 0.45.x / 0.46.x: the LLM rewrote the Hamiltonian (number operator (I - Z) / 2 and XX + YY hopping with a Jordan-Wigner string) and evolved it with PauliEvolutionGate; PauliEvolutionGate doesn't exist in Qiskit 0.25 (ImportError), and on 0.45 / 0.46 the changed Hamiltonian no longer matches the one in the question. Similar to gpt-6-luna.</t>
        </is>
      </c>
      <c r="H241" s="14" t="n">
        <v>6</v>
      </c>
    </row>
    <row r="242">
      <c r="A242" s="16" t="inlineStr">
        <is>
          <t>Failed on test</t>
        </is>
      </c>
      <c r="B242" s="14" t="inlineStr">
        <is>
          <t>issue_911</t>
        </is>
      </c>
      <c r="C242" s="14" t="inlineStr">
        <is>
          <t>0.45.0, 0.45.1, 0.45.2, 0.45.3, 0.46.0, 0.46.1, 0.46.2, 0.46.3, 1.0.0, 1.0.1, 1.0.2, 1.1.0, 1.1.1, 1.1.2, 1.2.0, 1.2.1, 1.2.2, 1.2.4, 2.0.0, 2.2.0, 2.3.0, 2.4.0, 2.5.0</t>
        </is>
      </c>
      <c r="D242" s="14" t="n">
        <v>23</v>
      </c>
      <c r="E242" s="14" t="inlineStr">
        <is>
          <t>AssertionError</t>
        </is>
      </c>
      <c r="F242" s="14" t="inlineStr">
        <is>
          <t>AssertionError: Lists differ: [] != [1, 2, 0]</t>
        </is>
      </c>
      <c r="G242" s="14" t="inlineStr">
        <is>
          <t>The LLM printed the register and index with qc.find_bit() only for each gate's second qubit (qargs[1], guarded by len(qargs) &gt; 1), so the first qubit of every gate and all single-qubit gates are missing; the updated test, which reads the printed indices in any format, finds none it can match. gpt-5.6-luna passed.</t>
        </is>
      </c>
      <c r="H242" s="14" t="n">
        <v>6</v>
      </c>
    </row>
    <row r="243">
      <c r="A243" s="17" t="inlineStr">
        <is>
          <t>Runtime error</t>
        </is>
      </c>
      <c r="B243" s="14" t="inlineStr">
        <is>
          <t>issue_925</t>
        </is>
      </c>
      <c r="C243" s="14" t="inlineStr">
        <is>
          <t>0.25.0, 0.25.1, 0.25.2, 0.25.3</t>
        </is>
      </c>
      <c r="D243" s="14" t="n">
        <v>4</v>
      </c>
      <c r="E243" s="14" t="inlineStr">
        <is>
          <t>TranspilerError</t>
        </is>
      </c>
      <c r="F243" s="14" t="inlineStr">
        <is>
          <t>qiskit.transpiler.exceptions.TranspilerError: 'Number of qubits (18) in Shor(N=15, a=2) is greater than maximum (14) in the coupling_map'</t>
        </is>
      </c>
      <c r="G243" s="14" t="inlineStr">
        <is>
          <t>The LLM answered NO BUG: it explained that Aqua's Shor needs 18 qubits for N = 15, more than FakeMelbourne has, but said changing the backend isn't allowed. The code is unchanged, so it fails exactly like the buggy code (TranspilerError). Same answer as gpt-5.6-luna; the reference switches to Aer's qasm_simulator.</t>
        </is>
      </c>
      <c r="H243" s="14" t="n">
        <v>6</v>
      </c>
    </row>
    <row r="244">
      <c r="A244" s="15" t="inlineStr">
        <is>
          <t>Passed on test</t>
        </is>
      </c>
      <c r="B244" s="14" t="inlineStr">
        <is>
          <t>issue_944</t>
        </is>
      </c>
      <c r="C244" s="14" t="inlineStr">
        <is>
          <t>0.25.0, 0.25.1, 0.25.2, 0.25.3, 0.45.0, 0.45.1, 0.45.2, 0.45.3, 0.46.0, 0.46.1, 0.46.2, 0.46.3</t>
        </is>
      </c>
      <c r="D244" s="14" t="n">
        <v>12</v>
      </c>
      <c r="E244" s="14" t="n"/>
      <c r="F244" s="14" t="n"/>
      <c r="G244" s="14" t="inlineStr">
        <is>
          <t>The LLM built the projector |+&gt;&lt;+| explicitly as MatrixOp(np.outer(...)) and wrapped the eigensolver's operator in MatrixOp. The updated test accepts either operator type. gpt-6-luna reversed the projector and failed.</t>
        </is>
      </c>
      <c r="H244" s="14" t="n">
        <v>6</v>
      </c>
    </row>
    <row r="245">
      <c r="A245" s="15" t="inlineStr">
        <is>
          <t>Passed on test</t>
        </is>
      </c>
      <c r="B245" s="14" t="inlineStr">
        <is>
          <t>issue_950</t>
        </is>
      </c>
      <c r="C245" s="14" t="inlineStr">
        <is>
          <t>0.25.0, 0.25.1, 0.25.2, 0.25.3, 0.45.0, 0.45.1, 0.45.2, 0.45.3, 0.46.0, 0.46.1, 0.46.2, 0.46.3, 1.0.0, 1.0.1, 1.0.2, 1.1.0, 1.1.1, 1.1.2, 1.2.0, 1.2.1, 1.2.2, 1.2.4, 2.0.0, 2.2.0, 2.3.0, 2.4.0, 2.5.0</t>
        </is>
      </c>
      <c r="D245" s="14" t="n">
        <v>27</v>
      </c>
      <c r="E245" s="14" t="n"/>
      <c r="F245" s="14" t="n"/>
      <c r="G245" s="14" t="inlineStr">
        <is>
          <t>The LLM made the identity N qubits wide and used compose() instead of _add(), so Z is placed on qubits i+1 .. j-1 and the identity elsewhere. Both luna models kept _add(), which adds the operators instead, and failed.</t>
        </is>
      </c>
      <c r="H245" s="14" t="n">
        <v>7</v>
      </c>
    </row>
    <row r="246">
      <c r="A246" s="17" t="inlineStr">
        <is>
          <t>Runtime error</t>
        </is>
      </c>
      <c r="B246" s="14" t="inlineStr">
        <is>
          <t>issue_958</t>
        </is>
      </c>
      <c r="C246" s="14" t="inlineStr">
        <is>
          <t>0.45.0, 0.45.1, 0.45.2, 0.45.3, 0.46.0, 0.46.1, 0.46.2, 0.46.3, 1.0.0, 1.0.1, 1.0.2, 1.1.0, 1.1.1, 1.1.2, 1.2.0, 1.2.1, 1.2.2, 1.2.4, 2.0.0, 2.2.0, 2.3.0, 2.4.0, 2.5.0</t>
        </is>
      </c>
      <c r="D246" s="14" t="n">
        <v>23</v>
      </c>
      <c r="E246" s="14" t="inlineStr">
        <is>
          <t>KeyError</t>
        </is>
      </c>
      <c r="F246" s="14" t="inlineStr">
        <is>
          <t>KeyError: 'qc2'</t>
        </is>
      </c>
      <c r="G246" s="14" t="inlineStr">
        <is>
          <t>Setting the circuit's global phase to pi (qc.global_phase += pi) gives exactly -(H x H) and passes the check on qc, but the test also requires the reference answer's second circuit qc2 (KeyError: 'qc2'). Over-specific test, and no updated test exists for this case; same approach as gpt-6-luna.</t>
        </is>
      </c>
      <c r="H246" s="14" t="n">
        <v>7</v>
      </c>
    </row>
    <row r="247">
      <c r="A247" s="15" t="inlineStr">
        <is>
          <t>Passed on test</t>
        </is>
      </c>
      <c r="B247" s="14" t="inlineStr">
        <is>
          <t>issue_977</t>
        </is>
      </c>
      <c r="C247" s="14" t="inlineStr">
        <is>
          <t>0.45.0, 0.45.1, 0.45.2, 0.45.3, 0.46.0, 0.46.1, 0.46.2, 0.46.3, 1.0.0, 1.0.1, 1.0.2, 1.1.0, 1.1.1, 1.1.2, 1.2.0, 1.2.1, 1.2.2, 1.2.4, 2.0.0, 2.2.0, 2.3.0, 2.4.0, 2.5.0</t>
        </is>
      </c>
      <c r="D247" s="14" t="n">
        <v>23</v>
      </c>
      <c r="E247" s="14" t="n"/>
      <c r="F247" s="14" t="n"/>
      <c r="G247" s="14" t="inlineStr">
        <is>
          <t>The LLM used SparsePauliOp.from_operator(Hamiltonian), the same call as the reference, and kept the variable name H_op. The updated test accepts any variable name. gpt-6-luna converted back with to_operator() and failed.</t>
        </is>
      </c>
      <c r="H247" s="14" t="n">
        <v>7</v>
      </c>
    </row>
    <row r="248">
      <c r="A248" s="16" t="inlineStr">
        <is>
          <t>Failed on test</t>
        </is>
      </c>
      <c r="B248" s="14" t="inlineStr">
        <is>
          <t>issue_985</t>
        </is>
      </c>
      <c r="C248" s="14" t="inlineStr">
        <is>
          <t>0.45.0, 0.45.1, 0.45.2, 0.45.3, 0.46.0, 0.46.1, 0.46.2, 0.46.3, 1.0.0, 1.0.1, 1.0.2, 1.1.0, 1.1.1, 1.1.2, 1.2.0, 1.2.1, 1.2.2, 1.2.4, 2.0.0, 2.2.0, 2.3.0, 2.4.0, 2.5.0</t>
        </is>
      </c>
      <c r="D248" s="14" t="n">
        <v>23</v>
      </c>
      <c r="E248" s="14" t="inlineStr">
        <is>
          <t>AssertionError</t>
        </is>
      </c>
      <c r="F248" s="14" t="inlineStr">
        <is>
          <t>AssertionError:</t>
        </is>
      </c>
      <c r="G248" s="14" t="inlineStr">
        <is>
          <t>The LLM replaced u1 with p(lam), the identical phase gate, which transpiles to rz plus a global phase and keeps the U1 phase exactly; the current test requires the phase to be dropped (determinant 1), as in the reference. The team's earlier test_before.py, which requires the exact U1 phase, passes this fix on all 23 versions (debatable test, as with both luna models).</t>
        </is>
      </c>
      <c r="H248" s="14" t="n">
        <v>7</v>
      </c>
    </row>
    <row r="249">
      <c r="A249" s="15" t="inlineStr">
        <is>
          <t>Passed on test</t>
        </is>
      </c>
      <c r="B249" s="14" t="inlineStr">
        <is>
          <t>issue_989</t>
        </is>
      </c>
      <c r="C249" s="14" t="inlineStr">
        <is>
          <t>1.0.0, 1.0.1, 1.0.2, 1.1.0, 1.1.1, 1.1.2, 1.2.0, 1.2.1, 1.2.2, 1.2.4, 2.0.0, 2.2.0, 2.3.0, 2.4.0, 2.5.0</t>
        </is>
      </c>
      <c r="D249" s="14" t="n">
        <v>15</v>
      </c>
      <c r="E249" s="14" t="n"/>
      <c r="F249" s="14" t="n"/>
      <c r="G249" s="14" t="inlineStr">
        <is>
          <t>The LLM imported Aer from qiskit_aer (same code as gpt-6-luna).</t>
        </is>
      </c>
      <c r="H249" s="14" t="n">
        <v>7</v>
      </c>
    </row>
    <row r="250">
      <c r="A250" s="15" t="inlineStr">
        <is>
          <t>Passed on test</t>
        </is>
      </c>
      <c r="B250" s="14" t="inlineStr">
        <is>
          <t>issue_994</t>
        </is>
      </c>
      <c r="C250" s="14" t="inlineStr">
        <is>
          <t>0.25.0, 0.25.1, 0.25.2, 0.25.3</t>
        </is>
      </c>
      <c r="D250" s="14" t="n">
        <v>4</v>
      </c>
      <c r="E250" s="14" t="n"/>
      <c r="F250" s="14" t="n"/>
      <c r="G250" s="14" t="inlineStr">
        <is>
          <t>Adding qc.save_statevector() makes get_statevector() work on the QasmSimulator. The updated test takes the statevector from either a variable or get_statevector(). Same code as both luna models.</t>
        </is>
      </c>
      <c r="H250" s="14" t="n">
        <v>7</v>
      </c>
    </row>
    <row r="251">
      <c r="A251" s="16" t="inlineStr">
        <is>
          <t>Failed on test</t>
        </is>
      </c>
      <c r="B251" s="14" t="inlineStr">
        <is>
          <t>issue_1035</t>
        </is>
      </c>
      <c r="C251" s="14" t="inlineStr">
        <is>
          <t>0.45.0, 0.45.1, 0.45.2, 0.45.3, 0.46.0, 0.46.1, 0.46.2, 0.46.3</t>
        </is>
      </c>
      <c r="D251" s="14" t="n">
        <v>8</v>
      </c>
      <c r="E251" s="14" t="inlineStr">
        <is>
          <t>AssertionError</t>
        </is>
      </c>
      <c r="F251" s="14" t="inlineStr">
        <is>
          <t>AssertionError: OFFLINE_CONTRACT: Runtime account/session is not a local fake backend</t>
        </is>
      </c>
      <c r="G251" s="14" t="inlineStr">
        <is>
          <t>The LLM answered NO BUG, saying the Runtime Estimator code is correct and adding fake-backend noise would be an enhancement, so the code still uses the cloud Runtime service, which the offline test rejects. Both luna models switched to a local Aer Estimator with FakeManila's noise model and passed.</t>
        </is>
      </c>
      <c r="H251" s="14" t="n">
        <v>7</v>
      </c>
    </row>
    <row r="252">
      <c r="A252" s="15" t="inlineStr">
        <is>
          <t>Passed on test</t>
        </is>
      </c>
      <c r="B252" s="14" t="inlineStr">
        <is>
          <t>issue_772</t>
        </is>
      </c>
      <c r="C252" s="14" t="inlineStr">
        <is>
          <t>0.25.0, 0.25.1, 0.25.2, 0.25.3, 0.45.0, 0.45.1, 0.45.2, 0.45.3, 0.46.0, 0.46.1, 0.46.2, 0.46.3</t>
        </is>
      </c>
      <c r="D252" s="14" t="n">
        <v>12</v>
      </c>
      <c r="E252" s="14" t="n"/>
      <c r="F252" s="14" t="n"/>
      <c r="G252" s="14" t="inlineStr">
        <is>
          <t>The LLM passed both register slices as one qubit list (qr1[1:2] + qr2[0:3]) to append() (same code as both luna models).</t>
        </is>
      </c>
      <c r="H252" s="14" t="n">
        <v>8</v>
      </c>
    </row>
    <row r="253">
      <c r="A253" s="16" t="inlineStr">
        <is>
          <t>Failed on test</t>
        </is>
      </c>
      <c r="B253" s="14" t="inlineStr">
        <is>
          <t>issue_790</t>
        </is>
      </c>
      <c r="C253" s="14" t="inlineStr">
        <is>
          <t>0.45.0, 0.45.1, 0.45.2, 0.45.3, 0.46.0, 0.46.1, 0.46.2, 0.46.3, 1.0.0, 1.0.1, 1.0.2, 1.1.0, 1.1.1, 1.1.2, 1.2.0, 1.2.1, 1.2.2, 1.2.4, 2.0.0, 2.2.0, 2.3.0, 2.4.0, 2.5.0</t>
        </is>
      </c>
      <c r="D253" s="14" t="n">
        <v>23</v>
      </c>
      <c r="E253" s="14" t="inlineStr">
        <is>
          <t>AssertionError</t>
        </is>
      </c>
      <c r="F253" s="14" t="inlineStr">
        <is>
          <t>AssertionError: 1.630715739004526 not less than or equal to 0.7083783495810843 : circuit does not approximate exp(-i H) within the six-step second-order bound</t>
        </is>
      </c>
      <c r="G253" s="14" t="inlineStr">
        <is>
          <t>The LLM turned X, Y and Z into SparsePauliOps, which removes the Pauli - Pauli subtraction crash both luna models kept, and attached the SuzukiTrotter synthesis to each separate evolution gate before decompose(). Each bond is then split into six steps on its own, but the bonds are still applied one after another only once, a single coarse Trotter step of the full Hamiltonian, so the distance from exp(-iH) is 1.63, above the test's bound of 0.71. The reference builds one SparsePauliOp Hamiltonian and synthesizes one gate.</t>
        </is>
      </c>
      <c r="H253" s="14" t="n">
        <v>8</v>
      </c>
    </row>
    <row r="254">
      <c r="A254" s="17" t="inlineStr">
        <is>
          <t>Runtime error</t>
        </is>
      </c>
      <c r="B254" s="14" t="inlineStr">
        <is>
          <t>issue_827</t>
        </is>
      </c>
      <c r="C254" s="14" t="inlineStr">
        <is>
          <t>0.25.0, 0.25.1, 0.25.2, 0.25.3, 0.45.0, 0.45.1, 0.45.2, 0.45.3, 0.46.0, 0.46.1, 0.46.2, 0.46.3</t>
        </is>
      </c>
      <c r="D254" s="14" t="n">
        <v>12</v>
      </c>
      <c r="E254" s="14" t="inlineStr">
        <is>
          <t>ModuleNotFoundError</t>
        </is>
      </c>
      <c r="F254" s="14" t="inlineStr">
        <is>
          <t>ModuleNotFoundError: No module named 'qiskit.backends'</t>
        </is>
      </c>
      <c r="G254" s="14" t="inlineStr">
        <is>
          <t>The LLM replaced compile() with transpile() + assemble(), but the code still imports qiskit.backends, which no longer exists (ModuleNotFoundError). Same problem as both luna models.</t>
        </is>
      </c>
      <c r="H254" s="14" t="n">
        <v>8</v>
      </c>
    </row>
    <row r="255">
      <c r="A255" s="17" t="inlineStr">
        <is>
          <t>Runtime error</t>
        </is>
      </c>
      <c r="B255" s="14" t="inlineStr">
        <is>
          <t>issue_858</t>
        </is>
      </c>
      <c r="C255" s="14" t="inlineStr">
        <is>
          <t>0.45.0, 0.45.1, 0.45.2, 0.45.3, 0.46.0, 0.46.1, 0.46.2, 0.46.3</t>
        </is>
      </c>
      <c r="D255" s="14" t="n">
        <v>8</v>
      </c>
      <c r="E255" s="14" t="inlineStr">
        <is>
          <t>AttributeError</t>
        </is>
      </c>
      <c r="F255" s="14" t="inlineStr">
        <is>
          <t>AttributeError: 'FakeOslo' object has no attribute 'properties'</t>
        </is>
      </c>
      <c r="G255" s="14" t="inlineStr">
        <is>
          <t>The LLM switched from IBMQ to the FakeOslo snapshot of the retired backend, but the code still calls properties(), which FakeOslo doesn't have (AttributeError); the reference reads backend.qubit_properties(). Same problem as gpt-5.6-luna.</t>
        </is>
      </c>
      <c r="H255" s="14" t="n">
        <v>8</v>
      </c>
    </row>
    <row r="256">
      <c r="A256" s="15" t="inlineStr">
        <is>
          <t>Passed on test</t>
        </is>
      </c>
      <c r="B256" s="14" t="inlineStr">
        <is>
          <t>issue_901</t>
        </is>
      </c>
      <c r="C256" s="14" t="inlineStr">
        <is>
          <t>0.45.0, 0.45.1, 0.45.2, 0.45.3, 0.46.0, 0.46.1, 0.46.2, 0.46.3, 1.0.0, 1.0.1, 1.0.2, 1.1.0, 1.1.1, 1.1.2, 1.2.0, 1.2.1, 1.2.2, 1.2.4, 2.0.0</t>
        </is>
      </c>
      <c r="D256" s="14" t="n">
        <v>19</v>
      </c>
      <c r="E256" s="14" t="n"/>
      <c r="F256" s="14" t="n"/>
      <c r="G256" s="14" t="inlineStr">
        <is>
          <t>The LLM kept the S gate and registered the exact decomposition S = T T with SGate().add_decomposition(), so the transpiler can translate the circuit into the {H, T, CNOT} basis. The first run timed out on 0.46.3 under load; a rerun with a single worker passed all 19 versions.</t>
        </is>
      </c>
      <c r="H256" s="14" t="n">
        <v>8</v>
      </c>
    </row>
    <row r="257">
      <c r="A257" s="17" t="inlineStr">
        <is>
          <t>Runtime error</t>
        </is>
      </c>
      <c r="B257" s="14" t="inlineStr">
        <is>
          <t>issue_921</t>
        </is>
      </c>
      <c r="C257" s="14" t="inlineStr">
        <is>
          <t>0.25.0, 0.25.1, 0.25.2, 0.25.3</t>
        </is>
      </c>
      <c r="D257" s="14" t="n">
        <v>4</v>
      </c>
      <c r="E257" s="14" t="inlineStr">
        <is>
          <t>ImportError</t>
        </is>
      </c>
      <c r="F257" s="14" t="inlineStr">
        <is>
          <t>ImportError: cannot import name 'run_algorithm' from 'qiskit.aqua' (C:\qiskit_envs\q0250\lib\site-packages\qiskit\aqua\__init__.py)</t>
        </is>
      </c>
      <c r="G257" s="14" t="inlineStr">
        <is>
          <t>The LLM changed the problem name from 'ising' to 'energy' but kept the run_algorithm import, which no longer exists in qiskit.aqua (ImportError). Both luna models also left run_algorithm in place.</t>
        </is>
      </c>
      <c r="H257" s="14" t="n">
        <v>8</v>
      </c>
    </row>
  </sheetData>
  <conditionalFormatting sqref="B103:B175">
    <cfRule type="cellIs" priority="1" operator="equal" dxfId="0">
      <formula>"YES"</formula>
    </cfRule>
    <cfRule type="cellIs" priority="2" operator="equal" dxfId="1">
      <formula>"NO"</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2026-10-13T16:31:31Z</dcterms:created>
  <dcterms:modified xsi:type="dcterms:W3CDTF">2026-10-13T16:54:24Z</dcterms:modified>
</cp:coreProperties>
</file>