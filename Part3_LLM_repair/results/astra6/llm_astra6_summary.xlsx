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tats &amp; Notes" sheetId="2" state="visible" r:id="rId2"/>
  </sheets>
  <definedNames/>
  <calcPr calcId="124519" fullCalcOnLoad="1"/>
</workbook>
</file>

<file path=xl/styles.xml><?xml version="1.0" encoding="utf-8"?>
<styleSheet xmlns="http://schemas.openxmlformats.org/spreadsheetml/2006/main">
  <numFmts count="1">
    <numFmt numFmtId="164" formatCode="0.0%"/>
  </numFmts>
  <fonts count="3">
    <font>
      <name val="Calibri"/>
      <family val="2"/>
      <color theme="1"/>
      <sz val="11"/>
      <scheme val="minor"/>
    </font>
    <font>
      <b val="1"/>
      <color rgb="00FFFFFF"/>
    </font>
    <font>
      <b val="1"/>
    </font>
  </fonts>
  <fills count="7">
    <fill>
      <patternFill/>
    </fill>
    <fill>
      <patternFill patternType="gray125"/>
    </fill>
    <fill>
      <patternFill patternType="solid">
        <fgColor rgb="001F4E78"/>
      </patternFill>
    </fill>
    <fill>
      <patternFill patternType="solid">
        <fgColor rgb="00EDEDED"/>
      </patternFill>
    </fill>
    <fill>
      <patternFill patternType="solid">
        <fgColor rgb="00C6EFCE"/>
      </patternFill>
    </fill>
    <fill>
      <patternFill patternType="solid">
        <fgColor rgb="00FFC7CE"/>
      </patternFill>
    </fill>
    <fill>
      <patternFill patternType="solid">
        <fgColor rgb="00FFEB9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2" borderId="1" applyAlignment="1" pivotButton="0" quotePrefix="0" xfId="0">
      <alignment vertical="center" wrapText="1"/>
    </xf>
    <xf numFmtId="0" fontId="0" fillId="0" borderId="1" pivotButton="0" quotePrefix="0" xfId="0"/>
    <xf numFmtId="0" fontId="0" fillId="3" borderId="1" applyAlignment="1" pivotButton="0" quotePrefix="0" xfId="0">
      <alignment horizontal="center"/>
    </xf>
    <xf numFmtId="0" fontId="0" fillId="4" borderId="1" applyAlignment="1" pivotButton="0" quotePrefix="0" xfId="0">
      <alignment horizontal="center"/>
    </xf>
    <xf numFmtId="0" fontId="0" fillId="5" borderId="1" applyAlignment="1" pivotButton="0" quotePrefix="0" xfId="0">
      <alignment horizontal="center"/>
    </xf>
    <xf numFmtId="0" fontId="0" fillId="6" borderId="1" applyAlignment="1" pivotButton="0" quotePrefix="0" xfId="0">
      <alignment horizontal="center"/>
    </xf>
    <xf numFmtId="0" fontId="2" fillId="0" borderId="0" pivotButton="0" quotePrefix="0" xfId="0"/>
    <xf numFmtId="0" fontId="0" fillId="4" borderId="1" pivotButton="0" quotePrefix="0" xfId="0"/>
    <xf numFmtId="164" fontId="0" fillId="0" borderId="1" pivotButton="0" quotePrefix="0" xfId="0"/>
    <xf numFmtId="0" fontId="0" fillId="5" borderId="1" pivotButton="0" quotePrefix="0" xfId="0"/>
    <xf numFmtId="0" fontId="0" fillId="6" borderId="1" pivotButton="0" quotePrefix="0" xfId="0"/>
    <xf numFmtId="0" fontId="2" fillId="0" borderId="1" pivotButton="0" quotePrefix="0" xfId="0"/>
    <xf numFmtId="164" fontId="2" fillId="0" borderId="1" pivotButton="0" quotePrefix="0" xfId="0"/>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cellXfs>
  <cellStyles count="1">
    <cellStyle name="Normal" xfId="0" builtinId="0" hidden="0"/>
  </cellStyles>
  <dxfs count="2">
    <dxf>
      <fill>
        <patternFill patternType="solid">
          <fgColor rgb="00C6EFCE"/>
        </patternFill>
      </fill>
    </dxf>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E7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28" customWidth="1" min="29" max="29"/>
    <col width="28" customWidth="1" min="30" max="30"/>
    <col width="28" customWidth="1" min="31" max="31"/>
    <col width="28" customWidth="1" min="32" max="32"/>
    <col width="28" customWidth="1" min="33" max="33"/>
    <col width="28" customWidth="1" min="34" max="34"/>
    <col width="28" customWidth="1" min="35" max="35"/>
    <col width="28" customWidth="1" min="36" max="36"/>
    <col width="28" customWidth="1" min="37" max="37"/>
    <col width="28" customWidth="1" min="38" max="38"/>
    <col width="28" customWidth="1" min="39" max="39"/>
    <col width="28" customWidth="1" min="40" max="40"/>
    <col width="28" customWidth="1" min="41" max="41"/>
    <col width="28" customWidth="1" min="42" max="42"/>
    <col width="28" customWidth="1" min="43" max="43"/>
    <col width="28" customWidth="1" min="44" max="44"/>
    <col width="28" customWidth="1" min="45" max="45"/>
    <col width="28" customWidth="1" min="46" max="46"/>
    <col width="28" customWidth="1" min="47" max="47"/>
    <col width="28" customWidth="1" min="48" max="48"/>
    <col width="28" customWidth="1" min="49" max="49"/>
    <col width="28" customWidth="1" min="50" max="50"/>
    <col width="28" customWidth="1" min="51" max="51"/>
    <col width="28" customWidth="1" min="52" max="52"/>
    <col width="28" customWidth="1" min="53" max="53"/>
    <col width="28" customWidth="1" min="54" max="54"/>
    <col width="28" customWidth="1" min="55" max="55"/>
    <col width="28" customWidth="1" min="56" max="56"/>
    <col width="28" customWidth="1" min="57" max="57"/>
    <col width="28" customWidth="1" min="58" max="58"/>
    <col width="28" customWidth="1" min="59" max="59"/>
    <col width="28" customWidth="1" min="60" max="60"/>
    <col width="28" customWidth="1" min="61" max="61"/>
    <col width="28" customWidth="1" min="62" max="62"/>
    <col width="28" customWidth="1" min="63" max="63"/>
    <col width="28" customWidth="1" min="64" max="64"/>
    <col width="28" customWidth="1" min="65" max="65"/>
    <col width="28" customWidth="1" min="66" max="66"/>
    <col width="28" customWidth="1" min="67" max="67"/>
    <col width="28" customWidth="1" min="68" max="68"/>
    <col width="28" customWidth="1" min="69" max="69"/>
    <col width="28" customWidth="1" min="70" max="70"/>
    <col width="28" customWidth="1" min="71" max="71"/>
    <col width="28" customWidth="1" min="72" max="72"/>
    <col width="28" customWidth="1" min="73" max="73"/>
    <col width="28" customWidth="1" min="74" max="74"/>
    <col width="28" customWidth="1" min="75" max="75"/>
    <col width="28" customWidth="1" min="76" max="76"/>
    <col width="28" customWidth="1" min="77" max="77"/>
    <col width="28" customWidth="1" min="78" max="78"/>
    <col width="28" customWidth="1" min="79" max="79"/>
    <col width="28" customWidth="1" min="80" max="80"/>
    <col width="28" customWidth="1" min="81" max="81"/>
    <col width="28" customWidth="1" min="82" max="82"/>
    <col width="28" customWidth="1" min="83" max="83"/>
    <col width="28" customWidth="1" min="84" max="84"/>
    <col width="28" customWidth="1" min="85" max="85"/>
    <col width="28" customWidth="1" min="86" max="86"/>
    <col width="28" customWidth="1" min="87" max="87"/>
    <col width="28" customWidth="1" min="88" max="88"/>
    <col width="28" customWidth="1" min="89" max="89"/>
    <col width="28" customWidth="1" min="90" max="90"/>
    <col width="28" customWidth="1" min="91" max="91"/>
    <col width="28" customWidth="1" min="92" max="92"/>
    <col width="28" customWidth="1" min="93" max="93"/>
    <col width="28" customWidth="1" min="94" max="94"/>
    <col width="28" customWidth="1" min="95" max="95"/>
    <col width="28" customWidth="1" min="96" max="96"/>
    <col width="28" customWidth="1" min="97" max="97"/>
    <col width="28" customWidth="1" min="98" max="98"/>
    <col width="28" customWidth="1" min="99" max="99"/>
    <col width="28" customWidth="1" min="100" max="100"/>
    <col width="28" customWidth="1" min="101" max="101"/>
    <col width="28" customWidth="1" min="102" max="102"/>
    <col width="28" customWidth="1" min="103" max="103"/>
    <col width="28" customWidth="1" min="104" max="104"/>
    <col width="28" customWidth="1" min="105" max="105"/>
    <col width="28" customWidth="1" min="106" max="106"/>
    <col width="28" customWidth="1" min="107" max="107"/>
    <col width="28" customWidth="1" min="108" max="108"/>
    <col width="28" customWidth="1" min="109" max="109"/>
  </cols>
  <sheetData>
    <row r="1">
      <c r="A1" s="1" t="inlineStr">
        <is>
          <t>case_id</t>
        </is>
      </c>
      <c r="B1" s="1" t="inlineStr">
        <is>
          <t>0.25.0</t>
        </is>
      </c>
      <c r="C1" s="1" t="inlineStr">
        <is>
          <t>0.25.1</t>
        </is>
      </c>
      <c r="D1" s="1" t="inlineStr">
        <is>
          <t>0.25.2</t>
        </is>
      </c>
      <c r="E1" s="1" t="inlineStr">
        <is>
          <t>0.25.3</t>
        </is>
      </c>
      <c r="F1" s="1" t="inlineStr">
        <is>
          <t>0.45.0</t>
        </is>
      </c>
      <c r="G1" s="1" t="inlineStr">
        <is>
          <t>0.45.1</t>
        </is>
      </c>
      <c r="H1" s="1" t="inlineStr">
        <is>
          <t>0.45.2</t>
        </is>
      </c>
      <c r="I1" s="1" t="inlineStr">
        <is>
          <t>0.45.3</t>
        </is>
      </c>
      <c r="J1" s="1" t="inlineStr">
        <is>
          <t>0.46.0</t>
        </is>
      </c>
      <c r="K1" s="1" t="inlineStr">
        <is>
          <t>0.46.1</t>
        </is>
      </c>
      <c r="L1" s="1" t="inlineStr">
        <is>
          <t>0.46.2</t>
        </is>
      </c>
      <c r="M1" s="1" t="inlineStr">
        <is>
          <t>0.46.3</t>
        </is>
      </c>
      <c r="N1" s="1" t="inlineStr">
        <is>
          <t>1.0.0</t>
        </is>
      </c>
      <c r="O1" s="1" t="inlineStr">
        <is>
          <t>1.0.1</t>
        </is>
      </c>
      <c r="P1" s="1" t="inlineStr">
        <is>
          <t>1.0.2</t>
        </is>
      </c>
      <c r="Q1" s="1" t="inlineStr">
        <is>
          <t>1.1.0</t>
        </is>
      </c>
      <c r="R1" s="1" t="inlineStr">
        <is>
          <t>1.1.1</t>
        </is>
      </c>
      <c r="S1" s="1" t="inlineStr">
        <is>
          <t>1.1.2</t>
        </is>
      </c>
      <c r="T1" s="1" t="inlineStr">
        <is>
          <t>1.2.0</t>
        </is>
      </c>
      <c r="U1" s="1" t="inlineStr">
        <is>
          <t>1.2.1</t>
        </is>
      </c>
      <c r="V1" s="1" t="inlineStr">
        <is>
          <t>1.2.2</t>
        </is>
      </c>
      <c r="W1" s="1" t="inlineStr">
        <is>
          <t>1.2.4</t>
        </is>
      </c>
      <c r="X1" s="1" t="inlineStr">
        <is>
          <t>2.0.0</t>
        </is>
      </c>
      <c r="Y1" s="1" t="inlineStr">
        <is>
          <t>2.2.0</t>
        </is>
      </c>
      <c r="Z1" s="1" t="inlineStr">
        <is>
          <t>2.3.0</t>
        </is>
      </c>
      <c r="AA1" s="1" t="inlineStr">
        <is>
          <t>2.4.0</t>
        </is>
      </c>
      <c r="AB1" s="1" t="inlineStr">
        <is>
          <t>2.5.0</t>
        </is>
      </c>
      <c r="AC1" s="1" t="inlineStr">
        <is>
          <t>error_type_0.25.0</t>
        </is>
      </c>
      <c r="AD1" s="1" t="inlineStr">
        <is>
          <t>error_message_0.25.0</t>
        </is>
      </c>
      <c r="AE1" s="1" t="inlineStr">
        <is>
          <t>error_description_0.25.0</t>
        </is>
      </c>
      <c r="AF1" s="1" t="inlineStr">
        <is>
          <t>error_type_0.25.1</t>
        </is>
      </c>
      <c r="AG1" s="1" t="inlineStr">
        <is>
          <t>error_message_0.25.1</t>
        </is>
      </c>
      <c r="AH1" s="1" t="inlineStr">
        <is>
          <t>error_description_0.25.1</t>
        </is>
      </c>
      <c r="AI1" s="1" t="inlineStr">
        <is>
          <t>error_type_0.25.2</t>
        </is>
      </c>
      <c r="AJ1" s="1" t="inlineStr">
        <is>
          <t>error_message_0.25.2</t>
        </is>
      </c>
      <c r="AK1" s="1" t="inlineStr">
        <is>
          <t>error_description_0.25.2</t>
        </is>
      </c>
      <c r="AL1" s="1" t="inlineStr">
        <is>
          <t>error_type_0.25.3</t>
        </is>
      </c>
      <c r="AM1" s="1" t="inlineStr">
        <is>
          <t>error_message_0.25.3</t>
        </is>
      </c>
      <c r="AN1" s="1" t="inlineStr">
        <is>
          <t>error_description_0.25.3</t>
        </is>
      </c>
      <c r="AO1" s="1" t="inlineStr">
        <is>
          <t>error_type_0.45.0</t>
        </is>
      </c>
      <c r="AP1" s="1" t="inlineStr">
        <is>
          <t>error_message_0.45.0</t>
        </is>
      </c>
      <c r="AQ1" s="1" t="inlineStr">
        <is>
          <t>error_description_0.45.0</t>
        </is>
      </c>
      <c r="AR1" s="1" t="inlineStr">
        <is>
          <t>error_type_0.45.1</t>
        </is>
      </c>
      <c r="AS1" s="1" t="inlineStr">
        <is>
          <t>error_message_0.45.1</t>
        </is>
      </c>
      <c r="AT1" s="1" t="inlineStr">
        <is>
          <t>error_description_0.45.1</t>
        </is>
      </c>
      <c r="AU1" s="1" t="inlineStr">
        <is>
          <t>error_type_0.45.2</t>
        </is>
      </c>
      <c r="AV1" s="1" t="inlineStr">
        <is>
          <t>error_message_0.45.2</t>
        </is>
      </c>
      <c r="AW1" s="1" t="inlineStr">
        <is>
          <t>error_description_0.45.2</t>
        </is>
      </c>
      <c r="AX1" s="1" t="inlineStr">
        <is>
          <t>error_type_0.45.3</t>
        </is>
      </c>
      <c r="AY1" s="1" t="inlineStr">
        <is>
          <t>error_message_0.45.3</t>
        </is>
      </c>
      <c r="AZ1" s="1" t="inlineStr">
        <is>
          <t>error_description_0.45.3</t>
        </is>
      </c>
      <c r="BA1" s="1" t="inlineStr">
        <is>
          <t>error_type_0.46.0</t>
        </is>
      </c>
      <c r="BB1" s="1" t="inlineStr">
        <is>
          <t>error_message_0.46.0</t>
        </is>
      </c>
      <c r="BC1" s="1" t="inlineStr">
        <is>
          <t>error_description_0.46.0</t>
        </is>
      </c>
      <c r="BD1" s="1" t="inlineStr">
        <is>
          <t>error_type_0.46.1</t>
        </is>
      </c>
      <c r="BE1" s="1" t="inlineStr">
        <is>
          <t>error_message_0.46.1</t>
        </is>
      </c>
      <c r="BF1" s="1" t="inlineStr">
        <is>
          <t>error_description_0.46.1</t>
        </is>
      </c>
      <c r="BG1" s="1" t="inlineStr">
        <is>
          <t>error_type_0.46.2</t>
        </is>
      </c>
      <c r="BH1" s="1" t="inlineStr">
        <is>
          <t>error_message_0.46.2</t>
        </is>
      </c>
      <c r="BI1" s="1" t="inlineStr">
        <is>
          <t>error_description_0.46.2</t>
        </is>
      </c>
      <c r="BJ1" s="1" t="inlineStr">
        <is>
          <t>error_type_0.46.3</t>
        </is>
      </c>
      <c r="BK1" s="1" t="inlineStr">
        <is>
          <t>error_message_0.46.3</t>
        </is>
      </c>
      <c r="BL1" s="1" t="inlineStr">
        <is>
          <t>error_description_0.46.3</t>
        </is>
      </c>
      <c r="BM1" s="1" t="inlineStr">
        <is>
          <t>error_type_1.0.0</t>
        </is>
      </c>
      <c r="BN1" s="1" t="inlineStr">
        <is>
          <t>error_message_1.0.0</t>
        </is>
      </c>
      <c r="BO1" s="1" t="inlineStr">
        <is>
          <t>error_description_1.0.0</t>
        </is>
      </c>
      <c r="BP1" s="1" t="inlineStr">
        <is>
          <t>error_type_1.0.1</t>
        </is>
      </c>
      <c r="BQ1" s="1" t="inlineStr">
        <is>
          <t>error_message_1.0.1</t>
        </is>
      </c>
      <c r="BR1" s="1" t="inlineStr">
        <is>
          <t>error_description_1.0.1</t>
        </is>
      </c>
      <c r="BS1" s="1" t="inlineStr">
        <is>
          <t>error_type_1.0.2</t>
        </is>
      </c>
      <c r="BT1" s="1" t="inlineStr">
        <is>
          <t>error_message_1.0.2</t>
        </is>
      </c>
      <c r="BU1" s="1" t="inlineStr">
        <is>
          <t>error_description_1.0.2</t>
        </is>
      </c>
      <c r="BV1" s="1" t="inlineStr">
        <is>
          <t>error_type_1.1.0</t>
        </is>
      </c>
      <c r="BW1" s="1" t="inlineStr">
        <is>
          <t>error_message_1.1.0</t>
        </is>
      </c>
      <c r="BX1" s="1" t="inlineStr">
        <is>
          <t>error_description_1.1.0</t>
        </is>
      </c>
      <c r="BY1" s="1" t="inlineStr">
        <is>
          <t>error_type_1.1.1</t>
        </is>
      </c>
      <c r="BZ1" s="1" t="inlineStr">
        <is>
          <t>error_message_1.1.1</t>
        </is>
      </c>
      <c r="CA1" s="1" t="inlineStr">
        <is>
          <t>error_description_1.1.1</t>
        </is>
      </c>
      <c r="CB1" s="1" t="inlineStr">
        <is>
          <t>error_type_1.1.2</t>
        </is>
      </c>
      <c r="CC1" s="1" t="inlineStr">
        <is>
          <t>error_message_1.1.2</t>
        </is>
      </c>
      <c r="CD1" s="1" t="inlineStr">
        <is>
          <t>error_description_1.1.2</t>
        </is>
      </c>
      <c r="CE1" s="1" t="inlineStr">
        <is>
          <t>error_type_1.2.0</t>
        </is>
      </c>
      <c r="CF1" s="1" t="inlineStr">
        <is>
          <t>error_message_1.2.0</t>
        </is>
      </c>
      <c r="CG1" s="1" t="inlineStr">
        <is>
          <t>error_description_1.2.0</t>
        </is>
      </c>
      <c r="CH1" s="1" t="inlineStr">
        <is>
          <t>error_type_1.2.1</t>
        </is>
      </c>
      <c r="CI1" s="1" t="inlineStr">
        <is>
          <t>error_message_1.2.1</t>
        </is>
      </c>
      <c r="CJ1" s="1" t="inlineStr">
        <is>
          <t>error_description_1.2.1</t>
        </is>
      </c>
      <c r="CK1" s="1" t="inlineStr">
        <is>
          <t>error_type_1.2.2</t>
        </is>
      </c>
      <c r="CL1" s="1" t="inlineStr">
        <is>
          <t>error_message_1.2.2</t>
        </is>
      </c>
      <c r="CM1" s="1" t="inlineStr">
        <is>
          <t>error_description_1.2.2</t>
        </is>
      </c>
      <c r="CN1" s="1" t="inlineStr">
        <is>
          <t>error_type_1.2.4</t>
        </is>
      </c>
      <c r="CO1" s="1" t="inlineStr">
        <is>
          <t>error_message_1.2.4</t>
        </is>
      </c>
      <c r="CP1" s="1" t="inlineStr">
        <is>
          <t>error_description_1.2.4</t>
        </is>
      </c>
      <c r="CQ1" s="1" t="inlineStr">
        <is>
          <t>error_type_2.0.0</t>
        </is>
      </c>
      <c r="CR1" s="1" t="inlineStr">
        <is>
          <t>error_message_2.0.0</t>
        </is>
      </c>
      <c r="CS1" s="1" t="inlineStr">
        <is>
          <t>error_description_2.0.0</t>
        </is>
      </c>
      <c r="CT1" s="1" t="inlineStr">
        <is>
          <t>error_type_2.2.0</t>
        </is>
      </c>
      <c r="CU1" s="1" t="inlineStr">
        <is>
          <t>error_message_2.2.0</t>
        </is>
      </c>
      <c r="CV1" s="1" t="inlineStr">
        <is>
          <t>error_description_2.2.0</t>
        </is>
      </c>
      <c r="CW1" s="1" t="inlineStr">
        <is>
          <t>error_type_2.3.0</t>
        </is>
      </c>
      <c r="CX1" s="1" t="inlineStr">
        <is>
          <t>error_message_2.3.0</t>
        </is>
      </c>
      <c r="CY1" s="1" t="inlineStr">
        <is>
          <t>error_description_2.3.0</t>
        </is>
      </c>
      <c r="CZ1" s="1" t="inlineStr">
        <is>
          <t>error_type_2.4.0</t>
        </is>
      </c>
      <c r="DA1" s="1" t="inlineStr">
        <is>
          <t>error_message_2.4.0</t>
        </is>
      </c>
      <c r="DB1" s="1" t="inlineStr">
        <is>
          <t>error_description_2.4.0</t>
        </is>
      </c>
      <c r="DC1" s="1" t="inlineStr">
        <is>
          <t>error_type_2.5.0</t>
        </is>
      </c>
      <c r="DD1" s="1" t="inlineStr">
        <is>
          <t>error_message_2.5.0</t>
        </is>
      </c>
      <c r="DE1" s="1" t="inlineStr">
        <is>
          <t>error_description_2.5.0</t>
        </is>
      </c>
    </row>
    <row r="2">
      <c r="A2" s="2" t="inlineStr">
        <is>
          <t>issue_009</t>
        </is>
      </c>
      <c r="B2" s="3" t="inlineStr">
        <is>
          <t>NOT_TESTED</t>
        </is>
      </c>
      <c r="C2" s="3" t="inlineStr">
        <is>
          <t>NOT_TESTED</t>
        </is>
      </c>
      <c r="D2" s="3" t="inlineStr">
        <is>
          <t>NOT_TESTED</t>
        </is>
      </c>
      <c r="E2" s="3" t="inlineStr">
        <is>
          <t>NOT_TESTED</t>
        </is>
      </c>
      <c r="F2" s="4" t="inlineStr">
        <is>
          <t>Passed on test</t>
        </is>
      </c>
      <c r="G2" s="4" t="inlineStr">
        <is>
          <t>Passed on test</t>
        </is>
      </c>
      <c r="H2" s="4" t="inlineStr">
        <is>
          <t>Passed on test</t>
        </is>
      </c>
      <c r="I2" s="4" t="inlineStr">
        <is>
          <t>Passed on test</t>
        </is>
      </c>
      <c r="J2" s="4" t="inlineStr">
        <is>
          <t>Passed on test</t>
        </is>
      </c>
      <c r="K2" s="4" t="inlineStr">
        <is>
          <t>Passed on test</t>
        </is>
      </c>
      <c r="L2" s="4" t="inlineStr">
        <is>
          <t>Passed on test</t>
        </is>
      </c>
      <c r="M2" s="4" t="inlineStr">
        <is>
          <t>Passed on test</t>
        </is>
      </c>
      <c r="N2" s="3" t="inlineStr">
        <is>
          <t>NOT_TESTED</t>
        </is>
      </c>
      <c r="O2" s="3" t="inlineStr">
        <is>
          <t>NOT_TESTED</t>
        </is>
      </c>
      <c r="P2" s="3" t="inlineStr">
        <is>
          <t>NOT_TESTED</t>
        </is>
      </c>
      <c r="Q2" s="3" t="inlineStr">
        <is>
          <t>NOT_TESTED</t>
        </is>
      </c>
      <c r="R2" s="3" t="inlineStr">
        <is>
          <t>NOT_TESTED</t>
        </is>
      </c>
      <c r="S2" s="3" t="inlineStr">
        <is>
          <t>NOT_TESTED</t>
        </is>
      </c>
      <c r="T2" s="3" t="inlineStr">
        <is>
          <t>NOT_TESTED</t>
        </is>
      </c>
      <c r="U2" s="3" t="inlineStr">
        <is>
          <t>NOT_TESTED</t>
        </is>
      </c>
      <c r="V2" s="3" t="inlineStr">
        <is>
          <t>NOT_TESTED</t>
        </is>
      </c>
      <c r="W2" s="3" t="inlineStr">
        <is>
          <t>NOT_TESTED</t>
        </is>
      </c>
      <c r="X2" s="3" t="inlineStr">
        <is>
          <t>NOT_TESTED</t>
        </is>
      </c>
      <c r="Y2" s="3" t="inlineStr">
        <is>
          <t>NOT_TESTED</t>
        </is>
      </c>
      <c r="Z2" s="3" t="inlineStr">
        <is>
          <t>NOT_TESTED</t>
        </is>
      </c>
      <c r="AA2" s="3" t="inlineStr">
        <is>
          <t>NOT_TESTED</t>
        </is>
      </c>
      <c r="AB2" s="3" t="inlineStr">
        <is>
          <t>NOT_TESTED</t>
        </is>
      </c>
      <c r="AC2" s="2" t="n"/>
      <c r="AD2" s="2" t="n"/>
      <c r="AE2" s="2" t="n"/>
      <c r="AF2" s="2" t="n"/>
      <c r="AG2" s="2" t="n"/>
      <c r="AH2" s="2" t="n"/>
      <c r="AI2" s="2" t="n"/>
      <c r="AJ2" s="2" t="n"/>
      <c r="AK2" s="2" t="n"/>
      <c r="AL2" s="2" t="n"/>
      <c r="AM2" s="2" t="n"/>
      <c r="AN2" s="2" t="n"/>
      <c r="AO2" s="2" t="n"/>
      <c r="AP2" s="2" t="n"/>
      <c r="AQ2" s="2" t="n"/>
      <c r="AR2" s="2" t="n"/>
      <c r="AS2" s="2" t="n"/>
      <c r="AT2" s="2" t="n"/>
      <c r="AU2" s="2" t="n"/>
      <c r="AV2" s="2" t="n"/>
      <c r="AW2" s="2" t="n"/>
      <c r="AX2" s="2" t="n"/>
      <c r="AY2" s="2" t="n"/>
      <c r="AZ2" s="2" t="n"/>
      <c r="BA2" s="2" t="n"/>
      <c r="BB2" s="2" t="n"/>
      <c r="BC2" s="2" t="n"/>
      <c r="BD2" s="2" t="n"/>
      <c r="BE2" s="2" t="n"/>
      <c r="BF2" s="2" t="n"/>
      <c r="BG2" s="2" t="n"/>
      <c r="BH2" s="2" t="n"/>
      <c r="BI2" s="2" t="n"/>
      <c r="BJ2" s="2" t="n"/>
      <c r="BK2" s="2" t="n"/>
      <c r="BL2" s="2" t="n"/>
      <c r="BM2" s="2" t="n"/>
      <c r="BN2" s="2" t="n"/>
      <c r="BO2" s="2" t="n"/>
      <c r="BP2" s="2" t="n"/>
      <c r="BQ2" s="2" t="n"/>
      <c r="BR2" s="2" t="n"/>
      <c r="BS2" s="2" t="n"/>
      <c r="BT2" s="2" t="n"/>
      <c r="BU2" s="2" t="n"/>
      <c r="BV2" s="2" t="n"/>
      <c r="BW2" s="2" t="n"/>
      <c r="BX2" s="2" t="n"/>
      <c r="BY2" s="2" t="n"/>
      <c r="BZ2" s="2" t="n"/>
      <c r="CA2" s="2" t="n"/>
      <c r="CB2" s="2" t="n"/>
      <c r="CC2" s="2" t="n"/>
      <c r="CD2" s="2" t="n"/>
      <c r="CE2" s="2" t="n"/>
      <c r="CF2" s="2" t="n"/>
      <c r="CG2" s="2" t="n"/>
      <c r="CH2" s="2" t="n"/>
      <c r="CI2" s="2" t="n"/>
      <c r="CJ2" s="2" t="n"/>
      <c r="CK2" s="2" t="n"/>
      <c r="CL2" s="2" t="n"/>
      <c r="CM2" s="2" t="n"/>
      <c r="CN2" s="2" t="n"/>
      <c r="CO2" s="2" t="n"/>
      <c r="CP2" s="2" t="n"/>
      <c r="CQ2" s="2" t="n"/>
      <c r="CR2" s="2" t="n"/>
      <c r="CS2" s="2" t="n"/>
      <c r="CT2" s="2" t="n"/>
      <c r="CU2" s="2" t="n"/>
      <c r="CV2" s="2" t="n"/>
      <c r="CW2" s="2" t="n"/>
      <c r="CX2" s="2" t="n"/>
      <c r="CY2" s="2" t="n"/>
      <c r="CZ2" s="2" t="n"/>
      <c r="DA2" s="2" t="n"/>
      <c r="DB2" s="2" t="n"/>
      <c r="DC2" s="2" t="n"/>
      <c r="DD2" s="2" t="n"/>
      <c r="DE2" s="2" t="n"/>
    </row>
    <row r="3">
      <c r="A3" s="2" t="inlineStr">
        <is>
          <t>issue_021_se</t>
        </is>
      </c>
      <c r="B3" s="4" t="inlineStr">
        <is>
          <t>Passed on test</t>
        </is>
      </c>
      <c r="C3" s="4" t="inlineStr">
        <is>
          <t>Passed on test</t>
        </is>
      </c>
      <c r="D3" s="4" t="inlineStr">
        <is>
          <t>Passed on test</t>
        </is>
      </c>
      <c r="E3" s="4" t="inlineStr">
        <is>
          <t>Passed on test</t>
        </is>
      </c>
      <c r="F3" s="4" t="inlineStr">
        <is>
          <t>Passed on test</t>
        </is>
      </c>
      <c r="G3" s="4" t="inlineStr">
        <is>
          <t>Passed on test</t>
        </is>
      </c>
      <c r="H3" s="4" t="inlineStr">
        <is>
          <t>Passed on test</t>
        </is>
      </c>
      <c r="I3" s="4" t="inlineStr">
        <is>
          <t>Passed on test</t>
        </is>
      </c>
      <c r="J3" s="4" t="inlineStr">
        <is>
          <t>Passed on test</t>
        </is>
      </c>
      <c r="K3" s="4" t="inlineStr">
        <is>
          <t>Passed on test</t>
        </is>
      </c>
      <c r="L3" s="4" t="inlineStr">
        <is>
          <t>Passed on test</t>
        </is>
      </c>
      <c r="M3" s="4" t="inlineStr">
        <is>
          <t>Passed on test</t>
        </is>
      </c>
      <c r="N3" s="3" t="inlineStr">
        <is>
          <t>NOT_TESTED</t>
        </is>
      </c>
      <c r="O3" s="3" t="inlineStr">
        <is>
          <t>NOT_TESTED</t>
        </is>
      </c>
      <c r="P3" s="3" t="inlineStr">
        <is>
          <t>NOT_TESTED</t>
        </is>
      </c>
      <c r="Q3" s="3" t="inlineStr">
        <is>
          <t>NOT_TESTED</t>
        </is>
      </c>
      <c r="R3" s="3" t="inlineStr">
        <is>
          <t>NOT_TESTED</t>
        </is>
      </c>
      <c r="S3" s="3" t="inlineStr">
        <is>
          <t>NOT_TESTED</t>
        </is>
      </c>
      <c r="T3" s="3" t="inlineStr">
        <is>
          <t>NOT_TESTED</t>
        </is>
      </c>
      <c r="U3" s="3" t="inlineStr">
        <is>
          <t>NOT_TESTED</t>
        </is>
      </c>
      <c r="V3" s="3" t="inlineStr">
        <is>
          <t>NOT_TESTED</t>
        </is>
      </c>
      <c r="W3" s="3" t="inlineStr">
        <is>
          <t>NOT_TESTED</t>
        </is>
      </c>
      <c r="X3" s="3" t="inlineStr">
        <is>
          <t>NOT_TESTED</t>
        </is>
      </c>
      <c r="Y3" s="3" t="inlineStr">
        <is>
          <t>NOT_TESTED</t>
        </is>
      </c>
      <c r="Z3" s="3" t="inlineStr">
        <is>
          <t>NOT_TESTED</t>
        </is>
      </c>
      <c r="AA3" s="3" t="inlineStr">
        <is>
          <t>NOT_TESTED</t>
        </is>
      </c>
      <c r="AB3" s="3" t="inlineStr">
        <is>
          <t>NOT_TESTED</t>
        </is>
      </c>
      <c r="AC3" s="2" t="n"/>
      <c r="AD3" s="2" t="n"/>
      <c r="AE3" s="2" t="n"/>
      <c r="AF3" s="2" t="n"/>
      <c r="AG3" s="2" t="n"/>
      <c r="AH3" s="2" t="n"/>
      <c r="AI3" s="2" t="n"/>
      <c r="AJ3" s="2" t="n"/>
      <c r="AK3" s="2" t="n"/>
      <c r="AL3" s="2" t="n"/>
      <c r="AM3" s="2" t="n"/>
      <c r="AN3" s="2" t="n"/>
      <c r="AO3" s="2" t="n"/>
      <c r="AP3" s="2" t="n"/>
      <c r="AQ3" s="2" t="n"/>
      <c r="AR3" s="2" t="n"/>
      <c r="AS3" s="2" t="n"/>
      <c r="AT3" s="2" t="n"/>
      <c r="AU3" s="2" t="n"/>
      <c r="AV3" s="2" t="n"/>
      <c r="AW3" s="2" t="n"/>
      <c r="AX3" s="2" t="n"/>
      <c r="AY3" s="2" t="n"/>
      <c r="AZ3" s="2" t="n"/>
      <c r="BA3" s="2" t="n"/>
      <c r="BB3" s="2" t="n"/>
      <c r="BC3" s="2" t="n"/>
      <c r="BD3" s="2" t="n"/>
      <c r="BE3" s="2" t="n"/>
      <c r="BF3" s="2" t="n"/>
      <c r="BG3" s="2" t="n"/>
      <c r="BH3" s="2" t="n"/>
      <c r="BI3" s="2" t="n"/>
      <c r="BJ3" s="2" t="n"/>
      <c r="BK3" s="2" t="n"/>
      <c r="BL3" s="2" t="n"/>
      <c r="BM3" s="2" t="n"/>
      <c r="BN3" s="2" t="n"/>
      <c r="BO3" s="2" t="n"/>
      <c r="BP3" s="2" t="n"/>
      <c r="BQ3" s="2" t="n"/>
      <c r="BR3" s="2" t="n"/>
      <c r="BS3" s="2" t="n"/>
      <c r="BT3" s="2" t="n"/>
      <c r="BU3" s="2" t="n"/>
      <c r="BV3" s="2" t="n"/>
      <c r="BW3" s="2" t="n"/>
      <c r="BX3" s="2" t="n"/>
      <c r="BY3" s="2" t="n"/>
      <c r="BZ3" s="2" t="n"/>
      <c r="CA3" s="2" t="n"/>
      <c r="CB3" s="2" t="n"/>
      <c r="CC3" s="2" t="n"/>
      <c r="CD3" s="2" t="n"/>
      <c r="CE3" s="2" t="n"/>
      <c r="CF3" s="2" t="n"/>
      <c r="CG3" s="2" t="n"/>
      <c r="CH3" s="2" t="n"/>
      <c r="CI3" s="2" t="n"/>
      <c r="CJ3" s="2" t="n"/>
      <c r="CK3" s="2" t="n"/>
      <c r="CL3" s="2" t="n"/>
      <c r="CM3" s="2" t="n"/>
      <c r="CN3" s="2" t="n"/>
      <c r="CO3" s="2" t="n"/>
      <c r="CP3" s="2" t="n"/>
      <c r="CQ3" s="2" t="n"/>
      <c r="CR3" s="2" t="n"/>
      <c r="CS3" s="2" t="n"/>
      <c r="CT3" s="2" t="n"/>
      <c r="CU3" s="2" t="n"/>
      <c r="CV3" s="2" t="n"/>
      <c r="CW3" s="2" t="n"/>
      <c r="CX3" s="2" t="n"/>
      <c r="CY3" s="2" t="n"/>
      <c r="CZ3" s="2" t="n"/>
      <c r="DA3" s="2" t="n"/>
      <c r="DB3" s="2" t="n"/>
      <c r="DC3" s="2" t="n"/>
      <c r="DD3" s="2" t="n"/>
      <c r="DE3" s="2" t="n"/>
    </row>
    <row r="4">
      <c r="A4" s="2" t="inlineStr">
        <is>
          <t>issue_032_se</t>
        </is>
      </c>
      <c r="B4" s="4" t="inlineStr">
        <is>
          <t>Passed on test</t>
        </is>
      </c>
      <c r="C4" s="4" t="inlineStr">
        <is>
          <t>Passed on test</t>
        </is>
      </c>
      <c r="D4" s="4" t="inlineStr">
        <is>
          <t>Passed on test</t>
        </is>
      </c>
      <c r="E4" s="4" t="inlineStr">
        <is>
          <t>Passed on test</t>
        </is>
      </c>
      <c r="F4" s="3" t="inlineStr">
        <is>
          <t>NOT_TESTED</t>
        </is>
      </c>
      <c r="G4" s="3" t="inlineStr">
        <is>
          <t>NOT_TESTED</t>
        </is>
      </c>
      <c r="H4" s="3" t="inlineStr">
        <is>
          <t>NOT_TESTED</t>
        </is>
      </c>
      <c r="I4" s="3" t="inlineStr">
        <is>
          <t>NOT_TESTED</t>
        </is>
      </c>
      <c r="J4" s="3" t="inlineStr">
        <is>
          <t>NOT_TESTED</t>
        </is>
      </c>
      <c r="K4" s="3" t="inlineStr">
        <is>
          <t>NOT_TESTED</t>
        </is>
      </c>
      <c r="L4" s="3" t="inlineStr">
        <is>
          <t>NOT_TESTED</t>
        </is>
      </c>
      <c r="M4" s="3" t="inlineStr">
        <is>
          <t>NOT_TESTED</t>
        </is>
      </c>
      <c r="N4" s="3" t="inlineStr">
        <is>
          <t>NOT_TESTED</t>
        </is>
      </c>
      <c r="O4" s="3" t="inlineStr">
        <is>
          <t>NOT_TESTED</t>
        </is>
      </c>
      <c r="P4" s="3" t="inlineStr">
        <is>
          <t>NOT_TESTED</t>
        </is>
      </c>
      <c r="Q4" s="3" t="inlineStr">
        <is>
          <t>NOT_TESTED</t>
        </is>
      </c>
      <c r="R4" s="3" t="inlineStr">
        <is>
          <t>NOT_TESTED</t>
        </is>
      </c>
      <c r="S4" s="3" t="inlineStr">
        <is>
          <t>NOT_TESTED</t>
        </is>
      </c>
      <c r="T4" s="3" t="inlineStr">
        <is>
          <t>NOT_TESTED</t>
        </is>
      </c>
      <c r="U4" s="3" t="inlineStr">
        <is>
          <t>NOT_TESTED</t>
        </is>
      </c>
      <c r="V4" s="3" t="inlineStr">
        <is>
          <t>NOT_TESTED</t>
        </is>
      </c>
      <c r="W4" s="3" t="inlineStr">
        <is>
          <t>NOT_TESTED</t>
        </is>
      </c>
      <c r="X4" s="3" t="inlineStr">
        <is>
          <t>NOT_TESTED</t>
        </is>
      </c>
      <c r="Y4" s="3" t="inlineStr">
        <is>
          <t>NOT_TESTED</t>
        </is>
      </c>
      <c r="Z4" s="3" t="inlineStr">
        <is>
          <t>NOT_TESTED</t>
        </is>
      </c>
      <c r="AA4" s="3" t="inlineStr">
        <is>
          <t>NOT_TESTED</t>
        </is>
      </c>
      <c r="AB4" s="3" t="inlineStr">
        <is>
          <t>NOT_TESTED</t>
        </is>
      </c>
      <c r="AC4" s="2" t="n"/>
      <c r="AD4" s="2" t="n"/>
      <c r="AE4" s="2" t="n"/>
      <c r="AF4" s="2" t="n"/>
      <c r="AG4" s="2" t="n"/>
      <c r="AH4" s="2" t="n"/>
      <c r="AI4" s="2" t="n"/>
      <c r="AJ4" s="2" t="n"/>
      <c r="AK4" s="2" t="n"/>
      <c r="AL4" s="2" t="n"/>
      <c r="AM4" s="2" t="n"/>
      <c r="AN4" s="2" t="n"/>
      <c r="AO4" s="2" t="n"/>
      <c r="AP4" s="2" t="n"/>
      <c r="AQ4" s="2" t="n"/>
      <c r="AR4" s="2" t="n"/>
      <c r="AS4" s="2" t="n"/>
      <c r="AT4" s="2" t="n"/>
      <c r="AU4" s="2" t="n"/>
      <c r="AV4" s="2" t="n"/>
      <c r="AW4" s="2" t="n"/>
      <c r="AX4" s="2" t="n"/>
      <c r="AY4" s="2" t="n"/>
      <c r="AZ4" s="2" t="n"/>
      <c r="BA4" s="2" t="n"/>
      <c r="BB4" s="2" t="n"/>
      <c r="BC4" s="2" t="n"/>
      <c r="BD4" s="2" t="n"/>
      <c r="BE4" s="2" t="n"/>
      <c r="BF4" s="2" t="n"/>
      <c r="BG4" s="2" t="n"/>
      <c r="BH4" s="2" t="n"/>
      <c r="BI4" s="2" t="n"/>
      <c r="BJ4" s="2" t="n"/>
      <c r="BK4" s="2" t="n"/>
      <c r="BL4" s="2" t="n"/>
      <c r="BM4" s="2" t="n"/>
      <c r="BN4" s="2" t="n"/>
      <c r="BO4" s="2" t="n"/>
      <c r="BP4" s="2" t="n"/>
      <c r="BQ4" s="2" t="n"/>
      <c r="BR4" s="2" t="n"/>
      <c r="BS4" s="2" t="n"/>
      <c r="BT4" s="2" t="n"/>
      <c r="BU4" s="2" t="n"/>
      <c r="BV4" s="2" t="n"/>
      <c r="BW4" s="2" t="n"/>
      <c r="BX4" s="2" t="n"/>
      <c r="BY4" s="2" t="n"/>
      <c r="BZ4" s="2" t="n"/>
      <c r="CA4" s="2" t="n"/>
      <c r="CB4" s="2" t="n"/>
      <c r="CC4" s="2" t="n"/>
      <c r="CD4" s="2" t="n"/>
      <c r="CE4" s="2" t="n"/>
      <c r="CF4" s="2" t="n"/>
      <c r="CG4" s="2" t="n"/>
      <c r="CH4" s="2" t="n"/>
      <c r="CI4" s="2" t="n"/>
      <c r="CJ4" s="2" t="n"/>
      <c r="CK4" s="2" t="n"/>
      <c r="CL4" s="2" t="n"/>
      <c r="CM4" s="2" t="n"/>
      <c r="CN4" s="2" t="n"/>
      <c r="CO4" s="2" t="n"/>
      <c r="CP4" s="2" t="n"/>
      <c r="CQ4" s="2" t="n"/>
      <c r="CR4" s="2" t="n"/>
      <c r="CS4" s="2" t="n"/>
      <c r="CT4" s="2" t="n"/>
      <c r="CU4" s="2" t="n"/>
      <c r="CV4" s="2" t="n"/>
      <c r="CW4" s="2" t="n"/>
      <c r="CX4" s="2" t="n"/>
      <c r="CY4" s="2" t="n"/>
      <c r="CZ4" s="2" t="n"/>
      <c r="DA4" s="2" t="n"/>
      <c r="DB4" s="2" t="n"/>
      <c r="DC4" s="2" t="n"/>
      <c r="DD4" s="2" t="n"/>
      <c r="DE4" s="2" t="n"/>
    </row>
    <row r="5">
      <c r="A5" s="2" t="inlineStr">
        <is>
          <t>issue_034</t>
        </is>
      </c>
      <c r="B5" s="3" t="inlineStr">
        <is>
          <t>NOT_TESTED</t>
        </is>
      </c>
      <c r="C5" s="3" t="inlineStr">
        <is>
          <t>NOT_TESTED</t>
        </is>
      </c>
      <c r="D5" s="3" t="inlineStr">
        <is>
          <t>NOT_TESTED</t>
        </is>
      </c>
      <c r="E5" s="3" t="inlineStr">
        <is>
          <t>NOT_TESTED</t>
        </is>
      </c>
      <c r="F5" s="3" t="inlineStr">
        <is>
          <t>NOT_TESTED</t>
        </is>
      </c>
      <c r="G5" s="3" t="inlineStr">
        <is>
          <t>NOT_TESTED</t>
        </is>
      </c>
      <c r="H5" s="3" t="inlineStr">
        <is>
          <t>NOT_TESTED</t>
        </is>
      </c>
      <c r="I5" s="3" t="inlineStr">
        <is>
          <t>NOT_TESTED</t>
        </is>
      </c>
      <c r="J5" s="3" t="inlineStr">
        <is>
          <t>NOT_TESTED</t>
        </is>
      </c>
      <c r="K5" s="3" t="inlineStr">
        <is>
          <t>NOT_TESTED</t>
        </is>
      </c>
      <c r="L5" s="3" t="inlineStr">
        <is>
          <t>NOT_TESTED</t>
        </is>
      </c>
      <c r="M5" s="3" t="inlineStr">
        <is>
          <t>NOT_TESTED</t>
        </is>
      </c>
      <c r="N5" s="4" t="inlineStr">
        <is>
          <t>Passed on test</t>
        </is>
      </c>
      <c r="O5" s="4" t="inlineStr">
        <is>
          <t>Passed on test</t>
        </is>
      </c>
      <c r="P5" s="4" t="inlineStr">
        <is>
          <t>Passed on test</t>
        </is>
      </c>
      <c r="Q5" s="4" t="inlineStr">
        <is>
          <t>Passed on test</t>
        </is>
      </c>
      <c r="R5" s="4" t="inlineStr">
        <is>
          <t>Passed on test</t>
        </is>
      </c>
      <c r="S5" s="4" t="inlineStr">
        <is>
          <t>Passed on test</t>
        </is>
      </c>
      <c r="T5" s="4" t="inlineStr">
        <is>
          <t>Passed on test</t>
        </is>
      </c>
      <c r="U5" s="4" t="inlineStr">
        <is>
          <t>Passed on test</t>
        </is>
      </c>
      <c r="V5" s="4" t="inlineStr">
        <is>
          <t>Passed on test</t>
        </is>
      </c>
      <c r="W5" s="4" t="inlineStr">
        <is>
          <t>Passed on test</t>
        </is>
      </c>
      <c r="X5" s="4" t="inlineStr">
        <is>
          <t>Passed on test</t>
        </is>
      </c>
      <c r="Y5" s="4" t="inlineStr">
        <is>
          <t>Passed on test</t>
        </is>
      </c>
      <c r="Z5" s="4" t="inlineStr">
        <is>
          <t>Passed on test</t>
        </is>
      </c>
      <c r="AA5" s="4" t="inlineStr">
        <is>
          <t>Passed on test</t>
        </is>
      </c>
      <c r="AB5" s="4" t="inlineStr">
        <is>
          <t>Passed on test</t>
        </is>
      </c>
      <c r="AC5" s="2" t="n"/>
      <c r="AD5" s="2" t="n"/>
      <c r="AE5" s="2" t="n"/>
      <c r="AF5" s="2" t="n"/>
      <c r="AG5" s="2" t="n"/>
      <c r="AH5" s="2" t="n"/>
      <c r="AI5" s="2" t="n"/>
      <c r="AJ5" s="2" t="n"/>
      <c r="AK5" s="2" t="n"/>
      <c r="AL5" s="2" t="n"/>
      <c r="AM5" s="2" t="n"/>
      <c r="AN5" s="2" t="n"/>
      <c r="AO5" s="2" t="n"/>
      <c r="AP5" s="2" t="n"/>
      <c r="AQ5" s="2" t="n"/>
      <c r="AR5" s="2" t="n"/>
      <c r="AS5" s="2" t="n"/>
      <c r="AT5" s="2" t="n"/>
      <c r="AU5" s="2" t="n"/>
      <c r="AV5" s="2" t="n"/>
      <c r="AW5" s="2" t="n"/>
      <c r="AX5" s="2" t="n"/>
      <c r="AY5" s="2" t="n"/>
      <c r="AZ5" s="2" t="n"/>
      <c r="BA5" s="2" t="n"/>
      <c r="BB5" s="2" t="n"/>
      <c r="BC5" s="2" t="n"/>
      <c r="BD5" s="2" t="n"/>
      <c r="BE5" s="2" t="n"/>
      <c r="BF5" s="2" t="n"/>
      <c r="BG5" s="2" t="n"/>
      <c r="BH5" s="2" t="n"/>
      <c r="BI5" s="2" t="n"/>
      <c r="BJ5" s="2" t="n"/>
      <c r="BK5" s="2" t="n"/>
      <c r="BL5" s="2" t="n"/>
      <c r="BM5" s="2" t="n"/>
      <c r="BN5" s="2" t="n"/>
      <c r="BO5" s="2" t="n"/>
      <c r="BP5" s="2" t="n"/>
      <c r="BQ5" s="2" t="n"/>
      <c r="BR5" s="2" t="n"/>
      <c r="BS5" s="2" t="n"/>
      <c r="BT5" s="2" t="n"/>
      <c r="BU5" s="2" t="n"/>
      <c r="BV5" s="2" t="n"/>
      <c r="BW5" s="2" t="n"/>
      <c r="BX5" s="2" t="n"/>
      <c r="BY5" s="2" t="n"/>
      <c r="BZ5" s="2" t="n"/>
      <c r="CA5" s="2" t="n"/>
      <c r="CB5" s="2" t="n"/>
      <c r="CC5" s="2" t="n"/>
      <c r="CD5" s="2" t="n"/>
      <c r="CE5" s="2" t="n"/>
      <c r="CF5" s="2" t="n"/>
      <c r="CG5" s="2" t="n"/>
      <c r="CH5" s="2" t="n"/>
      <c r="CI5" s="2" t="n"/>
      <c r="CJ5" s="2" t="n"/>
      <c r="CK5" s="2" t="n"/>
      <c r="CL5" s="2" t="n"/>
      <c r="CM5" s="2" t="n"/>
      <c r="CN5" s="2" t="n"/>
      <c r="CO5" s="2" t="n"/>
      <c r="CP5" s="2" t="n"/>
      <c r="CQ5" s="2" t="n"/>
      <c r="CR5" s="2" t="n"/>
      <c r="CS5" s="2" t="n"/>
      <c r="CT5" s="2" t="n"/>
      <c r="CU5" s="2" t="n"/>
      <c r="CV5" s="2" t="n"/>
      <c r="CW5" s="2" t="n"/>
      <c r="CX5" s="2" t="n"/>
      <c r="CY5" s="2" t="n"/>
      <c r="CZ5" s="2" t="n"/>
      <c r="DA5" s="2" t="n"/>
      <c r="DB5" s="2" t="n"/>
      <c r="DC5" s="2" t="n"/>
      <c r="DD5" s="2" t="n"/>
      <c r="DE5" s="2" t="n"/>
    </row>
    <row r="6">
      <c r="A6" s="2" t="inlineStr">
        <is>
          <t>issue_036</t>
        </is>
      </c>
      <c r="B6" s="3" t="inlineStr">
        <is>
          <t>NOT_TESTED</t>
        </is>
      </c>
      <c r="C6" s="3" t="inlineStr">
        <is>
          <t>NOT_TESTED</t>
        </is>
      </c>
      <c r="D6" s="3" t="inlineStr">
        <is>
          <t>NOT_TESTED</t>
        </is>
      </c>
      <c r="E6" s="3" t="inlineStr">
        <is>
          <t>NOT_TESTED</t>
        </is>
      </c>
      <c r="F6" s="3" t="inlineStr">
        <is>
          <t>NOT_TESTED</t>
        </is>
      </c>
      <c r="G6" s="3" t="inlineStr">
        <is>
          <t>NOT_TESTED</t>
        </is>
      </c>
      <c r="H6" s="3" t="inlineStr">
        <is>
          <t>NOT_TESTED</t>
        </is>
      </c>
      <c r="I6" s="3" t="inlineStr">
        <is>
          <t>NOT_TESTED</t>
        </is>
      </c>
      <c r="J6" s="3" t="inlineStr">
        <is>
          <t>NOT_TESTED</t>
        </is>
      </c>
      <c r="K6" s="3" t="inlineStr">
        <is>
          <t>NOT_TESTED</t>
        </is>
      </c>
      <c r="L6" s="3" t="inlineStr">
        <is>
          <t>NOT_TESTED</t>
        </is>
      </c>
      <c r="M6" s="3" t="inlineStr">
        <is>
          <t>NOT_TESTED</t>
        </is>
      </c>
      <c r="N6" s="4" t="inlineStr">
        <is>
          <t>Passed on test</t>
        </is>
      </c>
      <c r="O6" s="4" t="inlineStr">
        <is>
          <t>Passed on test</t>
        </is>
      </c>
      <c r="P6" s="4" t="inlineStr">
        <is>
          <t>Passed on test</t>
        </is>
      </c>
      <c r="Q6" s="4" t="inlineStr">
        <is>
          <t>Passed on test</t>
        </is>
      </c>
      <c r="R6" s="4" t="inlineStr">
        <is>
          <t>Passed on test</t>
        </is>
      </c>
      <c r="S6" s="4" t="inlineStr">
        <is>
          <t>Passed on test</t>
        </is>
      </c>
      <c r="T6" s="4" t="inlineStr">
        <is>
          <t>Passed on test</t>
        </is>
      </c>
      <c r="U6" s="4" t="inlineStr">
        <is>
          <t>Passed on test</t>
        </is>
      </c>
      <c r="V6" s="4" t="inlineStr">
        <is>
          <t>Passed on test</t>
        </is>
      </c>
      <c r="W6" s="4" t="inlineStr">
        <is>
          <t>Passed on test</t>
        </is>
      </c>
      <c r="X6" s="4" t="inlineStr">
        <is>
          <t>Passed on test</t>
        </is>
      </c>
      <c r="Y6" s="4" t="inlineStr">
        <is>
          <t>Passed on test</t>
        </is>
      </c>
      <c r="Z6" s="4" t="inlineStr">
        <is>
          <t>Passed on test</t>
        </is>
      </c>
      <c r="AA6" s="4" t="inlineStr">
        <is>
          <t>Passed on test</t>
        </is>
      </c>
      <c r="AB6" s="4" t="inlineStr">
        <is>
          <t>Passed on test</t>
        </is>
      </c>
      <c r="AC6" s="2" t="n"/>
      <c r="AD6" s="2" t="n"/>
      <c r="AE6" s="2" t="n"/>
      <c r="AF6" s="2" t="n"/>
      <c r="AG6" s="2" t="n"/>
      <c r="AH6" s="2" t="n"/>
      <c r="AI6" s="2" t="n"/>
      <c r="AJ6" s="2" t="n"/>
      <c r="AK6" s="2" t="n"/>
      <c r="AL6" s="2" t="n"/>
      <c r="AM6" s="2" t="n"/>
      <c r="AN6" s="2" t="n"/>
      <c r="AO6" s="2" t="n"/>
      <c r="AP6" s="2" t="n"/>
      <c r="AQ6" s="2" t="n"/>
      <c r="AR6" s="2" t="n"/>
      <c r="AS6" s="2" t="n"/>
      <c r="AT6" s="2" t="n"/>
      <c r="AU6" s="2" t="n"/>
      <c r="AV6" s="2" t="n"/>
      <c r="AW6" s="2" t="n"/>
      <c r="AX6" s="2" t="n"/>
      <c r="AY6" s="2" t="n"/>
      <c r="AZ6" s="2" t="n"/>
      <c r="BA6" s="2" t="n"/>
      <c r="BB6" s="2" t="n"/>
      <c r="BC6" s="2" t="n"/>
      <c r="BD6" s="2" t="n"/>
      <c r="BE6" s="2" t="n"/>
      <c r="BF6" s="2" t="n"/>
      <c r="BG6" s="2" t="n"/>
      <c r="BH6" s="2" t="n"/>
      <c r="BI6" s="2" t="n"/>
      <c r="BJ6" s="2" t="n"/>
      <c r="BK6" s="2" t="n"/>
      <c r="BL6" s="2" t="n"/>
      <c r="BM6" s="2" t="n"/>
      <c r="BN6" s="2" t="n"/>
      <c r="BO6" s="2" t="n"/>
      <c r="BP6" s="2" t="n"/>
      <c r="BQ6" s="2" t="n"/>
      <c r="BR6" s="2" t="n"/>
      <c r="BS6" s="2" t="n"/>
      <c r="BT6" s="2" t="n"/>
      <c r="BU6" s="2" t="n"/>
      <c r="BV6" s="2" t="n"/>
      <c r="BW6" s="2" t="n"/>
      <c r="BX6" s="2" t="n"/>
      <c r="BY6" s="2" t="n"/>
      <c r="BZ6" s="2" t="n"/>
      <c r="CA6" s="2" t="n"/>
      <c r="CB6" s="2" t="n"/>
      <c r="CC6" s="2" t="n"/>
      <c r="CD6" s="2" t="n"/>
      <c r="CE6" s="2" t="n"/>
      <c r="CF6" s="2" t="n"/>
      <c r="CG6" s="2" t="n"/>
      <c r="CH6" s="2" t="n"/>
      <c r="CI6" s="2" t="n"/>
      <c r="CJ6" s="2" t="n"/>
      <c r="CK6" s="2" t="n"/>
      <c r="CL6" s="2" t="n"/>
      <c r="CM6" s="2" t="n"/>
      <c r="CN6" s="2" t="n"/>
      <c r="CO6" s="2" t="n"/>
      <c r="CP6" s="2" t="n"/>
      <c r="CQ6" s="2" t="n"/>
      <c r="CR6" s="2" t="n"/>
      <c r="CS6" s="2" t="n"/>
      <c r="CT6" s="2" t="n"/>
      <c r="CU6" s="2" t="n"/>
      <c r="CV6" s="2" t="n"/>
      <c r="CW6" s="2" t="n"/>
      <c r="CX6" s="2" t="n"/>
      <c r="CY6" s="2" t="n"/>
      <c r="CZ6" s="2" t="n"/>
      <c r="DA6" s="2" t="n"/>
      <c r="DB6" s="2" t="n"/>
      <c r="DC6" s="2" t="n"/>
      <c r="DD6" s="2" t="n"/>
      <c r="DE6" s="2" t="n"/>
    </row>
    <row r="7">
      <c r="A7" s="2" t="inlineStr">
        <is>
          <t>issue_058_se</t>
        </is>
      </c>
      <c r="B7" s="4" t="inlineStr">
        <is>
          <t>Passed on test</t>
        </is>
      </c>
      <c r="C7" s="4" t="inlineStr">
        <is>
          <t>Passed on test</t>
        </is>
      </c>
      <c r="D7" s="4" t="inlineStr">
        <is>
          <t>Passed on test</t>
        </is>
      </c>
      <c r="E7" s="4" t="inlineStr">
        <is>
          <t>Passed on test</t>
        </is>
      </c>
      <c r="F7" s="4" t="inlineStr">
        <is>
          <t>Passed on test</t>
        </is>
      </c>
      <c r="G7" s="4" t="inlineStr">
        <is>
          <t>Passed on test</t>
        </is>
      </c>
      <c r="H7" s="4" t="inlineStr">
        <is>
          <t>Passed on test</t>
        </is>
      </c>
      <c r="I7" s="4" t="inlineStr">
        <is>
          <t>Passed on test</t>
        </is>
      </c>
      <c r="J7" s="4" t="inlineStr">
        <is>
          <t>Passed on test</t>
        </is>
      </c>
      <c r="K7" s="4" t="inlineStr">
        <is>
          <t>Passed on test</t>
        </is>
      </c>
      <c r="L7" s="4" t="inlineStr">
        <is>
          <t>Passed on test</t>
        </is>
      </c>
      <c r="M7" s="4" t="inlineStr">
        <is>
          <t>Passed on test</t>
        </is>
      </c>
      <c r="N7" s="3" t="inlineStr">
        <is>
          <t>NOT_TESTED</t>
        </is>
      </c>
      <c r="O7" s="3" t="inlineStr">
        <is>
          <t>NOT_TESTED</t>
        </is>
      </c>
      <c r="P7" s="3" t="inlineStr">
        <is>
          <t>NOT_TESTED</t>
        </is>
      </c>
      <c r="Q7" s="3" t="inlineStr">
        <is>
          <t>NOT_TESTED</t>
        </is>
      </c>
      <c r="R7" s="3" t="inlineStr">
        <is>
          <t>NOT_TESTED</t>
        </is>
      </c>
      <c r="S7" s="3" t="inlineStr">
        <is>
          <t>NOT_TESTED</t>
        </is>
      </c>
      <c r="T7" s="3" t="inlineStr">
        <is>
          <t>NOT_TESTED</t>
        </is>
      </c>
      <c r="U7" s="3" t="inlineStr">
        <is>
          <t>NOT_TESTED</t>
        </is>
      </c>
      <c r="V7" s="3" t="inlineStr">
        <is>
          <t>NOT_TESTED</t>
        </is>
      </c>
      <c r="W7" s="3" t="inlineStr">
        <is>
          <t>NOT_TESTED</t>
        </is>
      </c>
      <c r="X7" s="3" t="inlineStr">
        <is>
          <t>NOT_TESTED</t>
        </is>
      </c>
      <c r="Y7" s="3" t="inlineStr">
        <is>
          <t>NOT_TESTED</t>
        </is>
      </c>
      <c r="Z7" s="3" t="inlineStr">
        <is>
          <t>NOT_TESTED</t>
        </is>
      </c>
      <c r="AA7" s="3" t="inlineStr">
        <is>
          <t>NOT_TESTED</t>
        </is>
      </c>
      <c r="AB7" s="3" t="inlineStr">
        <is>
          <t>NOT_TESTED</t>
        </is>
      </c>
      <c r="AC7" s="2" t="n"/>
      <c r="AD7" s="2" t="n"/>
      <c r="AE7" s="2" t="n"/>
      <c r="AF7" s="2" t="n"/>
      <c r="AG7" s="2" t="n"/>
      <c r="AH7" s="2" t="n"/>
      <c r="AI7" s="2" t="n"/>
      <c r="AJ7" s="2" t="n"/>
      <c r="AK7" s="2" t="n"/>
      <c r="AL7" s="2" t="n"/>
      <c r="AM7" s="2" t="n"/>
      <c r="AN7" s="2" t="n"/>
      <c r="AO7" s="2" t="n"/>
      <c r="AP7" s="2" t="n"/>
      <c r="AQ7" s="2" t="n"/>
      <c r="AR7" s="2" t="n"/>
      <c r="AS7" s="2" t="n"/>
      <c r="AT7" s="2" t="n"/>
      <c r="AU7" s="2" t="n"/>
      <c r="AV7" s="2" t="n"/>
      <c r="AW7" s="2" t="n"/>
      <c r="AX7" s="2" t="n"/>
      <c r="AY7" s="2" t="n"/>
      <c r="AZ7" s="2" t="n"/>
      <c r="BA7" s="2" t="n"/>
      <c r="BB7" s="2" t="n"/>
      <c r="BC7" s="2" t="n"/>
      <c r="BD7" s="2" t="n"/>
      <c r="BE7" s="2" t="n"/>
      <c r="BF7" s="2" t="n"/>
      <c r="BG7" s="2" t="n"/>
      <c r="BH7" s="2" t="n"/>
      <c r="BI7" s="2" t="n"/>
      <c r="BJ7" s="2" t="n"/>
      <c r="BK7" s="2" t="n"/>
      <c r="BL7" s="2" t="n"/>
      <c r="BM7" s="2" t="n"/>
      <c r="BN7" s="2" t="n"/>
      <c r="BO7" s="2" t="n"/>
      <c r="BP7" s="2" t="n"/>
      <c r="BQ7" s="2" t="n"/>
      <c r="BR7" s="2" t="n"/>
      <c r="BS7" s="2" t="n"/>
      <c r="BT7" s="2" t="n"/>
      <c r="BU7" s="2" t="n"/>
      <c r="BV7" s="2" t="n"/>
      <c r="BW7" s="2" t="n"/>
      <c r="BX7" s="2" t="n"/>
      <c r="BY7" s="2" t="n"/>
      <c r="BZ7" s="2" t="n"/>
      <c r="CA7" s="2" t="n"/>
      <c r="CB7" s="2" t="n"/>
      <c r="CC7" s="2" t="n"/>
      <c r="CD7" s="2" t="n"/>
      <c r="CE7" s="2" t="n"/>
      <c r="CF7" s="2" t="n"/>
      <c r="CG7" s="2" t="n"/>
      <c r="CH7" s="2" t="n"/>
      <c r="CI7" s="2" t="n"/>
      <c r="CJ7" s="2" t="n"/>
      <c r="CK7" s="2" t="n"/>
      <c r="CL7" s="2" t="n"/>
      <c r="CM7" s="2" t="n"/>
      <c r="CN7" s="2" t="n"/>
      <c r="CO7" s="2" t="n"/>
      <c r="CP7" s="2" t="n"/>
      <c r="CQ7" s="2" t="n"/>
      <c r="CR7" s="2" t="n"/>
      <c r="CS7" s="2" t="n"/>
      <c r="CT7" s="2" t="n"/>
      <c r="CU7" s="2" t="n"/>
      <c r="CV7" s="2" t="n"/>
      <c r="CW7" s="2" t="n"/>
      <c r="CX7" s="2" t="n"/>
      <c r="CY7" s="2" t="n"/>
      <c r="CZ7" s="2" t="n"/>
      <c r="DA7" s="2" t="n"/>
      <c r="DB7" s="2" t="n"/>
      <c r="DC7" s="2" t="n"/>
      <c r="DD7" s="2" t="n"/>
      <c r="DE7" s="2" t="n"/>
    </row>
    <row r="8">
      <c r="A8" s="2" t="inlineStr">
        <is>
          <t>issue_061</t>
        </is>
      </c>
      <c r="B8" s="3" t="inlineStr">
        <is>
          <t>NOT_TESTED</t>
        </is>
      </c>
      <c r="C8" s="3" t="inlineStr">
        <is>
          <t>NOT_TESTED</t>
        </is>
      </c>
      <c r="D8" s="3" t="inlineStr">
        <is>
          <t>NOT_TESTED</t>
        </is>
      </c>
      <c r="E8" s="3" t="inlineStr">
        <is>
          <t>NOT_TESTED</t>
        </is>
      </c>
      <c r="F8" s="3" t="inlineStr">
        <is>
          <t>NOT_TESTED</t>
        </is>
      </c>
      <c r="G8" s="3" t="inlineStr">
        <is>
          <t>NOT_TESTED</t>
        </is>
      </c>
      <c r="H8" s="3" t="inlineStr">
        <is>
          <t>NOT_TESTED</t>
        </is>
      </c>
      <c r="I8" s="3" t="inlineStr">
        <is>
          <t>NOT_TESTED</t>
        </is>
      </c>
      <c r="J8" s="3" t="inlineStr">
        <is>
          <t>NOT_TESTED</t>
        </is>
      </c>
      <c r="K8" s="3" t="inlineStr">
        <is>
          <t>NOT_TESTED</t>
        </is>
      </c>
      <c r="L8" s="3" t="inlineStr">
        <is>
          <t>NOT_TESTED</t>
        </is>
      </c>
      <c r="M8" s="3" t="inlineStr">
        <is>
          <t>NOT_TESTED</t>
        </is>
      </c>
      <c r="N8" s="4" t="inlineStr">
        <is>
          <t>Passed on test</t>
        </is>
      </c>
      <c r="O8" s="4" t="inlineStr">
        <is>
          <t>Passed on test</t>
        </is>
      </c>
      <c r="P8" s="4" t="inlineStr">
        <is>
          <t>Passed on test</t>
        </is>
      </c>
      <c r="Q8" s="4" t="inlineStr">
        <is>
          <t>Passed on test</t>
        </is>
      </c>
      <c r="R8" s="4" t="inlineStr">
        <is>
          <t>Passed on test</t>
        </is>
      </c>
      <c r="S8" s="4" t="inlineStr">
        <is>
          <t>Passed on test</t>
        </is>
      </c>
      <c r="T8" s="4" t="inlineStr">
        <is>
          <t>Passed on test</t>
        </is>
      </c>
      <c r="U8" s="4" t="inlineStr">
        <is>
          <t>Passed on test</t>
        </is>
      </c>
      <c r="V8" s="4" t="inlineStr">
        <is>
          <t>Passed on test</t>
        </is>
      </c>
      <c r="W8" s="4" t="inlineStr">
        <is>
          <t>Passed on test</t>
        </is>
      </c>
      <c r="X8" s="4" t="inlineStr">
        <is>
          <t>Passed on test</t>
        </is>
      </c>
      <c r="Y8" s="4" t="inlineStr">
        <is>
          <t>Passed on test</t>
        </is>
      </c>
      <c r="Z8" s="4" t="inlineStr">
        <is>
          <t>Passed on test</t>
        </is>
      </c>
      <c r="AA8" s="4" t="inlineStr">
        <is>
          <t>Passed on test</t>
        </is>
      </c>
      <c r="AB8" s="4" t="inlineStr">
        <is>
          <t>Passed on test</t>
        </is>
      </c>
      <c r="AC8" s="2" t="n"/>
      <c r="AD8" s="2" t="n"/>
      <c r="AE8" s="2" t="n"/>
      <c r="AF8" s="2" t="n"/>
      <c r="AG8" s="2" t="n"/>
      <c r="AH8" s="2" t="n"/>
      <c r="AI8" s="2" t="n"/>
      <c r="AJ8" s="2" t="n"/>
      <c r="AK8" s="2" t="n"/>
      <c r="AL8" s="2" t="n"/>
      <c r="AM8" s="2" t="n"/>
      <c r="AN8" s="2" t="n"/>
      <c r="AO8" s="2" t="n"/>
      <c r="AP8" s="2" t="n"/>
      <c r="AQ8" s="2" t="n"/>
      <c r="AR8" s="2" t="n"/>
      <c r="AS8" s="2" t="n"/>
      <c r="AT8" s="2" t="n"/>
      <c r="AU8" s="2" t="n"/>
      <c r="AV8" s="2" t="n"/>
      <c r="AW8" s="2" t="n"/>
      <c r="AX8" s="2" t="n"/>
      <c r="AY8" s="2" t="n"/>
      <c r="AZ8" s="2" t="n"/>
      <c r="BA8" s="2" t="n"/>
      <c r="BB8" s="2" t="n"/>
      <c r="BC8" s="2" t="n"/>
      <c r="BD8" s="2" t="n"/>
      <c r="BE8" s="2" t="n"/>
      <c r="BF8" s="2" t="n"/>
      <c r="BG8" s="2" t="n"/>
      <c r="BH8" s="2" t="n"/>
      <c r="BI8" s="2" t="n"/>
      <c r="BJ8" s="2" t="n"/>
      <c r="BK8" s="2" t="n"/>
      <c r="BL8" s="2" t="n"/>
      <c r="BM8" s="2" t="n"/>
      <c r="BN8" s="2" t="n"/>
      <c r="BO8" s="2" t="n"/>
      <c r="BP8" s="2" t="n"/>
      <c r="BQ8" s="2" t="n"/>
      <c r="BR8" s="2" t="n"/>
      <c r="BS8" s="2" t="n"/>
      <c r="BT8" s="2" t="n"/>
      <c r="BU8" s="2" t="n"/>
      <c r="BV8" s="2" t="n"/>
      <c r="BW8" s="2" t="n"/>
      <c r="BX8" s="2" t="n"/>
      <c r="BY8" s="2" t="n"/>
      <c r="BZ8" s="2" t="n"/>
      <c r="CA8" s="2" t="n"/>
      <c r="CB8" s="2" t="n"/>
      <c r="CC8" s="2" t="n"/>
      <c r="CD8" s="2" t="n"/>
      <c r="CE8" s="2" t="n"/>
      <c r="CF8" s="2" t="n"/>
      <c r="CG8" s="2" t="n"/>
      <c r="CH8" s="2" t="n"/>
      <c r="CI8" s="2" t="n"/>
      <c r="CJ8" s="2" t="n"/>
      <c r="CK8" s="2" t="n"/>
      <c r="CL8" s="2" t="n"/>
      <c r="CM8" s="2" t="n"/>
      <c r="CN8" s="2" t="n"/>
      <c r="CO8" s="2" t="n"/>
      <c r="CP8" s="2" t="n"/>
      <c r="CQ8" s="2" t="n"/>
      <c r="CR8" s="2" t="n"/>
      <c r="CS8" s="2" t="n"/>
      <c r="CT8" s="2" t="n"/>
      <c r="CU8" s="2" t="n"/>
      <c r="CV8" s="2" t="n"/>
      <c r="CW8" s="2" t="n"/>
      <c r="CX8" s="2" t="n"/>
      <c r="CY8" s="2" t="n"/>
      <c r="CZ8" s="2" t="n"/>
      <c r="DA8" s="2" t="n"/>
      <c r="DB8" s="2" t="n"/>
      <c r="DC8" s="2" t="n"/>
      <c r="DD8" s="2" t="n"/>
      <c r="DE8" s="2" t="n"/>
    </row>
    <row r="9">
      <c r="A9" s="2" t="inlineStr">
        <is>
          <t>issue_072</t>
        </is>
      </c>
      <c r="B9" s="4" t="inlineStr">
        <is>
          <t>Passed on test</t>
        </is>
      </c>
      <c r="C9" s="4" t="inlineStr">
        <is>
          <t>Passed on test</t>
        </is>
      </c>
      <c r="D9" s="4" t="inlineStr">
        <is>
          <t>Passed on test</t>
        </is>
      </c>
      <c r="E9" s="4" t="inlineStr">
        <is>
          <t>Passed on test</t>
        </is>
      </c>
      <c r="F9" s="3" t="inlineStr">
        <is>
          <t>NOT_TESTED</t>
        </is>
      </c>
      <c r="G9" s="3" t="inlineStr">
        <is>
          <t>NOT_TESTED</t>
        </is>
      </c>
      <c r="H9" s="3" t="inlineStr">
        <is>
          <t>NOT_TESTED</t>
        </is>
      </c>
      <c r="I9" s="3" t="inlineStr">
        <is>
          <t>NOT_TESTED</t>
        </is>
      </c>
      <c r="J9" s="3" t="inlineStr">
        <is>
          <t>NOT_TESTED</t>
        </is>
      </c>
      <c r="K9" s="3" t="inlineStr">
        <is>
          <t>NOT_TESTED</t>
        </is>
      </c>
      <c r="L9" s="3" t="inlineStr">
        <is>
          <t>NOT_TESTED</t>
        </is>
      </c>
      <c r="M9" s="3" t="inlineStr">
        <is>
          <t>NOT_TESTED</t>
        </is>
      </c>
      <c r="N9" s="3" t="inlineStr">
        <is>
          <t>NOT_TESTED</t>
        </is>
      </c>
      <c r="O9" s="3" t="inlineStr">
        <is>
          <t>NOT_TESTED</t>
        </is>
      </c>
      <c r="P9" s="3" t="inlineStr">
        <is>
          <t>NOT_TESTED</t>
        </is>
      </c>
      <c r="Q9" s="3" t="inlineStr">
        <is>
          <t>NOT_TESTED</t>
        </is>
      </c>
      <c r="R9" s="3" t="inlineStr">
        <is>
          <t>NOT_TESTED</t>
        </is>
      </c>
      <c r="S9" s="3" t="inlineStr">
        <is>
          <t>NOT_TESTED</t>
        </is>
      </c>
      <c r="T9" s="3" t="inlineStr">
        <is>
          <t>NOT_TESTED</t>
        </is>
      </c>
      <c r="U9" s="3" t="inlineStr">
        <is>
          <t>NOT_TESTED</t>
        </is>
      </c>
      <c r="V9" s="3" t="inlineStr">
        <is>
          <t>NOT_TESTED</t>
        </is>
      </c>
      <c r="W9" s="3" t="inlineStr">
        <is>
          <t>NOT_TESTED</t>
        </is>
      </c>
      <c r="X9" s="3" t="inlineStr">
        <is>
          <t>NOT_TESTED</t>
        </is>
      </c>
      <c r="Y9" s="3" t="inlineStr">
        <is>
          <t>NOT_TESTED</t>
        </is>
      </c>
      <c r="Z9" s="3" t="inlineStr">
        <is>
          <t>NOT_TESTED</t>
        </is>
      </c>
      <c r="AA9" s="3" t="inlineStr">
        <is>
          <t>NOT_TESTED</t>
        </is>
      </c>
      <c r="AB9" s="3" t="inlineStr">
        <is>
          <t>NOT_TESTED</t>
        </is>
      </c>
      <c r="AC9" s="2" t="n"/>
      <c r="AD9" s="2" t="n"/>
      <c r="AE9" s="2" t="n"/>
      <c r="AF9" s="2" t="n"/>
      <c r="AG9" s="2" t="n"/>
      <c r="AH9" s="2" t="n"/>
      <c r="AI9" s="2" t="n"/>
      <c r="AJ9" s="2" t="n"/>
      <c r="AK9" s="2" t="n"/>
      <c r="AL9" s="2" t="n"/>
      <c r="AM9" s="2" t="n"/>
      <c r="AN9" s="2" t="n"/>
      <c r="AO9" s="2" t="n"/>
      <c r="AP9" s="2" t="n"/>
      <c r="AQ9" s="2" t="n"/>
      <c r="AR9" s="2" t="n"/>
      <c r="AS9" s="2" t="n"/>
      <c r="AT9" s="2" t="n"/>
      <c r="AU9" s="2" t="n"/>
      <c r="AV9" s="2" t="n"/>
      <c r="AW9" s="2" t="n"/>
      <c r="AX9" s="2" t="n"/>
      <c r="AY9" s="2" t="n"/>
      <c r="AZ9" s="2" t="n"/>
      <c r="BA9" s="2" t="n"/>
      <c r="BB9" s="2" t="n"/>
      <c r="BC9" s="2" t="n"/>
      <c r="BD9" s="2" t="n"/>
      <c r="BE9" s="2" t="n"/>
      <c r="BF9" s="2" t="n"/>
      <c r="BG9" s="2" t="n"/>
      <c r="BH9" s="2" t="n"/>
      <c r="BI9" s="2" t="n"/>
      <c r="BJ9" s="2" t="n"/>
      <c r="BK9" s="2" t="n"/>
      <c r="BL9" s="2" t="n"/>
      <c r="BM9" s="2" t="n"/>
      <c r="BN9" s="2" t="n"/>
      <c r="BO9" s="2" t="n"/>
      <c r="BP9" s="2" t="n"/>
      <c r="BQ9" s="2" t="n"/>
      <c r="BR9" s="2" t="n"/>
      <c r="BS9" s="2" t="n"/>
      <c r="BT9" s="2" t="n"/>
      <c r="BU9" s="2" t="n"/>
      <c r="BV9" s="2" t="n"/>
      <c r="BW9" s="2" t="n"/>
      <c r="BX9" s="2" t="n"/>
      <c r="BY9" s="2" t="n"/>
      <c r="BZ9" s="2" t="n"/>
      <c r="CA9" s="2" t="n"/>
      <c r="CB9" s="2" t="n"/>
      <c r="CC9" s="2" t="n"/>
      <c r="CD9" s="2" t="n"/>
      <c r="CE9" s="2" t="n"/>
      <c r="CF9" s="2" t="n"/>
      <c r="CG9" s="2" t="n"/>
      <c r="CH9" s="2" t="n"/>
      <c r="CI9" s="2" t="n"/>
      <c r="CJ9" s="2" t="n"/>
      <c r="CK9" s="2" t="n"/>
      <c r="CL9" s="2" t="n"/>
      <c r="CM9" s="2" t="n"/>
      <c r="CN9" s="2" t="n"/>
      <c r="CO9" s="2" t="n"/>
      <c r="CP9" s="2" t="n"/>
      <c r="CQ9" s="2" t="n"/>
      <c r="CR9" s="2" t="n"/>
      <c r="CS9" s="2" t="n"/>
      <c r="CT9" s="2" t="n"/>
      <c r="CU9" s="2" t="n"/>
      <c r="CV9" s="2" t="n"/>
      <c r="CW9" s="2" t="n"/>
      <c r="CX9" s="2" t="n"/>
      <c r="CY9" s="2" t="n"/>
      <c r="CZ9" s="2" t="n"/>
      <c r="DA9" s="2" t="n"/>
      <c r="DB9" s="2" t="n"/>
      <c r="DC9" s="2" t="n"/>
      <c r="DD9" s="2" t="n"/>
      <c r="DE9" s="2" t="n"/>
    </row>
    <row r="10">
      <c r="A10" s="2" t="inlineStr">
        <is>
          <t>issue_096</t>
        </is>
      </c>
      <c r="B10" s="5" t="inlineStr">
        <is>
          <t>Failed on test</t>
        </is>
      </c>
      <c r="C10" s="5" t="inlineStr">
        <is>
          <t>Failed on test</t>
        </is>
      </c>
      <c r="D10" s="5" t="inlineStr">
        <is>
          <t>Failed on test</t>
        </is>
      </c>
      <c r="E10" s="5" t="inlineStr">
        <is>
          <t>Failed on test</t>
        </is>
      </c>
      <c r="F10" s="5" t="inlineStr">
        <is>
          <t>Failed on test</t>
        </is>
      </c>
      <c r="G10" s="5" t="inlineStr">
        <is>
          <t>Failed on test</t>
        </is>
      </c>
      <c r="H10" s="5" t="inlineStr">
        <is>
          <t>Failed on test</t>
        </is>
      </c>
      <c r="I10" s="5" t="inlineStr">
        <is>
          <t>Failed on test</t>
        </is>
      </c>
      <c r="J10" s="5" t="inlineStr">
        <is>
          <t>Failed on test</t>
        </is>
      </c>
      <c r="K10" s="5" t="inlineStr">
        <is>
          <t>Failed on test</t>
        </is>
      </c>
      <c r="L10" s="5" t="inlineStr">
        <is>
          <t>Failed on test</t>
        </is>
      </c>
      <c r="M10" s="5" t="inlineStr">
        <is>
          <t>Failed on test</t>
        </is>
      </c>
      <c r="N10" s="5" t="inlineStr">
        <is>
          <t>Failed on test</t>
        </is>
      </c>
      <c r="O10" s="5" t="inlineStr">
        <is>
          <t>Failed on test</t>
        </is>
      </c>
      <c r="P10" s="5" t="inlineStr">
        <is>
          <t>Failed on test</t>
        </is>
      </c>
      <c r="Q10" s="5" t="inlineStr">
        <is>
          <t>Failed on test</t>
        </is>
      </c>
      <c r="R10" s="5" t="inlineStr">
        <is>
          <t>Failed on test</t>
        </is>
      </c>
      <c r="S10" s="5" t="inlineStr">
        <is>
          <t>Failed on test</t>
        </is>
      </c>
      <c r="T10" s="5" t="inlineStr">
        <is>
          <t>Failed on test</t>
        </is>
      </c>
      <c r="U10" s="5" t="inlineStr">
        <is>
          <t>Failed on test</t>
        </is>
      </c>
      <c r="V10" s="5" t="inlineStr">
        <is>
          <t>Failed on test</t>
        </is>
      </c>
      <c r="W10" s="5" t="inlineStr">
        <is>
          <t>Failed on test</t>
        </is>
      </c>
      <c r="X10" s="5" t="inlineStr">
        <is>
          <t>Failed on test</t>
        </is>
      </c>
      <c r="Y10" s="5" t="inlineStr">
        <is>
          <t>Failed on test</t>
        </is>
      </c>
      <c r="Z10" s="5" t="inlineStr">
        <is>
          <t>Failed on test</t>
        </is>
      </c>
      <c r="AA10" s="5" t="inlineStr">
        <is>
          <t>Failed on test</t>
        </is>
      </c>
      <c r="AB10" s="5" t="inlineStr">
        <is>
          <t>Failed on test</t>
        </is>
      </c>
      <c r="AC10" s="2" t="inlineStr">
        <is>
          <t>AssertionError</t>
        </is>
      </c>
      <c r="AD10" s="2" t="inlineStr">
        <is>
          <t>AssertionError: False is not true : Missing ipython_kernel_config.py</t>
        </is>
      </c>
      <c r="AE10" s="2" t="inlineStr">
        <is>
          <t>The LLM creates ~/.qiskit and opens settings.conf in a+ mode so a missing file is created empty, which stops the crash, but the test expects the file to contain a [default] section and the IPython profile's ipython_kernel_config.py to be created, which the fix does not do. Same problem as both luna models.</t>
        </is>
      </c>
      <c r="AF10" s="2" t="inlineStr">
        <is>
          <t>AssertionError</t>
        </is>
      </c>
      <c r="AG10" s="2" t="inlineStr">
        <is>
          <t>AssertionError: False is not true : Missing ipython_kernel_config.py</t>
        </is>
      </c>
      <c r="AH10" s="2" t="inlineStr">
        <is>
          <t>The LLM creates ~/.qiskit and opens settings.conf in a+ mode so a missing file is created empty, which stops the crash, but the test expects the file to contain a [default] section and the IPython profile's ipython_kernel_config.py to be created, which the fix does not do. Same problem as both luna models.</t>
        </is>
      </c>
      <c r="AI10" s="2" t="inlineStr">
        <is>
          <t>AssertionError</t>
        </is>
      </c>
      <c r="AJ10" s="2" t="inlineStr">
        <is>
          <t>AssertionError: False is not true : Missing ipython_kernel_config.py</t>
        </is>
      </c>
      <c r="AK10" s="2" t="inlineStr">
        <is>
          <t>The LLM creates ~/.qiskit and opens settings.conf in a+ mode so a missing file is created empty, which stops the crash, but the test expects the file to contain a [default] section and the IPython profile's ipython_kernel_config.py to be created, which the fix does not do. Same problem as both luna models.</t>
        </is>
      </c>
      <c r="AL10" s="2" t="inlineStr">
        <is>
          <t>AssertionError</t>
        </is>
      </c>
      <c r="AM10" s="2" t="inlineStr">
        <is>
          <t>AssertionError: False is not true : Missing ipython_kernel_config.py</t>
        </is>
      </c>
      <c r="AN10" s="2" t="inlineStr">
        <is>
          <t>The LLM creates ~/.qiskit and opens settings.conf in a+ mode so a missing file is created empty, which stops the crash, but the test expects the file to contain a [default] section and the IPython profile's ipython_kernel_config.py to be created, which the fix does not do. Same problem as both luna models.</t>
        </is>
      </c>
      <c r="AO10" s="2" t="inlineStr">
        <is>
          <t>AssertionError</t>
        </is>
      </c>
      <c r="AP10" s="2" t="inlineStr">
        <is>
          <t>AssertionError: False is not true : Missing ipython_kernel_config.py</t>
        </is>
      </c>
      <c r="AQ10" s="2" t="inlineStr">
        <is>
          <t>The LLM creates ~/.qiskit and opens settings.conf in a+ mode so a missing file is created empty, which stops the crash, but the test expects the file to contain a [default] section and the IPython profile's ipython_kernel_config.py to be created, which the fix does not do. Same problem as both luna models.</t>
        </is>
      </c>
      <c r="AR10" s="2" t="inlineStr">
        <is>
          <t>AssertionError</t>
        </is>
      </c>
      <c r="AS10" s="2" t="inlineStr">
        <is>
          <t>AssertionError: False is not true : Missing ipython_kernel_config.py</t>
        </is>
      </c>
      <c r="AT10" s="2" t="inlineStr">
        <is>
          <t>The LLM creates ~/.qiskit and opens settings.conf in a+ mode so a missing file is created empty, which stops the crash, but the test expects the file to contain a [default] section and the IPython profile's ipython_kernel_config.py to be created, which the fix does not do. Same problem as both luna models.</t>
        </is>
      </c>
      <c r="AU10" s="2" t="inlineStr">
        <is>
          <t>AssertionError</t>
        </is>
      </c>
      <c r="AV10" s="2" t="inlineStr">
        <is>
          <t>AssertionError: False is not true : Missing ipython_kernel_config.py</t>
        </is>
      </c>
      <c r="AW10" s="2" t="inlineStr">
        <is>
          <t>The LLM creates ~/.qiskit and opens settings.conf in a+ mode so a missing file is created empty, which stops the crash, but the test expects the file to contain a [default] section and the IPython profile's ipython_kernel_config.py to be created, which the fix does not do. Same problem as both luna models.</t>
        </is>
      </c>
      <c r="AX10" s="2" t="inlineStr">
        <is>
          <t>AssertionError</t>
        </is>
      </c>
      <c r="AY10" s="2" t="inlineStr">
        <is>
          <t>AssertionError: False is not true : Missing ipython_kernel_config.py</t>
        </is>
      </c>
      <c r="AZ10" s="2" t="inlineStr">
        <is>
          <t>The LLM creates ~/.qiskit and opens settings.conf in a+ mode so a missing file is created empty, which stops the crash, but the test expects the file to contain a [default] section and the IPython profile's ipython_kernel_config.py to be created, which the fix does not do. Same problem as both luna models.</t>
        </is>
      </c>
      <c r="BA10" s="2" t="inlineStr">
        <is>
          <t>AssertionError</t>
        </is>
      </c>
      <c r="BB10" s="2" t="inlineStr">
        <is>
          <t>AssertionError: False is not true : Missing ipython_kernel_config.py</t>
        </is>
      </c>
      <c r="BC10" s="2" t="inlineStr">
        <is>
          <t>The LLM creates ~/.qiskit and opens settings.conf in a+ mode so a missing file is created empty, which stops the crash, but the test expects the file to contain a [default] section and the IPython profile's ipython_kernel_config.py to be created, which the fix does not do. Same problem as both luna models.</t>
        </is>
      </c>
      <c r="BD10" s="2" t="inlineStr">
        <is>
          <t>AssertionError</t>
        </is>
      </c>
      <c r="BE10" s="2" t="inlineStr">
        <is>
          <t>AssertionError: False is not true : Missing ipython_kernel_config.py</t>
        </is>
      </c>
      <c r="BF10" s="2" t="inlineStr">
        <is>
          <t>The LLM creates ~/.qiskit and opens settings.conf in a+ mode so a missing file is created empty, which stops the crash, but the test expects the file to contain a [default] section and the IPython profile's ipython_kernel_config.py to be created, which the fix does not do. Same problem as both luna models.</t>
        </is>
      </c>
      <c r="BG10" s="2" t="inlineStr">
        <is>
          <t>AssertionError</t>
        </is>
      </c>
      <c r="BH10" s="2" t="inlineStr">
        <is>
          <t>AssertionError: False is not true : Missing ipython_kernel_config.py</t>
        </is>
      </c>
      <c r="BI10" s="2" t="inlineStr">
        <is>
          <t>The LLM creates ~/.qiskit and opens settings.conf in a+ mode so a missing file is created empty, which stops the crash, but the test expects the file to contain a [default] section and the IPython profile's ipython_kernel_config.py to be created, which the fix does not do. Same problem as both luna models.</t>
        </is>
      </c>
      <c r="BJ10" s="2" t="inlineStr">
        <is>
          <t>AssertionError</t>
        </is>
      </c>
      <c r="BK10" s="2" t="inlineStr">
        <is>
          <t>AssertionError: False is not true : Missing ipython_kernel_config.py</t>
        </is>
      </c>
      <c r="BL10" s="2" t="inlineStr">
        <is>
          <t>The LLM creates ~/.qiskit and opens settings.conf in a+ mode so a missing file is created empty, which stops the crash, but the test expects the file to contain a [default] section and the IPython profile's ipython_kernel_config.py to be created, which the fix does not do. Same problem as both luna models.</t>
        </is>
      </c>
      <c r="BM10" s="2" t="inlineStr">
        <is>
          <t>AssertionError</t>
        </is>
      </c>
      <c r="BN10" s="2" t="inlineStr">
        <is>
          <t>AssertionError: False is not true : Missing ipython_kernel_config.py</t>
        </is>
      </c>
      <c r="BO10" s="2" t="inlineStr">
        <is>
          <t>The LLM creates ~/.qiskit and opens settings.conf in a+ mode so a missing file is created empty, which stops the crash, but the test expects the file to contain a [default] section and the IPython profile's ipython_kernel_config.py to be created, which the fix does not do. Same problem as both luna models.</t>
        </is>
      </c>
      <c r="BP10" s="2" t="inlineStr">
        <is>
          <t>AssertionError</t>
        </is>
      </c>
      <c r="BQ10" s="2" t="inlineStr">
        <is>
          <t>AssertionError: False is not true : Missing ipython_kernel_config.py</t>
        </is>
      </c>
      <c r="BR10" s="2" t="inlineStr">
        <is>
          <t>The LLM creates ~/.qiskit and opens settings.conf in a+ mode so a missing file is created empty, which stops the crash, but the test expects the file to contain a [default] section and the IPython profile's ipython_kernel_config.py to be created, which the fix does not do. Same problem as both luna models.</t>
        </is>
      </c>
      <c r="BS10" s="2" t="inlineStr">
        <is>
          <t>AssertionError</t>
        </is>
      </c>
      <c r="BT10" s="2" t="inlineStr">
        <is>
          <t>AssertionError: False is not true : Missing ipython_kernel_config.py</t>
        </is>
      </c>
      <c r="BU10" s="2" t="inlineStr">
        <is>
          <t>The LLM creates ~/.qiskit and opens settings.conf in a+ mode so a missing file is created empty, which stops the crash, but the test expects the file to contain a [default] section and the IPython profile's ipython_kernel_config.py to be created, which the fix does not do. Same problem as both luna models.</t>
        </is>
      </c>
      <c r="BV10" s="2" t="inlineStr">
        <is>
          <t>AssertionError</t>
        </is>
      </c>
      <c r="BW10" s="2" t="inlineStr">
        <is>
          <t>AssertionError: False is not true : Missing ipython_kernel_config.py</t>
        </is>
      </c>
      <c r="BX10" s="2" t="inlineStr">
        <is>
          <t>The LLM creates ~/.qiskit and opens settings.conf in a+ mode so a missing file is created empty, which stops the crash, but the test expects the file to contain a [default] section and the IPython profile's ipython_kernel_config.py to be created, which the fix does not do. Same problem as both luna models.</t>
        </is>
      </c>
      <c r="BY10" s="2" t="inlineStr">
        <is>
          <t>AssertionError</t>
        </is>
      </c>
      <c r="BZ10" s="2" t="inlineStr">
        <is>
          <t>AssertionError: False is not true : Missing ipython_kernel_config.py</t>
        </is>
      </c>
      <c r="CA10" s="2" t="inlineStr">
        <is>
          <t>The LLM creates ~/.qiskit and opens settings.conf in a+ mode so a missing file is created empty, which stops the crash, but the test expects the file to contain a [default] section and the IPython profile's ipython_kernel_config.py to be created, which the fix does not do. Same problem as both luna models.</t>
        </is>
      </c>
      <c r="CB10" s="2" t="inlineStr">
        <is>
          <t>AssertionError</t>
        </is>
      </c>
      <c r="CC10" s="2" t="inlineStr">
        <is>
          <t>AssertionError: False is not true : Missing ipython_kernel_config.py</t>
        </is>
      </c>
      <c r="CD10" s="2" t="inlineStr">
        <is>
          <t>The LLM creates ~/.qiskit and opens settings.conf in a+ mode so a missing file is created empty, which stops the crash, but the test expects the file to contain a [default] section and the IPython profile's ipython_kernel_config.py to be created, which the fix does not do. Same problem as both luna models.</t>
        </is>
      </c>
      <c r="CE10" s="2" t="inlineStr">
        <is>
          <t>AssertionError</t>
        </is>
      </c>
      <c r="CF10" s="2" t="inlineStr">
        <is>
          <t>AssertionError: False is not true : Missing ipython_kernel_config.py</t>
        </is>
      </c>
      <c r="CG10" s="2" t="inlineStr">
        <is>
          <t>The LLM creates ~/.qiskit and opens settings.conf in a+ mode so a missing file is created empty, which stops the crash, but the test expects the file to contain a [default] section and the IPython profile's ipython_kernel_config.py to be created, which the fix does not do. Same problem as both luna models.</t>
        </is>
      </c>
      <c r="CH10" s="2" t="inlineStr">
        <is>
          <t>AssertionError</t>
        </is>
      </c>
      <c r="CI10" s="2" t="inlineStr">
        <is>
          <t>AssertionError: False is not true : Missing ipython_kernel_config.py</t>
        </is>
      </c>
      <c r="CJ10" s="2" t="inlineStr">
        <is>
          <t>The LLM creates ~/.qiskit and opens settings.conf in a+ mode so a missing file is created empty, which stops the crash, but the test expects the file to contain a [default] section and the IPython profile's ipython_kernel_config.py to be created, which the fix does not do. Same problem as both luna models.</t>
        </is>
      </c>
      <c r="CK10" s="2" t="inlineStr">
        <is>
          <t>AssertionError</t>
        </is>
      </c>
      <c r="CL10" s="2" t="inlineStr">
        <is>
          <t>AssertionError: False is not true : Missing ipython_kernel_config.py</t>
        </is>
      </c>
      <c r="CM10" s="2" t="inlineStr">
        <is>
          <t>The LLM creates ~/.qiskit and opens settings.conf in a+ mode so a missing file is created empty, which stops the crash, but the test expects the file to contain a [default] section and the IPython profile's ipython_kernel_config.py to be created, which the fix does not do. Same problem as both luna models.</t>
        </is>
      </c>
      <c r="CN10" s="2" t="inlineStr">
        <is>
          <t>AssertionError</t>
        </is>
      </c>
      <c r="CO10" s="2" t="inlineStr">
        <is>
          <t>AssertionError: False is not true : Missing ipython_kernel_config.py</t>
        </is>
      </c>
      <c r="CP10" s="2" t="inlineStr">
        <is>
          <t>The LLM creates ~/.qiskit and opens settings.conf in a+ mode so a missing file is created empty, which stops the crash, but the test expects the file to contain a [default] section and the IPython profile's ipython_kernel_config.py to be created, which the fix does not do. Same problem as both luna models.</t>
        </is>
      </c>
      <c r="CQ10" s="2" t="inlineStr">
        <is>
          <t>AssertionError</t>
        </is>
      </c>
      <c r="CR10" s="2" t="inlineStr">
        <is>
          <t>AssertionError: False is not true : Missing ipython_kernel_config.py</t>
        </is>
      </c>
      <c r="CS10" s="2" t="inlineStr">
        <is>
          <t>The LLM creates ~/.qiskit and opens settings.conf in a+ mode so a missing file is created empty, which stops the crash, but the test expects the file to contain a [default] section and the IPython profile's ipython_kernel_config.py to be created, which the fix does not do. Same problem as both luna models.</t>
        </is>
      </c>
      <c r="CT10" s="2" t="inlineStr">
        <is>
          <t>AssertionError</t>
        </is>
      </c>
      <c r="CU10" s="2" t="inlineStr">
        <is>
          <t>AssertionError: False is not true : Missing ipython_kernel_config.py</t>
        </is>
      </c>
      <c r="CV10" s="2" t="inlineStr">
        <is>
          <t>The LLM creates ~/.qiskit and opens settings.conf in a+ mode so a missing file is created empty, which stops the crash, but the test expects the file to contain a [default] section and the IPython profile's ipython_kernel_config.py to be created, which the fix does not do. Same problem as both luna models.</t>
        </is>
      </c>
      <c r="CW10" s="2" t="inlineStr">
        <is>
          <t>AssertionError</t>
        </is>
      </c>
      <c r="CX10" s="2" t="inlineStr">
        <is>
          <t>AssertionError: False is not true : Missing ipython_kernel_config.py</t>
        </is>
      </c>
      <c r="CY10" s="2" t="inlineStr">
        <is>
          <t>The LLM creates ~/.qiskit and opens settings.conf in a+ mode so a missing file is created empty, which stops the crash, but the test expects the file to contain a [default] section and the IPython profile's ipython_kernel_config.py to be created, which the fix does not do. Same problem as both luna models.</t>
        </is>
      </c>
      <c r="CZ10" s="2" t="inlineStr">
        <is>
          <t>AssertionError</t>
        </is>
      </c>
      <c r="DA10" s="2" t="inlineStr">
        <is>
          <t>AssertionError: False is not true : Missing ipython_kernel_config.py</t>
        </is>
      </c>
      <c r="DB10" s="2" t="inlineStr">
        <is>
          <t>The LLM creates ~/.qiskit and opens settings.conf in a+ mode so a missing file is created empty, which stops the crash, but the test expects the file to contain a [default] section and the IPython profile's ipython_kernel_config.py to be created, which the fix does not do. Same problem as both luna models.</t>
        </is>
      </c>
      <c r="DC10" s="2" t="inlineStr">
        <is>
          <t>AssertionError</t>
        </is>
      </c>
      <c r="DD10" s="2" t="inlineStr">
        <is>
          <t>AssertionError: False is not true : Missing ipython_kernel_config.py</t>
        </is>
      </c>
      <c r="DE10" s="2" t="inlineStr">
        <is>
          <t>The LLM creates ~/.qiskit and opens settings.conf in a+ mode so a missing file is created empty, which stops the crash, but the test expects the file to contain a [default] section and the IPython profile's ipython_kernel_config.py to be created, which the fix does not do. Same problem as both luna models.</t>
        </is>
      </c>
    </row>
    <row r="11">
      <c r="A11" s="2" t="inlineStr">
        <is>
          <t>issue_155</t>
        </is>
      </c>
      <c r="B11" s="6" t="inlineStr">
        <is>
          <t>Runtime error</t>
        </is>
      </c>
      <c r="C11" s="6" t="inlineStr">
        <is>
          <t>Runtime error</t>
        </is>
      </c>
      <c r="D11" s="6" t="inlineStr">
        <is>
          <t>Runtime error</t>
        </is>
      </c>
      <c r="E11" s="6" t="inlineStr">
        <is>
          <t>Runtime error</t>
        </is>
      </c>
      <c r="F11" s="4" t="inlineStr">
        <is>
          <t>Passed on test</t>
        </is>
      </c>
      <c r="G11" s="4" t="inlineStr">
        <is>
          <t>Passed on test</t>
        </is>
      </c>
      <c r="H11" s="4" t="inlineStr">
        <is>
          <t>Passed on test</t>
        </is>
      </c>
      <c r="I11" s="4" t="inlineStr">
        <is>
          <t>Passed on test</t>
        </is>
      </c>
      <c r="J11" s="4" t="inlineStr">
        <is>
          <t>Passed on test</t>
        </is>
      </c>
      <c r="K11" s="4" t="inlineStr">
        <is>
          <t>Passed on test</t>
        </is>
      </c>
      <c r="L11" s="4" t="inlineStr">
        <is>
          <t>Passed on test</t>
        </is>
      </c>
      <c r="M11" s="4" t="inlineStr">
        <is>
          <t>Passed on test</t>
        </is>
      </c>
      <c r="N11" s="3" t="inlineStr">
        <is>
          <t>NOT_TESTED</t>
        </is>
      </c>
      <c r="O11" s="3" t="inlineStr">
        <is>
          <t>NOT_TESTED</t>
        </is>
      </c>
      <c r="P11" s="3" t="inlineStr">
        <is>
          <t>NOT_TESTED</t>
        </is>
      </c>
      <c r="Q11" s="3" t="inlineStr">
        <is>
          <t>NOT_TESTED</t>
        </is>
      </c>
      <c r="R11" s="3" t="inlineStr">
        <is>
          <t>NOT_TESTED</t>
        </is>
      </c>
      <c r="S11" s="3" t="inlineStr">
        <is>
          <t>NOT_TESTED</t>
        </is>
      </c>
      <c r="T11" s="3" t="inlineStr">
        <is>
          <t>NOT_TESTED</t>
        </is>
      </c>
      <c r="U11" s="3" t="inlineStr">
        <is>
          <t>NOT_TESTED</t>
        </is>
      </c>
      <c r="V11" s="3" t="inlineStr">
        <is>
          <t>NOT_TESTED</t>
        </is>
      </c>
      <c r="W11" s="3" t="inlineStr">
        <is>
          <t>NOT_TESTED</t>
        </is>
      </c>
      <c r="X11" s="3" t="inlineStr">
        <is>
          <t>NOT_TESTED</t>
        </is>
      </c>
      <c r="Y11" s="3" t="inlineStr">
        <is>
          <t>NOT_TESTED</t>
        </is>
      </c>
      <c r="Z11" s="3" t="inlineStr">
        <is>
          <t>NOT_TESTED</t>
        </is>
      </c>
      <c r="AA11" s="3" t="inlineStr">
        <is>
          <t>NOT_TESTED</t>
        </is>
      </c>
      <c r="AB11" s="3" t="inlineStr">
        <is>
          <t>NOT_TESTED</t>
        </is>
      </c>
      <c r="AC11" s="2" t="inlineStr">
        <is>
          <t>AttributeError</t>
        </is>
      </c>
      <c r="AD11" s="2" t="inlineStr">
        <is>
          <t>AttributeError: 'QuantumCircuit' object has no attribute 'find_bit'</t>
        </is>
      </c>
      <c r="AE11" s="2" t="inlineStr">
        <is>
          <t>Error on 0.25.x, passed on 0.45.x / 0.46.x: the LLM turned the traced-out registers into qubit indices with qc.find_bit(qubit).index, which is correct but QuantumCircuit.find_bit() doesn't exist yet in Qiskit 0.25 (AttributeError). Same approach as gpt-6-luna; gpt-5.6-luna used qc.qubits.index() and passed on all 12 versions.</t>
        </is>
      </c>
      <c r="AF11" s="2" t="inlineStr">
        <is>
          <t>AttributeError</t>
        </is>
      </c>
      <c r="AG11" s="2" t="inlineStr">
        <is>
          <t>AttributeError: 'QuantumCircuit' object has no attribute 'find_bit'</t>
        </is>
      </c>
      <c r="AH11" s="2" t="inlineStr">
        <is>
          <t>Error on 0.25.x, passed on 0.45.x / 0.46.x: the LLM turned the traced-out registers into qubit indices with qc.find_bit(qubit).index, which is correct but QuantumCircuit.find_bit() doesn't exist yet in Qiskit 0.25 (AttributeError). Same approach as gpt-6-luna; gpt-5.6-luna used qc.qubits.index() and passed on all 12 versions.</t>
        </is>
      </c>
      <c r="AI11" s="2" t="inlineStr">
        <is>
          <t>AttributeError</t>
        </is>
      </c>
      <c r="AJ11" s="2" t="inlineStr">
        <is>
          <t>AttributeError: 'QuantumCircuit' object has no attribute 'find_bit'</t>
        </is>
      </c>
      <c r="AK11" s="2" t="inlineStr">
        <is>
          <t>Error on 0.25.x, passed on 0.45.x / 0.46.x: the LLM turned the traced-out registers into qubit indices with qc.find_bit(qubit).index, which is correct but QuantumCircuit.find_bit() doesn't exist yet in Qiskit 0.25 (AttributeError). Same approach as gpt-6-luna; gpt-5.6-luna used qc.qubits.index() and passed on all 12 versions.</t>
        </is>
      </c>
      <c r="AL11" s="2" t="inlineStr">
        <is>
          <t>AttributeError</t>
        </is>
      </c>
      <c r="AM11" s="2" t="inlineStr">
        <is>
          <t>AttributeError: 'QuantumCircuit' object has no attribute 'find_bit'</t>
        </is>
      </c>
      <c r="AN11" s="2" t="inlineStr">
        <is>
          <t>Error on 0.25.x, passed on 0.45.x / 0.46.x: the LLM turned the traced-out registers into qubit indices with qc.find_bit(qubit).index, which is correct but QuantumCircuit.find_bit() doesn't exist yet in Qiskit 0.25 (AttributeError). Same approach as gpt-6-luna; gpt-5.6-luna used qc.qubits.index() and passed on all 12 versions.</t>
        </is>
      </c>
      <c r="AO11" s="2" t="n"/>
      <c r="AP11" s="2" t="n"/>
      <c r="AQ11" s="2" t="n"/>
      <c r="AR11" s="2" t="n"/>
      <c r="AS11" s="2" t="n"/>
      <c r="AT11" s="2" t="n"/>
      <c r="AU11" s="2" t="n"/>
      <c r="AV11" s="2" t="n"/>
      <c r="AW11" s="2" t="n"/>
      <c r="AX11" s="2" t="n"/>
      <c r="AY11" s="2" t="n"/>
      <c r="AZ11" s="2" t="n"/>
      <c r="BA11" s="2" t="n"/>
      <c r="BB11" s="2" t="n"/>
      <c r="BC11" s="2" t="n"/>
      <c r="BD11" s="2" t="n"/>
      <c r="BE11" s="2" t="n"/>
      <c r="BF11" s="2" t="n"/>
      <c r="BG11" s="2" t="n"/>
      <c r="BH11" s="2" t="n"/>
      <c r="BI11" s="2" t="n"/>
      <c r="BJ11" s="2" t="n"/>
      <c r="BK11" s="2" t="n"/>
      <c r="BL11" s="2" t="n"/>
      <c r="BM11" s="2" t="n"/>
      <c r="BN11" s="2" t="n"/>
      <c r="BO11" s="2" t="n"/>
      <c r="BP11" s="2" t="n"/>
      <c r="BQ11" s="2" t="n"/>
      <c r="BR11" s="2" t="n"/>
      <c r="BS11" s="2" t="n"/>
      <c r="BT11" s="2" t="n"/>
      <c r="BU11" s="2" t="n"/>
      <c r="BV11" s="2" t="n"/>
      <c r="BW11" s="2" t="n"/>
      <c r="BX11" s="2" t="n"/>
      <c r="BY11" s="2" t="n"/>
      <c r="BZ11" s="2" t="n"/>
      <c r="CA11" s="2" t="n"/>
      <c r="CB11" s="2" t="n"/>
      <c r="CC11" s="2" t="n"/>
      <c r="CD11" s="2" t="n"/>
      <c r="CE11" s="2" t="n"/>
      <c r="CF11" s="2" t="n"/>
      <c r="CG11" s="2" t="n"/>
      <c r="CH11" s="2" t="n"/>
      <c r="CI11" s="2" t="n"/>
      <c r="CJ11" s="2" t="n"/>
      <c r="CK11" s="2" t="n"/>
      <c r="CL11" s="2" t="n"/>
      <c r="CM11" s="2" t="n"/>
      <c r="CN11" s="2" t="n"/>
      <c r="CO11" s="2" t="n"/>
      <c r="CP11" s="2" t="n"/>
      <c r="CQ11" s="2" t="n"/>
      <c r="CR11" s="2" t="n"/>
      <c r="CS11" s="2" t="n"/>
      <c r="CT11" s="2" t="n"/>
      <c r="CU11" s="2" t="n"/>
      <c r="CV11" s="2" t="n"/>
      <c r="CW11" s="2" t="n"/>
      <c r="CX11" s="2" t="n"/>
      <c r="CY11" s="2" t="n"/>
      <c r="CZ11" s="2" t="n"/>
      <c r="DA11" s="2" t="n"/>
      <c r="DB11" s="2" t="n"/>
      <c r="DC11" s="2" t="n"/>
      <c r="DD11" s="2" t="n"/>
      <c r="DE11" s="2" t="n"/>
    </row>
    <row r="12">
      <c r="A12" s="2" t="inlineStr">
        <is>
          <t>issue_157</t>
        </is>
      </c>
      <c r="B12" s="6" t="inlineStr">
        <is>
          <t>Runtime error</t>
        </is>
      </c>
      <c r="C12" s="6" t="inlineStr">
        <is>
          <t>Runtime error</t>
        </is>
      </c>
      <c r="D12" s="6" t="inlineStr">
        <is>
          <t>Runtime error</t>
        </is>
      </c>
      <c r="E12" s="6" t="inlineStr">
        <is>
          <t>Runtime error</t>
        </is>
      </c>
      <c r="F12" s="4" t="inlineStr">
        <is>
          <t>Passed on test</t>
        </is>
      </c>
      <c r="G12" s="4" t="inlineStr">
        <is>
          <t>Passed on test</t>
        </is>
      </c>
      <c r="H12" s="4" t="inlineStr">
        <is>
          <t>Passed on test</t>
        </is>
      </c>
      <c r="I12" s="4" t="inlineStr">
        <is>
          <t>Passed on test</t>
        </is>
      </c>
      <c r="J12" s="4" t="inlineStr">
        <is>
          <t>Passed on test</t>
        </is>
      </c>
      <c r="K12" s="4" t="inlineStr">
        <is>
          <t>Passed on test</t>
        </is>
      </c>
      <c r="L12" s="4" t="inlineStr">
        <is>
          <t>Passed on test</t>
        </is>
      </c>
      <c r="M12" s="4" t="inlineStr">
        <is>
          <t>Passed on test</t>
        </is>
      </c>
      <c r="N12" s="3" t="inlineStr">
        <is>
          <t>NOT_TESTED</t>
        </is>
      </c>
      <c r="O12" s="3" t="inlineStr">
        <is>
          <t>NOT_TESTED</t>
        </is>
      </c>
      <c r="P12" s="3" t="inlineStr">
        <is>
          <t>NOT_TESTED</t>
        </is>
      </c>
      <c r="Q12" s="3" t="inlineStr">
        <is>
          <t>NOT_TESTED</t>
        </is>
      </c>
      <c r="R12" s="3" t="inlineStr">
        <is>
          <t>NOT_TESTED</t>
        </is>
      </c>
      <c r="S12" s="3" t="inlineStr">
        <is>
          <t>NOT_TESTED</t>
        </is>
      </c>
      <c r="T12" s="3" t="inlineStr">
        <is>
          <t>NOT_TESTED</t>
        </is>
      </c>
      <c r="U12" s="3" t="inlineStr">
        <is>
          <t>NOT_TESTED</t>
        </is>
      </c>
      <c r="V12" s="3" t="inlineStr">
        <is>
          <t>NOT_TESTED</t>
        </is>
      </c>
      <c r="W12" s="3" t="inlineStr">
        <is>
          <t>NOT_TESTED</t>
        </is>
      </c>
      <c r="X12" s="3" t="inlineStr">
        <is>
          <t>NOT_TESTED</t>
        </is>
      </c>
      <c r="Y12" s="3" t="inlineStr">
        <is>
          <t>NOT_TESTED</t>
        </is>
      </c>
      <c r="Z12" s="3" t="inlineStr">
        <is>
          <t>NOT_TESTED</t>
        </is>
      </c>
      <c r="AA12" s="3" t="inlineStr">
        <is>
          <t>NOT_TESTED</t>
        </is>
      </c>
      <c r="AB12" s="3" t="inlineStr">
        <is>
          <t>NOT_TESTED</t>
        </is>
      </c>
      <c r="AC12" s="2" t="inlineStr">
        <is>
          <t>AttributeError</t>
        </is>
      </c>
      <c r="AD12" s="2" t="inlineStr">
        <is>
          <t>AttributeError: 'QuantumCircuit' object has no attribute 'prepare_state'</t>
        </is>
      </c>
      <c r="AE12" s="2" t="inlineStr">
        <is>
          <t>Error on 0.25.x, passed on 0.45.x / 0.46.x: the LLM replaced initialize() (which contains a non-unitary reset and can't be controlled) with prepare_state(), which is correct but doesn't exist yet in Qiskit 0.25 (AttributeError). Same code as gpt-6-luna.</t>
        </is>
      </c>
      <c r="AF12" s="2" t="inlineStr">
        <is>
          <t>AttributeError</t>
        </is>
      </c>
      <c r="AG12" s="2" t="inlineStr">
        <is>
          <t>AttributeError: 'QuantumCircuit' object has no attribute 'prepare_state'</t>
        </is>
      </c>
      <c r="AH12" s="2" t="inlineStr">
        <is>
          <t>Error on 0.25.x, passed on 0.45.x / 0.46.x: the LLM replaced initialize() (which contains a non-unitary reset and can't be controlled) with prepare_state(), which is correct but doesn't exist yet in Qiskit 0.25 (AttributeError). Same code as gpt-6-luna.</t>
        </is>
      </c>
      <c r="AI12" s="2" t="inlineStr">
        <is>
          <t>AttributeError</t>
        </is>
      </c>
      <c r="AJ12" s="2" t="inlineStr">
        <is>
          <t>AttributeError: 'QuantumCircuit' object has no attribute 'prepare_state'</t>
        </is>
      </c>
      <c r="AK12" s="2" t="inlineStr">
        <is>
          <t>Error on 0.25.x, passed on 0.45.x / 0.46.x: the LLM replaced initialize() (which contains a non-unitary reset and can't be controlled) with prepare_state(), which is correct but doesn't exist yet in Qiskit 0.25 (AttributeError). Same code as gpt-6-luna.</t>
        </is>
      </c>
      <c r="AL12" s="2" t="inlineStr">
        <is>
          <t>AttributeError</t>
        </is>
      </c>
      <c r="AM12" s="2" t="inlineStr">
        <is>
          <t>AttributeError: 'QuantumCircuit' object has no attribute 'prepare_state'</t>
        </is>
      </c>
      <c r="AN12" s="2" t="inlineStr">
        <is>
          <t>Error on 0.25.x, passed on 0.45.x / 0.46.x: the LLM replaced initialize() (which contains a non-unitary reset and can't be controlled) with prepare_state(), which is correct but doesn't exist yet in Qiskit 0.25 (AttributeError). Same code as gpt-6-luna.</t>
        </is>
      </c>
      <c r="AO12" s="2" t="n"/>
      <c r="AP12" s="2" t="n"/>
      <c r="AQ12" s="2" t="n"/>
      <c r="AR12" s="2" t="n"/>
      <c r="AS12" s="2" t="n"/>
      <c r="AT12" s="2" t="n"/>
      <c r="AU12" s="2" t="n"/>
      <c r="AV12" s="2" t="n"/>
      <c r="AW12" s="2" t="n"/>
      <c r="AX12" s="2" t="n"/>
      <c r="AY12" s="2" t="n"/>
      <c r="AZ12" s="2" t="n"/>
      <c r="BA12" s="2" t="n"/>
      <c r="BB12" s="2" t="n"/>
      <c r="BC12" s="2" t="n"/>
      <c r="BD12" s="2" t="n"/>
      <c r="BE12" s="2" t="n"/>
      <c r="BF12" s="2" t="n"/>
      <c r="BG12" s="2" t="n"/>
      <c r="BH12" s="2" t="n"/>
      <c r="BI12" s="2" t="n"/>
      <c r="BJ12" s="2" t="n"/>
      <c r="BK12" s="2" t="n"/>
      <c r="BL12" s="2" t="n"/>
      <c r="BM12" s="2" t="n"/>
      <c r="BN12" s="2" t="n"/>
      <c r="BO12" s="2" t="n"/>
      <c r="BP12" s="2" t="n"/>
      <c r="BQ12" s="2" t="n"/>
      <c r="BR12" s="2" t="n"/>
      <c r="BS12" s="2" t="n"/>
      <c r="BT12" s="2" t="n"/>
      <c r="BU12" s="2" t="n"/>
      <c r="BV12" s="2" t="n"/>
      <c r="BW12" s="2" t="n"/>
      <c r="BX12" s="2" t="n"/>
      <c r="BY12" s="2" t="n"/>
      <c r="BZ12" s="2" t="n"/>
      <c r="CA12" s="2" t="n"/>
      <c r="CB12" s="2" t="n"/>
      <c r="CC12" s="2" t="n"/>
      <c r="CD12" s="2" t="n"/>
      <c r="CE12" s="2" t="n"/>
      <c r="CF12" s="2" t="n"/>
      <c r="CG12" s="2" t="n"/>
      <c r="CH12" s="2" t="n"/>
      <c r="CI12" s="2" t="n"/>
      <c r="CJ12" s="2" t="n"/>
      <c r="CK12" s="2" t="n"/>
      <c r="CL12" s="2" t="n"/>
      <c r="CM12" s="2" t="n"/>
      <c r="CN12" s="2" t="n"/>
      <c r="CO12" s="2" t="n"/>
      <c r="CP12" s="2" t="n"/>
      <c r="CQ12" s="2" t="n"/>
      <c r="CR12" s="2" t="n"/>
      <c r="CS12" s="2" t="n"/>
      <c r="CT12" s="2" t="n"/>
      <c r="CU12" s="2" t="n"/>
      <c r="CV12" s="2" t="n"/>
      <c r="CW12" s="2" t="n"/>
      <c r="CX12" s="2" t="n"/>
      <c r="CY12" s="2" t="n"/>
      <c r="CZ12" s="2" t="n"/>
      <c r="DA12" s="2" t="n"/>
      <c r="DB12" s="2" t="n"/>
      <c r="DC12" s="2" t="n"/>
      <c r="DD12" s="2" t="n"/>
      <c r="DE12" s="2" t="n"/>
    </row>
    <row r="13">
      <c r="A13" s="2" t="inlineStr">
        <is>
          <t>issue_174</t>
        </is>
      </c>
      <c r="B13" s="4" t="inlineStr">
        <is>
          <t>Passed on test</t>
        </is>
      </c>
      <c r="C13" s="4" t="inlineStr">
        <is>
          <t>Passed on test</t>
        </is>
      </c>
      <c r="D13" s="4" t="inlineStr">
        <is>
          <t>Passed on test</t>
        </is>
      </c>
      <c r="E13" s="4" t="inlineStr">
        <is>
          <t>Passed on test</t>
        </is>
      </c>
      <c r="F13" s="4" t="inlineStr">
        <is>
          <t>Passed on test</t>
        </is>
      </c>
      <c r="G13" s="4" t="inlineStr">
        <is>
          <t>Passed on test</t>
        </is>
      </c>
      <c r="H13" s="4" t="inlineStr">
        <is>
          <t>Passed on test</t>
        </is>
      </c>
      <c r="I13" s="4" t="inlineStr">
        <is>
          <t>Passed on test</t>
        </is>
      </c>
      <c r="J13" s="4" t="inlineStr">
        <is>
          <t>Passed on test</t>
        </is>
      </c>
      <c r="K13" s="4" t="inlineStr">
        <is>
          <t>Passed on test</t>
        </is>
      </c>
      <c r="L13" s="4" t="inlineStr">
        <is>
          <t>Passed on test</t>
        </is>
      </c>
      <c r="M13" s="4" t="inlineStr">
        <is>
          <t>Passed on test</t>
        </is>
      </c>
      <c r="N13" s="3" t="inlineStr">
        <is>
          <t>NOT_TESTED</t>
        </is>
      </c>
      <c r="O13" s="3" t="inlineStr">
        <is>
          <t>NOT_TESTED</t>
        </is>
      </c>
      <c r="P13" s="3" t="inlineStr">
        <is>
          <t>NOT_TESTED</t>
        </is>
      </c>
      <c r="Q13" s="3" t="inlineStr">
        <is>
          <t>NOT_TESTED</t>
        </is>
      </c>
      <c r="R13" s="3" t="inlineStr">
        <is>
          <t>NOT_TESTED</t>
        </is>
      </c>
      <c r="S13" s="3" t="inlineStr">
        <is>
          <t>NOT_TESTED</t>
        </is>
      </c>
      <c r="T13" s="3" t="inlineStr">
        <is>
          <t>NOT_TESTED</t>
        </is>
      </c>
      <c r="U13" s="3" t="inlineStr">
        <is>
          <t>NOT_TESTED</t>
        </is>
      </c>
      <c r="V13" s="3" t="inlineStr">
        <is>
          <t>NOT_TESTED</t>
        </is>
      </c>
      <c r="W13" s="3" t="inlineStr">
        <is>
          <t>NOT_TESTED</t>
        </is>
      </c>
      <c r="X13" s="3" t="inlineStr">
        <is>
          <t>NOT_TESTED</t>
        </is>
      </c>
      <c r="Y13" s="3" t="inlineStr">
        <is>
          <t>NOT_TESTED</t>
        </is>
      </c>
      <c r="Z13" s="3" t="inlineStr">
        <is>
          <t>NOT_TESTED</t>
        </is>
      </c>
      <c r="AA13" s="3" t="inlineStr">
        <is>
          <t>NOT_TESTED</t>
        </is>
      </c>
      <c r="AB13" s="3" t="inlineStr">
        <is>
          <t>NOT_TESTED</t>
        </is>
      </c>
      <c r="AC13" s="2" t="n"/>
      <c r="AD13" s="2" t="n"/>
      <c r="AE13" s="2" t="n"/>
      <c r="AF13" s="2" t="n"/>
      <c r="AG13" s="2" t="n"/>
      <c r="AH13" s="2" t="n"/>
      <c r="AI13" s="2" t="n"/>
      <c r="AJ13" s="2" t="n"/>
      <c r="AK13" s="2" t="n"/>
      <c r="AL13" s="2" t="n"/>
      <c r="AM13" s="2" t="n"/>
      <c r="AN13" s="2" t="n"/>
      <c r="AO13" s="2" t="n"/>
      <c r="AP13" s="2" t="n"/>
      <c r="AQ13" s="2" t="n"/>
      <c r="AR13" s="2" t="n"/>
      <c r="AS13" s="2" t="n"/>
      <c r="AT13" s="2" t="n"/>
      <c r="AU13" s="2" t="n"/>
      <c r="AV13" s="2" t="n"/>
      <c r="AW13" s="2" t="n"/>
      <c r="AX13" s="2" t="n"/>
      <c r="AY13" s="2" t="n"/>
      <c r="AZ13" s="2" t="n"/>
      <c r="BA13" s="2" t="n"/>
      <c r="BB13" s="2" t="n"/>
      <c r="BC13" s="2" t="n"/>
      <c r="BD13" s="2" t="n"/>
      <c r="BE13" s="2" t="n"/>
      <c r="BF13" s="2" t="n"/>
      <c r="BG13" s="2" t="n"/>
      <c r="BH13" s="2" t="n"/>
      <c r="BI13" s="2" t="n"/>
      <c r="BJ13" s="2" t="n"/>
      <c r="BK13" s="2" t="n"/>
      <c r="BL13" s="2" t="n"/>
      <c r="BM13" s="2" t="n"/>
      <c r="BN13" s="2" t="n"/>
      <c r="BO13" s="2" t="n"/>
      <c r="BP13" s="2" t="n"/>
      <c r="BQ13" s="2" t="n"/>
      <c r="BR13" s="2" t="n"/>
      <c r="BS13" s="2" t="n"/>
      <c r="BT13" s="2" t="n"/>
      <c r="BU13" s="2" t="n"/>
      <c r="BV13" s="2" t="n"/>
      <c r="BW13" s="2" t="n"/>
      <c r="BX13" s="2" t="n"/>
      <c r="BY13" s="2" t="n"/>
      <c r="BZ13" s="2" t="n"/>
      <c r="CA13" s="2" t="n"/>
      <c r="CB13" s="2" t="n"/>
      <c r="CC13" s="2" t="n"/>
      <c r="CD13" s="2" t="n"/>
      <c r="CE13" s="2" t="n"/>
      <c r="CF13" s="2" t="n"/>
      <c r="CG13" s="2" t="n"/>
      <c r="CH13" s="2" t="n"/>
      <c r="CI13" s="2" t="n"/>
      <c r="CJ13" s="2" t="n"/>
      <c r="CK13" s="2" t="n"/>
      <c r="CL13" s="2" t="n"/>
      <c r="CM13" s="2" t="n"/>
      <c r="CN13" s="2" t="n"/>
      <c r="CO13" s="2" t="n"/>
      <c r="CP13" s="2" t="n"/>
      <c r="CQ13" s="2" t="n"/>
      <c r="CR13" s="2" t="n"/>
      <c r="CS13" s="2" t="n"/>
      <c r="CT13" s="2" t="n"/>
      <c r="CU13" s="2" t="n"/>
      <c r="CV13" s="2" t="n"/>
      <c r="CW13" s="2" t="n"/>
      <c r="CX13" s="2" t="n"/>
      <c r="CY13" s="2" t="n"/>
      <c r="CZ13" s="2" t="n"/>
      <c r="DA13" s="2" t="n"/>
      <c r="DB13" s="2" t="n"/>
      <c r="DC13" s="2" t="n"/>
      <c r="DD13" s="2" t="n"/>
      <c r="DE13" s="2" t="n"/>
    </row>
    <row r="14">
      <c r="A14" s="2" t="inlineStr">
        <is>
          <t>issue_189</t>
        </is>
      </c>
      <c r="B14" s="3" t="inlineStr">
        <is>
          <t>NOT_TESTED</t>
        </is>
      </c>
      <c r="C14" s="3" t="inlineStr">
        <is>
          <t>NOT_TESTED</t>
        </is>
      </c>
      <c r="D14" s="3" t="inlineStr">
        <is>
          <t>NOT_TESTED</t>
        </is>
      </c>
      <c r="E14" s="3" t="inlineStr">
        <is>
          <t>NOT_TESTED</t>
        </is>
      </c>
      <c r="F14" s="4" t="inlineStr">
        <is>
          <t>Failed on test</t>
        </is>
      </c>
      <c r="G14" s="4" t="inlineStr">
        <is>
          <t>Failed on test</t>
        </is>
      </c>
      <c r="H14" s="4" t="inlineStr">
        <is>
          <t>Failed on test</t>
        </is>
      </c>
      <c r="I14" s="4" t="inlineStr">
        <is>
          <t>Failed on test</t>
        </is>
      </c>
      <c r="J14" s="4" t="inlineStr">
        <is>
          <t>Failed on test</t>
        </is>
      </c>
      <c r="K14" s="4" t="inlineStr">
        <is>
          <t>Failed on test</t>
        </is>
      </c>
      <c r="L14" s="4" t="inlineStr">
        <is>
          <t>Failed on test</t>
        </is>
      </c>
      <c r="M14" s="4" t="inlineStr">
        <is>
          <t>Failed on test</t>
        </is>
      </c>
      <c r="N14" s="4" t="inlineStr">
        <is>
          <t>Failed on test</t>
        </is>
      </c>
      <c r="O14" s="4" t="inlineStr">
        <is>
          <t>Failed on test</t>
        </is>
      </c>
      <c r="P14" s="4" t="inlineStr">
        <is>
          <t>Failed on test</t>
        </is>
      </c>
      <c r="Q14" s="4" t="inlineStr">
        <is>
          <t>Failed on test</t>
        </is>
      </c>
      <c r="R14" s="4" t="inlineStr">
        <is>
          <t>Failed on test</t>
        </is>
      </c>
      <c r="S14" s="4" t="inlineStr">
        <is>
          <t>Failed on test</t>
        </is>
      </c>
      <c r="T14" s="4" t="inlineStr">
        <is>
          <t>Failed on test</t>
        </is>
      </c>
      <c r="U14" s="4" t="inlineStr">
        <is>
          <t>Failed on test</t>
        </is>
      </c>
      <c r="V14" s="4" t="inlineStr">
        <is>
          <t>Failed on test</t>
        </is>
      </c>
      <c r="W14" s="4" t="inlineStr">
        <is>
          <t>Failed on test</t>
        </is>
      </c>
      <c r="X14" s="4" t="inlineStr">
        <is>
          <t>Failed on test</t>
        </is>
      </c>
      <c r="Y14" s="4" t="inlineStr">
        <is>
          <t>Failed on test</t>
        </is>
      </c>
      <c r="Z14" s="4" t="inlineStr">
        <is>
          <t>Failed on test</t>
        </is>
      </c>
      <c r="AA14" s="4" t="inlineStr">
        <is>
          <t>Failed on test</t>
        </is>
      </c>
      <c r="AB14" s="4" t="inlineStr">
        <is>
          <t>Failed on test</t>
        </is>
      </c>
      <c r="AC14" s="2" t="n"/>
      <c r="AD14" s="2" t="n"/>
      <c r="AE14" s="2" t="n"/>
      <c r="AF14" s="2" t="n"/>
      <c r="AG14" s="2" t="n"/>
      <c r="AH14" s="2" t="n"/>
      <c r="AI14" s="2" t="n"/>
      <c r="AJ14" s="2" t="n"/>
      <c r="AK14" s="2" t="n"/>
      <c r="AL14" s="2" t="n"/>
      <c r="AM14" s="2" t="n"/>
      <c r="AN14" s="2" t="n"/>
      <c r="AO14" s="2" t="inlineStr">
        <is>
          <t>AssertionError</t>
        </is>
      </c>
      <c r="AP14" s="2" t="inlineStr">
        <is>
          <t>AssertionError: Lists differ: [2, 3, 4, 5, 6, 7, 8] != [0, 3, 4, 5, 6, 7, 8]</t>
        </is>
      </c>
      <c r="AQ14" s="2" t="n"/>
      <c r="AR14" s="2" t="inlineStr">
        <is>
          <t>AssertionError</t>
        </is>
      </c>
      <c r="AS14" s="2" t="inlineStr">
        <is>
          <t>AssertionError: Lists differ: [2, 3, 4, 5, 6, 7, 8] != [0, 3, 4, 5, 6, 7, 8]</t>
        </is>
      </c>
      <c r="AT14" s="2" t="n"/>
      <c r="AU14" s="2" t="inlineStr">
        <is>
          <t>AssertionError</t>
        </is>
      </c>
      <c r="AV14" s="2" t="inlineStr">
        <is>
          <t>AssertionError: Lists differ: [2, 3, 4, 5, 6, 7, 8] != [0, 3, 4, 5, 6, 7, 8]</t>
        </is>
      </c>
      <c r="AW14" s="2" t="n"/>
      <c r="AX14" s="2" t="inlineStr">
        <is>
          <t>AssertionError</t>
        </is>
      </c>
      <c r="AY14" s="2" t="inlineStr">
        <is>
          <t>AssertionError: Lists differ: [2, 3, 4, 5, 6, 7, 8] != [0, 3, 4, 5, 6, 7, 8]</t>
        </is>
      </c>
      <c r="AZ14" s="2" t="n"/>
      <c r="BA14" s="2" t="inlineStr">
        <is>
          <t>AssertionError</t>
        </is>
      </c>
      <c r="BB14" s="2" t="inlineStr">
        <is>
          <t>AssertionError: Lists differ: [2, 3, 4, 5, 6, 7, 8] != [0, 3, 4, 5, 6, 7, 8]</t>
        </is>
      </c>
      <c r="BC14" s="2" t="n"/>
      <c r="BD14" s="2" t="inlineStr">
        <is>
          <t>AssertionError</t>
        </is>
      </c>
      <c r="BE14" s="2" t="inlineStr">
        <is>
          <t>AssertionError: Lists differ: [2, 3, 4, 5, 6, 7, 8] != [0, 3, 4, 5, 6, 7, 8]</t>
        </is>
      </c>
      <c r="BF14" s="2" t="n"/>
      <c r="BG14" s="2" t="inlineStr">
        <is>
          <t>AssertionError</t>
        </is>
      </c>
      <c r="BH14" s="2" t="inlineStr">
        <is>
          <t>AssertionError: Lists differ: [2, 3, 4, 5, 6, 7, 8] != [0, 3, 4, 5, 6, 7, 8]</t>
        </is>
      </c>
      <c r="BI14" s="2" t="n"/>
      <c r="BJ14" s="2" t="inlineStr">
        <is>
          <t>AssertionError</t>
        </is>
      </c>
      <c r="BK14" s="2" t="inlineStr">
        <is>
          <t>AssertionError: Lists differ: [2, 3, 4, 5, 6, 7, 8] != [0, 3, 4, 5, 6, 7, 8]</t>
        </is>
      </c>
      <c r="BL14" s="2" t="n"/>
      <c r="BM14" s="2" t="inlineStr">
        <is>
          <t>AssertionError</t>
        </is>
      </c>
      <c r="BN14" s="2" t="inlineStr">
        <is>
          <t>AssertionError: Lists differ: [2, 3, 4, 5, 6, 7, 8] != [0, 3, 4, 5, 6, 7, 8]</t>
        </is>
      </c>
      <c r="BO14" s="2" t="n"/>
      <c r="BP14" s="2" t="inlineStr">
        <is>
          <t>AssertionError</t>
        </is>
      </c>
      <c r="BQ14" s="2" t="inlineStr">
        <is>
          <t>AssertionError: Lists differ: [2, 3, 4, 5, 6, 7, 8] != [0, 3, 4, 5, 6, 7, 8]</t>
        </is>
      </c>
      <c r="BR14" s="2" t="n"/>
      <c r="BS14" s="2" t="inlineStr">
        <is>
          <t>AssertionError</t>
        </is>
      </c>
      <c r="BT14" s="2" t="inlineStr">
        <is>
          <t>AssertionError: Lists differ: [2, 3, 4, 5, 6, 7, 8] != [0, 3, 4, 5, 6, 7, 8]</t>
        </is>
      </c>
      <c r="BU14" s="2" t="n"/>
      <c r="BV14" s="2" t="inlineStr">
        <is>
          <t>AssertionError</t>
        </is>
      </c>
      <c r="BW14" s="2" t="inlineStr">
        <is>
          <t>AssertionError: Lists differ: [2, 3, 4, 5, 6, 7, 8] != [0, 3, 4, 5, 6, 7, 8]</t>
        </is>
      </c>
      <c r="BX14" s="2" t="n"/>
      <c r="BY14" s="2" t="inlineStr">
        <is>
          <t>AssertionError</t>
        </is>
      </c>
      <c r="BZ14" s="2" t="inlineStr">
        <is>
          <t>AssertionError: Lists differ: [2, 3, 4, 5, 6, 7, 8] != [0, 3, 4, 5, 6, 7, 8]</t>
        </is>
      </c>
      <c r="CA14" s="2" t="n"/>
      <c r="CB14" s="2" t="inlineStr">
        <is>
          <t>AssertionError</t>
        </is>
      </c>
      <c r="CC14" s="2" t="inlineStr">
        <is>
          <t>AssertionError: Lists differ: [2, 3, 4, 5, 6, 7, 8] != [0, 3, 4, 5, 6, 7, 8]</t>
        </is>
      </c>
      <c r="CD14" s="2" t="n"/>
      <c r="CE14" s="2" t="inlineStr">
        <is>
          <t>AssertionError</t>
        </is>
      </c>
      <c r="CF14" s="2" t="inlineStr">
        <is>
          <t>AssertionError: Lists differ: [2, 3, 4, 5, 6, 7, 8] != [0, 3, 4, 5, 6, 7, 8]</t>
        </is>
      </c>
      <c r="CG14" s="2" t="n"/>
      <c r="CH14" s="2" t="inlineStr">
        <is>
          <t>AssertionError</t>
        </is>
      </c>
      <c r="CI14" s="2" t="inlineStr">
        <is>
          <t>AssertionError: Lists differ: [2, 3, 4, 5, 6, 7, 8] != [0, 3, 4, 5, 6, 7, 8]</t>
        </is>
      </c>
      <c r="CJ14" s="2" t="n"/>
      <c r="CK14" s="2" t="inlineStr">
        <is>
          <t>AssertionError</t>
        </is>
      </c>
      <c r="CL14" s="2" t="inlineStr">
        <is>
          <t>AssertionError: Lists differ: [2, 3, 4, 5, 6, 7, 8] != [0, 3, 4, 5, 6, 7, 8]</t>
        </is>
      </c>
      <c r="CM14" s="2" t="n"/>
      <c r="CN14" s="2" t="inlineStr">
        <is>
          <t>AssertionError</t>
        </is>
      </c>
      <c r="CO14" s="2" t="inlineStr">
        <is>
          <t>AssertionError: Lists differ: [2, 3, 4, 5, 6, 7, 8] != [0, 3, 4, 5, 6, 7, 8]</t>
        </is>
      </c>
      <c r="CP14" s="2" t="n"/>
      <c r="CQ14" s="2" t="inlineStr">
        <is>
          <t>AssertionError</t>
        </is>
      </c>
      <c r="CR14" s="2" t="inlineStr">
        <is>
          <t>AssertionError: Lists differ: [2, 3, 4, 5, 6, 7, 8] != [0, 3, 4, 5, 6, 7, 8]</t>
        </is>
      </c>
      <c r="CS14" s="2" t="n"/>
      <c r="CT14" s="2" t="inlineStr">
        <is>
          <t>AssertionError</t>
        </is>
      </c>
      <c r="CU14" s="2" t="inlineStr">
        <is>
          <t>AssertionError: Lists differ: [2, 3, 4, 5, 6, 7, 8] != [0, 3, 4, 5, 6, 7, 8]</t>
        </is>
      </c>
      <c r="CV14" s="2" t="n"/>
      <c r="CW14" s="2" t="inlineStr">
        <is>
          <t>AssertionError</t>
        </is>
      </c>
      <c r="CX14" s="2" t="inlineStr">
        <is>
          <t>AssertionError: Lists differ: [2, 3, 4, 5, 6, 7, 8] != [0, 3, 4, 5, 6, 7, 8]</t>
        </is>
      </c>
      <c r="CY14" s="2" t="n"/>
      <c r="CZ14" s="2" t="inlineStr">
        <is>
          <t>AssertionError</t>
        </is>
      </c>
      <c r="DA14" s="2" t="inlineStr">
        <is>
          <t>AssertionError: Lists differ: [2, 3, 4, 5, 6, 7, 8] != [0, 3, 4, 5, 6, 7, 8]</t>
        </is>
      </c>
      <c r="DB14" s="2" t="n"/>
      <c r="DC14" s="2" t="inlineStr">
        <is>
          <t>AssertionError</t>
        </is>
      </c>
      <c r="DD14" s="2" t="inlineStr">
        <is>
          <t>AssertionError: Lists differ: [2, 3, 4, 5, 6, 7, 8] != [0, 3, 4, 5, 6, 7, 8]</t>
        </is>
      </c>
      <c r="DE14" s="2" t="n"/>
    </row>
    <row r="15">
      <c r="A15" s="2" t="inlineStr">
        <is>
          <t>issue_225</t>
        </is>
      </c>
      <c r="B15" s="3" t="inlineStr">
        <is>
          <t>NOT_TESTED</t>
        </is>
      </c>
      <c r="C15" s="3" t="inlineStr">
        <is>
          <t>NOT_TESTED</t>
        </is>
      </c>
      <c r="D15" s="3" t="inlineStr">
        <is>
          <t>NOT_TESTED</t>
        </is>
      </c>
      <c r="E15" s="3" t="inlineStr">
        <is>
          <t>NOT_TESTED</t>
        </is>
      </c>
      <c r="F15" s="4" t="inlineStr">
        <is>
          <t>Passed on test</t>
        </is>
      </c>
      <c r="G15" s="4" t="inlineStr">
        <is>
          <t>Passed on test</t>
        </is>
      </c>
      <c r="H15" s="4" t="inlineStr">
        <is>
          <t>Passed on test</t>
        </is>
      </c>
      <c r="I15" s="4" t="inlineStr">
        <is>
          <t>Passed on test</t>
        </is>
      </c>
      <c r="J15" s="4" t="inlineStr">
        <is>
          <t>Passed on test</t>
        </is>
      </c>
      <c r="K15" s="4" t="inlineStr">
        <is>
          <t>Passed on test</t>
        </is>
      </c>
      <c r="L15" s="4" t="inlineStr">
        <is>
          <t>Passed on test</t>
        </is>
      </c>
      <c r="M15" s="4" t="inlineStr">
        <is>
          <t>Passed on test</t>
        </is>
      </c>
      <c r="N15" s="3" t="inlineStr">
        <is>
          <t>NOT_TESTED</t>
        </is>
      </c>
      <c r="O15" s="3" t="inlineStr">
        <is>
          <t>NOT_TESTED</t>
        </is>
      </c>
      <c r="P15" s="3" t="inlineStr">
        <is>
          <t>NOT_TESTED</t>
        </is>
      </c>
      <c r="Q15" s="3" t="inlineStr">
        <is>
          <t>NOT_TESTED</t>
        </is>
      </c>
      <c r="R15" s="3" t="inlineStr">
        <is>
          <t>NOT_TESTED</t>
        </is>
      </c>
      <c r="S15" s="3" t="inlineStr">
        <is>
          <t>NOT_TESTED</t>
        </is>
      </c>
      <c r="T15" s="3" t="inlineStr">
        <is>
          <t>NOT_TESTED</t>
        </is>
      </c>
      <c r="U15" s="3" t="inlineStr">
        <is>
          <t>NOT_TESTED</t>
        </is>
      </c>
      <c r="V15" s="3" t="inlineStr">
        <is>
          <t>NOT_TESTED</t>
        </is>
      </c>
      <c r="W15" s="3" t="inlineStr">
        <is>
          <t>NOT_TESTED</t>
        </is>
      </c>
      <c r="X15" s="3" t="inlineStr">
        <is>
          <t>NOT_TESTED</t>
        </is>
      </c>
      <c r="Y15" s="3" t="inlineStr">
        <is>
          <t>NOT_TESTED</t>
        </is>
      </c>
      <c r="Z15" s="3" t="inlineStr">
        <is>
          <t>NOT_TESTED</t>
        </is>
      </c>
      <c r="AA15" s="3" t="inlineStr">
        <is>
          <t>NOT_TESTED</t>
        </is>
      </c>
      <c r="AB15" s="3" t="inlineStr">
        <is>
          <t>NOT_TESTED</t>
        </is>
      </c>
      <c r="AC15" s="2" t="n"/>
      <c r="AD15" s="2" t="n"/>
      <c r="AE15" s="2" t="n"/>
      <c r="AF15" s="2" t="n"/>
      <c r="AG15" s="2" t="n"/>
      <c r="AH15" s="2" t="n"/>
      <c r="AI15" s="2" t="n"/>
      <c r="AJ15" s="2" t="n"/>
      <c r="AK15" s="2" t="n"/>
      <c r="AL15" s="2" t="n"/>
      <c r="AM15" s="2" t="n"/>
      <c r="AN15" s="2" t="n"/>
      <c r="AO15" s="2" t="n"/>
      <c r="AP15" s="2" t="n"/>
      <c r="AQ15" s="2" t="n"/>
      <c r="AR15" s="2" t="n"/>
      <c r="AS15" s="2" t="n"/>
      <c r="AT15" s="2" t="n"/>
      <c r="AU15" s="2" t="n"/>
      <c r="AV15" s="2" t="n"/>
      <c r="AW15" s="2" t="n"/>
      <c r="AX15" s="2" t="n"/>
      <c r="AY15" s="2" t="n"/>
      <c r="AZ15" s="2" t="n"/>
      <c r="BA15" s="2" t="n"/>
      <c r="BB15" s="2" t="n"/>
      <c r="BC15" s="2" t="n"/>
      <c r="BD15" s="2" t="n"/>
      <c r="BE15" s="2" t="n"/>
      <c r="BF15" s="2" t="n"/>
      <c r="BG15" s="2" t="n"/>
      <c r="BH15" s="2" t="n"/>
      <c r="BI15" s="2" t="n"/>
      <c r="BJ15" s="2" t="n"/>
      <c r="BK15" s="2" t="n"/>
      <c r="BL15" s="2" t="n"/>
      <c r="BM15" s="2" t="n"/>
      <c r="BN15" s="2" t="n"/>
      <c r="BO15" s="2" t="n"/>
      <c r="BP15" s="2" t="n"/>
      <c r="BQ15" s="2" t="n"/>
      <c r="BR15" s="2" t="n"/>
      <c r="BS15" s="2" t="n"/>
      <c r="BT15" s="2" t="n"/>
      <c r="BU15" s="2" t="n"/>
      <c r="BV15" s="2" t="n"/>
      <c r="BW15" s="2" t="n"/>
      <c r="BX15" s="2" t="n"/>
      <c r="BY15" s="2" t="n"/>
      <c r="BZ15" s="2" t="n"/>
      <c r="CA15" s="2" t="n"/>
      <c r="CB15" s="2" t="n"/>
      <c r="CC15" s="2" t="n"/>
      <c r="CD15" s="2" t="n"/>
      <c r="CE15" s="2" t="n"/>
      <c r="CF15" s="2" t="n"/>
      <c r="CG15" s="2" t="n"/>
      <c r="CH15" s="2" t="n"/>
      <c r="CI15" s="2" t="n"/>
      <c r="CJ15" s="2" t="n"/>
      <c r="CK15" s="2" t="n"/>
      <c r="CL15" s="2" t="n"/>
      <c r="CM15" s="2" t="n"/>
      <c r="CN15" s="2" t="n"/>
      <c r="CO15" s="2" t="n"/>
      <c r="CP15" s="2" t="n"/>
      <c r="CQ15" s="2" t="n"/>
      <c r="CR15" s="2" t="n"/>
      <c r="CS15" s="2" t="n"/>
      <c r="CT15" s="2" t="n"/>
      <c r="CU15" s="2" t="n"/>
      <c r="CV15" s="2" t="n"/>
      <c r="CW15" s="2" t="n"/>
      <c r="CX15" s="2" t="n"/>
      <c r="CY15" s="2" t="n"/>
      <c r="CZ15" s="2" t="n"/>
      <c r="DA15" s="2" t="n"/>
      <c r="DB15" s="2" t="n"/>
      <c r="DC15" s="2" t="n"/>
      <c r="DD15" s="2" t="n"/>
      <c r="DE15" s="2" t="n"/>
    </row>
    <row r="16">
      <c r="A16" s="2" t="inlineStr">
        <is>
          <t>issue_233</t>
        </is>
      </c>
      <c r="B16" s="4" t="inlineStr">
        <is>
          <t>Passed on test</t>
        </is>
      </c>
      <c r="C16" s="4" t="inlineStr">
        <is>
          <t>Passed on test</t>
        </is>
      </c>
      <c r="D16" s="4" t="inlineStr">
        <is>
          <t>Passed on test</t>
        </is>
      </c>
      <c r="E16" s="4" t="inlineStr">
        <is>
          <t>Passed on test</t>
        </is>
      </c>
      <c r="F16" s="4" t="inlineStr">
        <is>
          <t>Passed on test</t>
        </is>
      </c>
      <c r="G16" s="4" t="inlineStr">
        <is>
          <t>Passed on test</t>
        </is>
      </c>
      <c r="H16" s="4" t="inlineStr">
        <is>
          <t>Passed on test</t>
        </is>
      </c>
      <c r="I16" s="4" t="inlineStr">
        <is>
          <t>Passed on test</t>
        </is>
      </c>
      <c r="J16" s="4" t="inlineStr">
        <is>
          <t>Passed on test</t>
        </is>
      </c>
      <c r="K16" s="4" t="inlineStr">
        <is>
          <t>Passed on test</t>
        </is>
      </c>
      <c r="L16" s="4" t="inlineStr">
        <is>
          <t>Passed on test</t>
        </is>
      </c>
      <c r="M16" s="4" t="inlineStr">
        <is>
          <t>Passed on test</t>
        </is>
      </c>
      <c r="N16" s="4" t="inlineStr">
        <is>
          <t>Passed on test</t>
        </is>
      </c>
      <c r="O16" s="4" t="inlineStr">
        <is>
          <t>Passed on test</t>
        </is>
      </c>
      <c r="P16" s="4" t="inlineStr">
        <is>
          <t>Passed on test</t>
        </is>
      </c>
      <c r="Q16" s="4" t="inlineStr">
        <is>
          <t>Passed on test</t>
        </is>
      </c>
      <c r="R16" s="4" t="inlineStr">
        <is>
          <t>Passed on test</t>
        </is>
      </c>
      <c r="S16" s="4" t="inlineStr">
        <is>
          <t>Passed on test</t>
        </is>
      </c>
      <c r="T16" s="4" t="inlineStr">
        <is>
          <t>Passed on test</t>
        </is>
      </c>
      <c r="U16" s="4" t="inlineStr">
        <is>
          <t>Passed on test</t>
        </is>
      </c>
      <c r="V16" s="4" t="inlineStr">
        <is>
          <t>Passed on test</t>
        </is>
      </c>
      <c r="W16" s="4" t="inlineStr">
        <is>
          <t>Passed on test</t>
        </is>
      </c>
      <c r="X16" s="4" t="inlineStr">
        <is>
          <t>Passed on test</t>
        </is>
      </c>
      <c r="Y16" s="4" t="inlineStr">
        <is>
          <t>Passed on test</t>
        </is>
      </c>
      <c r="Z16" s="4" t="inlineStr">
        <is>
          <t>Passed on test</t>
        </is>
      </c>
      <c r="AA16" s="4" t="inlineStr">
        <is>
          <t>Passed on test</t>
        </is>
      </c>
      <c r="AB16" s="4" t="inlineStr">
        <is>
          <t>Passed on test</t>
        </is>
      </c>
      <c r="AC16" s="2" t="n"/>
      <c r="AD16" s="2" t="n"/>
      <c r="AE16" s="2" t="n"/>
      <c r="AF16" s="2" t="n"/>
      <c r="AG16" s="2" t="n"/>
      <c r="AH16" s="2" t="n"/>
      <c r="AI16" s="2" t="n"/>
      <c r="AJ16" s="2" t="n"/>
      <c r="AK16" s="2" t="n"/>
      <c r="AL16" s="2" t="n"/>
      <c r="AM16" s="2" t="n"/>
      <c r="AN16" s="2" t="n"/>
      <c r="AO16" s="2" t="n"/>
      <c r="AP16" s="2" t="n"/>
      <c r="AQ16" s="2" t="n"/>
      <c r="AR16" s="2" t="n"/>
      <c r="AS16" s="2" t="n"/>
      <c r="AT16" s="2" t="n"/>
      <c r="AU16" s="2" t="n"/>
      <c r="AV16" s="2" t="n"/>
      <c r="AW16" s="2" t="n"/>
      <c r="AX16" s="2" t="n"/>
      <c r="AY16" s="2" t="n"/>
      <c r="AZ16" s="2" t="n"/>
      <c r="BA16" s="2" t="n"/>
      <c r="BB16" s="2" t="n"/>
      <c r="BC16" s="2" t="n"/>
      <c r="BD16" s="2" t="n"/>
      <c r="BE16" s="2" t="n"/>
      <c r="BF16" s="2" t="n"/>
      <c r="BG16" s="2" t="n"/>
      <c r="BH16" s="2" t="n"/>
      <c r="BI16" s="2" t="n"/>
      <c r="BJ16" s="2" t="n"/>
      <c r="BK16" s="2" t="n"/>
      <c r="BL16" s="2" t="n"/>
      <c r="BM16" s="2" t="n"/>
      <c r="BN16" s="2" t="n"/>
      <c r="BO16" s="2" t="n"/>
      <c r="BP16" s="2" t="n"/>
      <c r="BQ16" s="2" t="n"/>
      <c r="BR16" s="2" t="n"/>
      <c r="BS16" s="2" t="n"/>
      <c r="BT16" s="2" t="n"/>
      <c r="BU16" s="2" t="n"/>
      <c r="BV16" s="2" t="n"/>
      <c r="BW16" s="2" t="n"/>
      <c r="BX16" s="2" t="n"/>
      <c r="BY16" s="2" t="n"/>
      <c r="BZ16" s="2" t="n"/>
      <c r="CA16" s="2" t="n"/>
      <c r="CB16" s="2" t="n"/>
      <c r="CC16" s="2" t="n"/>
      <c r="CD16" s="2" t="n"/>
      <c r="CE16" s="2" t="n"/>
      <c r="CF16" s="2" t="n"/>
      <c r="CG16" s="2" t="n"/>
      <c r="CH16" s="2" t="n"/>
      <c r="CI16" s="2" t="n"/>
      <c r="CJ16" s="2" t="n"/>
      <c r="CK16" s="2" t="n"/>
      <c r="CL16" s="2" t="n"/>
      <c r="CM16" s="2" t="n"/>
      <c r="CN16" s="2" t="n"/>
      <c r="CO16" s="2" t="n"/>
      <c r="CP16" s="2" t="n"/>
      <c r="CQ16" s="2" t="n"/>
      <c r="CR16" s="2" t="n"/>
      <c r="CS16" s="2" t="n"/>
      <c r="CT16" s="2" t="n"/>
      <c r="CU16" s="2" t="n"/>
      <c r="CV16" s="2" t="n"/>
      <c r="CW16" s="2" t="n"/>
      <c r="CX16" s="2" t="n"/>
      <c r="CY16" s="2" t="n"/>
      <c r="CZ16" s="2" t="n"/>
      <c r="DA16" s="2" t="n"/>
      <c r="DB16" s="2" t="n"/>
      <c r="DC16" s="2" t="n"/>
      <c r="DD16" s="2" t="n"/>
      <c r="DE16" s="2" t="n"/>
    </row>
    <row r="17">
      <c r="A17" s="2" t="inlineStr">
        <is>
          <t>issue_261</t>
        </is>
      </c>
      <c r="B17" s="4" t="inlineStr">
        <is>
          <t>Passed on test</t>
        </is>
      </c>
      <c r="C17" s="4" t="inlineStr">
        <is>
          <t>Passed on test</t>
        </is>
      </c>
      <c r="D17" s="4" t="inlineStr">
        <is>
          <t>Passed on test</t>
        </is>
      </c>
      <c r="E17" s="4" t="inlineStr">
        <is>
          <t>Passed on test</t>
        </is>
      </c>
      <c r="F17" s="4" t="inlineStr">
        <is>
          <t>Passed on test</t>
        </is>
      </c>
      <c r="G17" s="4" t="inlineStr">
        <is>
          <t>Passed on test</t>
        </is>
      </c>
      <c r="H17" s="4" t="inlineStr">
        <is>
          <t>Passed on test</t>
        </is>
      </c>
      <c r="I17" s="4" t="inlineStr">
        <is>
          <t>Passed on test</t>
        </is>
      </c>
      <c r="J17" s="4" t="inlineStr">
        <is>
          <t>Passed on test</t>
        </is>
      </c>
      <c r="K17" s="4" t="inlineStr">
        <is>
          <t>Passed on test</t>
        </is>
      </c>
      <c r="L17" s="4" t="inlineStr">
        <is>
          <t>Passed on test</t>
        </is>
      </c>
      <c r="M17" s="4" t="inlineStr">
        <is>
          <t>Passed on test</t>
        </is>
      </c>
      <c r="N17" s="3" t="inlineStr">
        <is>
          <t>NOT_TESTED</t>
        </is>
      </c>
      <c r="O17" s="3" t="inlineStr">
        <is>
          <t>NOT_TESTED</t>
        </is>
      </c>
      <c r="P17" s="3" t="inlineStr">
        <is>
          <t>NOT_TESTED</t>
        </is>
      </c>
      <c r="Q17" s="3" t="inlineStr">
        <is>
          <t>NOT_TESTED</t>
        </is>
      </c>
      <c r="R17" s="3" t="inlineStr">
        <is>
          <t>NOT_TESTED</t>
        </is>
      </c>
      <c r="S17" s="3" t="inlineStr">
        <is>
          <t>NOT_TESTED</t>
        </is>
      </c>
      <c r="T17" s="3" t="inlineStr">
        <is>
          <t>NOT_TESTED</t>
        </is>
      </c>
      <c r="U17" s="3" t="inlineStr">
        <is>
          <t>NOT_TESTED</t>
        </is>
      </c>
      <c r="V17" s="3" t="inlineStr">
        <is>
          <t>NOT_TESTED</t>
        </is>
      </c>
      <c r="W17" s="3" t="inlineStr">
        <is>
          <t>NOT_TESTED</t>
        </is>
      </c>
      <c r="X17" s="3" t="inlineStr">
        <is>
          <t>NOT_TESTED</t>
        </is>
      </c>
      <c r="Y17" s="3" t="inlineStr">
        <is>
          <t>NOT_TESTED</t>
        </is>
      </c>
      <c r="Z17" s="3" t="inlineStr">
        <is>
          <t>NOT_TESTED</t>
        </is>
      </c>
      <c r="AA17" s="3" t="inlineStr">
        <is>
          <t>NOT_TESTED</t>
        </is>
      </c>
      <c r="AB17" s="3" t="inlineStr">
        <is>
          <t>NOT_TESTED</t>
        </is>
      </c>
      <c r="AC17" s="2" t="n"/>
      <c r="AD17" s="2" t="n"/>
      <c r="AE17" s="2" t="n"/>
      <c r="AF17" s="2" t="n"/>
      <c r="AG17" s="2" t="n"/>
      <c r="AH17" s="2" t="n"/>
      <c r="AI17" s="2" t="n"/>
      <c r="AJ17" s="2" t="n"/>
      <c r="AK17" s="2" t="n"/>
      <c r="AL17" s="2" t="n"/>
      <c r="AM17" s="2" t="n"/>
      <c r="AN17" s="2" t="n"/>
      <c r="AO17" s="2" t="n"/>
      <c r="AP17" s="2" t="n"/>
      <c r="AQ17" s="2" t="n"/>
      <c r="AR17" s="2" t="n"/>
      <c r="AS17" s="2" t="n"/>
      <c r="AT17" s="2" t="n"/>
      <c r="AU17" s="2" t="n"/>
      <c r="AV17" s="2" t="n"/>
      <c r="AW17" s="2" t="n"/>
      <c r="AX17" s="2" t="n"/>
      <c r="AY17" s="2" t="n"/>
      <c r="AZ17" s="2" t="n"/>
      <c r="BA17" s="2" t="n"/>
      <c r="BB17" s="2" t="n"/>
      <c r="BC17" s="2" t="n"/>
      <c r="BD17" s="2" t="n"/>
      <c r="BE17" s="2" t="n"/>
      <c r="BF17" s="2" t="n"/>
      <c r="BG17" s="2" t="n"/>
      <c r="BH17" s="2" t="n"/>
      <c r="BI17" s="2" t="n"/>
      <c r="BJ17" s="2" t="n"/>
      <c r="BK17" s="2" t="n"/>
      <c r="BL17" s="2" t="n"/>
      <c r="BM17" s="2" t="n"/>
      <c r="BN17" s="2" t="n"/>
      <c r="BO17" s="2" t="n"/>
      <c r="BP17" s="2" t="n"/>
      <c r="BQ17" s="2" t="n"/>
      <c r="BR17" s="2" t="n"/>
      <c r="BS17" s="2" t="n"/>
      <c r="BT17" s="2" t="n"/>
      <c r="BU17" s="2" t="n"/>
      <c r="BV17" s="2" t="n"/>
      <c r="BW17" s="2" t="n"/>
      <c r="BX17" s="2" t="n"/>
      <c r="BY17" s="2" t="n"/>
      <c r="BZ17" s="2" t="n"/>
      <c r="CA17" s="2" t="n"/>
      <c r="CB17" s="2" t="n"/>
      <c r="CC17" s="2" t="n"/>
      <c r="CD17" s="2" t="n"/>
      <c r="CE17" s="2" t="n"/>
      <c r="CF17" s="2" t="n"/>
      <c r="CG17" s="2" t="n"/>
      <c r="CH17" s="2" t="n"/>
      <c r="CI17" s="2" t="n"/>
      <c r="CJ17" s="2" t="n"/>
      <c r="CK17" s="2" t="n"/>
      <c r="CL17" s="2" t="n"/>
      <c r="CM17" s="2" t="n"/>
      <c r="CN17" s="2" t="n"/>
      <c r="CO17" s="2" t="n"/>
      <c r="CP17" s="2" t="n"/>
      <c r="CQ17" s="2" t="n"/>
      <c r="CR17" s="2" t="n"/>
      <c r="CS17" s="2" t="n"/>
      <c r="CT17" s="2" t="n"/>
      <c r="CU17" s="2" t="n"/>
      <c r="CV17" s="2" t="n"/>
      <c r="CW17" s="2" t="n"/>
      <c r="CX17" s="2" t="n"/>
      <c r="CY17" s="2" t="n"/>
      <c r="CZ17" s="2" t="n"/>
      <c r="DA17" s="2" t="n"/>
      <c r="DB17" s="2" t="n"/>
      <c r="DC17" s="2" t="n"/>
      <c r="DD17" s="2" t="n"/>
      <c r="DE17" s="2" t="n"/>
    </row>
    <row r="18">
      <c r="A18" s="2" t="inlineStr">
        <is>
          <t>issue_280</t>
        </is>
      </c>
      <c r="B18" s="4" t="inlineStr">
        <is>
          <t>Passed on test</t>
        </is>
      </c>
      <c r="C18" s="4" t="inlineStr">
        <is>
          <t>Passed on test</t>
        </is>
      </c>
      <c r="D18" s="4" t="inlineStr">
        <is>
          <t>Passed on test</t>
        </is>
      </c>
      <c r="E18" s="4" t="inlineStr">
        <is>
          <t>Passed on test</t>
        </is>
      </c>
      <c r="F18" s="4" t="inlineStr">
        <is>
          <t>Passed on test</t>
        </is>
      </c>
      <c r="G18" s="4" t="inlineStr">
        <is>
          <t>Passed on test</t>
        </is>
      </c>
      <c r="H18" s="4" t="inlineStr">
        <is>
          <t>Passed on test</t>
        </is>
      </c>
      <c r="I18" s="4" t="inlineStr">
        <is>
          <t>Passed on test</t>
        </is>
      </c>
      <c r="J18" s="4" t="inlineStr">
        <is>
          <t>Passed on test</t>
        </is>
      </c>
      <c r="K18" s="4" t="inlineStr">
        <is>
          <t>Passed on test</t>
        </is>
      </c>
      <c r="L18" s="4" t="inlineStr">
        <is>
          <t>Passed on test</t>
        </is>
      </c>
      <c r="M18" s="4" t="inlineStr">
        <is>
          <t>Passed on test</t>
        </is>
      </c>
      <c r="N18" s="3" t="inlineStr">
        <is>
          <t>NOT_TESTED</t>
        </is>
      </c>
      <c r="O18" s="3" t="inlineStr">
        <is>
          <t>NOT_TESTED</t>
        </is>
      </c>
      <c r="P18" s="3" t="inlineStr">
        <is>
          <t>NOT_TESTED</t>
        </is>
      </c>
      <c r="Q18" s="3" t="inlineStr">
        <is>
          <t>NOT_TESTED</t>
        </is>
      </c>
      <c r="R18" s="3" t="inlineStr">
        <is>
          <t>NOT_TESTED</t>
        </is>
      </c>
      <c r="S18" s="3" t="inlineStr">
        <is>
          <t>NOT_TESTED</t>
        </is>
      </c>
      <c r="T18" s="3" t="inlineStr">
        <is>
          <t>NOT_TESTED</t>
        </is>
      </c>
      <c r="U18" s="3" t="inlineStr">
        <is>
          <t>NOT_TESTED</t>
        </is>
      </c>
      <c r="V18" s="3" t="inlineStr">
        <is>
          <t>NOT_TESTED</t>
        </is>
      </c>
      <c r="W18" s="3" t="inlineStr">
        <is>
          <t>NOT_TESTED</t>
        </is>
      </c>
      <c r="X18" s="3" t="inlineStr">
        <is>
          <t>NOT_TESTED</t>
        </is>
      </c>
      <c r="Y18" s="3" t="inlineStr">
        <is>
          <t>NOT_TESTED</t>
        </is>
      </c>
      <c r="Z18" s="3" t="inlineStr">
        <is>
          <t>NOT_TESTED</t>
        </is>
      </c>
      <c r="AA18" s="3" t="inlineStr">
        <is>
          <t>NOT_TESTED</t>
        </is>
      </c>
      <c r="AB18" s="3" t="inlineStr">
        <is>
          <t>NOT_TESTED</t>
        </is>
      </c>
      <c r="AC18" s="2" t="n"/>
      <c r="AD18" s="2" t="n"/>
      <c r="AE18" s="2" t="n"/>
      <c r="AF18" s="2" t="n"/>
      <c r="AG18" s="2" t="n"/>
      <c r="AH18" s="2" t="n"/>
      <c r="AI18" s="2" t="n"/>
      <c r="AJ18" s="2" t="n"/>
      <c r="AK18" s="2" t="n"/>
      <c r="AL18" s="2" t="n"/>
      <c r="AM18" s="2" t="n"/>
      <c r="AN18" s="2" t="n"/>
      <c r="AO18" s="2" t="n"/>
      <c r="AP18" s="2" t="n"/>
      <c r="AQ18" s="2" t="n"/>
      <c r="AR18" s="2" t="n"/>
      <c r="AS18" s="2" t="n"/>
      <c r="AT18" s="2" t="n"/>
      <c r="AU18" s="2" t="n"/>
      <c r="AV18" s="2" t="n"/>
      <c r="AW18" s="2" t="n"/>
      <c r="AX18" s="2" t="n"/>
      <c r="AY18" s="2" t="n"/>
      <c r="AZ18" s="2" t="n"/>
      <c r="BA18" s="2" t="n"/>
      <c r="BB18" s="2" t="n"/>
      <c r="BC18" s="2" t="n"/>
      <c r="BD18" s="2" t="n"/>
      <c r="BE18" s="2" t="n"/>
      <c r="BF18" s="2" t="n"/>
      <c r="BG18" s="2" t="n"/>
      <c r="BH18" s="2" t="n"/>
      <c r="BI18" s="2" t="n"/>
      <c r="BJ18" s="2" t="n"/>
      <c r="BK18" s="2" t="n"/>
      <c r="BL18" s="2" t="n"/>
      <c r="BM18" s="2" t="n"/>
      <c r="BN18" s="2" t="n"/>
      <c r="BO18" s="2" t="n"/>
      <c r="BP18" s="2" t="n"/>
      <c r="BQ18" s="2" t="n"/>
      <c r="BR18" s="2" t="n"/>
      <c r="BS18" s="2" t="n"/>
      <c r="BT18" s="2" t="n"/>
      <c r="BU18" s="2" t="n"/>
      <c r="BV18" s="2" t="n"/>
      <c r="BW18" s="2" t="n"/>
      <c r="BX18" s="2" t="n"/>
      <c r="BY18" s="2" t="n"/>
      <c r="BZ18" s="2" t="n"/>
      <c r="CA18" s="2" t="n"/>
      <c r="CB18" s="2" t="n"/>
      <c r="CC18" s="2" t="n"/>
      <c r="CD18" s="2" t="n"/>
      <c r="CE18" s="2" t="n"/>
      <c r="CF18" s="2" t="n"/>
      <c r="CG18" s="2" t="n"/>
      <c r="CH18" s="2" t="n"/>
      <c r="CI18" s="2" t="n"/>
      <c r="CJ18" s="2" t="n"/>
      <c r="CK18" s="2" t="n"/>
      <c r="CL18" s="2" t="n"/>
      <c r="CM18" s="2" t="n"/>
      <c r="CN18" s="2" t="n"/>
      <c r="CO18" s="2" t="n"/>
      <c r="CP18" s="2" t="n"/>
      <c r="CQ18" s="2" t="n"/>
      <c r="CR18" s="2" t="n"/>
      <c r="CS18" s="2" t="n"/>
      <c r="CT18" s="2" t="n"/>
      <c r="CU18" s="2" t="n"/>
      <c r="CV18" s="2" t="n"/>
      <c r="CW18" s="2" t="n"/>
      <c r="CX18" s="2" t="n"/>
      <c r="CY18" s="2" t="n"/>
      <c r="CZ18" s="2" t="n"/>
      <c r="DA18" s="2" t="n"/>
      <c r="DB18" s="2" t="n"/>
      <c r="DC18" s="2" t="n"/>
      <c r="DD18" s="2" t="n"/>
      <c r="DE18" s="2" t="n"/>
    </row>
    <row r="19">
      <c r="A19" s="2" t="inlineStr">
        <is>
          <t>issue_295</t>
        </is>
      </c>
      <c r="B19" s="3" t="inlineStr">
        <is>
          <t>NOT_TESTED</t>
        </is>
      </c>
      <c r="C19" s="3" t="inlineStr">
        <is>
          <t>NOT_TESTED</t>
        </is>
      </c>
      <c r="D19" s="3" t="inlineStr">
        <is>
          <t>NOT_TESTED</t>
        </is>
      </c>
      <c r="E19" s="3" t="inlineStr">
        <is>
          <t>NOT_TESTED</t>
        </is>
      </c>
      <c r="F19" s="4" t="inlineStr">
        <is>
          <t>Passed on test</t>
        </is>
      </c>
      <c r="G19" s="4" t="inlineStr">
        <is>
          <t>Passed on test</t>
        </is>
      </c>
      <c r="H19" s="4" t="inlineStr">
        <is>
          <t>Passed on test</t>
        </is>
      </c>
      <c r="I19" s="4" t="inlineStr">
        <is>
          <t>Passed on test</t>
        </is>
      </c>
      <c r="J19" s="4" t="inlineStr">
        <is>
          <t>Passed on test</t>
        </is>
      </c>
      <c r="K19" s="4" t="inlineStr">
        <is>
          <t>Passed on test</t>
        </is>
      </c>
      <c r="L19" s="4" t="inlineStr">
        <is>
          <t>Passed on test</t>
        </is>
      </c>
      <c r="M19" s="4" t="inlineStr">
        <is>
          <t>Passed on test</t>
        </is>
      </c>
      <c r="N19" s="3" t="inlineStr">
        <is>
          <t>NOT_TESTED</t>
        </is>
      </c>
      <c r="O19" s="3" t="inlineStr">
        <is>
          <t>NOT_TESTED</t>
        </is>
      </c>
      <c r="P19" s="3" t="inlineStr">
        <is>
          <t>NOT_TESTED</t>
        </is>
      </c>
      <c r="Q19" s="3" t="inlineStr">
        <is>
          <t>NOT_TESTED</t>
        </is>
      </c>
      <c r="R19" s="3" t="inlineStr">
        <is>
          <t>NOT_TESTED</t>
        </is>
      </c>
      <c r="S19" s="3" t="inlineStr">
        <is>
          <t>NOT_TESTED</t>
        </is>
      </c>
      <c r="T19" s="3" t="inlineStr">
        <is>
          <t>NOT_TESTED</t>
        </is>
      </c>
      <c r="U19" s="3" t="inlineStr">
        <is>
          <t>NOT_TESTED</t>
        </is>
      </c>
      <c r="V19" s="3" t="inlineStr">
        <is>
          <t>NOT_TESTED</t>
        </is>
      </c>
      <c r="W19" s="3" t="inlineStr">
        <is>
          <t>NOT_TESTED</t>
        </is>
      </c>
      <c r="X19" s="3" t="inlineStr">
        <is>
          <t>NOT_TESTED</t>
        </is>
      </c>
      <c r="Y19" s="3" t="inlineStr">
        <is>
          <t>NOT_TESTED</t>
        </is>
      </c>
      <c r="Z19" s="3" t="inlineStr">
        <is>
          <t>NOT_TESTED</t>
        </is>
      </c>
      <c r="AA19" s="3" t="inlineStr">
        <is>
          <t>NOT_TESTED</t>
        </is>
      </c>
      <c r="AB19" s="3" t="inlineStr">
        <is>
          <t>NOT_TESTED</t>
        </is>
      </c>
      <c r="AC19" s="2" t="n"/>
      <c r="AD19" s="2" t="n"/>
      <c r="AE19" s="2" t="n"/>
      <c r="AF19" s="2" t="n"/>
      <c r="AG19" s="2" t="n"/>
      <c r="AH19" s="2" t="n"/>
      <c r="AI19" s="2" t="n"/>
      <c r="AJ19" s="2" t="n"/>
      <c r="AK19" s="2" t="n"/>
      <c r="AL19" s="2" t="n"/>
      <c r="AM19" s="2" t="n"/>
      <c r="AN19" s="2" t="n"/>
      <c r="AO19" s="2" t="n"/>
      <c r="AP19" s="2" t="n"/>
      <c r="AQ19" s="2" t="n"/>
      <c r="AR19" s="2" t="n"/>
      <c r="AS19" s="2" t="n"/>
      <c r="AT19" s="2" t="n"/>
      <c r="AU19" s="2" t="n"/>
      <c r="AV19" s="2" t="n"/>
      <c r="AW19" s="2" t="n"/>
      <c r="AX19" s="2" t="n"/>
      <c r="AY19" s="2" t="n"/>
      <c r="AZ19" s="2" t="n"/>
      <c r="BA19" s="2" t="n"/>
      <c r="BB19" s="2" t="n"/>
      <c r="BC19" s="2" t="n"/>
      <c r="BD19" s="2" t="n"/>
      <c r="BE19" s="2" t="n"/>
      <c r="BF19" s="2" t="n"/>
      <c r="BG19" s="2" t="n"/>
      <c r="BH19" s="2" t="n"/>
      <c r="BI19" s="2" t="n"/>
      <c r="BJ19" s="2" t="n"/>
      <c r="BK19" s="2" t="n"/>
      <c r="BL19" s="2" t="n"/>
      <c r="BM19" s="2" t="n"/>
      <c r="BN19" s="2" t="n"/>
      <c r="BO19" s="2" t="n"/>
      <c r="BP19" s="2" t="n"/>
      <c r="BQ19" s="2" t="n"/>
      <c r="BR19" s="2" t="n"/>
      <c r="BS19" s="2" t="n"/>
      <c r="BT19" s="2" t="n"/>
      <c r="BU19" s="2" t="n"/>
      <c r="BV19" s="2" t="n"/>
      <c r="BW19" s="2" t="n"/>
      <c r="BX19" s="2" t="n"/>
      <c r="BY19" s="2" t="n"/>
      <c r="BZ19" s="2" t="n"/>
      <c r="CA19" s="2" t="n"/>
      <c r="CB19" s="2" t="n"/>
      <c r="CC19" s="2" t="n"/>
      <c r="CD19" s="2" t="n"/>
      <c r="CE19" s="2" t="n"/>
      <c r="CF19" s="2" t="n"/>
      <c r="CG19" s="2" t="n"/>
      <c r="CH19" s="2" t="n"/>
      <c r="CI19" s="2" t="n"/>
      <c r="CJ19" s="2" t="n"/>
      <c r="CK19" s="2" t="n"/>
      <c r="CL19" s="2" t="n"/>
      <c r="CM19" s="2" t="n"/>
      <c r="CN19" s="2" t="n"/>
      <c r="CO19" s="2" t="n"/>
      <c r="CP19" s="2" t="n"/>
      <c r="CQ19" s="2" t="n"/>
      <c r="CR19" s="2" t="n"/>
      <c r="CS19" s="2" t="n"/>
      <c r="CT19" s="2" t="n"/>
      <c r="CU19" s="2" t="n"/>
      <c r="CV19" s="2" t="n"/>
      <c r="CW19" s="2" t="n"/>
      <c r="CX19" s="2" t="n"/>
      <c r="CY19" s="2" t="n"/>
      <c r="CZ19" s="2" t="n"/>
      <c r="DA19" s="2" t="n"/>
      <c r="DB19" s="2" t="n"/>
      <c r="DC19" s="2" t="n"/>
      <c r="DD19" s="2" t="n"/>
      <c r="DE19" s="2" t="n"/>
    </row>
    <row r="20">
      <c r="A20" s="2" t="inlineStr">
        <is>
          <t>issue_315</t>
        </is>
      </c>
      <c r="B20" s="3" t="inlineStr">
        <is>
          <t>NOT_TESTED</t>
        </is>
      </c>
      <c r="C20" s="3" t="inlineStr">
        <is>
          <t>NOT_TESTED</t>
        </is>
      </c>
      <c r="D20" s="3" t="inlineStr">
        <is>
          <t>NOT_TESTED</t>
        </is>
      </c>
      <c r="E20" s="3" t="inlineStr">
        <is>
          <t>NOT_TESTED</t>
        </is>
      </c>
      <c r="F20" s="6" t="inlineStr">
        <is>
          <t>Runtime error</t>
        </is>
      </c>
      <c r="G20" s="6" t="inlineStr">
        <is>
          <t>Runtime error</t>
        </is>
      </c>
      <c r="H20" s="6" t="inlineStr">
        <is>
          <t>Runtime error</t>
        </is>
      </c>
      <c r="I20" s="6" t="inlineStr">
        <is>
          <t>Runtime error</t>
        </is>
      </c>
      <c r="J20" s="6" t="inlineStr">
        <is>
          <t>Runtime error</t>
        </is>
      </c>
      <c r="K20" s="6" t="inlineStr">
        <is>
          <t>Runtime error</t>
        </is>
      </c>
      <c r="L20" s="6" t="inlineStr">
        <is>
          <t>Runtime error</t>
        </is>
      </c>
      <c r="M20" s="6" t="inlineStr">
        <is>
          <t>Runtime error</t>
        </is>
      </c>
      <c r="N20" s="6" t="inlineStr">
        <is>
          <t>Runtime error</t>
        </is>
      </c>
      <c r="O20" s="6" t="inlineStr">
        <is>
          <t>Runtime error</t>
        </is>
      </c>
      <c r="P20" s="6" t="inlineStr">
        <is>
          <t>Runtime error</t>
        </is>
      </c>
      <c r="Q20" s="6" t="inlineStr">
        <is>
          <t>Runtime error</t>
        </is>
      </c>
      <c r="R20" s="6" t="inlineStr">
        <is>
          <t>Runtime error</t>
        </is>
      </c>
      <c r="S20" s="6" t="inlineStr">
        <is>
          <t>Runtime error</t>
        </is>
      </c>
      <c r="T20" s="6" t="inlineStr">
        <is>
          <t>Runtime error</t>
        </is>
      </c>
      <c r="U20" s="6" t="inlineStr">
        <is>
          <t>Runtime error</t>
        </is>
      </c>
      <c r="V20" s="6" t="inlineStr">
        <is>
          <t>Runtime error</t>
        </is>
      </c>
      <c r="W20" s="6" t="inlineStr">
        <is>
          <t>Runtime error</t>
        </is>
      </c>
      <c r="X20" s="6" t="inlineStr">
        <is>
          <t>Runtime error</t>
        </is>
      </c>
      <c r="Y20" s="6" t="inlineStr">
        <is>
          <t>Runtime error</t>
        </is>
      </c>
      <c r="Z20" s="6" t="inlineStr">
        <is>
          <t>Runtime error</t>
        </is>
      </c>
      <c r="AA20" s="6" t="inlineStr">
        <is>
          <t>Runtime error</t>
        </is>
      </c>
      <c r="AB20" s="6" t="inlineStr">
        <is>
          <t>Runtime error</t>
        </is>
      </c>
      <c r="AC20" s="2" t="n"/>
      <c r="AD20" s="2" t="n"/>
      <c r="AE20" s="2" t="n"/>
      <c r="AF20" s="2" t="n"/>
      <c r="AG20" s="2" t="n"/>
      <c r="AH20" s="2" t="n"/>
      <c r="AI20" s="2" t="n"/>
      <c r="AJ20" s="2" t="n"/>
      <c r="AK20" s="2" t="n"/>
      <c r="AL20" s="2" t="n"/>
      <c r="AM20" s="2" t="n"/>
      <c r="AN20" s="2" t="n"/>
      <c r="AO20" s="2" t="inlineStr">
        <is>
          <t>ModuleNotFoundError</t>
        </is>
      </c>
      <c r="AP20" s="2" t="inlineStr">
        <is>
          <t>ModuleNotFoundError: No module named 'qiskit.providers.basic_provider'</t>
        </is>
      </c>
      <c r="AQ20"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(AttributeError), and on 0.45.x the code's BasicProvider import doesn't exist yet (ModuleNotFoundError). Same code as gpt-5.6-luna.</t>
        </is>
      </c>
      <c r="AR20" s="2" t="inlineStr">
        <is>
          <t>ModuleNotFoundError</t>
        </is>
      </c>
      <c r="AS20" s="2" t="inlineStr">
        <is>
          <t>ModuleNotFoundError: No module named 'qiskit.providers.basic_provider'</t>
        </is>
      </c>
      <c r="AT20"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(AttributeError), and on 0.45.x the code's BasicProvider import doesn't exist yet (ModuleNotFoundError). Same code as gpt-5.6-luna.</t>
        </is>
      </c>
      <c r="AU20" s="2" t="inlineStr">
        <is>
          <t>ModuleNotFoundError</t>
        </is>
      </c>
      <c r="AV20" s="2" t="inlineStr">
        <is>
          <t>ModuleNotFoundError: No module named 'qiskit.providers.basic_provider'</t>
        </is>
      </c>
      <c r="AW20"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(AttributeError), and on 0.45.x the code's BasicProvider import doesn't exist yet (ModuleNotFoundError). Same code as gpt-5.6-luna.</t>
        </is>
      </c>
      <c r="AX20" s="2" t="inlineStr">
        <is>
          <t>ModuleNotFoundError</t>
        </is>
      </c>
      <c r="AY20" s="2" t="inlineStr">
        <is>
          <t>ModuleNotFoundError: No module named 'qiskit.providers.basic_provider'</t>
        </is>
      </c>
      <c r="AZ20"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(AttributeError), and on 0.45.x the code's BasicProvider import doesn't exist yet (ModuleNotFoundError). Same code as gpt-5.6-luna.</t>
        </is>
      </c>
      <c r="BA20" s="2" t="inlineStr">
        <is>
          <t>KeyError</t>
        </is>
      </c>
      <c r="BB20" s="2" t="inlineStr">
        <is>
          <t>KeyError: 'max_parallel_threads'; AttributeError: Option max_parallel_threads is not defined</t>
        </is>
      </c>
      <c r="BC20"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(AttributeError), and on 0.45.x the code's BasicProvider import doesn't exist yet (ModuleNotFoundError). Same code as gpt-5.6-luna.</t>
        </is>
      </c>
      <c r="BD20" s="2" t="inlineStr">
        <is>
          <t>KeyError</t>
        </is>
      </c>
      <c r="BE20" s="2" t="inlineStr">
        <is>
          <t>KeyError: 'max_parallel_threads'; AttributeError: Option max_parallel_threads is not defined</t>
        </is>
      </c>
      <c r="BF20"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(AttributeError), and on 0.45.x the code's BasicProvider import doesn't exist yet (ModuleNotFoundError). Same code as gpt-5.6-luna.</t>
        </is>
      </c>
      <c r="BG20" s="2" t="inlineStr">
        <is>
          <t>KeyError</t>
        </is>
      </c>
      <c r="BH20" s="2" t="inlineStr">
        <is>
          <t>KeyError: 'max_parallel_threads'; AttributeError: Option max_parallel_threads is not defined</t>
        </is>
      </c>
      <c r="BI20"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(AttributeError), and on 0.45.x the code's BasicProvider import doesn't exist yet (ModuleNotFoundError). Same code as gpt-5.6-luna.</t>
        </is>
      </c>
      <c r="BJ20" s="2" t="inlineStr">
        <is>
          <t>KeyError</t>
        </is>
      </c>
      <c r="BK20" s="2" t="inlineStr">
        <is>
          <t>KeyError: 'max_parallel_threads'; AttributeError: Option max_parallel_threads is not defined</t>
        </is>
      </c>
      <c r="BL20"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(AttributeError), and on 0.45.x the code's BasicProvider import doesn't exist yet (ModuleNotFoundError). Same code as gpt-5.6-luna.</t>
        </is>
      </c>
      <c r="BM20" s="2" t="inlineStr">
        <is>
          <t>KeyError</t>
        </is>
      </c>
      <c r="BN20" s="2" t="inlineStr">
        <is>
          <t>KeyError: 'max_parallel_threads'; AttributeError: Option max_parallel_threads is not defined</t>
        </is>
      </c>
      <c r="BO20"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(AttributeError), and on 0.45.x the code's BasicProvider import doesn't exist yet (ModuleNotFoundError). Same code as gpt-5.6-luna.</t>
        </is>
      </c>
      <c r="BP20" s="2" t="inlineStr">
        <is>
          <t>KeyError</t>
        </is>
      </c>
      <c r="BQ20" s="2" t="inlineStr">
        <is>
          <t>KeyError: 'max_parallel_threads'; AttributeError: Option max_parallel_threads is not defined</t>
        </is>
      </c>
      <c r="BR20"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(AttributeError), and on 0.45.x the code's BasicProvider import doesn't exist yet (ModuleNotFoundError). Same code as gpt-5.6-luna.</t>
        </is>
      </c>
      <c r="BS20" s="2" t="inlineStr">
        <is>
          <t>KeyError</t>
        </is>
      </c>
      <c r="BT20" s="2" t="inlineStr">
        <is>
          <t>KeyError: 'max_parallel_threads'; AttributeError: Option max_parallel_threads is not defined</t>
        </is>
      </c>
      <c r="BU20"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(AttributeError), and on 0.45.x the code's BasicProvider import doesn't exist yet (ModuleNotFoundError). Same code as gpt-5.6-luna.</t>
        </is>
      </c>
      <c r="BV20" s="2" t="inlineStr">
        <is>
          <t>KeyError</t>
        </is>
      </c>
      <c r="BW20" s="2" t="inlineStr">
        <is>
          <t>KeyError: 'max_parallel_threads'; AttributeError: Option max_parallel_threads is not defined</t>
        </is>
      </c>
      <c r="BX20"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(AttributeError), and on 0.45.x the code's BasicProvider import doesn't exist yet (ModuleNotFoundError). Same code as gpt-5.6-luna.</t>
        </is>
      </c>
      <c r="BY20" s="2" t="inlineStr">
        <is>
          <t>KeyError</t>
        </is>
      </c>
      <c r="BZ20" s="2" t="inlineStr">
        <is>
          <t>KeyError: 'max_parallel_threads'; AttributeError: Option max_parallel_threads is not defined</t>
        </is>
      </c>
      <c r="CA20"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(AttributeError), and on 0.45.x the code's BasicProvider import doesn't exist yet (ModuleNotFoundError). Same code as gpt-5.6-luna.</t>
        </is>
      </c>
      <c r="CB20" s="2" t="inlineStr">
        <is>
          <t>KeyError</t>
        </is>
      </c>
      <c r="CC20" s="2" t="inlineStr">
        <is>
          <t>KeyError: 'max_parallel_threads'; AttributeError: Option max_parallel_threads is not defined</t>
        </is>
      </c>
      <c r="CD20"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(AttributeError), and on 0.45.x the code's BasicProvider import doesn't exist yet (ModuleNotFoundError). Same code as gpt-5.6-luna.</t>
        </is>
      </c>
      <c r="CE20" s="2" t="inlineStr">
        <is>
          <t>KeyError</t>
        </is>
      </c>
      <c r="CF20" s="2" t="inlineStr">
        <is>
          <t>KeyError: 'max_parallel_threads'; AttributeError: Option max_parallel_threads is not defined</t>
        </is>
      </c>
      <c r="CG20"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(AttributeError), and on 0.45.x the code's BasicProvider import doesn't exist yet (ModuleNotFoundError). Same code as gpt-5.6-luna.</t>
        </is>
      </c>
      <c r="CH20" s="2" t="inlineStr">
        <is>
          <t>KeyError</t>
        </is>
      </c>
      <c r="CI20" s="2" t="inlineStr">
        <is>
          <t>KeyError: 'max_parallel_threads'; AttributeError: Option max_parallel_threads is not defined</t>
        </is>
      </c>
      <c r="CJ20"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(AttributeError), and on 0.45.x the code's BasicProvider import doesn't exist yet (ModuleNotFoundError). Same code as gpt-5.6-luna.</t>
        </is>
      </c>
      <c r="CK20" s="2" t="inlineStr">
        <is>
          <t>KeyError</t>
        </is>
      </c>
      <c r="CL20" s="2" t="inlineStr">
        <is>
          <t>KeyError: 'max_parallel_threads'; AttributeError: Option max_parallel_threads is not defined</t>
        </is>
      </c>
      <c r="CM20"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(AttributeError), and on 0.45.x the code's BasicProvider import doesn't exist yet (ModuleNotFoundError). Same code as gpt-5.6-luna.</t>
        </is>
      </c>
      <c r="CN20" s="2" t="inlineStr">
        <is>
          <t>KeyError</t>
        </is>
      </c>
      <c r="CO20" s="2" t="inlineStr">
        <is>
          <t>KeyError: 'max_parallel_threads'; AttributeError: Option max_parallel_threads is not defined</t>
        </is>
      </c>
      <c r="CP20"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(AttributeError), and on 0.45.x the code's BasicProvider import doesn't exist yet (ModuleNotFoundError). Same code as gpt-5.6-luna.</t>
        </is>
      </c>
      <c r="CQ20" s="2" t="inlineStr">
        <is>
          <t>KeyError</t>
        </is>
      </c>
      <c r="CR20" s="2" t="inlineStr">
        <is>
          <t>KeyError: 'max_parallel_threads'; AttributeError: Option max_parallel_threads is not defined</t>
        </is>
      </c>
      <c r="CS20"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(AttributeError), and on 0.45.x the code's BasicProvider import doesn't exist yet (ModuleNotFoundError). Same code as gpt-5.6-luna.</t>
        </is>
      </c>
      <c r="CT20" s="2" t="inlineStr">
        <is>
          <t>KeyError</t>
        </is>
      </c>
      <c r="CU20" s="2" t="inlineStr">
        <is>
          <t>KeyError: 'max_parallel_threads'; AttributeError: Option max_parallel_threads is not defined</t>
        </is>
      </c>
      <c r="CV20"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(AttributeError), and on 0.45.x the code's BasicProvider import doesn't exist yet (ModuleNotFoundError). Same code as gpt-5.6-luna.</t>
        </is>
      </c>
      <c r="CW20" s="2" t="inlineStr">
        <is>
          <t>KeyError</t>
        </is>
      </c>
      <c r="CX20" s="2" t="inlineStr">
        <is>
          <t>KeyError: 'max_parallel_threads'; AttributeError: Option max_parallel_threads is not defined</t>
        </is>
      </c>
      <c r="CY20"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(AttributeError), and on 0.45.x the code's BasicProvider import doesn't exist yet (ModuleNotFoundError). Same code as gpt-5.6-luna.</t>
        </is>
      </c>
      <c r="CZ20" s="2" t="inlineStr">
        <is>
          <t>KeyError</t>
        </is>
      </c>
      <c r="DA20" s="2" t="inlineStr">
        <is>
          <t>KeyError: 'max_parallel_threads'; AttributeError: Option max_parallel_threads is not defined</t>
        </is>
      </c>
      <c r="DB20"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(AttributeError), and on 0.45.x the code's BasicProvider import doesn't exist yet (ModuleNotFoundError). Same code as gpt-5.6-luna.</t>
        </is>
      </c>
      <c r="DC20" s="2" t="inlineStr">
        <is>
          <t>KeyError</t>
        </is>
      </c>
      <c r="DD20" s="2" t="inlineStr">
        <is>
          <t>KeyError: 'max_parallel_threads'; AttributeError: Option max_parallel_threads is not defined</t>
        </is>
      </c>
      <c r="DE20" s="2"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(AttributeError), and on 0.45.x the code's BasicProvider import doesn't exist yet (ModuleNotFoundError). Same code as gpt-5.6-luna.</t>
        </is>
      </c>
    </row>
    <row r="21">
      <c r="A21" s="2" t="inlineStr">
        <is>
          <t>issue_344</t>
        </is>
      </c>
      <c r="B21" s="4" t="inlineStr">
        <is>
          <t>Passed on test</t>
        </is>
      </c>
      <c r="C21" s="4" t="inlineStr">
        <is>
          <t>Passed on test</t>
        </is>
      </c>
      <c r="D21" s="4" t="inlineStr">
        <is>
          <t>Passed on test</t>
        </is>
      </c>
      <c r="E21" s="4" t="inlineStr">
        <is>
          <t>Passed on test</t>
        </is>
      </c>
      <c r="F21" s="4" t="inlineStr">
        <is>
          <t>Passed on test</t>
        </is>
      </c>
      <c r="G21" s="4" t="inlineStr">
        <is>
          <t>Passed on test</t>
        </is>
      </c>
      <c r="H21" s="4" t="inlineStr">
        <is>
          <t>Passed on test</t>
        </is>
      </c>
      <c r="I21" s="4" t="inlineStr">
        <is>
          <t>Passed on test</t>
        </is>
      </c>
      <c r="J21" s="4" t="inlineStr">
        <is>
          <t>Passed on test</t>
        </is>
      </c>
      <c r="K21" s="4" t="inlineStr">
        <is>
          <t>Passed on test</t>
        </is>
      </c>
      <c r="L21" s="4" t="inlineStr">
        <is>
          <t>Passed on test</t>
        </is>
      </c>
      <c r="M21" s="4" t="inlineStr">
        <is>
          <t>Passed on test</t>
        </is>
      </c>
      <c r="N21" s="3" t="inlineStr">
        <is>
          <t>NOT_TESTED</t>
        </is>
      </c>
      <c r="O21" s="3" t="inlineStr">
        <is>
          <t>NOT_TESTED</t>
        </is>
      </c>
      <c r="P21" s="3" t="inlineStr">
        <is>
          <t>NOT_TESTED</t>
        </is>
      </c>
      <c r="Q21" s="3" t="inlineStr">
        <is>
          <t>NOT_TESTED</t>
        </is>
      </c>
      <c r="R21" s="3" t="inlineStr">
        <is>
          <t>NOT_TESTED</t>
        </is>
      </c>
      <c r="S21" s="3" t="inlineStr">
        <is>
          <t>NOT_TESTED</t>
        </is>
      </c>
      <c r="T21" s="3" t="inlineStr">
        <is>
          <t>NOT_TESTED</t>
        </is>
      </c>
      <c r="U21" s="3" t="inlineStr">
        <is>
          <t>NOT_TESTED</t>
        </is>
      </c>
      <c r="V21" s="3" t="inlineStr">
        <is>
          <t>NOT_TESTED</t>
        </is>
      </c>
      <c r="W21" s="3" t="inlineStr">
        <is>
          <t>NOT_TESTED</t>
        </is>
      </c>
      <c r="X21" s="3" t="inlineStr">
        <is>
          <t>NOT_TESTED</t>
        </is>
      </c>
      <c r="Y21" s="3" t="inlineStr">
        <is>
          <t>NOT_TESTED</t>
        </is>
      </c>
      <c r="Z21" s="3" t="inlineStr">
        <is>
          <t>NOT_TESTED</t>
        </is>
      </c>
      <c r="AA21" s="3" t="inlineStr">
        <is>
          <t>NOT_TESTED</t>
        </is>
      </c>
      <c r="AB21" s="3" t="inlineStr">
        <is>
          <t>NOT_TESTED</t>
        </is>
      </c>
      <c r="AC21" s="2" t="n"/>
      <c r="AD21" s="2" t="n"/>
      <c r="AE21" s="2" t="n"/>
      <c r="AF21" s="2" t="n"/>
      <c r="AG21" s="2" t="n"/>
      <c r="AH21" s="2" t="n"/>
      <c r="AI21" s="2" t="n"/>
      <c r="AJ21" s="2" t="n"/>
      <c r="AK21" s="2" t="n"/>
      <c r="AL21" s="2" t="n"/>
      <c r="AM21" s="2" t="n"/>
      <c r="AN21" s="2" t="n"/>
      <c r="AO21" s="2" t="n"/>
      <c r="AP21" s="2" t="n"/>
      <c r="AQ21" s="2" t="n"/>
      <c r="AR21" s="2" t="n"/>
      <c r="AS21" s="2" t="n"/>
      <c r="AT21" s="2" t="n"/>
      <c r="AU21" s="2" t="n"/>
      <c r="AV21" s="2" t="n"/>
      <c r="AW21" s="2" t="n"/>
      <c r="AX21" s="2" t="n"/>
      <c r="AY21" s="2" t="n"/>
      <c r="AZ21" s="2" t="n"/>
      <c r="BA21" s="2" t="n"/>
      <c r="BB21" s="2" t="n"/>
      <c r="BC21" s="2" t="n"/>
      <c r="BD21" s="2" t="n"/>
      <c r="BE21" s="2" t="n"/>
      <c r="BF21" s="2" t="n"/>
      <c r="BG21" s="2" t="n"/>
      <c r="BH21" s="2" t="n"/>
      <c r="BI21" s="2" t="n"/>
      <c r="BJ21" s="2" t="n"/>
      <c r="BK21" s="2" t="n"/>
      <c r="BL21" s="2" t="n"/>
      <c r="BM21" s="2" t="n"/>
      <c r="BN21" s="2" t="n"/>
      <c r="BO21" s="2" t="n"/>
      <c r="BP21" s="2" t="n"/>
      <c r="BQ21" s="2" t="n"/>
      <c r="BR21" s="2" t="n"/>
      <c r="BS21" s="2" t="n"/>
      <c r="BT21" s="2" t="n"/>
      <c r="BU21" s="2" t="n"/>
      <c r="BV21" s="2" t="n"/>
      <c r="BW21" s="2" t="n"/>
      <c r="BX21" s="2" t="n"/>
      <c r="BY21" s="2" t="n"/>
      <c r="BZ21" s="2" t="n"/>
      <c r="CA21" s="2" t="n"/>
      <c r="CB21" s="2" t="n"/>
      <c r="CC21" s="2" t="n"/>
      <c r="CD21" s="2" t="n"/>
      <c r="CE21" s="2" t="n"/>
      <c r="CF21" s="2" t="n"/>
      <c r="CG21" s="2" t="n"/>
      <c r="CH21" s="2" t="n"/>
      <c r="CI21" s="2" t="n"/>
      <c r="CJ21" s="2" t="n"/>
      <c r="CK21" s="2" t="n"/>
      <c r="CL21" s="2" t="n"/>
      <c r="CM21" s="2" t="n"/>
      <c r="CN21" s="2" t="n"/>
      <c r="CO21" s="2" t="n"/>
      <c r="CP21" s="2" t="n"/>
      <c r="CQ21" s="2" t="n"/>
      <c r="CR21" s="2" t="n"/>
      <c r="CS21" s="2" t="n"/>
      <c r="CT21" s="2" t="n"/>
      <c r="CU21" s="2" t="n"/>
      <c r="CV21" s="2" t="n"/>
      <c r="CW21" s="2" t="n"/>
      <c r="CX21" s="2" t="n"/>
      <c r="CY21" s="2" t="n"/>
      <c r="CZ21" s="2" t="n"/>
      <c r="DA21" s="2" t="n"/>
      <c r="DB21" s="2" t="n"/>
      <c r="DC21" s="2" t="n"/>
      <c r="DD21" s="2" t="n"/>
      <c r="DE21" s="2" t="n"/>
    </row>
    <row r="22">
      <c r="A22" s="2" t="inlineStr">
        <is>
          <t>issue_362</t>
        </is>
      </c>
      <c r="B22" s="3" t="inlineStr">
        <is>
          <t>NOT_TESTED</t>
        </is>
      </c>
      <c r="C22" s="3" t="inlineStr">
        <is>
          <t>NOT_TESTED</t>
        </is>
      </c>
      <c r="D22" s="3" t="inlineStr">
        <is>
          <t>NOT_TESTED</t>
        </is>
      </c>
      <c r="E22" s="3" t="inlineStr">
        <is>
          <t>NOT_TESTED</t>
        </is>
      </c>
      <c r="F22" s="4" t="inlineStr">
        <is>
          <t>Passed on test</t>
        </is>
      </c>
      <c r="G22" s="4" t="inlineStr">
        <is>
          <t>Passed on test</t>
        </is>
      </c>
      <c r="H22" s="4" t="inlineStr">
        <is>
          <t>Passed on test</t>
        </is>
      </c>
      <c r="I22" s="4" t="inlineStr">
        <is>
          <t>Passed on test</t>
        </is>
      </c>
      <c r="J22" s="4" t="inlineStr">
        <is>
          <t>Passed on test</t>
        </is>
      </c>
      <c r="K22" s="4" t="inlineStr">
        <is>
          <t>Passed on test</t>
        </is>
      </c>
      <c r="L22" s="4" t="inlineStr">
        <is>
          <t>Passed on test</t>
        </is>
      </c>
      <c r="M22" s="4" t="inlineStr">
        <is>
          <t>Passed on test</t>
        </is>
      </c>
      <c r="N22" s="4" t="inlineStr">
        <is>
          <t>Passed on test</t>
        </is>
      </c>
      <c r="O22" s="4" t="inlineStr">
        <is>
          <t>Passed on test</t>
        </is>
      </c>
      <c r="P22" s="4" t="inlineStr">
        <is>
          <t>Passed on test</t>
        </is>
      </c>
      <c r="Q22" s="4" t="inlineStr">
        <is>
          <t>Passed on test</t>
        </is>
      </c>
      <c r="R22" s="4" t="inlineStr">
        <is>
          <t>Passed on test</t>
        </is>
      </c>
      <c r="S22" s="4" t="inlineStr">
        <is>
          <t>Passed on test</t>
        </is>
      </c>
      <c r="T22" s="4" t="inlineStr">
        <is>
          <t>Passed on test</t>
        </is>
      </c>
      <c r="U22" s="4" t="inlineStr">
        <is>
          <t>Passed on test</t>
        </is>
      </c>
      <c r="V22" s="4" t="inlineStr">
        <is>
          <t>Passed on test</t>
        </is>
      </c>
      <c r="W22" s="4" t="inlineStr">
        <is>
          <t>Passed on test</t>
        </is>
      </c>
      <c r="X22" s="4" t="inlineStr">
        <is>
          <t>Passed on test</t>
        </is>
      </c>
      <c r="Y22" s="4" t="inlineStr">
        <is>
          <t>Passed on test</t>
        </is>
      </c>
      <c r="Z22" s="4" t="inlineStr">
        <is>
          <t>Passed on test</t>
        </is>
      </c>
      <c r="AA22" s="4" t="inlineStr">
        <is>
          <t>Passed on test</t>
        </is>
      </c>
      <c r="AB22" s="4" t="inlineStr">
        <is>
          <t>Passed on test</t>
        </is>
      </c>
      <c r="AC22" s="2" t="n"/>
      <c r="AD22" s="2" t="n"/>
      <c r="AE22" s="2" t="n"/>
      <c r="AF22" s="2" t="n"/>
      <c r="AG22" s="2" t="n"/>
      <c r="AH22" s="2" t="n"/>
      <c r="AI22" s="2" t="n"/>
      <c r="AJ22" s="2" t="n"/>
      <c r="AK22" s="2" t="n"/>
      <c r="AL22" s="2" t="n"/>
      <c r="AM22" s="2" t="n"/>
      <c r="AN22" s="2" t="n"/>
      <c r="AO22" s="2" t="n"/>
      <c r="AP22" s="2" t="n"/>
      <c r="AQ22" s="2" t="n"/>
      <c r="AR22" s="2" t="n"/>
      <c r="AS22" s="2" t="n"/>
      <c r="AT22" s="2" t="n"/>
      <c r="AU22" s="2" t="n"/>
      <c r="AV22" s="2" t="n"/>
      <c r="AW22" s="2" t="n"/>
      <c r="AX22" s="2" t="n"/>
      <c r="AY22" s="2" t="n"/>
      <c r="AZ22" s="2" t="n"/>
      <c r="BA22" s="2" t="n"/>
      <c r="BB22" s="2" t="n"/>
      <c r="BC22" s="2" t="n"/>
      <c r="BD22" s="2" t="n"/>
      <c r="BE22" s="2" t="n"/>
      <c r="BF22" s="2" t="n"/>
      <c r="BG22" s="2" t="n"/>
      <c r="BH22" s="2" t="n"/>
      <c r="BI22" s="2" t="n"/>
      <c r="BJ22" s="2" t="n"/>
      <c r="BK22" s="2" t="n"/>
      <c r="BL22" s="2" t="n"/>
      <c r="BM22" s="2" t="n"/>
      <c r="BN22" s="2" t="n"/>
      <c r="BO22" s="2" t="n"/>
      <c r="BP22" s="2" t="n"/>
      <c r="BQ22" s="2" t="n"/>
      <c r="BR22" s="2" t="n"/>
      <c r="BS22" s="2" t="n"/>
      <c r="BT22" s="2" t="n"/>
      <c r="BU22" s="2" t="n"/>
      <c r="BV22" s="2" t="n"/>
      <c r="BW22" s="2" t="n"/>
      <c r="BX22" s="2" t="n"/>
      <c r="BY22" s="2" t="n"/>
      <c r="BZ22" s="2" t="n"/>
      <c r="CA22" s="2" t="n"/>
      <c r="CB22" s="2" t="n"/>
      <c r="CC22" s="2" t="n"/>
      <c r="CD22" s="2" t="n"/>
      <c r="CE22" s="2" t="n"/>
      <c r="CF22" s="2" t="n"/>
      <c r="CG22" s="2" t="n"/>
      <c r="CH22" s="2" t="n"/>
      <c r="CI22" s="2" t="n"/>
      <c r="CJ22" s="2" t="n"/>
      <c r="CK22" s="2" t="n"/>
      <c r="CL22" s="2" t="n"/>
      <c r="CM22" s="2" t="n"/>
      <c r="CN22" s="2" t="n"/>
      <c r="CO22" s="2" t="n"/>
      <c r="CP22" s="2" t="n"/>
      <c r="CQ22" s="2" t="n"/>
      <c r="CR22" s="2" t="n"/>
      <c r="CS22" s="2" t="n"/>
      <c r="CT22" s="2" t="n"/>
      <c r="CU22" s="2" t="n"/>
      <c r="CV22" s="2" t="n"/>
      <c r="CW22" s="2" t="n"/>
      <c r="CX22" s="2" t="n"/>
      <c r="CY22" s="2" t="n"/>
      <c r="CZ22" s="2" t="n"/>
      <c r="DA22" s="2" t="n"/>
      <c r="DB22" s="2" t="n"/>
      <c r="DC22" s="2" t="n"/>
      <c r="DD22" s="2" t="n"/>
      <c r="DE22" s="2" t="n"/>
    </row>
    <row r="23">
      <c r="A23" s="2" t="inlineStr">
        <is>
          <t>issue_369</t>
        </is>
      </c>
      <c r="B23" s="4" t="inlineStr">
        <is>
          <t>Passed on test</t>
        </is>
      </c>
      <c r="C23" s="4" t="inlineStr">
        <is>
          <t>Passed on test</t>
        </is>
      </c>
      <c r="D23" s="4" t="inlineStr">
        <is>
          <t>Passed on test</t>
        </is>
      </c>
      <c r="E23" s="4" t="inlineStr">
        <is>
          <t>Passed on test</t>
        </is>
      </c>
      <c r="F23" s="4" t="inlineStr">
        <is>
          <t>Passed on test</t>
        </is>
      </c>
      <c r="G23" s="4" t="inlineStr">
        <is>
          <t>Passed on test</t>
        </is>
      </c>
      <c r="H23" s="4" t="inlineStr">
        <is>
          <t>Passed on test</t>
        </is>
      </c>
      <c r="I23" s="4" t="inlineStr">
        <is>
          <t>Passed on test</t>
        </is>
      </c>
      <c r="J23" s="4" t="inlineStr">
        <is>
          <t>Passed on test</t>
        </is>
      </c>
      <c r="K23" s="4" t="inlineStr">
        <is>
          <t>Passed on test</t>
        </is>
      </c>
      <c r="L23" s="4" t="inlineStr">
        <is>
          <t>Passed on test</t>
        </is>
      </c>
      <c r="M23" s="4" t="inlineStr">
        <is>
          <t>Passed on test</t>
        </is>
      </c>
      <c r="N23" s="4" t="inlineStr">
        <is>
          <t>Passed on test</t>
        </is>
      </c>
      <c r="O23" s="4" t="inlineStr">
        <is>
          <t>Passed on test</t>
        </is>
      </c>
      <c r="P23" s="4" t="inlineStr">
        <is>
          <t>Passed on test</t>
        </is>
      </c>
      <c r="Q23" s="4" t="inlineStr">
        <is>
          <t>Passed on test</t>
        </is>
      </c>
      <c r="R23" s="4" t="inlineStr">
        <is>
          <t>Passed on test</t>
        </is>
      </c>
      <c r="S23" s="4" t="inlineStr">
        <is>
          <t>Passed on test</t>
        </is>
      </c>
      <c r="T23" s="4" t="inlineStr">
        <is>
          <t>Passed on test</t>
        </is>
      </c>
      <c r="U23" s="4" t="inlineStr">
        <is>
          <t>Passed on test</t>
        </is>
      </c>
      <c r="V23" s="4" t="inlineStr">
        <is>
          <t>Passed on test</t>
        </is>
      </c>
      <c r="W23" s="4" t="inlineStr">
        <is>
          <t>Passed on test</t>
        </is>
      </c>
      <c r="X23" s="4" t="inlineStr">
        <is>
          <t>Passed on test</t>
        </is>
      </c>
      <c r="Y23" s="4" t="inlineStr">
        <is>
          <t>Passed on test</t>
        </is>
      </c>
      <c r="Z23" s="4" t="inlineStr">
        <is>
          <t>Passed on test</t>
        </is>
      </c>
      <c r="AA23" s="4" t="inlineStr">
        <is>
          <t>Passed on test</t>
        </is>
      </c>
      <c r="AB23" s="4" t="inlineStr">
        <is>
          <t>Passed on test</t>
        </is>
      </c>
      <c r="AC23" s="2" t="n"/>
      <c r="AD23" s="2" t="n"/>
      <c r="AE23" s="2" t="n"/>
      <c r="AF23" s="2" t="n"/>
      <c r="AG23" s="2" t="n"/>
      <c r="AH23" s="2" t="n"/>
      <c r="AI23" s="2" t="n"/>
      <c r="AJ23" s="2" t="n"/>
      <c r="AK23" s="2" t="n"/>
      <c r="AL23" s="2" t="n"/>
      <c r="AM23" s="2" t="n"/>
      <c r="AN23" s="2" t="n"/>
      <c r="AO23" s="2" t="n"/>
      <c r="AP23" s="2" t="n"/>
      <c r="AQ23" s="2" t="n"/>
      <c r="AR23" s="2" t="n"/>
      <c r="AS23" s="2" t="n"/>
      <c r="AT23" s="2" t="n"/>
      <c r="AU23" s="2" t="n"/>
      <c r="AV23" s="2" t="n"/>
      <c r="AW23" s="2" t="n"/>
      <c r="AX23" s="2" t="n"/>
      <c r="AY23" s="2" t="n"/>
      <c r="AZ23" s="2" t="n"/>
      <c r="BA23" s="2" t="n"/>
      <c r="BB23" s="2" t="n"/>
      <c r="BC23" s="2" t="n"/>
      <c r="BD23" s="2" t="n"/>
      <c r="BE23" s="2" t="n"/>
      <c r="BF23" s="2" t="n"/>
      <c r="BG23" s="2" t="n"/>
      <c r="BH23" s="2" t="n"/>
      <c r="BI23" s="2" t="n"/>
      <c r="BJ23" s="2" t="n"/>
      <c r="BK23" s="2" t="n"/>
      <c r="BL23" s="2" t="n"/>
      <c r="BM23" s="2" t="n"/>
      <c r="BN23" s="2" t="n"/>
      <c r="BO23" s="2" t="n"/>
      <c r="BP23" s="2" t="n"/>
      <c r="BQ23" s="2" t="n"/>
      <c r="BR23" s="2" t="n"/>
      <c r="BS23" s="2" t="n"/>
      <c r="BT23" s="2" t="n"/>
      <c r="BU23" s="2" t="n"/>
      <c r="BV23" s="2" t="n"/>
      <c r="BW23" s="2" t="n"/>
      <c r="BX23" s="2" t="n"/>
      <c r="BY23" s="2" t="n"/>
      <c r="BZ23" s="2" t="n"/>
      <c r="CA23" s="2" t="n"/>
      <c r="CB23" s="2" t="n"/>
      <c r="CC23" s="2" t="n"/>
      <c r="CD23" s="2" t="n"/>
      <c r="CE23" s="2" t="n"/>
      <c r="CF23" s="2" t="n"/>
      <c r="CG23" s="2" t="n"/>
      <c r="CH23" s="2" t="n"/>
      <c r="CI23" s="2" t="n"/>
      <c r="CJ23" s="2" t="n"/>
      <c r="CK23" s="2" t="n"/>
      <c r="CL23" s="2" t="n"/>
      <c r="CM23" s="2" t="n"/>
      <c r="CN23" s="2" t="n"/>
      <c r="CO23" s="2" t="n"/>
      <c r="CP23" s="2" t="n"/>
      <c r="CQ23" s="2" t="n"/>
      <c r="CR23" s="2" t="n"/>
      <c r="CS23" s="2" t="n"/>
      <c r="CT23" s="2" t="n"/>
      <c r="CU23" s="2" t="n"/>
      <c r="CV23" s="2" t="n"/>
      <c r="CW23" s="2" t="n"/>
      <c r="CX23" s="2" t="n"/>
      <c r="CY23" s="2" t="n"/>
      <c r="CZ23" s="2" t="n"/>
      <c r="DA23" s="2" t="n"/>
      <c r="DB23" s="2" t="n"/>
      <c r="DC23" s="2" t="n"/>
      <c r="DD23" s="2" t="n"/>
      <c r="DE23" s="2" t="n"/>
    </row>
    <row r="24">
      <c r="A24" s="2" t="inlineStr">
        <is>
          <t>issue_396</t>
        </is>
      </c>
      <c r="B24" s="5" t="inlineStr">
        <is>
          <t>Failed on test</t>
        </is>
      </c>
      <c r="C24" s="5" t="inlineStr">
        <is>
          <t>Failed on test</t>
        </is>
      </c>
      <c r="D24" s="5" t="inlineStr">
        <is>
          <t>Failed on test</t>
        </is>
      </c>
      <c r="E24" s="5" t="inlineStr">
        <is>
          <t>Failed on test</t>
        </is>
      </c>
      <c r="F24" s="4" t="inlineStr">
        <is>
          <t>Passed on test</t>
        </is>
      </c>
      <c r="G24" s="4" t="inlineStr">
        <is>
          <t>Passed on test</t>
        </is>
      </c>
      <c r="H24" s="4" t="inlineStr">
        <is>
          <t>Passed on test</t>
        </is>
      </c>
      <c r="I24" s="4" t="inlineStr">
        <is>
          <t>Passed on test</t>
        </is>
      </c>
      <c r="J24" s="4" t="inlineStr">
        <is>
          <t>Passed on test</t>
        </is>
      </c>
      <c r="K24" s="4" t="inlineStr">
        <is>
          <t>Passed on test</t>
        </is>
      </c>
      <c r="L24" s="4" t="inlineStr">
        <is>
          <t>Passed on test</t>
        </is>
      </c>
      <c r="M24" s="4" t="inlineStr">
        <is>
          <t>Passed on test</t>
        </is>
      </c>
      <c r="N24" s="4" t="inlineStr">
        <is>
          <t>Passed on test</t>
        </is>
      </c>
      <c r="O24" s="4" t="inlineStr">
        <is>
          <t>Passed on test</t>
        </is>
      </c>
      <c r="P24" s="4" t="inlineStr">
        <is>
          <t>Passed on test</t>
        </is>
      </c>
      <c r="Q24" s="4" t="inlineStr">
        <is>
          <t>Passed on test</t>
        </is>
      </c>
      <c r="R24" s="4" t="inlineStr">
        <is>
          <t>Passed on test</t>
        </is>
      </c>
      <c r="S24" s="4" t="inlineStr">
        <is>
          <t>Passed on test</t>
        </is>
      </c>
      <c r="T24" s="4" t="inlineStr">
        <is>
          <t>Passed on test</t>
        </is>
      </c>
      <c r="U24" s="4" t="inlineStr">
        <is>
          <t>Passed on test</t>
        </is>
      </c>
      <c r="V24" s="4" t="inlineStr">
        <is>
          <t>Passed on test</t>
        </is>
      </c>
      <c r="W24" s="4" t="inlineStr">
        <is>
          <t>Passed on test</t>
        </is>
      </c>
      <c r="X24" s="4" t="inlineStr">
        <is>
          <t>Passed on test</t>
        </is>
      </c>
      <c r="Y24" s="4" t="inlineStr">
        <is>
          <t>Passed on test</t>
        </is>
      </c>
      <c r="Z24" s="4" t="inlineStr">
        <is>
          <t>Passed on test</t>
        </is>
      </c>
      <c r="AA24" s="4" t="inlineStr">
        <is>
          <t>Passed on test</t>
        </is>
      </c>
      <c r="AB24" s="4" t="inlineStr">
        <is>
          <t>Passed on test</t>
        </is>
      </c>
      <c r="AC24" s="2" t="inlineStr">
        <is>
          <t>AssertionError</t>
        </is>
      </c>
      <c r="AD24" s="2" t="inlineStr">
        <is>
          <t>AssertionError:</t>
        </is>
      </c>
      <c r="AE24" s="2" t="inlineStr">
        <is>
          <t>Failed on 0.25.x, passed on the other 23 versions: the LLM built the phase oracle as a Diagonal circuit (-1 on the two targets, +1 elsewhere), which is exact and, unlike the QuantumCircuit.diagonal() both luna models used, still exists in Qiskit 1.x / 2.x. On 0.25.x, GroverOperator drops the Diagonal circuit's global phase, so the Grover operator is off by a factor e^(-i*pi/4), and the test compares the operator exactly.</t>
        </is>
      </c>
      <c r="AF24" s="2" t="inlineStr">
        <is>
          <t>AssertionError</t>
        </is>
      </c>
      <c r="AG24" s="2" t="inlineStr">
        <is>
          <t>AssertionError:</t>
        </is>
      </c>
      <c r="AH24" s="2" t="inlineStr">
        <is>
          <t>Failed on 0.25.x, passed on the other 23 versions: the LLM built the phase oracle as a Diagonal circuit (-1 on the two targets, +1 elsewhere), which is exact and, unlike the QuantumCircuit.diagonal() both luna models used, still exists in Qiskit 1.x / 2.x. On 0.25.x, GroverOperator drops the Diagonal circuit's global phase, so the Grover operator is off by a factor e^(-i*pi/4), and the test compares the operator exactly.</t>
        </is>
      </c>
      <c r="AI24" s="2" t="inlineStr">
        <is>
          <t>AssertionError</t>
        </is>
      </c>
      <c r="AJ24" s="2" t="inlineStr">
        <is>
          <t>AssertionError:</t>
        </is>
      </c>
      <c r="AK24" s="2" t="inlineStr">
        <is>
          <t>Failed on 0.25.x, passed on the other 23 versions: the LLM built the phase oracle as a Diagonal circuit (-1 on the two targets, +1 elsewhere), which is exact and, unlike the QuantumCircuit.diagonal() both luna models used, still exists in Qiskit 1.x / 2.x. On 0.25.x, GroverOperator drops the Diagonal circuit's global phase, so the Grover operator is off by a factor e^(-i*pi/4), and the test compares the operator exactly.</t>
        </is>
      </c>
      <c r="AL24" s="2" t="inlineStr">
        <is>
          <t>AssertionError</t>
        </is>
      </c>
      <c r="AM24" s="2" t="inlineStr">
        <is>
          <t>AssertionError:</t>
        </is>
      </c>
      <c r="AN24" s="2" t="inlineStr">
        <is>
          <t>Failed on 0.25.x, passed on the other 23 versions: the LLM built the phase oracle as a Diagonal circuit (-1 on the two targets, +1 elsewhere), which is exact and, unlike the QuantumCircuit.diagonal() both luna models used, still exists in Qiskit 1.x / 2.x. On 0.25.x, GroverOperator drops the Diagonal circuit's global phase, so the Grover operator is off by a factor e^(-i*pi/4), and the test compares the operator exactly.</t>
        </is>
      </c>
      <c r="AO24" s="2" t="n"/>
      <c r="AP24" s="2" t="n"/>
      <c r="AQ24" s="2" t="n"/>
      <c r="AR24" s="2" t="n"/>
      <c r="AS24" s="2" t="n"/>
      <c r="AT24" s="2" t="n"/>
      <c r="AU24" s="2" t="n"/>
      <c r="AV24" s="2" t="n"/>
      <c r="AW24" s="2" t="n"/>
      <c r="AX24" s="2" t="n"/>
      <c r="AY24" s="2" t="n"/>
      <c r="AZ24" s="2" t="n"/>
      <c r="BA24" s="2" t="n"/>
      <c r="BB24" s="2" t="n"/>
      <c r="BC24" s="2" t="n"/>
      <c r="BD24" s="2" t="n"/>
      <c r="BE24" s="2" t="n"/>
      <c r="BF24" s="2" t="n"/>
      <c r="BG24" s="2" t="n"/>
      <c r="BH24" s="2" t="n"/>
      <c r="BI24" s="2" t="n"/>
      <c r="BJ24" s="2" t="n"/>
      <c r="BK24" s="2" t="n"/>
      <c r="BL24" s="2" t="n"/>
      <c r="BM24" s="2" t="n"/>
      <c r="BN24" s="2" t="n"/>
      <c r="BO24" s="2" t="n"/>
      <c r="BP24" s="2" t="n"/>
      <c r="BQ24" s="2" t="n"/>
      <c r="BR24" s="2" t="n"/>
      <c r="BS24" s="2" t="n"/>
      <c r="BT24" s="2" t="n"/>
      <c r="BU24" s="2" t="n"/>
      <c r="BV24" s="2" t="n"/>
      <c r="BW24" s="2" t="n"/>
      <c r="BX24" s="2" t="n"/>
      <c r="BY24" s="2" t="n"/>
      <c r="BZ24" s="2" t="n"/>
      <c r="CA24" s="2" t="n"/>
      <c r="CB24" s="2" t="n"/>
      <c r="CC24" s="2" t="n"/>
      <c r="CD24" s="2" t="n"/>
      <c r="CE24" s="2" t="n"/>
      <c r="CF24" s="2" t="n"/>
      <c r="CG24" s="2" t="n"/>
      <c r="CH24" s="2" t="n"/>
      <c r="CI24" s="2" t="n"/>
      <c r="CJ24" s="2" t="n"/>
      <c r="CK24" s="2" t="n"/>
      <c r="CL24" s="2" t="n"/>
      <c r="CM24" s="2" t="n"/>
      <c r="CN24" s="2" t="n"/>
      <c r="CO24" s="2" t="n"/>
      <c r="CP24" s="2" t="n"/>
      <c r="CQ24" s="2" t="n"/>
      <c r="CR24" s="2" t="n"/>
      <c r="CS24" s="2" t="n"/>
      <c r="CT24" s="2" t="n"/>
      <c r="CU24" s="2" t="n"/>
      <c r="CV24" s="2" t="n"/>
      <c r="CW24" s="2" t="n"/>
      <c r="CX24" s="2" t="n"/>
      <c r="CY24" s="2" t="n"/>
      <c r="CZ24" s="2" t="n"/>
      <c r="DA24" s="2" t="n"/>
      <c r="DB24" s="2" t="n"/>
      <c r="DC24" s="2" t="n"/>
      <c r="DD24" s="2" t="n"/>
      <c r="DE24" s="2" t="n"/>
    </row>
    <row r="25">
      <c r="A25" s="2" t="inlineStr">
        <is>
          <t>issue_415</t>
        </is>
      </c>
      <c r="B25" s="5" t="inlineStr">
        <is>
          <t>Failed on test</t>
        </is>
      </c>
      <c r="C25" s="5" t="inlineStr">
        <is>
          <t>Failed on test</t>
        </is>
      </c>
      <c r="D25" s="5" t="inlineStr">
        <is>
          <t>Failed on test</t>
        </is>
      </c>
      <c r="E25" s="5" t="inlineStr">
        <is>
          <t>Failed on test</t>
        </is>
      </c>
      <c r="F25" s="3" t="inlineStr">
        <is>
          <t>NOT_TESTED</t>
        </is>
      </c>
      <c r="G25" s="3" t="inlineStr">
        <is>
          <t>NOT_TESTED</t>
        </is>
      </c>
      <c r="H25" s="3" t="inlineStr">
        <is>
          <t>NOT_TESTED</t>
        </is>
      </c>
      <c r="I25" s="3" t="inlineStr">
        <is>
          <t>NOT_TESTED</t>
        </is>
      </c>
      <c r="J25" s="3" t="inlineStr">
        <is>
          <t>NOT_TESTED</t>
        </is>
      </c>
      <c r="K25" s="3" t="inlineStr">
        <is>
          <t>NOT_TESTED</t>
        </is>
      </c>
      <c r="L25" s="3" t="inlineStr">
        <is>
          <t>NOT_TESTED</t>
        </is>
      </c>
      <c r="M25" s="3" t="inlineStr">
        <is>
          <t>NOT_TESTED</t>
        </is>
      </c>
      <c r="N25" s="3" t="inlineStr">
        <is>
          <t>NOT_TESTED</t>
        </is>
      </c>
      <c r="O25" s="3" t="inlineStr">
        <is>
          <t>NOT_TESTED</t>
        </is>
      </c>
      <c r="P25" s="3" t="inlineStr">
        <is>
          <t>NOT_TESTED</t>
        </is>
      </c>
      <c r="Q25" s="3" t="inlineStr">
        <is>
          <t>NOT_TESTED</t>
        </is>
      </c>
      <c r="R25" s="3" t="inlineStr">
        <is>
          <t>NOT_TESTED</t>
        </is>
      </c>
      <c r="S25" s="3" t="inlineStr">
        <is>
          <t>NOT_TESTED</t>
        </is>
      </c>
      <c r="T25" s="3" t="inlineStr">
        <is>
          <t>NOT_TESTED</t>
        </is>
      </c>
      <c r="U25" s="3" t="inlineStr">
        <is>
          <t>NOT_TESTED</t>
        </is>
      </c>
      <c r="V25" s="3" t="inlineStr">
        <is>
          <t>NOT_TESTED</t>
        </is>
      </c>
      <c r="W25" s="3" t="inlineStr">
        <is>
          <t>NOT_TESTED</t>
        </is>
      </c>
      <c r="X25" s="3" t="inlineStr">
        <is>
          <t>NOT_TESTED</t>
        </is>
      </c>
      <c r="Y25" s="3" t="inlineStr">
        <is>
          <t>NOT_TESTED</t>
        </is>
      </c>
      <c r="Z25" s="3" t="inlineStr">
        <is>
          <t>NOT_TESTED</t>
        </is>
      </c>
      <c r="AA25" s="3" t="inlineStr">
        <is>
          <t>NOT_TESTED</t>
        </is>
      </c>
      <c r="AB25" s="3" t="inlineStr">
        <is>
          <t>NOT_TESTED</t>
        </is>
      </c>
      <c r="AC25" s="2" t="inlineStr">
        <is>
          <t>AssertionError</t>
        </is>
      </c>
      <c r="AD25" s="2" t="inlineStr">
        <is>
          <t>AssertionError: -1.2374811137735784 != 0 within 7 places (1.2374811137735784 difference)</t>
        </is>
      </c>
      <c r="AE25" s="2" t="inlineStr">
        <is>
          <t>The LLM left theta and phi complex and replaced circ.u3(theta, phi, 0, 0) with circ.initialize(arb_quantum_state, [0]). That prepares the right state, but the question is about getting real U3 angles, and the test checks that theta and phi are real (theta's imaginary part is -1.24). gpt-6-luna computed real angles and passed.</t>
        </is>
      </c>
      <c r="AF25" s="2" t="inlineStr">
        <is>
          <t>AssertionError</t>
        </is>
      </c>
      <c r="AG25" s="2" t="inlineStr">
        <is>
          <t>AssertionError: -1.2374811137735784 != 0 within 7 places (1.2374811137735784 difference)</t>
        </is>
      </c>
      <c r="AH25" s="2" t="inlineStr">
        <is>
          <t>The LLM left theta and phi complex and replaced circ.u3(theta, phi, 0, 0) with circ.initialize(arb_quantum_state, [0]). That prepares the right state, but the question is about getting real U3 angles, and the test checks that theta and phi are real (theta's imaginary part is -1.24). gpt-6-luna computed real angles and passed.</t>
        </is>
      </c>
      <c r="AI25" s="2" t="inlineStr">
        <is>
          <t>AssertionError</t>
        </is>
      </c>
      <c r="AJ25" s="2" t="inlineStr">
        <is>
          <t>AssertionError: -1.2374811137735784 != 0 within 7 places (1.2374811137735784 difference)</t>
        </is>
      </c>
      <c r="AK25" s="2" t="inlineStr">
        <is>
          <t>The LLM left theta and phi complex and replaced circ.u3(theta, phi, 0, 0) with circ.initialize(arb_quantum_state, [0]). That prepares the right state, but the question is about getting real U3 angles, and the test checks that theta and phi are real (theta's imaginary part is -1.24). gpt-6-luna computed real angles and passed.</t>
        </is>
      </c>
      <c r="AL25" s="2" t="inlineStr">
        <is>
          <t>AssertionError</t>
        </is>
      </c>
      <c r="AM25" s="2" t="inlineStr">
        <is>
          <t>AssertionError: -1.2374811137735784 != 0 within 7 places (1.2374811137735784 difference)</t>
        </is>
      </c>
      <c r="AN25" s="2" t="inlineStr">
        <is>
          <t>The LLM left theta and phi complex and replaced circ.u3(theta, phi, 0, 0) with circ.initialize(arb_quantum_state, [0]). That prepares the right state, but the question is about getting real U3 angles, and the test checks that theta and phi are real (theta's imaginary part is -1.24). gpt-6-luna computed real angles and passed.</t>
        </is>
      </c>
      <c r="AO25" s="2" t="n"/>
      <c r="AP25" s="2" t="n"/>
      <c r="AQ25" s="2" t="n"/>
      <c r="AR25" s="2" t="n"/>
      <c r="AS25" s="2" t="n"/>
      <c r="AT25" s="2" t="n"/>
      <c r="AU25" s="2" t="n"/>
      <c r="AV25" s="2" t="n"/>
      <c r="AW25" s="2" t="n"/>
      <c r="AX25" s="2" t="n"/>
      <c r="AY25" s="2" t="n"/>
      <c r="AZ25" s="2" t="n"/>
      <c r="BA25" s="2" t="n"/>
      <c r="BB25" s="2" t="n"/>
      <c r="BC25" s="2" t="n"/>
      <c r="BD25" s="2" t="n"/>
      <c r="BE25" s="2" t="n"/>
      <c r="BF25" s="2" t="n"/>
      <c r="BG25" s="2" t="n"/>
      <c r="BH25" s="2" t="n"/>
      <c r="BI25" s="2" t="n"/>
      <c r="BJ25" s="2" t="n"/>
      <c r="BK25" s="2" t="n"/>
      <c r="BL25" s="2" t="n"/>
      <c r="BM25" s="2" t="n"/>
      <c r="BN25" s="2" t="n"/>
      <c r="BO25" s="2" t="n"/>
      <c r="BP25" s="2" t="n"/>
      <c r="BQ25" s="2" t="n"/>
      <c r="BR25" s="2" t="n"/>
      <c r="BS25" s="2" t="n"/>
      <c r="BT25" s="2" t="n"/>
      <c r="BU25" s="2" t="n"/>
      <c r="BV25" s="2" t="n"/>
      <c r="BW25" s="2" t="n"/>
      <c r="BX25" s="2" t="n"/>
      <c r="BY25" s="2" t="n"/>
      <c r="BZ25" s="2" t="n"/>
      <c r="CA25" s="2" t="n"/>
      <c r="CB25" s="2" t="n"/>
      <c r="CC25" s="2" t="n"/>
      <c r="CD25" s="2" t="n"/>
      <c r="CE25" s="2" t="n"/>
      <c r="CF25" s="2" t="n"/>
      <c r="CG25" s="2" t="n"/>
      <c r="CH25" s="2" t="n"/>
      <c r="CI25" s="2" t="n"/>
      <c r="CJ25" s="2" t="n"/>
      <c r="CK25" s="2" t="n"/>
      <c r="CL25" s="2" t="n"/>
      <c r="CM25" s="2" t="n"/>
      <c r="CN25" s="2" t="n"/>
      <c r="CO25" s="2" t="n"/>
      <c r="CP25" s="2" t="n"/>
      <c r="CQ25" s="2" t="n"/>
      <c r="CR25" s="2" t="n"/>
      <c r="CS25" s="2" t="n"/>
      <c r="CT25" s="2" t="n"/>
      <c r="CU25" s="2" t="n"/>
      <c r="CV25" s="2" t="n"/>
      <c r="CW25" s="2" t="n"/>
      <c r="CX25" s="2" t="n"/>
      <c r="CY25" s="2" t="n"/>
      <c r="CZ25" s="2" t="n"/>
      <c r="DA25" s="2" t="n"/>
      <c r="DB25" s="2" t="n"/>
      <c r="DC25" s="2" t="n"/>
      <c r="DD25" s="2" t="n"/>
      <c r="DE25" s="2" t="n"/>
    </row>
    <row r="26">
      <c r="A26" s="2" t="inlineStr">
        <is>
          <t>issue_436</t>
        </is>
      </c>
      <c r="B26" s="4" t="inlineStr">
        <is>
          <t>Passed on test</t>
        </is>
      </c>
      <c r="C26" s="4" t="inlineStr">
        <is>
          <t>Passed on test</t>
        </is>
      </c>
      <c r="D26" s="4" t="inlineStr">
        <is>
          <t>Passed on test</t>
        </is>
      </c>
      <c r="E26" s="4" t="inlineStr">
        <is>
          <t>Passed on test</t>
        </is>
      </c>
      <c r="F26" s="3" t="inlineStr">
        <is>
          <t>NOT_TESTED</t>
        </is>
      </c>
      <c r="G26" s="3" t="inlineStr">
        <is>
          <t>NOT_TESTED</t>
        </is>
      </c>
      <c r="H26" s="3" t="inlineStr">
        <is>
          <t>NOT_TESTED</t>
        </is>
      </c>
      <c r="I26" s="3" t="inlineStr">
        <is>
          <t>NOT_TESTED</t>
        </is>
      </c>
      <c r="J26" s="3" t="inlineStr">
        <is>
          <t>NOT_TESTED</t>
        </is>
      </c>
      <c r="K26" s="3" t="inlineStr">
        <is>
          <t>NOT_TESTED</t>
        </is>
      </c>
      <c r="L26" s="3" t="inlineStr">
        <is>
          <t>NOT_TESTED</t>
        </is>
      </c>
      <c r="M26" s="3" t="inlineStr">
        <is>
          <t>NOT_TESTED</t>
        </is>
      </c>
      <c r="N26" s="3" t="inlineStr">
        <is>
          <t>NOT_TESTED</t>
        </is>
      </c>
      <c r="O26" s="3" t="inlineStr">
        <is>
          <t>NOT_TESTED</t>
        </is>
      </c>
      <c r="P26" s="3" t="inlineStr">
        <is>
          <t>NOT_TESTED</t>
        </is>
      </c>
      <c r="Q26" s="3" t="inlineStr">
        <is>
          <t>NOT_TESTED</t>
        </is>
      </c>
      <c r="R26" s="3" t="inlineStr">
        <is>
          <t>NOT_TESTED</t>
        </is>
      </c>
      <c r="S26" s="3" t="inlineStr">
        <is>
          <t>NOT_TESTED</t>
        </is>
      </c>
      <c r="T26" s="3" t="inlineStr">
        <is>
          <t>NOT_TESTED</t>
        </is>
      </c>
      <c r="U26" s="3" t="inlineStr">
        <is>
          <t>NOT_TESTED</t>
        </is>
      </c>
      <c r="V26" s="3" t="inlineStr">
        <is>
          <t>NOT_TESTED</t>
        </is>
      </c>
      <c r="W26" s="3" t="inlineStr">
        <is>
          <t>NOT_TESTED</t>
        </is>
      </c>
      <c r="X26" s="3" t="inlineStr">
        <is>
          <t>NOT_TESTED</t>
        </is>
      </c>
      <c r="Y26" s="3" t="inlineStr">
        <is>
          <t>NOT_TESTED</t>
        </is>
      </c>
      <c r="Z26" s="3" t="inlineStr">
        <is>
          <t>NOT_TESTED</t>
        </is>
      </c>
      <c r="AA26" s="3" t="inlineStr">
        <is>
          <t>NOT_TESTED</t>
        </is>
      </c>
      <c r="AB26" s="3" t="inlineStr">
        <is>
          <t>NOT_TESTED</t>
        </is>
      </c>
      <c r="AC26" s="2" t="n"/>
      <c r="AD26" s="2" t="n"/>
      <c r="AE26" s="2" t="n"/>
      <c r="AF26" s="2" t="n"/>
      <c r="AG26" s="2" t="n"/>
      <c r="AH26" s="2" t="n"/>
      <c r="AI26" s="2" t="n"/>
      <c r="AJ26" s="2" t="n"/>
      <c r="AK26" s="2" t="n"/>
      <c r="AL26" s="2" t="n"/>
      <c r="AM26" s="2" t="n"/>
      <c r="AN26" s="2" t="n"/>
      <c r="AO26" s="2" t="n"/>
      <c r="AP26" s="2" t="n"/>
      <c r="AQ26" s="2" t="n"/>
      <c r="AR26" s="2" t="n"/>
      <c r="AS26" s="2" t="n"/>
      <c r="AT26" s="2" t="n"/>
      <c r="AU26" s="2" t="n"/>
      <c r="AV26" s="2" t="n"/>
      <c r="AW26" s="2" t="n"/>
      <c r="AX26" s="2" t="n"/>
      <c r="AY26" s="2" t="n"/>
      <c r="AZ26" s="2" t="n"/>
      <c r="BA26" s="2" t="n"/>
      <c r="BB26" s="2" t="n"/>
      <c r="BC26" s="2" t="n"/>
      <c r="BD26" s="2" t="n"/>
      <c r="BE26" s="2" t="n"/>
      <c r="BF26" s="2" t="n"/>
      <c r="BG26" s="2" t="n"/>
      <c r="BH26" s="2" t="n"/>
      <c r="BI26" s="2" t="n"/>
      <c r="BJ26" s="2" t="n"/>
      <c r="BK26" s="2" t="n"/>
      <c r="BL26" s="2" t="n"/>
      <c r="BM26" s="2" t="n"/>
      <c r="BN26" s="2" t="n"/>
      <c r="BO26" s="2" t="n"/>
      <c r="BP26" s="2" t="n"/>
      <c r="BQ26" s="2" t="n"/>
      <c r="BR26" s="2" t="n"/>
      <c r="BS26" s="2" t="n"/>
      <c r="BT26" s="2" t="n"/>
      <c r="BU26" s="2" t="n"/>
      <c r="BV26" s="2" t="n"/>
      <c r="BW26" s="2" t="n"/>
      <c r="BX26" s="2" t="n"/>
      <c r="BY26" s="2" t="n"/>
      <c r="BZ26" s="2" t="n"/>
      <c r="CA26" s="2" t="n"/>
      <c r="CB26" s="2" t="n"/>
      <c r="CC26" s="2" t="n"/>
      <c r="CD26" s="2" t="n"/>
      <c r="CE26" s="2" t="n"/>
      <c r="CF26" s="2" t="n"/>
      <c r="CG26" s="2" t="n"/>
      <c r="CH26" s="2" t="n"/>
      <c r="CI26" s="2" t="n"/>
      <c r="CJ26" s="2" t="n"/>
      <c r="CK26" s="2" t="n"/>
      <c r="CL26" s="2" t="n"/>
      <c r="CM26" s="2" t="n"/>
      <c r="CN26" s="2" t="n"/>
      <c r="CO26" s="2" t="n"/>
      <c r="CP26" s="2" t="n"/>
      <c r="CQ26" s="2" t="n"/>
      <c r="CR26" s="2" t="n"/>
      <c r="CS26" s="2" t="n"/>
      <c r="CT26" s="2" t="n"/>
      <c r="CU26" s="2" t="n"/>
      <c r="CV26" s="2" t="n"/>
      <c r="CW26" s="2" t="n"/>
      <c r="CX26" s="2" t="n"/>
      <c r="CY26" s="2" t="n"/>
      <c r="CZ26" s="2" t="n"/>
      <c r="DA26" s="2" t="n"/>
      <c r="DB26" s="2" t="n"/>
      <c r="DC26" s="2" t="n"/>
      <c r="DD26" s="2" t="n"/>
      <c r="DE26" s="2" t="n"/>
    </row>
    <row r="27">
      <c r="A27" s="2" t="inlineStr">
        <is>
          <t>issue_443</t>
        </is>
      </c>
      <c r="B27" s="4" t="inlineStr">
        <is>
          <t>Passed on test</t>
        </is>
      </c>
      <c r="C27" s="4" t="inlineStr">
        <is>
          <t>Passed on test</t>
        </is>
      </c>
      <c r="D27" s="4" t="inlineStr">
        <is>
          <t>Passed on test</t>
        </is>
      </c>
      <c r="E27" s="4" t="inlineStr">
        <is>
          <t>Passed on test</t>
        </is>
      </c>
      <c r="F27" s="4" t="inlineStr">
        <is>
          <t>Passed on test</t>
        </is>
      </c>
      <c r="G27" s="4" t="inlineStr">
        <is>
          <t>Passed on test</t>
        </is>
      </c>
      <c r="H27" s="4" t="inlineStr">
        <is>
          <t>Passed on test</t>
        </is>
      </c>
      <c r="I27" s="4" t="inlineStr">
        <is>
          <t>Passed on test</t>
        </is>
      </c>
      <c r="J27" s="4" t="inlineStr">
        <is>
          <t>Passed on test</t>
        </is>
      </c>
      <c r="K27" s="4" t="inlineStr">
        <is>
          <t>Passed on test</t>
        </is>
      </c>
      <c r="L27" s="4" t="inlineStr">
        <is>
          <t>Passed on test</t>
        </is>
      </c>
      <c r="M27" s="4" t="inlineStr">
        <is>
          <t>Passed on test</t>
        </is>
      </c>
      <c r="N27" s="4" t="inlineStr">
        <is>
          <t>Passed on test</t>
        </is>
      </c>
      <c r="O27" s="4" t="inlineStr">
        <is>
          <t>Passed on test</t>
        </is>
      </c>
      <c r="P27" s="4" t="inlineStr">
        <is>
          <t>Passed on test</t>
        </is>
      </c>
      <c r="Q27" s="4" t="inlineStr">
        <is>
          <t>Passed on test</t>
        </is>
      </c>
      <c r="R27" s="4" t="inlineStr">
        <is>
          <t>Passed on test</t>
        </is>
      </c>
      <c r="S27" s="4" t="inlineStr">
        <is>
          <t>Passed on test</t>
        </is>
      </c>
      <c r="T27" s="4" t="inlineStr">
        <is>
          <t>Passed on test</t>
        </is>
      </c>
      <c r="U27" s="4" t="inlineStr">
        <is>
          <t>Passed on test</t>
        </is>
      </c>
      <c r="V27" s="4" t="inlineStr">
        <is>
          <t>Passed on test</t>
        </is>
      </c>
      <c r="W27" s="4" t="inlineStr">
        <is>
          <t>Passed on test</t>
        </is>
      </c>
      <c r="X27" s="4" t="inlineStr">
        <is>
          <t>Passed on test</t>
        </is>
      </c>
      <c r="Y27" s="4" t="inlineStr">
        <is>
          <t>Passed on test</t>
        </is>
      </c>
      <c r="Z27" s="4" t="inlineStr">
        <is>
          <t>Passed on test</t>
        </is>
      </c>
      <c r="AA27" s="4" t="inlineStr">
        <is>
          <t>Passed on test</t>
        </is>
      </c>
      <c r="AB27" s="4" t="inlineStr">
        <is>
          <t>Passed on test</t>
        </is>
      </c>
      <c r="AC27" s="2" t="n"/>
      <c r="AD27" s="2" t="n"/>
      <c r="AE27" s="2" t="n"/>
      <c r="AF27" s="2" t="n"/>
      <c r="AG27" s="2" t="n"/>
      <c r="AH27" s="2" t="n"/>
      <c r="AI27" s="2" t="n"/>
      <c r="AJ27" s="2" t="n"/>
      <c r="AK27" s="2" t="n"/>
      <c r="AL27" s="2" t="n"/>
      <c r="AM27" s="2" t="n"/>
      <c r="AN27" s="2" t="n"/>
      <c r="AO27" s="2" t="n"/>
      <c r="AP27" s="2" t="n"/>
      <c r="AQ27" s="2" t="n"/>
      <c r="AR27" s="2" t="n"/>
      <c r="AS27" s="2" t="n"/>
      <c r="AT27" s="2" t="n"/>
      <c r="AU27" s="2" t="n"/>
      <c r="AV27" s="2" t="n"/>
      <c r="AW27" s="2" t="n"/>
      <c r="AX27" s="2" t="n"/>
      <c r="AY27" s="2" t="n"/>
      <c r="AZ27" s="2" t="n"/>
      <c r="BA27" s="2" t="n"/>
      <c r="BB27" s="2" t="n"/>
      <c r="BC27" s="2" t="n"/>
      <c r="BD27" s="2" t="n"/>
      <c r="BE27" s="2" t="n"/>
      <c r="BF27" s="2" t="n"/>
      <c r="BG27" s="2" t="n"/>
      <c r="BH27" s="2" t="n"/>
      <c r="BI27" s="2" t="n"/>
      <c r="BJ27" s="2" t="n"/>
      <c r="BK27" s="2" t="n"/>
      <c r="BL27" s="2" t="n"/>
      <c r="BM27" s="2" t="n"/>
      <c r="BN27" s="2" t="n"/>
      <c r="BO27" s="2" t="n"/>
      <c r="BP27" s="2" t="n"/>
      <c r="BQ27" s="2" t="n"/>
      <c r="BR27" s="2" t="n"/>
      <c r="BS27" s="2" t="n"/>
      <c r="BT27" s="2" t="n"/>
      <c r="BU27" s="2" t="n"/>
      <c r="BV27" s="2" t="n"/>
      <c r="BW27" s="2" t="n"/>
      <c r="BX27" s="2" t="n"/>
      <c r="BY27" s="2" t="n"/>
      <c r="BZ27" s="2" t="n"/>
      <c r="CA27" s="2" t="n"/>
      <c r="CB27" s="2" t="n"/>
      <c r="CC27" s="2" t="n"/>
      <c r="CD27" s="2" t="n"/>
      <c r="CE27" s="2" t="n"/>
      <c r="CF27" s="2" t="n"/>
      <c r="CG27" s="2" t="n"/>
      <c r="CH27" s="2" t="n"/>
      <c r="CI27" s="2" t="n"/>
      <c r="CJ27" s="2" t="n"/>
      <c r="CK27" s="2" t="n"/>
      <c r="CL27" s="2" t="n"/>
      <c r="CM27" s="2" t="n"/>
      <c r="CN27" s="2" t="n"/>
      <c r="CO27" s="2" t="n"/>
      <c r="CP27" s="2" t="n"/>
      <c r="CQ27" s="2" t="n"/>
      <c r="CR27" s="2" t="n"/>
      <c r="CS27" s="2" t="n"/>
      <c r="CT27" s="2" t="n"/>
      <c r="CU27" s="2" t="n"/>
      <c r="CV27" s="2" t="n"/>
      <c r="CW27" s="2" t="n"/>
      <c r="CX27" s="2" t="n"/>
      <c r="CY27" s="2" t="n"/>
      <c r="CZ27" s="2" t="n"/>
      <c r="DA27" s="2" t="n"/>
      <c r="DB27" s="2" t="n"/>
      <c r="DC27" s="2" t="n"/>
      <c r="DD27" s="2" t="n"/>
      <c r="DE27" s="2" t="n"/>
    </row>
    <row r="28">
      <c r="A28" s="2" t="inlineStr">
        <is>
          <t>issue_453</t>
        </is>
      </c>
      <c r="B28" s="3" t="inlineStr">
        <is>
          <t>NOT_TESTED</t>
        </is>
      </c>
      <c r="C28" s="3" t="inlineStr">
        <is>
          <t>NOT_TESTED</t>
        </is>
      </c>
      <c r="D28" s="3" t="inlineStr">
        <is>
          <t>NOT_TESTED</t>
        </is>
      </c>
      <c r="E28" s="3" t="inlineStr">
        <is>
          <t>NOT_TESTED</t>
        </is>
      </c>
      <c r="F28" s="6" t="inlineStr">
        <is>
          <t>Passed on test</t>
        </is>
      </c>
      <c r="G28" s="6" t="inlineStr">
        <is>
          <t>Passed on test</t>
        </is>
      </c>
      <c r="H28" s="6" t="inlineStr">
        <is>
          <t>Passed on test</t>
        </is>
      </c>
      <c r="I28" s="6" t="inlineStr">
        <is>
          <t>Passed on test</t>
        </is>
      </c>
      <c r="J28" s="6" t="inlineStr">
        <is>
          <t>Passed on test</t>
        </is>
      </c>
      <c r="K28" s="6" t="inlineStr">
        <is>
          <t>Passed on test</t>
        </is>
      </c>
      <c r="L28" s="6" t="inlineStr">
        <is>
          <t>Passed on test</t>
        </is>
      </c>
      <c r="M28" s="6" t="inlineStr">
        <is>
          <t>Passed on test</t>
        </is>
      </c>
      <c r="N28" s="6" t="inlineStr">
        <is>
          <t>Passed on test</t>
        </is>
      </c>
      <c r="O28" s="6" t="inlineStr">
        <is>
          <t>Passed on test</t>
        </is>
      </c>
      <c r="P28" s="6" t="inlineStr">
        <is>
          <t>Passed on test</t>
        </is>
      </c>
      <c r="Q28" s="6" t="inlineStr">
        <is>
          <t>Passed on test</t>
        </is>
      </c>
      <c r="R28" s="6" t="inlineStr">
        <is>
          <t>Passed on test</t>
        </is>
      </c>
      <c r="S28" s="6" t="inlineStr">
        <is>
          <t>Passed on test</t>
        </is>
      </c>
      <c r="T28" s="6" t="inlineStr">
        <is>
          <t>Passed on test</t>
        </is>
      </c>
      <c r="U28" s="6" t="inlineStr">
        <is>
          <t>Passed on test</t>
        </is>
      </c>
      <c r="V28" s="6" t="inlineStr">
        <is>
          <t>Passed on test</t>
        </is>
      </c>
      <c r="W28" s="6" t="inlineStr">
        <is>
          <t>Passed on test</t>
        </is>
      </c>
      <c r="X28" s="6" t="inlineStr">
        <is>
          <t>Passed on test</t>
        </is>
      </c>
      <c r="Y28" s="6" t="inlineStr">
        <is>
          <t>Passed on test</t>
        </is>
      </c>
      <c r="Z28" s="6" t="inlineStr">
        <is>
          <t>Passed on test</t>
        </is>
      </c>
      <c r="AA28" s="6" t="inlineStr">
        <is>
          <t>Passed on test</t>
        </is>
      </c>
      <c r="AB28" s="6" t="inlineStr">
        <is>
          <t>Passed on test</t>
        </is>
      </c>
      <c r="AC28" s="2" t="n"/>
      <c r="AD28" s="2" t="n"/>
      <c r="AE28" s="2" t="n"/>
      <c r="AF28" s="2" t="n"/>
      <c r="AG28" s="2" t="n"/>
      <c r="AH28" s="2" t="n"/>
      <c r="AI28" s="2" t="n"/>
      <c r="AJ28" s="2" t="n"/>
      <c r="AK28" s="2" t="n"/>
      <c r="AL28" s="2" t="n"/>
      <c r="AM28" s="2" t="n"/>
      <c r="AN28" s="2" t="n"/>
      <c r="AO28" s="2" t="n"/>
      <c r="AP28" s="2" t="n"/>
      <c r="AQ28" s="2" t="inlineStr">
        <is>
          <t>The LLM added the ancilla register to the target circuit by hand and mapped all six qubits, instead of adding ancillas automatically as the user asked; the test also calls the reference answer's helper compose_with_auto_ancillas() by name (AttributeError). Over-specific test, and no updated test exists for this case; same situation as both luna models.</t>
        </is>
      </c>
      <c r="AR28" s="2" t="n"/>
      <c r="AS28" s="2" t="n"/>
      <c r="AT28" s="2" t="inlineStr">
        <is>
          <t>The LLM added the ancilla register to the target circuit by hand and mapped all six qubits, instead of adding ancillas automatically as the user asked; the test also calls the reference answer's helper compose_with_auto_ancillas() by name (AttributeError). Over-specific test, and no updated test exists for this case; same situation as both luna models.</t>
        </is>
      </c>
      <c r="AU28" s="2" t="n"/>
      <c r="AV28" s="2" t="n"/>
      <c r="AW28" s="2" t="inlineStr">
        <is>
          <t>The LLM added the ancilla register to the target circuit by hand and mapped all six qubits, instead of adding ancillas automatically as the user asked; the test also calls the reference answer's helper compose_with_auto_ancillas() by name (AttributeError). Over-specific test, and no updated test exists for this case; same situation as both luna models.</t>
        </is>
      </c>
      <c r="AX28" s="2" t="n"/>
      <c r="AY28" s="2" t="n"/>
      <c r="AZ28" s="2" t="inlineStr">
        <is>
          <t>The LLM added the ancilla register to the target circuit by hand and mapped all six qubits, instead of adding ancillas automatically as the user asked; the test also calls the reference answer's helper compose_with_auto_ancillas() by name (AttributeError). Over-specific test, and no updated test exists for this case; same situation as both luna models.</t>
        </is>
      </c>
      <c r="BA28" s="2" t="n"/>
      <c r="BB28" s="2" t="n"/>
      <c r="BC28" s="2" t="inlineStr">
        <is>
          <t>The LLM added the ancilla register to the target circuit by hand and mapped all six qubits, instead of adding ancillas automatically as the user asked; the test also calls the reference answer's helper compose_with_auto_ancillas() by name (AttributeError). Over-specific test, and no updated test exists for this case; same situation as both luna models.</t>
        </is>
      </c>
      <c r="BD28" s="2" t="n"/>
      <c r="BE28" s="2" t="n"/>
      <c r="BF28" s="2" t="inlineStr">
        <is>
          <t>The LLM added the ancilla register to the target circuit by hand and mapped all six qubits, instead of adding ancillas automatically as the user asked; the test also calls the reference answer's helper compose_with_auto_ancillas() by name (AttributeError). Over-specific test, and no updated test exists for this case; same situation as both luna models.</t>
        </is>
      </c>
      <c r="BG28" s="2" t="n"/>
      <c r="BH28" s="2" t="n"/>
      <c r="BI28" s="2" t="inlineStr">
        <is>
          <t>The LLM added the ancilla register to the target circuit by hand and mapped all six qubits, instead of adding ancillas automatically as the user asked; the test also calls the reference answer's helper compose_with_auto_ancillas() by name (AttributeError). Over-specific test, and no updated test exists for this case; same situation as both luna models.</t>
        </is>
      </c>
      <c r="BJ28" s="2" t="n"/>
      <c r="BK28" s="2" t="n"/>
      <c r="BL28" s="2" t="inlineStr">
        <is>
          <t>The LLM added the ancilla register to the target circuit by hand and mapped all six qubits, instead of adding ancillas automatically as the user asked; the test also calls the reference answer's helper compose_with_auto_ancillas() by name (AttributeError). Over-specific test, and no updated test exists for this case; same situation as both luna models.</t>
        </is>
      </c>
      <c r="BM28" s="2" t="n"/>
      <c r="BN28" s="2" t="n"/>
      <c r="BO28" s="2" t="inlineStr">
        <is>
          <t>The LLM added the ancilla register to the target circuit by hand and mapped all six qubits, instead of adding ancillas automatically as the user asked; the test also calls the reference answer's helper compose_with_auto_ancillas() by name (AttributeError). Over-specific test, and no updated test exists for this case; same situation as both luna models.</t>
        </is>
      </c>
      <c r="BP28" s="2" t="n"/>
      <c r="BQ28" s="2" t="n"/>
      <c r="BR28" s="2" t="inlineStr">
        <is>
          <t>The LLM added the ancilla register to the target circuit by hand and mapped all six qubits, instead of adding ancillas automatically as the user asked; the test also calls the reference answer's helper compose_with_auto_ancillas() by name (AttributeError). Over-specific test, and no updated test exists for this case; same situation as both luna models.</t>
        </is>
      </c>
      <c r="BS28" s="2" t="n"/>
      <c r="BT28" s="2" t="n"/>
      <c r="BU28" s="2" t="inlineStr">
        <is>
          <t>The LLM added the ancilla register to the target circuit by hand and mapped all six qubits, instead of adding ancillas automatically as the user asked; the test also calls the reference answer's helper compose_with_auto_ancillas() by name (AttributeError). Over-specific test, and no updated test exists for this case; same situation as both luna models.</t>
        </is>
      </c>
      <c r="BV28" s="2" t="n"/>
      <c r="BW28" s="2" t="n"/>
      <c r="BX28" s="2" t="inlineStr">
        <is>
          <t>The LLM added the ancilla register to the target circuit by hand and mapped all six qubits, instead of adding ancillas automatically as the user asked; the test also calls the reference answer's helper compose_with_auto_ancillas() by name (AttributeError). Over-specific test, and no updated test exists for this case; same situation as both luna models.</t>
        </is>
      </c>
      <c r="BY28" s="2" t="n"/>
      <c r="BZ28" s="2" t="n"/>
      <c r="CA28" s="2" t="inlineStr">
        <is>
          <t>The LLM added the ancilla register to the target circuit by hand and mapped all six qubits, instead of adding ancillas automatically as the user asked; the test also calls the reference answer's helper compose_with_auto_ancillas() by name (AttributeError). Over-specific test, and no updated test exists for this case; same situation as both luna models.</t>
        </is>
      </c>
      <c r="CB28" s="2" t="n"/>
      <c r="CC28" s="2" t="n"/>
      <c r="CD28" s="2" t="inlineStr">
        <is>
          <t>The LLM added the ancilla register to the target circuit by hand and mapped all six qubits, instead of adding ancillas automatically as the user asked; the test also calls the reference answer's helper compose_with_auto_ancillas() by name (AttributeError). Over-specific test, and no updated test exists for this case; same situation as both luna models.</t>
        </is>
      </c>
      <c r="CE28" s="2" t="n"/>
      <c r="CF28" s="2" t="n"/>
      <c r="CG28" s="2" t="inlineStr">
        <is>
          <t>The LLM added the ancilla register to the target circuit by hand and mapped all six qubits, instead of adding ancillas automatically as the user asked; the test also calls the reference answer's helper compose_with_auto_ancillas() by name (AttributeError). Over-specific test, and no updated test exists for this case; same situation as both luna models.</t>
        </is>
      </c>
      <c r="CH28" s="2" t="n"/>
      <c r="CI28" s="2" t="n"/>
      <c r="CJ28" s="2" t="inlineStr">
        <is>
          <t>The LLM added the ancilla register to the target circuit by hand and mapped all six qubits, instead of adding ancillas automatically as the user asked; the test also calls the reference answer's helper compose_with_auto_ancillas() by name (AttributeError). Over-specific test, and no updated test exists for this case; same situation as both luna models.</t>
        </is>
      </c>
      <c r="CK28" s="2" t="n"/>
      <c r="CL28" s="2" t="n"/>
      <c r="CM28" s="2" t="inlineStr">
        <is>
          <t>The LLM added the ancilla register to the target circuit by hand and mapped all six qubits, instead of adding ancillas automatically as the user asked; the test also calls the reference answer's helper compose_with_auto_ancillas() by name (AttributeError). Over-specific test, and no updated test exists for this case; same situation as both luna models.</t>
        </is>
      </c>
      <c r="CN28" s="2" t="n"/>
      <c r="CO28" s="2" t="n"/>
      <c r="CP28" s="2" t="inlineStr">
        <is>
          <t>The LLM added the ancilla register to the target circuit by hand and mapped all six qubits, instead of adding ancillas automatically as the user asked; the test also calls the reference answer's helper compose_with_auto_ancillas() by name (AttributeError). Over-specific test, and no updated test exists for this case; same situation as both luna models.</t>
        </is>
      </c>
      <c r="CQ28" s="2" t="n"/>
      <c r="CR28" s="2" t="n"/>
      <c r="CS28" s="2" t="inlineStr">
        <is>
          <t>The LLM added the ancilla register to the target circuit by hand and mapped all six qubits, instead of adding ancillas automatically as the user asked; the test also calls the reference answer's helper compose_with_auto_ancillas() by name (AttributeError). Over-specific test, and no updated test exists for this case; same situation as both luna models.</t>
        </is>
      </c>
      <c r="CT28" s="2" t="n"/>
      <c r="CU28" s="2" t="n"/>
      <c r="CV28" s="2" t="inlineStr">
        <is>
          <t>The LLM added the ancilla register to the target circuit by hand and mapped all six qubits, instead of adding ancillas automatically as the user asked; the test also calls the reference answer's helper compose_with_auto_ancillas() by name (AttributeError). Over-specific test, and no updated test exists for this case; same situation as both luna models.</t>
        </is>
      </c>
      <c r="CW28" s="2" t="n"/>
      <c r="CX28" s="2" t="n"/>
      <c r="CY28" s="2" t="inlineStr">
        <is>
          <t>The LLM added the ancilla register to the target circuit by hand and mapped all six qubits, instead of adding ancillas automatically as the user asked; the test also calls the reference answer's helper compose_with_auto_ancillas() by name (AttributeError). Over-specific test, and no updated test exists for this case; same situation as both luna models.</t>
        </is>
      </c>
      <c r="CZ28" s="2" t="n"/>
      <c r="DA28" s="2" t="n"/>
      <c r="DB28" s="2" t="inlineStr">
        <is>
          <t>The LLM added the ancilla register to the target circuit by hand and mapped all six qubits, instead of adding ancillas automatically as the user asked; the test also calls the reference answer's helper compose_with_auto_ancillas() by name (AttributeError). Over-specific test, and no updated test exists for this case; same situation as both luna models.</t>
        </is>
      </c>
      <c r="DC28" s="2" t="n"/>
      <c r="DD28" s="2" t="n"/>
      <c r="DE28" s="2" t="inlineStr">
        <is>
          <t>The LLM added the ancilla register to the target circuit by hand and mapped all six qubits, instead of adding ancillas automatically as the user asked; the test also calls the reference answer's helper compose_with_auto_ancillas() by name (AttributeError). Over-specific test, and no updated test exists for this case; same situation as both luna models.</t>
        </is>
      </c>
    </row>
    <row r="29">
      <c r="A29" s="2" t="inlineStr">
        <is>
          <t>issue_468</t>
        </is>
      </c>
      <c r="B29" s="6" t="inlineStr">
        <is>
          <t>Runtime error</t>
        </is>
      </c>
      <c r="C29" s="6" t="inlineStr">
        <is>
          <t>Runtime error</t>
        </is>
      </c>
      <c r="D29" s="6" t="inlineStr">
        <is>
          <t>Runtime error</t>
        </is>
      </c>
      <c r="E29" s="6" t="inlineStr">
        <is>
          <t>Runtime error</t>
        </is>
      </c>
      <c r="F29" s="3" t="inlineStr">
        <is>
          <t>NOT_TESTED</t>
        </is>
      </c>
      <c r="G29" s="3" t="inlineStr">
        <is>
          <t>NOT_TESTED</t>
        </is>
      </c>
      <c r="H29" s="3" t="inlineStr">
        <is>
          <t>NOT_TESTED</t>
        </is>
      </c>
      <c r="I29" s="3" t="inlineStr">
        <is>
          <t>NOT_TESTED</t>
        </is>
      </c>
      <c r="J29" s="3" t="inlineStr">
        <is>
          <t>NOT_TESTED</t>
        </is>
      </c>
      <c r="K29" s="3" t="inlineStr">
        <is>
          <t>NOT_TESTED</t>
        </is>
      </c>
      <c r="L29" s="3" t="inlineStr">
        <is>
          <t>NOT_TESTED</t>
        </is>
      </c>
      <c r="M29" s="3" t="inlineStr">
        <is>
          <t>NOT_TESTED</t>
        </is>
      </c>
      <c r="N29" s="3" t="inlineStr">
        <is>
          <t>NOT_TESTED</t>
        </is>
      </c>
      <c r="O29" s="3" t="inlineStr">
        <is>
          <t>NOT_TESTED</t>
        </is>
      </c>
      <c r="P29" s="3" t="inlineStr">
        <is>
          <t>NOT_TESTED</t>
        </is>
      </c>
      <c r="Q29" s="3" t="inlineStr">
        <is>
          <t>NOT_TESTED</t>
        </is>
      </c>
      <c r="R29" s="3" t="inlineStr">
        <is>
          <t>NOT_TESTED</t>
        </is>
      </c>
      <c r="S29" s="3" t="inlineStr">
        <is>
          <t>NOT_TESTED</t>
        </is>
      </c>
      <c r="T29" s="3" t="inlineStr">
        <is>
          <t>NOT_TESTED</t>
        </is>
      </c>
      <c r="U29" s="3" t="inlineStr">
        <is>
          <t>NOT_TESTED</t>
        </is>
      </c>
      <c r="V29" s="3" t="inlineStr">
        <is>
          <t>NOT_TESTED</t>
        </is>
      </c>
      <c r="W29" s="3" t="inlineStr">
        <is>
          <t>NOT_TESTED</t>
        </is>
      </c>
      <c r="X29" s="3" t="inlineStr">
        <is>
          <t>NOT_TESTED</t>
        </is>
      </c>
      <c r="Y29" s="3" t="inlineStr">
        <is>
          <t>NOT_TESTED</t>
        </is>
      </c>
      <c r="Z29" s="3" t="inlineStr">
        <is>
          <t>NOT_TESTED</t>
        </is>
      </c>
      <c r="AA29" s="3" t="inlineStr">
        <is>
          <t>NOT_TESTED</t>
        </is>
      </c>
      <c r="AB29" s="3" t="inlineStr">
        <is>
          <t>NOT_TESTED</t>
        </is>
      </c>
      <c r="AC29" s="2" t="inlineStr">
        <is>
          <t>AttributeError</t>
        </is>
      </c>
      <c r="AD29" s="2" t="inlineStr">
        <is>
          <t>AttributeError: 'MatrixOperator' object has no attribute 'simplify'</t>
        </is>
      </c>
      <c r="AE29" s="2" t="inlineStr">
        <is>
          <t>The LLM wrapped the density matrices in Aqua's legacy MatrixOperator before calling commutator(), but commutator() calls simplify(), which MatrixOperator doesn't have (AttributeError). Both luna models used opflow's MatrixOp and crashed too; the reference rewrites the operators as WeightedPauliOperators.</t>
        </is>
      </c>
      <c r="AF29" s="2" t="inlineStr">
        <is>
          <t>AttributeError</t>
        </is>
      </c>
      <c r="AG29" s="2" t="inlineStr">
        <is>
          <t>AttributeError: 'MatrixOperator' object has no attribute 'simplify'</t>
        </is>
      </c>
      <c r="AH29" s="2" t="inlineStr">
        <is>
          <t>The LLM wrapped the density matrices in Aqua's legacy MatrixOperator before calling commutator(), but commutator() calls simplify(), which MatrixOperator doesn't have (AttributeError). Both luna models used opflow's MatrixOp and crashed too; the reference rewrites the operators as WeightedPauliOperators.</t>
        </is>
      </c>
      <c r="AI29" s="2" t="inlineStr">
        <is>
          <t>AttributeError</t>
        </is>
      </c>
      <c r="AJ29" s="2" t="inlineStr">
        <is>
          <t>AttributeError: 'MatrixOperator' object has no attribute 'simplify'</t>
        </is>
      </c>
      <c r="AK29" s="2" t="inlineStr">
        <is>
          <t>The LLM wrapped the density matrices in Aqua's legacy MatrixOperator before calling commutator(), but commutator() calls simplify(), which MatrixOperator doesn't have (AttributeError). Both luna models used opflow's MatrixOp and crashed too; the reference rewrites the operators as WeightedPauliOperators.</t>
        </is>
      </c>
      <c r="AL29" s="2" t="inlineStr">
        <is>
          <t>AttributeError</t>
        </is>
      </c>
      <c r="AM29" s="2" t="inlineStr">
        <is>
          <t>AttributeError: 'MatrixOperator' object has no attribute 'simplify'</t>
        </is>
      </c>
      <c r="AN29" s="2" t="inlineStr">
        <is>
          <t>The LLM wrapped the density matrices in Aqua's legacy MatrixOperator before calling commutator(), but commutator() calls simplify(), which MatrixOperator doesn't have (AttributeError). Both luna models used opflow's MatrixOp and crashed too; the reference rewrites the operators as WeightedPauliOperators.</t>
        </is>
      </c>
      <c r="AO29" s="2" t="n"/>
      <c r="AP29" s="2" t="n"/>
      <c r="AQ29" s="2" t="n"/>
      <c r="AR29" s="2" t="n"/>
      <c r="AS29" s="2" t="n"/>
      <c r="AT29" s="2" t="n"/>
      <c r="AU29" s="2" t="n"/>
      <c r="AV29" s="2" t="n"/>
      <c r="AW29" s="2" t="n"/>
      <c r="AX29" s="2" t="n"/>
      <c r="AY29" s="2" t="n"/>
      <c r="AZ29" s="2" t="n"/>
      <c r="BA29" s="2" t="n"/>
      <c r="BB29" s="2" t="n"/>
      <c r="BC29" s="2" t="n"/>
      <c r="BD29" s="2" t="n"/>
      <c r="BE29" s="2" t="n"/>
      <c r="BF29" s="2" t="n"/>
      <c r="BG29" s="2" t="n"/>
      <c r="BH29" s="2" t="n"/>
      <c r="BI29" s="2" t="n"/>
      <c r="BJ29" s="2" t="n"/>
      <c r="BK29" s="2" t="n"/>
      <c r="BL29" s="2" t="n"/>
      <c r="BM29" s="2" t="n"/>
      <c r="BN29" s="2" t="n"/>
      <c r="BO29" s="2" t="n"/>
      <c r="BP29" s="2" t="n"/>
      <c r="BQ29" s="2" t="n"/>
      <c r="BR29" s="2" t="n"/>
      <c r="BS29" s="2" t="n"/>
      <c r="BT29" s="2" t="n"/>
      <c r="BU29" s="2" t="n"/>
      <c r="BV29" s="2" t="n"/>
      <c r="BW29" s="2" t="n"/>
      <c r="BX29" s="2" t="n"/>
      <c r="BY29" s="2" t="n"/>
      <c r="BZ29" s="2" t="n"/>
      <c r="CA29" s="2" t="n"/>
      <c r="CB29" s="2" t="n"/>
      <c r="CC29" s="2" t="n"/>
      <c r="CD29" s="2" t="n"/>
      <c r="CE29" s="2" t="n"/>
      <c r="CF29" s="2" t="n"/>
      <c r="CG29" s="2" t="n"/>
      <c r="CH29" s="2" t="n"/>
      <c r="CI29" s="2" t="n"/>
      <c r="CJ29" s="2" t="n"/>
      <c r="CK29" s="2" t="n"/>
      <c r="CL29" s="2" t="n"/>
      <c r="CM29" s="2" t="n"/>
      <c r="CN29" s="2" t="n"/>
      <c r="CO29" s="2" t="n"/>
      <c r="CP29" s="2" t="n"/>
      <c r="CQ29" s="2" t="n"/>
      <c r="CR29" s="2" t="n"/>
      <c r="CS29" s="2" t="n"/>
      <c r="CT29" s="2" t="n"/>
      <c r="CU29" s="2" t="n"/>
      <c r="CV29" s="2" t="n"/>
      <c r="CW29" s="2" t="n"/>
      <c r="CX29" s="2" t="n"/>
      <c r="CY29" s="2" t="n"/>
      <c r="CZ29" s="2" t="n"/>
      <c r="DA29" s="2" t="n"/>
      <c r="DB29" s="2" t="n"/>
      <c r="DC29" s="2" t="n"/>
      <c r="DD29" s="2" t="n"/>
      <c r="DE29" s="2" t="n"/>
    </row>
    <row r="30">
      <c r="A30" s="2" t="inlineStr">
        <is>
          <t>issue_497</t>
        </is>
      </c>
      <c r="B30" s="6" t="inlineStr">
        <is>
          <t>Passed on test</t>
        </is>
      </c>
      <c r="C30" s="6" t="inlineStr">
        <is>
          <t>Passed on test</t>
        </is>
      </c>
      <c r="D30" s="6" t="inlineStr">
        <is>
          <t>Passed on test</t>
        </is>
      </c>
      <c r="E30" s="6" t="inlineStr">
        <is>
          <t>Passed on test</t>
        </is>
      </c>
      <c r="F30" s="3" t="inlineStr">
        <is>
          <t>NOT_TESTED</t>
        </is>
      </c>
      <c r="G30" s="3" t="inlineStr">
        <is>
          <t>NOT_TESTED</t>
        </is>
      </c>
      <c r="H30" s="3" t="inlineStr">
        <is>
          <t>NOT_TESTED</t>
        </is>
      </c>
      <c r="I30" s="3" t="inlineStr">
        <is>
          <t>NOT_TESTED</t>
        </is>
      </c>
      <c r="J30" s="3" t="inlineStr">
        <is>
          <t>NOT_TESTED</t>
        </is>
      </c>
      <c r="K30" s="3" t="inlineStr">
        <is>
          <t>NOT_TESTED</t>
        </is>
      </c>
      <c r="L30" s="3" t="inlineStr">
        <is>
          <t>NOT_TESTED</t>
        </is>
      </c>
      <c r="M30" s="3" t="inlineStr">
        <is>
          <t>NOT_TESTED</t>
        </is>
      </c>
      <c r="N30" s="3" t="inlineStr">
        <is>
          <t>NOT_TESTED</t>
        </is>
      </c>
      <c r="O30" s="3" t="inlineStr">
        <is>
          <t>NOT_TESTED</t>
        </is>
      </c>
      <c r="P30" s="3" t="inlineStr">
        <is>
          <t>NOT_TESTED</t>
        </is>
      </c>
      <c r="Q30" s="3" t="inlineStr">
        <is>
          <t>NOT_TESTED</t>
        </is>
      </c>
      <c r="R30" s="3" t="inlineStr">
        <is>
          <t>NOT_TESTED</t>
        </is>
      </c>
      <c r="S30" s="3" t="inlineStr">
        <is>
          <t>NOT_TESTED</t>
        </is>
      </c>
      <c r="T30" s="3" t="inlineStr">
        <is>
          <t>NOT_TESTED</t>
        </is>
      </c>
      <c r="U30" s="3" t="inlineStr">
        <is>
          <t>NOT_TESTED</t>
        </is>
      </c>
      <c r="V30" s="3" t="inlineStr">
        <is>
          <t>NOT_TESTED</t>
        </is>
      </c>
      <c r="W30" s="3" t="inlineStr">
        <is>
          <t>NOT_TESTED</t>
        </is>
      </c>
      <c r="X30" s="3" t="inlineStr">
        <is>
          <t>NOT_TESTED</t>
        </is>
      </c>
      <c r="Y30" s="3" t="inlineStr">
        <is>
          <t>NOT_TESTED</t>
        </is>
      </c>
      <c r="Z30" s="3" t="inlineStr">
        <is>
          <t>NOT_TESTED</t>
        </is>
      </c>
      <c r="AA30" s="3" t="inlineStr">
        <is>
          <t>NOT_TESTED</t>
        </is>
      </c>
      <c r="AB30" s="3" t="inlineStr">
        <is>
          <t>NOT_TESTED</t>
        </is>
      </c>
      <c r="AC30" s="2" t="n"/>
      <c r="AD30" s="2" t="n"/>
      <c r="AE30" s="2" t="inlineStr">
        <is>
          <t>The LLM batched both expectation values into one ListOp converted by a single CircuitSampler call and removed the undefined IBMQJobManager(), like the reference, but unpacked the result into sampler1 and sampler2; the script runs, but the test reads the reference's variable sampler (KeyError: 'sampler'), so it never checks the values. Over-specific variable name, and no updated test exists for this case; gpt-5.6-luna kept the name and passed.</t>
        </is>
      </c>
      <c r="AF30" s="2" t="n"/>
      <c r="AG30" s="2" t="n"/>
      <c r="AH30" s="2" t="inlineStr">
        <is>
          <t>The LLM batched both expectation values into one ListOp converted by a single CircuitSampler call and removed the undefined IBMQJobManager(), like the reference, but unpacked the result into sampler1 and sampler2; the script runs, but the test reads the reference's variable sampler (KeyError: 'sampler'), so it never checks the values. Over-specific variable name, and no updated test exists for this case; gpt-5.6-luna kept the name and passed.</t>
        </is>
      </c>
      <c r="AI30" s="2" t="n"/>
      <c r="AJ30" s="2" t="n"/>
      <c r="AK30" s="2" t="inlineStr">
        <is>
          <t>The LLM batched both expectation values into one ListOp converted by a single CircuitSampler call and removed the undefined IBMQJobManager(), like the reference, but unpacked the result into sampler1 and sampler2; the script runs, but the test reads the reference's variable sampler (KeyError: 'sampler'), so it never checks the values. Over-specific variable name, and no updated test exists for this case; gpt-5.6-luna kept the name and passed.</t>
        </is>
      </c>
      <c r="AL30" s="2" t="n"/>
      <c r="AM30" s="2" t="n"/>
      <c r="AN30" s="2" t="inlineStr">
        <is>
          <t>The LLM batched both expectation values into one ListOp converted by a single CircuitSampler call and removed the undefined IBMQJobManager(), like the reference, but unpacked the result into sampler1 and sampler2; the script runs, but the test reads the reference's variable sampler (KeyError: 'sampler'), so it never checks the values. Over-specific variable name, and no updated test exists for this case; gpt-5.6-luna kept the name and passed.</t>
        </is>
      </c>
      <c r="AO30" s="2" t="n"/>
      <c r="AP30" s="2" t="n"/>
      <c r="AQ30" s="2" t="n"/>
      <c r="AR30" s="2" t="n"/>
      <c r="AS30" s="2" t="n"/>
      <c r="AT30" s="2" t="n"/>
      <c r="AU30" s="2" t="n"/>
      <c r="AV30" s="2" t="n"/>
      <c r="AW30" s="2" t="n"/>
      <c r="AX30" s="2" t="n"/>
      <c r="AY30" s="2" t="n"/>
      <c r="AZ30" s="2" t="n"/>
      <c r="BA30" s="2" t="n"/>
      <c r="BB30" s="2" t="n"/>
      <c r="BC30" s="2" t="n"/>
      <c r="BD30" s="2" t="n"/>
      <c r="BE30" s="2" t="n"/>
      <c r="BF30" s="2" t="n"/>
      <c r="BG30" s="2" t="n"/>
      <c r="BH30" s="2" t="n"/>
      <c r="BI30" s="2" t="n"/>
      <c r="BJ30" s="2" t="n"/>
      <c r="BK30" s="2" t="n"/>
      <c r="BL30" s="2" t="n"/>
      <c r="BM30" s="2" t="n"/>
      <c r="BN30" s="2" t="n"/>
      <c r="BO30" s="2" t="n"/>
      <c r="BP30" s="2" t="n"/>
      <c r="BQ30" s="2" t="n"/>
      <c r="BR30" s="2" t="n"/>
      <c r="BS30" s="2" t="n"/>
      <c r="BT30" s="2" t="n"/>
      <c r="BU30" s="2" t="n"/>
      <c r="BV30" s="2" t="n"/>
      <c r="BW30" s="2" t="n"/>
      <c r="BX30" s="2" t="n"/>
      <c r="BY30" s="2" t="n"/>
      <c r="BZ30" s="2" t="n"/>
      <c r="CA30" s="2" t="n"/>
      <c r="CB30" s="2" t="n"/>
      <c r="CC30" s="2" t="n"/>
      <c r="CD30" s="2" t="n"/>
      <c r="CE30" s="2" t="n"/>
      <c r="CF30" s="2" t="n"/>
      <c r="CG30" s="2" t="n"/>
      <c r="CH30" s="2" t="n"/>
      <c r="CI30" s="2" t="n"/>
      <c r="CJ30" s="2" t="n"/>
      <c r="CK30" s="2" t="n"/>
      <c r="CL30" s="2" t="n"/>
      <c r="CM30" s="2" t="n"/>
      <c r="CN30" s="2" t="n"/>
      <c r="CO30" s="2" t="n"/>
      <c r="CP30" s="2" t="n"/>
      <c r="CQ30" s="2" t="n"/>
      <c r="CR30" s="2" t="n"/>
      <c r="CS30" s="2" t="n"/>
      <c r="CT30" s="2" t="n"/>
      <c r="CU30" s="2" t="n"/>
      <c r="CV30" s="2" t="n"/>
      <c r="CW30" s="2" t="n"/>
      <c r="CX30" s="2" t="n"/>
      <c r="CY30" s="2" t="n"/>
      <c r="CZ30" s="2" t="n"/>
      <c r="DA30" s="2" t="n"/>
      <c r="DB30" s="2" t="n"/>
      <c r="DC30" s="2" t="n"/>
      <c r="DD30" s="2" t="n"/>
      <c r="DE30" s="2" t="n"/>
    </row>
    <row r="31">
      <c r="A31" s="2" t="inlineStr">
        <is>
          <t>issue_504</t>
        </is>
      </c>
      <c r="B31" s="3" t="inlineStr">
        <is>
          <t>NOT_TESTED</t>
        </is>
      </c>
      <c r="C31" s="3" t="inlineStr">
        <is>
          <t>NOT_TESTED</t>
        </is>
      </c>
      <c r="D31" s="3" t="inlineStr">
        <is>
          <t>NOT_TESTED</t>
        </is>
      </c>
      <c r="E31" s="3" t="inlineStr">
        <is>
          <t>NOT_TESTED</t>
        </is>
      </c>
      <c r="F31" s="4" t="inlineStr">
        <is>
          <t>Passed on test</t>
        </is>
      </c>
      <c r="G31" s="4" t="inlineStr">
        <is>
          <t>Passed on test</t>
        </is>
      </c>
      <c r="H31" s="4" t="inlineStr">
        <is>
          <t>Passed on test</t>
        </is>
      </c>
      <c r="I31" s="4" t="inlineStr">
        <is>
          <t>Passed on test</t>
        </is>
      </c>
      <c r="J31" s="4" t="inlineStr">
        <is>
          <t>Passed on test</t>
        </is>
      </c>
      <c r="K31" s="4" t="inlineStr">
        <is>
          <t>Passed on test</t>
        </is>
      </c>
      <c r="L31" s="4" t="inlineStr">
        <is>
          <t>Passed on test</t>
        </is>
      </c>
      <c r="M31" s="4" t="inlineStr">
        <is>
          <t>Passed on test</t>
        </is>
      </c>
      <c r="N31" s="4" t="inlineStr">
        <is>
          <t>Passed on test</t>
        </is>
      </c>
      <c r="O31" s="4" t="inlineStr">
        <is>
          <t>Passed on test</t>
        </is>
      </c>
      <c r="P31" s="4" t="inlineStr">
        <is>
          <t>Passed on test</t>
        </is>
      </c>
      <c r="Q31" s="4" t="inlineStr">
        <is>
          <t>Passed on test</t>
        </is>
      </c>
      <c r="R31" s="4" t="inlineStr">
        <is>
          <t>Passed on test</t>
        </is>
      </c>
      <c r="S31" s="4" t="inlineStr">
        <is>
          <t>Passed on test</t>
        </is>
      </c>
      <c r="T31" s="4" t="inlineStr">
        <is>
          <t>Passed on test</t>
        </is>
      </c>
      <c r="U31" s="4" t="inlineStr">
        <is>
          <t>Passed on test</t>
        </is>
      </c>
      <c r="V31" s="4" t="inlineStr">
        <is>
          <t>Passed on test</t>
        </is>
      </c>
      <c r="W31" s="4" t="inlineStr">
        <is>
          <t>Passed on test</t>
        </is>
      </c>
      <c r="X31" s="4" t="inlineStr">
        <is>
          <t>Passed on test</t>
        </is>
      </c>
      <c r="Y31" s="4" t="inlineStr">
        <is>
          <t>Passed on test</t>
        </is>
      </c>
      <c r="Z31" s="4" t="inlineStr">
        <is>
          <t>Passed on test</t>
        </is>
      </c>
      <c r="AA31" s="4" t="inlineStr">
        <is>
          <t>Passed on test</t>
        </is>
      </c>
      <c r="AB31" s="4" t="inlineStr">
        <is>
          <t>Passed on test</t>
        </is>
      </c>
      <c r="AC31" s="2" t="n"/>
      <c r="AD31" s="2" t="n"/>
      <c r="AE31" s="2" t="n"/>
      <c r="AF31" s="2" t="n"/>
      <c r="AG31" s="2" t="n"/>
      <c r="AH31" s="2" t="n"/>
      <c r="AI31" s="2" t="n"/>
      <c r="AJ31" s="2" t="n"/>
      <c r="AK31" s="2" t="n"/>
      <c r="AL31" s="2" t="n"/>
      <c r="AM31" s="2" t="n"/>
      <c r="AN31" s="2" t="n"/>
      <c r="AO31" s="2" t="n"/>
      <c r="AP31" s="2" t="n"/>
      <c r="AQ31" s="2" t="n"/>
      <c r="AR31" s="2" t="n"/>
      <c r="AS31" s="2" t="n"/>
      <c r="AT31" s="2" t="n"/>
      <c r="AU31" s="2" t="n"/>
      <c r="AV31" s="2" t="n"/>
      <c r="AW31" s="2" t="n"/>
      <c r="AX31" s="2" t="n"/>
      <c r="AY31" s="2" t="n"/>
      <c r="AZ31" s="2" t="n"/>
      <c r="BA31" s="2" t="n"/>
      <c r="BB31" s="2" t="n"/>
      <c r="BC31" s="2" t="n"/>
      <c r="BD31" s="2" t="n"/>
      <c r="BE31" s="2" t="n"/>
      <c r="BF31" s="2" t="n"/>
      <c r="BG31" s="2" t="n"/>
      <c r="BH31" s="2" t="n"/>
      <c r="BI31" s="2" t="n"/>
      <c r="BJ31" s="2" t="n"/>
      <c r="BK31" s="2" t="n"/>
      <c r="BL31" s="2" t="n"/>
      <c r="BM31" s="2" t="n"/>
      <c r="BN31" s="2" t="n"/>
      <c r="BO31" s="2" t="n"/>
      <c r="BP31" s="2" t="n"/>
      <c r="BQ31" s="2" t="n"/>
      <c r="BR31" s="2" t="n"/>
      <c r="BS31" s="2" t="n"/>
      <c r="BT31" s="2" t="n"/>
      <c r="BU31" s="2" t="n"/>
      <c r="BV31" s="2" t="n"/>
      <c r="BW31" s="2" t="n"/>
      <c r="BX31" s="2" t="n"/>
      <c r="BY31" s="2" t="n"/>
      <c r="BZ31" s="2" t="n"/>
      <c r="CA31" s="2" t="n"/>
      <c r="CB31" s="2" t="n"/>
      <c r="CC31" s="2" t="n"/>
      <c r="CD31" s="2" t="n"/>
      <c r="CE31" s="2" t="n"/>
      <c r="CF31" s="2" t="n"/>
      <c r="CG31" s="2" t="n"/>
      <c r="CH31" s="2" t="n"/>
      <c r="CI31" s="2" t="n"/>
      <c r="CJ31" s="2" t="n"/>
      <c r="CK31" s="2" t="n"/>
      <c r="CL31" s="2" t="n"/>
      <c r="CM31" s="2" t="n"/>
      <c r="CN31" s="2" t="n"/>
      <c r="CO31" s="2" t="n"/>
      <c r="CP31" s="2" t="n"/>
      <c r="CQ31" s="2" t="n"/>
      <c r="CR31" s="2" t="n"/>
      <c r="CS31" s="2" t="n"/>
      <c r="CT31" s="2" t="n"/>
      <c r="CU31" s="2" t="n"/>
      <c r="CV31" s="2" t="n"/>
      <c r="CW31" s="2" t="n"/>
      <c r="CX31" s="2" t="n"/>
      <c r="CY31" s="2" t="n"/>
      <c r="CZ31" s="2" t="n"/>
      <c r="DA31" s="2" t="n"/>
      <c r="DB31" s="2" t="n"/>
      <c r="DC31" s="2" t="n"/>
      <c r="DD31" s="2" t="n"/>
      <c r="DE31" s="2" t="n"/>
    </row>
    <row r="32">
      <c r="A32" s="2" t="inlineStr">
        <is>
          <t>issue_505</t>
        </is>
      </c>
      <c r="B32" s="3" t="inlineStr">
        <is>
          <t>NOT_TESTED</t>
        </is>
      </c>
      <c r="C32" s="3" t="inlineStr">
        <is>
          <t>NOT_TESTED</t>
        </is>
      </c>
      <c r="D32" s="3" t="inlineStr">
        <is>
          <t>NOT_TESTED</t>
        </is>
      </c>
      <c r="E32" s="3" t="inlineStr">
        <is>
          <t>NOT_TESTED</t>
        </is>
      </c>
      <c r="F32" s="4" t="inlineStr">
        <is>
          <t>Passed on test</t>
        </is>
      </c>
      <c r="G32" s="4" t="inlineStr">
        <is>
          <t>Passed on test</t>
        </is>
      </c>
      <c r="H32" s="4" t="inlineStr">
        <is>
          <t>Passed on test</t>
        </is>
      </c>
      <c r="I32" s="4" t="inlineStr">
        <is>
          <t>Passed on test</t>
        </is>
      </c>
      <c r="J32" s="4" t="inlineStr">
        <is>
          <t>Passed on test</t>
        </is>
      </c>
      <c r="K32" s="4" t="inlineStr">
        <is>
          <t>Passed on test</t>
        </is>
      </c>
      <c r="L32" s="4" t="inlineStr">
        <is>
          <t>Passed on test</t>
        </is>
      </c>
      <c r="M32" s="4" t="inlineStr">
        <is>
          <t>Passed on test</t>
        </is>
      </c>
      <c r="N32" s="3" t="inlineStr">
        <is>
          <t>NOT_TESTED</t>
        </is>
      </c>
      <c r="O32" s="3" t="inlineStr">
        <is>
          <t>NOT_TESTED</t>
        </is>
      </c>
      <c r="P32" s="3" t="inlineStr">
        <is>
          <t>NOT_TESTED</t>
        </is>
      </c>
      <c r="Q32" s="3" t="inlineStr">
        <is>
          <t>NOT_TESTED</t>
        </is>
      </c>
      <c r="R32" s="3" t="inlineStr">
        <is>
          <t>NOT_TESTED</t>
        </is>
      </c>
      <c r="S32" s="3" t="inlineStr">
        <is>
          <t>NOT_TESTED</t>
        </is>
      </c>
      <c r="T32" s="3" t="inlineStr">
        <is>
          <t>NOT_TESTED</t>
        </is>
      </c>
      <c r="U32" s="3" t="inlineStr">
        <is>
          <t>NOT_TESTED</t>
        </is>
      </c>
      <c r="V32" s="3" t="inlineStr">
        <is>
          <t>NOT_TESTED</t>
        </is>
      </c>
      <c r="W32" s="3" t="inlineStr">
        <is>
          <t>NOT_TESTED</t>
        </is>
      </c>
      <c r="X32" s="3" t="inlineStr">
        <is>
          <t>NOT_TESTED</t>
        </is>
      </c>
      <c r="Y32" s="3" t="inlineStr">
        <is>
          <t>NOT_TESTED</t>
        </is>
      </c>
      <c r="Z32" s="3" t="inlineStr">
        <is>
          <t>NOT_TESTED</t>
        </is>
      </c>
      <c r="AA32" s="3" t="inlineStr">
        <is>
          <t>NOT_TESTED</t>
        </is>
      </c>
      <c r="AB32" s="3" t="inlineStr">
        <is>
          <t>NOT_TESTED</t>
        </is>
      </c>
      <c r="AC32" s="2" t="n"/>
      <c r="AD32" s="2" t="n"/>
      <c r="AE32" s="2" t="n"/>
      <c r="AF32" s="2" t="n"/>
      <c r="AG32" s="2" t="n"/>
      <c r="AH32" s="2" t="n"/>
      <c r="AI32" s="2" t="n"/>
      <c r="AJ32" s="2" t="n"/>
      <c r="AK32" s="2" t="n"/>
      <c r="AL32" s="2" t="n"/>
      <c r="AM32" s="2" t="n"/>
      <c r="AN32" s="2" t="n"/>
      <c r="AO32" s="2" t="n"/>
      <c r="AP32" s="2" t="n"/>
      <c r="AQ32" s="2" t="n"/>
      <c r="AR32" s="2" t="n"/>
      <c r="AS32" s="2" t="n"/>
      <c r="AT32" s="2" t="n"/>
      <c r="AU32" s="2" t="n"/>
      <c r="AV32" s="2" t="n"/>
      <c r="AW32" s="2" t="n"/>
      <c r="AX32" s="2" t="n"/>
      <c r="AY32" s="2" t="n"/>
      <c r="AZ32" s="2" t="n"/>
      <c r="BA32" s="2" t="n"/>
      <c r="BB32" s="2" t="n"/>
      <c r="BC32" s="2" t="n"/>
      <c r="BD32" s="2" t="n"/>
      <c r="BE32" s="2" t="n"/>
      <c r="BF32" s="2" t="n"/>
      <c r="BG32" s="2" t="n"/>
      <c r="BH32" s="2" t="n"/>
      <c r="BI32" s="2" t="n"/>
      <c r="BJ32" s="2" t="n"/>
      <c r="BK32" s="2" t="n"/>
      <c r="BL32" s="2" t="n"/>
      <c r="BM32" s="2" t="n"/>
      <c r="BN32" s="2" t="n"/>
      <c r="BO32" s="2" t="n"/>
      <c r="BP32" s="2" t="n"/>
      <c r="BQ32" s="2" t="n"/>
      <c r="BR32" s="2" t="n"/>
      <c r="BS32" s="2" t="n"/>
      <c r="BT32" s="2" t="n"/>
      <c r="BU32" s="2" t="n"/>
      <c r="BV32" s="2" t="n"/>
      <c r="BW32" s="2" t="n"/>
      <c r="BX32" s="2" t="n"/>
      <c r="BY32" s="2" t="n"/>
      <c r="BZ32" s="2" t="n"/>
      <c r="CA32" s="2" t="n"/>
      <c r="CB32" s="2" t="n"/>
      <c r="CC32" s="2" t="n"/>
      <c r="CD32" s="2" t="n"/>
      <c r="CE32" s="2" t="n"/>
      <c r="CF32" s="2" t="n"/>
      <c r="CG32" s="2" t="n"/>
      <c r="CH32" s="2" t="n"/>
      <c r="CI32" s="2" t="n"/>
      <c r="CJ32" s="2" t="n"/>
      <c r="CK32" s="2" t="n"/>
      <c r="CL32" s="2" t="n"/>
      <c r="CM32" s="2" t="n"/>
      <c r="CN32" s="2" t="n"/>
      <c r="CO32" s="2" t="n"/>
      <c r="CP32" s="2" t="n"/>
      <c r="CQ32" s="2" t="n"/>
      <c r="CR32" s="2" t="n"/>
      <c r="CS32" s="2" t="n"/>
      <c r="CT32" s="2" t="n"/>
      <c r="CU32" s="2" t="n"/>
      <c r="CV32" s="2" t="n"/>
      <c r="CW32" s="2" t="n"/>
      <c r="CX32" s="2" t="n"/>
      <c r="CY32" s="2" t="n"/>
      <c r="CZ32" s="2" t="n"/>
      <c r="DA32" s="2" t="n"/>
      <c r="DB32" s="2" t="n"/>
      <c r="DC32" s="2" t="n"/>
      <c r="DD32" s="2" t="n"/>
      <c r="DE32" s="2" t="n"/>
    </row>
    <row r="33">
      <c r="A33" s="2" t="inlineStr">
        <is>
          <t>issue_565</t>
        </is>
      </c>
      <c r="B33" s="6" t="inlineStr">
        <is>
          <t>Runtime error</t>
        </is>
      </c>
      <c r="C33" s="6" t="inlineStr">
        <is>
          <t>Runtime error</t>
        </is>
      </c>
      <c r="D33" s="6" t="inlineStr">
        <is>
          <t>Runtime error</t>
        </is>
      </c>
      <c r="E33" s="6" t="inlineStr">
        <is>
          <t>Runtime error</t>
        </is>
      </c>
      <c r="F33" s="3" t="inlineStr">
        <is>
          <t>NOT_TESTED</t>
        </is>
      </c>
      <c r="G33" s="3" t="inlineStr">
        <is>
          <t>NOT_TESTED</t>
        </is>
      </c>
      <c r="H33" s="3" t="inlineStr">
        <is>
          <t>NOT_TESTED</t>
        </is>
      </c>
      <c r="I33" s="3" t="inlineStr">
        <is>
          <t>NOT_TESTED</t>
        </is>
      </c>
      <c r="J33" s="3" t="inlineStr">
        <is>
          <t>NOT_TESTED</t>
        </is>
      </c>
      <c r="K33" s="3" t="inlineStr">
        <is>
          <t>NOT_TESTED</t>
        </is>
      </c>
      <c r="L33" s="3" t="inlineStr">
        <is>
          <t>NOT_TESTED</t>
        </is>
      </c>
      <c r="M33" s="3" t="inlineStr">
        <is>
          <t>NOT_TESTED</t>
        </is>
      </c>
      <c r="N33" s="3" t="inlineStr">
        <is>
          <t>NOT_TESTED</t>
        </is>
      </c>
      <c r="O33" s="3" t="inlineStr">
        <is>
          <t>NOT_TESTED</t>
        </is>
      </c>
      <c r="P33" s="3" t="inlineStr">
        <is>
          <t>NOT_TESTED</t>
        </is>
      </c>
      <c r="Q33" s="3" t="inlineStr">
        <is>
          <t>NOT_TESTED</t>
        </is>
      </c>
      <c r="R33" s="3" t="inlineStr">
        <is>
          <t>NOT_TESTED</t>
        </is>
      </c>
      <c r="S33" s="3" t="inlineStr">
        <is>
          <t>NOT_TESTED</t>
        </is>
      </c>
      <c r="T33" s="3" t="inlineStr">
        <is>
          <t>NOT_TESTED</t>
        </is>
      </c>
      <c r="U33" s="3" t="inlineStr">
        <is>
          <t>NOT_TESTED</t>
        </is>
      </c>
      <c r="V33" s="3" t="inlineStr">
        <is>
          <t>NOT_TESTED</t>
        </is>
      </c>
      <c r="W33" s="3" t="inlineStr">
        <is>
          <t>NOT_TESTED</t>
        </is>
      </c>
      <c r="X33" s="3" t="inlineStr">
        <is>
          <t>NOT_TESTED</t>
        </is>
      </c>
      <c r="Y33" s="3" t="inlineStr">
        <is>
          <t>NOT_TESTED</t>
        </is>
      </c>
      <c r="Z33" s="3" t="inlineStr">
        <is>
          <t>NOT_TESTED</t>
        </is>
      </c>
      <c r="AA33" s="3" t="inlineStr">
        <is>
          <t>NOT_TESTED</t>
        </is>
      </c>
      <c r="AB33" s="3" t="inlineStr">
        <is>
          <t>NOT_TESTED</t>
        </is>
      </c>
      <c r="AC33" s="2" t="inlineStr">
        <is>
          <t>TIMEOUT</t>
        </is>
      </c>
      <c r="AD33" s="2" t="inlineStr">
        <is>
          <t>120 second timeout</t>
        </is>
      </c>
      <c r="AE33" s="2" t="inlineStr">
        <is>
          <t>Error (timeout): the LLM wrapped each mixer Operator in Aqua's MatrixOp before building the SummedOp, which removes the crash both luna models hit, but building the QAOA circuits doesn't finish within 120 seconds on any version (2 runs, the second with a single worker).</t>
        </is>
      </c>
      <c r="AF33" s="2" t="inlineStr">
        <is>
          <t>TIMEOUT</t>
        </is>
      </c>
      <c r="AG33" s="2" t="inlineStr">
        <is>
          <t>120 second timeout</t>
        </is>
      </c>
      <c r="AH33" s="2" t="inlineStr">
        <is>
          <t>Error (timeout): the LLM wrapped each mixer Operator in Aqua's MatrixOp before building the SummedOp, which removes the crash both luna models hit, but building the QAOA circuits doesn't finish within 120 seconds on any version (2 runs, the second with a single worker).</t>
        </is>
      </c>
      <c r="AI33" s="2" t="inlineStr">
        <is>
          <t>TIMEOUT</t>
        </is>
      </c>
      <c r="AJ33" s="2" t="inlineStr">
        <is>
          <t>120 second timeout</t>
        </is>
      </c>
      <c r="AK33" s="2" t="inlineStr">
        <is>
          <t>Error (timeout): the LLM wrapped each mixer Operator in Aqua's MatrixOp before building the SummedOp, which removes the crash both luna models hit, but building the QAOA circuits doesn't finish within 120 seconds on any version (2 runs, the second with a single worker).</t>
        </is>
      </c>
      <c r="AL33" s="2" t="inlineStr">
        <is>
          <t>TIMEOUT</t>
        </is>
      </c>
      <c r="AM33" s="2" t="inlineStr">
        <is>
          <t>120 second timeout</t>
        </is>
      </c>
      <c r="AN33" s="2" t="inlineStr">
        <is>
          <t>Error (timeout): the LLM wrapped each mixer Operator in Aqua's MatrixOp before building the SummedOp, which removes the crash both luna models hit, but building the QAOA circuits doesn't finish within 120 seconds on any version (2 runs, the second with a single worker).</t>
        </is>
      </c>
      <c r="AO33" s="2" t="n"/>
      <c r="AP33" s="2" t="n"/>
      <c r="AQ33" s="2" t="n"/>
      <c r="AR33" s="2" t="n"/>
      <c r="AS33" s="2" t="n"/>
      <c r="AT33" s="2" t="n"/>
      <c r="AU33" s="2" t="n"/>
      <c r="AV33" s="2" t="n"/>
      <c r="AW33" s="2" t="n"/>
      <c r="AX33" s="2" t="n"/>
      <c r="AY33" s="2" t="n"/>
      <c r="AZ33" s="2" t="n"/>
      <c r="BA33" s="2" t="n"/>
      <c r="BB33" s="2" t="n"/>
      <c r="BC33" s="2" t="n"/>
      <c r="BD33" s="2" t="n"/>
      <c r="BE33" s="2" t="n"/>
      <c r="BF33" s="2" t="n"/>
      <c r="BG33" s="2" t="n"/>
      <c r="BH33" s="2" t="n"/>
      <c r="BI33" s="2" t="n"/>
      <c r="BJ33" s="2" t="n"/>
      <c r="BK33" s="2" t="n"/>
      <c r="BL33" s="2" t="n"/>
      <c r="BM33" s="2" t="n"/>
      <c r="BN33" s="2" t="n"/>
      <c r="BO33" s="2" t="n"/>
      <c r="BP33" s="2" t="n"/>
      <c r="BQ33" s="2" t="n"/>
      <c r="BR33" s="2" t="n"/>
      <c r="BS33" s="2" t="n"/>
      <c r="BT33" s="2" t="n"/>
      <c r="BU33" s="2" t="n"/>
      <c r="BV33" s="2" t="n"/>
      <c r="BW33" s="2" t="n"/>
      <c r="BX33" s="2" t="n"/>
      <c r="BY33" s="2" t="n"/>
      <c r="BZ33" s="2" t="n"/>
      <c r="CA33" s="2" t="n"/>
      <c r="CB33" s="2" t="n"/>
      <c r="CC33" s="2" t="n"/>
      <c r="CD33" s="2" t="n"/>
      <c r="CE33" s="2" t="n"/>
      <c r="CF33" s="2" t="n"/>
      <c r="CG33" s="2" t="n"/>
      <c r="CH33" s="2" t="n"/>
      <c r="CI33" s="2" t="n"/>
      <c r="CJ33" s="2" t="n"/>
      <c r="CK33" s="2" t="n"/>
      <c r="CL33" s="2" t="n"/>
      <c r="CM33" s="2" t="n"/>
      <c r="CN33" s="2" t="n"/>
      <c r="CO33" s="2" t="n"/>
      <c r="CP33" s="2" t="n"/>
      <c r="CQ33" s="2" t="n"/>
      <c r="CR33" s="2" t="n"/>
      <c r="CS33" s="2" t="n"/>
      <c r="CT33" s="2" t="n"/>
      <c r="CU33" s="2" t="n"/>
      <c r="CV33" s="2" t="n"/>
      <c r="CW33" s="2" t="n"/>
      <c r="CX33" s="2" t="n"/>
      <c r="CY33" s="2" t="n"/>
      <c r="CZ33" s="2" t="n"/>
      <c r="DA33" s="2" t="n"/>
      <c r="DB33" s="2" t="n"/>
      <c r="DC33" s="2" t="n"/>
      <c r="DD33" s="2" t="n"/>
      <c r="DE33" s="2" t="n"/>
    </row>
    <row r="34">
      <c r="A34" s="2" t="inlineStr">
        <is>
          <t>issue_595</t>
        </is>
      </c>
      <c r="B34" s="3" t="inlineStr">
        <is>
          <t>NOT_TESTED</t>
        </is>
      </c>
      <c r="C34" s="3" t="inlineStr">
        <is>
          <t>NOT_TESTED</t>
        </is>
      </c>
      <c r="D34" s="3" t="inlineStr">
        <is>
          <t>NOT_TESTED</t>
        </is>
      </c>
      <c r="E34" s="3" t="inlineStr">
        <is>
          <t>NOT_TESTED</t>
        </is>
      </c>
      <c r="F34" s="4" t="inlineStr">
        <is>
          <t>Passed on test</t>
        </is>
      </c>
      <c r="G34" s="4" t="inlineStr">
        <is>
          <t>Passed on test</t>
        </is>
      </c>
      <c r="H34" s="4" t="inlineStr">
        <is>
          <t>Passed on test</t>
        </is>
      </c>
      <c r="I34" s="4" t="inlineStr">
        <is>
          <t>Passed on test</t>
        </is>
      </c>
      <c r="J34" s="4" t="inlineStr">
        <is>
          <t>Passed on test</t>
        </is>
      </c>
      <c r="K34" s="4" t="inlineStr">
        <is>
          <t>Passed on test</t>
        </is>
      </c>
      <c r="L34" s="4" t="inlineStr">
        <is>
          <t>Passed on test</t>
        </is>
      </c>
      <c r="M34" s="4" t="inlineStr">
        <is>
          <t>Passed on test</t>
        </is>
      </c>
      <c r="N34" s="4" t="inlineStr">
        <is>
          <t>Passed on test</t>
        </is>
      </c>
      <c r="O34" s="4" t="inlineStr">
        <is>
          <t>Passed on test</t>
        </is>
      </c>
      <c r="P34" s="4" t="inlineStr">
        <is>
          <t>Passed on test</t>
        </is>
      </c>
      <c r="Q34" s="4" t="inlineStr">
        <is>
          <t>Passed on test</t>
        </is>
      </c>
      <c r="R34" s="4" t="inlineStr">
        <is>
          <t>Passed on test</t>
        </is>
      </c>
      <c r="S34" s="4" t="inlineStr">
        <is>
          <t>Passed on test</t>
        </is>
      </c>
      <c r="T34" s="4" t="inlineStr">
        <is>
          <t>Passed on test</t>
        </is>
      </c>
      <c r="U34" s="4" t="inlineStr">
        <is>
          <t>Passed on test</t>
        </is>
      </c>
      <c r="V34" s="4" t="inlineStr">
        <is>
          <t>Passed on test</t>
        </is>
      </c>
      <c r="W34" s="4" t="inlineStr">
        <is>
          <t>Passed on test</t>
        </is>
      </c>
      <c r="X34" s="4" t="inlineStr">
        <is>
          <t>Passed on test</t>
        </is>
      </c>
      <c r="Y34" s="4" t="inlineStr">
        <is>
          <t>Passed on test</t>
        </is>
      </c>
      <c r="Z34" s="4" t="inlineStr">
        <is>
          <t>Passed on test</t>
        </is>
      </c>
      <c r="AA34" s="4" t="inlineStr">
        <is>
          <t>Passed on test</t>
        </is>
      </c>
      <c r="AB34" s="4" t="inlineStr">
        <is>
          <t>Passed on test</t>
        </is>
      </c>
      <c r="AC34" s="2" t="n"/>
      <c r="AD34" s="2" t="n"/>
      <c r="AE34" s="2" t="n"/>
      <c r="AF34" s="2" t="n"/>
      <c r="AG34" s="2" t="n"/>
      <c r="AH34" s="2" t="n"/>
      <c r="AI34" s="2" t="n"/>
      <c r="AJ34" s="2" t="n"/>
      <c r="AK34" s="2" t="n"/>
      <c r="AL34" s="2" t="n"/>
      <c r="AM34" s="2" t="n"/>
      <c r="AN34" s="2" t="n"/>
      <c r="AO34" s="2" t="n"/>
      <c r="AP34" s="2" t="n"/>
      <c r="AQ34" s="2" t="n"/>
      <c r="AR34" s="2" t="n"/>
      <c r="AS34" s="2" t="n"/>
      <c r="AT34" s="2" t="n"/>
      <c r="AU34" s="2" t="n"/>
      <c r="AV34" s="2" t="n"/>
      <c r="AW34" s="2" t="n"/>
      <c r="AX34" s="2" t="n"/>
      <c r="AY34" s="2" t="n"/>
      <c r="AZ34" s="2" t="n"/>
      <c r="BA34" s="2" t="n"/>
      <c r="BB34" s="2" t="n"/>
      <c r="BC34" s="2" t="n"/>
      <c r="BD34" s="2" t="n"/>
      <c r="BE34" s="2" t="n"/>
      <c r="BF34" s="2" t="n"/>
      <c r="BG34" s="2" t="n"/>
      <c r="BH34" s="2" t="n"/>
      <c r="BI34" s="2" t="n"/>
      <c r="BJ34" s="2" t="n"/>
      <c r="BK34" s="2" t="n"/>
      <c r="BL34" s="2" t="n"/>
      <c r="BM34" s="2" t="n"/>
      <c r="BN34" s="2" t="n"/>
      <c r="BO34" s="2" t="n"/>
      <c r="BP34" s="2" t="n"/>
      <c r="BQ34" s="2" t="n"/>
      <c r="BR34" s="2" t="n"/>
      <c r="BS34" s="2" t="n"/>
      <c r="BT34" s="2" t="n"/>
      <c r="BU34" s="2" t="n"/>
      <c r="BV34" s="2" t="n"/>
      <c r="BW34" s="2" t="n"/>
      <c r="BX34" s="2" t="n"/>
      <c r="BY34" s="2" t="n"/>
      <c r="BZ34" s="2" t="n"/>
      <c r="CA34" s="2" t="n"/>
      <c r="CB34" s="2" t="n"/>
      <c r="CC34" s="2" t="n"/>
      <c r="CD34" s="2" t="n"/>
      <c r="CE34" s="2" t="n"/>
      <c r="CF34" s="2" t="n"/>
      <c r="CG34" s="2" t="n"/>
      <c r="CH34" s="2" t="n"/>
      <c r="CI34" s="2" t="n"/>
      <c r="CJ34" s="2" t="n"/>
      <c r="CK34" s="2" t="n"/>
      <c r="CL34" s="2" t="n"/>
      <c r="CM34" s="2" t="n"/>
      <c r="CN34" s="2" t="n"/>
      <c r="CO34" s="2" t="n"/>
      <c r="CP34" s="2" t="n"/>
      <c r="CQ34" s="2" t="n"/>
      <c r="CR34" s="2" t="n"/>
      <c r="CS34" s="2" t="n"/>
      <c r="CT34" s="2" t="n"/>
      <c r="CU34" s="2" t="n"/>
      <c r="CV34" s="2" t="n"/>
      <c r="CW34" s="2" t="n"/>
      <c r="CX34" s="2" t="n"/>
      <c r="CY34" s="2" t="n"/>
      <c r="CZ34" s="2" t="n"/>
      <c r="DA34" s="2" t="n"/>
      <c r="DB34" s="2" t="n"/>
      <c r="DC34" s="2" t="n"/>
      <c r="DD34" s="2" t="n"/>
      <c r="DE34" s="2" t="n"/>
    </row>
    <row r="35">
      <c r="A35" s="2" t="inlineStr">
        <is>
          <t>issue_596</t>
        </is>
      </c>
      <c r="B35" s="4" t="inlineStr">
        <is>
          <t>Passed on test</t>
        </is>
      </c>
      <c r="C35" s="4" t="inlineStr">
        <is>
          <t>Passed on test</t>
        </is>
      </c>
      <c r="D35" s="4" t="inlineStr">
        <is>
          <t>Passed on test</t>
        </is>
      </c>
      <c r="E35" s="4" t="inlineStr">
        <is>
          <t>Passed on test</t>
        </is>
      </c>
      <c r="F35" s="4" t="inlineStr">
        <is>
          <t>Passed on test</t>
        </is>
      </c>
      <c r="G35" s="4" t="inlineStr">
        <is>
          <t>Passed on test</t>
        </is>
      </c>
      <c r="H35" s="4" t="inlineStr">
        <is>
          <t>Passed on test</t>
        </is>
      </c>
      <c r="I35" s="4" t="inlineStr">
        <is>
          <t>Passed on test</t>
        </is>
      </c>
      <c r="J35" s="4" t="inlineStr">
        <is>
          <t>Passed on test</t>
        </is>
      </c>
      <c r="K35" s="4" t="inlineStr">
        <is>
          <t>Passed on test</t>
        </is>
      </c>
      <c r="L35" s="4" t="inlineStr">
        <is>
          <t>Passed on test</t>
        </is>
      </c>
      <c r="M35" s="4" t="inlineStr">
        <is>
          <t>Passed on test</t>
        </is>
      </c>
      <c r="N35" s="3" t="inlineStr">
        <is>
          <t>NOT_TESTED</t>
        </is>
      </c>
      <c r="O35" s="3" t="inlineStr">
        <is>
          <t>NOT_TESTED</t>
        </is>
      </c>
      <c r="P35" s="3" t="inlineStr">
        <is>
          <t>NOT_TESTED</t>
        </is>
      </c>
      <c r="Q35" s="3" t="inlineStr">
        <is>
          <t>NOT_TESTED</t>
        </is>
      </c>
      <c r="R35" s="3" t="inlineStr">
        <is>
          <t>NOT_TESTED</t>
        </is>
      </c>
      <c r="S35" s="3" t="inlineStr">
        <is>
          <t>NOT_TESTED</t>
        </is>
      </c>
      <c r="T35" s="3" t="inlineStr">
        <is>
          <t>NOT_TESTED</t>
        </is>
      </c>
      <c r="U35" s="3" t="inlineStr">
        <is>
          <t>NOT_TESTED</t>
        </is>
      </c>
      <c r="V35" s="3" t="inlineStr">
        <is>
          <t>NOT_TESTED</t>
        </is>
      </c>
      <c r="W35" s="3" t="inlineStr">
        <is>
          <t>NOT_TESTED</t>
        </is>
      </c>
      <c r="X35" s="3" t="inlineStr">
        <is>
          <t>NOT_TESTED</t>
        </is>
      </c>
      <c r="Y35" s="3" t="inlineStr">
        <is>
          <t>NOT_TESTED</t>
        </is>
      </c>
      <c r="Z35" s="3" t="inlineStr">
        <is>
          <t>NOT_TESTED</t>
        </is>
      </c>
      <c r="AA35" s="3" t="inlineStr">
        <is>
          <t>NOT_TESTED</t>
        </is>
      </c>
      <c r="AB35" s="3" t="inlineStr">
        <is>
          <t>NOT_TESTED</t>
        </is>
      </c>
      <c r="AC35" s="2" t="n"/>
      <c r="AD35" s="2" t="n"/>
      <c r="AE35" s="2" t="n"/>
      <c r="AF35" s="2" t="n"/>
      <c r="AG35" s="2" t="n"/>
      <c r="AH35" s="2" t="n"/>
      <c r="AI35" s="2" t="n"/>
      <c r="AJ35" s="2" t="n"/>
      <c r="AK35" s="2" t="n"/>
      <c r="AL35" s="2" t="n"/>
      <c r="AM35" s="2" t="n"/>
      <c r="AN35" s="2" t="n"/>
      <c r="AO35" s="2" t="n"/>
      <c r="AP35" s="2" t="n"/>
      <c r="AQ35" s="2" t="n"/>
      <c r="AR35" s="2" t="n"/>
      <c r="AS35" s="2" t="n"/>
      <c r="AT35" s="2" t="n"/>
      <c r="AU35" s="2" t="n"/>
      <c r="AV35" s="2" t="n"/>
      <c r="AW35" s="2" t="n"/>
      <c r="AX35" s="2" t="n"/>
      <c r="AY35" s="2" t="n"/>
      <c r="AZ35" s="2" t="n"/>
      <c r="BA35" s="2" t="n"/>
      <c r="BB35" s="2" t="n"/>
      <c r="BC35" s="2" t="n"/>
      <c r="BD35" s="2" t="n"/>
      <c r="BE35" s="2" t="n"/>
      <c r="BF35" s="2" t="n"/>
      <c r="BG35" s="2" t="n"/>
      <c r="BH35" s="2" t="n"/>
      <c r="BI35" s="2" t="n"/>
      <c r="BJ35" s="2" t="n"/>
      <c r="BK35" s="2" t="n"/>
      <c r="BL35" s="2" t="n"/>
      <c r="BM35" s="2" t="n"/>
      <c r="BN35" s="2" t="n"/>
      <c r="BO35" s="2" t="n"/>
      <c r="BP35" s="2" t="n"/>
      <c r="BQ35" s="2" t="n"/>
      <c r="BR35" s="2" t="n"/>
      <c r="BS35" s="2" t="n"/>
      <c r="BT35" s="2" t="n"/>
      <c r="BU35" s="2" t="n"/>
      <c r="BV35" s="2" t="n"/>
      <c r="BW35" s="2" t="n"/>
      <c r="BX35" s="2" t="n"/>
      <c r="BY35" s="2" t="n"/>
      <c r="BZ35" s="2" t="n"/>
      <c r="CA35" s="2" t="n"/>
      <c r="CB35" s="2" t="n"/>
      <c r="CC35" s="2" t="n"/>
      <c r="CD35" s="2" t="n"/>
      <c r="CE35" s="2" t="n"/>
      <c r="CF35" s="2" t="n"/>
      <c r="CG35" s="2" t="n"/>
      <c r="CH35" s="2" t="n"/>
      <c r="CI35" s="2" t="n"/>
      <c r="CJ35" s="2" t="n"/>
      <c r="CK35" s="2" t="n"/>
      <c r="CL35" s="2" t="n"/>
      <c r="CM35" s="2" t="n"/>
      <c r="CN35" s="2" t="n"/>
      <c r="CO35" s="2" t="n"/>
      <c r="CP35" s="2" t="n"/>
      <c r="CQ35" s="2" t="n"/>
      <c r="CR35" s="2" t="n"/>
      <c r="CS35" s="2" t="n"/>
      <c r="CT35" s="2" t="n"/>
      <c r="CU35" s="2" t="n"/>
      <c r="CV35" s="2" t="n"/>
      <c r="CW35" s="2" t="n"/>
      <c r="CX35" s="2" t="n"/>
      <c r="CY35" s="2" t="n"/>
      <c r="CZ35" s="2" t="n"/>
      <c r="DA35" s="2" t="n"/>
      <c r="DB35" s="2" t="n"/>
      <c r="DC35" s="2" t="n"/>
      <c r="DD35" s="2" t="n"/>
      <c r="DE35" s="2" t="n"/>
    </row>
    <row r="36">
      <c r="A36" s="2" t="inlineStr">
        <is>
          <t>issue_600</t>
        </is>
      </c>
      <c r="B36" s="4" t="inlineStr">
        <is>
          <t>Passed on test</t>
        </is>
      </c>
      <c r="C36" s="4" t="inlineStr">
        <is>
          <t>Passed on test</t>
        </is>
      </c>
      <c r="D36" s="4" t="inlineStr">
        <is>
          <t>Passed on test</t>
        </is>
      </c>
      <c r="E36" s="4" t="inlineStr">
        <is>
          <t>Passed on test</t>
        </is>
      </c>
      <c r="F36" s="4" t="inlineStr">
        <is>
          <t>Passed on test</t>
        </is>
      </c>
      <c r="G36" s="4" t="inlineStr">
        <is>
          <t>Passed on test</t>
        </is>
      </c>
      <c r="H36" s="4" t="inlineStr">
        <is>
          <t>Passed on test</t>
        </is>
      </c>
      <c r="I36" s="4" t="inlineStr">
        <is>
          <t>Passed on test</t>
        </is>
      </c>
      <c r="J36" s="4" t="inlineStr">
        <is>
          <t>Passed on test</t>
        </is>
      </c>
      <c r="K36" s="4" t="inlineStr">
        <is>
          <t>Passed on test</t>
        </is>
      </c>
      <c r="L36" s="4" t="inlineStr">
        <is>
          <t>Passed on test</t>
        </is>
      </c>
      <c r="M36" s="4" t="inlineStr">
        <is>
          <t>Passed on test</t>
        </is>
      </c>
      <c r="N36" s="3" t="inlineStr">
        <is>
          <t>NOT_TESTED</t>
        </is>
      </c>
      <c r="O36" s="3" t="inlineStr">
        <is>
          <t>NOT_TESTED</t>
        </is>
      </c>
      <c r="P36" s="3" t="inlineStr">
        <is>
          <t>NOT_TESTED</t>
        </is>
      </c>
      <c r="Q36" s="3" t="inlineStr">
        <is>
          <t>NOT_TESTED</t>
        </is>
      </c>
      <c r="R36" s="3" t="inlineStr">
        <is>
          <t>NOT_TESTED</t>
        </is>
      </c>
      <c r="S36" s="3" t="inlineStr">
        <is>
          <t>NOT_TESTED</t>
        </is>
      </c>
      <c r="T36" s="3" t="inlineStr">
        <is>
          <t>NOT_TESTED</t>
        </is>
      </c>
      <c r="U36" s="3" t="inlineStr">
        <is>
          <t>NOT_TESTED</t>
        </is>
      </c>
      <c r="V36" s="3" t="inlineStr">
        <is>
          <t>NOT_TESTED</t>
        </is>
      </c>
      <c r="W36" s="3" t="inlineStr">
        <is>
          <t>NOT_TESTED</t>
        </is>
      </c>
      <c r="X36" s="3" t="inlineStr">
        <is>
          <t>NOT_TESTED</t>
        </is>
      </c>
      <c r="Y36" s="3" t="inlineStr">
        <is>
          <t>NOT_TESTED</t>
        </is>
      </c>
      <c r="Z36" s="3" t="inlineStr">
        <is>
          <t>NOT_TESTED</t>
        </is>
      </c>
      <c r="AA36" s="3" t="inlineStr">
        <is>
          <t>NOT_TESTED</t>
        </is>
      </c>
      <c r="AB36" s="3" t="inlineStr">
        <is>
          <t>NOT_TESTED</t>
        </is>
      </c>
      <c r="AC36" s="2" t="n"/>
      <c r="AD36" s="2" t="n"/>
      <c r="AE36" s="2" t="n"/>
      <c r="AF36" s="2" t="n"/>
      <c r="AG36" s="2" t="n"/>
      <c r="AH36" s="2" t="n"/>
      <c r="AI36" s="2" t="n"/>
      <c r="AJ36" s="2" t="n"/>
      <c r="AK36" s="2" t="n"/>
      <c r="AL36" s="2" t="n"/>
      <c r="AM36" s="2" t="n"/>
      <c r="AN36" s="2" t="n"/>
      <c r="AO36" s="2" t="n"/>
      <c r="AP36" s="2" t="n"/>
      <c r="AQ36" s="2" t="n"/>
      <c r="AR36" s="2" t="n"/>
      <c r="AS36" s="2" t="n"/>
      <c r="AT36" s="2" t="n"/>
      <c r="AU36" s="2" t="n"/>
      <c r="AV36" s="2" t="n"/>
      <c r="AW36" s="2" t="n"/>
      <c r="AX36" s="2" t="n"/>
      <c r="AY36" s="2" t="n"/>
      <c r="AZ36" s="2" t="n"/>
      <c r="BA36" s="2" t="n"/>
      <c r="BB36" s="2" t="n"/>
      <c r="BC36" s="2" t="n"/>
      <c r="BD36" s="2" t="n"/>
      <c r="BE36" s="2" t="n"/>
      <c r="BF36" s="2" t="n"/>
      <c r="BG36" s="2" t="n"/>
      <c r="BH36" s="2" t="n"/>
      <c r="BI36" s="2" t="n"/>
      <c r="BJ36" s="2" t="n"/>
      <c r="BK36" s="2" t="n"/>
      <c r="BL36" s="2" t="n"/>
      <c r="BM36" s="2" t="n"/>
      <c r="BN36" s="2" t="n"/>
      <c r="BO36" s="2" t="n"/>
      <c r="BP36" s="2" t="n"/>
      <c r="BQ36" s="2" t="n"/>
      <c r="BR36" s="2" t="n"/>
      <c r="BS36" s="2" t="n"/>
      <c r="BT36" s="2" t="n"/>
      <c r="BU36" s="2" t="n"/>
      <c r="BV36" s="2" t="n"/>
      <c r="BW36" s="2" t="n"/>
      <c r="BX36" s="2" t="n"/>
      <c r="BY36" s="2" t="n"/>
      <c r="BZ36" s="2" t="n"/>
      <c r="CA36" s="2" t="n"/>
      <c r="CB36" s="2" t="n"/>
      <c r="CC36" s="2" t="n"/>
      <c r="CD36" s="2" t="n"/>
      <c r="CE36" s="2" t="n"/>
      <c r="CF36" s="2" t="n"/>
      <c r="CG36" s="2" t="n"/>
      <c r="CH36" s="2" t="n"/>
      <c r="CI36" s="2" t="n"/>
      <c r="CJ36" s="2" t="n"/>
      <c r="CK36" s="2" t="n"/>
      <c r="CL36" s="2" t="n"/>
      <c r="CM36" s="2" t="n"/>
      <c r="CN36" s="2" t="n"/>
      <c r="CO36" s="2" t="n"/>
      <c r="CP36" s="2" t="n"/>
      <c r="CQ36" s="2" t="n"/>
      <c r="CR36" s="2" t="n"/>
      <c r="CS36" s="2" t="n"/>
      <c r="CT36" s="2" t="n"/>
      <c r="CU36" s="2" t="n"/>
      <c r="CV36" s="2" t="n"/>
      <c r="CW36" s="2" t="n"/>
      <c r="CX36" s="2" t="n"/>
      <c r="CY36" s="2" t="n"/>
      <c r="CZ36" s="2" t="n"/>
      <c r="DA36" s="2" t="n"/>
      <c r="DB36" s="2" t="n"/>
      <c r="DC36" s="2" t="n"/>
      <c r="DD36" s="2" t="n"/>
      <c r="DE36" s="2" t="n"/>
    </row>
    <row r="37">
      <c r="A37" s="2" t="inlineStr">
        <is>
          <t>issue_622</t>
        </is>
      </c>
      <c r="B37" s="4" t="inlineStr">
        <is>
          <t>Passed on test</t>
        </is>
      </c>
      <c r="C37" s="4" t="inlineStr">
        <is>
          <t>Passed on test</t>
        </is>
      </c>
      <c r="D37" s="4" t="inlineStr">
        <is>
          <t>Passed on test</t>
        </is>
      </c>
      <c r="E37" s="4" t="inlineStr">
        <is>
          <t>Passed on test</t>
        </is>
      </c>
      <c r="F37" s="4" t="inlineStr">
        <is>
          <t>Passed on test</t>
        </is>
      </c>
      <c r="G37" s="4" t="inlineStr">
        <is>
          <t>Passed on test</t>
        </is>
      </c>
      <c r="H37" s="4" t="inlineStr">
        <is>
          <t>Passed on test</t>
        </is>
      </c>
      <c r="I37" s="4" t="inlineStr">
        <is>
          <t>Passed on test</t>
        </is>
      </c>
      <c r="J37" s="4" t="inlineStr">
        <is>
          <t>Passed on test</t>
        </is>
      </c>
      <c r="K37" s="4" t="inlineStr">
        <is>
          <t>Passed on test</t>
        </is>
      </c>
      <c r="L37" s="4" t="inlineStr">
        <is>
          <t>Passed on test</t>
        </is>
      </c>
      <c r="M37" s="4" t="inlineStr">
        <is>
          <t>Passed on test</t>
        </is>
      </c>
      <c r="N37" s="3" t="inlineStr">
        <is>
          <t>NOT_TESTED</t>
        </is>
      </c>
      <c r="O37" s="3" t="inlineStr">
        <is>
          <t>NOT_TESTED</t>
        </is>
      </c>
      <c r="P37" s="3" t="inlineStr">
        <is>
          <t>NOT_TESTED</t>
        </is>
      </c>
      <c r="Q37" s="3" t="inlineStr">
        <is>
          <t>NOT_TESTED</t>
        </is>
      </c>
      <c r="R37" s="3" t="inlineStr">
        <is>
          <t>NOT_TESTED</t>
        </is>
      </c>
      <c r="S37" s="3" t="inlineStr">
        <is>
          <t>NOT_TESTED</t>
        </is>
      </c>
      <c r="T37" s="3" t="inlineStr">
        <is>
          <t>NOT_TESTED</t>
        </is>
      </c>
      <c r="U37" s="3" t="inlineStr">
        <is>
          <t>NOT_TESTED</t>
        </is>
      </c>
      <c r="V37" s="3" t="inlineStr">
        <is>
          <t>NOT_TESTED</t>
        </is>
      </c>
      <c r="W37" s="3" t="inlineStr">
        <is>
          <t>NOT_TESTED</t>
        </is>
      </c>
      <c r="X37" s="3" t="inlineStr">
        <is>
          <t>NOT_TESTED</t>
        </is>
      </c>
      <c r="Y37" s="3" t="inlineStr">
        <is>
          <t>NOT_TESTED</t>
        </is>
      </c>
      <c r="Z37" s="3" t="inlineStr">
        <is>
          <t>NOT_TESTED</t>
        </is>
      </c>
      <c r="AA37" s="3" t="inlineStr">
        <is>
          <t>NOT_TESTED</t>
        </is>
      </c>
      <c r="AB37" s="3" t="inlineStr">
        <is>
          <t>NOT_TESTED</t>
        </is>
      </c>
      <c r="AC37" s="2" t="n"/>
      <c r="AD37" s="2" t="n"/>
      <c r="AE37" s="2" t="n"/>
      <c r="AF37" s="2" t="n"/>
      <c r="AG37" s="2" t="n"/>
      <c r="AH37" s="2" t="n"/>
      <c r="AI37" s="2" t="n"/>
      <c r="AJ37" s="2" t="n"/>
      <c r="AK37" s="2" t="n"/>
      <c r="AL37" s="2" t="n"/>
      <c r="AM37" s="2" t="n"/>
      <c r="AN37" s="2" t="n"/>
      <c r="AO37" s="2" t="n"/>
      <c r="AP37" s="2" t="n"/>
      <c r="AQ37" s="2" t="n"/>
      <c r="AR37" s="2" t="n"/>
      <c r="AS37" s="2" t="n"/>
      <c r="AT37" s="2" t="n"/>
      <c r="AU37" s="2" t="n"/>
      <c r="AV37" s="2" t="n"/>
      <c r="AW37" s="2" t="n"/>
      <c r="AX37" s="2" t="n"/>
      <c r="AY37" s="2" t="n"/>
      <c r="AZ37" s="2" t="n"/>
      <c r="BA37" s="2" t="n"/>
      <c r="BB37" s="2" t="n"/>
      <c r="BC37" s="2" t="n"/>
      <c r="BD37" s="2" t="n"/>
      <c r="BE37" s="2" t="n"/>
      <c r="BF37" s="2" t="n"/>
      <c r="BG37" s="2" t="n"/>
      <c r="BH37" s="2" t="n"/>
      <c r="BI37" s="2" t="n"/>
      <c r="BJ37" s="2" t="n"/>
      <c r="BK37" s="2" t="n"/>
      <c r="BL37" s="2" t="n"/>
      <c r="BM37" s="2" t="n"/>
      <c r="BN37" s="2" t="n"/>
      <c r="BO37" s="2" t="n"/>
      <c r="BP37" s="2" t="n"/>
      <c r="BQ37" s="2" t="n"/>
      <c r="BR37" s="2" t="n"/>
      <c r="BS37" s="2" t="n"/>
      <c r="BT37" s="2" t="n"/>
      <c r="BU37" s="2" t="n"/>
      <c r="BV37" s="2" t="n"/>
      <c r="BW37" s="2" t="n"/>
      <c r="BX37" s="2" t="n"/>
      <c r="BY37" s="2" t="n"/>
      <c r="BZ37" s="2" t="n"/>
      <c r="CA37" s="2" t="n"/>
      <c r="CB37" s="2" t="n"/>
      <c r="CC37" s="2" t="n"/>
      <c r="CD37" s="2" t="n"/>
      <c r="CE37" s="2" t="n"/>
      <c r="CF37" s="2" t="n"/>
      <c r="CG37" s="2" t="n"/>
      <c r="CH37" s="2" t="n"/>
      <c r="CI37" s="2" t="n"/>
      <c r="CJ37" s="2" t="n"/>
      <c r="CK37" s="2" t="n"/>
      <c r="CL37" s="2" t="n"/>
      <c r="CM37" s="2" t="n"/>
      <c r="CN37" s="2" t="n"/>
      <c r="CO37" s="2" t="n"/>
      <c r="CP37" s="2" t="n"/>
      <c r="CQ37" s="2" t="n"/>
      <c r="CR37" s="2" t="n"/>
      <c r="CS37" s="2" t="n"/>
      <c r="CT37" s="2" t="n"/>
      <c r="CU37" s="2" t="n"/>
      <c r="CV37" s="2" t="n"/>
      <c r="CW37" s="2" t="n"/>
      <c r="CX37" s="2" t="n"/>
      <c r="CY37" s="2" t="n"/>
      <c r="CZ37" s="2" t="n"/>
      <c r="DA37" s="2" t="n"/>
      <c r="DB37" s="2" t="n"/>
      <c r="DC37" s="2" t="n"/>
      <c r="DD37" s="2" t="n"/>
      <c r="DE37" s="2" t="n"/>
    </row>
    <row r="38">
      <c r="A38" s="2" t="inlineStr">
        <is>
          <t>issue_624</t>
        </is>
      </c>
      <c r="B38" s="4" t="inlineStr">
        <is>
          <t>Passed on test</t>
        </is>
      </c>
      <c r="C38" s="4" t="inlineStr">
        <is>
          <t>Passed on test</t>
        </is>
      </c>
      <c r="D38" s="4" t="inlineStr">
        <is>
          <t>Passed on test</t>
        </is>
      </c>
      <c r="E38" s="4" t="inlineStr">
        <is>
          <t>Passed on test</t>
        </is>
      </c>
      <c r="F38" s="4" t="inlineStr">
        <is>
          <t>Passed on test</t>
        </is>
      </c>
      <c r="G38" s="4" t="inlineStr">
        <is>
          <t>Passed on test</t>
        </is>
      </c>
      <c r="H38" s="4" t="inlineStr">
        <is>
          <t>Passed on test</t>
        </is>
      </c>
      <c r="I38" s="4" t="inlineStr">
        <is>
          <t>Passed on test</t>
        </is>
      </c>
      <c r="J38" s="4" t="inlineStr">
        <is>
          <t>Passed on test</t>
        </is>
      </c>
      <c r="K38" s="4" t="inlineStr">
        <is>
          <t>Passed on test</t>
        </is>
      </c>
      <c r="L38" s="4" t="inlineStr">
        <is>
          <t>Passed on test</t>
        </is>
      </c>
      <c r="M38" s="4" t="inlineStr">
        <is>
          <t>Passed on test</t>
        </is>
      </c>
      <c r="N38" s="3" t="inlineStr">
        <is>
          <t>NOT_TESTED</t>
        </is>
      </c>
      <c r="O38" s="3" t="inlineStr">
        <is>
          <t>NOT_TESTED</t>
        </is>
      </c>
      <c r="P38" s="3" t="inlineStr">
        <is>
          <t>NOT_TESTED</t>
        </is>
      </c>
      <c r="Q38" s="3" t="inlineStr">
        <is>
          <t>NOT_TESTED</t>
        </is>
      </c>
      <c r="R38" s="3" t="inlineStr">
        <is>
          <t>NOT_TESTED</t>
        </is>
      </c>
      <c r="S38" s="3" t="inlineStr">
        <is>
          <t>NOT_TESTED</t>
        </is>
      </c>
      <c r="T38" s="3" t="inlineStr">
        <is>
          <t>NOT_TESTED</t>
        </is>
      </c>
      <c r="U38" s="3" t="inlineStr">
        <is>
          <t>NOT_TESTED</t>
        </is>
      </c>
      <c r="V38" s="3" t="inlineStr">
        <is>
          <t>NOT_TESTED</t>
        </is>
      </c>
      <c r="W38" s="3" t="inlineStr">
        <is>
          <t>NOT_TESTED</t>
        </is>
      </c>
      <c r="X38" s="3" t="inlineStr">
        <is>
          <t>NOT_TESTED</t>
        </is>
      </c>
      <c r="Y38" s="3" t="inlineStr">
        <is>
          <t>NOT_TESTED</t>
        </is>
      </c>
      <c r="Z38" s="3" t="inlineStr">
        <is>
          <t>NOT_TESTED</t>
        </is>
      </c>
      <c r="AA38" s="3" t="inlineStr">
        <is>
          <t>NOT_TESTED</t>
        </is>
      </c>
      <c r="AB38" s="3" t="inlineStr">
        <is>
          <t>NOT_TESTED</t>
        </is>
      </c>
      <c r="AC38" s="2" t="n"/>
      <c r="AD38" s="2" t="n"/>
      <c r="AE38" s="2" t="n"/>
      <c r="AF38" s="2" t="n"/>
      <c r="AG38" s="2" t="n"/>
      <c r="AH38" s="2" t="n"/>
      <c r="AI38" s="2" t="n"/>
      <c r="AJ38" s="2" t="n"/>
      <c r="AK38" s="2" t="n"/>
      <c r="AL38" s="2" t="n"/>
      <c r="AM38" s="2" t="n"/>
      <c r="AN38" s="2" t="n"/>
      <c r="AO38" s="2" t="n"/>
      <c r="AP38" s="2" t="n"/>
      <c r="AQ38" s="2" t="n"/>
      <c r="AR38" s="2" t="n"/>
      <c r="AS38" s="2" t="n"/>
      <c r="AT38" s="2" t="n"/>
      <c r="AU38" s="2" t="n"/>
      <c r="AV38" s="2" t="n"/>
      <c r="AW38" s="2" t="n"/>
      <c r="AX38" s="2" t="n"/>
      <c r="AY38" s="2" t="n"/>
      <c r="AZ38" s="2" t="n"/>
      <c r="BA38" s="2" t="n"/>
      <c r="BB38" s="2" t="n"/>
      <c r="BC38" s="2" t="n"/>
      <c r="BD38" s="2" t="n"/>
      <c r="BE38" s="2" t="n"/>
      <c r="BF38" s="2" t="n"/>
      <c r="BG38" s="2" t="n"/>
      <c r="BH38" s="2" t="n"/>
      <c r="BI38" s="2" t="n"/>
      <c r="BJ38" s="2" t="n"/>
      <c r="BK38" s="2" t="n"/>
      <c r="BL38" s="2" t="n"/>
      <c r="BM38" s="2" t="n"/>
      <c r="BN38" s="2" t="n"/>
      <c r="BO38" s="2" t="n"/>
      <c r="BP38" s="2" t="n"/>
      <c r="BQ38" s="2" t="n"/>
      <c r="BR38" s="2" t="n"/>
      <c r="BS38" s="2" t="n"/>
      <c r="BT38" s="2" t="n"/>
      <c r="BU38" s="2" t="n"/>
      <c r="BV38" s="2" t="n"/>
      <c r="BW38" s="2" t="n"/>
      <c r="BX38" s="2" t="n"/>
      <c r="BY38" s="2" t="n"/>
      <c r="BZ38" s="2" t="n"/>
      <c r="CA38" s="2" t="n"/>
      <c r="CB38" s="2" t="n"/>
      <c r="CC38" s="2" t="n"/>
      <c r="CD38" s="2" t="n"/>
      <c r="CE38" s="2" t="n"/>
      <c r="CF38" s="2" t="n"/>
      <c r="CG38" s="2" t="n"/>
      <c r="CH38" s="2" t="n"/>
      <c r="CI38" s="2" t="n"/>
      <c r="CJ38" s="2" t="n"/>
      <c r="CK38" s="2" t="n"/>
      <c r="CL38" s="2" t="n"/>
      <c r="CM38" s="2" t="n"/>
      <c r="CN38" s="2" t="n"/>
      <c r="CO38" s="2" t="n"/>
      <c r="CP38" s="2" t="n"/>
      <c r="CQ38" s="2" t="n"/>
      <c r="CR38" s="2" t="n"/>
      <c r="CS38" s="2" t="n"/>
      <c r="CT38" s="2" t="n"/>
      <c r="CU38" s="2" t="n"/>
      <c r="CV38" s="2" t="n"/>
      <c r="CW38" s="2" t="n"/>
      <c r="CX38" s="2" t="n"/>
      <c r="CY38" s="2" t="n"/>
      <c r="CZ38" s="2" t="n"/>
      <c r="DA38" s="2" t="n"/>
      <c r="DB38" s="2" t="n"/>
      <c r="DC38" s="2" t="n"/>
      <c r="DD38" s="2" t="n"/>
      <c r="DE38" s="2" t="n"/>
    </row>
    <row r="39">
      <c r="A39" s="2" t="inlineStr">
        <is>
          <t>issue_635</t>
        </is>
      </c>
      <c r="B39" s="6" t="inlineStr">
        <is>
          <t>Runtime error</t>
        </is>
      </c>
      <c r="C39" s="6" t="inlineStr">
        <is>
          <t>Runtime error</t>
        </is>
      </c>
      <c r="D39" s="6" t="inlineStr">
        <is>
          <t>Runtime error</t>
        </is>
      </c>
      <c r="E39" s="6" t="inlineStr">
        <is>
          <t>Runtime error</t>
        </is>
      </c>
      <c r="F39" s="3" t="inlineStr">
        <is>
          <t>NOT_TESTED</t>
        </is>
      </c>
      <c r="G39" s="3" t="inlineStr">
        <is>
          <t>NOT_TESTED</t>
        </is>
      </c>
      <c r="H39" s="3" t="inlineStr">
        <is>
          <t>NOT_TESTED</t>
        </is>
      </c>
      <c r="I39" s="3" t="inlineStr">
        <is>
          <t>NOT_TESTED</t>
        </is>
      </c>
      <c r="J39" s="3" t="inlineStr">
        <is>
          <t>NOT_TESTED</t>
        </is>
      </c>
      <c r="K39" s="3" t="inlineStr">
        <is>
          <t>NOT_TESTED</t>
        </is>
      </c>
      <c r="L39" s="3" t="inlineStr">
        <is>
          <t>NOT_TESTED</t>
        </is>
      </c>
      <c r="M39" s="3" t="inlineStr">
        <is>
          <t>NOT_TESTED</t>
        </is>
      </c>
      <c r="N39" s="3" t="inlineStr">
        <is>
          <t>NOT_TESTED</t>
        </is>
      </c>
      <c r="O39" s="3" t="inlineStr">
        <is>
          <t>NOT_TESTED</t>
        </is>
      </c>
      <c r="P39" s="3" t="inlineStr">
        <is>
          <t>NOT_TESTED</t>
        </is>
      </c>
      <c r="Q39" s="3" t="inlineStr">
        <is>
          <t>NOT_TESTED</t>
        </is>
      </c>
      <c r="R39" s="3" t="inlineStr">
        <is>
          <t>NOT_TESTED</t>
        </is>
      </c>
      <c r="S39" s="3" t="inlineStr">
        <is>
          <t>NOT_TESTED</t>
        </is>
      </c>
      <c r="T39" s="3" t="inlineStr">
        <is>
          <t>NOT_TESTED</t>
        </is>
      </c>
      <c r="U39" s="3" t="inlineStr">
        <is>
          <t>NOT_TESTED</t>
        </is>
      </c>
      <c r="V39" s="3" t="inlineStr">
        <is>
          <t>NOT_TESTED</t>
        </is>
      </c>
      <c r="W39" s="3" t="inlineStr">
        <is>
          <t>NOT_TESTED</t>
        </is>
      </c>
      <c r="X39" s="3" t="inlineStr">
        <is>
          <t>NOT_TESTED</t>
        </is>
      </c>
      <c r="Y39" s="3" t="inlineStr">
        <is>
          <t>NOT_TESTED</t>
        </is>
      </c>
      <c r="Z39" s="3" t="inlineStr">
        <is>
          <t>NOT_TESTED</t>
        </is>
      </c>
      <c r="AA39" s="3" t="inlineStr">
        <is>
          <t>NOT_TESTED</t>
        </is>
      </c>
      <c r="AB39" s="3" t="inlineStr">
        <is>
          <t>NOT_TESTED</t>
        </is>
      </c>
      <c r="AC39" s="2" t="inlineStr">
        <is>
          <t>AttributeError</t>
        </is>
      </c>
      <c r="AD39" s="2" t="inlineStr">
        <is>
          <t>AttributeError: 'QuantumCircuit' object has no attribute 'if_test'</t>
        </is>
      </c>
      <c r="AE39" s="2" t="inlineStr">
        <is>
          <t>The LLM nested two qc.if_test() blocks so both X gates need c[0] = 1 and c[1] = 1, which is the logic the question asks for, but if_test() doesn't exist in Qiskit 0.25, the only versions this case runs on (AttributeError). Both luna models used c_if with the wrong conditions and failed.</t>
        </is>
      </c>
      <c r="AF39" s="2" t="inlineStr">
        <is>
          <t>AttributeError</t>
        </is>
      </c>
      <c r="AG39" s="2" t="inlineStr">
        <is>
          <t>AttributeError: 'QuantumCircuit' object has no attribute 'if_test'</t>
        </is>
      </c>
      <c r="AH39" s="2" t="inlineStr">
        <is>
          <t>The LLM nested two qc.if_test() blocks so both X gates need c[0] = 1 and c[1] = 1, which is the logic the question asks for, but if_test() doesn't exist in Qiskit 0.25, the only versions this case runs on (AttributeError). Both luna models used c_if with the wrong conditions and failed.</t>
        </is>
      </c>
      <c r="AI39" s="2" t="inlineStr">
        <is>
          <t>AttributeError</t>
        </is>
      </c>
      <c r="AJ39" s="2" t="inlineStr">
        <is>
          <t>AttributeError: 'QuantumCircuit' object has no attribute 'if_test'</t>
        </is>
      </c>
      <c r="AK39" s="2" t="inlineStr">
        <is>
          <t>The LLM nested two qc.if_test() blocks so both X gates need c[0] = 1 and c[1] = 1, which is the logic the question asks for, but if_test() doesn't exist in Qiskit 0.25, the only versions this case runs on (AttributeError). Both luna models used c_if with the wrong conditions and failed.</t>
        </is>
      </c>
      <c r="AL39" s="2" t="inlineStr">
        <is>
          <t>AttributeError</t>
        </is>
      </c>
      <c r="AM39" s="2" t="inlineStr">
        <is>
          <t>AttributeError: 'QuantumCircuit' object has no attribute 'if_test'</t>
        </is>
      </c>
      <c r="AN39" s="2" t="inlineStr">
        <is>
          <t>The LLM nested two qc.if_test() blocks so both X gates need c[0] = 1 and c[1] = 1, which is the logic the question asks for, but if_test() doesn't exist in Qiskit 0.25, the only versions this case runs on (AttributeError). Both luna models used c_if with the wrong conditions and failed.</t>
        </is>
      </c>
      <c r="AO39" s="2" t="n"/>
      <c r="AP39" s="2" t="n"/>
      <c r="AQ39" s="2" t="n"/>
      <c r="AR39" s="2" t="n"/>
      <c r="AS39" s="2" t="n"/>
      <c r="AT39" s="2" t="n"/>
      <c r="AU39" s="2" t="n"/>
      <c r="AV39" s="2" t="n"/>
      <c r="AW39" s="2" t="n"/>
      <c r="AX39" s="2" t="n"/>
      <c r="AY39" s="2" t="n"/>
      <c r="AZ39" s="2" t="n"/>
      <c r="BA39" s="2" t="n"/>
      <c r="BB39" s="2" t="n"/>
      <c r="BC39" s="2" t="n"/>
      <c r="BD39" s="2" t="n"/>
      <c r="BE39" s="2" t="n"/>
      <c r="BF39" s="2" t="n"/>
      <c r="BG39" s="2" t="n"/>
      <c r="BH39" s="2" t="n"/>
      <c r="BI39" s="2" t="n"/>
      <c r="BJ39" s="2" t="n"/>
      <c r="BK39" s="2" t="n"/>
      <c r="BL39" s="2" t="n"/>
      <c r="BM39" s="2" t="n"/>
      <c r="BN39" s="2" t="n"/>
      <c r="BO39" s="2" t="n"/>
      <c r="BP39" s="2" t="n"/>
      <c r="BQ39" s="2" t="n"/>
      <c r="BR39" s="2" t="n"/>
      <c r="BS39" s="2" t="n"/>
      <c r="BT39" s="2" t="n"/>
      <c r="BU39" s="2" t="n"/>
      <c r="BV39" s="2" t="n"/>
      <c r="BW39" s="2" t="n"/>
      <c r="BX39" s="2" t="n"/>
      <c r="BY39" s="2" t="n"/>
      <c r="BZ39" s="2" t="n"/>
      <c r="CA39" s="2" t="n"/>
      <c r="CB39" s="2" t="n"/>
      <c r="CC39" s="2" t="n"/>
      <c r="CD39" s="2" t="n"/>
      <c r="CE39" s="2" t="n"/>
      <c r="CF39" s="2" t="n"/>
      <c r="CG39" s="2" t="n"/>
      <c r="CH39" s="2" t="n"/>
      <c r="CI39" s="2" t="n"/>
      <c r="CJ39" s="2" t="n"/>
      <c r="CK39" s="2" t="n"/>
      <c r="CL39" s="2" t="n"/>
      <c r="CM39" s="2" t="n"/>
      <c r="CN39" s="2" t="n"/>
      <c r="CO39" s="2" t="n"/>
      <c r="CP39" s="2" t="n"/>
      <c r="CQ39" s="2" t="n"/>
      <c r="CR39" s="2" t="n"/>
      <c r="CS39" s="2" t="n"/>
      <c r="CT39" s="2" t="n"/>
      <c r="CU39" s="2" t="n"/>
      <c r="CV39" s="2" t="n"/>
      <c r="CW39" s="2" t="n"/>
      <c r="CX39" s="2" t="n"/>
      <c r="CY39" s="2" t="n"/>
      <c r="CZ39" s="2" t="n"/>
      <c r="DA39" s="2" t="n"/>
      <c r="DB39" s="2" t="n"/>
      <c r="DC39" s="2" t="n"/>
      <c r="DD39" s="2" t="n"/>
      <c r="DE39" s="2" t="n"/>
    </row>
    <row r="40">
      <c r="A40" s="2" t="inlineStr">
        <is>
          <t>issue_662</t>
        </is>
      </c>
      <c r="B40" s="3" t="inlineStr">
        <is>
          <t>NOT_TESTED</t>
        </is>
      </c>
      <c r="C40" s="3" t="inlineStr">
        <is>
          <t>NOT_TESTED</t>
        </is>
      </c>
      <c r="D40" s="3" t="inlineStr">
        <is>
          <t>NOT_TESTED</t>
        </is>
      </c>
      <c r="E40" s="3" t="inlineStr">
        <is>
          <t>NOT_TESTED</t>
        </is>
      </c>
      <c r="F40" s="4" t="inlineStr">
        <is>
          <t>Passed on test</t>
        </is>
      </c>
      <c r="G40" s="4" t="inlineStr">
        <is>
          <t>Passed on test</t>
        </is>
      </c>
      <c r="H40" s="4" t="inlineStr">
        <is>
          <t>Passed on test</t>
        </is>
      </c>
      <c r="I40" s="4" t="inlineStr">
        <is>
          <t>Passed on test</t>
        </is>
      </c>
      <c r="J40" s="4" t="inlineStr">
        <is>
          <t>Passed on test</t>
        </is>
      </c>
      <c r="K40" s="4" t="inlineStr">
        <is>
          <t>Passed on test</t>
        </is>
      </c>
      <c r="L40" s="4" t="inlineStr">
        <is>
          <t>Passed on test</t>
        </is>
      </c>
      <c r="M40" s="4" t="inlineStr">
        <is>
          <t>Passed on test</t>
        </is>
      </c>
      <c r="N40" s="4" t="inlineStr">
        <is>
          <t>Passed on test</t>
        </is>
      </c>
      <c r="O40" s="4" t="inlineStr">
        <is>
          <t>Passed on test</t>
        </is>
      </c>
      <c r="P40" s="4" t="inlineStr">
        <is>
          <t>Passed on test</t>
        </is>
      </c>
      <c r="Q40" s="4" t="inlineStr">
        <is>
          <t>Passed on test</t>
        </is>
      </c>
      <c r="R40" s="4" t="inlineStr">
        <is>
          <t>Passed on test</t>
        </is>
      </c>
      <c r="S40" s="4" t="inlineStr">
        <is>
          <t>Passed on test</t>
        </is>
      </c>
      <c r="T40" s="4" t="inlineStr">
        <is>
          <t>Passed on test</t>
        </is>
      </c>
      <c r="U40" s="4" t="inlineStr">
        <is>
          <t>Passed on test</t>
        </is>
      </c>
      <c r="V40" s="4" t="inlineStr">
        <is>
          <t>Passed on test</t>
        </is>
      </c>
      <c r="W40" s="4" t="inlineStr">
        <is>
          <t>Passed on test</t>
        </is>
      </c>
      <c r="X40" s="4" t="inlineStr">
        <is>
          <t>Passed on test</t>
        </is>
      </c>
      <c r="Y40" s="4" t="inlineStr">
        <is>
          <t>Passed on test</t>
        </is>
      </c>
      <c r="Z40" s="4" t="inlineStr">
        <is>
          <t>Passed on test</t>
        </is>
      </c>
      <c r="AA40" s="4" t="inlineStr">
        <is>
          <t>Passed on test</t>
        </is>
      </c>
      <c r="AB40" s="4" t="inlineStr">
        <is>
          <t>Passed on test</t>
        </is>
      </c>
      <c r="AC40" s="2" t="n"/>
      <c r="AD40" s="2" t="n"/>
      <c r="AE40" s="2" t="n"/>
      <c r="AF40" s="2" t="n"/>
      <c r="AG40" s="2" t="n"/>
      <c r="AH40" s="2" t="n"/>
      <c r="AI40" s="2" t="n"/>
      <c r="AJ40" s="2" t="n"/>
      <c r="AK40" s="2" t="n"/>
      <c r="AL40" s="2" t="n"/>
      <c r="AM40" s="2" t="n"/>
      <c r="AN40" s="2" t="n"/>
      <c r="AO40" s="2" t="n"/>
      <c r="AP40" s="2" t="n"/>
      <c r="AQ40" s="2" t="n"/>
      <c r="AR40" s="2" t="n"/>
      <c r="AS40" s="2" t="n"/>
      <c r="AT40" s="2" t="n"/>
      <c r="AU40" s="2" t="n"/>
      <c r="AV40" s="2" t="n"/>
      <c r="AW40" s="2" t="n"/>
      <c r="AX40" s="2" t="n"/>
      <c r="AY40" s="2" t="n"/>
      <c r="AZ40" s="2" t="n"/>
      <c r="BA40" s="2" t="n"/>
      <c r="BB40" s="2" t="n"/>
      <c r="BC40" s="2" t="n"/>
      <c r="BD40" s="2" t="n"/>
      <c r="BE40" s="2" t="n"/>
      <c r="BF40" s="2" t="n"/>
      <c r="BG40" s="2" t="n"/>
      <c r="BH40" s="2" t="n"/>
      <c r="BI40" s="2" t="n"/>
      <c r="BJ40" s="2" t="n"/>
      <c r="BK40" s="2" t="n"/>
      <c r="BL40" s="2" t="n"/>
      <c r="BM40" s="2" t="n"/>
      <c r="BN40" s="2" t="n"/>
      <c r="BO40" s="2" t="n"/>
      <c r="BP40" s="2" t="n"/>
      <c r="BQ40" s="2" t="n"/>
      <c r="BR40" s="2" t="n"/>
      <c r="BS40" s="2" t="n"/>
      <c r="BT40" s="2" t="n"/>
      <c r="BU40" s="2" t="n"/>
      <c r="BV40" s="2" t="n"/>
      <c r="BW40" s="2" t="n"/>
      <c r="BX40" s="2" t="n"/>
      <c r="BY40" s="2" t="n"/>
      <c r="BZ40" s="2" t="n"/>
      <c r="CA40" s="2" t="n"/>
      <c r="CB40" s="2" t="n"/>
      <c r="CC40" s="2" t="n"/>
      <c r="CD40" s="2" t="n"/>
      <c r="CE40" s="2" t="n"/>
      <c r="CF40" s="2" t="n"/>
      <c r="CG40" s="2" t="n"/>
      <c r="CH40" s="2" t="n"/>
      <c r="CI40" s="2" t="n"/>
      <c r="CJ40" s="2" t="n"/>
      <c r="CK40" s="2" t="n"/>
      <c r="CL40" s="2" t="n"/>
      <c r="CM40" s="2" t="n"/>
      <c r="CN40" s="2" t="n"/>
      <c r="CO40" s="2" t="n"/>
      <c r="CP40" s="2" t="n"/>
      <c r="CQ40" s="2" t="n"/>
      <c r="CR40" s="2" t="n"/>
      <c r="CS40" s="2" t="n"/>
      <c r="CT40" s="2" t="n"/>
      <c r="CU40" s="2" t="n"/>
      <c r="CV40" s="2" t="n"/>
      <c r="CW40" s="2" t="n"/>
      <c r="CX40" s="2" t="n"/>
      <c r="CY40" s="2" t="n"/>
      <c r="CZ40" s="2" t="n"/>
      <c r="DA40" s="2" t="n"/>
      <c r="DB40" s="2" t="n"/>
      <c r="DC40" s="2" t="n"/>
      <c r="DD40" s="2" t="n"/>
      <c r="DE40" s="2" t="n"/>
    </row>
    <row r="41">
      <c r="A41" s="2" t="inlineStr">
        <is>
          <t>issue_663</t>
        </is>
      </c>
      <c r="B41" s="3" t="inlineStr">
        <is>
          <t>NOT_TESTED</t>
        </is>
      </c>
      <c r="C41" s="3" t="inlineStr">
        <is>
          <t>NOT_TESTED</t>
        </is>
      </c>
      <c r="D41" s="3" t="inlineStr">
        <is>
          <t>NOT_TESTED</t>
        </is>
      </c>
      <c r="E41" s="3" t="inlineStr">
        <is>
          <t>NOT_TESTED</t>
        </is>
      </c>
      <c r="F41" s="4" t="inlineStr">
        <is>
          <t>Passed on test</t>
        </is>
      </c>
      <c r="G41" s="4" t="inlineStr">
        <is>
          <t>Passed on test</t>
        </is>
      </c>
      <c r="H41" s="4" t="inlineStr">
        <is>
          <t>Passed on test</t>
        </is>
      </c>
      <c r="I41" s="4" t="inlineStr">
        <is>
          <t>Passed on test</t>
        </is>
      </c>
      <c r="J41" s="4" t="inlineStr">
        <is>
          <t>Passed on test</t>
        </is>
      </c>
      <c r="K41" s="4" t="inlineStr">
        <is>
          <t>Passed on test</t>
        </is>
      </c>
      <c r="L41" s="4" t="inlineStr">
        <is>
          <t>Passed on test</t>
        </is>
      </c>
      <c r="M41" s="4" t="inlineStr">
        <is>
          <t>Passed on test</t>
        </is>
      </c>
      <c r="N41" s="3" t="inlineStr">
        <is>
          <t>NOT_TESTED</t>
        </is>
      </c>
      <c r="O41" s="3" t="inlineStr">
        <is>
          <t>NOT_TESTED</t>
        </is>
      </c>
      <c r="P41" s="3" t="inlineStr">
        <is>
          <t>NOT_TESTED</t>
        </is>
      </c>
      <c r="Q41" s="3" t="inlineStr">
        <is>
          <t>NOT_TESTED</t>
        </is>
      </c>
      <c r="R41" s="3" t="inlineStr">
        <is>
          <t>NOT_TESTED</t>
        </is>
      </c>
      <c r="S41" s="3" t="inlineStr">
        <is>
          <t>NOT_TESTED</t>
        </is>
      </c>
      <c r="T41" s="3" t="inlineStr">
        <is>
          <t>NOT_TESTED</t>
        </is>
      </c>
      <c r="U41" s="3" t="inlineStr">
        <is>
          <t>NOT_TESTED</t>
        </is>
      </c>
      <c r="V41" s="3" t="inlineStr">
        <is>
          <t>NOT_TESTED</t>
        </is>
      </c>
      <c r="W41" s="3" t="inlineStr">
        <is>
          <t>NOT_TESTED</t>
        </is>
      </c>
      <c r="X41" s="3" t="inlineStr">
        <is>
          <t>NOT_TESTED</t>
        </is>
      </c>
      <c r="Y41" s="3" t="inlineStr">
        <is>
          <t>NOT_TESTED</t>
        </is>
      </c>
      <c r="Z41" s="3" t="inlineStr">
        <is>
          <t>NOT_TESTED</t>
        </is>
      </c>
      <c r="AA41" s="3" t="inlineStr">
        <is>
          <t>NOT_TESTED</t>
        </is>
      </c>
      <c r="AB41" s="3" t="inlineStr">
        <is>
          <t>NOT_TESTED</t>
        </is>
      </c>
      <c r="AC41" s="2" t="n"/>
      <c r="AD41" s="2" t="n"/>
      <c r="AE41" s="2" t="n"/>
      <c r="AF41" s="2" t="n"/>
      <c r="AG41" s="2" t="n"/>
      <c r="AH41" s="2" t="n"/>
      <c r="AI41" s="2" t="n"/>
      <c r="AJ41" s="2" t="n"/>
      <c r="AK41" s="2" t="n"/>
      <c r="AL41" s="2" t="n"/>
      <c r="AM41" s="2" t="n"/>
      <c r="AN41" s="2" t="n"/>
      <c r="AO41" s="2" t="n"/>
      <c r="AP41" s="2" t="n"/>
      <c r="AQ41" s="2" t="n"/>
      <c r="AR41" s="2" t="n"/>
      <c r="AS41" s="2" t="n"/>
      <c r="AT41" s="2" t="n"/>
      <c r="AU41" s="2" t="n"/>
      <c r="AV41" s="2" t="n"/>
      <c r="AW41" s="2" t="n"/>
      <c r="AX41" s="2" t="n"/>
      <c r="AY41" s="2" t="n"/>
      <c r="AZ41" s="2" t="n"/>
      <c r="BA41" s="2" t="n"/>
      <c r="BB41" s="2" t="n"/>
      <c r="BC41" s="2" t="n"/>
      <c r="BD41" s="2" t="n"/>
      <c r="BE41" s="2" t="n"/>
      <c r="BF41" s="2" t="n"/>
      <c r="BG41" s="2" t="n"/>
      <c r="BH41" s="2" t="n"/>
      <c r="BI41" s="2" t="n"/>
      <c r="BJ41" s="2" t="n"/>
      <c r="BK41" s="2" t="n"/>
      <c r="BL41" s="2" t="n"/>
      <c r="BM41" s="2" t="n"/>
      <c r="BN41" s="2" t="n"/>
      <c r="BO41" s="2" t="n"/>
      <c r="BP41" s="2" t="n"/>
      <c r="BQ41" s="2" t="n"/>
      <c r="BR41" s="2" t="n"/>
      <c r="BS41" s="2" t="n"/>
      <c r="BT41" s="2" t="n"/>
      <c r="BU41" s="2" t="n"/>
      <c r="BV41" s="2" t="n"/>
      <c r="BW41" s="2" t="n"/>
      <c r="BX41" s="2" t="n"/>
      <c r="BY41" s="2" t="n"/>
      <c r="BZ41" s="2" t="n"/>
      <c r="CA41" s="2" t="n"/>
      <c r="CB41" s="2" t="n"/>
      <c r="CC41" s="2" t="n"/>
      <c r="CD41" s="2" t="n"/>
      <c r="CE41" s="2" t="n"/>
      <c r="CF41" s="2" t="n"/>
      <c r="CG41" s="2" t="n"/>
      <c r="CH41" s="2" t="n"/>
      <c r="CI41" s="2" t="n"/>
      <c r="CJ41" s="2" t="n"/>
      <c r="CK41" s="2" t="n"/>
      <c r="CL41" s="2" t="n"/>
      <c r="CM41" s="2" t="n"/>
      <c r="CN41" s="2" t="n"/>
      <c r="CO41" s="2" t="n"/>
      <c r="CP41" s="2" t="n"/>
      <c r="CQ41" s="2" t="n"/>
      <c r="CR41" s="2" t="n"/>
      <c r="CS41" s="2" t="n"/>
      <c r="CT41" s="2" t="n"/>
      <c r="CU41" s="2" t="n"/>
      <c r="CV41" s="2" t="n"/>
      <c r="CW41" s="2" t="n"/>
      <c r="CX41" s="2" t="n"/>
      <c r="CY41" s="2" t="n"/>
      <c r="CZ41" s="2" t="n"/>
      <c r="DA41" s="2" t="n"/>
      <c r="DB41" s="2" t="n"/>
      <c r="DC41" s="2" t="n"/>
      <c r="DD41" s="2" t="n"/>
      <c r="DE41" s="2" t="n"/>
    </row>
    <row r="42">
      <c r="A42" s="2" t="inlineStr">
        <is>
          <t>issue_671</t>
        </is>
      </c>
      <c r="B42" s="4" t="inlineStr">
        <is>
          <t>Failed on test</t>
        </is>
      </c>
      <c r="C42" s="4" t="inlineStr">
        <is>
          <t>Failed on test</t>
        </is>
      </c>
      <c r="D42" s="4" t="inlineStr">
        <is>
          <t>Failed on test</t>
        </is>
      </c>
      <c r="E42" s="4" t="inlineStr">
        <is>
          <t>Failed on test</t>
        </is>
      </c>
      <c r="F42" s="4" t="inlineStr">
        <is>
          <t>Failed on test</t>
        </is>
      </c>
      <c r="G42" s="4" t="inlineStr">
        <is>
          <t>Failed on test</t>
        </is>
      </c>
      <c r="H42" s="4" t="inlineStr">
        <is>
          <t>Failed on test</t>
        </is>
      </c>
      <c r="I42" s="4" t="inlineStr">
        <is>
          <t>Failed on test</t>
        </is>
      </c>
      <c r="J42" s="4" t="inlineStr">
        <is>
          <t>Failed on test</t>
        </is>
      </c>
      <c r="K42" s="4" t="inlineStr">
        <is>
          <t>Failed on test</t>
        </is>
      </c>
      <c r="L42" s="4" t="inlineStr">
        <is>
          <t>Failed on test</t>
        </is>
      </c>
      <c r="M42" s="4" t="inlineStr">
        <is>
          <t>Failed on test</t>
        </is>
      </c>
      <c r="N42" s="4" t="inlineStr">
        <is>
          <t>Failed on test</t>
        </is>
      </c>
      <c r="O42" s="4" t="inlineStr">
        <is>
          <t>Failed on test</t>
        </is>
      </c>
      <c r="P42" s="4" t="inlineStr">
        <is>
          <t>Failed on test</t>
        </is>
      </c>
      <c r="Q42" s="4" t="inlineStr">
        <is>
          <t>Failed on test</t>
        </is>
      </c>
      <c r="R42" s="4" t="inlineStr">
        <is>
          <t>Failed on test</t>
        </is>
      </c>
      <c r="S42" s="4" t="inlineStr">
        <is>
          <t>Failed on test</t>
        </is>
      </c>
      <c r="T42" s="4" t="inlineStr">
        <is>
          <t>Failed on test</t>
        </is>
      </c>
      <c r="U42" s="4" t="inlineStr">
        <is>
          <t>Failed on test</t>
        </is>
      </c>
      <c r="V42" s="4" t="inlineStr">
        <is>
          <t>Failed on test</t>
        </is>
      </c>
      <c r="W42" s="4" t="inlineStr">
        <is>
          <t>Failed on test</t>
        </is>
      </c>
      <c r="X42" s="4" t="inlineStr">
        <is>
          <t>Failed on test</t>
        </is>
      </c>
      <c r="Y42" s="4" t="inlineStr">
        <is>
          <t>Failed on test</t>
        </is>
      </c>
      <c r="Z42" s="4" t="inlineStr">
        <is>
          <t>Failed on test</t>
        </is>
      </c>
      <c r="AA42" s="4" t="inlineStr">
        <is>
          <t>Failed on test</t>
        </is>
      </c>
      <c r="AB42" s="4" t="inlineStr">
        <is>
          <t>Failed on test</t>
        </is>
      </c>
      <c r="AC42" s="2" t="inlineStr">
        <is>
          <t>AssertionError</t>
        </is>
      </c>
      <c r="AD42" s="2" t="inlineStr">
        <is>
          <t>AssertionError:</t>
        </is>
      </c>
      <c r="AE42" s="2" t="n"/>
      <c r="AF42" s="2" t="inlineStr">
        <is>
          <t>AssertionError</t>
        </is>
      </c>
      <c r="AG42" s="2" t="inlineStr">
        <is>
          <t>AssertionError:</t>
        </is>
      </c>
      <c r="AH42" s="2" t="n"/>
      <c r="AI42" s="2" t="inlineStr">
        <is>
          <t>AssertionError</t>
        </is>
      </c>
      <c r="AJ42" s="2" t="inlineStr">
        <is>
          <t>AssertionError:</t>
        </is>
      </c>
      <c r="AK42" s="2" t="n"/>
      <c r="AL42" s="2" t="inlineStr">
        <is>
          <t>AssertionError</t>
        </is>
      </c>
      <c r="AM42" s="2" t="inlineStr">
        <is>
          <t>AssertionError:</t>
        </is>
      </c>
      <c r="AN42" s="2" t="n"/>
      <c r="AO42" s="2" t="inlineStr">
        <is>
          <t>AssertionError</t>
        </is>
      </c>
      <c r="AP42" s="2" t="inlineStr">
        <is>
          <t>AssertionError:</t>
        </is>
      </c>
      <c r="AQ42" s="2" t="n"/>
      <c r="AR42" s="2" t="inlineStr">
        <is>
          <t>AssertionError</t>
        </is>
      </c>
      <c r="AS42" s="2" t="inlineStr">
        <is>
          <t>AssertionError:</t>
        </is>
      </c>
      <c r="AT42" s="2" t="n"/>
      <c r="AU42" s="2" t="inlineStr">
        <is>
          <t>AssertionError</t>
        </is>
      </c>
      <c r="AV42" s="2" t="inlineStr">
        <is>
          <t>AssertionError:</t>
        </is>
      </c>
      <c r="AW42" s="2" t="n"/>
      <c r="AX42" s="2" t="inlineStr">
        <is>
          <t>AssertionError</t>
        </is>
      </c>
      <c r="AY42" s="2" t="inlineStr">
        <is>
          <t>AssertionError:</t>
        </is>
      </c>
      <c r="AZ42" s="2" t="n"/>
      <c r="BA42" s="2" t="inlineStr">
        <is>
          <t>AssertionError</t>
        </is>
      </c>
      <c r="BB42" s="2" t="inlineStr">
        <is>
          <t>AssertionError:</t>
        </is>
      </c>
      <c r="BC42" s="2" t="n"/>
      <c r="BD42" s="2" t="inlineStr">
        <is>
          <t>AssertionError</t>
        </is>
      </c>
      <c r="BE42" s="2" t="inlineStr">
        <is>
          <t>AssertionError:</t>
        </is>
      </c>
      <c r="BF42" s="2" t="n"/>
      <c r="BG42" s="2" t="inlineStr">
        <is>
          <t>AssertionError</t>
        </is>
      </c>
      <c r="BH42" s="2" t="inlineStr">
        <is>
          <t>AssertionError:</t>
        </is>
      </c>
      <c r="BI42" s="2" t="n"/>
      <c r="BJ42" s="2" t="inlineStr">
        <is>
          <t>AssertionError</t>
        </is>
      </c>
      <c r="BK42" s="2" t="inlineStr">
        <is>
          <t>AssertionError:</t>
        </is>
      </c>
      <c r="BL42" s="2" t="n"/>
      <c r="BM42" s="2" t="inlineStr">
        <is>
          <t>AssertionError</t>
        </is>
      </c>
      <c r="BN42" s="2" t="inlineStr">
        <is>
          <t>AssertionError:</t>
        </is>
      </c>
      <c r="BO42" s="2" t="n"/>
      <c r="BP42" s="2" t="inlineStr">
        <is>
          <t>AssertionError</t>
        </is>
      </c>
      <c r="BQ42" s="2" t="inlineStr">
        <is>
          <t>AssertionError:</t>
        </is>
      </c>
      <c r="BR42" s="2" t="n"/>
      <c r="BS42" s="2" t="inlineStr">
        <is>
          <t>AssertionError</t>
        </is>
      </c>
      <c r="BT42" s="2" t="inlineStr">
        <is>
          <t>AssertionError:</t>
        </is>
      </c>
      <c r="BU42" s="2" t="n"/>
      <c r="BV42" s="2" t="inlineStr">
        <is>
          <t>AssertionError</t>
        </is>
      </c>
      <c r="BW42" s="2" t="inlineStr">
        <is>
          <t>AssertionError:</t>
        </is>
      </c>
      <c r="BX42" s="2" t="n"/>
      <c r="BY42" s="2" t="inlineStr">
        <is>
          <t>AssertionError</t>
        </is>
      </c>
      <c r="BZ42" s="2" t="inlineStr">
        <is>
          <t>AssertionError:</t>
        </is>
      </c>
      <c r="CA42" s="2" t="n"/>
      <c r="CB42" s="2" t="inlineStr">
        <is>
          <t>AssertionError</t>
        </is>
      </c>
      <c r="CC42" s="2" t="inlineStr">
        <is>
          <t>AssertionError:</t>
        </is>
      </c>
      <c r="CD42" s="2" t="n"/>
      <c r="CE42" s="2" t="inlineStr">
        <is>
          <t>AssertionError</t>
        </is>
      </c>
      <c r="CF42" s="2" t="inlineStr">
        <is>
          <t>AssertionError:</t>
        </is>
      </c>
      <c r="CG42" s="2" t="n"/>
      <c r="CH42" s="2" t="inlineStr">
        <is>
          <t>AssertionError</t>
        </is>
      </c>
      <c r="CI42" s="2" t="inlineStr">
        <is>
          <t>AssertionError:</t>
        </is>
      </c>
      <c r="CJ42" s="2" t="n"/>
      <c r="CK42" s="2" t="inlineStr">
        <is>
          <t>AssertionError</t>
        </is>
      </c>
      <c r="CL42" s="2" t="inlineStr">
        <is>
          <t>AssertionError:</t>
        </is>
      </c>
      <c r="CM42" s="2" t="n"/>
      <c r="CN42" s="2" t="inlineStr">
        <is>
          <t>AssertionError</t>
        </is>
      </c>
      <c r="CO42" s="2" t="inlineStr">
        <is>
          <t>AssertionError:</t>
        </is>
      </c>
      <c r="CP42" s="2" t="n"/>
      <c r="CQ42" s="2" t="inlineStr">
        <is>
          <t>AssertionError</t>
        </is>
      </c>
      <c r="CR42" s="2" t="inlineStr">
        <is>
          <t>AssertionError:</t>
        </is>
      </c>
      <c r="CS42" s="2" t="n"/>
      <c r="CT42" s="2" t="inlineStr">
        <is>
          <t>AssertionError</t>
        </is>
      </c>
      <c r="CU42" s="2" t="inlineStr">
        <is>
          <t>AssertionError:</t>
        </is>
      </c>
      <c r="CV42" s="2" t="n"/>
      <c r="CW42" s="2" t="inlineStr">
        <is>
          <t>AssertionError</t>
        </is>
      </c>
      <c r="CX42" s="2" t="inlineStr">
        <is>
          <t>AssertionError:</t>
        </is>
      </c>
      <c r="CY42" s="2" t="n"/>
      <c r="CZ42" s="2" t="inlineStr">
        <is>
          <t>AssertionError</t>
        </is>
      </c>
      <c r="DA42" s="2" t="inlineStr">
        <is>
          <t>AssertionError:</t>
        </is>
      </c>
      <c r="DB42" s="2" t="n"/>
      <c r="DC42" s="2" t="inlineStr">
        <is>
          <t>AssertionError</t>
        </is>
      </c>
      <c r="DD42" s="2" t="inlineStr">
        <is>
          <t>AssertionError:</t>
        </is>
      </c>
      <c r="DE42" s="2" t="n"/>
    </row>
    <row r="43">
      <c r="A43" s="2" t="inlineStr">
        <is>
          <t>issue_727</t>
        </is>
      </c>
      <c r="B43" s="4" t="inlineStr">
        <is>
          <t>Passed on test</t>
        </is>
      </c>
      <c r="C43" s="4" t="inlineStr">
        <is>
          <t>Passed on test</t>
        </is>
      </c>
      <c r="D43" s="4" t="inlineStr">
        <is>
          <t>Passed on test</t>
        </is>
      </c>
      <c r="E43" s="4" t="inlineStr">
        <is>
          <t>Passed on test</t>
        </is>
      </c>
      <c r="F43" s="4" t="inlineStr">
        <is>
          <t>Passed on test</t>
        </is>
      </c>
      <c r="G43" s="4" t="inlineStr">
        <is>
          <t>Passed on test</t>
        </is>
      </c>
      <c r="H43" s="4" t="inlineStr">
        <is>
          <t>Passed on test</t>
        </is>
      </c>
      <c r="I43" s="4" t="inlineStr">
        <is>
          <t>Passed on test</t>
        </is>
      </c>
      <c r="J43" s="4" t="inlineStr">
        <is>
          <t>Passed on test</t>
        </is>
      </c>
      <c r="K43" s="4" t="inlineStr">
        <is>
          <t>Passed on test</t>
        </is>
      </c>
      <c r="L43" s="4" t="inlineStr">
        <is>
          <t>Passed on test</t>
        </is>
      </c>
      <c r="M43" s="4" t="inlineStr">
        <is>
          <t>Passed on test</t>
        </is>
      </c>
      <c r="N43" s="3" t="inlineStr">
        <is>
          <t>NOT_TESTED</t>
        </is>
      </c>
      <c r="O43" s="3" t="inlineStr">
        <is>
          <t>NOT_TESTED</t>
        </is>
      </c>
      <c r="P43" s="3" t="inlineStr">
        <is>
          <t>NOT_TESTED</t>
        </is>
      </c>
      <c r="Q43" s="3" t="inlineStr">
        <is>
          <t>NOT_TESTED</t>
        </is>
      </c>
      <c r="R43" s="3" t="inlineStr">
        <is>
          <t>NOT_TESTED</t>
        </is>
      </c>
      <c r="S43" s="3" t="inlineStr">
        <is>
          <t>NOT_TESTED</t>
        </is>
      </c>
      <c r="T43" s="3" t="inlineStr">
        <is>
          <t>NOT_TESTED</t>
        </is>
      </c>
      <c r="U43" s="3" t="inlineStr">
        <is>
          <t>NOT_TESTED</t>
        </is>
      </c>
      <c r="V43" s="3" t="inlineStr">
        <is>
          <t>NOT_TESTED</t>
        </is>
      </c>
      <c r="W43" s="3" t="inlineStr">
        <is>
          <t>NOT_TESTED</t>
        </is>
      </c>
      <c r="X43" s="3" t="inlineStr">
        <is>
          <t>NOT_TESTED</t>
        </is>
      </c>
      <c r="Y43" s="3" t="inlineStr">
        <is>
          <t>NOT_TESTED</t>
        </is>
      </c>
      <c r="Z43" s="3" t="inlineStr">
        <is>
          <t>NOT_TESTED</t>
        </is>
      </c>
      <c r="AA43" s="3" t="inlineStr">
        <is>
          <t>NOT_TESTED</t>
        </is>
      </c>
      <c r="AB43" s="3" t="inlineStr">
        <is>
          <t>NOT_TESTED</t>
        </is>
      </c>
      <c r="AC43" s="2" t="n"/>
      <c r="AD43" s="2" t="n"/>
      <c r="AE43" s="2" t="n"/>
      <c r="AF43" s="2" t="n"/>
      <c r="AG43" s="2" t="n"/>
      <c r="AH43" s="2" t="n"/>
      <c r="AI43" s="2" t="n"/>
      <c r="AJ43" s="2" t="n"/>
      <c r="AK43" s="2" t="n"/>
      <c r="AL43" s="2" t="n"/>
      <c r="AM43" s="2" t="n"/>
      <c r="AN43" s="2" t="n"/>
      <c r="AO43" s="2" t="n"/>
      <c r="AP43" s="2" t="n"/>
      <c r="AQ43" s="2" t="n"/>
      <c r="AR43" s="2" t="n"/>
      <c r="AS43" s="2" t="n"/>
      <c r="AT43" s="2" t="n"/>
      <c r="AU43" s="2" t="n"/>
      <c r="AV43" s="2" t="n"/>
      <c r="AW43" s="2" t="n"/>
      <c r="AX43" s="2" t="n"/>
      <c r="AY43" s="2" t="n"/>
      <c r="AZ43" s="2" t="n"/>
      <c r="BA43" s="2" t="n"/>
      <c r="BB43" s="2" t="n"/>
      <c r="BC43" s="2" t="n"/>
      <c r="BD43" s="2" t="n"/>
      <c r="BE43" s="2" t="n"/>
      <c r="BF43" s="2" t="n"/>
      <c r="BG43" s="2" t="n"/>
      <c r="BH43" s="2" t="n"/>
      <c r="BI43" s="2" t="n"/>
      <c r="BJ43" s="2" t="n"/>
      <c r="BK43" s="2" t="n"/>
      <c r="BL43" s="2" t="n"/>
      <c r="BM43" s="2" t="n"/>
      <c r="BN43" s="2" t="n"/>
      <c r="BO43" s="2" t="n"/>
      <c r="BP43" s="2" t="n"/>
      <c r="BQ43" s="2" t="n"/>
      <c r="BR43" s="2" t="n"/>
      <c r="BS43" s="2" t="n"/>
      <c r="BT43" s="2" t="n"/>
      <c r="BU43" s="2" t="n"/>
      <c r="BV43" s="2" t="n"/>
      <c r="BW43" s="2" t="n"/>
      <c r="BX43" s="2" t="n"/>
      <c r="BY43" s="2" t="n"/>
      <c r="BZ43" s="2" t="n"/>
      <c r="CA43" s="2" t="n"/>
      <c r="CB43" s="2" t="n"/>
      <c r="CC43" s="2" t="n"/>
      <c r="CD43" s="2" t="n"/>
      <c r="CE43" s="2" t="n"/>
      <c r="CF43" s="2" t="n"/>
      <c r="CG43" s="2" t="n"/>
      <c r="CH43" s="2" t="n"/>
      <c r="CI43" s="2" t="n"/>
      <c r="CJ43" s="2" t="n"/>
      <c r="CK43" s="2" t="n"/>
      <c r="CL43" s="2" t="n"/>
      <c r="CM43" s="2" t="n"/>
      <c r="CN43" s="2" t="n"/>
      <c r="CO43" s="2" t="n"/>
      <c r="CP43" s="2" t="n"/>
      <c r="CQ43" s="2" t="n"/>
      <c r="CR43" s="2" t="n"/>
      <c r="CS43" s="2" t="n"/>
      <c r="CT43" s="2" t="n"/>
      <c r="CU43" s="2" t="n"/>
      <c r="CV43" s="2" t="n"/>
      <c r="CW43" s="2" t="n"/>
      <c r="CX43" s="2" t="n"/>
      <c r="CY43" s="2" t="n"/>
      <c r="CZ43" s="2" t="n"/>
      <c r="DA43" s="2" t="n"/>
      <c r="DB43" s="2" t="n"/>
      <c r="DC43" s="2" t="n"/>
      <c r="DD43" s="2" t="n"/>
      <c r="DE43" s="2" t="n"/>
    </row>
    <row r="44">
      <c r="A44" s="2" t="inlineStr">
        <is>
          <t>issue_742</t>
        </is>
      </c>
      <c r="B44" s="3" t="inlineStr">
        <is>
          <t>NOT_TESTED</t>
        </is>
      </c>
      <c r="C44" s="3" t="inlineStr">
        <is>
          <t>NOT_TESTED</t>
        </is>
      </c>
      <c r="D44" s="3" t="inlineStr">
        <is>
          <t>NOT_TESTED</t>
        </is>
      </c>
      <c r="E44" s="3" t="inlineStr">
        <is>
          <t>NOT_TESTED</t>
        </is>
      </c>
      <c r="F44" s="3" t="inlineStr">
        <is>
          <t>NOT_TESTED</t>
        </is>
      </c>
      <c r="G44" s="3" t="inlineStr">
        <is>
          <t>NOT_TESTED</t>
        </is>
      </c>
      <c r="H44" s="3" t="inlineStr">
        <is>
          <t>NOT_TESTED</t>
        </is>
      </c>
      <c r="I44" s="3" t="inlineStr">
        <is>
          <t>NOT_TESTED</t>
        </is>
      </c>
      <c r="J44" s="3" t="inlineStr">
        <is>
          <t>NOT_TESTED</t>
        </is>
      </c>
      <c r="K44" s="3" t="inlineStr">
        <is>
          <t>NOT_TESTED</t>
        </is>
      </c>
      <c r="L44" s="3" t="inlineStr">
        <is>
          <t>NOT_TESTED</t>
        </is>
      </c>
      <c r="M44" s="3" t="inlineStr">
        <is>
          <t>NOT_TESTED</t>
        </is>
      </c>
      <c r="N44" s="3" t="inlineStr">
        <is>
          <t>NOT_TESTED</t>
        </is>
      </c>
      <c r="O44" s="3" t="inlineStr">
        <is>
          <t>NOT_TESTED</t>
        </is>
      </c>
      <c r="P44" s="3" t="inlineStr">
        <is>
          <t>NOT_TESTED</t>
        </is>
      </c>
      <c r="Q44" s="4" t="inlineStr">
        <is>
          <t>Passed on test</t>
        </is>
      </c>
      <c r="R44" s="4" t="inlineStr">
        <is>
          <t>Passed on test</t>
        </is>
      </c>
      <c r="S44" s="4" t="inlineStr">
        <is>
          <t>Passed on test</t>
        </is>
      </c>
      <c r="T44" s="4" t="inlineStr">
        <is>
          <t>Passed on test</t>
        </is>
      </c>
      <c r="U44" s="4" t="inlineStr">
        <is>
          <t>Passed on test</t>
        </is>
      </c>
      <c r="V44" s="4" t="inlineStr">
        <is>
          <t>Passed on test</t>
        </is>
      </c>
      <c r="W44" s="4" t="inlineStr">
        <is>
          <t>Passed on test</t>
        </is>
      </c>
      <c r="X44" s="4" t="inlineStr">
        <is>
          <t>Passed on test</t>
        </is>
      </c>
      <c r="Y44" s="4" t="inlineStr">
        <is>
          <t>Passed on test</t>
        </is>
      </c>
      <c r="Z44" s="4" t="inlineStr">
        <is>
          <t>Passed on test</t>
        </is>
      </c>
      <c r="AA44" s="4" t="inlineStr">
        <is>
          <t>Passed on test</t>
        </is>
      </c>
      <c r="AB44" s="4" t="inlineStr">
        <is>
          <t>Passed on test</t>
        </is>
      </c>
      <c r="AC44" s="2" t="n"/>
      <c r="AD44" s="2" t="n"/>
      <c r="AE44" s="2" t="n"/>
      <c r="AF44" s="2" t="n"/>
      <c r="AG44" s="2" t="n"/>
      <c r="AH44" s="2" t="n"/>
      <c r="AI44" s="2" t="n"/>
      <c r="AJ44" s="2" t="n"/>
      <c r="AK44" s="2" t="n"/>
      <c r="AL44" s="2" t="n"/>
      <c r="AM44" s="2" t="n"/>
      <c r="AN44" s="2" t="n"/>
      <c r="AO44" s="2" t="n"/>
      <c r="AP44" s="2" t="n"/>
      <c r="AQ44" s="2" t="n"/>
      <c r="AR44" s="2" t="n"/>
      <c r="AS44" s="2" t="n"/>
      <c r="AT44" s="2" t="n"/>
      <c r="AU44" s="2" t="n"/>
      <c r="AV44" s="2" t="n"/>
      <c r="AW44" s="2" t="n"/>
      <c r="AX44" s="2" t="n"/>
      <c r="AY44" s="2" t="n"/>
      <c r="AZ44" s="2" t="n"/>
      <c r="BA44" s="2" t="n"/>
      <c r="BB44" s="2" t="n"/>
      <c r="BC44" s="2" t="n"/>
      <c r="BD44" s="2" t="n"/>
      <c r="BE44" s="2" t="n"/>
      <c r="BF44" s="2" t="n"/>
      <c r="BG44" s="2" t="n"/>
      <c r="BH44" s="2" t="n"/>
      <c r="BI44" s="2" t="n"/>
      <c r="BJ44" s="2" t="n"/>
      <c r="BK44" s="2" t="n"/>
      <c r="BL44" s="2" t="n"/>
      <c r="BM44" s="2" t="n"/>
      <c r="BN44" s="2" t="n"/>
      <c r="BO44" s="2" t="n"/>
      <c r="BP44" s="2" t="n"/>
      <c r="BQ44" s="2" t="n"/>
      <c r="BR44" s="2" t="n"/>
      <c r="BS44" s="2" t="n"/>
      <c r="BT44" s="2" t="n"/>
      <c r="BU44" s="2" t="n"/>
      <c r="BV44" s="2" t="n"/>
      <c r="BW44" s="2" t="n"/>
      <c r="BX44" s="2" t="n"/>
      <c r="BY44" s="2" t="n"/>
      <c r="BZ44" s="2" t="n"/>
      <c r="CA44" s="2" t="n"/>
      <c r="CB44" s="2" t="n"/>
      <c r="CC44" s="2" t="n"/>
      <c r="CD44" s="2" t="n"/>
      <c r="CE44" s="2" t="n"/>
      <c r="CF44" s="2" t="n"/>
      <c r="CG44" s="2" t="n"/>
      <c r="CH44" s="2" t="n"/>
      <c r="CI44" s="2" t="n"/>
      <c r="CJ44" s="2" t="n"/>
      <c r="CK44" s="2" t="n"/>
      <c r="CL44" s="2" t="n"/>
      <c r="CM44" s="2" t="n"/>
      <c r="CN44" s="2" t="n"/>
      <c r="CO44" s="2" t="n"/>
      <c r="CP44" s="2" t="n"/>
      <c r="CQ44" s="2" t="n"/>
      <c r="CR44" s="2" t="n"/>
      <c r="CS44" s="2" t="n"/>
      <c r="CT44" s="2" t="n"/>
      <c r="CU44" s="2" t="n"/>
      <c r="CV44" s="2" t="n"/>
      <c r="CW44" s="2" t="n"/>
      <c r="CX44" s="2" t="n"/>
      <c r="CY44" s="2" t="n"/>
      <c r="CZ44" s="2" t="n"/>
      <c r="DA44" s="2" t="n"/>
      <c r="DB44" s="2" t="n"/>
      <c r="DC44" s="2" t="n"/>
      <c r="DD44" s="2" t="n"/>
      <c r="DE44" s="2" t="n"/>
    </row>
    <row r="45">
      <c r="A45" s="2" t="inlineStr">
        <is>
          <t>issue_747</t>
        </is>
      </c>
      <c r="B45" s="3" t="inlineStr">
        <is>
          <t>NOT_TESTED</t>
        </is>
      </c>
      <c r="C45" s="3" t="inlineStr">
        <is>
          <t>NOT_TESTED</t>
        </is>
      </c>
      <c r="D45" s="3" t="inlineStr">
        <is>
          <t>NOT_TESTED</t>
        </is>
      </c>
      <c r="E45" s="3" t="inlineStr">
        <is>
          <t>NOT_TESTED</t>
        </is>
      </c>
      <c r="F45" s="4" t="inlineStr">
        <is>
          <t>Passed on test</t>
        </is>
      </c>
      <c r="G45" s="4" t="inlineStr">
        <is>
          <t>Passed on test</t>
        </is>
      </c>
      <c r="H45" s="4" t="inlineStr">
        <is>
          <t>Passed on test</t>
        </is>
      </c>
      <c r="I45" s="4" t="inlineStr">
        <is>
          <t>Passed on test</t>
        </is>
      </c>
      <c r="J45" s="4" t="inlineStr">
        <is>
          <t>Passed on test</t>
        </is>
      </c>
      <c r="K45" s="4" t="inlineStr">
        <is>
          <t>Passed on test</t>
        </is>
      </c>
      <c r="L45" s="4" t="inlineStr">
        <is>
          <t>Passed on test</t>
        </is>
      </c>
      <c r="M45" s="4" t="inlineStr">
        <is>
          <t>Passed on test</t>
        </is>
      </c>
      <c r="N45" s="3" t="inlineStr">
        <is>
          <t>NOT_TESTED</t>
        </is>
      </c>
      <c r="O45" s="3" t="inlineStr">
        <is>
          <t>NOT_TESTED</t>
        </is>
      </c>
      <c r="P45" s="3" t="inlineStr">
        <is>
          <t>NOT_TESTED</t>
        </is>
      </c>
      <c r="Q45" s="3" t="inlineStr">
        <is>
          <t>NOT_TESTED</t>
        </is>
      </c>
      <c r="R45" s="3" t="inlineStr">
        <is>
          <t>NOT_TESTED</t>
        </is>
      </c>
      <c r="S45" s="3" t="inlineStr">
        <is>
          <t>NOT_TESTED</t>
        </is>
      </c>
      <c r="T45" s="3" t="inlineStr">
        <is>
          <t>NOT_TESTED</t>
        </is>
      </c>
      <c r="U45" s="3" t="inlineStr">
        <is>
          <t>NOT_TESTED</t>
        </is>
      </c>
      <c r="V45" s="3" t="inlineStr">
        <is>
          <t>NOT_TESTED</t>
        </is>
      </c>
      <c r="W45" s="3" t="inlineStr">
        <is>
          <t>NOT_TESTED</t>
        </is>
      </c>
      <c r="X45" s="3" t="inlineStr">
        <is>
          <t>NOT_TESTED</t>
        </is>
      </c>
      <c r="Y45" s="3" t="inlineStr">
        <is>
          <t>NOT_TESTED</t>
        </is>
      </c>
      <c r="Z45" s="3" t="inlineStr">
        <is>
          <t>NOT_TESTED</t>
        </is>
      </c>
      <c r="AA45" s="3" t="inlineStr">
        <is>
          <t>NOT_TESTED</t>
        </is>
      </c>
      <c r="AB45" s="3" t="inlineStr">
        <is>
          <t>NOT_TESTED</t>
        </is>
      </c>
      <c r="AC45" s="2" t="n"/>
      <c r="AD45" s="2" t="n"/>
      <c r="AE45" s="2" t="n"/>
      <c r="AF45" s="2" t="n"/>
      <c r="AG45" s="2" t="n"/>
      <c r="AH45" s="2" t="n"/>
      <c r="AI45" s="2" t="n"/>
      <c r="AJ45" s="2" t="n"/>
      <c r="AK45" s="2" t="n"/>
      <c r="AL45" s="2" t="n"/>
      <c r="AM45" s="2" t="n"/>
      <c r="AN45" s="2" t="n"/>
      <c r="AO45" s="2" t="n"/>
      <c r="AP45" s="2" t="n"/>
      <c r="AQ45" s="2" t="n"/>
      <c r="AR45" s="2" t="n"/>
      <c r="AS45" s="2" t="n"/>
      <c r="AT45" s="2" t="n"/>
      <c r="AU45" s="2" t="n"/>
      <c r="AV45" s="2" t="n"/>
      <c r="AW45" s="2" t="n"/>
      <c r="AX45" s="2" t="n"/>
      <c r="AY45" s="2" t="n"/>
      <c r="AZ45" s="2" t="n"/>
      <c r="BA45" s="2" t="n"/>
      <c r="BB45" s="2" t="n"/>
      <c r="BC45" s="2" t="n"/>
      <c r="BD45" s="2" t="n"/>
      <c r="BE45" s="2" t="n"/>
      <c r="BF45" s="2" t="n"/>
      <c r="BG45" s="2" t="n"/>
      <c r="BH45" s="2" t="n"/>
      <c r="BI45" s="2" t="n"/>
      <c r="BJ45" s="2" t="n"/>
      <c r="BK45" s="2" t="n"/>
      <c r="BL45" s="2" t="n"/>
      <c r="BM45" s="2" t="n"/>
      <c r="BN45" s="2" t="n"/>
      <c r="BO45" s="2" t="n"/>
      <c r="BP45" s="2" t="n"/>
      <c r="BQ45" s="2" t="n"/>
      <c r="BR45" s="2" t="n"/>
      <c r="BS45" s="2" t="n"/>
      <c r="BT45" s="2" t="n"/>
      <c r="BU45" s="2" t="n"/>
      <c r="BV45" s="2" t="n"/>
      <c r="BW45" s="2" t="n"/>
      <c r="BX45" s="2" t="n"/>
      <c r="BY45" s="2" t="n"/>
      <c r="BZ45" s="2" t="n"/>
      <c r="CA45" s="2" t="n"/>
      <c r="CB45" s="2" t="n"/>
      <c r="CC45" s="2" t="n"/>
      <c r="CD45" s="2" t="n"/>
      <c r="CE45" s="2" t="n"/>
      <c r="CF45" s="2" t="n"/>
      <c r="CG45" s="2" t="n"/>
      <c r="CH45" s="2" t="n"/>
      <c r="CI45" s="2" t="n"/>
      <c r="CJ45" s="2" t="n"/>
      <c r="CK45" s="2" t="n"/>
      <c r="CL45" s="2" t="n"/>
      <c r="CM45" s="2" t="n"/>
      <c r="CN45" s="2" t="n"/>
      <c r="CO45" s="2" t="n"/>
      <c r="CP45" s="2" t="n"/>
      <c r="CQ45" s="2" t="n"/>
      <c r="CR45" s="2" t="n"/>
      <c r="CS45" s="2" t="n"/>
      <c r="CT45" s="2" t="n"/>
      <c r="CU45" s="2" t="n"/>
      <c r="CV45" s="2" t="n"/>
      <c r="CW45" s="2" t="n"/>
      <c r="CX45" s="2" t="n"/>
      <c r="CY45" s="2" t="n"/>
      <c r="CZ45" s="2" t="n"/>
      <c r="DA45" s="2" t="n"/>
      <c r="DB45" s="2" t="n"/>
      <c r="DC45" s="2" t="n"/>
      <c r="DD45" s="2" t="n"/>
      <c r="DE45" s="2" t="n"/>
    </row>
    <row r="46">
      <c r="A46" s="2" t="inlineStr">
        <is>
          <t>issue_750</t>
        </is>
      </c>
      <c r="B46" s="3" t="inlineStr">
        <is>
          <t>NOT_TESTED</t>
        </is>
      </c>
      <c r="C46" s="3" t="inlineStr">
        <is>
          <t>NOT_TESTED</t>
        </is>
      </c>
      <c r="D46" s="3" t="inlineStr">
        <is>
          <t>NOT_TESTED</t>
        </is>
      </c>
      <c r="E46" s="3" t="inlineStr">
        <is>
          <t>NOT_TESTED</t>
        </is>
      </c>
      <c r="F46" s="4" t="inlineStr">
        <is>
          <t>Passed on test</t>
        </is>
      </c>
      <c r="G46" s="4" t="inlineStr">
        <is>
          <t>Passed on test</t>
        </is>
      </c>
      <c r="H46" s="4" t="inlineStr">
        <is>
          <t>Passed on test</t>
        </is>
      </c>
      <c r="I46" s="4" t="inlineStr">
        <is>
          <t>Passed on test</t>
        </is>
      </c>
      <c r="J46" s="4" t="inlineStr">
        <is>
          <t>Passed on test</t>
        </is>
      </c>
      <c r="K46" s="4" t="inlineStr">
        <is>
          <t>Passed on test</t>
        </is>
      </c>
      <c r="L46" s="4" t="inlineStr">
        <is>
          <t>Passed on test</t>
        </is>
      </c>
      <c r="M46" s="4" t="inlineStr">
        <is>
          <t>Passed on test</t>
        </is>
      </c>
      <c r="N46" s="4" t="inlineStr">
        <is>
          <t>Passed on test</t>
        </is>
      </c>
      <c r="O46" s="4" t="inlineStr">
        <is>
          <t>Passed on test</t>
        </is>
      </c>
      <c r="P46" s="4" t="inlineStr">
        <is>
          <t>Passed on test</t>
        </is>
      </c>
      <c r="Q46" s="4" t="inlineStr">
        <is>
          <t>Passed on test</t>
        </is>
      </c>
      <c r="R46" s="4" t="inlineStr">
        <is>
          <t>Passed on test</t>
        </is>
      </c>
      <c r="S46" s="4" t="inlineStr">
        <is>
          <t>Passed on test</t>
        </is>
      </c>
      <c r="T46" s="4" t="inlineStr">
        <is>
          <t>Passed on test</t>
        </is>
      </c>
      <c r="U46" s="4" t="inlineStr">
        <is>
          <t>Passed on test</t>
        </is>
      </c>
      <c r="V46" s="4" t="inlineStr">
        <is>
          <t>Passed on test</t>
        </is>
      </c>
      <c r="W46" s="4" t="inlineStr">
        <is>
          <t>Passed on test</t>
        </is>
      </c>
      <c r="X46" s="4" t="inlineStr">
        <is>
          <t>Passed on test</t>
        </is>
      </c>
      <c r="Y46" s="4" t="inlineStr">
        <is>
          <t>Passed on test</t>
        </is>
      </c>
      <c r="Z46" s="4" t="inlineStr">
        <is>
          <t>Passed on test</t>
        </is>
      </c>
      <c r="AA46" s="4" t="inlineStr">
        <is>
          <t>Passed on test</t>
        </is>
      </c>
      <c r="AB46" s="4" t="inlineStr">
        <is>
          <t>Passed on test</t>
        </is>
      </c>
      <c r="AC46" s="2" t="n"/>
      <c r="AD46" s="2" t="n"/>
      <c r="AE46" s="2" t="n"/>
      <c r="AF46" s="2" t="n"/>
      <c r="AG46" s="2" t="n"/>
      <c r="AH46" s="2" t="n"/>
      <c r="AI46" s="2" t="n"/>
      <c r="AJ46" s="2" t="n"/>
      <c r="AK46" s="2" t="n"/>
      <c r="AL46" s="2" t="n"/>
      <c r="AM46" s="2" t="n"/>
      <c r="AN46" s="2" t="n"/>
      <c r="AO46" s="2" t="n"/>
      <c r="AP46" s="2" t="n"/>
      <c r="AQ46" s="2" t="n"/>
      <c r="AR46" s="2" t="n"/>
      <c r="AS46" s="2" t="n"/>
      <c r="AT46" s="2" t="n"/>
      <c r="AU46" s="2" t="n"/>
      <c r="AV46" s="2" t="n"/>
      <c r="AW46" s="2" t="n"/>
      <c r="AX46" s="2" t="n"/>
      <c r="AY46" s="2" t="n"/>
      <c r="AZ46" s="2" t="n"/>
      <c r="BA46" s="2" t="n"/>
      <c r="BB46" s="2" t="n"/>
      <c r="BC46" s="2" t="n"/>
      <c r="BD46" s="2" t="n"/>
      <c r="BE46" s="2" t="n"/>
      <c r="BF46" s="2" t="n"/>
      <c r="BG46" s="2" t="n"/>
      <c r="BH46" s="2" t="n"/>
      <c r="BI46" s="2" t="n"/>
      <c r="BJ46" s="2" t="n"/>
      <c r="BK46" s="2" t="n"/>
      <c r="BL46" s="2" t="n"/>
      <c r="BM46" s="2" t="n"/>
      <c r="BN46" s="2" t="n"/>
      <c r="BO46" s="2" t="n"/>
      <c r="BP46" s="2" t="n"/>
      <c r="BQ46" s="2" t="n"/>
      <c r="BR46" s="2" t="n"/>
      <c r="BS46" s="2" t="n"/>
      <c r="BT46" s="2" t="n"/>
      <c r="BU46" s="2" t="n"/>
      <c r="BV46" s="2" t="n"/>
      <c r="BW46" s="2" t="n"/>
      <c r="BX46" s="2" t="n"/>
      <c r="BY46" s="2" t="n"/>
      <c r="BZ46" s="2" t="n"/>
      <c r="CA46" s="2" t="n"/>
      <c r="CB46" s="2" t="n"/>
      <c r="CC46" s="2" t="n"/>
      <c r="CD46" s="2" t="n"/>
      <c r="CE46" s="2" t="n"/>
      <c r="CF46" s="2" t="n"/>
      <c r="CG46" s="2" t="n"/>
      <c r="CH46" s="2" t="n"/>
      <c r="CI46" s="2" t="n"/>
      <c r="CJ46" s="2" t="n"/>
      <c r="CK46" s="2" t="n"/>
      <c r="CL46" s="2" t="n"/>
      <c r="CM46" s="2" t="n"/>
      <c r="CN46" s="2" t="n"/>
      <c r="CO46" s="2" t="n"/>
      <c r="CP46" s="2" t="n"/>
      <c r="CQ46" s="2" t="n"/>
      <c r="CR46" s="2" t="n"/>
      <c r="CS46" s="2" t="n"/>
      <c r="CT46" s="2" t="n"/>
      <c r="CU46" s="2" t="n"/>
      <c r="CV46" s="2" t="n"/>
      <c r="CW46" s="2" t="n"/>
      <c r="CX46" s="2" t="n"/>
      <c r="CY46" s="2" t="n"/>
      <c r="CZ46" s="2" t="n"/>
      <c r="DA46" s="2" t="n"/>
      <c r="DB46" s="2" t="n"/>
      <c r="DC46" s="2" t="n"/>
      <c r="DD46" s="2" t="n"/>
      <c r="DE46" s="2" t="n"/>
    </row>
    <row r="47">
      <c r="A47" s="2" t="inlineStr">
        <is>
          <t>issue_769</t>
        </is>
      </c>
      <c r="B47" s="3" t="inlineStr">
        <is>
          <t>NOT_TESTED</t>
        </is>
      </c>
      <c r="C47" s="3" t="inlineStr">
        <is>
          <t>NOT_TESTED</t>
        </is>
      </c>
      <c r="D47" s="3" t="inlineStr">
        <is>
          <t>NOT_TESTED</t>
        </is>
      </c>
      <c r="E47" s="3" t="inlineStr">
        <is>
          <t>NOT_TESTED</t>
        </is>
      </c>
      <c r="F47" s="3" t="inlineStr">
        <is>
          <t>NOT_TESTED</t>
        </is>
      </c>
      <c r="G47" s="3" t="inlineStr">
        <is>
          <t>NOT_TESTED</t>
        </is>
      </c>
      <c r="H47" s="3" t="inlineStr">
        <is>
          <t>NOT_TESTED</t>
        </is>
      </c>
      <c r="I47" s="3" t="inlineStr">
        <is>
          <t>NOT_TESTED</t>
        </is>
      </c>
      <c r="J47" s="3" t="inlineStr">
        <is>
          <t>NOT_TESTED</t>
        </is>
      </c>
      <c r="K47" s="3" t="inlineStr">
        <is>
          <t>NOT_TESTED</t>
        </is>
      </c>
      <c r="L47" s="3" t="inlineStr">
        <is>
          <t>NOT_TESTED</t>
        </is>
      </c>
      <c r="M47" s="3" t="inlineStr">
        <is>
          <t>NOT_TESTED</t>
        </is>
      </c>
      <c r="N47" s="6" t="inlineStr">
        <is>
          <t>Runtime error</t>
        </is>
      </c>
      <c r="O47" s="6" t="inlineStr">
        <is>
          <t>Runtime error</t>
        </is>
      </c>
      <c r="P47" s="6" t="inlineStr">
        <is>
          <t>Runtime error</t>
        </is>
      </c>
      <c r="Q47" s="6" t="inlineStr">
        <is>
          <t>Runtime error</t>
        </is>
      </c>
      <c r="R47" s="6" t="inlineStr">
        <is>
          <t>Runtime error</t>
        </is>
      </c>
      <c r="S47" s="6" t="inlineStr">
        <is>
          <t>Runtime error</t>
        </is>
      </c>
      <c r="T47" s="6" t="inlineStr">
        <is>
          <t>Runtime error</t>
        </is>
      </c>
      <c r="U47" s="6" t="inlineStr">
        <is>
          <t>Runtime error</t>
        </is>
      </c>
      <c r="V47" s="6" t="inlineStr">
        <is>
          <t>Runtime error</t>
        </is>
      </c>
      <c r="W47" s="6" t="inlineStr">
        <is>
          <t>Runtime error</t>
        </is>
      </c>
      <c r="X47" s="6" t="inlineStr">
        <is>
          <t>Runtime error</t>
        </is>
      </c>
      <c r="Y47" s="6" t="inlineStr">
        <is>
          <t>Runtime error</t>
        </is>
      </c>
      <c r="Z47" s="6" t="inlineStr">
        <is>
          <t>Runtime error</t>
        </is>
      </c>
      <c r="AA47" s="6" t="inlineStr">
        <is>
          <t>Runtime error</t>
        </is>
      </c>
      <c r="AB47" s="6" t="inlineStr">
        <is>
          <t>Runtime error</t>
        </is>
      </c>
      <c r="AC47" s="2" t="n"/>
      <c r="AD47" s="2" t="n"/>
      <c r="AE47" s="2" t="n"/>
      <c r="AF47" s="2" t="n"/>
      <c r="AG47" s="2" t="n"/>
      <c r="AH47" s="2" t="n"/>
      <c r="AI47" s="2" t="n"/>
      <c r="AJ47" s="2" t="n"/>
      <c r="AK47" s="2" t="n"/>
      <c r="AL47" s="2" t="n"/>
      <c r="AM47" s="2" t="n"/>
      <c r="AN47" s="2" t="n"/>
      <c r="AO47" s="2" t="n"/>
      <c r="AP47" s="2" t="n"/>
      <c r="AQ47" s="2" t="n"/>
      <c r="AR47" s="2" t="n"/>
      <c r="AS47" s="2" t="n"/>
      <c r="AT47" s="2" t="n"/>
      <c r="AU47" s="2" t="n"/>
      <c r="AV47" s="2" t="n"/>
      <c r="AW47" s="2" t="n"/>
      <c r="AX47" s="2" t="n"/>
      <c r="AY47" s="2" t="n"/>
      <c r="AZ47" s="2" t="n"/>
      <c r="BA47" s="2" t="n"/>
      <c r="BB47" s="2" t="n"/>
      <c r="BC47" s="2" t="n"/>
      <c r="BD47" s="2" t="n"/>
      <c r="BE47" s="2" t="n"/>
      <c r="BF47" s="2" t="n"/>
      <c r="BG47" s="2" t="n"/>
      <c r="BH47" s="2" t="n"/>
      <c r="BI47" s="2" t="n"/>
      <c r="BJ47" s="2" t="n"/>
      <c r="BK47" s="2" t="n"/>
      <c r="BL47" s="2" t="n"/>
      <c r="BM47" s="2" t="inlineStr">
        <is>
          <t>KeyError</t>
        </is>
      </c>
      <c r="BN47" s="2" t="inlineStr">
        <is>
          <t>KeyError: 'get_qiskit_gate'</t>
        </is>
      </c>
      <c r="BO47" s="2" t="inlineStr">
        <is>
          <t>The LLM wrote a general matcher that searches Qiskit's standard gates for one whose operator equals the matrix (up to global phase) and prints its name, which is what the user asked for, and the script runs; but the test calls the reference answer's function get_qiskit_gate() by name (KeyError). Over-specific test, and no updated test exists for this case. Both luna models only checked for the X gate.</t>
        </is>
      </c>
      <c r="BP47" s="2" t="inlineStr">
        <is>
          <t>KeyError</t>
        </is>
      </c>
      <c r="BQ47" s="2" t="inlineStr">
        <is>
          <t>KeyError: 'get_qiskit_gate'</t>
        </is>
      </c>
      <c r="BR47" s="2" t="inlineStr">
        <is>
          <t>The LLM wrote a general matcher that searches Qiskit's standard gates for one whose operator equals the matrix (up to global phase) and prints its name, which is what the user asked for, and the script runs; but the test calls the reference answer's function get_qiskit_gate() by name (KeyError). Over-specific test, and no updated test exists for this case. Both luna models only checked for the X gate.</t>
        </is>
      </c>
      <c r="BS47" s="2" t="inlineStr">
        <is>
          <t>KeyError</t>
        </is>
      </c>
      <c r="BT47" s="2" t="inlineStr">
        <is>
          <t>KeyError: 'get_qiskit_gate'</t>
        </is>
      </c>
      <c r="BU47" s="2" t="inlineStr">
        <is>
          <t>The LLM wrote a general matcher that searches Qiskit's standard gates for one whose operator equals the matrix (up to global phase) and prints its name, which is what the user asked for, and the script runs; but the test calls the reference answer's function get_qiskit_gate() by name (KeyError). Over-specific test, and no updated test exists for this case. Both luna models only checked for the X gate.</t>
        </is>
      </c>
      <c r="BV47" s="2" t="inlineStr">
        <is>
          <t>KeyError</t>
        </is>
      </c>
      <c r="BW47" s="2" t="inlineStr">
        <is>
          <t>KeyError: 'get_qiskit_gate'</t>
        </is>
      </c>
      <c r="BX47" s="2" t="inlineStr">
        <is>
          <t>The LLM wrote a general matcher that searches Qiskit's standard gates for one whose operator equals the matrix (up to global phase) and prints its name, which is what the user asked for, and the script runs; but the test calls the reference answer's function get_qiskit_gate() by name (KeyError). Over-specific test, and no updated test exists for this case. Both luna models only checked for the X gate.</t>
        </is>
      </c>
      <c r="BY47" s="2" t="inlineStr">
        <is>
          <t>KeyError</t>
        </is>
      </c>
      <c r="BZ47" s="2" t="inlineStr">
        <is>
          <t>KeyError: 'get_qiskit_gate'</t>
        </is>
      </c>
      <c r="CA47" s="2" t="inlineStr">
        <is>
          <t>The LLM wrote a general matcher that searches Qiskit's standard gates for one whose operator equals the matrix (up to global phase) and prints its name, which is what the user asked for, and the script runs; but the test calls the reference answer's function get_qiskit_gate() by name (KeyError). Over-specific test, and no updated test exists for this case. Both luna models only checked for the X gate.</t>
        </is>
      </c>
      <c r="CB47" s="2" t="inlineStr">
        <is>
          <t>KeyError</t>
        </is>
      </c>
      <c r="CC47" s="2" t="inlineStr">
        <is>
          <t>KeyError: 'get_qiskit_gate'</t>
        </is>
      </c>
      <c r="CD47" s="2" t="inlineStr">
        <is>
          <t>The LLM wrote a general matcher that searches Qiskit's standard gates for one whose operator equals the matrix (up to global phase) and prints its name, which is what the user asked for, and the script runs; but the test calls the reference answer's function get_qiskit_gate() by name (KeyError). Over-specific test, and no updated test exists for this case. Both luna models only checked for the X gate.</t>
        </is>
      </c>
      <c r="CE47" s="2" t="inlineStr">
        <is>
          <t>KeyError</t>
        </is>
      </c>
      <c r="CF47" s="2" t="inlineStr">
        <is>
          <t>KeyError: 'get_qiskit_gate'</t>
        </is>
      </c>
      <c r="CG47" s="2" t="inlineStr">
        <is>
          <t>The LLM wrote a general matcher that searches Qiskit's standard gates for one whose operator equals the matrix (up to global phase) and prints its name, which is what the user asked for, and the script runs; but the test calls the reference answer's function get_qiskit_gate() by name (KeyError). Over-specific test, and no updated test exists for this case. Both luna models only checked for the X gate.</t>
        </is>
      </c>
      <c r="CH47" s="2" t="inlineStr">
        <is>
          <t>KeyError</t>
        </is>
      </c>
      <c r="CI47" s="2" t="inlineStr">
        <is>
          <t>KeyError: 'get_qiskit_gate'</t>
        </is>
      </c>
      <c r="CJ47" s="2" t="inlineStr">
        <is>
          <t>The LLM wrote a general matcher that searches Qiskit's standard gates for one whose operator equals the matrix (up to global phase) and prints its name, which is what the user asked for, and the script runs; but the test calls the reference answer's function get_qiskit_gate() by name (KeyError). Over-specific test, and no updated test exists for this case. Both luna models only checked for the X gate.</t>
        </is>
      </c>
      <c r="CK47" s="2" t="inlineStr">
        <is>
          <t>KeyError</t>
        </is>
      </c>
      <c r="CL47" s="2" t="inlineStr">
        <is>
          <t>KeyError: 'get_qiskit_gate'</t>
        </is>
      </c>
      <c r="CM47" s="2" t="inlineStr">
        <is>
          <t>The LLM wrote a general matcher that searches Qiskit's standard gates for one whose operator equals the matrix (up to global phase) and prints its name, which is what the user asked for, and the script runs; but the test calls the reference answer's function get_qiskit_gate() by name (KeyError). Over-specific test, and no updated test exists for this case. Both luna models only checked for the X gate.</t>
        </is>
      </c>
      <c r="CN47" s="2" t="inlineStr">
        <is>
          <t>KeyError</t>
        </is>
      </c>
      <c r="CO47" s="2" t="inlineStr">
        <is>
          <t>KeyError: 'get_qiskit_gate'</t>
        </is>
      </c>
      <c r="CP47" s="2" t="inlineStr">
        <is>
          <t>The LLM wrote a general matcher that searches Qiskit's standard gates for one whose operator equals the matrix (up to global phase) and prints its name, which is what the user asked for, and the script runs; but the test calls the reference answer's function get_qiskit_gate() by name (KeyError). Over-specific test, and no updated test exists for this case. Both luna models only checked for the X gate.</t>
        </is>
      </c>
      <c r="CQ47" s="2" t="inlineStr">
        <is>
          <t>KeyError</t>
        </is>
      </c>
      <c r="CR47" s="2" t="inlineStr">
        <is>
          <t>KeyError: 'get_qiskit_gate'</t>
        </is>
      </c>
      <c r="CS47" s="2" t="inlineStr">
        <is>
          <t>The LLM wrote a general matcher that searches Qiskit's standard gates for one whose operator equals the matrix (up to global phase) and prints its name, which is what the user asked for, and the script runs; but the test calls the reference answer's function get_qiskit_gate() by name (KeyError). Over-specific test, and no updated test exists for this case. Both luna models only checked for the X gate.</t>
        </is>
      </c>
      <c r="CT47" s="2" t="inlineStr">
        <is>
          <t>KeyError</t>
        </is>
      </c>
      <c r="CU47" s="2" t="inlineStr">
        <is>
          <t>KeyError: 'get_qiskit_gate'</t>
        </is>
      </c>
      <c r="CV47" s="2" t="inlineStr">
        <is>
          <t>The LLM wrote a general matcher that searches Qiskit's standard gates for one whose operator equals the matrix (up to global phase) and prints its name, which is what the user asked for, and the script runs; but the test calls the reference answer's function get_qiskit_gate() by name (KeyError). Over-specific test, and no updated test exists for this case. Both luna models only checked for the X gate.</t>
        </is>
      </c>
      <c r="CW47" s="2" t="inlineStr">
        <is>
          <t>KeyError</t>
        </is>
      </c>
      <c r="CX47" s="2" t="inlineStr">
        <is>
          <t>KeyError: 'get_qiskit_gate'</t>
        </is>
      </c>
      <c r="CY47" s="2" t="inlineStr">
        <is>
          <t>The LLM wrote a general matcher that searches Qiskit's standard gates for one whose operator equals the matrix (up to global phase) and prints its name, which is what the user asked for, and the script runs; but the test calls the reference answer's function get_qiskit_gate() by name (KeyError). Over-specific test, and no updated test exists for this case. Both luna models only checked for the X gate.</t>
        </is>
      </c>
      <c r="CZ47" s="2" t="inlineStr">
        <is>
          <t>KeyError</t>
        </is>
      </c>
      <c r="DA47" s="2" t="inlineStr">
        <is>
          <t>KeyError: 'get_qiskit_gate'</t>
        </is>
      </c>
      <c r="DB47" s="2" t="inlineStr">
        <is>
          <t>The LLM wrote a general matcher that searches Qiskit's standard gates for one whose operator equals the matrix (up to global phase) and prints its name, which is what the user asked for, and the script runs; but the test calls the reference answer's function get_qiskit_gate() by name (KeyError). Over-specific test, and no updated test exists for this case. Both luna models only checked for the X gate.</t>
        </is>
      </c>
      <c r="DC47" s="2" t="inlineStr">
        <is>
          <t>KeyError</t>
        </is>
      </c>
      <c r="DD47" s="2" t="inlineStr">
        <is>
          <t>KeyError: 'get_qiskit_gate'</t>
        </is>
      </c>
      <c r="DE47" s="2" t="inlineStr">
        <is>
          <t>The LLM wrote a general matcher that searches Qiskit's standard gates for one whose operator equals the matrix (up to global phase) and prints its name, which is what the user asked for, and the script runs; but the test calls the reference answer's function get_qiskit_gate() by name (KeyError). Over-specific test, and no updated test exists for this case. Both luna models only checked for the X gate.</t>
        </is>
      </c>
    </row>
    <row r="48">
      <c r="A48" s="2" t="inlineStr">
        <is>
          <t>issue_773</t>
        </is>
      </c>
      <c r="B48" s="3" t="inlineStr">
        <is>
          <t>NOT_TESTED</t>
        </is>
      </c>
      <c r="C48" s="3" t="inlineStr">
        <is>
          <t>NOT_TESTED</t>
        </is>
      </c>
      <c r="D48" s="3" t="inlineStr">
        <is>
          <t>NOT_TESTED</t>
        </is>
      </c>
      <c r="E48" s="3" t="inlineStr">
        <is>
          <t>NOT_TESTED</t>
        </is>
      </c>
      <c r="F48" s="4" t="inlineStr">
        <is>
          <t>Passed on test</t>
        </is>
      </c>
      <c r="G48" s="4" t="inlineStr">
        <is>
          <t>Passed on test</t>
        </is>
      </c>
      <c r="H48" s="4" t="inlineStr">
        <is>
          <t>Passed on test</t>
        </is>
      </c>
      <c r="I48" s="4" t="inlineStr">
        <is>
          <t>Passed on test</t>
        </is>
      </c>
      <c r="J48" s="4" t="inlineStr">
        <is>
          <t>Passed on test</t>
        </is>
      </c>
      <c r="K48" s="4" t="inlineStr">
        <is>
          <t>Passed on test</t>
        </is>
      </c>
      <c r="L48" s="4" t="inlineStr">
        <is>
          <t>Passed on test</t>
        </is>
      </c>
      <c r="M48" s="4" t="inlineStr">
        <is>
          <t>Passed on test</t>
        </is>
      </c>
      <c r="N48" s="3" t="inlineStr">
        <is>
          <t>NOT_TESTED</t>
        </is>
      </c>
      <c r="O48" s="3" t="inlineStr">
        <is>
          <t>NOT_TESTED</t>
        </is>
      </c>
      <c r="P48" s="3" t="inlineStr">
        <is>
          <t>NOT_TESTED</t>
        </is>
      </c>
      <c r="Q48" s="3" t="inlineStr">
        <is>
          <t>NOT_TESTED</t>
        </is>
      </c>
      <c r="R48" s="3" t="inlineStr">
        <is>
          <t>NOT_TESTED</t>
        </is>
      </c>
      <c r="S48" s="3" t="inlineStr">
        <is>
          <t>NOT_TESTED</t>
        </is>
      </c>
      <c r="T48" s="3" t="inlineStr">
        <is>
          <t>NOT_TESTED</t>
        </is>
      </c>
      <c r="U48" s="3" t="inlineStr">
        <is>
          <t>NOT_TESTED</t>
        </is>
      </c>
      <c r="V48" s="3" t="inlineStr">
        <is>
          <t>NOT_TESTED</t>
        </is>
      </c>
      <c r="W48" s="3" t="inlineStr">
        <is>
          <t>NOT_TESTED</t>
        </is>
      </c>
      <c r="X48" s="3" t="inlineStr">
        <is>
          <t>NOT_TESTED</t>
        </is>
      </c>
      <c r="Y48" s="3" t="inlineStr">
        <is>
          <t>NOT_TESTED</t>
        </is>
      </c>
      <c r="Z48" s="3" t="inlineStr">
        <is>
          <t>NOT_TESTED</t>
        </is>
      </c>
      <c r="AA48" s="3" t="inlineStr">
        <is>
          <t>NOT_TESTED</t>
        </is>
      </c>
      <c r="AB48" s="3" t="inlineStr">
        <is>
          <t>NOT_TESTED</t>
        </is>
      </c>
      <c r="AC48" s="2" t="n"/>
      <c r="AD48" s="2" t="n"/>
      <c r="AE48" s="2" t="n"/>
      <c r="AF48" s="2" t="n"/>
      <c r="AG48" s="2" t="n"/>
      <c r="AH48" s="2" t="n"/>
      <c r="AI48" s="2" t="n"/>
      <c r="AJ48" s="2" t="n"/>
      <c r="AK48" s="2" t="n"/>
      <c r="AL48" s="2" t="n"/>
      <c r="AM48" s="2" t="n"/>
      <c r="AN48" s="2" t="n"/>
      <c r="AO48" s="2" t="n"/>
      <c r="AP48" s="2" t="n"/>
      <c r="AQ48" s="2" t="n"/>
      <c r="AR48" s="2" t="n"/>
      <c r="AS48" s="2" t="n"/>
      <c r="AT48" s="2" t="n"/>
      <c r="AU48" s="2" t="n"/>
      <c r="AV48" s="2" t="n"/>
      <c r="AW48" s="2" t="n"/>
      <c r="AX48" s="2" t="n"/>
      <c r="AY48" s="2" t="n"/>
      <c r="AZ48" s="2" t="n"/>
      <c r="BA48" s="2" t="n"/>
      <c r="BB48" s="2" t="n"/>
      <c r="BC48" s="2" t="n"/>
      <c r="BD48" s="2" t="n"/>
      <c r="BE48" s="2" t="n"/>
      <c r="BF48" s="2" t="n"/>
      <c r="BG48" s="2" t="n"/>
      <c r="BH48" s="2" t="n"/>
      <c r="BI48" s="2" t="n"/>
      <c r="BJ48" s="2" t="n"/>
      <c r="BK48" s="2" t="n"/>
      <c r="BL48" s="2" t="n"/>
      <c r="BM48" s="2" t="n"/>
      <c r="BN48" s="2" t="n"/>
      <c r="BO48" s="2" t="n"/>
      <c r="BP48" s="2" t="n"/>
      <c r="BQ48" s="2" t="n"/>
      <c r="BR48" s="2" t="n"/>
      <c r="BS48" s="2" t="n"/>
      <c r="BT48" s="2" t="n"/>
      <c r="BU48" s="2" t="n"/>
      <c r="BV48" s="2" t="n"/>
      <c r="BW48" s="2" t="n"/>
      <c r="BX48" s="2" t="n"/>
      <c r="BY48" s="2" t="n"/>
      <c r="BZ48" s="2" t="n"/>
      <c r="CA48" s="2" t="n"/>
      <c r="CB48" s="2" t="n"/>
      <c r="CC48" s="2" t="n"/>
      <c r="CD48" s="2" t="n"/>
      <c r="CE48" s="2" t="n"/>
      <c r="CF48" s="2" t="n"/>
      <c r="CG48" s="2" t="n"/>
      <c r="CH48" s="2" t="n"/>
      <c r="CI48" s="2" t="n"/>
      <c r="CJ48" s="2" t="n"/>
      <c r="CK48" s="2" t="n"/>
      <c r="CL48" s="2" t="n"/>
      <c r="CM48" s="2" t="n"/>
      <c r="CN48" s="2" t="n"/>
      <c r="CO48" s="2" t="n"/>
      <c r="CP48" s="2" t="n"/>
      <c r="CQ48" s="2" t="n"/>
      <c r="CR48" s="2" t="n"/>
      <c r="CS48" s="2" t="n"/>
      <c r="CT48" s="2" t="n"/>
      <c r="CU48" s="2" t="n"/>
      <c r="CV48" s="2" t="n"/>
      <c r="CW48" s="2" t="n"/>
      <c r="CX48" s="2" t="n"/>
      <c r="CY48" s="2" t="n"/>
      <c r="CZ48" s="2" t="n"/>
      <c r="DA48" s="2" t="n"/>
      <c r="DB48" s="2" t="n"/>
      <c r="DC48" s="2" t="n"/>
      <c r="DD48" s="2" t="n"/>
      <c r="DE48" s="2" t="n"/>
    </row>
    <row r="49">
      <c r="A49" s="2" t="inlineStr">
        <is>
          <t>issue_775</t>
        </is>
      </c>
      <c r="B49" s="4" t="inlineStr">
        <is>
          <t>Runtime error</t>
        </is>
      </c>
      <c r="C49" s="4" t="inlineStr">
        <is>
          <t>Runtime error</t>
        </is>
      </c>
      <c r="D49" s="4" t="inlineStr">
        <is>
          <t>Runtime error</t>
        </is>
      </c>
      <c r="E49" s="4" t="inlineStr">
        <is>
          <t>Runtime error</t>
        </is>
      </c>
      <c r="F49" s="4" t="inlineStr">
        <is>
          <t>Runtime error</t>
        </is>
      </c>
      <c r="G49" s="4" t="inlineStr">
        <is>
          <t>Runtime error</t>
        </is>
      </c>
      <c r="H49" s="4" t="inlineStr">
        <is>
          <t>Runtime error</t>
        </is>
      </c>
      <c r="I49" s="4" t="inlineStr">
        <is>
          <t>Runtime error</t>
        </is>
      </c>
      <c r="J49" s="4" t="inlineStr">
        <is>
          <t>Runtime error</t>
        </is>
      </c>
      <c r="K49" s="4" t="inlineStr">
        <is>
          <t>Runtime error</t>
        </is>
      </c>
      <c r="L49" s="4" t="inlineStr">
        <is>
          <t>Runtime error</t>
        </is>
      </c>
      <c r="M49" s="4" t="inlineStr">
        <is>
          <t>Runtime error</t>
        </is>
      </c>
      <c r="N49" s="3" t="inlineStr">
        <is>
          <t>NOT_TESTED</t>
        </is>
      </c>
      <c r="O49" s="3" t="inlineStr">
        <is>
          <t>NOT_TESTED</t>
        </is>
      </c>
      <c r="P49" s="3" t="inlineStr">
        <is>
          <t>NOT_TESTED</t>
        </is>
      </c>
      <c r="Q49" s="3" t="inlineStr">
        <is>
          <t>NOT_TESTED</t>
        </is>
      </c>
      <c r="R49" s="3" t="inlineStr">
        <is>
          <t>NOT_TESTED</t>
        </is>
      </c>
      <c r="S49" s="3" t="inlineStr">
        <is>
          <t>NOT_TESTED</t>
        </is>
      </c>
      <c r="T49" s="3" t="inlineStr">
        <is>
          <t>NOT_TESTED</t>
        </is>
      </c>
      <c r="U49" s="3" t="inlineStr">
        <is>
          <t>NOT_TESTED</t>
        </is>
      </c>
      <c r="V49" s="3" t="inlineStr">
        <is>
          <t>NOT_TESTED</t>
        </is>
      </c>
      <c r="W49" s="3" t="inlineStr">
        <is>
          <t>NOT_TESTED</t>
        </is>
      </c>
      <c r="X49" s="3" t="inlineStr">
        <is>
          <t>NOT_TESTED</t>
        </is>
      </c>
      <c r="Y49" s="3" t="inlineStr">
        <is>
          <t>NOT_TESTED</t>
        </is>
      </c>
      <c r="Z49" s="3" t="inlineStr">
        <is>
          <t>NOT_TESTED</t>
        </is>
      </c>
      <c r="AA49" s="3" t="inlineStr">
        <is>
          <t>NOT_TESTED</t>
        </is>
      </c>
      <c r="AB49" s="3" t="inlineStr">
        <is>
          <t>NOT_TESTED</t>
        </is>
      </c>
      <c r="AC49" s="2" t="inlineStr">
        <is>
          <t>KeyError</t>
        </is>
      </c>
      <c r="AD49" s="2" t="inlineStr">
        <is>
          <t>KeyError: 'qc'</t>
        </is>
      </c>
      <c r="AE49" s="2" t="n"/>
      <c r="AF49" s="2" t="inlineStr">
        <is>
          <t>KeyError</t>
        </is>
      </c>
      <c r="AG49" s="2" t="inlineStr">
        <is>
          <t>KeyError: 'qc'</t>
        </is>
      </c>
      <c r="AH49" s="2" t="n"/>
      <c r="AI49" s="2" t="inlineStr">
        <is>
          <t>KeyError</t>
        </is>
      </c>
      <c r="AJ49" s="2" t="inlineStr">
        <is>
          <t>KeyError: 'qc'</t>
        </is>
      </c>
      <c r="AK49" s="2" t="n"/>
      <c r="AL49" s="2" t="inlineStr">
        <is>
          <t>KeyError</t>
        </is>
      </c>
      <c r="AM49" s="2" t="inlineStr">
        <is>
          <t>KeyError: 'qc'</t>
        </is>
      </c>
      <c r="AN49" s="2" t="n"/>
      <c r="AO49" s="2" t="inlineStr">
        <is>
          <t>KeyError</t>
        </is>
      </c>
      <c r="AP49" s="2" t="inlineStr">
        <is>
          <t>KeyError: 'qc'</t>
        </is>
      </c>
      <c r="AQ49" s="2" t="n"/>
      <c r="AR49" s="2" t="inlineStr">
        <is>
          <t>KeyError</t>
        </is>
      </c>
      <c r="AS49" s="2" t="inlineStr">
        <is>
          <t>KeyError: 'qc'</t>
        </is>
      </c>
      <c r="AT49" s="2" t="n"/>
      <c r="AU49" s="2" t="inlineStr">
        <is>
          <t>KeyError</t>
        </is>
      </c>
      <c r="AV49" s="2" t="inlineStr">
        <is>
          <t>KeyError: 'qc'</t>
        </is>
      </c>
      <c r="AW49" s="2" t="n"/>
      <c r="AX49" s="2" t="inlineStr">
        <is>
          <t>KeyError</t>
        </is>
      </c>
      <c r="AY49" s="2" t="inlineStr">
        <is>
          <t>KeyError: 'qc'</t>
        </is>
      </c>
      <c r="AZ49" s="2" t="n"/>
      <c r="BA49" s="2" t="inlineStr">
        <is>
          <t>KeyError</t>
        </is>
      </c>
      <c r="BB49" s="2" t="inlineStr">
        <is>
          <t>KeyError: 'qc'</t>
        </is>
      </c>
      <c r="BC49" s="2" t="n"/>
      <c r="BD49" s="2" t="inlineStr">
        <is>
          <t>KeyError</t>
        </is>
      </c>
      <c r="BE49" s="2" t="inlineStr">
        <is>
          <t>KeyError: 'qc'</t>
        </is>
      </c>
      <c r="BF49" s="2" t="n"/>
      <c r="BG49" s="2" t="inlineStr">
        <is>
          <t>KeyError</t>
        </is>
      </c>
      <c r="BH49" s="2" t="inlineStr">
        <is>
          <t>KeyError: 'qc'</t>
        </is>
      </c>
      <c r="BI49" s="2" t="n"/>
      <c r="BJ49" s="2" t="inlineStr">
        <is>
          <t>KeyError</t>
        </is>
      </c>
      <c r="BK49" s="2" t="inlineStr">
        <is>
          <t>KeyError: 'qc'</t>
        </is>
      </c>
      <c r="BL49" s="2" t="n"/>
      <c r="BM49" s="2" t="n"/>
      <c r="BN49" s="2" t="n"/>
      <c r="BO49" s="2" t="n"/>
      <c r="BP49" s="2" t="n"/>
      <c r="BQ49" s="2" t="n"/>
      <c r="BR49" s="2" t="n"/>
      <c r="BS49" s="2" t="n"/>
      <c r="BT49" s="2" t="n"/>
      <c r="BU49" s="2" t="n"/>
      <c r="BV49" s="2" t="n"/>
      <c r="BW49" s="2" t="n"/>
      <c r="BX49" s="2" t="n"/>
      <c r="BY49" s="2" t="n"/>
      <c r="BZ49" s="2" t="n"/>
      <c r="CA49" s="2" t="n"/>
      <c r="CB49" s="2" t="n"/>
      <c r="CC49" s="2" t="n"/>
      <c r="CD49" s="2" t="n"/>
      <c r="CE49" s="2" t="n"/>
      <c r="CF49" s="2" t="n"/>
      <c r="CG49" s="2" t="n"/>
      <c r="CH49" s="2" t="n"/>
      <c r="CI49" s="2" t="n"/>
      <c r="CJ49" s="2" t="n"/>
      <c r="CK49" s="2" t="n"/>
      <c r="CL49" s="2" t="n"/>
      <c r="CM49" s="2" t="n"/>
      <c r="CN49" s="2" t="n"/>
      <c r="CO49" s="2" t="n"/>
      <c r="CP49" s="2" t="n"/>
      <c r="CQ49" s="2" t="n"/>
      <c r="CR49" s="2" t="n"/>
      <c r="CS49" s="2" t="n"/>
      <c r="CT49" s="2" t="n"/>
      <c r="CU49" s="2" t="n"/>
      <c r="CV49" s="2" t="n"/>
      <c r="CW49" s="2" t="n"/>
      <c r="CX49" s="2" t="n"/>
      <c r="CY49" s="2" t="n"/>
      <c r="CZ49" s="2" t="n"/>
      <c r="DA49" s="2" t="n"/>
      <c r="DB49" s="2" t="n"/>
      <c r="DC49" s="2" t="n"/>
      <c r="DD49" s="2" t="n"/>
      <c r="DE49" s="2" t="n"/>
    </row>
    <row r="50">
      <c r="A50" s="2" t="inlineStr">
        <is>
          <t>issue_795</t>
        </is>
      </c>
      <c r="B50" s="4" t="inlineStr">
        <is>
          <t>Passed on test</t>
        </is>
      </c>
      <c r="C50" s="4" t="inlineStr">
        <is>
          <t>Passed on test</t>
        </is>
      </c>
      <c r="D50" s="4" t="inlineStr">
        <is>
          <t>Passed on test</t>
        </is>
      </c>
      <c r="E50" s="4" t="inlineStr">
        <is>
          <t>Passed on test</t>
        </is>
      </c>
      <c r="F50" s="4" t="inlineStr">
        <is>
          <t>Passed on test</t>
        </is>
      </c>
      <c r="G50" s="4" t="inlineStr">
        <is>
          <t>Passed on test</t>
        </is>
      </c>
      <c r="H50" s="4" t="inlineStr">
        <is>
          <t>Passed on test</t>
        </is>
      </c>
      <c r="I50" s="4" t="inlineStr">
        <is>
          <t>Passed on test</t>
        </is>
      </c>
      <c r="J50" s="4" t="inlineStr">
        <is>
          <t>Passed on test</t>
        </is>
      </c>
      <c r="K50" s="4" t="inlineStr">
        <is>
          <t>Passed on test</t>
        </is>
      </c>
      <c r="L50" s="4" t="inlineStr">
        <is>
          <t>Passed on test</t>
        </is>
      </c>
      <c r="M50" s="4" t="inlineStr">
        <is>
          <t>Passed on test</t>
        </is>
      </c>
      <c r="N50" s="3" t="inlineStr">
        <is>
          <t>NOT_TESTED</t>
        </is>
      </c>
      <c r="O50" s="3" t="inlineStr">
        <is>
          <t>NOT_TESTED</t>
        </is>
      </c>
      <c r="P50" s="3" t="inlineStr">
        <is>
          <t>NOT_TESTED</t>
        </is>
      </c>
      <c r="Q50" s="3" t="inlineStr">
        <is>
          <t>NOT_TESTED</t>
        </is>
      </c>
      <c r="R50" s="3" t="inlineStr">
        <is>
          <t>NOT_TESTED</t>
        </is>
      </c>
      <c r="S50" s="3" t="inlineStr">
        <is>
          <t>NOT_TESTED</t>
        </is>
      </c>
      <c r="T50" s="3" t="inlineStr">
        <is>
          <t>NOT_TESTED</t>
        </is>
      </c>
      <c r="U50" s="3" t="inlineStr">
        <is>
          <t>NOT_TESTED</t>
        </is>
      </c>
      <c r="V50" s="3" t="inlineStr">
        <is>
          <t>NOT_TESTED</t>
        </is>
      </c>
      <c r="W50" s="3" t="inlineStr">
        <is>
          <t>NOT_TESTED</t>
        </is>
      </c>
      <c r="X50" s="3" t="inlineStr">
        <is>
          <t>NOT_TESTED</t>
        </is>
      </c>
      <c r="Y50" s="3" t="inlineStr">
        <is>
          <t>NOT_TESTED</t>
        </is>
      </c>
      <c r="Z50" s="3" t="inlineStr">
        <is>
          <t>NOT_TESTED</t>
        </is>
      </c>
      <c r="AA50" s="3" t="inlineStr">
        <is>
          <t>NOT_TESTED</t>
        </is>
      </c>
      <c r="AB50" s="3" t="inlineStr">
        <is>
          <t>NOT_TESTED</t>
        </is>
      </c>
      <c r="AC50" s="2" t="n"/>
      <c r="AD50" s="2" t="n"/>
      <c r="AE50" s="2" t="n"/>
      <c r="AF50" s="2" t="n"/>
      <c r="AG50" s="2" t="n"/>
      <c r="AH50" s="2" t="n"/>
      <c r="AI50" s="2" t="n"/>
      <c r="AJ50" s="2" t="n"/>
      <c r="AK50" s="2" t="n"/>
      <c r="AL50" s="2" t="n"/>
      <c r="AM50" s="2" t="n"/>
      <c r="AN50" s="2" t="n"/>
      <c r="AO50" s="2" t="n"/>
      <c r="AP50" s="2" t="n"/>
      <c r="AQ50" s="2" t="n"/>
      <c r="AR50" s="2" t="n"/>
      <c r="AS50" s="2" t="n"/>
      <c r="AT50" s="2" t="n"/>
      <c r="AU50" s="2" t="n"/>
      <c r="AV50" s="2" t="n"/>
      <c r="AW50" s="2" t="n"/>
      <c r="AX50" s="2" t="n"/>
      <c r="AY50" s="2" t="n"/>
      <c r="AZ50" s="2" t="n"/>
      <c r="BA50" s="2" t="n"/>
      <c r="BB50" s="2" t="n"/>
      <c r="BC50" s="2" t="n"/>
      <c r="BD50" s="2" t="n"/>
      <c r="BE50" s="2" t="n"/>
      <c r="BF50" s="2" t="n"/>
      <c r="BG50" s="2" t="n"/>
      <c r="BH50" s="2" t="n"/>
      <c r="BI50" s="2" t="n"/>
      <c r="BJ50" s="2" t="n"/>
      <c r="BK50" s="2" t="n"/>
      <c r="BL50" s="2" t="n"/>
      <c r="BM50" s="2" t="n"/>
      <c r="BN50" s="2" t="n"/>
      <c r="BO50" s="2" t="n"/>
      <c r="BP50" s="2" t="n"/>
      <c r="BQ50" s="2" t="n"/>
      <c r="BR50" s="2" t="n"/>
      <c r="BS50" s="2" t="n"/>
      <c r="BT50" s="2" t="n"/>
      <c r="BU50" s="2" t="n"/>
      <c r="BV50" s="2" t="n"/>
      <c r="BW50" s="2" t="n"/>
      <c r="BX50" s="2" t="n"/>
      <c r="BY50" s="2" t="n"/>
      <c r="BZ50" s="2" t="n"/>
      <c r="CA50" s="2" t="n"/>
      <c r="CB50" s="2" t="n"/>
      <c r="CC50" s="2" t="n"/>
      <c r="CD50" s="2" t="n"/>
      <c r="CE50" s="2" t="n"/>
      <c r="CF50" s="2" t="n"/>
      <c r="CG50" s="2" t="n"/>
      <c r="CH50" s="2" t="n"/>
      <c r="CI50" s="2" t="n"/>
      <c r="CJ50" s="2" t="n"/>
      <c r="CK50" s="2" t="n"/>
      <c r="CL50" s="2" t="n"/>
      <c r="CM50" s="2" t="n"/>
      <c r="CN50" s="2" t="n"/>
      <c r="CO50" s="2" t="n"/>
      <c r="CP50" s="2" t="n"/>
      <c r="CQ50" s="2" t="n"/>
      <c r="CR50" s="2" t="n"/>
      <c r="CS50" s="2" t="n"/>
      <c r="CT50" s="2" t="n"/>
      <c r="CU50" s="2" t="n"/>
      <c r="CV50" s="2" t="n"/>
      <c r="CW50" s="2" t="n"/>
      <c r="CX50" s="2" t="n"/>
      <c r="CY50" s="2" t="n"/>
      <c r="CZ50" s="2" t="n"/>
      <c r="DA50" s="2" t="n"/>
      <c r="DB50" s="2" t="n"/>
      <c r="DC50" s="2" t="n"/>
      <c r="DD50" s="2" t="n"/>
      <c r="DE50" s="2" t="n"/>
    </row>
    <row r="51">
      <c r="A51" s="2" t="inlineStr">
        <is>
          <t>issue_803</t>
        </is>
      </c>
      <c r="B51" s="5" t="inlineStr">
        <is>
          <t>Failed on test</t>
        </is>
      </c>
      <c r="C51" s="5" t="inlineStr">
        <is>
          <t>Failed on test</t>
        </is>
      </c>
      <c r="D51" s="5" t="inlineStr">
        <is>
          <t>Failed on test</t>
        </is>
      </c>
      <c r="E51" s="5" t="inlineStr">
        <is>
          <t>Failed on test</t>
        </is>
      </c>
      <c r="F51" s="6" t="inlineStr">
        <is>
          <t>Runtime error</t>
        </is>
      </c>
      <c r="G51" s="6" t="inlineStr">
        <is>
          <t>Runtime error</t>
        </is>
      </c>
      <c r="H51" s="6" t="inlineStr">
        <is>
          <t>Runtime error</t>
        </is>
      </c>
      <c r="I51" s="6" t="inlineStr">
        <is>
          <t>Runtime error</t>
        </is>
      </c>
      <c r="J51" s="6" t="inlineStr">
        <is>
          <t>Runtime error</t>
        </is>
      </c>
      <c r="K51" s="6" t="inlineStr">
        <is>
          <t>Runtime error</t>
        </is>
      </c>
      <c r="L51" s="6" t="inlineStr">
        <is>
          <t>Runtime error</t>
        </is>
      </c>
      <c r="M51" s="6" t="inlineStr">
        <is>
          <t>Runtime error</t>
        </is>
      </c>
      <c r="N51" s="3" t="inlineStr">
        <is>
          <t>NOT_TESTED</t>
        </is>
      </c>
      <c r="O51" s="3" t="inlineStr">
        <is>
          <t>NOT_TESTED</t>
        </is>
      </c>
      <c r="P51" s="3" t="inlineStr">
        <is>
          <t>NOT_TESTED</t>
        </is>
      </c>
      <c r="Q51" s="3" t="inlineStr">
        <is>
          <t>NOT_TESTED</t>
        </is>
      </c>
      <c r="R51" s="3" t="inlineStr">
        <is>
          <t>NOT_TESTED</t>
        </is>
      </c>
      <c r="S51" s="3" t="inlineStr">
        <is>
          <t>NOT_TESTED</t>
        </is>
      </c>
      <c r="T51" s="3" t="inlineStr">
        <is>
          <t>NOT_TESTED</t>
        </is>
      </c>
      <c r="U51" s="3" t="inlineStr">
        <is>
          <t>NOT_TESTED</t>
        </is>
      </c>
      <c r="V51" s="3" t="inlineStr">
        <is>
          <t>NOT_TESTED</t>
        </is>
      </c>
      <c r="W51" s="3" t="inlineStr">
        <is>
          <t>NOT_TESTED</t>
        </is>
      </c>
      <c r="X51" s="3" t="inlineStr">
        <is>
          <t>NOT_TESTED</t>
        </is>
      </c>
      <c r="Y51" s="3" t="inlineStr">
        <is>
          <t>NOT_TESTED</t>
        </is>
      </c>
      <c r="Z51" s="3" t="inlineStr">
        <is>
          <t>NOT_TESTED</t>
        </is>
      </c>
      <c r="AA51" s="3" t="inlineStr">
        <is>
          <t>NOT_TESTED</t>
        </is>
      </c>
      <c r="AB51" s="3" t="inlineStr">
        <is>
          <t>NOT_TESTED</t>
        </is>
      </c>
      <c r="AC51" s="2" t="inlineStr">
        <is>
          <t>ValueError</t>
        </is>
      </c>
      <c r="AD51" s="2" t="inlineStr">
        <is>
          <t>ValueError: The truth value of an array with more than one element is ambiguous. Use a.any() or a.all(); AssertionError: array([list([55, 45]), list([100]), list([100])], dtype=object) is not an instance of &lt;class 'list'&gt;</t>
        </is>
      </c>
      <c r="AE51" s="2" t="inlineStr">
        <is>
          <t>Error on 0.45.x / 0.46.x, failed on 0.25.x: the LLM turned the list of count dictionaries into a NumPy array of value lists, which loses the outcome keys; the test wants one counts dictionary per circuit, and newer NumPy refuses the ragged array (ValueError). Same problem as both luna models.</t>
        </is>
      </c>
      <c r="AF51" s="2" t="inlineStr">
        <is>
          <t>ValueError</t>
        </is>
      </c>
      <c r="AG51" s="2" t="inlineStr">
        <is>
          <t>ValueError: The truth value of an array with more than one element is ambiguous. Use a.any() or a.all(); AssertionError: array([list([54, 46]), list([100]), list([100])], dtype=object) is not an instance of &lt;class 'list'&gt;</t>
        </is>
      </c>
      <c r="AH51" s="2" t="inlineStr">
        <is>
          <t>Error on 0.45.x / 0.46.x, failed on 0.25.x: the LLM turned the list of count dictionaries into a NumPy array of value lists, which loses the outcome keys; the test wants one counts dictionary per circuit, and newer NumPy refuses the ragged array (ValueError). Same problem as both luna models.</t>
        </is>
      </c>
      <c r="AI51" s="2" t="inlineStr">
        <is>
          <t>ValueError</t>
        </is>
      </c>
      <c r="AJ51" s="2" t="inlineStr">
        <is>
          <t>ValueError: The truth value of an array with more than one element is ambiguous. Use a.any() or a.all(); AssertionError: array([list([51, 49]), list([100]), list([100])], dtype=object) is not an instance of &lt;class 'list'&gt;</t>
        </is>
      </c>
      <c r="AK51" s="2" t="inlineStr">
        <is>
          <t>Error on 0.45.x / 0.46.x, failed on 0.25.x: the LLM turned the list of count dictionaries into a NumPy array of value lists, which loses the outcome keys; the test wants one counts dictionary per circuit, and newer NumPy refuses the ragged array (ValueError). Same problem as both luna models.</t>
        </is>
      </c>
      <c r="AL51" s="2" t="inlineStr">
        <is>
          <t>ValueError</t>
        </is>
      </c>
      <c r="AM51" s="2" t="inlineStr">
        <is>
          <t>ValueError: The truth value of an array with more than one element is ambiguous. Use a.any() or a.all(); AssertionError: array([list([45, 55]), list([100]), list([100])], dtype=object) is not an instance of &lt;class 'list'&gt;</t>
        </is>
      </c>
      <c r="AN51" s="2" t="inlineStr">
        <is>
          <t>Error on 0.45.x / 0.46.x, failed on 0.25.x: the LLM turned the list of count dictionaries into a NumPy array of value lists, which loses the outcome keys; the test wants one counts dictionary per circuit, and newer NumPy refuses the ragged array (ValueError). Same problem as both luna models.</t>
        </is>
      </c>
      <c r="AO51" s="2" t="inlineStr">
        <is>
          <t>ValueError</t>
        </is>
      </c>
      <c r="AP51" s="2" t="inlineStr">
        <is>
          <t>ValueError: The truth value of an array with more than one element is ambiguous. Use a.any() or a.all(); ValueError: setting an array element with a sequence. The requested array has an inhomogeneous shape after 1 dimensions. The detected s</t>
        </is>
      </c>
      <c r="AQ51" s="2" t="inlineStr">
        <is>
          <t>Error on 0.45.x / 0.46.x, failed on 0.25.x: the LLM turned the list of count dictionaries into a NumPy array of value lists, which loses the outcome keys; the test wants one counts dictionary per circuit, and newer NumPy refuses the ragged array (ValueError). Same problem as both luna models.</t>
        </is>
      </c>
      <c r="AR51" s="2" t="inlineStr">
        <is>
          <t>ValueError</t>
        </is>
      </c>
      <c r="AS51" s="2" t="inlineStr">
        <is>
          <t>ValueError: The truth value of an array with more than one element is ambiguous. Use a.any() or a.all(); ValueError: setting an array element with a sequence. The requested array has an inhomogeneous shape after 1 dimensions. The detected s</t>
        </is>
      </c>
      <c r="AT51" s="2" t="inlineStr">
        <is>
          <t>Error on 0.45.x / 0.46.x, failed on 0.25.x: the LLM turned the list of count dictionaries into a NumPy array of value lists, which loses the outcome keys; the test wants one counts dictionary per circuit, and newer NumPy refuses the ragged array (ValueError). Same problem as both luna models.</t>
        </is>
      </c>
      <c r="AU51" s="2" t="inlineStr">
        <is>
          <t>ValueError</t>
        </is>
      </c>
      <c r="AV51" s="2" t="inlineStr">
        <is>
          <t>ValueError: The truth value of an array with more than one element is ambiguous. Use a.any() or a.all(); ValueError: setting an array element with a sequence. The requested array has an inhomogeneous shape after 1 dimensions. The detected s</t>
        </is>
      </c>
      <c r="AW51" s="2" t="inlineStr">
        <is>
          <t>Error on 0.45.x / 0.46.x, failed on 0.25.x: the LLM turned the list of count dictionaries into a NumPy array of value lists, which loses the outcome keys; the test wants one counts dictionary per circuit, and newer NumPy refuses the ragged array (ValueError). Same problem as both luna models.</t>
        </is>
      </c>
      <c r="AX51" s="2" t="inlineStr">
        <is>
          <t>ValueError</t>
        </is>
      </c>
      <c r="AY51" s="2" t="inlineStr">
        <is>
          <t>ValueError: The truth value of an array with more than one element is ambiguous. Use a.any() or a.all(); ValueError: setting an array element with a sequence. The requested array has an inhomogeneous shape after 1 dimensions. The detected s</t>
        </is>
      </c>
      <c r="AZ51" s="2" t="inlineStr">
        <is>
          <t>Error on 0.45.x / 0.46.x, failed on 0.25.x: the LLM turned the list of count dictionaries into a NumPy array of value lists, which loses the outcome keys; the test wants one counts dictionary per circuit, and newer NumPy refuses the ragged array (ValueError). Same problem as both luna models.</t>
        </is>
      </c>
      <c r="BA51" s="2" t="inlineStr">
        <is>
          <t>ValueError</t>
        </is>
      </c>
      <c r="BB51" s="2" t="inlineStr">
        <is>
          <t>ValueError: The truth value of an array with more than one element is ambiguous. Use a.any() or a.all(); ValueError: setting an array element with a sequence. The requested array has an inhomogeneous shape after 1 dimensions. The detected s</t>
        </is>
      </c>
      <c r="BC51" s="2" t="inlineStr">
        <is>
          <t>Error on 0.45.x / 0.46.x, failed on 0.25.x: the LLM turned the list of count dictionaries into a NumPy array of value lists, which loses the outcome keys; the test wants one counts dictionary per circuit, and newer NumPy refuses the ragged array (ValueError). Same problem as both luna models.</t>
        </is>
      </c>
      <c r="BD51" s="2" t="inlineStr">
        <is>
          <t>ValueError</t>
        </is>
      </c>
      <c r="BE51" s="2" t="inlineStr">
        <is>
          <t>ValueError: The truth value of an array with more than one element is ambiguous. Use a.any() or a.all(); ValueError: setting an array element with a sequence. The requested array has an inhomogeneous shape after 1 dimensions. The detected s</t>
        </is>
      </c>
      <c r="BF51" s="2" t="inlineStr">
        <is>
          <t>Error on 0.45.x / 0.46.x, failed on 0.25.x: the LLM turned the list of count dictionaries into a NumPy array of value lists, which loses the outcome keys; the test wants one counts dictionary per circuit, and newer NumPy refuses the ragged array (ValueError). Same problem as both luna models.</t>
        </is>
      </c>
      <c r="BG51" s="2" t="inlineStr">
        <is>
          <t>ValueError</t>
        </is>
      </c>
      <c r="BH51" s="2" t="inlineStr">
        <is>
          <t>ValueError: The truth value of an array with more than one element is ambiguous. Use a.any() or a.all(); ValueError: setting an array element with a sequence. The requested array has an inhomogeneous shape after 1 dimensions. The detected s</t>
        </is>
      </c>
      <c r="BI51" s="2" t="inlineStr">
        <is>
          <t>Error on 0.45.x / 0.46.x, failed on 0.25.x: the LLM turned the list of count dictionaries into a NumPy array of value lists, which loses the outcome keys; the test wants one counts dictionary per circuit, and newer NumPy refuses the ragged array (ValueError). Same problem as both luna models.</t>
        </is>
      </c>
      <c r="BJ51" s="2" t="inlineStr">
        <is>
          <t>ValueError</t>
        </is>
      </c>
      <c r="BK51" s="2" t="inlineStr">
        <is>
          <t>ValueError: The truth value of an array with more than one element is ambiguous. Use a.any() or a.all(); ValueError: setting an array element with a sequence. The requested array has an inhomogeneous shape after 1 dimensions. The detected s</t>
        </is>
      </c>
      <c r="BL51" s="2" t="inlineStr">
        <is>
          <t>Error on 0.45.x / 0.46.x, failed on 0.25.x: the LLM turned the list of count dictionaries into a NumPy array of value lists, which loses the outcome keys; the test wants one counts dictionary per circuit, and newer NumPy refuses the ragged array (ValueError). Same problem as both luna models.</t>
        </is>
      </c>
      <c r="BM51" s="2" t="n"/>
      <c r="BN51" s="2" t="n"/>
      <c r="BO51" s="2" t="n"/>
      <c r="BP51" s="2" t="n"/>
      <c r="BQ51" s="2" t="n"/>
      <c r="BR51" s="2" t="n"/>
      <c r="BS51" s="2" t="n"/>
      <c r="BT51" s="2" t="n"/>
      <c r="BU51" s="2" t="n"/>
      <c r="BV51" s="2" t="n"/>
      <c r="BW51" s="2" t="n"/>
      <c r="BX51" s="2" t="n"/>
      <c r="BY51" s="2" t="n"/>
      <c r="BZ51" s="2" t="n"/>
      <c r="CA51" s="2" t="n"/>
      <c r="CB51" s="2" t="n"/>
      <c r="CC51" s="2" t="n"/>
      <c r="CD51" s="2" t="n"/>
      <c r="CE51" s="2" t="n"/>
      <c r="CF51" s="2" t="n"/>
      <c r="CG51" s="2" t="n"/>
      <c r="CH51" s="2" t="n"/>
      <c r="CI51" s="2" t="n"/>
      <c r="CJ51" s="2" t="n"/>
      <c r="CK51" s="2" t="n"/>
      <c r="CL51" s="2" t="n"/>
      <c r="CM51" s="2" t="n"/>
      <c r="CN51" s="2" t="n"/>
      <c r="CO51" s="2" t="n"/>
      <c r="CP51" s="2" t="n"/>
      <c r="CQ51" s="2" t="n"/>
      <c r="CR51" s="2" t="n"/>
      <c r="CS51" s="2" t="n"/>
      <c r="CT51" s="2" t="n"/>
      <c r="CU51" s="2" t="n"/>
      <c r="CV51" s="2" t="n"/>
      <c r="CW51" s="2" t="n"/>
      <c r="CX51" s="2" t="n"/>
      <c r="CY51" s="2" t="n"/>
      <c r="CZ51" s="2" t="n"/>
      <c r="DA51" s="2" t="n"/>
      <c r="DB51" s="2" t="n"/>
      <c r="DC51" s="2" t="n"/>
      <c r="DD51" s="2" t="n"/>
      <c r="DE51" s="2" t="n"/>
    </row>
    <row r="52">
      <c r="A52" s="2" t="inlineStr">
        <is>
          <t>issue_810</t>
        </is>
      </c>
      <c r="B52" s="3" t="inlineStr">
        <is>
          <t>NOT_TESTED</t>
        </is>
      </c>
      <c r="C52" s="3" t="inlineStr">
        <is>
          <t>NOT_TESTED</t>
        </is>
      </c>
      <c r="D52" s="3" t="inlineStr">
        <is>
          <t>NOT_TESTED</t>
        </is>
      </c>
      <c r="E52" s="3" t="inlineStr">
        <is>
          <t>NOT_TESTED</t>
        </is>
      </c>
      <c r="F52" s="3" t="inlineStr">
        <is>
          <t>NOT_TESTED</t>
        </is>
      </c>
      <c r="G52" s="5" t="inlineStr">
        <is>
          <t>Failed on test</t>
        </is>
      </c>
      <c r="H52" s="3" t="inlineStr">
        <is>
          <t>NOT_TESTED</t>
        </is>
      </c>
      <c r="I52" s="3" t="inlineStr">
        <is>
          <t>NOT_TESTED</t>
        </is>
      </c>
      <c r="J52" s="3" t="inlineStr">
        <is>
          <t>NOT_TESTED</t>
        </is>
      </c>
      <c r="K52" s="3" t="inlineStr">
        <is>
          <t>NOT_TESTED</t>
        </is>
      </c>
      <c r="L52" s="5" t="inlineStr">
        <is>
          <t>Failed on test</t>
        </is>
      </c>
      <c r="M52" s="3" t="inlineStr">
        <is>
          <t>NOT_TESTED</t>
        </is>
      </c>
      <c r="N52" s="3" t="inlineStr">
        <is>
          <t>NOT_TESTED</t>
        </is>
      </c>
      <c r="O52" s="3" t="inlineStr">
        <is>
          <t>NOT_TESTED</t>
        </is>
      </c>
      <c r="P52" s="3" t="inlineStr">
        <is>
          <t>NOT_TESTED</t>
        </is>
      </c>
      <c r="Q52" s="3" t="inlineStr">
        <is>
          <t>NOT_TESTED</t>
        </is>
      </c>
      <c r="R52" s="3" t="inlineStr">
        <is>
          <t>NOT_TESTED</t>
        </is>
      </c>
      <c r="S52" s="3" t="inlineStr">
        <is>
          <t>NOT_TESTED</t>
        </is>
      </c>
      <c r="T52" s="3" t="inlineStr">
        <is>
          <t>NOT_TESTED</t>
        </is>
      </c>
      <c r="U52" s="3" t="inlineStr">
        <is>
          <t>NOT_TESTED</t>
        </is>
      </c>
      <c r="V52" s="3" t="inlineStr">
        <is>
          <t>NOT_TESTED</t>
        </is>
      </c>
      <c r="W52" s="3" t="inlineStr">
        <is>
          <t>NOT_TESTED</t>
        </is>
      </c>
      <c r="X52" s="3" t="inlineStr">
        <is>
          <t>NOT_TESTED</t>
        </is>
      </c>
      <c r="Y52" s="3" t="inlineStr">
        <is>
          <t>NOT_TESTED</t>
        </is>
      </c>
      <c r="Z52" s="3" t="inlineStr">
        <is>
          <t>NOT_TESTED</t>
        </is>
      </c>
      <c r="AA52" s="3" t="inlineStr">
        <is>
          <t>NOT_TESTED</t>
        </is>
      </c>
      <c r="AB52" s="3" t="inlineStr">
        <is>
          <t>NOT_TESTED</t>
        </is>
      </c>
      <c r="AC52" s="2" t="n"/>
      <c r="AD52" s="2" t="n"/>
      <c r="AE52" s="2" t="n"/>
      <c r="AF52" s="2" t="n"/>
      <c r="AG52" s="2" t="n"/>
      <c r="AH52" s="2" t="n"/>
      <c r="AI52" s="2" t="n"/>
      <c r="AJ52" s="2" t="n"/>
      <c r="AK52" s="2" t="n"/>
      <c r="AL52" s="2" t="n"/>
      <c r="AM52" s="2" t="n"/>
      <c r="AN52" s="2" t="n"/>
      <c r="AO52" s="2" t="n"/>
      <c r="AP52" s="2" t="n"/>
      <c r="AQ52" s="2" t="n"/>
      <c r="AR52" s="2" t="inlineStr">
        <is>
          <t>AssertionError</t>
        </is>
      </c>
      <c r="AS52" s="2" t="inlineStr">
        <is>
          <t>AssertionError: None is not an instance of &lt;class 'dict'&gt; : Expose a raw counts dictionary, not the Result object</t>
        </is>
      </c>
      <c r="AT52" s="2" t="inlineStr">
        <is>
          <t>The LLM enabled memory=True and returned the per-shot list job.result().get_memory(circuit) instead of a counts dictionary; the updated test, which accepts any variable name and shot count, finds no raw counts dictionary. Both luna models used get_counts() and passed.</t>
        </is>
      </c>
      <c r="AU52" s="2" t="n"/>
      <c r="AV52" s="2" t="n"/>
      <c r="AW52" s="2" t="n"/>
      <c r="AX52" s="2" t="n"/>
      <c r="AY52" s="2" t="n"/>
      <c r="AZ52" s="2" t="n"/>
      <c r="BA52" s="2" t="n"/>
      <c r="BB52" s="2" t="n"/>
      <c r="BC52" s="2" t="n"/>
      <c r="BD52" s="2" t="n"/>
      <c r="BE52" s="2" t="n"/>
      <c r="BF52" s="2" t="n"/>
      <c r="BG52" s="2" t="inlineStr">
        <is>
          <t>AssertionError</t>
        </is>
      </c>
      <c r="BH52" s="2" t="inlineStr">
        <is>
          <t>AssertionError: None is not an instance of &lt;class 'dict'&gt; : Expose a raw counts dictionary, not the Result object</t>
        </is>
      </c>
      <c r="BI52" s="2" t="inlineStr">
        <is>
          <t>The LLM enabled memory=True and returned the per-shot list job.result().get_memory(circuit) instead of a counts dictionary; the updated test, which accepts any variable name and shot count, finds no raw counts dictionary. Both luna models used get_counts() and passed.</t>
        </is>
      </c>
      <c r="BJ52" s="2" t="n"/>
      <c r="BK52" s="2" t="n"/>
      <c r="BL52" s="2" t="n"/>
      <c r="BM52" s="2" t="n"/>
      <c r="BN52" s="2" t="n"/>
      <c r="BO52" s="2" t="n"/>
      <c r="BP52" s="2" t="n"/>
      <c r="BQ52" s="2" t="n"/>
      <c r="BR52" s="2" t="n"/>
      <c r="BS52" s="2" t="n"/>
      <c r="BT52" s="2" t="n"/>
      <c r="BU52" s="2" t="n"/>
      <c r="BV52" s="2" t="n"/>
      <c r="BW52" s="2" t="n"/>
      <c r="BX52" s="2" t="n"/>
      <c r="BY52" s="2" t="n"/>
      <c r="BZ52" s="2" t="n"/>
      <c r="CA52" s="2" t="n"/>
      <c r="CB52" s="2" t="n"/>
      <c r="CC52" s="2" t="n"/>
      <c r="CD52" s="2" t="n"/>
      <c r="CE52" s="2" t="n"/>
      <c r="CF52" s="2" t="n"/>
      <c r="CG52" s="2" t="n"/>
      <c r="CH52" s="2" t="n"/>
      <c r="CI52" s="2" t="n"/>
      <c r="CJ52" s="2" t="n"/>
      <c r="CK52" s="2" t="n"/>
      <c r="CL52" s="2" t="n"/>
      <c r="CM52" s="2" t="n"/>
      <c r="CN52" s="2" t="n"/>
      <c r="CO52" s="2" t="n"/>
      <c r="CP52" s="2" t="n"/>
      <c r="CQ52" s="2" t="n"/>
      <c r="CR52" s="2" t="n"/>
      <c r="CS52" s="2" t="n"/>
      <c r="CT52" s="2" t="n"/>
      <c r="CU52" s="2" t="n"/>
      <c r="CV52" s="2" t="n"/>
      <c r="CW52" s="2" t="n"/>
      <c r="CX52" s="2" t="n"/>
      <c r="CY52" s="2" t="n"/>
      <c r="CZ52" s="2" t="n"/>
      <c r="DA52" s="2" t="n"/>
      <c r="DB52" s="2" t="n"/>
      <c r="DC52" s="2" t="n"/>
      <c r="DD52" s="2" t="n"/>
      <c r="DE52" s="2" t="n"/>
    </row>
    <row r="53">
      <c r="A53" s="2" t="inlineStr">
        <is>
          <t>issue_816</t>
        </is>
      </c>
      <c r="B53" s="3" t="inlineStr">
        <is>
          <t>NOT_TESTED</t>
        </is>
      </c>
      <c r="C53" s="3" t="inlineStr">
        <is>
          <t>NOT_TESTED</t>
        </is>
      </c>
      <c r="D53" s="3" t="inlineStr">
        <is>
          <t>NOT_TESTED</t>
        </is>
      </c>
      <c r="E53" s="3" t="inlineStr">
        <is>
          <t>NOT_TESTED</t>
        </is>
      </c>
      <c r="F53" s="4" t="inlineStr">
        <is>
          <t>Passed on test</t>
        </is>
      </c>
      <c r="G53" s="4" t="inlineStr">
        <is>
          <t>Passed on test</t>
        </is>
      </c>
      <c r="H53" s="4" t="inlineStr">
        <is>
          <t>Passed on test</t>
        </is>
      </c>
      <c r="I53" s="4" t="inlineStr">
        <is>
          <t>Passed on test</t>
        </is>
      </c>
      <c r="J53" s="4" t="inlineStr">
        <is>
          <t>Passed on test</t>
        </is>
      </c>
      <c r="K53" s="4" t="inlineStr">
        <is>
          <t>Passed on test</t>
        </is>
      </c>
      <c r="L53" s="4" t="inlineStr">
        <is>
          <t>Passed on test</t>
        </is>
      </c>
      <c r="M53" s="4" t="inlineStr">
        <is>
          <t>Passed on test</t>
        </is>
      </c>
      <c r="N53" s="4" t="inlineStr">
        <is>
          <t>Passed on test</t>
        </is>
      </c>
      <c r="O53" s="4" t="inlineStr">
        <is>
          <t>Passed on test</t>
        </is>
      </c>
      <c r="P53" s="4" t="inlineStr">
        <is>
          <t>Passed on test</t>
        </is>
      </c>
      <c r="Q53" s="4" t="inlineStr">
        <is>
          <t>Passed on test</t>
        </is>
      </c>
      <c r="R53" s="4" t="inlineStr">
        <is>
          <t>Passed on test</t>
        </is>
      </c>
      <c r="S53" s="4" t="inlineStr">
        <is>
          <t>Passed on test</t>
        </is>
      </c>
      <c r="T53" s="4" t="inlineStr">
        <is>
          <t>Passed on test</t>
        </is>
      </c>
      <c r="U53" s="4" t="inlineStr">
        <is>
          <t>Passed on test</t>
        </is>
      </c>
      <c r="V53" s="4" t="inlineStr">
        <is>
          <t>Passed on test</t>
        </is>
      </c>
      <c r="W53" s="4" t="inlineStr">
        <is>
          <t>Passed on test</t>
        </is>
      </c>
      <c r="X53" s="4" t="inlineStr">
        <is>
          <t>Passed on test</t>
        </is>
      </c>
      <c r="Y53" s="4" t="inlineStr">
        <is>
          <t>Passed on test</t>
        </is>
      </c>
      <c r="Z53" s="4" t="inlineStr">
        <is>
          <t>Passed on test</t>
        </is>
      </c>
      <c r="AA53" s="4" t="inlineStr">
        <is>
          <t>Passed on test</t>
        </is>
      </c>
      <c r="AB53" s="4" t="inlineStr">
        <is>
          <t>Passed on test</t>
        </is>
      </c>
      <c r="AC53" s="2" t="n"/>
      <c r="AD53" s="2" t="n"/>
      <c r="AE53" s="2" t="n"/>
      <c r="AF53" s="2" t="n"/>
      <c r="AG53" s="2" t="n"/>
      <c r="AH53" s="2" t="n"/>
      <c r="AI53" s="2" t="n"/>
      <c r="AJ53" s="2" t="n"/>
      <c r="AK53" s="2" t="n"/>
      <c r="AL53" s="2" t="n"/>
      <c r="AM53" s="2" t="n"/>
      <c r="AN53" s="2" t="n"/>
      <c r="AO53" s="2" t="n"/>
      <c r="AP53" s="2" t="n"/>
      <c r="AQ53" s="2" t="n"/>
      <c r="AR53" s="2" t="n"/>
      <c r="AS53" s="2" t="n"/>
      <c r="AT53" s="2" t="n"/>
      <c r="AU53" s="2" t="n"/>
      <c r="AV53" s="2" t="n"/>
      <c r="AW53" s="2" t="n"/>
      <c r="AX53" s="2" t="n"/>
      <c r="AY53" s="2" t="n"/>
      <c r="AZ53" s="2" t="n"/>
      <c r="BA53" s="2" t="n"/>
      <c r="BB53" s="2" t="n"/>
      <c r="BC53" s="2" t="n"/>
      <c r="BD53" s="2" t="n"/>
      <c r="BE53" s="2" t="n"/>
      <c r="BF53" s="2" t="n"/>
      <c r="BG53" s="2" t="n"/>
      <c r="BH53" s="2" t="n"/>
      <c r="BI53" s="2" t="n"/>
      <c r="BJ53" s="2" t="n"/>
      <c r="BK53" s="2" t="n"/>
      <c r="BL53" s="2" t="n"/>
      <c r="BM53" s="2" t="n"/>
      <c r="BN53" s="2" t="n"/>
      <c r="BO53" s="2" t="n"/>
      <c r="BP53" s="2" t="n"/>
      <c r="BQ53" s="2" t="n"/>
      <c r="BR53" s="2" t="n"/>
      <c r="BS53" s="2" t="n"/>
      <c r="BT53" s="2" t="n"/>
      <c r="BU53" s="2" t="n"/>
      <c r="BV53" s="2" t="n"/>
      <c r="BW53" s="2" t="n"/>
      <c r="BX53" s="2" t="n"/>
      <c r="BY53" s="2" t="n"/>
      <c r="BZ53" s="2" t="n"/>
      <c r="CA53" s="2" t="n"/>
      <c r="CB53" s="2" t="n"/>
      <c r="CC53" s="2" t="n"/>
      <c r="CD53" s="2" t="n"/>
      <c r="CE53" s="2" t="n"/>
      <c r="CF53" s="2" t="n"/>
      <c r="CG53" s="2" t="n"/>
      <c r="CH53" s="2" t="n"/>
      <c r="CI53" s="2" t="n"/>
      <c r="CJ53" s="2" t="n"/>
      <c r="CK53" s="2" t="n"/>
      <c r="CL53" s="2" t="n"/>
      <c r="CM53" s="2" t="n"/>
      <c r="CN53" s="2" t="n"/>
      <c r="CO53" s="2" t="n"/>
      <c r="CP53" s="2" t="n"/>
      <c r="CQ53" s="2" t="n"/>
      <c r="CR53" s="2" t="n"/>
      <c r="CS53" s="2" t="n"/>
      <c r="CT53" s="2" t="n"/>
      <c r="CU53" s="2" t="n"/>
      <c r="CV53" s="2" t="n"/>
      <c r="CW53" s="2" t="n"/>
      <c r="CX53" s="2" t="n"/>
      <c r="CY53" s="2" t="n"/>
      <c r="CZ53" s="2" t="n"/>
      <c r="DA53" s="2" t="n"/>
      <c r="DB53" s="2" t="n"/>
      <c r="DC53" s="2" t="n"/>
      <c r="DD53" s="2" t="n"/>
      <c r="DE53" s="2" t="n"/>
    </row>
    <row r="54">
      <c r="A54" s="2" t="inlineStr">
        <is>
          <t>issue_876</t>
        </is>
      </c>
      <c r="B54" s="3" t="inlineStr">
        <is>
          <t>NOT_TESTED</t>
        </is>
      </c>
      <c r="C54" s="3" t="inlineStr">
        <is>
          <t>NOT_TESTED</t>
        </is>
      </c>
      <c r="D54" s="3" t="inlineStr">
        <is>
          <t>NOT_TESTED</t>
        </is>
      </c>
      <c r="E54" s="3" t="inlineStr">
        <is>
          <t>NOT_TESTED</t>
        </is>
      </c>
      <c r="F54" s="3" t="inlineStr">
        <is>
          <t>NOT_TESTED</t>
        </is>
      </c>
      <c r="G54" s="3" t="inlineStr">
        <is>
          <t>NOT_TESTED</t>
        </is>
      </c>
      <c r="H54" s="3" t="inlineStr">
        <is>
          <t>NOT_TESTED</t>
        </is>
      </c>
      <c r="I54" s="3" t="inlineStr">
        <is>
          <t>NOT_TESTED</t>
        </is>
      </c>
      <c r="J54" s="3" t="inlineStr">
        <is>
          <t>NOT_TESTED</t>
        </is>
      </c>
      <c r="K54" s="3" t="inlineStr">
        <is>
          <t>NOT_TESTED</t>
        </is>
      </c>
      <c r="L54" s="3" t="inlineStr">
        <is>
          <t>NOT_TESTED</t>
        </is>
      </c>
      <c r="M54" s="3" t="inlineStr">
        <is>
          <t>NOT_TESTED</t>
        </is>
      </c>
      <c r="N54" s="6" t="inlineStr">
        <is>
          <t>Passed on test</t>
        </is>
      </c>
      <c r="O54" s="6" t="inlineStr">
        <is>
          <t>Passed on test</t>
        </is>
      </c>
      <c r="P54" s="6" t="inlineStr">
        <is>
          <t>Passed on test</t>
        </is>
      </c>
      <c r="Q54" s="6" t="inlineStr">
        <is>
          <t>Passed on test</t>
        </is>
      </c>
      <c r="R54" s="6" t="inlineStr">
        <is>
          <t>Passed on test</t>
        </is>
      </c>
      <c r="S54" s="6" t="inlineStr">
        <is>
          <t>Passed on test</t>
        </is>
      </c>
      <c r="T54" s="6" t="inlineStr">
        <is>
          <t>Passed on test</t>
        </is>
      </c>
      <c r="U54" s="6" t="inlineStr">
        <is>
          <t>Passed on test</t>
        </is>
      </c>
      <c r="V54" s="6" t="inlineStr">
        <is>
          <t>Passed on test</t>
        </is>
      </c>
      <c r="W54" s="6" t="inlineStr">
        <is>
          <t>Passed on test</t>
        </is>
      </c>
      <c r="X54" s="6" t="inlineStr">
        <is>
          <t>Passed on test</t>
        </is>
      </c>
      <c r="Y54" s="6" t="inlineStr">
        <is>
          <t>Passed on test</t>
        </is>
      </c>
      <c r="Z54" s="6" t="inlineStr">
        <is>
          <t>Passed on test</t>
        </is>
      </c>
      <c r="AA54" s="6" t="inlineStr">
        <is>
          <t>Passed on test</t>
        </is>
      </c>
      <c r="AB54" s="6" t="inlineStr">
        <is>
          <t>Passed on test</t>
        </is>
      </c>
      <c r="AC54" s="2" t="n"/>
      <c r="AD54" s="2" t="n"/>
      <c r="AE54" s="2" t="n"/>
      <c r="AF54" s="2" t="n"/>
      <c r="AG54" s="2" t="n"/>
      <c r="AH54" s="2" t="n"/>
      <c r="AI54" s="2" t="n"/>
      <c r="AJ54" s="2" t="n"/>
      <c r="AK54" s="2" t="n"/>
      <c r="AL54" s="2" t="n"/>
      <c r="AM54" s="2" t="n"/>
      <c r="AN54" s="2" t="n"/>
      <c r="AO54" s="2" t="n"/>
      <c r="AP54" s="2" t="n"/>
      <c r="AQ54" s="2" t="n"/>
      <c r="AR54" s="2" t="n"/>
      <c r="AS54" s="2" t="n"/>
      <c r="AT54" s="2" t="n"/>
      <c r="AU54" s="2" t="n"/>
      <c r="AV54" s="2" t="n"/>
      <c r="AW54" s="2" t="n"/>
      <c r="AX54" s="2" t="n"/>
      <c r="AY54" s="2" t="n"/>
      <c r="AZ54" s="2" t="n"/>
      <c r="BA54" s="2" t="n"/>
      <c r="BB54" s="2" t="n"/>
      <c r="BC54" s="2" t="n"/>
      <c r="BD54" s="2" t="n"/>
      <c r="BE54" s="2" t="n"/>
      <c r="BF54" s="2" t="n"/>
      <c r="BG54" s="2" t="n"/>
      <c r="BH54" s="2" t="n"/>
      <c r="BI54" s="2" t="n"/>
      <c r="BJ54" s="2" t="n"/>
      <c r="BK54" s="2" t="n"/>
      <c r="BL54" s="2" t="n"/>
      <c r="BM54" s="2" t="n"/>
      <c r="BN54" s="2" t="n"/>
      <c r="BO54" s="2" t="inlineStr">
        <is>
          <t>The LLM switched to AerSimulator.from_backend(FakeBrisbane, method='density_matrix') and saved the density matrix of the logical qubits, which addresses the noise question, and the script runs; but it stores the result in statevector_real, and the test reads the reference's variable rho_real (KeyError). No updated test exists for this case.</t>
        </is>
      </c>
      <c r="BP54" s="2" t="n"/>
      <c r="BQ54" s="2" t="n"/>
      <c r="BR54" s="2" t="inlineStr">
        <is>
          <t>The LLM switched to AerSimulator.from_backend(FakeBrisbane, method='density_matrix') and saved the density matrix of the logical qubits, which addresses the noise question, and the script runs; but it stores the result in statevector_real, and the test reads the reference's variable rho_real (KeyError). No updated test exists for this case.</t>
        </is>
      </c>
      <c r="BS54" s="2" t="n"/>
      <c r="BT54" s="2" t="n"/>
      <c r="BU54" s="2" t="inlineStr">
        <is>
          <t>The LLM switched to AerSimulator.from_backend(FakeBrisbane, method='density_matrix') and saved the density matrix of the logical qubits, which addresses the noise question, and the script runs; but it stores the result in statevector_real, and the test reads the reference's variable rho_real (KeyError). No updated test exists for this case.</t>
        </is>
      </c>
      <c r="BV54" s="2" t="n"/>
      <c r="BW54" s="2" t="n"/>
      <c r="BX54" s="2" t="inlineStr">
        <is>
          <t>The LLM switched to AerSimulator.from_backend(FakeBrisbane, method='density_matrix') and saved the density matrix of the logical qubits, which addresses the noise question, and the script runs; but it stores the result in statevector_real, and the test reads the reference's variable rho_real (KeyError). No updated test exists for this case.</t>
        </is>
      </c>
      <c r="BY54" s="2" t="n"/>
      <c r="BZ54" s="2" t="n"/>
      <c r="CA54" s="2" t="inlineStr">
        <is>
          <t>The LLM switched to AerSimulator.from_backend(FakeBrisbane, method='density_matrix') and saved the density matrix of the logical qubits, which addresses the noise question, and the script runs; but it stores the result in statevector_real, and the test reads the reference's variable rho_real (KeyError). No updated test exists for this case.</t>
        </is>
      </c>
      <c r="CB54" s="2" t="n"/>
      <c r="CC54" s="2" t="n"/>
      <c r="CD54" s="2" t="inlineStr">
        <is>
          <t>The LLM switched to AerSimulator.from_backend(FakeBrisbane, method='density_matrix') and saved the density matrix of the logical qubits, which addresses the noise question, and the script runs; but it stores the result in statevector_real, and the test reads the reference's variable rho_real (KeyError). No updated test exists for this case.</t>
        </is>
      </c>
      <c r="CE54" s="2" t="n"/>
      <c r="CF54" s="2" t="n"/>
      <c r="CG54" s="2" t="inlineStr">
        <is>
          <t>The LLM switched to AerSimulator.from_backend(FakeBrisbane, method='density_matrix') and saved the density matrix of the logical qubits, which addresses the noise question, and the script runs; but it stores the result in statevector_real, and the test reads the reference's variable rho_real (KeyError). No updated test exists for this case.</t>
        </is>
      </c>
      <c r="CH54" s="2" t="n"/>
      <c r="CI54" s="2" t="n"/>
      <c r="CJ54" s="2" t="inlineStr">
        <is>
          <t>The LLM switched to AerSimulator.from_backend(FakeBrisbane, method='density_matrix') and saved the density matrix of the logical qubits, which addresses the noise question, and the script runs; but it stores the result in statevector_real, and the test reads the reference's variable rho_real (KeyError). No updated test exists for this case.</t>
        </is>
      </c>
      <c r="CK54" s="2" t="n"/>
      <c r="CL54" s="2" t="n"/>
      <c r="CM54" s="2" t="inlineStr">
        <is>
          <t>The LLM switched to AerSimulator.from_backend(FakeBrisbane, method='density_matrix') and saved the density matrix of the logical qubits, which addresses the noise question, and the script runs; but it stores the result in statevector_real, and the test reads the reference's variable rho_real (KeyError). No updated test exists for this case.</t>
        </is>
      </c>
      <c r="CN54" s="2" t="n"/>
      <c r="CO54" s="2" t="n"/>
      <c r="CP54" s="2" t="inlineStr">
        <is>
          <t>The LLM switched to AerSimulator.from_backend(FakeBrisbane, method='density_matrix') and saved the density matrix of the logical qubits, which addresses the noise question, and the script runs; but it stores the result in statevector_real, and the test reads the reference's variable rho_real (KeyError). No updated test exists for this case.</t>
        </is>
      </c>
      <c r="CQ54" s="2" t="n"/>
      <c r="CR54" s="2" t="n"/>
      <c r="CS54" s="2" t="inlineStr">
        <is>
          <t>The LLM switched to AerSimulator.from_backend(FakeBrisbane, method='density_matrix') and saved the density matrix of the logical qubits, which addresses the noise question, and the script runs; but it stores the result in statevector_real, and the test reads the reference's variable rho_real (KeyError). No updated test exists for this case.</t>
        </is>
      </c>
      <c r="CT54" s="2" t="n"/>
      <c r="CU54" s="2" t="n"/>
      <c r="CV54" s="2" t="inlineStr">
        <is>
          <t>The LLM switched to AerSimulator.from_backend(FakeBrisbane, method='density_matrix') and saved the density matrix of the logical qubits, which addresses the noise question, and the script runs; but it stores the result in statevector_real, and the test reads the reference's variable rho_real (KeyError). No updated test exists for this case.</t>
        </is>
      </c>
      <c r="CW54" s="2" t="n"/>
      <c r="CX54" s="2" t="n"/>
      <c r="CY54" s="2" t="inlineStr">
        <is>
          <t>The LLM switched to AerSimulator.from_backend(FakeBrisbane, method='density_matrix') and saved the density matrix of the logical qubits, which addresses the noise question, and the script runs; but it stores the result in statevector_real, and the test reads the reference's variable rho_real (KeyError). No updated test exists for this case.</t>
        </is>
      </c>
      <c r="CZ54" s="2" t="n"/>
      <c r="DA54" s="2" t="n"/>
      <c r="DB54" s="2" t="inlineStr">
        <is>
          <t>The LLM switched to AerSimulator.from_backend(FakeBrisbane, method='density_matrix') and saved the density matrix of the logical qubits, which addresses the noise question, and the script runs; but it stores the result in statevector_real, and the test reads the reference's variable rho_real (KeyError). No updated test exists for this case.</t>
        </is>
      </c>
      <c r="DC54" s="2" t="n"/>
      <c r="DD54" s="2" t="n"/>
      <c r="DE54" s="2" t="inlineStr">
        <is>
          <t>The LLM switched to AerSimulator.from_backend(FakeBrisbane, method='density_matrix') and saved the density matrix of the logical qubits, which addresses the noise question, and the script runs; but it stores the result in statevector_real, and the test reads the reference's variable rho_real (KeyError). No updated test exists for this case.</t>
        </is>
      </c>
    </row>
    <row r="55">
      <c r="A55" s="2" t="inlineStr">
        <is>
          <t>issue_877</t>
        </is>
      </c>
      <c r="B55" s="3" t="inlineStr">
        <is>
          <t>NOT_TESTED</t>
        </is>
      </c>
      <c r="C55" s="3" t="inlineStr">
        <is>
          <t>NOT_TESTED</t>
        </is>
      </c>
      <c r="D55" s="3" t="inlineStr">
        <is>
          <t>NOT_TESTED</t>
        </is>
      </c>
      <c r="E55" s="3" t="inlineStr">
        <is>
          <t>NOT_TESTED</t>
        </is>
      </c>
      <c r="F55" s="6" t="inlineStr">
        <is>
          <t>Runtime error</t>
        </is>
      </c>
      <c r="G55" s="6" t="inlineStr">
        <is>
          <t>Runtime error</t>
        </is>
      </c>
      <c r="H55" s="6" t="inlineStr">
        <is>
          <t>Runtime error</t>
        </is>
      </c>
      <c r="I55" s="6" t="inlineStr">
        <is>
          <t>Runtime error</t>
        </is>
      </c>
      <c r="J55" s="6" t="inlineStr">
        <is>
          <t>Runtime error</t>
        </is>
      </c>
      <c r="K55" s="6" t="inlineStr">
        <is>
          <t>Runtime error</t>
        </is>
      </c>
      <c r="L55" s="6" t="inlineStr">
        <is>
          <t>Runtime error</t>
        </is>
      </c>
      <c r="M55" s="6" t="inlineStr">
        <is>
          <t>Runtime error</t>
        </is>
      </c>
      <c r="N55" s="3" t="inlineStr">
        <is>
          <t>NOT_TESTED</t>
        </is>
      </c>
      <c r="O55" s="3" t="inlineStr">
        <is>
          <t>NOT_TESTED</t>
        </is>
      </c>
      <c r="P55" s="3" t="inlineStr">
        <is>
          <t>NOT_TESTED</t>
        </is>
      </c>
      <c r="Q55" s="3" t="inlineStr">
        <is>
          <t>NOT_TESTED</t>
        </is>
      </c>
      <c r="R55" s="3" t="inlineStr">
        <is>
          <t>NOT_TESTED</t>
        </is>
      </c>
      <c r="S55" s="3" t="inlineStr">
        <is>
          <t>NOT_TESTED</t>
        </is>
      </c>
      <c r="T55" s="3" t="inlineStr">
        <is>
          <t>NOT_TESTED</t>
        </is>
      </c>
      <c r="U55" s="3" t="inlineStr">
        <is>
          <t>NOT_TESTED</t>
        </is>
      </c>
      <c r="V55" s="3" t="inlineStr">
        <is>
          <t>NOT_TESTED</t>
        </is>
      </c>
      <c r="W55" s="3" t="inlineStr">
        <is>
          <t>NOT_TESTED</t>
        </is>
      </c>
      <c r="X55" s="3" t="inlineStr">
        <is>
          <t>NOT_TESTED</t>
        </is>
      </c>
      <c r="Y55" s="3" t="inlineStr">
        <is>
          <t>NOT_TESTED</t>
        </is>
      </c>
      <c r="Z55" s="3" t="inlineStr">
        <is>
          <t>NOT_TESTED</t>
        </is>
      </c>
      <c r="AA55" s="3" t="inlineStr">
        <is>
          <t>NOT_TESTED</t>
        </is>
      </c>
      <c r="AB55" s="3" t="inlineStr">
        <is>
          <t>NOT_TESTED</t>
        </is>
      </c>
      <c r="AC55" s="2" t="n"/>
      <c r="AD55" s="2" t="n"/>
      <c r="AE55" s="2" t="n"/>
      <c r="AF55" s="2" t="n"/>
      <c r="AG55" s="2" t="n"/>
      <c r="AH55" s="2" t="n"/>
      <c r="AI55" s="2" t="n"/>
      <c r="AJ55" s="2" t="n"/>
      <c r="AK55" s="2" t="n"/>
      <c r="AL55" s="2" t="n"/>
      <c r="AM55" s="2" t="n"/>
      <c r="AN55" s="2" t="n"/>
      <c r="AO55" s="2" t="inlineStr">
        <is>
          <t>ModuleNotFoundError</t>
        </is>
      </c>
      <c r="AP55" s="2" t="inlineStr">
        <is>
          <t>ModuleNotFoundError: No module named 'qiskit_ibm_runtime'</t>
        </is>
      </c>
      <c r="AQ55" s="2" t="inlineStr">
        <is>
          <t>The LLM defined the missing backend as FakeWashingtonV2 from qiskit_ibm_runtime.fake_provider, but qiskit_ibm_runtime isn't installed for Qiskit 0.45 / 0.46 (ModuleNotFoundError). gpt-6-luna used the bundled FakeMontreal snapshot and passed.</t>
        </is>
      </c>
      <c r="AR55" s="2" t="inlineStr">
        <is>
          <t>ModuleNotFoundError</t>
        </is>
      </c>
      <c r="AS55" s="2" t="inlineStr">
        <is>
          <t>ModuleNotFoundError: No module named 'qiskit_ibm_runtime'</t>
        </is>
      </c>
      <c r="AT55" s="2" t="inlineStr">
        <is>
          <t>The LLM defined the missing backend as FakeWashingtonV2 from qiskit_ibm_runtime.fake_provider, but qiskit_ibm_runtime isn't installed for Qiskit 0.45 / 0.46 (ModuleNotFoundError). gpt-6-luna used the bundled FakeMontreal snapshot and passed.</t>
        </is>
      </c>
      <c r="AU55" s="2" t="inlineStr">
        <is>
          <t>ModuleNotFoundError</t>
        </is>
      </c>
      <c r="AV55" s="2" t="inlineStr">
        <is>
          <t>ModuleNotFoundError: No module named 'qiskit_ibm_runtime'</t>
        </is>
      </c>
      <c r="AW55" s="2" t="inlineStr">
        <is>
          <t>The LLM defined the missing backend as FakeWashingtonV2 from qiskit_ibm_runtime.fake_provider, but qiskit_ibm_runtime isn't installed for Qiskit 0.45 / 0.46 (ModuleNotFoundError). gpt-6-luna used the bundled FakeMontreal snapshot and passed.</t>
        </is>
      </c>
      <c r="AX55" s="2" t="inlineStr">
        <is>
          <t>ModuleNotFoundError</t>
        </is>
      </c>
      <c r="AY55" s="2" t="inlineStr">
        <is>
          <t>ModuleNotFoundError: No module named 'qiskit_ibm_runtime'</t>
        </is>
      </c>
      <c r="AZ55" s="2" t="inlineStr">
        <is>
          <t>The LLM defined the missing backend as FakeWashingtonV2 from qiskit_ibm_runtime.fake_provider, but qiskit_ibm_runtime isn't installed for Qiskit 0.45 / 0.46 (ModuleNotFoundError). gpt-6-luna used the bundled FakeMontreal snapshot and passed.</t>
        </is>
      </c>
      <c r="BA55" s="2" t="inlineStr">
        <is>
          <t>ModuleNotFoundError</t>
        </is>
      </c>
      <c r="BB55" s="2" t="inlineStr">
        <is>
          <t>ModuleNotFoundError: No module named 'qiskit_ibm_runtime'</t>
        </is>
      </c>
      <c r="BC55" s="2" t="inlineStr">
        <is>
          <t>The LLM defined the missing backend as FakeWashingtonV2 from qiskit_ibm_runtime.fake_provider, but qiskit_ibm_runtime isn't installed for Qiskit 0.45 / 0.46 (ModuleNotFoundError). gpt-6-luna used the bundled FakeMontreal snapshot and passed.</t>
        </is>
      </c>
      <c r="BD55" s="2" t="inlineStr">
        <is>
          <t>ModuleNotFoundError</t>
        </is>
      </c>
      <c r="BE55" s="2" t="inlineStr">
        <is>
          <t>ModuleNotFoundError: No module named 'qiskit_ibm_runtime'</t>
        </is>
      </c>
      <c r="BF55" s="2" t="inlineStr">
        <is>
          <t>The LLM defined the missing backend as FakeWashingtonV2 from qiskit_ibm_runtime.fake_provider, but qiskit_ibm_runtime isn't installed for Qiskit 0.45 / 0.46 (ModuleNotFoundError). gpt-6-luna used the bundled FakeMontreal snapshot and passed.</t>
        </is>
      </c>
      <c r="BG55" s="2" t="inlineStr">
        <is>
          <t>ModuleNotFoundError</t>
        </is>
      </c>
      <c r="BH55" s="2" t="inlineStr">
        <is>
          <t>ModuleNotFoundError: No module named 'qiskit_ibm_runtime'</t>
        </is>
      </c>
      <c r="BI55" s="2" t="inlineStr">
        <is>
          <t>The LLM defined the missing backend as FakeWashingtonV2 from qiskit_ibm_runtime.fake_provider, but qiskit_ibm_runtime isn't installed for Qiskit 0.45 / 0.46 (ModuleNotFoundError). gpt-6-luna used the bundled FakeMontreal snapshot and passed.</t>
        </is>
      </c>
      <c r="BJ55" s="2" t="inlineStr">
        <is>
          <t>ModuleNotFoundError</t>
        </is>
      </c>
      <c r="BK55" s="2" t="inlineStr">
        <is>
          <t>ModuleNotFoundError: No module named 'qiskit_ibm_runtime'</t>
        </is>
      </c>
      <c r="BL55" s="2" t="inlineStr">
        <is>
          <t>The LLM defined the missing backend as FakeWashingtonV2 from qiskit_ibm_runtime.fake_provider, but qiskit_ibm_runtime isn't installed for Qiskit 0.45 / 0.46 (ModuleNotFoundError). gpt-6-luna used the bundled FakeMontreal snapshot and passed.</t>
        </is>
      </c>
      <c r="BM55" s="2" t="n"/>
      <c r="BN55" s="2" t="n"/>
      <c r="BO55" s="2" t="n"/>
      <c r="BP55" s="2" t="n"/>
      <c r="BQ55" s="2" t="n"/>
      <c r="BR55" s="2" t="n"/>
      <c r="BS55" s="2" t="n"/>
      <c r="BT55" s="2" t="n"/>
      <c r="BU55" s="2" t="n"/>
      <c r="BV55" s="2" t="n"/>
      <c r="BW55" s="2" t="n"/>
      <c r="BX55" s="2" t="n"/>
      <c r="BY55" s="2" t="n"/>
      <c r="BZ55" s="2" t="n"/>
      <c r="CA55" s="2" t="n"/>
      <c r="CB55" s="2" t="n"/>
      <c r="CC55" s="2" t="n"/>
      <c r="CD55" s="2" t="n"/>
      <c r="CE55" s="2" t="n"/>
      <c r="CF55" s="2" t="n"/>
      <c r="CG55" s="2" t="n"/>
      <c r="CH55" s="2" t="n"/>
      <c r="CI55" s="2" t="n"/>
      <c r="CJ55" s="2" t="n"/>
      <c r="CK55" s="2" t="n"/>
      <c r="CL55" s="2" t="n"/>
      <c r="CM55" s="2" t="n"/>
      <c r="CN55" s="2" t="n"/>
      <c r="CO55" s="2" t="n"/>
      <c r="CP55" s="2" t="n"/>
      <c r="CQ55" s="2" t="n"/>
      <c r="CR55" s="2" t="n"/>
      <c r="CS55" s="2" t="n"/>
      <c r="CT55" s="2" t="n"/>
      <c r="CU55" s="2" t="n"/>
      <c r="CV55" s="2" t="n"/>
      <c r="CW55" s="2" t="n"/>
      <c r="CX55" s="2" t="n"/>
      <c r="CY55" s="2" t="n"/>
      <c r="CZ55" s="2" t="n"/>
      <c r="DA55" s="2" t="n"/>
      <c r="DB55" s="2" t="n"/>
      <c r="DC55" s="2" t="n"/>
      <c r="DD55" s="2" t="n"/>
      <c r="DE55" s="2" t="n"/>
    </row>
    <row r="56">
      <c r="A56" s="2" t="inlineStr">
        <is>
          <t>issue_886</t>
        </is>
      </c>
      <c r="B56" s="3" t="inlineStr">
        <is>
          <t>NOT_TESTED</t>
        </is>
      </c>
      <c r="C56" s="3" t="inlineStr">
        <is>
          <t>NOT_TESTED</t>
        </is>
      </c>
      <c r="D56" s="3" t="inlineStr">
        <is>
          <t>NOT_TESTED</t>
        </is>
      </c>
      <c r="E56" s="3" t="inlineStr">
        <is>
          <t>NOT_TESTED</t>
        </is>
      </c>
      <c r="F56" s="4" t="inlineStr">
        <is>
          <t>Failed on test</t>
        </is>
      </c>
      <c r="G56" s="4" t="inlineStr">
        <is>
          <t>Failed on test</t>
        </is>
      </c>
      <c r="H56" s="3" t="inlineStr">
        <is>
          <t>NOT_TESTED</t>
        </is>
      </c>
      <c r="I56" s="3" t="inlineStr">
        <is>
          <t>NOT_TESTED</t>
        </is>
      </c>
      <c r="J56" s="3" t="inlineStr">
        <is>
          <t>NOT_TESTED</t>
        </is>
      </c>
      <c r="K56" s="3" t="inlineStr">
        <is>
          <t>NOT_TESTED</t>
        </is>
      </c>
      <c r="L56" s="3" t="inlineStr">
        <is>
          <t>NOT_TESTED</t>
        </is>
      </c>
      <c r="M56" s="3" t="inlineStr">
        <is>
          <t>NOT_TESTED</t>
        </is>
      </c>
      <c r="N56" s="3" t="inlineStr">
        <is>
          <t>NOT_TESTED</t>
        </is>
      </c>
      <c r="O56" s="3" t="inlineStr">
        <is>
          <t>NOT_TESTED</t>
        </is>
      </c>
      <c r="P56" s="3" t="inlineStr">
        <is>
          <t>NOT_TESTED</t>
        </is>
      </c>
      <c r="Q56" s="3" t="inlineStr">
        <is>
          <t>NOT_TESTED</t>
        </is>
      </c>
      <c r="R56" s="3" t="inlineStr">
        <is>
          <t>NOT_TESTED</t>
        </is>
      </c>
      <c r="S56" s="3" t="inlineStr">
        <is>
          <t>NOT_TESTED</t>
        </is>
      </c>
      <c r="T56" s="3" t="inlineStr">
        <is>
          <t>NOT_TESTED</t>
        </is>
      </c>
      <c r="U56" s="3" t="inlineStr">
        <is>
          <t>NOT_TESTED</t>
        </is>
      </c>
      <c r="V56" s="3" t="inlineStr">
        <is>
          <t>NOT_TESTED</t>
        </is>
      </c>
      <c r="W56" s="3" t="inlineStr">
        <is>
          <t>NOT_TESTED</t>
        </is>
      </c>
      <c r="X56" s="3" t="inlineStr">
        <is>
          <t>NOT_TESTED</t>
        </is>
      </c>
      <c r="Y56" s="3" t="inlineStr">
        <is>
          <t>NOT_TESTED</t>
        </is>
      </c>
      <c r="Z56" s="3" t="inlineStr">
        <is>
          <t>NOT_TESTED</t>
        </is>
      </c>
      <c r="AA56" s="3" t="inlineStr">
        <is>
          <t>NOT_TESTED</t>
        </is>
      </c>
      <c r="AB56" s="3" t="inlineStr">
        <is>
          <t>NOT_TESTED</t>
        </is>
      </c>
      <c r="AC56" s="2" t="n"/>
      <c r="AD56" s="2" t="n"/>
      <c r="AE56" s="2" t="n"/>
      <c r="AF56" s="2" t="n"/>
      <c r="AG56" s="2" t="n"/>
      <c r="AH56" s="2" t="n"/>
      <c r="AI56" s="2" t="n"/>
      <c r="AJ56" s="2" t="n"/>
      <c r="AK56" s="2" t="n"/>
      <c r="AL56" s="2" t="n"/>
      <c r="AM56" s="2" t="n"/>
      <c r="AN56" s="2" t="n"/>
      <c r="AO56" s="2" t="inlineStr">
        <is>
          <t>KeyError</t>
        </is>
      </c>
      <c r="AP56" s="2" t="inlineStr">
        <is>
          <t>KeyError: 'transpile_circ'; AssertionError: {'00 00': 1024} != {'00': 1024}</t>
        </is>
      </c>
      <c r="AQ56" s="2" t="n"/>
      <c r="AR56" s="2" t="inlineStr">
        <is>
          <t>KeyError</t>
        </is>
      </c>
      <c r="AS56" s="2" t="inlineStr">
        <is>
          <t>KeyError: 'transpile_circ'; AssertionError: {'00 00': 1024} != {'00': 1024}</t>
        </is>
      </c>
      <c r="AT56" s="2" t="n"/>
      <c r="AU56" s="2" t="n"/>
      <c r="AV56" s="2" t="n"/>
      <c r="AW56" s="2" t="n"/>
      <c r="AX56" s="2" t="n"/>
      <c r="AY56" s="2" t="n"/>
      <c r="AZ56" s="2" t="n"/>
      <c r="BA56" s="2" t="n"/>
      <c r="BB56" s="2" t="n"/>
      <c r="BC56" s="2" t="n"/>
      <c r="BD56" s="2" t="n"/>
      <c r="BE56" s="2" t="n"/>
      <c r="BF56" s="2" t="n"/>
      <c r="BG56" s="2" t="n"/>
      <c r="BH56" s="2" t="n"/>
      <c r="BI56" s="2" t="n"/>
      <c r="BJ56" s="2" t="n"/>
      <c r="BK56" s="2" t="n"/>
      <c r="BL56" s="2" t="n"/>
      <c r="BM56" s="2" t="n"/>
      <c r="BN56" s="2" t="n"/>
      <c r="BO56" s="2" t="n"/>
      <c r="BP56" s="2" t="n"/>
      <c r="BQ56" s="2" t="n"/>
      <c r="BR56" s="2" t="n"/>
      <c r="BS56" s="2" t="n"/>
      <c r="BT56" s="2" t="n"/>
      <c r="BU56" s="2" t="n"/>
      <c r="BV56" s="2" t="n"/>
      <c r="BW56" s="2" t="n"/>
      <c r="BX56" s="2" t="n"/>
      <c r="BY56" s="2" t="n"/>
      <c r="BZ56" s="2" t="n"/>
      <c r="CA56" s="2" t="n"/>
      <c r="CB56" s="2" t="n"/>
      <c r="CC56" s="2" t="n"/>
      <c r="CD56" s="2" t="n"/>
      <c r="CE56" s="2" t="n"/>
      <c r="CF56" s="2" t="n"/>
      <c r="CG56" s="2" t="n"/>
      <c r="CH56" s="2" t="n"/>
      <c r="CI56" s="2" t="n"/>
      <c r="CJ56" s="2" t="n"/>
      <c r="CK56" s="2" t="n"/>
      <c r="CL56" s="2" t="n"/>
      <c r="CM56" s="2" t="n"/>
      <c r="CN56" s="2" t="n"/>
      <c r="CO56" s="2" t="n"/>
      <c r="CP56" s="2" t="n"/>
      <c r="CQ56" s="2" t="n"/>
      <c r="CR56" s="2" t="n"/>
      <c r="CS56" s="2" t="n"/>
      <c r="CT56" s="2" t="n"/>
      <c r="CU56" s="2" t="n"/>
      <c r="CV56" s="2" t="n"/>
      <c r="CW56" s="2" t="n"/>
      <c r="CX56" s="2" t="n"/>
      <c r="CY56" s="2" t="n"/>
      <c r="CZ56" s="2" t="n"/>
      <c r="DA56" s="2" t="n"/>
      <c r="DB56" s="2" t="n"/>
      <c r="DC56" s="2" t="n"/>
      <c r="DD56" s="2" t="n"/>
      <c r="DE56" s="2" t="n"/>
    </row>
    <row r="57">
      <c r="A57" s="2" t="inlineStr">
        <is>
          <t>issue_889</t>
        </is>
      </c>
      <c r="B57" s="6" t="inlineStr">
        <is>
          <t>Runtime error</t>
        </is>
      </c>
      <c r="C57" s="6" t="inlineStr">
        <is>
          <t>Runtime error</t>
        </is>
      </c>
      <c r="D57" s="6" t="inlineStr">
        <is>
          <t>Runtime error</t>
        </is>
      </c>
      <c r="E57" s="6" t="inlineStr">
        <is>
          <t>Runtime error</t>
        </is>
      </c>
      <c r="F57" s="5" t="inlineStr">
        <is>
          <t>Failed on test</t>
        </is>
      </c>
      <c r="G57" s="5" t="inlineStr">
        <is>
          <t>Failed on test</t>
        </is>
      </c>
      <c r="H57" s="5" t="inlineStr">
        <is>
          <t>Failed on test</t>
        </is>
      </c>
      <c r="I57" s="5" t="inlineStr">
        <is>
          <t>Failed on test</t>
        </is>
      </c>
      <c r="J57" s="5" t="inlineStr">
        <is>
          <t>Failed on test</t>
        </is>
      </c>
      <c r="K57" s="5" t="inlineStr">
        <is>
          <t>Failed on test</t>
        </is>
      </c>
      <c r="L57" s="5" t="inlineStr">
        <is>
          <t>Failed on test</t>
        </is>
      </c>
      <c r="M57" s="5" t="inlineStr">
        <is>
          <t>Failed on test</t>
        </is>
      </c>
      <c r="N57" s="3" t="inlineStr">
        <is>
          <t>NOT_TESTED</t>
        </is>
      </c>
      <c r="O57" s="3" t="inlineStr">
        <is>
          <t>NOT_TESTED</t>
        </is>
      </c>
      <c r="P57" s="3" t="inlineStr">
        <is>
          <t>NOT_TESTED</t>
        </is>
      </c>
      <c r="Q57" s="3" t="inlineStr">
        <is>
          <t>NOT_TESTED</t>
        </is>
      </c>
      <c r="R57" s="3" t="inlineStr">
        <is>
          <t>NOT_TESTED</t>
        </is>
      </c>
      <c r="S57" s="3" t="inlineStr">
        <is>
          <t>NOT_TESTED</t>
        </is>
      </c>
      <c r="T57" s="3" t="inlineStr">
        <is>
          <t>NOT_TESTED</t>
        </is>
      </c>
      <c r="U57" s="3" t="inlineStr">
        <is>
          <t>NOT_TESTED</t>
        </is>
      </c>
      <c r="V57" s="3" t="inlineStr">
        <is>
          <t>NOT_TESTED</t>
        </is>
      </c>
      <c r="W57" s="3" t="inlineStr">
        <is>
          <t>NOT_TESTED</t>
        </is>
      </c>
      <c r="X57" s="3" t="inlineStr">
        <is>
          <t>NOT_TESTED</t>
        </is>
      </c>
      <c r="Y57" s="3" t="inlineStr">
        <is>
          <t>NOT_TESTED</t>
        </is>
      </c>
      <c r="Z57" s="3" t="inlineStr">
        <is>
          <t>NOT_TESTED</t>
        </is>
      </c>
      <c r="AA57" s="3" t="inlineStr">
        <is>
          <t>NOT_TESTED</t>
        </is>
      </c>
      <c r="AB57" s="3" t="inlineStr">
        <is>
          <t>NOT_TESTED</t>
        </is>
      </c>
      <c r="AC57" s="2" t="inlineStr">
        <is>
          <t>ImportError</t>
        </is>
      </c>
      <c r="AD57" s="2" t="inlineStr">
        <is>
          <t>ImportError: cannot import name 'PauliEvolutionGate' from 'qiskit.circuit.library' (C:\qiskit_envs\q0250\lib\site-packages\qiskit\circuit\library\__init__.py)</t>
        </is>
      </c>
      <c r="AE57" s="2" t="inlineStr">
        <is>
          <t>Error on 0.25.x, failed on 0.45.x / 0.46.x: the LLM rewrote the Hamiltonian (number operator (I - Z) / 2 and XX + YY hopping with a Jordan-Wigner string) and evolved it with PauliEvolutionGate; PauliEvolutionGate doesn't exist in Qiskit 0.25 (ImportError), and on 0.45 / 0.46 the changed Hamiltonian no longer matches the one in the question. Similar to gpt-6-luna.</t>
        </is>
      </c>
      <c r="AF57" s="2" t="inlineStr">
        <is>
          <t>ImportError</t>
        </is>
      </c>
      <c r="AG57" s="2" t="inlineStr">
        <is>
          <t>ImportError: cannot import name 'PauliEvolutionGate' from 'qiskit.circuit.library' (C:\qiskit_envs\q0251\lib\site-packages\qiskit\circuit\library\__init__.py)</t>
        </is>
      </c>
      <c r="AH57" s="2" t="inlineStr">
        <is>
          <t>Error on 0.25.x, failed on 0.45.x / 0.46.x: the LLM rewrote the Hamiltonian (number operator (I - Z) / 2 and XX + YY hopping with a Jordan-Wigner string) and evolved it with PauliEvolutionGate; PauliEvolutionGate doesn't exist in Qiskit 0.25 (ImportError), and on 0.45 / 0.46 the changed Hamiltonian no longer matches the one in the question. Similar to gpt-6-luna.</t>
        </is>
      </c>
      <c r="AI57" s="2" t="inlineStr">
        <is>
          <t>ImportError</t>
        </is>
      </c>
      <c r="AJ57" s="2" t="inlineStr">
        <is>
          <t>ImportError: cannot import name 'PauliEvolutionGate' from 'qiskit.circuit.library' (C:\qiskit_envs\q0252\lib\site-packages\qiskit\circuit\library\__init__.py)</t>
        </is>
      </c>
      <c r="AK57" s="2" t="inlineStr">
        <is>
          <t>Error on 0.25.x, failed on 0.45.x / 0.46.x: the LLM rewrote the Hamiltonian (number operator (I - Z) / 2 and XX + YY hopping with a Jordan-Wigner string) and evolved it with PauliEvolutionGate; PauliEvolutionGate doesn't exist in Qiskit 0.25 (ImportError), and on 0.45 / 0.46 the changed Hamiltonian no longer matches the one in the question. Similar to gpt-6-luna.</t>
        </is>
      </c>
      <c r="AL57" s="2" t="inlineStr">
        <is>
          <t>ImportError</t>
        </is>
      </c>
      <c r="AM57" s="2" t="inlineStr">
        <is>
          <t>ImportError: cannot import name 'PauliEvolutionGate' from 'qiskit.circuit.library' (C:\qiskit_envs\q0253\lib\site-packages\qiskit\circuit\library\__init__.py)</t>
        </is>
      </c>
      <c r="AN57" s="2" t="inlineStr">
        <is>
          <t>Error on 0.25.x, failed on 0.45.x / 0.46.x: the LLM rewrote the Hamiltonian (number operator (I - Z) / 2 and XX + YY hopping with a Jordan-Wigner string) and evolved it with PauliEvolutionGate; PauliEvolutionGate doesn't exist in Qiskit 0.25 (ImportError), and on 0.45 / 0.46 the changed Hamiltonian no longer matches the one in the question. Similar to gpt-6-luna.</t>
        </is>
      </c>
      <c r="AO57" s="2" t="inlineStr">
        <is>
          <t>AssertionError</t>
        </is>
      </c>
      <c r="AP57" s="2" t="inlineStr">
        <is>
          <t>AssertionError:</t>
        </is>
      </c>
      <c r="AQ57" s="2" t="inlineStr">
        <is>
          <t>Error on 0.25.x, failed on 0.45.x / 0.46.x: the LLM rewrote the Hamiltonian (number operator (I - Z) / 2 and XX + YY hopping with a Jordan-Wigner string) and evolved it with PauliEvolutionGate; PauliEvolutionGate doesn't exist in Qiskit 0.25 (ImportError), and on 0.45 / 0.46 the changed Hamiltonian no longer matches the one in the question. Similar to gpt-6-luna.</t>
        </is>
      </c>
      <c r="AR57" s="2" t="inlineStr">
        <is>
          <t>AssertionError</t>
        </is>
      </c>
      <c r="AS57" s="2" t="inlineStr">
        <is>
          <t>AssertionError:</t>
        </is>
      </c>
      <c r="AT57" s="2" t="inlineStr">
        <is>
          <t>Error on 0.25.x, failed on 0.45.x / 0.46.x: the LLM rewrote the Hamiltonian (number operator (I - Z) / 2 and XX + YY hopping with a Jordan-Wigner string) and evolved it with PauliEvolutionGate; PauliEvolutionGate doesn't exist in Qiskit 0.25 (ImportError), and on 0.45 / 0.46 the changed Hamiltonian no longer matches the one in the question. Similar to gpt-6-luna.</t>
        </is>
      </c>
      <c r="AU57" s="2" t="inlineStr">
        <is>
          <t>AssertionError</t>
        </is>
      </c>
      <c r="AV57" s="2" t="inlineStr">
        <is>
          <t>AssertionError:</t>
        </is>
      </c>
      <c r="AW57" s="2" t="inlineStr">
        <is>
          <t>Error on 0.25.x, failed on 0.45.x / 0.46.x: the LLM rewrote the Hamiltonian (number operator (I - Z) / 2 and XX + YY hopping with a Jordan-Wigner string) and evolved it with PauliEvolutionGate; PauliEvolutionGate doesn't exist in Qiskit 0.25 (ImportError), and on 0.45 / 0.46 the changed Hamiltonian no longer matches the one in the question. Similar to gpt-6-luna.</t>
        </is>
      </c>
      <c r="AX57" s="2" t="inlineStr">
        <is>
          <t>AssertionError</t>
        </is>
      </c>
      <c r="AY57" s="2" t="inlineStr">
        <is>
          <t>AssertionError:</t>
        </is>
      </c>
      <c r="AZ57" s="2" t="inlineStr">
        <is>
          <t>Error on 0.25.x, failed on 0.45.x / 0.46.x: the LLM rewrote the Hamiltonian (number operator (I - Z) / 2 and XX + YY hopping with a Jordan-Wigner string) and evolved it with PauliEvolutionGate; PauliEvolutionGate doesn't exist in Qiskit 0.25 (ImportError), and on 0.45 / 0.46 the changed Hamiltonian no longer matches the one in the question. Similar to gpt-6-luna.</t>
        </is>
      </c>
      <c r="BA57" s="2" t="inlineStr">
        <is>
          <t>AssertionError</t>
        </is>
      </c>
      <c r="BB57" s="2" t="inlineStr">
        <is>
          <t>AssertionError:</t>
        </is>
      </c>
      <c r="BC57" s="2" t="inlineStr">
        <is>
          <t>Error on 0.25.x, failed on 0.45.x / 0.46.x: the LLM rewrote the Hamiltonian (number operator (I - Z) / 2 and XX + YY hopping with a Jordan-Wigner string) and evolved it with PauliEvolutionGate; PauliEvolutionGate doesn't exist in Qiskit 0.25 (ImportError), and on 0.45 / 0.46 the changed Hamiltonian no longer matches the one in the question. Similar to gpt-6-luna.</t>
        </is>
      </c>
      <c r="BD57" s="2" t="inlineStr">
        <is>
          <t>AssertionError</t>
        </is>
      </c>
      <c r="BE57" s="2" t="inlineStr">
        <is>
          <t>AssertionError:</t>
        </is>
      </c>
      <c r="BF57" s="2" t="inlineStr">
        <is>
          <t>Error on 0.25.x, failed on 0.45.x / 0.46.x: the LLM rewrote the Hamiltonian (number operator (I - Z) / 2 and XX + YY hopping with a Jordan-Wigner string) and evolved it with PauliEvolutionGate; PauliEvolutionGate doesn't exist in Qiskit 0.25 (ImportError), and on 0.45 / 0.46 the changed Hamiltonian no longer matches the one in the question. Similar to gpt-6-luna.</t>
        </is>
      </c>
      <c r="BG57" s="2" t="inlineStr">
        <is>
          <t>AssertionError</t>
        </is>
      </c>
      <c r="BH57" s="2" t="inlineStr">
        <is>
          <t>AssertionError:</t>
        </is>
      </c>
      <c r="BI57" s="2" t="inlineStr">
        <is>
          <t>Error on 0.25.x, failed on 0.45.x / 0.46.x: the LLM rewrote the Hamiltonian (number operator (I - Z) / 2 and XX + YY hopping with a Jordan-Wigner string) and evolved it with PauliEvolutionGate; PauliEvolutionGate doesn't exist in Qiskit 0.25 (ImportError), and on 0.45 / 0.46 the changed Hamiltonian no longer matches the one in the question. Similar to gpt-6-luna.</t>
        </is>
      </c>
      <c r="BJ57" s="2" t="inlineStr">
        <is>
          <t>AssertionError</t>
        </is>
      </c>
      <c r="BK57" s="2" t="inlineStr">
        <is>
          <t>AssertionError:</t>
        </is>
      </c>
      <c r="BL57" s="2" t="inlineStr">
        <is>
          <t>Error on 0.25.x, failed on 0.45.x / 0.46.x: the LLM rewrote the Hamiltonian (number operator (I - Z) / 2 and XX + YY hopping with a Jordan-Wigner string) and evolved it with PauliEvolutionGate; PauliEvolutionGate doesn't exist in Qiskit 0.25 (ImportError), and on 0.45 / 0.46 the changed Hamiltonian no longer matches the one in the question. Similar to gpt-6-luna.</t>
        </is>
      </c>
      <c r="BM57" s="2" t="n"/>
      <c r="BN57" s="2" t="n"/>
      <c r="BO57" s="2" t="n"/>
      <c r="BP57" s="2" t="n"/>
      <c r="BQ57" s="2" t="n"/>
      <c r="BR57" s="2" t="n"/>
      <c r="BS57" s="2" t="n"/>
      <c r="BT57" s="2" t="n"/>
      <c r="BU57" s="2" t="n"/>
      <c r="BV57" s="2" t="n"/>
      <c r="BW57" s="2" t="n"/>
      <c r="BX57" s="2" t="n"/>
      <c r="BY57" s="2" t="n"/>
      <c r="BZ57" s="2" t="n"/>
      <c r="CA57" s="2" t="n"/>
      <c r="CB57" s="2" t="n"/>
      <c r="CC57" s="2" t="n"/>
      <c r="CD57" s="2" t="n"/>
      <c r="CE57" s="2" t="n"/>
      <c r="CF57" s="2" t="n"/>
      <c r="CG57" s="2" t="n"/>
      <c r="CH57" s="2" t="n"/>
      <c r="CI57" s="2" t="n"/>
      <c r="CJ57" s="2" t="n"/>
      <c r="CK57" s="2" t="n"/>
      <c r="CL57" s="2" t="n"/>
      <c r="CM57" s="2" t="n"/>
      <c r="CN57" s="2" t="n"/>
      <c r="CO57" s="2" t="n"/>
      <c r="CP57" s="2" t="n"/>
      <c r="CQ57" s="2" t="n"/>
      <c r="CR57" s="2" t="n"/>
      <c r="CS57" s="2" t="n"/>
      <c r="CT57" s="2" t="n"/>
      <c r="CU57" s="2" t="n"/>
      <c r="CV57" s="2" t="n"/>
      <c r="CW57" s="2" t="n"/>
      <c r="CX57" s="2" t="n"/>
      <c r="CY57" s="2" t="n"/>
      <c r="CZ57" s="2" t="n"/>
      <c r="DA57" s="2" t="n"/>
      <c r="DB57" s="2" t="n"/>
      <c r="DC57" s="2" t="n"/>
      <c r="DD57" s="2" t="n"/>
      <c r="DE57" s="2" t="n"/>
    </row>
    <row r="58">
      <c r="A58" s="2" t="inlineStr">
        <is>
          <t>issue_911</t>
        </is>
      </c>
      <c r="B58" s="3" t="inlineStr">
        <is>
          <t>NOT_TESTED</t>
        </is>
      </c>
      <c r="C58" s="3" t="inlineStr">
        <is>
          <t>NOT_TESTED</t>
        </is>
      </c>
      <c r="D58" s="3" t="inlineStr">
        <is>
          <t>NOT_TESTED</t>
        </is>
      </c>
      <c r="E58" s="3" t="inlineStr">
        <is>
          <t>NOT_TESTED</t>
        </is>
      </c>
      <c r="F58" s="5" t="inlineStr">
        <is>
          <t>Runtime error</t>
        </is>
      </c>
      <c r="G58" s="5" t="inlineStr">
        <is>
          <t>Runtime error</t>
        </is>
      </c>
      <c r="H58" s="5" t="inlineStr">
        <is>
          <t>Runtime error</t>
        </is>
      </c>
      <c r="I58" s="5" t="inlineStr">
        <is>
          <t>Runtime error</t>
        </is>
      </c>
      <c r="J58" s="5" t="inlineStr">
        <is>
          <t>Runtime error</t>
        </is>
      </c>
      <c r="K58" s="5" t="inlineStr">
        <is>
          <t>Runtime error</t>
        </is>
      </c>
      <c r="L58" s="5" t="inlineStr">
        <is>
          <t>Runtime error</t>
        </is>
      </c>
      <c r="M58" s="5" t="inlineStr">
        <is>
          <t>Runtime error</t>
        </is>
      </c>
      <c r="N58" s="5" t="inlineStr">
        <is>
          <t>Runtime error</t>
        </is>
      </c>
      <c r="O58" s="5" t="inlineStr">
        <is>
          <t>Runtime error</t>
        </is>
      </c>
      <c r="P58" s="5" t="inlineStr">
        <is>
          <t>Runtime error</t>
        </is>
      </c>
      <c r="Q58" s="5" t="inlineStr">
        <is>
          <t>Runtime error</t>
        </is>
      </c>
      <c r="R58" s="5" t="inlineStr">
        <is>
          <t>Runtime error</t>
        </is>
      </c>
      <c r="S58" s="5" t="inlineStr">
        <is>
          <t>Runtime error</t>
        </is>
      </c>
      <c r="T58" s="5" t="inlineStr">
        <is>
          <t>Runtime error</t>
        </is>
      </c>
      <c r="U58" s="5" t="inlineStr">
        <is>
          <t>Runtime error</t>
        </is>
      </c>
      <c r="V58" s="5" t="inlineStr">
        <is>
          <t>Runtime error</t>
        </is>
      </c>
      <c r="W58" s="5" t="inlineStr">
        <is>
          <t>Runtime error</t>
        </is>
      </c>
      <c r="X58" s="5" t="inlineStr">
        <is>
          <t>Runtime error</t>
        </is>
      </c>
      <c r="Y58" s="5" t="inlineStr">
        <is>
          <t>Runtime error</t>
        </is>
      </c>
      <c r="Z58" s="5" t="inlineStr">
        <is>
          <t>Runtime error</t>
        </is>
      </c>
      <c r="AA58" s="5" t="inlineStr">
        <is>
          <t>Runtime error</t>
        </is>
      </c>
      <c r="AB58" s="5" t="inlineStr">
        <is>
          <t>Runtime error</t>
        </is>
      </c>
      <c r="AC58" s="2" t="n"/>
      <c r="AD58" s="2" t="n"/>
      <c r="AE58" s="2" t="n"/>
      <c r="AF58" s="2" t="n"/>
      <c r="AG58" s="2" t="n"/>
      <c r="AH58" s="2" t="n"/>
      <c r="AI58" s="2" t="n"/>
      <c r="AJ58" s="2" t="n"/>
      <c r="AK58" s="2" t="n"/>
      <c r="AL58" s="2" t="n"/>
      <c r="AM58" s="2" t="n"/>
      <c r="AN58" s="2" t="n"/>
      <c r="AO58" s="2" t="inlineStr">
        <is>
          <t>ValueError</t>
        </is>
      </c>
      <c r="AP58" s="2" t="inlineStr">
        <is>
          <t>ValueError: malformed node or string on line 1: &lt;ast.Call object at 0x000001FD730A3F70&gt;</t>
        </is>
      </c>
      <c r="AQ58" s="2" t="inlineStr">
        <is>
          <t>The LLM printed the register and index with qc.find_bit() only for each gate's second qubit (qargs[1], guarded by len(qargs) &gt; 1), so the first qubit of every gate and all single-qubit gates are missing; the updated test, which reads the printed indices in any format, finds none it can match. gpt-5.6-luna passed.</t>
        </is>
      </c>
      <c r="AR58" s="2" t="inlineStr">
        <is>
          <t>ValueError</t>
        </is>
      </c>
      <c r="AS58" s="2" t="inlineStr">
        <is>
          <t>ValueError: malformed node or string on line 1: &lt;ast.Call object at 0x000002650E289000&gt;</t>
        </is>
      </c>
      <c r="AT58" s="2" t="inlineStr">
        <is>
          <t>The LLM printed the register and index with qc.find_bit() only for each gate's second qubit (qargs[1], guarded by len(qargs) &gt; 1), so the first qubit of every gate and all single-qubit gates are missing; the updated test, which reads the printed indices in any format, finds none it can match. gpt-5.6-luna passed.</t>
        </is>
      </c>
      <c r="AU58" s="2" t="inlineStr">
        <is>
          <t>ValueError</t>
        </is>
      </c>
      <c r="AV58" s="2" t="inlineStr">
        <is>
          <t>ValueError: malformed node or string on line 1: &lt;ast.Call object at 0x000002438B3FFEB0&gt;</t>
        </is>
      </c>
      <c r="AW58" s="2" t="inlineStr">
        <is>
          <t>The LLM printed the register and index with qc.find_bit() only for each gate's second qubit (qargs[1], guarded by len(qargs) &gt; 1), so the first qubit of every gate and all single-qubit gates are missing; the updated test, which reads the printed indices in any format, finds none it can match. gpt-5.6-luna passed.</t>
        </is>
      </c>
      <c r="AX58" s="2" t="inlineStr">
        <is>
          <t>ValueError</t>
        </is>
      </c>
      <c r="AY58" s="2" t="inlineStr">
        <is>
          <t>ValueError: malformed node or string on line 1: &lt;ast.Call object at 0x000001F9B577F8B0&gt;</t>
        </is>
      </c>
      <c r="AZ58" s="2" t="inlineStr">
        <is>
          <t>The LLM printed the register and index with qc.find_bit() only for each gate's second qubit (qargs[1], guarded by len(qargs) &gt; 1), so the first qubit of every gate and all single-qubit gates are missing; the updated test, which reads the printed indices in any format, finds none it can match. gpt-5.6-luna passed.</t>
        </is>
      </c>
      <c r="BA58" s="2" t="inlineStr">
        <is>
          <t>ValueError</t>
        </is>
      </c>
      <c r="BB58" s="2" t="inlineStr">
        <is>
          <t>ValueError: malformed node or string on line 1: &lt;ast.Call object at 0x0000015B237C2440&gt;</t>
        </is>
      </c>
      <c r="BC58" s="2" t="inlineStr">
        <is>
          <t>The LLM printed the register and index with qc.find_bit() only for each gate's second qubit (qargs[1], guarded by len(qargs) &gt; 1), so the first qubit of every gate and all single-qubit gates are missing; the updated test, which reads the printed indices in any format, finds none it can match. gpt-5.6-luna passed.</t>
        </is>
      </c>
      <c r="BD58" s="2" t="inlineStr">
        <is>
          <t>ValueError</t>
        </is>
      </c>
      <c r="BE58" s="2" t="inlineStr">
        <is>
          <t>ValueError: malformed node or string on line 1: &lt;ast.Call object at 0x000002843F992020&gt;</t>
        </is>
      </c>
      <c r="BF58" s="2" t="inlineStr">
        <is>
          <t>The LLM printed the register and index with qc.find_bit() only for each gate's second qubit (qargs[1], guarded by len(qargs) &gt; 1), so the first qubit of every gate and all single-qubit gates are missing; the updated test, which reads the printed indices in any format, finds none it can match. gpt-5.6-luna passed.</t>
        </is>
      </c>
      <c r="BG58" s="2" t="inlineStr">
        <is>
          <t>ValueError</t>
        </is>
      </c>
      <c r="BH58" s="2" t="inlineStr">
        <is>
          <t>ValueError: malformed node or string on line 1: &lt;ast.Call object at 0x0000017A4C0B8910&gt;</t>
        </is>
      </c>
      <c r="BI58" s="2" t="inlineStr">
        <is>
          <t>The LLM printed the register and index with qc.find_bit() only for each gate's second qubit (qargs[1], guarded by len(qargs) &gt; 1), so the first qubit of every gate and all single-qubit gates are missing; the updated test, which reads the printed indices in any format, finds none it can match. gpt-5.6-luna passed.</t>
        </is>
      </c>
      <c r="BJ58" s="2" t="inlineStr">
        <is>
          <t>ValueError</t>
        </is>
      </c>
      <c r="BK58" s="2" t="inlineStr">
        <is>
          <t>ValueError: malformed node or string on line 1: &lt;ast.Call object at 0x0000021857FE3400&gt;</t>
        </is>
      </c>
      <c r="BL58" s="2" t="inlineStr">
        <is>
          <t>The LLM printed the register and index with qc.find_bit() only for each gate's second qubit (qargs[1], guarded by len(qargs) &gt; 1), so the first qubit of every gate and all single-qubit gates are missing; the updated test, which reads the printed indices in any format, finds none it can match. gpt-5.6-luna passed.</t>
        </is>
      </c>
      <c r="BM58" s="2" t="inlineStr">
        <is>
          <t>ValueError</t>
        </is>
      </c>
      <c r="BN58" s="2" t="inlineStr">
        <is>
          <t>ValueError: malformed node or string on line 1: &lt;ast.Call object at 0x000002261B0BBBE0&gt;</t>
        </is>
      </c>
      <c r="BO58" s="2" t="inlineStr">
        <is>
          <t>The LLM printed the register and index with qc.find_bit() only for each gate's second qubit (qargs[1], guarded by len(qargs) &gt; 1), so the first qubit of every gate and all single-qubit gates are missing; the updated test, which reads the printed indices in any format, finds none it can match. gpt-5.6-luna passed.</t>
        </is>
      </c>
      <c r="BP58" s="2" t="inlineStr">
        <is>
          <t>ValueError</t>
        </is>
      </c>
      <c r="BQ58" s="2" t="inlineStr">
        <is>
          <t>ValueError: malformed node or string on line 1: &lt;ast.Call object at 0x000001BD061BA380&gt;</t>
        </is>
      </c>
      <c r="BR58" s="2" t="inlineStr">
        <is>
          <t>The LLM printed the register and index with qc.find_bit() only for each gate's second qubit (qargs[1], guarded by len(qargs) &gt; 1), so the first qubit of every gate and all single-qubit gates are missing; the updated test, which reads the printed indices in any format, finds none it can match. gpt-5.6-luna passed.</t>
        </is>
      </c>
      <c r="BS58" s="2" t="inlineStr">
        <is>
          <t>ValueError</t>
        </is>
      </c>
      <c r="BT58" s="2" t="inlineStr">
        <is>
          <t>ValueError: malformed node or string on line 1: &lt;ast.Call object at 0x000001FC7F792DA0&gt;</t>
        </is>
      </c>
      <c r="BU58" s="2" t="inlineStr">
        <is>
          <t>The LLM printed the register and index with qc.find_bit() only for each gate's second qubit (qargs[1], guarded by len(qargs) &gt; 1), so the first qubit of every gate and all single-qubit gates are missing; the updated test, which reads the printed indices in any format, finds none it can match. gpt-5.6-luna passed.</t>
        </is>
      </c>
      <c r="BV58" s="2" t="inlineStr">
        <is>
          <t>ValueError</t>
        </is>
      </c>
      <c r="BW58" s="2" t="inlineStr">
        <is>
          <t>ValueError: malformed node or string on line 1: &lt;ast.Call object at 0x000001D86DFB9CF0&gt;</t>
        </is>
      </c>
      <c r="BX58" s="2" t="inlineStr">
        <is>
          <t>The LLM printed the register and index with qc.find_bit() only for each gate's second qubit (qargs[1], guarded by len(qargs) &gt; 1), so the first qubit of every gate and all single-qubit gates are missing; the updated test, which reads the printed indices in any format, finds none it can match. gpt-5.6-luna passed.</t>
        </is>
      </c>
      <c r="BY58" s="2" t="inlineStr">
        <is>
          <t>ValueError</t>
        </is>
      </c>
      <c r="BZ58" s="2" t="inlineStr">
        <is>
          <t>ValueError: malformed node or string on line 1: &lt;ast.Call object at 0x000002338F731870&gt;</t>
        </is>
      </c>
      <c r="CA58" s="2" t="inlineStr">
        <is>
          <t>The LLM printed the register and index with qc.find_bit() only for each gate's second qubit (qargs[1], guarded by len(qargs) &gt; 1), so the first qubit of every gate and all single-qubit gates are missing; the updated test, which reads the printed indices in any format, finds none it can match. gpt-5.6-luna passed.</t>
        </is>
      </c>
      <c r="CB58" s="2" t="inlineStr">
        <is>
          <t>ValueError</t>
        </is>
      </c>
      <c r="CC58" s="2" t="inlineStr">
        <is>
          <t>ValueError: malformed node or string on line 1: &lt;ast.Call object at 0x000002607F9BA050&gt;</t>
        </is>
      </c>
      <c r="CD58" s="2" t="inlineStr">
        <is>
          <t>The LLM printed the register and index with qc.find_bit() only for each gate's second qubit (qargs[1], guarded by len(qargs) &gt; 1), so the first qubit of every gate and all single-qubit gates are missing; the updated test, which reads the printed indices in any format, finds none it can match. gpt-5.6-luna passed.</t>
        </is>
      </c>
      <c r="CE58" s="2" t="inlineStr">
        <is>
          <t>ValueError</t>
        </is>
      </c>
      <c r="CF58" s="2" t="inlineStr">
        <is>
          <t>ValueError: malformed node or string on line 1: &lt;ast.Call object at 0x00000296EC222AA0&gt;</t>
        </is>
      </c>
      <c r="CG58" s="2" t="inlineStr">
        <is>
          <t>The LLM printed the register and index with qc.find_bit() only for each gate's second qubit (qargs[1], guarded by len(qargs) &gt; 1), so the first qubit of every gate and all single-qubit gates are missing; the updated test, which reads the printed indices in any format, finds none it can match. gpt-5.6-luna passed.</t>
        </is>
      </c>
      <c r="CH58" s="2" t="inlineStr">
        <is>
          <t>ValueError</t>
        </is>
      </c>
      <c r="CI58" s="2" t="inlineStr">
        <is>
          <t>ValueError: malformed node or string on line 1: &lt;ast.Call object at 0x000001A0CF5495A0&gt;</t>
        </is>
      </c>
      <c r="CJ58" s="2" t="inlineStr">
        <is>
          <t>The LLM printed the register and index with qc.find_bit() only for each gate's second qubit (qargs[1], guarded by len(qargs) &gt; 1), so the first qubit of every gate and all single-qubit gates are missing; the updated test, which reads the printed indices in any format, finds none it can match. gpt-5.6-luna passed.</t>
        </is>
      </c>
      <c r="CK58" s="2" t="inlineStr">
        <is>
          <t>ValueError</t>
        </is>
      </c>
      <c r="CL58" s="2" t="inlineStr">
        <is>
          <t>ValueError: malformed node or string on line 1: &lt;ast.Call object at 0x000001CB7AD45510&gt;</t>
        </is>
      </c>
      <c r="CM58" s="2" t="inlineStr">
        <is>
          <t>The LLM printed the register and index with qc.find_bit() only for each gate's second qubit (qargs[1], guarded by len(qargs) &gt; 1), so the first qubit of every gate and all single-qubit gates are missing; the updated test, which reads the printed indices in any format, finds none it can match. gpt-5.6-luna passed.</t>
        </is>
      </c>
      <c r="CN58" s="2" t="inlineStr">
        <is>
          <t>ValueError</t>
        </is>
      </c>
      <c r="CO58" s="2" t="inlineStr">
        <is>
          <t>ValueError: malformed node or string on line 1: &lt;ast.Call object at 0x00000192B6687850&gt;</t>
        </is>
      </c>
      <c r="CP58" s="2" t="inlineStr">
        <is>
          <t>The LLM printed the register and index with qc.find_bit() only for each gate's second qubit (qargs[1], guarded by len(qargs) &gt; 1), so the first qubit of every gate and all single-qubit gates are missing; the updated test, which reads the printed indices in any format, finds none it can match. gpt-5.6-luna passed.</t>
        </is>
      </c>
      <c r="CQ58" s="2" t="inlineStr">
        <is>
          <t>SyntaxError</t>
        </is>
      </c>
      <c r="CR58" s="2" t="inlineStr">
        <is>
          <t>SyntaxError: invalid syntax</t>
        </is>
      </c>
      <c r="CS58" s="2" t="inlineStr">
        <is>
          <t>The LLM printed the register and index with qc.find_bit() only for each gate's second qubit (qargs[1], guarded by len(qargs) &gt; 1), so the first qubit of every gate and all single-qubit gates are missing; the updated test, which reads the printed indices in any format, finds none it can match. gpt-5.6-luna passed.</t>
        </is>
      </c>
      <c r="CT58" s="2" t="inlineStr">
        <is>
          <t>SyntaxError</t>
        </is>
      </c>
      <c r="CU58" s="2" t="inlineStr">
        <is>
          <t>SyntaxError: invalid syntax</t>
        </is>
      </c>
      <c r="CV58" s="2" t="inlineStr">
        <is>
          <t>The LLM printed the register and index with qc.find_bit() only for each gate's second qubit (qargs[1], guarded by len(qargs) &gt; 1), so the first qubit of every gate and all single-qubit gates are missing; the updated test, which reads the printed indices in any format, finds none it can match. gpt-5.6-luna passed.</t>
        </is>
      </c>
      <c r="CW58" s="2" t="inlineStr">
        <is>
          <t>SyntaxError</t>
        </is>
      </c>
      <c r="CX58" s="2" t="inlineStr">
        <is>
          <t>SyntaxError: invalid syntax</t>
        </is>
      </c>
      <c r="CY58" s="2" t="inlineStr">
        <is>
          <t>The LLM printed the register and index with qc.find_bit() only for each gate's second qubit (qargs[1], guarded by len(qargs) &gt; 1), so the first qubit of every gate and all single-qubit gates are missing; the updated test, which reads the printed indices in any format, finds none it can match. gpt-5.6-luna passed.</t>
        </is>
      </c>
      <c r="CZ58" s="2" t="inlineStr">
        <is>
          <t>SyntaxError</t>
        </is>
      </c>
      <c r="DA58" s="2" t="inlineStr">
        <is>
          <t>SyntaxError: invalid syntax</t>
        </is>
      </c>
      <c r="DB58" s="2" t="inlineStr">
        <is>
          <t>The LLM printed the register and index with qc.find_bit() only for each gate's second qubit (qargs[1], guarded by len(qargs) &gt; 1), so the first qubit of every gate and all single-qubit gates are missing; the updated test, which reads the printed indices in any format, finds none it can match. gpt-5.6-luna passed.</t>
        </is>
      </c>
      <c r="DC58" s="2" t="inlineStr">
        <is>
          <t>SyntaxError</t>
        </is>
      </c>
      <c r="DD58" s="2" t="inlineStr">
        <is>
          <t>SyntaxError: invalid syntax</t>
        </is>
      </c>
      <c r="DE58" s="2" t="inlineStr">
        <is>
          <t>The LLM printed the register and index with qc.find_bit() only for each gate's second qubit (qargs[1], guarded by len(qargs) &gt; 1), so the first qubit of every gate and all single-qubit gates are missing; the updated test, which reads the printed indices in any format, finds none it can match. gpt-5.6-luna passed.</t>
        </is>
      </c>
    </row>
    <row r="59">
      <c r="A59" s="2" t="inlineStr">
        <is>
          <t>issue_925</t>
        </is>
      </c>
      <c r="B59" s="6" t="inlineStr">
        <is>
          <t>Runtime error</t>
        </is>
      </c>
      <c r="C59" s="6" t="inlineStr">
        <is>
          <t>Runtime error</t>
        </is>
      </c>
      <c r="D59" s="6" t="inlineStr">
        <is>
          <t>Runtime error</t>
        </is>
      </c>
      <c r="E59" s="6" t="inlineStr">
        <is>
          <t>Runtime error</t>
        </is>
      </c>
      <c r="F59" s="3" t="inlineStr">
        <is>
          <t>NOT_TESTED</t>
        </is>
      </c>
      <c r="G59" s="3" t="inlineStr">
        <is>
          <t>NOT_TESTED</t>
        </is>
      </c>
      <c r="H59" s="3" t="inlineStr">
        <is>
          <t>NOT_TESTED</t>
        </is>
      </c>
      <c r="I59" s="3" t="inlineStr">
        <is>
          <t>NOT_TESTED</t>
        </is>
      </c>
      <c r="J59" s="3" t="inlineStr">
        <is>
          <t>NOT_TESTED</t>
        </is>
      </c>
      <c r="K59" s="3" t="inlineStr">
        <is>
          <t>NOT_TESTED</t>
        </is>
      </c>
      <c r="L59" s="3" t="inlineStr">
        <is>
          <t>NOT_TESTED</t>
        </is>
      </c>
      <c r="M59" s="3" t="inlineStr">
        <is>
          <t>NOT_TESTED</t>
        </is>
      </c>
      <c r="N59" s="3" t="inlineStr">
        <is>
          <t>NOT_TESTED</t>
        </is>
      </c>
      <c r="O59" s="3" t="inlineStr">
        <is>
          <t>NOT_TESTED</t>
        </is>
      </c>
      <c r="P59" s="3" t="inlineStr">
        <is>
          <t>NOT_TESTED</t>
        </is>
      </c>
      <c r="Q59" s="3" t="inlineStr">
        <is>
          <t>NOT_TESTED</t>
        </is>
      </c>
      <c r="R59" s="3" t="inlineStr">
        <is>
          <t>NOT_TESTED</t>
        </is>
      </c>
      <c r="S59" s="3" t="inlineStr">
        <is>
          <t>NOT_TESTED</t>
        </is>
      </c>
      <c r="T59" s="3" t="inlineStr">
        <is>
          <t>NOT_TESTED</t>
        </is>
      </c>
      <c r="U59" s="3" t="inlineStr">
        <is>
          <t>NOT_TESTED</t>
        </is>
      </c>
      <c r="V59" s="3" t="inlineStr">
        <is>
          <t>NOT_TESTED</t>
        </is>
      </c>
      <c r="W59" s="3" t="inlineStr">
        <is>
          <t>NOT_TESTED</t>
        </is>
      </c>
      <c r="X59" s="3" t="inlineStr">
        <is>
          <t>NOT_TESTED</t>
        </is>
      </c>
      <c r="Y59" s="3" t="inlineStr">
        <is>
          <t>NOT_TESTED</t>
        </is>
      </c>
      <c r="Z59" s="3" t="inlineStr">
        <is>
          <t>NOT_TESTED</t>
        </is>
      </c>
      <c r="AA59" s="3" t="inlineStr">
        <is>
          <t>NOT_TESTED</t>
        </is>
      </c>
      <c r="AB59" s="3" t="inlineStr">
        <is>
          <t>NOT_TESTED</t>
        </is>
      </c>
      <c r="AC59" s="2" t="inlineStr">
        <is>
          <t>TranspilerError</t>
        </is>
      </c>
      <c r="AD59" s="2" t="inlineStr">
        <is>
          <t>qiskit.transpiler.exceptions.TranspilerError: 'Number of qubits (18) in Shor(N=15, a=2) is greater than maximum (14) in the coupling_map'</t>
        </is>
      </c>
      <c r="AE59" s="2" t="inlineStr">
        <is>
          <t>The LLM answered NO BUG: it explained that Aqua's Shor needs 18 qubits for N = 15, more than FakeMelbourne has, but said changing the backend isn't allowed. The code is unchanged, so it fails exactly like the buggy code (TranspilerError). Same answer as gpt-5.6-luna; the reference switches to Aer's qasm_simulator.</t>
        </is>
      </c>
      <c r="AF59" s="2" t="inlineStr">
        <is>
          <t>TranspilerError</t>
        </is>
      </c>
      <c r="AG59" s="2" t="inlineStr">
        <is>
          <t>qiskit.transpiler.exceptions.TranspilerError: 'Number of qubits (18) in Shor(N=15, a=2) is greater than maximum (14) in the coupling_map'</t>
        </is>
      </c>
      <c r="AH59" s="2" t="inlineStr">
        <is>
          <t>The LLM answered NO BUG: it explained that Aqua's Shor needs 18 qubits for N = 15, more than FakeMelbourne has, but said changing the backend isn't allowed. The code is unchanged, so it fails exactly like the buggy code (TranspilerError). Same answer as gpt-5.6-luna; the reference switches to Aer's qasm_simulator.</t>
        </is>
      </c>
      <c r="AI59" s="2" t="inlineStr">
        <is>
          <t>TranspilerError</t>
        </is>
      </c>
      <c r="AJ59" s="2" t="inlineStr">
        <is>
          <t>qiskit.transpiler.exceptions.TranspilerError: 'Number of qubits (18) in Shor(N=15, a=2) is greater than maximum (14) in the coupling_map'</t>
        </is>
      </c>
      <c r="AK59" s="2" t="inlineStr">
        <is>
          <t>The LLM answered NO BUG: it explained that Aqua's Shor needs 18 qubits for N = 15, more than FakeMelbourne has, but said changing the backend isn't allowed. The code is unchanged, so it fails exactly like the buggy code (TranspilerError). Same answer as gpt-5.6-luna; the reference switches to Aer's qasm_simulator.</t>
        </is>
      </c>
      <c r="AL59" s="2" t="inlineStr">
        <is>
          <t>TranspilerError</t>
        </is>
      </c>
      <c r="AM59" s="2" t="inlineStr">
        <is>
          <t>qiskit.transpiler.exceptions.TranspilerError: 'Number of qubits (18) in Shor(N=15, a=2) is greater than maximum (14) in the coupling_map'</t>
        </is>
      </c>
      <c r="AN59" s="2" t="inlineStr">
        <is>
          <t>The LLM answered NO BUG: it explained that Aqua's Shor needs 18 qubits for N = 15, more than FakeMelbourne has, but said changing the backend isn't allowed. The code is unchanged, so it fails exactly like the buggy code (TranspilerError). Same answer as gpt-5.6-luna; the reference switches to Aer's qasm_simulator.</t>
        </is>
      </c>
      <c r="AO59" s="2" t="n"/>
      <c r="AP59" s="2" t="n"/>
      <c r="AQ59" s="2" t="n"/>
      <c r="AR59" s="2" t="n"/>
      <c r="AS59" s="2" t="n"/>
      <c r="AT59" s="2" t="n"/>
      <c r="AU59" s="2" t="n"/>
      <c r="AV59" s="2" t="n"/>
      <c r="AW59" s="2" t="n"/>
      <c r="AX59" s="2" t="n"/>
      <c r="AY59" s="2" t="n"/>
      <c r="AZ59" s="2" t="n"/>
      <c r="BA59" s="2" t="n"/>
      <c r="BB59" s="2" t="n"/>
      <c r="BC59" s="2" t="n"/>
      <c r="BD59" s="2" t="n"/>
      <c r="BE59" s="2" t="n"/>
      <c r="BF59" s="2" t="n"/>
      <c r="BG59" s="2" t="n"/>
      <c r="BH59" s="2" t="n"/>
      <c r="BI59" s="2" t="n"/>
      <c r="BJ59" s="2" t="n"/>
      <c r="BK59" s="2" t="n"/>
      <c r="BL59" s="2" t="n"/>
      <c r="BM59" s="2" t="n"/>
      <c r="BN59" s="2" t="n"/>
      <c r="BO59" s="2" t="n"/>
      <c r="BP59" s="2" t="n"/>
      <c r="BQ59" s="2" t="n"/>
      <c r="BR59" s="2" t="n"/>
      <c r="BS59" s="2" t="n"/>
      <c r="BT59" s="2" t="n"/>
      <c r="BU59" s="2" t="n"/>
      <c r="BV59" s="2" t="n"/>
      <c r="BW59" s="2" t="n"/>
      <c r="BX59" s="2" t="n"/>
      <c r="BY59" s="2" t="n"/>
      <c r="BZ59" s="2" t="n"/>
      <c r="CA59" s="2" t="n"/>
      <c r="CB59" s="2" t="n"/>
      <c r="CC59" s="2" t="n"/>
      <c r="CD59" s="2" t="n"/>
      <c r="CE59" s="2" t="n"/>
      <c r="CF59" s="2" t="n"/>
      <c r="CG59" s="2" t="n"/>
      <c r="CH59" s="2" t="n"/>
      <c r="CI59" s="2" t="n"/>
      <c r="CJ59" s="2" t="n"/>
      <c r="CK59" s="2" t="n"/>
      <c r="CL59" s="2" t="n"/>
      <c r="CM59" s="2" t="n"/>
      <c r="CN59" s="2" t="n"/>
      <c r="CO59" s="2" t="n"/>
      <c r="CP59" s="2" t="n"/>
      <c r="CQ59" s="2" t="n"/>
      <c r="CR59" s="2" t="n"/>
      <c r="CS59" s="2" t="n"/>
      <c r="CT59" s="2" t="n"/>
      <c r="CU59" s="2" t="n"/>
      <c r="CV59" s="2" t="n"/>
      <c r="CW59" s="2" t="n"/>
      <c r="CX59" s="2" t="n"/>
      <c r="CY59" s="2" t="n"/>
      <c r="CZ59" s="2" t="n"/>
      <c r="DA59" s="2" t="n"/>
      <c r="DB59" s="2" t="n"/>
      <c r="DC59" s="2" t="n"/>
      <c r="DD59" s="2" t="n"/>
      <c r="DE59" s="2" t="n"/>
    </row>
    <row r="60">
      <c r="A60" s="2" t="inlineStr">
        <is>
          <t>issue_944</t>
        </is>
      </c>
      <c r="B60" s="4" t="inlineStr">
        <is>
          <t>Runtime error</t>
        </is>
      </c>
      <c r="C60" s="4" t="inlineStr">
        <is>
          <t>Runtime error</t>
        </is>
      </c>
      <c r="D60" s="4" t="inlineStr">
        <is>
          <t>Runtime error</t>
        </is>
      </c>
      <c r="E60" s="4" t="inlineStr">
        <is>
          <t>Runtime error</t>
        </is>
      </c>
      <c r="F60" s="4" t="inlineStr">
        <is>
          <t>Runtime error</t>
        </is>
      </c>
      <c r="G60" s="4" t="inlineStr">
        <is>
          <t>Runtime error</t>
        </is>
      </c>
      <c r="H60" s="4" t="inlineStr">
        <is>
          <t>Runtime error</t>
        </is>
      </c>
      <c r="I60" s="4" t="inlineStr">
        <is>
          <t>Runtime error</t>
        </is>
      </c>
      <c r="J60" s="4" t="inlineStr">
        <is>
          <t>Runtime error</t>
        </is>
      </c>
      <c r="K60" s="4" t="inlineStr">
        <is>
          <t>Runtime error</t>
        </is>
      </c>
      <c r="L60" s="4" t="inlineStr">
        <is>
          <t>Runtime error</t>
        </is>
      </c>
      <c r="M60" s="4" t="inlineStr">
        <is>
          <t>Runtime error</t>
        </is>
      </c>
      <c r="N60" s="3" t="inlineStr">
        <is>
          <t>NOT_TESTED</t>
        </is>
      </c>
      <c r="O60" s="3" t="inlineStr">
        <is>
          <t>NOT_TESTED</t>
        </is>
      </c>
      <c r="P60" s="3" t="inlineStr">
        <is>
          <t>NOT_TESTED</t>
        </is>
      </c>
      <c r="Q60" s="3" t="inlineStr">
        <is>
          <t>NOT_TESTED</t>
        </is>
      </c>
      <c r="R60" s="3" t="inlineStr">
        <is>
          <t>NOT_TESTED</t>
        </is>
      </c>
      <c r="S60" s="3" t="inlineStr">
        <is>
          <t>NOT_TESTED</t>
        </is>
      </c>
      <c r="T60" s="3" t="inlineStr">
        <is>
          <t>NOT_TESTED</t>
        </is>
      </c>
      <c r="U60" s="3" t="inlineStr">
        <is>
          <t>NOT_TESTED</t>
        </is>
      </c>
      <c r="V60" s="3" t="inlineStr">
        <is>
          <t>NOT_TESTED</t>
        </is>
      </c>
      <c r="W60" s="3" t="inlineStr">
        <is>
          <t>NOT_TESTED</t>
        </is>
      </c>
      <c r="X60" s="3" t="inlineStr">
        <is>
          <t>NOT_TESTED</t>
        </is>
      </c>
      <c r="Y60" s="3" t="inlineStr">
        <is>
          <t>NOT_TESTED</t>
        </is>
      </c>
      <c r="Z60" s="3" t="inlineStr">
        <is>
          <t>NOT_TESTED</t>
        </is>
      </c>
      <c r="AA60" s="3" t="inlineStr">
        <is>
          <t>NOT_TESTED</t>
        </is>
      </c>
      <c r="AB60" s="3" t="inlineStr">
        <is>
          <t>NOT_TESTED</t>
        </is>
      </c>
      <c r="AC60" s="2" t="inlineStr">
        <is>
          <t>AttributeError</t>
        </is>
      </c>
      <c r="AD60" s="2" t="inlineStr">
        <is>
          <t>AttributeError: 'MatrixOp' object has no attribute 'data'</t>
        </is>
      </c>
      <c r="AE60" s="2" t="n"/>
      <c r="AF60" s="2" t="inlineStr">
        <is>
          <t>AttributeError</t>
        </is>
      </c>
      <c r="AG60" s="2" t="inlineStr">
        <is>
          <t>AttributeError: 'MatrixOp' object has no attribute 'data'</t>
        </is>
      </c>
      <c r="AH60" s="2" t="n"/>
      <c r="AI60" s="2" t="inlineStr">
        <is>
          <t>AttributeError</t>
        </is>
      </c>
      <c r="AJ60" s="2" t="inlineStr">
        <is>
          <t>AttributeError: 'MatrixOp' object has no attribute 'data'</t>
        </is>
      </c>
      <c r="AK60" s="2" t="n"/>
      <c r="AL60" s="2" t="inlineStr">
        <is>
          <t>AttributeError</t>
        </is>
      </c>
      <c r="AM60" s="2" t="inlineStr">
        <is>
          <t>AttributeError: 'MatrixOp' object has no attribute 'data'</t>
        </is>
      </c>
      <c r="AN60" s="2" t="n"/>
      <c r="AO60" s="2" t="inlineStr">
        <is>
          <t>AttributeError</t>
        </is>
      </c>
      <c r="AP60" s="2" t="inlineStr">
        <is>
          <t>AttributeError: 'MatrixOp' object has no attribute 'data'</t>
        </is>
      </c>
      <c r="AQ60" s="2" t="n"/>
      <c r="AR60" s="2" t="inlineStr">
        <is>
          <t>AttributeError</t>
        </is>
      </c>
      <c r="AS60" s="2" t="inlineStr">
        <is>
          <t>AttributeError: 'MatrixOp' object has no attribute 'data'</t>
        </is>
      </c>
      <c r="AT60" s="2" t="n"/>
      <c r="AU60" s="2" t="inlineStr">
        <is>
          <t>AttributeError</t>
        </is>
      </c>
      <c r="AV60" s="2" t="inlineStr">
        <is>
          <t>AttributeError: 'MatrixOp' object has no attribute 'data'</t>
        </is>
      </c>
      <c r="AW60" s="2" t="n"/>
      <c r="AX60" s="2" t="inlineStr">
        <is>
          <t>AttributeError</t>
        </is>
      </c>
      <c r="AY60" s="2" t="inlineStr">
        <is>
          <t>AttributeError: 'MatrixOp' object has no attribute 'data'</t>
        </is>
      </c>
      <c r="AZ60" s="2" t="n"/>
      <c r="BA60" s="2" t="inlineStr">
        <is>
          <t>AttributeError</t>
        </is>
      </c>
      <c r="BB60" s="2" t="inlineStr">
        <is>
          <t>AttributeError: 'MatrixOp' object has no attribute 'data'</t>
        </is>
      </c>
      <c r="BC60" s="2" t="n"/>
      <c r="BD60" s="2" t="inlineStr">
        <is>
          <t>AttributeError</t>
        </is>
      </c>
      <c r="BE60" s="2" t="inlineStr">
        <is>
          <t>AttributeError: 'MatrixOp' object has no attribute 'data'</t>
        </is>
      </c>
      <c r="BF60" s="2" t="n"/>
      <c r="BG60" s="2" t="inlineStr">
        <is>
          <t>AttributeError</t>
        </is>
      </c>
      <c r="BH60" s="2" t="inlineStr">
        <is>
          <t>AttributeError: 'MatrixOp' object has no attribute 'data'</t>
        </is>
      </c>
      <c r="BI60" s="2" t="n"/>
      <c r="BJ60" s="2" t="inlineStr">
        <is>
          <t>AttributeError</t>
        </is>
      </c>
      <c r="BK60" s="2" t="inlineStr">
        <is>
          <t>AttributeError: 'MatrixOp' object has no attribute 'data'</t>
        </is>
      </c>
      <c r="BL60" s="2" t="n"/>
      <c r="BM60" s="2" t="n"/>
      <c r="BN60" s="2" t="n"/>
      <c r="BO60" s="2" t="n"/>
      <c r="BP60" s="2" t="n"/>
      <c r="BQ60" s="2" t="n"/>
      <c r="BR60" s="2" t="n"/>
      <c r="BS60" s="2" t="n"/>
      <c r="BT60" s="2" t="n"/>
      <c r="BU60" s="2" t="n"/>
      <c r="BV60" s="2" t="n"/>
      <c r="BW60" s="2" t="n"/>
      <c r="BX60" s="2" t="n"/>
      <c r="BY60" s="2" t="n"/>
      <c r="BZ60" s="2" t="n"/>
      <c r="CA60" s="2" t="n"/>
      <c r="CB60" s="2" t="n"/>
      <c r="CC60" s="2" t="n"/>
      <c r="CD60" s="2" t="n"/>
      <c r="CE60" s="2" t="n"/>
      <c r="CF60" s="2" t="n"/>
      <c r="CG60" s="2" t="n"/>
      <c r="CH60" s="2" t="n"/>
      <c r="CI60" s="2" t="n"/>
      <c r="CJ60" s="2" t="n"/>
      <c r="CK60" s="2" t="n"/>
      <c r="CL60" s="2" t="n"/>
      <c r="CM60" s="2" t="n"/>
      <c r="CN60" s="2" t="n"/>
      <c r="CO60" s="2" t="n"/>
      <c r="CP60" s="2" t="n"/>
      <c r="CQ60" s="2" t="n"/>
      <c r="CR60" s="2" t="n"/>
      <c r="CS60" s="2" t="n"/>
      <c r="CT60" s="2" t="n"/>
      <c r="CU60" s="2" t="n"/>
      <c r="CV60" s="2" t="n"/>
      <c r="CW60" s="2" t="n"/>
      <c r="CX60" s="2" t="n"/>
      <c r="CY60" s="2" t="n"/>
      <c r="CZ60" s="2" t="n"/>
      <c r="DA60" s="2" t="n"/>
      <c r="DB60" s="2" t="n"/>
      <c r="DC60" s="2" t="n"/>
      <c r="DD60" s="2" t="n"/>
      <c r="DE60" s="2" t="n"/>
    </row>
    <row r="61">
      <c r="A61" s="2" t="inlineStr">
        <is>
          <t>issue_950</t>
        </is>
      </c>
      <c r="B61" s="4" t="inlineStr">
        <is>
          <t>Passed on test</t>
        </is>
      </c>
      <c r="C61" s="4" t="inlineStr">
        <is>
          <t>Passed on test</t>
        </is>
      </c>
      <c r="D61" s="4" t="inlineStr">
        <is>
          <t>Passed on test</t>
        </is>
      </c>
      <c r="E61" s="4" t="inlineStr">
        <is>
          <t>Passed on test</t>
        </is>
      </c>
      <c r="F61" s="4" t="inlineStr">
        <is>
          <t>Passed on test</t>
        </is>
      </c>
      <c r="G61" s="4" t="inlineStr">
        <is>
          <t>Passed on test</t>
        </is>
      </c>
      <c r="H61" s="4" t="inlineStr">
        <is>
          <t>Passed on test</t>
        </is>
      </c>
      <c r="I61" s="4" t="inlineStr">
        <is>
          <t>Passed on test</t>
        </is>
      </c>
      <c r="J61" s="4" t="inlineStr">
        <is>
          <t>Passed on test</t>
        </is>
      </c>
      <c r="K61" s="4" t="inlineStr">
        <is>
          <t>Passed on test</t>
        </is>
      </c>
      <c r="L61" s="4" t="inlineStr">
        <is>
          <t>Passed on test</t>
        </is>
      </c>
      <c r="M61" s="4" t="inlineStr">
        <is>
          <t>Passed on test</t>
        </is>
      </c>
      <c r="N61" s="4" t="inlineStr">
        <is>
          <t>Passed on test</t>
        </is>
      </c>
      <c r="O61" s="4" t="inlineStr">
        <is>
          <t>Passed on test</t>
        </is>
      </c>
      <c r="P61" s="4" t="inlineStr">
        <is>
          <t>Passed on test</t>
        </is>
      </c>
      <c r="Q61" s="4" t="inlineStr">
        <is>
          <t>Passed on test</t>
        </is>
      </c>
      <c r="R61" s="4" t="inlineStr">
        <is>
          <t>Passed on test</t>
        </is>
      </c>
      <c r="S61" s="4" t="inlineStr">
        <is>
          <t>Passed on test</t>
        </is>
      </c>
      <c r="T61" s="4" t="inlineStr">
        <is>
          <t>Passed on test</t>
        </is>
      </c>
      <c r="U61" s="4" t="inlineStr">
        <is>
          <t>Passed on test</t>
        </is>
      </c>
      <c r="V61" s="4" t="inlineStr">
        <is>
          <t>Passed on test</t>
        </is>
      </c>
      <c r="W61" s="4" t="inlineStr">
        <is>
          <t>Passed on test</t>
        </is>
      </c>
      <c r="X61" s="4" t="inlineStr">
        <is>
          <t>Passed on test</t>
        </is>
      </c>
      <c r="Y61" s="4" t="inlineStr">
        <is>
          <t>Passed on test</t>
        </is>
      </c>
      <c r="Z61" s="4" t="inlineStr">
        <is>
          <t>Passed on test</t>
        </is>
      </c>
      <c r="AA61" s="4" t="inlineStr">
        <is>
          <t>Passed on test</t>
        </is>
      </c>
      <c r="AB61" s="4" t="inlineStr">
        <is>
          <t>Passed on test</t>
        </is>
      </c>
      <c r="AC61" s="2" t="n"/>
      <c r="AD61" s="2" t="n"/>
      <c r="AE61" s="2" t="n"/>
      <c r="AF61" s="2" t="n"/>
      <c r="AG61" s="2" t="n"/>
      <c r="AH61" s="2" t="n"/>
      <c r="AI61" s="2" t="n"/>
      <c r="AJ61" s="2" t="n"/>
      <c r="AK61" s="2" t="n"/>
      <c r="AL61" s="2" t="n"/>
      <c r="AM61" s="2" t="n"/>
      <c r="AN61" s="2" t="n"/>
      <c r="AO61" s="2" t="n"/>
      <c r="AP61" s="2" t="n"/>
      <c r="AQ61" s="2" t="n"/>
      <c r="AR61" s="2" t="n"/>
      <c r="AS61" s="2" t="n"/>
      <c r="AT61" s="2" t="n"/>
      <c r="AU61" s="2" t="n"/>
      <c r="AV61" s="2" t="n"/>
      <c r="AW61" s="2" t="n"/>
      <c r="AX61" s="2" t="n"/>
      <c r="AY61" s="2" t="n"/>
      <c r="AZ61" s="2" t="n"/>
      <c r="BA61" s="2" t="n"/>
      <c r="BB61" s="2" t="n"/>
      <c r="BC61" s="2" t="n"/>
      <c r="BD61" s="2" t="n"/>
      <c r="BE61" s="2" t="n"/>
      <c r="BF61" s="2" t="n"/>
      <c r="BG61" s="2" t="n"/>
      <c r="BH61" s="2" t="n"/>
      <c r="BI61" s="2" t="n"/>
      <c r="BJ61" s="2" t="n"/>
      <c r="BK61" s="2" t="n"/>
      <c r="BL61" s="2" t="n"/>
      <c r="BM61" s="2" t="n"/>
      <c r="BN61" s="2" t="n"/>
      <c r="BO61" s="2" t="n"/>
      <c r="BP61" s="2" t="n"/>
      <c r="BQ61" s="2" t="n"/>
      <c r="BR61" s="2" t="n"/>
      <c r="BS61" s="2" t="n"/>
      <c r="BT61" s="2" t="n"/>
      <c r="BU61" s="2" t="n"/>
      <c r="BV61" s="2" t="n"/>
      <c r="BW61" s="2" t="n"/>
      <c r="BX61" s="2" t="n"/>
      <c r="BY61" s="2" t="n"/>
      <c r="BZ61" s="2" t="n"/>
      <c r="CA61" s="2" t="n"/>
      <c r="CB61" s="2" t="n"/>
      <c r="CC61" s="2" t="n"/>
      <c r="CD61" s="2" t="n"/>
      <c r="CE61" s="2" t="n"/>
      <c r="CF61" s="2" t="n"/>
      <c r="CG61" s="2" t="n"/>
      <c r="CH61" s="2" t="n"/>
      <c r="CI61" s="2" t="n"/>
      <c r="CJ61" s="2" t="n"/>
      <c r="CK61" s="2" t="n"/>
      <c r="CL61" s="2" t="n"/>
      <c r="CM61" s="2" t="n"/>
      <c r="CN61" s="2" t="n"/>
      <c r="CO61" s="2" t="n"/>
      <c r="CP61" s="2" t="n"/>
      <c r="CQ61" s="2" t="n"/>
      <c r="CR61" s="2" t="n"/>
      <c r="CS61" s="2" t="n"/>
      <c r="CT61" s="2" t="n"/>
      <c r="CU61" s="2" t="n"/>
      <c r="CV61" s="2" t="n"/>
      <c r="CW61" s="2" t="n"/>
      <c r="CX61" s="2" t="n"/>
      <c r="CY61" s="2" t="n"/>
      <c r="CZ61" s="2" t="n"/>
      <c r="DA61" s="2" t="n"/>
      <c r="DB61" s="2" t="n"/>
      <c r="DC61" s="2" t="n"/>
      <c r="DD61" s="2" t="n"/>
      <c r="DE61" s="2" t="n"/>
    </row>
    <row r="62">
      <c r="A62" s="2" t="inlineStr">
        <is>
          <t>issue_958</t>
        </is>
      </c>
      <c r="B62" s="3" t="inlineStr">
        <is>
          <t>NOT_TESTED</t>
        </is>
      </c>
      <c r="C62" s="3" t="inlineStr">
        <is>
          <t>NOT_TESTED</t>
        </is>
      </c>
      <c r="D62" s="3" t="inlineStr">
        <is>
          <t>NOT_TESTED</t>
        </is>
      </c>
      <c r="E62" s="3" t="inlineStr">
        <is>
          <t>NOT_TESTED</t>
        </is>
      </c>
      <c r="F62" s="6" t="inlineStr">
        <is>
          <t>Passed on test</t>
        </is>
      </c>
      <c r="G62" s="6" t="inlineStr">
        <is>
          <t>Passed on test</t>
        </is>
      </c>
      <c r="H62" s="6" t="inlineStr">
        <is>
          <t>Passed on test</t>
        </is>
      </c>
      <c r="I62" s="6" t="inlineStr">
        <is>
          <t>Passed on test</t>
        </is>
      </c>
      <c r="J62" s="6" t="inlineStr">
        <is>
          <t>Passed on test</t>
        </is>
      </c>
      <c r="K62" s="6" t="inlineStr">
        <is>
          <t>Passed on test</t>
        </is>
      </c>
      <c r="L62" s="6" t="inlineStr">
        <is>
          <t>Passed on test</t>
        </is>
      </c>
      <c r="M62" s="6" t="inlineStr">
        <is>
          <t>Passed on test</t>
        </is>
      </c>
      <c r="N62" s="6" t="inlineStr">
        <is>
          <t>Passed on test</t>
        </is>
      </c>
      <c r="O62" s="6" t="inlineStr">
        <is>
          <t>Passed on test</t>
        </is>
      </c>
      <c r="P62" s="6" t="inlineStr">
        <is>
          <t>Passed on test</t>
        </is>
      </c>
      <c r="Q62" s="6" t="inlineStr">
        <is>
          <t>Passed on test</t>
        </is>
      </c>
      <c r="R62" s="6" t="inlineStr">
        <is>
          <t>Passed on test</t>
        </is>
      </c>
      <c r="S62" s="6" t="inlineStr">
        <is>
          <t>Passed on test</t>
        </is>
      </c>
      <c r="T62" s="6" t="inlineStr">
        <is>
          <t>Passed on test</t>
        </is>
      </c>
      <c r="U62" s="6" t="inlineStr">
        <is>
          <t>Passed on test</t>
        </is>
      </c>
      <c r="V62" s="6" t="inlineStr">
        <is>
          <t>Passed on test</t>
        </is>
      </c>
      <c r="W62" s="6" t="inlineStr">
        <is>
          <t>Passed on test</t>
        </is>
      </c>
      <c r="X62" s="6" t="inlineStr">
        <is>
          <t>Passed on test</t>
        </is>
      </c>
      <c r="Y62" s="6" t="inlineStr">
        <is>
          <t>Passed on test</t>
        </is>
      </c>
      <c r="Z62" s="6" t="inlineStr">
        <is>
          <t>Passed on test</t>
        </is>
      </c>
      <c r="AA62" s="6" t="inlineStr">
        <is>
          <t>Passed on test</t>
        </is>
      </c>
      <c r="AB62" s="6" t="inlineStr">
        <is>
          <t>Passed on test</t>
        </is>
      </c>
      <c r="AC62" s="2" t="n"/>
      <c r="AD62" s="2" t="n"/>
      <c r="AE62" s="2" t="n"/>
      <c r="AF62" s="2" t="n"/>
      <c r="AG62" s="2" t="n"/>
      <c r="AH62" s="2" t="n"/>
      <c r="AI62" s="2" t="n"/>
      <c r="AJ62" s="2" t="n"/>
      <c r="AK62" s="2" t="n"/>
      <c r="AL62" s="2" t="n"/>
      <c r="AM62" s="2" t="n"/>
      <c r="AN62" s="2" t="n"/>
      <c r="AO62" s="2" t="n"/>
      <c r="AP62" s="2" t="n"/>
      <c r="AQ62" s="2" t="inlineStr">
        <is>
          <t>Setting the circuit's global phase to pi (qc.global_phase += pi) gives exactly -(H x H) and passes the check on qc, but the test also requires the reference answer's second circuit qc2 (KeyError: 'qc2'). Over-specific test, and no updated test exists for this case; same approach as gpt-6-luna.</t>
        </is>
      </c>
      <c r="AR62" s="2" t="n"/>
      <c r="AS62" s="2" t="n"/>
      <c r="AT62" s="2" t="inlineStr">
        <is>
          <t>Setting the circuit's global phase to pi (qc.global_phase += pi) gives exactly -(H x H) and passes the check on qc, but the test also requires the reference answer's second circuit qc2 (KeyError: 'qc2'). Over-specific test, and no updated test exists for this case; same approach as gpt-6-luna.</t>
        </is>
      </c>
      <c r="AU62" s="2" t="n"/>
      <c r="AV62" s="2" t="n"/>
      <c r="AW62" s="2" t="inlineStr">
        <is>
          <t>Setting the circuit's global phase to pi (qc.global_phase += pi) gives exactly -(H x H) and passes the check on qc, but the test also requires the reference answer's second circuit qc2 (KeyError: 'qc2'). Over-specific test, and no updated test exists for this case; same approach as gpt-6-luna.</t>
        </is>
      </c>
      <c r="AX62" s="2" t="n"/>
      <c r="AY62" s="2" t="n"/>
      <c r="AZ62" s="2" t="inlineStr">
        <is>
          <t>Setting the circuit's global phase to pi (qc.global_phase += pi) gives exactly -(H x H) and passes the check on qc, but the test also requires the reference answer's second circuit qc2 (KeyError: 'qc2'). Over-specific test, and no updated test exists for this case; same approach as gpt-6-luna.</t>
        </is>
      </c>
      <c r="BA62" s="2" t="n"/>
      <c r="BB62" s="2" t="n"/>
      <c r="BC62" s="2" t="inlineStr">
        <is>
          <t>Setting the circuit's global phase to pi (qc.global_phase += pi) gives exactly -(H x H) and passes the check on qc, but the test also requires the reference answer's second circuit qc2 (KeyError: 'qc2'). Over-specific test, and no updated test exists for this case; same approach as gpt-6-luna.</t>
        </is>
      </c>
      <c r="BD62" s="2" t="n"/>
      <c r="BE62" s="2" t="n"/>
      <c r="BF62" s="2" t="inlineStr">
        <is>
          <t>Setting the circuit's global phase to pi (qc.global_phase += pi) gives exactly -(H x H) and passes the check on qc, but the test also requires the reference answer's second circuit qc2 (KeyError: 'qc2'). Over-specific test, and no updated test exists for this case; same approach as gpt-6-luna.</t>
        </is>
      </c>
      <c r="BG62" s="2" t="n"/>
      <c r="BH62" s="2" t="n"/>
      <c r="BI62" s="2" t="inlineStr">
        <is>
          <t>Setting the circuit's global phase to pi (qc.global_phase += pi) gives exactly -(H x H) and passes the check on qc, but the test also requires the reference answer's second circuit qc2 (KeyError: 'qc2'). Over-specific test, and no updated test exists for this case; same approach as gpt-6-luna.</t>
        </is>
      </c>
      <c r="BJ62" s="2" t="n"/>
      <c r="BK62" s="2" t="n"/>
      <c r="BL62" s="2" t="inlineStr">
        <is>
          <t>Setting the circuit's global phase to pi (qc.global_phase += pi) gives exactly -(H x H) and passes the check on qc, but the test also requires the reference answer's second circuit qc2 (KeyError: 'qc2'). Over-specific test, and no updated test exists for this case; same approach as gpt-6-luna.</t>
        </is>
      </c>
      <c r="BM62" s="2" t="n"/>
      <c r="BN62" s="2" t="n"/>
      <c r="BO62" s="2" t="inlineStr">
        <is>
          <t>Setting the circuit's global phase to pi (qc.global_phase += pi) gives exactly -(H x H) and passes the check on qc, but the test also requires the reference answer's second circuit qc2 (KeyError: 'qc2'). Over-specific test, and no updated test exists for this case; same approach as gpt-6-luna.</t>
        </is>
      </c>
      <c r="BP62" s="2" t="n"/>
      <c r="BQ62" s="2" t="n"/>
      <c r="BR62" s="2" t="inlineStr">
        <is>
          <t>Setting the circuit's global phase to pi (qc.global_phase += pi) gives exactly -(H x H) and passes the check on qc, but the test also requires the reference answer's second circuit qc2 (KeyError: 'qc2'). Over-specific test, and no updated test exists for this case; same approach as gpt-6-luna.</t>
        </is>
      </c>
      <c r="BS62" s="2" t="n"/>
      <c r="BT62" s="2" t="n"/>
      <c r="BU62" s="2" t="inlineStr">
        <is>
          <t>Setting the circuit's global phase to pi (qc.global_phase += pi) gives exactly -(H x H) and passes the check on qc, but the test also requires the reference answer's second circuit qc2 (KeyError: 'qc2'). Over-specific test, and no updated test exists for this case; same approach as gpt-6-luna.</t>
        </is>
      </c>
      <c r="BV62" s="2" t="n"/>
      <c r="BW62" s="2" t="n"/>
      <c r="BX62" s="2" t="inlineStr">
        <is>
          <t>Setting the circuit's global phase to pi (qc.global_phase += pi) gives exactly -(H x H) and passes the check on qc, but the test also requires the reference answer's second circuit qc2 (KeyError: 'qc2'). Over-specific test, and no updated test exists for this case; same approach as gpt-6-luna.</t>
        </is>
      </c>
      <c r="BY62" s="2" t="n"/>
      <c r="BZ62" s="2" t="n"/>
      <c r="CA62" s="2" t="inlineStr">
        <is>
          <t>Setting the circuit's global phase to pi (qc.global_phase += pi) gives exactly -(H x H) and passes the check on qc, but the test also requires the reference answer's second circuit qc2 (KeyError: 'qc2'). Over-specific test, and no updated test exists for this case; same approach as gpt-6-luna.</t>
        </is>
      </c>
      <c r="CB62" s="2" t="n"/>
      <c r="CC62" s="2" t="n"/>
      <c r="CD62" s="2" t="inlineStr">
        <is>
          <t>Setting the circuit's global phase to pi (qc.global_phase += pi) gives exactly -(H x H) and passes the check on qc, but the test also requires the reference answer's second circuit qc2 (KeyError: 'qc2'). Over-specific test, and no updated test exists for this case; same approach as gpt-6-luna.</t>
        </is>
      </c>
      <c r="CE62" s="2" t="n"/>
      <c r="CF62" s="2" t="n"/>
      <c r="CG62" s="2" t="inlineStr">
        <is>
          <t>Setting the circuit's global phase to pi (qc.global_phase += pi) gives exactly -(H x H) and passes the check on qc, but the test also requires the reference answer's second circuit qc2 (KeyError: 'qc2'). Over-specific test, and no updated test exists for this case; same approach as gpt-6-luna.</t>
        </is>
      </c>
      <c r="CH62" s="2" t="n"/>
      <c r="CI62" s="2" t="n"/>
      <c r="CJ62" s="2" t="inlineStr">
        <is>
          <t>Setting the circuit's global phase to pi (qc.global_phase += pi) gives exactly -(H x H) and passes the check on qc, but the test also requires the reference answer's second circuit qc2 (KeyError: 'qc2'). Over-specific test, and no updated test exists for this case; same approach as gpt-6-luna.</t>
        </is>
      </c>
      <c r="CK62" s="2" t="n"/>
      <c r="CL62" s="2" t="n"/>
      <c r="CM62" s="2" t="inlineStr">
        <is>
          <t>Setting the circuit's global phase to pi (qc.global_phase += pi) gives exactly -(H x H) and passes the check on qc, but the test also requires the reference answer's second circuit qc2 (KeyError: 'qc2'). Over-specific test, and no updated test exists for this case; same approach as gpt-6-luna.</t>
        </is>
      </c>
      <c r="CN62" s="2" t="n"/>
      <c r="CO62" s="2" t="n"/>
      <c r="CP62" s="2" t="inlineStr">
        <is>
          <t>Setting the circuit's global phase to pi (qc.global_phase += pi) gives exactly -(H x H) and passes the check on qc, but the test also requires the reference answer's second circuit qc2 (KeyError: 'qc2'). Over-specific test, and no updated test exists for this case; same approach as gpt-6-luna.</t>
        </is>
      </c>
      <c r="CQ62" s="2" t="n"/>
      <c r="CR62" s="2" t="n"/>
      <c r="CS62" s="2" t="inlineStr">
        <is>
          <t>Setting the circuit's global phase to pi (qc.global_phase += pi) gives exactly -(H x H) and passes the check on qc, but the test also requires the reference answer's second circuit qc2 (KeyError: 'qc2'). Over-specific test, and no updated test exists for this case; same approach as gpt-6-luna.</t>
        </is>
      </c>
      <c r="CT62" s="2" t="n"/>
      <c r="CU62" s="2" t="n"/>
      <c r="CV62" s="2" t="inlineStr">
        <is>
          <t>Setting the circuit's global phase to pi (qc.global_phase += pi) gives exactly -(H x H) and passes the check on qc, but the test also requires the reference answer's second circuit qc2 (KeyError: 'qc2'). Over-specific test, and no updated test exists for this case; same approach as gpt-6-luna.</t>
        </is>
      </c>
      <c r="CW62" s="2" t="n"/>
      <c r="CX62" s="2" t="n"/>
      <c r="CY62" s="2" t="inlineStr">
        <is>
          <t>Setting the circuit's global phase to pi (qc.global_phase += pi) gives exactly -(H x H) and passes the check on qc, but the test also requires the reference answer's second circuit qc2 (KeyError: 'qc2'). Over-specific test, and no updated test exists for this case; same approach as gpt-6-luna.</t>
        </is>
      </c>
      <c r="CZ62" s="2" t="n"/>
      <c r="DA62" s="2" t="n"/>
      <c r="DB62" s="2" t="inlineStr">
        <is>
          <t>Setting the circuit's global phase to pi (qc.global_phase += pi) gives exactly -(H x H) and passes the check on qc, but the test also requires the reference answer's second circuit qc2 (KeyError: 'qc2'). Over-specific test, and no updated test exists for this case; same approach as gpt-6-luna.</t>
        </is>
      </c>
      <c r="DC62" s="2" t="n"/>
      <c r="DD62" s="2" t="n"/>
      <c r="DE62" s="2" t="inlineStr">
        <is>
          <t>Setting the circuit's global phase to pi (qc.global_phase += pi) gives exactly -(H x H) and passes the check on qc, but the test also requires the reference answer's second circuit qc2 (KeyError: 'qc2'). Over-specific test, and no updated test exists for this case; same approach as gpt-6-luna.</t>
        </is>
      </c>
    </row>
    <row r="63">
      <c r="A63" s="2" t="inlineStr">
        <is>
          <t>issue_977</t>
        </is>
      </c>
      <c r="B63" s="3" t="inlineStr">
        <is>
          <t>NOT_TESTED</t>
        </is>
      </c>
      <c r="C63" s="3" t="inlineStr">
        <is>
          <t>NOT_TESTED</t>
        </is>
      </c>
      <c r="D63" s="3" t="inlineStr">
        <is>
          <t>NOT_TESTED</t>
        </is>
      </c>
      <c r="E63" s="3" t="inlineStr">
        <is>
          <t>NOT_TESTED</t>
        </is>
      </c>
      <c r="F63" s="4" t="inlineStr">
        <is>
          <t>Runtime error</t>
        </is>
      </c>
      <c r="G63" s="4" t="inlineStr">
        <is>
          <t>Runtime error</t>
        </is>
      </c>
      <c r="H63" s="4" t="inlineStr">
        <is>
          <t>Runtime error</t>
        </is>
      </c>
      <c r="I63" s="4" t="inlineStr">
        <is>
          <t>Runtime error</t>
        </is>
      </c>
      <c r="J63" s="4" t="inlineStr">
        <is>
          <t>Runtime error</t>
        </is>
      </c>
      <c r="K63" s="4" t="inlineStr">
        <is>
          <t>Runtime error</t>
        </is>
      </c>
      <c r="L63" s="4" t="inlineStr">
        <is>
          <t>Runtime error</t>
        </is>
      </c>
      <c r="M63" s="4" t="inlineStr">
        <is>
          <t>Runtime error</t>
        </is>
      </c>
      <c r="N63" s="4" t="inlineStr">
        <is>
          <t>Runtime error</t>
        </is>
      </c>
      <c r="O63" s="4" t="inlineStr">
        <is>
          <t>Runtime error</t>
        </is>
      </c>
      <c r="P63" s="4" t="inlineStr">
        <is>
          <t>Runtime error</t>
        </is>
      </c>
      <c r="Q63" s="4" t="inlineStr">
        <is>
          <t>Runtime error</t>
        </is>
      </c>
      <c r="R63" s="4" t="inlineStr">
        <is>
          <t>Runtime error</t>
        </is>
      </c>
      <c r="S63" s="4" t="inlineStr">
        <is>
          <t>Runtime error</t>
        </is>
      </c>
      <c r="T63" s="4" t="inlineStr">
        <is>
          <t>Runtime error</t>
        </is>
      </c>
      <c r="U63" s="4" t="inlineStr">
        <is>
          <t>Runtime error</t>
        </is>
      </c>
      <c r="V63" s="4" t="inlineStr">
        <is>
          <t>Runtime error</t>
        </is>
      </c>
      <c r="W63" s="4" t="inlineStr">
        <is>
          <t>Runtime error</t>
        </is>
      </c>
      <c r="X63" s="4" t="inlineStr">
        <is>
          <t>Runtime error</t>
        </is>
      </c>
      <c r="Y63" s="4" t="inlineStr">
        <is>
          <t>Runtime error</t>
        </is>
      </c>
      <c r="Z63" s="4" t="inlineStr">
        <is>
          <t>Runtime error</t>
        </is>
      </c>
      <c r="AA63" s="4" t="inlineStr">
        <is>
          <t>Runtime error</t>
        </is>
      </c>
      <c r="AB63" s="4" t="inlineStr">
        <is>
          <t>Runtime error</t>
        </is>
      </c>
      <c r="AC63" s="2" t="n"/>
      <c r="AD63" s="2" t="n"/>
      <c r="AE63" s="2" t="n"/>
      <c r="AF63" s="2" t="n"/>
      <c r="AG63" s="2" t="n"/>
      <c r="AH63" s="2" t="n"/>
      <c r="AI63" s="2" t="n"/>
      <c r="AJ63" s="2" t="n"/>
      <c r="AK63" s="2" t="n"/>
      <c r="AL63" s="2" t="n"/>
      <c r="AM63" s="2" t="n"/>
      <c r="AN63" s="2" t="n"/>
      <c r="AO63" s="2" t="inlineStr">
        <is>
          <t>KeyError</t>
        </is>
      </c>
      <c r="AP63" s="2" t="inlineStr">
        <is>
          <t>KeyError: 'op'</t>
        </is>
      </c>
      <c r="AQ63" s="2" t="n"/>
      <c r="AR63" s="2" t="inlineStr">
        <is>
          <t>KeyError</t>
        </is>
      </c>
      <c r="AS63" s="2" t="inlineStr">
        <is>
          <t>KeyError: 'op'</t>
        </is>
      </c>
      <c r="AT63" s="2" t="n"/>
      <c r="AU63" s="2" t="inlineStr">
        <is>
          <t>KeyError</t>
        </is>
      </c>
      <c r="AV63" s="2" t="inlineStr">
        <is>
          <t>KeyError: 'op'</t>
        </is>
      </c>
      <c r="AW63" s="2" t="n"/>
      <c r="AX63" s="2" t="inlineStr">
        <is>
          <t>KeyError</t>
        </is>
      </c>
      <c r="AY63" s="2" t="inlineStr">
        <is>
          <t>KeyError: 'op'</t>
        </is>
      </c>
      <c r="AZ63" s="2" t="n"/>
      <c r="BA63" s="2" t="inlineStr">
        <is>
          <t>KeyError</t>
        </is>
      </c>
      <c r="BB63" s="2" t="inlineStr">
        <is>
          <t>KeyError: 'op'</t>
        </is>
      </c>
      <c r="BC63" s="2" t="n"/>
      <c r="BD63" s="2" t="inlineStr">
        <is>
          <t>KeyError</t>
        </is>
      </c>
      <c r="BE63" s="2" t="inlineStr">
        <is>
          <t>KeyError: 'op'</t>
        </is>
      </c>
      <c r="BF63" s="2" t="n"/>
      <c r="BG63" s="2" t="inlineStr">
        <is>
          <t>KeyError</t>
        </is>
      </c>
      <c r="BH63" s="2" t="inlineStr">
        <is>
          <t>KeyError: 'op'</t>
        </is>
      </c>
      <c r="BI63" s="2" t="n"/>
      <c r="BJ63" s="2" t="inlineStr">
        <is>
          <t>KeyError</t>
        </is>
      </c>
      <c r="BK63" s="2" t="inlineStr">
        <is>
          <t>KeyError: 'op'</t>
        </is>
      </c>
      <c r="BL63" s="2" t="n"/>
      <c r="BM63" s="2" t="inlineStr">
        <is>
          <t>KeyError</t>
        </is>
      </c>
      <c r="BN63" s="2" t="inlineStr">
        <is>
          <t>KeyError: 'op'</t>
        </is>
      </c>
      <c r="BO63" s="2" t="n"/>
      <c r="BP63" s="2" t="inlineStr">
        <is>
          <t>KeyError</t>
        </is>
      </c>
      <c r="BQ63" s="2" t="inlineStr">
        <is>
          <t>KeyError: 'op'</t>
        </is>
      </c>
      <c r="BR63" s="2" t="n"/>
      <c r="BS63" s="2" t="inlineStr">
        <is>
          <t>KeyError</t>
        </is>
      </c>
      <c r="BT63" s="2" t="inlineStr">
        <is>
          <t>KeyError: 'op'</t>
        </is>
      </c>
      <c r="BU63" s="2" t="n"/>
      <c r="BV63" s="2" t="inlineStr">
        <is>
          <t>KeyError</t>
        </is>
      </c>
      <c r="BW63" s="2" t="inlineStr">
        <is>
          <t>KeyError: 'op'</t>
        </is>
      </c>
      <c r="BX63" s="2" t="n"/>
      <c r="BY63" s="2" t="inlineStr">
        <is>
          <t>KeyError</t>
        </is>
      </c>
      <c r="BZ63" s="2" t="inlineStr">
        <is>
          <t>KeyError: 'op'</t>
        </is>
      </c>
      <c r="CA63" s="2" t="n"/>
      <c r="CB63" s="2" t="inlineStr">
        <is>
          <t>KeyError</t>
        </is>
      </c>
      <c r="CC63" s="2" t="inlineStr">
        <is>
          <t>KeyError: 'op'</t>
        </is>
      </c>
      <c r="CD63" s="2" t="n"/>
      <c r="CE63" s="2" t="inlineStr">
        <is>
          <t>KeyError</t>
        </is>
      </c>
      <c r="CF63" s="2" t="inlineStr">
        <is>
          <t>KeyError: 'op'</t>
        </is>
      </c>
      <c r="CG63" s="2" t="n"/>
      <c r="CH63" s="2" t="inlineStr">
        <is>
          <t>KeyError</t>
        </is>
      </c>
      <c r="CI63" s="2" t="inlineStr">
        <is>
          <t>KeyError: 'op'</t>
        </is>
      </c>
      <c r="CJ63" s="2" t="n"/>
      <c r="CK63" s="2" t="inlineStr">
        <is>
          <t>KeyError</t>
        </is>
      </c>
      <c r="CL63" s="2" t="inlineStr">
        <is>
          <t>KeyError: 'op'</t>
        </is>
      </c>
      <c r="CM63" s="2" t="n"/>
      <c r="CN63" s="2" t="inlineStr">
        <is>
          <t>KeyError</t>
        </is>
      </c>
      <c r="CO63" s="2" t="inlineStr">
        <is>
          <t>KeyError: 'op'</t>
        </is>
      </c>
      <c r="CP63" s="2" t="n"/>
      <c r="CQ63" s="2" t="inlineStr">
        <is>
          <t>KeyError</t>
        </is>
      </c>
      <c r="CR63" s="2" t="inlineStr">
        <is>
          <t>KeyError: 'op'</t>
        </is>
      </c>
      <c r="CS63" s="2" t="n"/>
      <c r="CT63" s="2" t="inlineStr">
        <is>
          <t>KeyError</t>
        </is>
      </c>
      <c r="CU63" s="2" t="inlineStr">
        <is>
          <t>KeyError: 'op'</t>
        </is>
      </c>
      <c r="CV63" s="2" t="n"/>
      <c r="CW63" s="2" t="inlineStr">
        <is>
          <t>KeyError</t>
        </is>
      </c>
      <c r="CX63" s="2" t="inlineStr">
        <is>
          <t>KeyError: 'op'</t>
        </is>
      </c>
      <c r="CY63" s="2" t="n"/>
      <c r="CZ63" s="2" t="inlineStr">
        <is>
          <t>KeyError</t>
        </is>
      </c>
      <c r="DA63" s="2" t="inlineStr">
        <is>
          <t>KeyError: 'op'</t>
        </is>
      </c>
      <c r="DB63" s="2" t="n"/>
      <c r="DC63" s="2" t="inlineStr">
        <is>
          <t>KeyError</t>
        </is>
      </c>
      <c r="DD63" s="2" t="inlineStr">
        <is>
          <t>KeyError: 'op'</t>
        </is>
      </c>
      <c r="DE63" s="2" t="n"/>
    </row>
    <row r="64">
      <c r="A64" s="2" t="inlineStr">
        <is>
          <t>issue_985</t>
        </is>
      </c>
      <c r="B64" s="3" t="inlineStr">
        <is>
          <t>NOT_TESTED</t>
        </is>
      </c>
      <c r="C64" s="3" t="inlineStr">
        <is>
          <t>NOT_TESTED</t>
        </is>
      </c>
      <c r="D64" s="3" t="inlineStr">
        <is>
          <t>NOT_TESTED</t>
        </is>
      </c>
      <c r="E64" s="3" t="inlineStr">
        <is>
          <t>NOT_TESTED</t>
        </is>
      </c>
      <c r="F64" s="5" t="inlineStr">
        <is>
          <t>Passed on test</t>
        </is>
      </c>
      <c r="G64" s="5" t="inlineStr">
        <is>
          <t>Passed on test</t>
        </is>
      </c>
      <c r="H64" s="5" t="inlineStr">
        <is>
          <t>Passed on test</t>
        </is>
      </c>
      <c r="I64" s="5" t="inlineStr">
        <is>
          <t>Passed on test</t>
        </is>
      </c>
      <c r="J64" s="5" t="inlineStr">
        <is>
          <t>Passed on test</t>
        </is>
      </c>
      <c r="K64" s="5" t="inlineStr">
        <is>
          <t>Passed on test</t>
        </is>
      </c>
      <c r="L64" s="5" t="inlineStr">
        <is>
          <t>Passed on test</t>
        </is>
      </c>
      <c r="M64" s="5" t="inlineStr">
        <is>
          <t>Passed on test</t>
        </is>
      </c>
      <c r="N64" s="5" t="inlineStr">
        <is>
          <t>Passed on test</t>
        </is>
      </c>
      <c r="O64" s="5" t="inlineStr">
        <is>
          <t>Passed on test</t>
        </is>
      </c>
      <c r="P64" s="5" t="inlineStr">
        <is>
          <t>Passed on test</t>
        </is>
      </c>
      <c r="Q64" s="5" t="inlineStr">
        <is>
          <t>Passed on test</t>
        </is>
      </c>
      <c r="R64" s="5" t="inlineStr">
        <is>
          <t>Passed on test</t>
        </is>
      </c>
      <c r="S64" s="5" t="inlineStr">
        <is>
          <t>Passed on test</t>
        </is>
      </c>
      <c r="T64" s="5" t="inlineStr">
        <is>
          <t>Passed on test</t>
        </is>
      </c>
      <c r="U64" s="5" t="inlineStr">
        <is>
          <t>Passed on test</t>
        </is>
      </c>
      <c r="V64" s="5" t="inlineStr">
        <is>
          <t>Passed on test</t>
        </is>
      </c>
      <c r="W64" s="5" t="inlineStr">
        <is>
          <t>Passed on test</t>
        </is>
      </c>
      <c r="X64" s="5" t="inlineStr">
        <is>
          <t>Passed on test</t>
        </is>
      </c>
      <c r="Y64" s="5" t="inlineStr">
        <is>
          <t>Passed on test</t>
        </is>
      </c>
      <c r="Z64" s="5" t="inlineStr">
        <is>
          <t>Passed on test</t>
        </is>
      </c>
      <c r="AA64" s="5" t="inlineStr">
        <is>
          <t>Passed on test</t>
        </is>
      </c>
      <c r="AB64" s="5" t="inlineStr">
        <is>
          <t>Passed on test</t>
        </is>
      </c>
      <c r="AC64" s="2" t="n"/>
      <c r="AD64" s="2" t="n"/>
      <c r="AE64" s="2" t="n"/>
      <c r="AF64" s="2" t="n"/>
      <c r="AG64" s="2" t="n"/>
      <c r="AH64" s="2" t="n"/>
      <c r="AI64" s="2" t="n"/>
      <c r="AJ64" s="2" t="n"/>
      <c r="AK64" s="2" t="n"/>
      <c r="AL64" s="2" t="n"/>
      <c r="AM64" s="2" t="n"/>
      <c r="AN64" s="2" t="n"/>
      <c r="AO64" s="2" t="n"/>
      <c r="AP64" s="2" t="n"/>
      <c r="AQ64" s="2" t="inlineStr">
        <is>
          <t>The LLM replaced u1 with p(lam), the identical phase gate, which transpiles to rz plus a global phase and keeps the U1 phase exactly; the current test requires the phase to be dropped (determinant 1), as in the reference. The team's earlier test_before.py, which requires the exact U1 phase, passes this fix on all 23 versions (debatable test, as with both luna models).</t>
        </is>
      </c>
      <c r="AR64" s="2" t="n"/>
      <c r="AS64" s="2" t="n"/>
      <c r="AT64" s="2" t="inlineStr">
        <is>
          <t>The LLM replaced u1 with p(lam), the identical phase gate, which transpiles to rz plus a global phase and keeps the U1 phase exactly; the current test requires the phase to be dropped (determinant 1), as in the reference. The team's earlier test_before.py, which requires the exact U1 phase, passes this fix on all 23 versions (debatable test, as with both luna models).</t>
        </is>
      </c>
      <c r="AU64" s="2" t="n"/>
      <c r="AV64" s="2" t="n"/>
      <c r="AW64" s="2" t="inlineStr">
        <is>
          <t>The LLM replaced u1 with p(lam), the identical phase gate, which transpiles to rz plus a global phase and keeps the U1 phase exactly; the current test requires the phase to be dropped (determinant 1), as in the reference. The team's earlier test_before.py, which requires the exact U1 phase, passes this fix on all 23 versions (debatable test, as with both luna models).</t>
        </is>
      </c>
      <c r="AX64" s="2" t="n"/>
      <c r="AY64" s="2" t="n"/>
      <c r="AZ64" s="2" t="inlineStr">
        <is>
          <t>The LLM replaced u1 with p(lam), the identical phase gate, which transpiles to rz plus a global phase and keeps the U1 phase exactly; the current test requires the phase to be dropped (determinant 1), as in the reference. The team's earlier test_before.py, which requires the exact U1 phase, passes this fix on all 23 versions (debatable test, as with both luna models).</t>
        </is>
      </c>
      <c r="BA64" s="2" t="n"/>
      <c r="BB64" s="2" t="n"/>
      <c r="BC64" s="2" t="inlineStr">
        <is>
          <t>The LLM replaced u1 with p(lam), the identical phase gate, which transpiles to rz plus a global phase and keeps the U1 phase exactly; the current test requires the phase to be dropped (determinant 1), as in the reference. The team's earlier test_before.py, which requires the exact U1 phase, passes this fix on all 23 versions (debatable test, as with both luna models).</t>
        </is>
      </c>
      <c r="BD64" s="2" t="n"/>
      <c r="BE64" s="2" t="n"/>
      <c r="BF64" s="2" t="inlineStr">
        <is>
          <t>The LLM replaced u1 with p(lam), the identical phase gate, which transpiles to rz plus a global phase and keeps the U1 phase exactly; the current test requires the phase to be dropped (determinant 1), as in the reference. The team's earlier test_before.py, which requires the exact U1 phase, passes this fix on all 23 versions (debatable test, as with both luna models).</t>
        </is>
      </c>
      <c r="BG64" s="2" t="n"/>
      <c r="BH64" s="2" t="n"/>
      <c r="BI64" s="2" t="inlineStr">
        <is>
          <t>The LLM replaced u1 with p(lam), the identical phase gate, which transpiles to rz plus a global phase and keeps the U1 phase exactly; the current test requires the phase to be dropped (determinant 1), as in the reference. The team's earlier test_before.py, which requires the exact U1 phase, passes this fix on all 23 versions (debatable test, as with both luna models).</t>
        </is>
      </c>
      <c r="BJ64" s="2" t="n"/>
      <c r="BK64" s="2" t="n"/>
      <c r="BL64" s="2" t="inlineStr">
        <is>
          <t>The LLM replaced u1 with p(lam), the identical phase gate, which transpiles to rz plus a global phase and keeps the U1 phase exactly; the current test requires the phase to be dropped (determinant 1), as in the reference. The team's earlier test_before.py, which requires the exact U1 phase, passes this fix on all 23 versions (debatable test, as with both luna models).</t>
        </is>
      </c>
      <c r="BM64" s="2" t="n"/>
      <c r="BN64" s="2" t="n"/>
      <c r="BO64" s="2" t="inlineStr">
        <is>
          <t>The LLM replaced u1 with p(lam), the identical phase gate, which transpiles to rz plus a global phase and keeps the U1 phase exactly; the current test requires the phase to be dropped (determinant 1), as in the reference. The team's earlier test_before.py, which requires the exact U1 phase, passes this fix on all 23 versions (debatable test, as with both luna models).</t>
        </is>
      </c>
      <c r="BP64" s="2" t="n"/>
      <c r="BQ64" s="2" t="n"/>
      <c r="BR64" s="2" t="inlineStr">
        <is>
          <t>The LLM replaced u1 with p(lam), the identical phase gate, which transpiles to rz plus a global phase and keeps the U1 phase exactly; the current test requires the phase to be dropped (determinant 1), as in the reference. The team's earlier test_before.py, which requires the exact U1 phase, passes this fix on all 23 versions (debatable test, as with both luna models).</t>
        </is>
      </c>
      <c r="BS64" s="2" t="n"/>
      <c r="BT64" s="2" t="n"/>
      <c r="BU64" s="2" t="inlineStr">
        <is>
          <t>The LLM replaced u1 with p(lam), the identical phase gate, which transpiles to rz plus a global phase and keeps the U1 phase exactly; the current test requires the phase to be dropped (determinant 1), as in the reference. The team's earlier test_before.py, which requires the exact U1 phase, passes this fix on all 23 versions (debatable test, as with both luna models).</t>
        </is>
      </c>
      <c r="BV64" s="2" t="n"/>
      <c r="BW64" s="2" t="n"/>
      <c r="BX64" s="2" t="inlineStr">
        <is>
          <t>The LLM replaced u1 with p(lam), the identical phase gate, which transpiles to rz plus a global phase and keeps the U1 phase exactly; the current test requires the phase to be dropped (determinant 1), as in the reference. The team's earlier test_before.py, which requires the exact U1 phase, passes this fix on all 23 versions (debatable test, as with both luna models).</t>
        </is>
      </c>
      <c r="BY64" s="2" t="n"/>
      <c r="BZ64" s="2" t="n"/>
      <c r="CA64" s="2" t="inlineStr">
        <is>
          <t>The LLM replaced u1 with p(lam), the identical phase gate, which transpiles to rz plus a global phase and keeps the U1 phase exactly; the current test requires the phase to be dropped (determinant 1), as in the reference. The team's earlier test_before.py, which requires the exact U1 phase, passes this fix on all 23 versions (debatable test, as with both luna models).</t>
        </is>
      </c>
      <c r="CB64" s="2" t="n"/>
      <c r="CC64" s="2" t="n"/>
      <c r="CD64" s="2" t="inlineStr">
        <is>
          <t>The LLM replaced u1 with p(lam), the identical phase gate, which transpiles to rz plus a global phase and keeps the U1 phase exactly; the current test requires the phase to be dropped (determinant 1), as in the reference. The team's earlier test_before.py, which requires the exact U1 phase, passes this fix on all 23 versions (debatable test, as with both luna models).</t>
        </is>
      </c>
      <c r="CE64" s="2" t="n"/>
      <c r="CF64" s="2" t="n"/>
      <c r="CG64" s="2" t="inlineStr">
        <is>
          <t>The LLM replaced u1 with p(lam), the identical phase gate, which transpiles to rz plus a global phase and keeps the U1 phase exactly; the current test requires the phase to be dropped (determinant 1), as in the reference. The team's earlier test_before.py, which requires the exact U1 phase, passes this fix on all 23 versions (debatable test, as with both luna models).</t>
        </is>
      </c>
      <c r="CH64" s="2" t="n"/>
      <c r="CI64" s="2" t="n"/>
      <c r="CJ64" s="2" t="inlineStr">
        <is>
          <t>The LLM replaced u1 with p(lam), the identical phase gate, which transpiles to rz plus a global phase and keeps the U1 phase exactly; the current test requires the phase to be dropped (determinant 1), as in the reference. The team's earlier test_before.py, which requires the exact U1 phase, passes this fix on all 23 versions (debatable test, as with both luna models).</t>
        </is>
      </c>
      <c r="CK64" s="2" t="n"/>
      <c r="CL64" s="2" t="n"/>
      <c r="CM64" s="2" t="inlineStr">
        <is>
          <t>The LLM replaced u1 with p(lam), the identical phase gate, which transpiles to rz plus a global phase and keeps the U1 phase exactly; the current test requires the phase to be dropped (determinant 1), as in the reference. The team's earlier test_before.py, which requires the exact U1 phase, passes this fix on all 23 versions (debatable test, as with both luna models).</t>
        </is>
      </c>
      <c r="CN64" s="2" t="n"/>
      <c r="CO64" s="2" t="n"/>
      <c r="CP64" s="2" t="inlineStr">
        <is>
          <t>The LLM replaced u1 with p(lam), the identical phase gate, which transpiles to rz plus a global phase and keeps the U1 phase exactly; the current test requires the phase to be dropped (determinant 1), as in the reference. The team's earlier test_before.py, which requires the exact U1 phase, passes this fix on all 23 versions (debatable test, as with both luna models).</t>
        </is>
      </c>
      <c r="CQ64" s="2" t="n"/>
      <c r="CR64" s="2" t="n"/>
      <c r="CS64" s="2" t="inlineStr">
        <is>
          <t>The LLM replaced u1 with p(lam), the identical phase gate, which transpiles to rz plus a global phase and keeps the U1 phase exactly; the current test requires the phase to be dropped (determinant 1), as in the reference. The team's earlier test_before.py, which requires the exact U1 phase, passes this fix on all 23 versions (debatable test, as with both luna models).</t>
        </is>
      </c>
      <c r="CT64" s="2" t="n"/>
      <c r="CU64" s="2" t="n"/>
      <c r="CV64" s="2" t="inlineStr">
        <is>
          <t>The LLM replaced u1 with p(lam), the identical phase gate, which transpiles to rz plus a global phase and keeps the U1 phase exactly; the current test requires the phase to be dropped (determinant 1), as in the reference. The team's earlier test_before.py, which requires the exact U1 phase, passes this fix on all 23 versions (debatable test, as with both luna models).</t>
        </is>
      </c>
      <c r="CW64" s="2" t="n"/>
      <c r="CX64" s="2" t="n"/>
      <c r="CY64" s="2" t="inlineStr">
        <is>
          <t>The LLM replaced u1 with p(lam), the identical phase gate, which transpiles to rz plus a global phase and keeps the U1 phase exactly; the current test requires the phase to be dropped (determinant 1), as in the reference. The team's earlier test_before.py, which requires the exact U1 phase, passes this fix on all 23 versions (debatable test, as with both luna models).</t>
        </is>
      </c>
      <c r="CZ64" s="2" t="n"/>
      <c r="DA64" s="2" t="n"/>
      <c r="DB64" s="2" t="inlineStr">
        <is>
          <t>The LLM replaced u1 with p(lam), the identical phase gate, which transpiles to rz plus a global phase and keeps the U1 phase exactly; the current test requires the phase to be dropped (determinant 1), as in the reference. The team's earlier test_before.py, which requires the exact U1 phase, passes this fix on all 23 versions (debatable test, as with both luna models).</t>
        </is>
      </c>
      <c r="DC64" s="2" t="n"/>
      <c r="DD64" s="2" t="n"/>
      <c r="DE64" s="2" t="inlineStr">
        <is>
          <t>The LLM replaced u1 with p(lam), the identical phase gate, which transpiles to rz plus a global phase and keeps the U1 phase exactly; the current test requires the phase to be dropped (determinant 1), as in the reference. The team's earlier test_before.py, which requires the exact U1 phase, passes this fix on all 23 versions (debatable test, as with both luna models).</t>
        </is>
      </c>
    </row>
    <row r="65">
      <c r="A65" s="2" t="inlineStr">
        <is>
          <t>issue_989</t>
        </is>
      </c>
      <c r="B65" s="3" t="inlineStr">
        <is>
          <t>NOT_TESTED</t>
        </is>
      </c>
      <c r="C65" s="3" t="inlineStr">
        <is>
          <t>NOT_TESTED</t>
        </is>
      </c>
      <c r="D65" s="3" t="inlineStr">
        <is>
          <t>NOT_TESTED</t>
        </is>
      </c>
      <c r="E65" s="3" t="inlineStr">
        <is>
          <t>NOT_TESTED</t>
        </is>
      </c>
      <c r="F65" s="3" t="inlineStr">
        <is>
          <t>NOT_TESTED</t>
        </is>
      </c>
      <c r="G65" s="3" t="inlineStr">
        <is>
          <t>NOT_TESTED</t>
        </is>
      </c>
      <c r="H65" s="3" t="inlineStr">
        <is>
          <t>NOT_TESTED</t>
        </is>
      </c>
      <c r="I65" s="3" t="inlineStr">
        <is>
          <t>NOT_TESTED</t>
        </is>
      </c>
      <c r="J65" s="3" t="inlineStr">
        <is>
          <t>NOT_TESTED</t>
        </is>
      </c>
      <c r="K65" s="3" t="inlineStr">
        <is>
          <t>NOT_TESTED</t>
        </is>
      </c>
      <c r="L65" s="3" t="inlineStr">
        <is>
          <t>NOT_TESTED</t>
        </is>
      </c>
      <c r="M65" s="3" t="inlineStr">
        <is>
          <t>NOT_TESTED</t>
        </is>
      </c>
      <c r="N65" s="4" t="inlineStr">
        <is>
          <t>Passed on test</t>
        </is>
      </c>
      <c r="O65" s="4" t="inlineStr">
        <is>
          <t>Passed on test</t>
        </is>
      </c>
      <c r="P65" s="4" t="inlineStr">
        <is>
          <t>Passed on test</t>
        </is>
      </c>
      <c r="Q65" s="4" t="inlineStr">
        <is>
          <t>Passed on test</t>
        </is>
      </c>
      <c r="R65" s="4" t="inlineStr">
        <is>
          <t>Passed on test</t>
        </is>
      </c>
      <c r="S65" s="4" t="inlineStr">
        <is>
          <t>Passed on test</t>
        </is>
      </c>
      <c r="T65" s="4" t="inlineStr">
        <is>
          <t>Passed on test</t>
        </is>
      </c>
      <c r="U65" s="4" t="inlineStr">
        <is>
          <t>Passed on test</t>
        </is>
      </c>
      <c r="V65" s="4" t="inlineStr">
        <is>
          <t>Passed on test</t>
        </is>
      </c>
      <c r="W65" s="4" t="inlineStr">
        <is>
          <t>Passed on test</t>
        </is>
      </c>
      <c r="X65" s="4" t="inlineStr">
        <is>
          <t>Passed on test</t>
        </is>
      </c>
      <c r="Y65" s="4" t="inlineStr">
        <is>
          <t>Passed on test</t>
        </is>
      </c>
      <c r="Z65" s="4" t="inlineStr">
        <is>
          <t>Passed on test</t>
        </is>
      </c>
      <c r="AA65" s="4" t="inlineStr">
        <is>
          <t>Passed on test</t>
        </is>
      </c>
      <c r="AB65" s="4" t="inlineStr">
        <is>
          <t>Passed on test</t>
        </is>
      </c>
      <c r="AC65" s="2" t="n"/>
      <c r="AD65" s="2" t="n"/>
      <c r="AE65" s="2" t="n"/>
      <c r="AF65" s="2" t="n"/>
      <c r="AG65" s="2" t="n"/>
      <c r="AH65" s="2" t="n"/>
      <c r="AI65" s="2" t="n"/>
      <c r="AJ65" s="2" t="n"/>
      <c r="AK65" s="2" t="n"/>
      <c r="AL65" s="2" t="n"/>
      <c r="AM65" s="2" t="n"/>
      <c r="AN65" s="2" t="n"/>
      <c r="AO65" s="2" t="n"/>
      <c r="AP65" s="2" t="n"/>
      <c r="AQ65" s="2" t="n"/>
      <c r="AR65" s="2" t="n"/>
      <c r="AS65" s="2" t="n"/>
      <c r="AT65" s="2" t="n"/>
      <c r="AU65" s="2" t="n"/>
      <c r="AV65" s="2" t="n"/>
      <c r="AW65" s="2" t="n"/>
      <c r="AX65" s="2" t="n"/>
      <c r="AY65" s="2" t="n"/>
      <c r="AZ65" s="2" t="n"/>
      <c r="BA65" s="2" t="n"/>
      <c r="BB65" s="2" t="n"/>
      <c r="BC65" s="2" t="n"/>
      <c r="BD65" s="2" t="n"/>
      <c r="BE65" s="2" t="n"/>
      <c r="BF65" s="2" t="n"/>
      <c r="BG65" s="2" t="n"/>
      <c r="BH65" s="2" t="n"/>
      <c r="BI65" s="2" t="n"/>
      <c r="BJ65" s="2" t="n"/>
      <c r="BK65" s="2" t="n"/>
      <c r="BL65" s="2" t="n"/>
      <c r="BM65" s="2" t="n"/>
      <c r="BN65" s="2" t="n"/>
      <c r="BO65" s="2" t="n"/>
      <c r="BP65" s="2" t="n"/>
      <c r="BQ65" s="2" t="n"/>
      <c r="BR65" s="2" t="n"/>
      <c r="BS65" s="2" t="n"/>
      <c r="BT65" s="2" t="n"/>
      <c r="BU65" s="2" t="n"/>
      <c r="BV65" s="2" t="n"/>
      <c r="BW65" s="2" t="n"/>
      <c r="BX65" s="2" t="n"/>
      <c r="BY65" s="2" t="n"/>
      <c r="BZ65" s="2" t="n"/>
      <c r="CA65" s="2" t="n"/>
      <c r="CB65" s="2" t="n"/>
      <c r="CC65" s="2" t="n"/>
      <c r="CD65" s="2" t="n"/>
      <c r="CE65" s="2" t="n"/>
      <c r="CF65" s="2" t="n"/>
      <c r="CG65" s="2" t="n"/>
      <c r="CH65" s="2" t="n"/>
      <c r="CI65" s="2" t="n"/>
      <c r="CJ65" s="2" t="n"/>
      <c r="CK65" s="2" t="n"/>
      <c r="CL65" s="2" t="n"/>
      <c r="CM65" s="2" t="n"/>
      <c r="CN65" s="2" t="n"/>
      <c r="CO65" s="2" t="n"/>
      <c r="CP65" s="2" t="n"/>
      <c r="CQ65" s="2" t="n"/>
      <c r="CR65" s="2" t="n"/>
      <c r="CS65" s="2" t="n"/>
      <c r="CT65" s="2" t="n"/>
      <c r="CU65" s="2" t="n"/>
      <c r="CV65" s="2" t="n"/>
      <c r="CW65" s="2" t="n"/>
      <c r="CX65" s="2" t="n"/>
      <c r="CY65" s="2" t="n"/>
      <c r="CZ65" s="2" t="n"/>
      <c r="DA65" s="2" t="n"/>
      <c r="DB65" s="2" t="n"/>
      <c r="DC65" s="2" t="n"/>
      <c r="DD65" s="2" t="n"/>
      <c r="DE65" s="2" t="n"/>
    </row>
    <row r="66">
      <c r="A66" s="2" t="inlineStr">
        <is>
          <t>issue_994</t>
        </is>
      </c>
      <c r="B66" s="4" t="inlineStr">
        <is>
          <t>Runtime error</t>
        </is>
      </c>
      <c r="C66" s="4" t="inlineStr">
        <is>
          <t>Runtime error</t>
        </is>
      </c>
      <c r="D66" s="4" t="inlineStr">
        <is>
          <t>Runtime error</t>
        </is>
      </c>
      <c r="E66" s="4" t="inlineStr">
        <is>
          <t>Runtime error</t>
        </is>
      </c>
      <c r="F66" s="3" t="inlineStr">
        <is>
          <t>NOT_TESTED</t>
        </is>
      </c>
      <c r="G66" s="3" t="inlineStr">
        <is>
          <t>NOT_TESTED</t>
        </is>
      </c>
      <c r="H66" s="3" t="inlineStr">
        <is>
          <t>NOT_TESTED</t>
        </is>
      </c>
      <c r="I66" s="3" t="inlineStr">
        <is>
          <t>NOT_TESTED</t>
        </is>
      </c>
      <c r="J66" s="3" t="inlineStr">
        <is>
          <t>NOT_TESTED</t>
        </is>
      </c>
      <c r="K66" s="3" t="inlineStr">
        <is>
          <t>NOT_TESTED</t>
        </is>
      </c>
      <c r="L66" s="3" t="inlineStr">
        <is>
          <t>NOT_TESTED</t>
        </is>
      </c>
      <c r="M66" s="3" t="inlineStr">
        <is>
          <t>NOT_TESTED</t>
        </is>
      </c>
      <c r="N66" s="3" t="inlineStr">
        <is>
          <t>NOT_TESTED</t>
        </is>
      </c>
      <c r="O66" s="3" t="inlineStr">
        <is>
          <t>NOT_TESTED</t>
        </is>
      </c>
      <c r="P66" s="3" t="inlineStr">
        <is>
          <t>NOT_TESTED</t>
        </is>
      </c>
      <c r="Q66" s="3" t="inlineStr">
        <is>
          <t>NOT_TESTED</t>
        </is>
      </c>
      <c r="R66" s="3" t="inlineStr">
        <is>
          <t>NOT_TESTED</t>
        </is>
      </c>
      <c r="S66" s="3" t="inlineStr">
        <is>
          <t>NOT_TESTED</t>
        </is>
      </c>
      <c r="T66" s="3" t="inlineStr">
        <is>
          <t>NOT_TESTED</t>
        </is>
      </c>
      <c r="U66" s="3" t="inlineStr">
        <is>
          <t>NOT_TESTED</t>
        </is>
      </c>
      <c r="V66" s="3" t="inlineStr">
        <is>
          <t>NOT_TESTED</t>
        </is>
      </c>
      <c r="W66" s="3" t="inlineStr">
        <is>
          <t>NOT_TESTED</t>
        </is>
      </c>
      <c r="X66" s="3" t="inlineStr">
        <is>
          <t>NOT_TESTED</t>
        </is>
      </c>
      <c r="Y66" s="3" t="inlineStr">
        <is>
          <t>NOT_TESTED</t>
        </is>
      </c>
      <c r="Z66" s="3" t="inlineStr">
        <is>
          <t>NOT_TESTED</t>
        </is>
      </c>
      <c r="AA66" s="3" t="inlineStr">
        <is>
          <t>NOT_TESTED</t>
        </is>
      </c>
      <c r="AB66" s="3" t="inlineStr">
        <is>
          <t>NOT_TESTED</t>
        </is>
      </c>
      <c r="AC66" s="2" t="inlineStr">
        <is>
          <t>KeyError</t>
        </is>
      </c>
      <c r="AD66" s="2" t="inlineStr">
        <is>
          <t>KeyError: 'statevector'</t>
        </is>
      </c>
      <c r="AE66" s="2" t="n"/>
      <c r="AF66" s="2" t="inlineStr">
        <is>
          <t>KeyError</t>
        </is>
      </c>
      <c r="AG66" s="2" t="inlineStr">
        <is>
          <t>KeyError: 'statevector'</t>
        </is>
      </c>
      <c r="AH66" s="2" t="n"/>
      <c r="AI66" s="2" t="inlineStr">
        <is>
          <t>KeyError</t>
        </is>
      </c>
      <c r="AJ66" s="2" t="inlineStr">
        <is>
          <t>KeyError: 'statevector'</t>
        </is>
      </c>
      <c r="AK66" s="2" t="n"/>
      <c r="AL66" s="2" t="inlineStr">
        <is>
          <t>KeyError</t>
        </is>
      </c>
      <c r="AM66" s="2" t="inlineStr">
        <is>
          <t>KeyError: 'statevector'</t>
        </is>
      </c>
      <c r="AN66" s="2" t="n"/>
      <c r="AO66" s="2" t="n"/>
      <c r="AP66" s="2" t="n"/>
      <c r="AQ66" s="2" t="n"/>
      <c r="AR66" s="2" t="n"/>
      <c r="AS66" s="2" t="n"/>
      <c r="AT66" s="2" t="n"/>
      <c r="AU66" s="2" t="n"/>
      <c r="AV66" s="2" t="n"/>
      <c r="AW66" s="2" t="n"/>
      <c r="AX66" s="2" t="n"/>
      <c r="AY66" s="2" t="n"/>
      <c r="AZ66" s="2" t="n"/>
      <c r="BA66" s="2" t="n"/>
      <c r="BB66" s="2" t="n"/>
      <c r="BC66" s="2" t="n"/>
      <c r="BD66" s="2" t="n"/>
      <c r="BE66" s="2" t="n"/>
      <c r="BF66" s="2" t="n"/>
      <c r="BG66" s="2" t="n"/>
      <c r="BH66" s="2" t="n"/>
      <c r="BI66" s="2" t="n"/>
      <c r="BJ66" s="2" t="n"/>
      <c r="BK66" s="2" t="n"/>
      <c r="BL66" s="2" t="n"/>
      <c r="BM66" s="2" t="n"/>
      <c r="BN66" s="2" t="n"/>
      <c r="BO66" s="2" t="n"/>
      <c r="BP66" s="2" t="n"/>
      <c r="BQ66" s="2" t="n"/>
      <c r="BR66" s="2" t="n"/>
      <c r="BS66" s="2" t="n"/>
      <c r="BT66" s="2" t="n"/>
      <c r="BU66" s="2" t="n"/>
      <c r="BV66" s="2" t="n"/>
      <c r="BW66" s="2" t="n"/>
      <c r="BX66" s="2" t="n"/>
      <c r="BY66" s="2" t="n"/>
      <c r="BZ66" s="2" t="n"/>
      <c r="CA66" s="2" t="n"/>
      <c r="CB66" s="2" t="n"/>
      <c r="CC66" s="2" t="n"/>
      <c r="CD66" s="2" t="n"/>
      <c r="CE66" s="2" t="n"/>
      <c r="CF66" s="2" t="n"/>
      <c r="CG66" s="2" t="n"/>
      <c r="CH66" s="2" t="n"/>
      <c r="CI66" s="2" t="n"/>
      <c r="CJ66" s="2" t="n"/>
      <c r="CK66" s="2" t="n"/>
      <c r="CL66" s="2" t="n"/>
      <c r="CM66" s="2" t="n"/>
      <c r="CN66" s="2" t="n"/>
      <c r="CO66" s="2" t="n"/>
      <c r="CP66" s="2" t="n"/>
      <c r="CQ66" s="2" t="n"/>
      <c r="CR66" s="2" t="n"/>
      <c r="CS66" s="2" t="n"/>
      <c r="CT66" s="2" t="n"/>
      <c r="CU66" s="2" t="n"/>
      <c r="CV66" s="2" t="n"/>
      <c r="CW66" s="2" t="n"/>
      <c r="CX66" s="2" t="n"/>
      <c r="CY66" s="2" t="n"/>
      <c r="CZ66" s="2" t="n"/>
      <c r="DA66" s="2" t="n"/>
      <c r="DB66" s="2" t="n"/>
      <c r="DC66" s="2" t="n"/>
      <c r="DD66" s="2" t="n"/>
      <c r="DE66" s="2" t="n"/>
    </row>
    <row r="67">
      <c r="A67" s="2" t="inlineStr">
        <is>
          <t>issue_1035</t>
        </is>
      </c>
      <c r="B67" s="3" t="inlineStr">
        <is>
          <t>NOT_TESTED</t>
        </is>
      </c>
      <c r="C67" s="3" t="inlineStr">
        <is>
          <t>NOT_TESTED</t>
        </is>
      </c>
      <c r="D67" s="3" t="inlineStr">
        <is>
          <t>NOT_TESTED</t>
        </is>
      </c>
      <c r="E67" s="3" t="inlineStr">
        <is>
          <t>NOT_TESTED</t>
        </is>
      </c>
      <c r="F67" s="5" t="inlineStr">
        <is>
          <t>Failed on test</t>
        </is>
      </c>
      <c r="G67" s="5" t="inlineStr">
        <is>
          <t>Failed on test</t>
        </is>
      </c>
      <c r="H67" s="5" t="inlineStr">
        <is>
          <t>Failed on test</t>
        </is>
      </c>
      <c r="I67" s="5" t="inlineStr">
        <is>
          <t>Failed on test</t>
        </is>
      </c>
      <c r="J67" s="5" t="inlineStr">
        <is>
          <t>Failed on test</t>
        </is>
      </c>
      <c r="K67" s="5" t="inlineStr">
        <is>
          <t>Failed on test</t>
        </is>
      </c>
      <c r="L67" s="5" t="inlineStr">
        <is>
          <t>Failed on test</t>
        </is>
      </c>
      <c r="M67" s="5" t="inlineStr">
        <is>
          <t>Failed on test</t>
        </is>
      </c>
      <c r="N67" s="3" t="inlineStr">
        <is>
          <t>NOT_TESTED</t>
        </is>
      </c>
      <c r="O67" s="3" t="inlineStr">
        <is>
          <t>NOT_TESTED</t>
        </is>
      </c>
      <c r="P67" s="3" t="inlineStr">
        <is>
          <t>NOT_TESTED</t>
        </is>
      </c>
      <c r="Q67" s="3" t="inlineStr">
        <is>
          <t>NOT_TESTED</t>
        </is>
      </c>
      <c r="R67" s="3" t="inlineStr">
        <is>
          <t>NOT_TESTED</t>
        </is>
      </c>
      <c r="S67" s="3" t="inlineStr">
        <is>
          <t>NOT_TESTED</t>
        </is>
      </c>
      <c r="T67" s="3" t="inlineStr">
        <is>
          <t>NOT_TESTED</t>
        </is>
      </c>
      <c r="U67" s="3" t="inlineStr">
        <is>
          <t>NOT_TESTED</t>
        </is>
      </c>
      <c r="V67" s="3" t="inlineStr">
        <is>
          <t>NOT_TESTED</t>
        </is>
      </c>
      <c r="W67" s="3" t="inlineStr">
        <is>
          <t>NOT_TESTED</t>
        </is>
      </c>
      <c r="X67" s="3" t="inlineStr">
        <is>
          <t>NOT_TESTED</t>
        </is>
      </c>
      <c r="Y67" s="3" t="inlineStr">
        <is>
          <t>NOT_TESTED</t>
        </is>
      </c>
      <c r="Z67" s="3" t="inlineStr">
        <is>
          <t>NOT_TESTED</t>
        </is>
      </c>
      <c r="AA67" s="3" t="inlineStr">
        <is>
          <t>NOT_TESTED</t>
        </is>
      </c>
      <c r="AB67" s="3" t="inlineStr">
        <is>
          <t>NOT_TESTED</t>
        </is>
      </c>
      <c r="AC67" s="2" t="n"/>
      <c r="AD67" s="2" t="n"/>
      <c r="AE67" s="2" t="n"/>
      <c r="AF67" s="2" t="n"/>
      <c r="AG67" s="2" t="n"/>
      <c r="AH67" s="2" t="n"/>
      <c r="AI67" s="2" t="n"/>
      <c r="AJ67" s="2" t="n"/>
      <c r="AK67" s="2" t="n"/>
      <c r="AL67" s="2" t="n"/>
      <c r="AM67" s="2" t="n"/>
      <c r="AN67" s="2" t="n"/>
      <c r="AO67" s="2" t="inlineStr">
        <is>
          <t>AssertionError</t>
        </is>
      </c>
      <c r="AP67" s="2" t="inlineStr">
        <is>
          <t>AssertionError: OFFLINE_CONTRACT: Runtime account/session is not a local fake backend</t>
        </is>
      </c>
      <c r="AQ67" s="2" t="inlineStr">
        <is>
          <t>The LLM answered NO BUG, saying the Runtime Estimator code is correct and adding fake-backend noise would be an enhancement, so the code still uses the cloud Runtime service, which the offline test rejects. Both luna models switched to a local Aer Estimator with FakeManila's noise model and passed.</t>
        </is>
      </c>
      <c r="AR67" s="2" t="inlineStr">
        <is>
          <t>AssertionError</t>
        </is>
      </c>
      <c r="AS67" s="2" t="inlineStr">
        <is>
          <t>AssertionError: OFFLINE_CONTRACT: Runtime account/session is not a local fake backend</t>
        </is>
      </c>
      <c r="AT67" s="2" t="inlineStr">
        <is>
          <t>The LLM answered NO BUG, saying the Runtime Estimator code is correct and adding fake-backend noise would be an enhancement, so the code still uses the cloud Runtime service, which the offline test rejects. Both luna models switched to a local Aer Estimator with FakeManila's noise model and passed.</t>
        </is>
      </c>
      <c r="AU67" s="2" t="inlineStr">
        <is>
          <t>AssertionError</t>
        </is>
      </c>
      <c r="AV67" s="2" t="inlineStr">
        <is>
          <t>AssertionError: OFFLINE_CONTRACT: Runtime account/session is not a local fake backend</t>
        </is>
      </c>
      <c r="AW67" s="2" t="inlineStr">
        <is>
          <t>The LLM answered NO BUG, saying the Runtime Estimator code is correct and adding fake-backend noise would be an enhancement, so the code still uses the cloud Runtime service, which the offline test rejects. Both luna models switched to a local Aer Estimator with FakeManila's noise model and passed.</t>
        </is>
      </c>
      <c r="AX67" s="2" t="inlineStr">
        <is>
          <t>AssertionError</t>
        </is>
      </c>
      <c r="AY67" s="2" t="inlineStr">
        <is>
          <t>AssertionError: OFFLINE_CONTRACT: Runtime account/session is not a local fake backend</t>
        </is>
      </c>
      <c r="AZ67" s="2" t="inlineStr">
        <is>
          <t>The LLM answered NO BUG, saying the Runtime Estimator code is correct and adding fake-backend noise would be an enhancement, so the code still uses the cloud Runtime service, which the offline test rejects. Both luna models switched to a local Aer Estimator with FakeManila's noise model and passed.</t>
        </is>
      </c>
      <c r="BA67" s="2" t="inlineStr">
        <is>
          <t>AssertionError</t>
        </is>
      </c>
      <c r="BB67" s="2" t="inlineStr">
        <is>
          <t>AssertionError: OFFLINE_CONTRACT: Runtime account/session is not a local fake backend</t>
        </is>
      </c>
      <c r="BC67" s="2" t="inlineStr">
        <is>
          <t>The LLM answered NO BUG, saying the Runtime Estimator code is correct and adding fake-backend noise would be an enhancement, so the code still uses the cloud Runtime service, which the offline test rejects. Both luna models switched to a local Aer Estimator with FakeManila's noise model and passed.</t>
        </is>
      </c>
      <c r="BD67" s="2" t="inlineStr">
        <is>
          <t>AssertionError</t>
        </is>
      </c>
      <c r="BE67" s="2" t="inlineStr">
        <is>
          <t>AssertionError: OFFLINE_CONTRACT: Runtime account/session is not a local fake backend</t>
        </is>
      </c>
      <c r="BF67" s="2" t="inlineStr">
        <is>
          <t>The LLM answered NO BUG, saying the Runtime Estimator code is correct and adding fake-backend noise would be an enhancement, so the code still uses the cloud Runtime service, which the offline test rejects. Both luna models switched to a local Aer Estimator with FakeManila's noise model and passed.</t>
        </is>
      </c>
      <c r="BG67" s="2" t="inlineStr">
        <is>
          <t>AssertionError</t>
        </is>
      </c>
      <c r="BH67" s="2" t="inlineStr">
        <is>
          <t>AssertionError: OFFLINE_CONTRACT: Runtime account/session is not a local fake backend</t>
        </is>
      </c>
      <c r="BI67" s="2" t="inlineStr">
        <is>
          <t>The LLM answered NO BUG, saying the Runtime Estimator code is correct and adding fake-backend noise would be an enhancement, so the code still uses the cloud Runtime service, which the offline test rejects. Both luna models switched to a local Aer Estimator with FakeManila's noise model and passed.</t>
        </is>
      </c>
      <c r="BJ67" s="2" t="inlineStr">
        <is>
          <t>AssertionError</t>
        </is>
      </c>
      <c r="BK67" s="2" t="inlineStr">
        <is>
          <t>AssertionError: OFFLINE_CONTRACT: Runtime account/session is not a local fake backend</t>
        </is>
      </c>
      <c r="BL67" s="2" t="inlineStr">
        <is>
          <t>The LLM answered NO BUG, saying the Runtime Estimator code is correct and adding fake-backend noise would be an enhancement, so the code still uses the cloud Runtime service, which the offline test rejects. Both luna models switched to a local Aer Estimator with FakeManila's noise model and passed.</t>
        </is>
      </c>
      <c r="BM67" s="2" t="n"/>
      <c r="BN67" s="2" t="n"/>
      <c r="BO67" s="2" t="n"/>
      <c r="BP67" s="2" t="n"/>
      <c r="BQ67" s="2" t="n"/>
      <c r="BR67" s="2" t="n"/>
      <c r="BS67" s="2" t="n"/>
      <c r="BT67" s="2" t="n"/>
      <c r="BU67" s="2" t="n"/>
      <c r="BV67" s="2" t="n"/>
      <c r="BW67" s="2" t="n"/>
      <c r="BX67" s="2" t="n"/>
      <c r="BY67" s="2" t="n"/>
      <c r="BZ67" s="2" t="n"/>
      <c r="CA67" s="2" t="n"/>
      <c r="CB67" s="2" t="n"/>
      <c r="CC67" s="2" t="n"/>
      <c r="CD67" s="2" t="n"/>
      <c r="CE67" s="2" t="n"/>
      <c r="CF67" s="2" t="n"/>
      <c r="CG67" s="2" t="n"/>
      <c r="CH67" s="2" t="n"/>
      <c r="CI67" s="2" t="n"/>
      <c r="CJ67" s="2" t="n"/>
      <c r="CK67" s="2" t="n"/>
      <c r="CL67" s="2" t="n"/>
      <c r="CM67" s="2" t="n"/>
      <c r="CN67" s="2" t="n"/>
      <c r="CO67" s="2" t="n"/>
      <c r="CP67" s="2" t="n"/>
      <c r="CQ67" s="2" t="n"/>
      <c r="CR67" s="2" t="n"/>
      <c r="CS67" s="2" t="n"/>
      <c r="CT67" s="2" t="n"/>
      <c r="CU67" s="2" t="n"/>
      <c r="CV67" s="2" t="n"/>
      <c r="CW67" s="2" t="n"/>
      <c r="CX67" s="2" t="n"/>
      <c r="CY67" s="2" t="n"/>
      <c r="CZ67" s="2" t="n"/>
      <c r="DA67" s="2" t="n"/>
      <c r="DB67" s="2" t="n"/>
      <c r="DC67" s="2" t="n"/>
      <c r="DD67" s="2" t="n"/>
      <c r="DE67" s="2" t="n"/>
    </row>
    <row r="68">
      <c r="A68" s="2" t="inlineStr">
        <is>
          <t>issue_772</t>
        </is>
      </c>
      <c r="B68" s="4" t="inlineStr">
        <is>
          <t>Passed on test</t>
        </is>
      </c>
      <c r="C68" s="4" t="inlineStr">
        <is>
          <t>Passed on test</t>
        </is>
      </c>
      <c r="D68" s="4" t="inlineStr">
        <is>
          <t>Passed on test</t>
        </is>
      </c>
      <c r="E68" s="4" t="inlineStr">
        <is>
          <t>Passed on test</t>
        </is>
      </c>
      <c r="F68" s="4" t="inlineStr">
        <is>
          <t>Passed on test</t>
        </is>
      </c>
      <c r="G68" s="4" t="inlineStr">
        <is>
          <t>Passed on test</t>
        </is>
      </c>
      <c r="H68" s="4" t="inlineStr">
        <is>
          <t>Passed on test</t>
        </is>
      </c>
      <c r="I68" s="4" t="inlineStr">
        <is>
          <t>Passed on test</t>
        </is>
      </c>
      <c r="J68" s="4" t="inlineStr">
        <is>
          <t>Passed on test</t>
        </is>
      </c>
      <c r="K68" s="4" t="inlineStr">
        <is>
          <t>Passed on test</t>
        </is>
      </c>
      <c r="L68" s="4" t="inlineStr">
        <is>
          <t>Passed on test</t>
        </is>
      </c>
      <c r="M68" s="4" t="inlineStr">
        <is>
          <t>Passed on test</t>
        </is>
      </c>
      <c r="N68" s="3" t="inlineStr">
        <is>
          <t>NOT_TESTED</t>
        </is>
      </c>
      <c r="O68" s="3" t="inlineStr">
        <is>
          <t>NOT_TESTED</t>
        </is>
      </c>
      <c r="P68" s="3" t="inlineStr">
        <is>
          <t>NOT_TESTED</t>
        </is>
      </c>
      <c r="Q68" s="3" t="inlineStr">
        <is>
          <t>NOT_TESTED</t>
        </is>
      </c>
      <c r="R68" s="3" t="inlineStr">
        <is>
          <t>NOT_TESTED</t>
        </is>
      </c>
      <c r="S68" s="3" t="inlineStr">
        <is>
          <t>NOT_TESTED</t>
        </is>
      </c>
      <c r="T68" s="3" t="inlineStr">
        <is>
          <t>NOT_TESTED</t>
        </is>
      </c>
      <c r="U68" s="3" t="inlineStr">
        <is>
          <t>NOT_TESTED</t>
        </is>
      </c>
      <c r="V68" s="3" t="inlineStr">
        <is>
          <t>NOT_TESTED</t>
        </is>
      </c>
      <c r="W68" s="3" t="inlineStr">
        <is>
          <t>NOT_TESTED</t>
        </is>
      </c>
      <c r="X68" s="3" t="inlineStr">
        <is>
          <t>NOT_TESTED</t>
        </is>
      </c>
      <c r="Y68" s="3" t="inlineStr">
        <is>
          <t>NOT_TESTED</t>
        </is>
      </c>
      <c r="Z68" s="3" t="inlineStr">
        <is>
          <t>NOT_TESTED</t>
        </is>
      </c>
      <c r="AA68" s="3" t="inlineStr">
        <is>
          <t>NOT_TESTED</t>
        </is>
      </c>
      <c r="AB68" s="3" t="inlineStr">
        <is>
          <t>NOT_TESTED</t>
        </is>
      </c>
      <c r="AC68" s="2" t="n"/>
      <c r="AD68" s="2" t="n"/>
      <c r="AE68" s="2" t="n"/>
      <c r="AF68" s="2" t="n"/>
      <c r="AG68" s="2" t="n"/>
      <c r="AH68" s="2" t="n"/>
      <c r="AI68" s="2" t="n"/>
      <c r="AJ68" s="2" t="n"/>
      <c r="AK68" s="2" t="n"/>
      <c r="AL68" s="2" t="n"/>
      <c r="AM68" s="2" t="n"/>
      <c r="AN68" s="2" t="n"/>
      <c r="AO68" s="2" t="n"/>
      <c r="AP68" s="2" t="n"/>
      <c r="AQ68" s="2" t="n"/>
      <c r="AR68" s="2" t="n"/>
      <c r="AS68" s="2" t="n"/>
      <c r="AT68" s="2" t="n"/>
      <c r="AU68" s="2" t="n"/>
      <c r="AV68" s="2" t="n"/>
      <c r="AW68" s="2" t="n"/>
      <c r="AX68" s="2" t="n"/>
      <c r="AY68" s="2" t="n"/>
      <c r="AZ68" s="2" t="n"/>
      <c r="BA68" s="2" t="n"/>
      <c r="BB68" s="2" t="n"/>
      <c r="BC68" s="2" t="n"/>
      <c r="BD68" s="2" t="n"/>
      <c r="BE68" s="2" t="n"/>
      <c r="BF68" s="2" t="n"/>
      <c r="BG68" s="2" t="n"/>
      <c r="BH68" s="2" t="n"/>
      <c r="BI68" s="2" t="n"/>
      <c r="BJ68" s="2" t="n"/>
      <c r="BK68" s="2" t="n"/>
      <c r="BL68" s="2" t="n"/>
      <c r="BM68" s="2" t="n"/>
      <c r="BN68" s="2" t="n"/>
      <c r="BO68" s="2" t="n"/>
      <c r="BP68" s="2" t="n"/>
      <c r="BQ68" s="2" t="n"/>
      <c r="BR68" s="2" t="n"/>
      <c r="BS68" s="2" t="n"/>
      <c r="BT68" s="2" t="n"/>
      <c r="BU68" s="2" t="n"/>
      <c r="BV68" s="2" t="n"/>
      <c r="BW68" s="2" t="n"/>
      <c r="BX68" s="2" t="n"/>
      <c r="BY68" s="2" t="n"/>
      <c r="BZ68" s="2" t="n"/>
      <c r="CA68" s="2" t="n"/>
      <c r="CB68" s="2" t="n"/>
      <c r="CC68" s="2" t="n"/>
      <c r="CD68" s="2" t="n"/>
      <c r="CE68" s="2" t="n"/>
      <c r="CF68" s="2" t="n"/>
      <c r="CG68" s="2" t="n"/>
      <c r="CH68" s="2" t="n"/>
      <c r="CI68" s="2" t="n"/>
      <c r="CJ68" s="2" t="n"/>
      <c r="CK68" s="2" t="n"/>
      <c r="CL68" s="2" t="n"/>
      <c r="CM68" s="2" t="n"/>
      <c r="CN68" s="2" t="n"/>
      <c r="CO68" s="2" t="n"/>
      <c r="CP68" s="2" t="n"/>
      <c r="CQ68" s="2" t="n"/>
      <c r="CR68" s="2" t="n"/>
      <c r="CS68" s="2" t="n"/>
      <c r="CT68" s="2" t="n"/>
      <c r="CU68" s="2" t="n"/>
      <c r="CV68" s="2" t="n"/>
      <c r="CW68" s="2" t="n"/>
      <c r="CX68" s="2" t="n"/>
      <c r="CY68" s="2" t="n"/>
      <c r="CZ68" s="2" t="n"/>
      <c r="DA68" s="2" t="n"/>
      <c r="DB68" s="2" t="n"/>
      <c r="DC68" s="2" t="n"/>
      <c r="DD68" s="2" t="n"/>
      <c r="DE68" s="2" t="n"/>
    </row>
    <row r="69">
      <c r="A69" s="2" t="inlineStr">
        <is>
          <t>issue_790</t>
        </is>
      </c>
      <c r="B69" s="3" t="inlineStr">
        <is>
          <t>NOT_TESTED</t>
        </is>
      </c>
      <c r="C69" s="3" t="inlineStr">
        <is>
          <t>NOT_TESTED</t>
        </is>
      </c>
      <c r="D69" s="3" t="inlineStr">
        <is>
          <t>NOT_TESTED</t>
        </is>
      </c>
      <c r="E69" s="3" t="inlineStr">
        <is>
          <t>NOT_TESTED</t>
        </is>
      </c>
      <c r="F69" s="5" t="inlineStr">
        <is>
          <t>Failed on test</t>
        </is>
      </c>
      <c r="G69" s="5" t="inlineStr">
        <is>
          <t>Failed on test</t>
        </is>
      </c>
      <c r="H69" s="5" t="inlineStr">
        <is>
          <t>Failed on test</t>
        </is>
      </c>
      <c r="I69" s="5" t="inlineStr">
        <is>
          <t>Failed on test</t>
        </is>
      </c>
      <c r="J69" s="5" t="inlineStr">
        <is>
          <t>Failed on test</t>
        </is>
      </c>
      <c r="K69" s="5" t="inlineStr">
        <is>
          <t>Failed on test</t>
        </is>
      </c>
      <c r="L69" s="5" t="inlineStr">
        <is>
          <t>Failed on test</t>
        </is>
      </c>
      <c r="M69" s="5" t="inlineStr">
        <is>
          <t>Failed on test</t>
        </is>
      </c>
      <c r="N69" s="5" t="inlineStr">
        <is>
          <t>Failed on test</t>
        </is>
      </c>
      <c r="O69" s="5" t="inlineStr">
        <is>
          <t>Failed on test</t>
        </is>
      </c>
      <c r="P69" s="5" t="inlineStr">
        <is>
          <t>Failed on test</t>
        </is>
      </c>
      <c r="Q69" s="5" t="inlineStr">
        <is>
          <t>Failed on test</t>
        </is>
      </c>
      <c r="R69" s="5" t="inlineStr">
        <is>
          <t>Failed on test</t>
        </is>
      </c>
      <c r="S69" s="5" t="inlineStr">
        <is>
          <t>Failed on test</t>
        </is>
      </c>
      <c r="T69" s="5" t="inlineStr">
        <is>
          <t>Failed on test</t>
        </is>
      </c>
      <c r="U69" s="5" t="inlineStr">
        <is>
          <t>Failed on test</t>
        </is>
      </c>
      <c r="V69" s="5" t="inlineStr">
        <is>
          <t>Failed on test</t>
        </is>
      </c>
      <c r="W69" s="5" t="inlineStr">
        <is>
          <t>Failed on test</t>
        </is>
      </c>
      <c r="X69" s="5" t="inlineStr">
        <is>
          <t>Failed on test</t>
        </is>
      </c>
      <c r="Y69" s="5" t="inlineStr">
        <is>
          <t>Failed on test</t>
        </is>
      </c>
      <c r="Z69" s="5" t="inlineStr">
        <is>
          <t>Failed on test</t>
        </is>
      </c>
      <c r="AA69" s="5" t="inlineStr">
        <is>
          <t>Failed on test</t>
        </is>
      </c>
      <c r="AB69" s="5" t="inlineStr">
        <is>
          <t>Failed on test</t>
        </is>
      </c>
      <c r="AC69" s="2" t="n"/>
      <c r="AD69" s="2" t="n"/>
      <c r="AE69" s="2" t="n"/>
      <c r="AF69" s="2" t="n"/>
      <c r="AG69" s="2" t="n"/>
      <c r="AH69" s="2" t="n"/>
      <c r="AI69" s="2" t="n"/>
      <c r="AJ69" s="2" t="n"/>
      <c r="AK69" s="2" t="n"/>
      <c r="AL69" s="2" t="n"/>
      <c r="AM69" s="2" t="n"/>
      <c r="AN69" s="2" t="n"/>
      <c r="AO69" s="2" t="inlineStr">
        <is>
          <t>AssertionError</t>
        </is>
      </c>
      <c r="AP69" s="2" t="inlineStr">
        <is>
          <t>AssertionError: 1.630715739004526 not less than or equal to 0.7083783495810843 : circuit does not approximate exp(-i H) within the six-step second-order bound</t>
        </is>
      </c>
      <c r="AQ69" s="2" t="inlineStr">
        <is>
          <t>The LLM turned X, Y and Z into SparsePauliOps, which removes the Pauli - Pauli subtraction crash both luna models kept, and attached the SuzukiTrotter synthesis to each separate evolution gate before decompose(). Each bond is then split into six steps on its own, but the bonds are still applied one after another only once, a single coarse Trotter step of the full Hamiltonian, so the distance from exp(-iH) is 1.63, above the test's bound of 0.71. The reference builds one SparsePauliOp Hamiltonian and synthesizes one gate.</t>
        </is>
      </c>
      <c r="AR69" s="2" t="inlineStr">
        <is>
          <t>AssertionError</t>
        </is>
      </c>
      <c r="AS69" s="2" t="inlineStr">
        <is>
          <t>AssertionError: 1.630715739004526 not less than or equal to 0.7083783495810843 : circuit does not approximate exp(-i H) within the six-step second-order bound</t>
        </is>
      </c>
      <c r="AT69" s="2" t="inlineStr">
        <is>
          <t>The LLM turned X, Y and Z into SparsePauliOps, which removes the Pauli - Pauli subtraction crash both luna models kept, and attached the SuzukiTrotter synthesis to each separate evolution gate before decompose(). Each bond is then split into six steps on its own, but the bonds are still applied one after another only once, a single coarse Trotter step of the full Hamiltonian, so the distance from exp(-iH) is 1.63, above the test's bound of 0.71. The reference builds one SparsePauliOp Hamiltonian and synthesizes one gate.</t>
        </is>
      </c>
      <c r="AU69" s="2" t="inlineStr">
        <is>
          <t>AssertionError</t>
        </is>
      </c>
      <c r="AV69" s="2" t="inlineStr">
        <is>
          <t>AssertionError: 1.630715739004526 not less than or equal to 0.7083783495810843 : circuit does not approximate exp(-i H) within the six-step second-order bound</t>
        </is>
      </c>
      <c r="AW69" s="2" t="inlineStr">
        <is>
          <t>The LLM turned X, Y and Z into SparsePauliOps, which removes the Pauli - Pauli subtraction crash both luna models kept, and attached the SuzukiTrotter synthesis to each separate evolution gate before decompose(). Each bond is then split into six steps on its own, but the bonds are still applied one after another only once, a single coarse Trotter step of the full Hamiltonian, so the distance from exp(-iH) is 1.63, above the test's bound of 0.71. The reference builds one SparsePauliOp Hamiltonian and synthesizes one gate.</t>
        </is>
      </c>
      <c r="AX69" s="2" t="inlineStr">
        <is>
          <t>AssertionError</t>
        </is>
      </c>
      <c r="AY69" s="2" t="inlineStr">
        <is>
          <t>AssertionError: 1.630715739004526 not less than or equal to 0.7083783495810843 : circuit does not approximate exp(-i H) within the six-step second-order bound</t>
        </is>
      </c>
      <c r="AZ69" s="2" t="inlineStr">
        <is>
          <t>The LLM turned X, Y and Z into SparsePauliOps, which removes the Pauli - Pauli subtraction crash both luna models kept, and attached the SuzukiTrotter synthesis to each separate evolution gate before decompose(). Each bond is then split into six steps on its own, but the bonds are still applied one after another only once, a single coarse Trotter step of the full Hamiltonian, so the distance from exp(-iH) is 1.63, above the test's bound of 0.71. The reference builds one SparsePauliOp Hamiltonian and synthesizes one gate.</t>
        </is>
      </c>
      <c r="BA69" s="2" t="inlineStr">
        <is>
          <t>AssertionError</t>
        </is>
      </c>
      <c r="BB69" s="2" t="inlineStr">
        <is>
          <t>AssertionError: 1.630715739004526 not less than or equal to 0.7083783495810843 : circuit does not approximate exp(-i H) within the six-step second-order bound</t>
        </is>
      </c>
      <c r="BC69" s="2" t="inlineStr">
        <is>
          <t>The LLM turned X, Y and Z into SparsePauliOps, which removes the Pauli - Pauli subtraction crash both luna models kept, and attached the SuzukiTrotter synthesis to each separate evolution gate before decompose(). Each bond is then split into six steps on its own, but the bonds are still applied one after another only once, a single coarse Trotter step of the full Hamiltonian, so the distance from exp(-iH) is 1.63, above the test's bound of 0.71. The reference builds one SparsePauliOp Hamiltonian and synthesizes one gate.</t>
        </is>
      </c>
      <c r="BD69" s="2" t="inlineStr">
        <is>
          <t>AssertionError</t>
        </is>
      </c>
      <c r="BE69" s="2" t="inlineStr">
        <is>
          <t>AssertionError: 1.630715739004526 not less than or equal to 0.7083783495810843 : circuit does not approximate exp(-i H) within the six-step second-order bound</t>
        </is>
      </c>
      <c r="BF69" s="2" t="inlineStr">
        <is>
          <t>The LLM turned X, Y and Z into SparsePauliOps, which removes the Pauli - Pauli subtraction crash both luna models kept, and attached the SuzukiTrotter synthesis to each separate evolution gate before decompose(). Each bond is then split into six steps on its own, but the bonds are still applied one after another only once, a single coarse Trotter step of the full Hamiltonian, so the distance from exp(-iH) is 1.63, above the test's bound of 0.71. The reference builds one SparsePauliOp Hamiltonian and synthesizes one gate.</t>
        </is>
      </c>
      <c r="BG69" s="2" t="inlineStr">
        <is>
          <t>AssertionError</t>
        </is>
      </c>
      <c r="BH69" s="2" t="inlineStr">
        <is>
          <t>AssertionError: np.float64(1.6307157390045257) not less than or equal to np.float64(0.7083783495810843) : circuit does not approximate exp(-i H) within the six-step second-order bound</t>
        </is>
      </c>
      <c r="BI69" s="2" t="inlineStr">
        <is>
          <t>The LLM turned X, Y and Z into SparsePauliOps, which removes the Pauli - Pauli subtraction crash both luna models kept, and attached the SuzukiTrotter synthesis to each separate evolution gate before decompose(). Each bond is then split into six steps on its own, but the bonds are still applied one after another only once, a single coarse Trotter step of the full Hamiltonian, so the distance from exp(-iH) is 1.63, above the test's bound of 0.71. The reference builds one SparsePauliOp Hamiltonian and synthesizes one gate.</t>
        </is>
      </c>
      <c r="BJ69" s="2" t="inlineStr">
        <is>
          <t>AssertionError</t>
        </is>
      </c>
      <c r="BK69" s="2" t="inlineStr">
        <is>
          <t>AssertionError: np.float64(1.6307157390045257) not less than or equal to np.float64(0.7083783495810843) : circuit does not approximate exp(-i H) within the six-step second-order bound</t>
        </is>
      </c>
      <c r="BL69" s="2" t="inlineStr">
        <is>
          <t>The LLM turned X, Y and Z into SparsePauliOps, which removes the Pauli - Pauli subtraction crash both luna models kept, and attached the SuzukiTrotter synthesis to each separate evolution gate before decompose(). Each bond is then split into six steps on its own, but the bonds are still applied one after another only once, a single coarse Trotter step of the full Hamiltonian, so the distance from exp(-iH) is 1.63, above the test's bound of 0.71. The reference builds one SparsePauliOp Hamiltonian and synthesizes one gate.</t>
        </is>
      </c>
      <c r="BM69" s="2" t="inlineStr">
        <is>
          <t>AssertionError</t>
        </is>
      </c>
      <c r="BN69" s="2" t="inlineStr">
        <is>
          <t>AssertionError: 1.630715739004526 not less than or equal to 0.7083783495810843 : circuit does not approximate exp(-i H) within the six-step second-order bound</t>
        </is>
      </c>
      <c r="BO69" s="2" t="inlineStr">
        <is>
          <t>The LLM turned X, Y and Z into SparsePauliOps, which removes the Pauli - Pauli subtraction crash both luna models kept, and attached the SuzukiTrotter synthesis to each separate evolution gate before decompose(). Each bond is then split into six steps on its own, but the bonds are still applied one after another only once, a single coarse Trotter step of the full Hamiltonian, so the distance from exp(-iH) is 1.63, above the test's bound of 0.71. The reference builds one SparsePauliOp Hamiltonian and synthesizes one gate.</t>
        </is>
      </c>
      <c r="BP69" s="2" t="inlineStr">
        <is>
          <t>AssertionError</t>
        </is>
      </c>
      <c r="BQ69" s="2" t="inlineStr">
        <is>
          <t>AssertionError: 1.630715739004526 not less than or equal to 0.7083783495810843 : circuit does not approximate exp(-i H) within the six-step second-order bound</t>
        </is>
      </c>
      <c r="BR69" s="2" t="inlineStr">
        <is>
          <t>The LLM turned X, Y and Z into SparsePauliOps, which removes the Pauli - Pauli subtraction crash both luna models kept, and attached the SuzukiTrotter synthesis to each separate evolution gate before decompose(). Each bond is then split into six steps on its own, but the bonds are still applied one after another only once, a single coarse Trotter step of the full Hamiltonian, so the distance from exp(-iH) is 1.63, above the test's bound of 0.71. The reference builds one SparsePauliOp Hamiltonian and synthesizes one gate.</t>
        </is>
      </c>
      <c r="BS69" s="2" t="inlineStr">
        <is>
          <t>AssertionError</t>
        </is>
      </c>
      <c r="BT69" s="2" t="inlineStr">
        <is>
          <t>AssertionError: 1.630715739004526 not less than or equal to 0.7083783495810843 : circuit does not approximate exp(-i H) within the six-step second-order bound</t>
        </is>
      </c>
      <c r="BU69" s="2" t="inlineStr">
        <is>
          <t>The LLM turned X, Y and Z into SparsePauliOps, which removes the Pauli - Pauli subtraction crash both luna models kept, and attached the SuzukiTrotter synthesis to each separate evolution gate before decompose(). Each bond is then split into six steps on its own, but the bonds are still applied one after another only once, a single coarse Trotter step of the full Hamiltonian, so the distance from exp(-iH) is 1.63, above the test's bound of 0.71. The reference builds one SparsePauliOp Hamiltonian and synthesizes one gate.</t>
        </is>
      </c>
      <c r="BV69" s="2" t="inlineStr">
        <is>
          <t>AssertionError</t>
        </is>
      </c>
      <c r="BW69" s="2" t="inlineStr">
        <is>
          <t>AssertionError: np.float64(1.6307157390045257) not less than or equal to np.float64(0.7083783495810843) : circuit does not approximate exp(-i H) within the six-step second-order bound</t>
        </is>
      </c>
      <c r="BX69" s="2" t="inlineStr">
        <is>
          <t>The LLM turned X, Y and Z into SparsePauliOps, which removes the Pauli - Pauli subtraction crash both luna models kept, and attached the SuzukiTrotter synthesis to each separate evolution gate before decompose(). Each bond is then split into six steps on its own, but the bonds are still applied one after another only once, a single coarse Trotter step of the full Hamiltonian, so the distance from exp(-iH) is 1.63, above the test's bound of 0.71. The reference builds one SparsePauliOp Hamiltonian and synthesizes one gate.</t>
        </is>
      </c>
      <c r="BY69" s="2" t="inlineStr">
        <is>
          <t>AssertionError</t>
        </is>
      </c>
      <c r="BZ69" s="2" t="inlineStr">
        <is>
          <t>AssertionError: np.float64(1.6307157390045257) not less than or equal to np.float64(0.7083783495810843) : circuit does not approximate exp(-i H) within the six-step second-order bound</t>
        </is>
      </c>
      <c r="CA69" s="2" t="inlineStr">
        <is>
          <t>The LLM turned X, Y and Z into SparsePauliOps, which removes the Pauli - Pauli subtraction crash both luna models kept, and attached the SuzukiTrotter synthesis to each separate evolution gate before decompose(). Each bond is then split into six steps on its own, but the bonds are still applied one after another only once, a single coarse Trotter step of the full Hamiltonian, so the distance from exp(-iH) is 1.63, above the test's bound of 0.71. The reference builds one SparsePauliOp Hamiltonian and synthesizes one gate.</t>
        </is>
      </c>
      <c r="CB69" s="2" t="inlineStr">
        <is>
          <t>AssertionError</t>
        </is>
      </c>
      <c r="CC69" s="2" t="inlineStr">
        <is>
          <t>AssertionError: np.float64(1.6307157390045257) not less than or equal to np.float64(0.7083783495810843) : circuit does not approximate exp(-i H) within the six-step second-order bound</t>
        </is>
      </c>
      <c r="CD69" s="2" t="inlineStr">
        <is>
          <t>The LLM turned X, Y and Z into SparsePauliOps, which removes the Pauli - Pauli subtraction crash both luna models kept, and attached the SuzukiTrotter synthesis to each separate evolution gate before decompose(). Each bond is then split into six steps on its own, but the bonds are still applied one after another only once, a single coarse Trotter step of the full Hamiltonian, so the distance from exp(-iH) is 1.63, above the test's bound of 0.71. The reference builds one SparsePauliOp Hamiltonian and synthesizes one gate.</t>
        </is>
      </c>
      <c r="CE69" s="2" t="inlineStr">
        <is>
          <t>AssertionError</t>
        </is>
      </c>
      <c r="CF69" s="2" t="inlineStr">
        <is>
          <t>AssertionError: np.float64(1.6307157390045257) not less than or equal to np.float64(0.7083783495810843) : circuit does not approximate exp(-i H) within the six-step second-order bound</t>
        </is>
      </c>
      <c r="CG69" s="2" t="inlineStr">
        <is>
          <t>The LLM turned X, Y and Z into SparsePauliOps, which removes the Pauli - Pauli subtraction crash both luna models kept, and attached the SuzukiTrotter synthesis to each separate evolution gate before decompose(). Each bond is then split into six steps on its own, but the bonds are still applied one after another only once, a single coarse Trotter step of the full Hamiltonian, so the distance from exp(-iH) is 1.63, above the test's bound of 0.71. The reference builds one SparsePauliOp Hamiltonian and synthesizes one gate.</t>
        </is>
      </c>
      <c r="CH69" s="2" t="inlineStr">
        <is>
          <t>AssertionError</t>
        </is>
      </c>
      <c r="CI69" s="2" t="inlineStr">
        <is>
          <t>AssertionError: np.float64(1.6307157390045257) not less than or equal to np.float64(0.7083783495810843) : circuit does not approximate exp(-i H) within the six-step second-order bound</t>
        </is>
      </c>
      <c r="CJ69" s="2" t="inlineStr">
        <is>
          <t>The LLM turned X, Y and Z into SparsePauliOps, which removes the Pauli - Pauli subtraction crash both luna models kept, and attached the SuzukiTrotter synthesis to each separate evolution gate before decompose(). Each bond is then split into six steps on its own, but the bonds are still applied one after another only once, a single coarse Trotter step of the full Hamiltonian, so the distance from exp(-iH) is 1.63, above the test's bound of 0.71. The reference builds one SparsePauliOp Hamiltonian and synthesizes one gate.</t>
        </is>
      </c>
      <c r="CK69" s="2" t="inlineStr">
        <is>
          <t>AssertionError</t>
        </is>
      </c>
      <c r="CL69" s="2" t="inlineStr">
        <is>
          <t>AssertionError: np.float64(1.6307157390045257) not less than or equal to np.float64(0.7083783495810843) : circuit does not approximate exp(-i H) within the six-step second-order bound</t>
        </is>
      </c>
      <c r="CM69" s="2" t="inlineStr">
        <is>
          <t>The LLM turned X, Y and Z into SparsePauliOps, which removes the Pauli - Pauli subtraction crash both luna models kept, and attached the SuzukiTrotter synthesis to each separate evolution gate before decompose(). Each bond is then split into six steps on its own, but the bonds are still applied one after another only once, a single coarse Trotter step of the full Hamiltonian, so the distance from exp(-iH) is 1.63, above the test's bound of 0.71. The reference builds one SparsePauliOp Hamiltonian and synthesizes one gate.</t>
        </is>
      </c>
      <c r="CN69" s="2" t="inlineStr">
        <is>
          <t>AssertionError</t>
        </is>
      </c>
      <c r="CO69" s="2" t="inlineStr">
        <is>
          <t>AssertionError: np.float64(1.630715739004526) not less than or equal to np.float64(0.7083783495810843) : circuit does not approximate exp(-i H) within the six-step second-order bound</t>
        </is>
      </c>
      <c r="CP69" s="2" t="inlineStr">
        <is>
          <t>The LLM turned X, Y and Z into SparsePauliOps, which removes the Pauli - Pauli subtraction crash both luna models kept, and attached the SuzukiTrotter synthesis to each separate evolution gate before decompose(). Each bond is then split into six steps on its own, but the bonds are still applied one after another only once, a single coarse Trotter step of the full Hamiltonian, so the distance from exp(-iH) is 1.63, above the test's bound of 0.71. The reference builds one SparsePauliOp Hamiltonian and synthesizes one gate.</t>
        </is>
      </c>
      <c r="CQ69" s="2" t="inlineStr">
        <is>
          <t>AssertionError</t>
        </is>
      </c>
      <c r="CR69" s="2" t="inlineStr">
        <is>
          <t>AssertionError: np.float64(1.630715739004526) not less than or equal to np.float64(0.7083783495810843) : circuit does not approximate exp(-i H) within the six-step second-order bound</t>
        </is>
      </c>
      <c r="CS69" s="2" t="inlineStr">
        <is>
          <t>The LLM turned X, Y and Z into SparsePauliOps, which removes the Pauli - Pauli subtraction crash both luna models kept, and attached the SuzukiTrotter synthesis to each separate evolution gate before decompose(). Each bond is then split into six steps on its own, but the bonds are still applied one after another only once, a single coarse Trotter step of the full Hamiltonian, so the distance from exp(-iH) is 1.63, above the test's bound of 0.71. The reference builds one SparsePauliOp Hamiltonian and synthesizes one gate.</t>
        </is>
      </c>
      <c r="CT69" s="2" t="inlineStr">
        <is>
          <t>AssertionError</t>
        </is>
      </c>
      <c r="CU69" s="2" t="inlineStr">
        <is>
          <t>AssertionError: np.float64(1.630715739004526) not less than or equal to np.float64(0.7083783495810843) : circuit does not approximate exp(-i H) within the six-step second-order bound</t>
        </is>
      </c>
      <c r="CV69" s="2" t="inlineStr">
        <is>
          <t>The LLM turned X, Y and Z into SparsePauliOps, which removes the Pauli - Pauli subtraction crash both luna models kept, and attached the SuzukiTrotter synthesis to each separate evolution gate before decompose(). Each bond is then split into six steps on its own, but the bonds are still applied one after another only once, a single coarse Trotter step of the full Hamiltonian, so the distance from exp(-iH) is 1.63, above the test's bound of 0.71. The reference builds one SparsePauliOp Hamiltonian and synthesizes one gate.</t>
        </is>
      </c>
      <c r="CW69" s="2" t="inlineStr">
        <is>
          <t>AssertionError</t>
        </is>
      </c>
      <c r="CX69" s="2" t="inlineStr">
        <is>
          <t>AssertionError: np.float64(1.630715739004526) not less than or equal to np.float64(0.7083783495810843) : circuit does not approximate exp(-i H) within the six-step second-order bound</t>
        </is>
      </c>
      <c r="CY69" s="2" t="inlineStr">
        <is>
          <t>The LLM turned X, Y and Z into SparsePauliOps, which removes the Pauli - Pauli subtraction crash both luna models kept, and attached the SuzukiTrotter synthesis to each separate evolution gate before decompose(). Each bond is then split into six steps on its own, but the bonds are still applied one after another only once, a single coarse Trotter step of the full Hamiltonian, so the distance from exp(-iH) is 1.63, above the test's bound of 0.71. The reference builds one SparsePauliOp Hamiltonian and synthesizes one gate.</t>
        </is>
      </c>
      <c r="CZ69" s="2" t="inlineStr">
        <is>
          <t>AssertionError</t>
        </is>
      </c>
      <c r="DA69" s="2" t="inlineStr">
        <is>
          <t>AssertionError: np.float64(1.630715739004526) not less than or equal to np.float64(0.7083783495810843) : circuit does not approximate exp(-i H) within the six-step second-order bound</t>
        </is>
      </c>
      <c r="DB69" s="2" t="inlineStr">
        <is>
          <t>The LLM turned X, Y and Z into SparsePauliOps, which removes the Pauli - Pauli subtraction crash both luna models kept, and attached the SuzukiTrotter synthesis to each separate evolution gate before decompose(). Each bond is then split into six steps on its own, but the bonds are still applied one after another only once, a single coarse Trotter step of the full Hamiltonian, so the distance from exp(-iH) is 1.63, above the test's bound of 0.71. The reference builds one SparsePauliOp Hamiltonian and synthesizes one gate.</t>
        </is>
      </c>
      <c r="DC69" s="2" t="inlineStr">
        <is>
          <t>AssertionError</t>
        </is>
      </c>
      <c r="DD69" s="2" t="inlineStr">
        <is>
          <t>AssertionError: np.float64(1.630715739004526) not less than or equal to np.float64(0.7083783495810843) : circuit does not approximate exp(-i H) within the six-step second-order bound</t>
        </is>
      </c>
      <c r="DE69" s="2" t="inlineStr">
        <is>
          <t>The LLM turned X, Y and Z into SparsePauliOps, which removes the Pauli - Pauli subtraction crash both luna models kept, and attached the SuzukiTrotter synthesis to each separate evolution gate before decompose(). Each bond is then split into six steps on its own, but the bonds are still applied one after another only once, a single coarse Trotter step of the full Hamiltonian, so the distance from exp(-iH) is 1.63, above the test's bound of 0.71. The reference builds one SparsePauliOp Hamiltonian and synthesizes one gate.</t>
        </is>
      </c>
    </row>
    <row r="70">
      <c r="A70" s="2" t="inlineStr">
        <is>
          <t>issue_827</t>
        </is>
      </c>
      <c r="B70" s="6" t="inlineStr">
        <is>
          <t>Runtime error</t>
        </is>
      </c>
      <c r="C70" s="6" t="inlineStr">
        <is>
          <t>Runtime error</t>
        </is>
      </c>
      <c r="D70" s="6" t="inlineStr">
        <is>
          <t>Runtime error</t>
        </is>
      </c>
      <c r="E70" s="6" t="inlineStr">
        <is>
          <t>Runtime error</t>
        </is>
      </c>
      <c r="F70" s="6" t="inlineStr">
        <is>
          <t>Runtime error</t>
        </is>
      </c>
      <c r="G70" s="6" t="inlineStr">
        <is>
          <t>Runtime error</t>
        </is>
      </c>
      <c r="H70" s="6" t="inlineStr">
        <is>
          <t>Runtime error</t>
        </is>
      </c>
      <c r="I70" s="6" t="inlineStr">
        <is>
          <t>Runtime error</t>
        </is>
      </c>
      <c r="J70" s="6" t="inlineStr">
        <is>
          <t>Runtime error</t>
        </is>
      </c>
      <c r="K70" s="6" t="inlineStr">
        <is>
          <t>Runtime error</t>
        </is>
      </c>
      <c r="L70" s="6" t="inlineStr">
        <is>
          <t>Runtime error</t>
        </is>
      </c>
      <c r="M70" s="6" t="inlineStr">
        <is>
          <t>Runtime error</t>
        </is>
      </c>
      <c r="N70" s="3" t="inlineStr">
        <is>
          <t>NOT_TESTED</t>
        </is>
      </c>
      <c r="O70" s="3" t="inlineStr">
        <is>
          <t>NOT_TESTED</t>
        </is>
      </c>
      <c r="P70" s="3" t="inlineStr">
        <is>
          <t>NOT_TESTED</t>
        </is>
      </c>
      <c r="Q70" s="3" t="inlineStr">
        <is>
          <t>NOT_TESTED</t>
        </is>
      </c>
      <c r="R70" s="3" t="inlineStr">
        <is>
          <t>NOT_TESTED</t>
        </is>
      </c>
      <c r="S70" s="3" t="inlineStr">
        <is>
          <t>NOT_TESTED</t>
        </is>
      </c>
      <c r="T70" s="3" t="inlineStr">
        <is>
          <t>NOT_TESTED</t>
        </is>
      </c>
      <c r="U70" s="3" t="inlineStr">
        <is>
          <t>NOT_TESTED</t>
        </is>
      </c>
      <c r="V70" s="3" t="inlineStr">
        <is>
          <t>NOT_TESTED</t>
        </is>
      </c>
      <c r="W70" s="3" t="inlineStr">
        <is>
          <t>NOT_TESTED</t>
        </is>
      </c>
      <c r="X70" s="3" t="inlineStr">
        <is>
          <t>NOT_TESTED</t>
        </is>
      </c>
      <c r="Y70" s="3" t="inlineStr">
        <is>
          <t>NOT_TESTED</t>
        </is>
      </c>
      <c r="Z70" s="3" t="inlineStr">
        <is>
          <t>NOT_TESTED</t>
        </is>
      </c>
      <c r="AA70" s="3" t="inlineStr">
        <is>
          <t>NOT_TESTED</t>
        </is>
      </c>
      <c r="AB70" s="3" t="inlineStr">
        <is>
          <t>NOT_TESTED</t>
        </is>
      </c>
      <c r="AC70" s="2" t="inlineStr">
        <is>
          <t>ModuleNotFoundError</t>
        </is>
      </c>
      <c r="AD70" s="2" t="inlineStr">
        <is>
          <t>ModuleNotFoundError: No module named 'qiskit.backends'</t>
        </is>
      </c>
      <c r="AE70" s="2" t="inlineStr">
        <is>
          <t>The LLM replaced compile() with transpile() + assemble(), but the code still imports qiskit.backends, which no longer exists (ModuleNotFoundError). Same problem as both luna models.</t>
        </is>
      </c>
      <c r="AF70" s="2" t="inlineStr">
        <is>
          <t>ModuleNotFoundError</t>
        </is>
      </c>
      <c r="AG70" s="2" t="inlineStr">
        <is>
          <t>ModuleNotFoundError: No module named 'qiskit.backends'</t>
        </is>
      </c>
      <c r="AH70" s="2" t="inlineStr">
        <is>
          <t>The LLM replaced compile() with transpile() + assemble(), but the code still imports qiskit.backends, which no longer exists (ModuleNotFoundError). Same problem as both luna models.</t>
        </is>
      </c>
      <c r="AI70" s="2" t="inlineStr">
        <is>
          <t>ModuleNotFoundError</t>
        </is>
      </c>
      <c r="AJ70" s="2" t="inlineStr">
        <is>
          <t>ModuleNotFoundError: No module named 'qiskit.backends'</t>
        </is>
      </c>
      <c r="AK70" s="2" t="inlineStr">
        <is>
          <t>The LLM replaced compile() with transpile() + assemble(), but the code still imports qiskit.backends, which no longer exists (ModuleNotFoundError). Same problem as both luna models.</t>
        </is>
      </c>
      <c r="AL70" s="2" t="inlineStr">
        <is>
          <t>ModuleNotFoundError</t>
        </is>
      </c>
      <c r="AM70" s="2" t="inlineStr">
        <is>
          <t>ModuleNotFoundError: No module named 'qiskit.backends'</t>
        </is>
      </c>
      <c r="AN70" s="2" t="inlineStr">
        <is>
          <t>The LLM replaced compile() with transpile() + assemble(), but the code still imports qiskit.backends, which no longer exists (ModuleNotFoundError). Same problem as both luna models.</t>
        </is>
      </c>
      <c r="AO70" s="2" t="inlineStr">
        <is>
          <t>ModuleNotFoundError</t>
        </is>
      </c>
      <c r="AP70" s="2" t="inlineStr">
        <is>
          <t>ModuleNotFoundError: No module named 'qiskit.backends'</t>
        </is>
      </c>
      <c r="AQ70" s="2" t="inlineStr">
        <is>
          <t>The LLM replaced compile() with transpile() + assemble(), but the code still imports qiskit.backends, which no longer exists (ModuleNotFoundError). Same problem as both luna models.</t>
        </is>
      </c>
      <c r="AR70" s="2" t="inlineStr">
        <is>
          <t>ModuleNotFoundError</t>
        </is>
      </c>
      <c r="AS70" s="2" t="inlineStr">
        <is>
          <t>ModuleNotFoundError: No module named 'qiskit.backends'</t>
        </is>
      </c>
      <c r="AT70" s="2" t="inlineStr">
        <is>
          <t>The LLM replaced compile() with transpile() + assemble(), but the code still imports qiskit.backends, which no longer exists (ModuleNotFoundError). Same problem as both luna models.</t>
        </is>
      </c>
      <c r="AU70" s="2" t="inlineStr">
        <is>
          <t>ModuleNotFoundError</t>
        </is>
      </c>
      <c r="AV70" s="2" t="inlineStr">
        <is>
          <t>ModuleNotFoundError: No module named 'qiskit.backends'</t>
        </is>
      </c>
      <c r="AW70" s="2" t="inlineStr">
        <is>
          <t>The LLM replaced compile() with transpile() + assemble(), but the code still imports qiskit.backends, which no longer exists (ModuleNotFoundError). Same problem as both luna models.</t>
        </is>
      </c>
      <c r="AX70" s="2" t="inlineStr">
        <is>
          <t>ModuleNotFoundError</t>
        </is>
      </c>
      <c r="AY70" s="2" t="inlineStr">
        <is>
          <t>ModuleNotFoundError: No module named 'qiskit.backends'</t>
        </is>
      </c>
      <c r="AZ70" s="2" t="inlineStr">
        <is>
          <t>The LLM replaced compile() with transpile() + assemble(), but the code still imports qiskit.backends, which no longer exists (ModuleNotFoundError). Same problem as both luna models.</t>
        </is>
      </c>
      <c r="BA70" s="2" t="inlineStr">
        <is>
          <t>ModuleNotFoundError</t>
        </is>
      </c>
      <c r="BB70" s="2" t="inlineStr">
        <is>
          <t>ModuleNotFoundError: No module named 'qiskit.backends'</t>
        </is>
      </c>
      <c r="BC70" s="2" t="inlineStr">
        <is>
          <t>The LLM replaced compile() with transpile() + assemble(), but the code still imports qiskit.backends, which no longer exists (ModuleNotFoundError). Same problem as both luna models.</t>
        </is>
      </c>
      <c r="BD70" s="2" t="inlineStr">
        <is>
          <t>ModuleNotFoundError</t>
        </is>
      </c>
      <c r="BE70" s="2" t="inlineStr">
        <is>
          <t>ModuleNotFoundError: No module named 'qiskit.backends'</t>
        </is>
      </c>
      <c r="BF70" s="2" t="inlineStr">
        <is>
          <t>The LLM replaced compile() with transpile() + assemble(), but the code still imports qiskit.backends, which no longer exists (ModuleNotFoundError). Same problem as both luna models.</t>
        </is>
      </c>
      <c r="BG70" s="2" t="inlineStr">
        <is>
          <t>ModuleNotFoundError</t>
        </is>
      </c>
      <c r="BH70" s="2" t="inlineStr">
        <is>
          <t>ModuleNotFoundError: No module named 'qiskit.backends'</t>
        </is>
      </c>
      <c r="BI70" s="2" t="inlineStr">
        <is>
          <t>The LLM replaced compile() with transpile() + assemble(), but the code still imports qiskit.backends, which no longer exists (ModuleNotFoundError). Same problem as both luna models.</t>
        </is>
      </c>
      <c r="BJ70" s="2" t="inlineStr">
        <is>
          <t>ModuleNotFoundError</t>
        </is>
      </c>
      <c r="BK70" s="2" t="inlineStr">
        <is>
          <t>ModuleNotFoundError: No module named 'qiskit.backends'</t>
        </is>
      </c>
      <c r="BL70" s="2" t="inlineStr">
        <is>
          <t>The LLM replaced compile() with transpile() + assemble(), but the code still imports qiskit.backends, which no longer exists (ModuleNotFoundError). Same problem as both luna models.</t>
        </is>
      </c>
      <c r="BM70" s="2" t="n"/>
      <c r="BN70" s="2" t="n"/>
      <c r="BO70" s="2" t="n"/>
      <c r="BP70" s="2" t="n"/>
      <c r="BQ70" s="2" t="n"/>
      <c r="BR70" s="2" t="n"/>
      <c r="BS70" s="2" t="n"/>
      <c r="BT70" s="2" t="n"/>
      <c r="BU70" s="2" t="n"/>
      <c r="BV70" s="2" t="n"/>
      <c r="BW70" s="2" t="n"/>
      <c r="BX70" s="2" t="n"/>
      <c r="BY70" s="2" t="n"/>
      <c r="BZ70" s="2" t="n"/>
      <c r="CA70" s="2" t="n"/>
      <c r="CB70" s="2" t="n"/>
      <c r="CC70" s="2" t="n"/>
      <c r="CD70" s="2" t="n"/>
      <c r="CE70" s="2" t="n"/>
      <c r="CF70" s="2" t="n"/>
      <c r="CG70" s="2" t="n"/>
      <c r="CH70" s="2" t="n"/>
      <c r="CI70" s="2" t="n"/>
      <c r="CJ70" s="2" t="n"/>
      <c r="CK70" s="2" t="n"/>
      <c r="CL70" s="2" t="n"/>
      <c r="CM70" s="2" t="n"/>
      <c r="CN70" s="2" t="n"/>
      <c r="CO70" s="2" t="n"/>
      <c r="CP70" s="2" t="n"/>
      <c r="CQ70" s="2" t="n"/>
      <c r="CR70" s="2" t="n"/>
      <c r="CS70" s="2" t="n"/>
      <c r="CT70" s="2" t="n"/>
      <c r="CU70" s="2" t="n"/>
      <c r="CV70" s="2" t="n"/>
      <c r="CW70" s="2" t="n"/>
      <c r="CX70" s="2" t="n"/>
      <c r="CY70" s="2" t="n"/>
      <c r="CZ70" s="2" t="n"/>
      <c r="DA70" s="2" t="n"/>
      <c r="DB70" s="2" t="n"/>
      <c r="DC70" s="2" t="n"/>
      <c r="DD70" s="2" t="n"/>
      <c r="DE70" s="2" t="n"/>
    </row>
    <row r="71">
      <c r="A71" s="2" t="inlineStr">
        <is>
          <t>issue_858</t>
        </is>
      </c>
      <c r="B71" s="3" t="inlineStr">
        <is>
          <t>NOT_TESTED</t>
        </is>
      </c>
      <c r="C71" s="3" t="inlineStr">
        <is>
          <t>NOT_TESTED</t>
        </is>
      </c>
      <c r="D71" s="3" t="inlineStr">
        <is>
          <t>NOT_TESTED</t>
        </is>
      </c>
      <c r="E71" s="3" t="inlineStr">
        <is>
          <t>NOT_TESTED</t>
        </is>
      </c>
      <c r="F71" s="6" t="inlineStr">
        <is>
          <t>Runtime error</t>
        </is>
      </c>
      <c r="G71" s="6" t="inlineStr">
        <is>
          <t>Runtime error</t>
        </is>
      </c>
      <c r="H71" s="6" t="inlineStr">
        <is>
          <t>Runtime error</t>
        </is>
      </c>
      <c r="I71" s="6" t="inlineStr">
        <is>
          <t>Runtime error</t>
        </is>
      </c>
      <c r="J71" s="6" t="inlineStr">
        <is>
          <t>Runtime error</t>
        </is>
      </c>
      <c r="K71" s="6" t="inlineStr">
        <is>
          <t>Runtime error</t>
        </is>
      </c>
      <c r="L71" s="6" t="inlineStr">
        <is>
          <t>Runtime error</t>
        </is>
      </c>
      <c r="M71" s="6" t="inlineStr">
        <is>
          <t>Runtime error</t>
        </is>
      </c>
      <c r="N71" s="3" t="inlineStr">
        <is>
          <t>NOT_TESTED</t>
        </is>
      </c>
      <c r="O71" s="3" t="inlineStr">
        <is>
          <t>NOT_TESTED</t>
        </is>
      </c>
      <c r="P71" s="3" t="inlineStr">
        <is>
          <t>NOT_TESTED</t>
        </is>
      </c>
      <c r="Q71" s="3" t="inlineStr">
        <is>
          <t>NOT_TESTED</t>
        </is>
      </c>
      <c r="R71" s="3" t="inlineStr">
        <is>
          <t>NOT_TESTED</t>
        </is>
      </c>
      <c r="S71" s="3" t="inlineStr">
        <is>
          <t>NOT_TESTED</t>
        </is>
      </c>
      <c r="T71" s="3" t="inlineStr">
        <is>
          <t>NOT_TESTED</t>
        </is>
      </c>
      <c r="U71" s="3" t="inlineStr">
        <is>
          <t>NOT_TESTED</t>
        </is>
      </c>
      <c r="V71" s="3" t="inlineStr">
        <is>
          <t>NOT_TESTED</t>
        </is>
      </c>
      <c r="W71" s="3" t="inlineStr">
        <is>
          <t>NOT_TESTED</t>
        </is>
      </c>
      <c r="X71" s="3" t="inlineStr">
        <is>
          <t>NOT_TESTED</t>
        </is>
      </c>
      <c r="Y71" s="3" t="inlineStr">
        <is>
          <t>NOT_TESTED</t>
        </is>
      </c>
      <c r="Z71" s="3" t="inlineStr">
        <is>
          <t>NOT_TESTED</t>
        </is>
      </c>
      <c r="AA71" s="3" t="inlineStr">
        <is>
          <t>NOT_TESTED</t>
        </is>
      </c>
      <c r="AB71" s="3" t="inlineStr">
        <is>
          <t>NOT_TESTED</t>
        </is>
      </c>
      <c r="AC71" s="2" t="n"/>
      <c r="AD71" s="2" t="n"/>
      <c r="AE71" s="2" t="n"/>
      <c r="AF71" s="2" t="n"/>
      <c r="AG71" s="2" t="n"/>
      <c r="AH71" s="2" t="n"/>
      <c r="AI71" s="2" t="n"/>
      <c r="AJ71" s="2" t="n"/>
      <c r="AK71" s="2" t="n"/>
      <c r="AL71" s="2" t="n"/>
      <c r="AM71" s="2" t="n"/>
      <c r="AN71" s="2" t="n"/>
      <c r="AO71" s="2" t="inlineStr">
        <is>
          <t>AttributeError</t>
        </is>
      </c>
      <c r="AP71" s="2" t="inlineStr">
        <is>
          <t>AttributeError: 'FakeOslo' object has no attribute 'properties'</t>
        </is>
      </c>
      <c r="AQ71" s="2" t="inlineStr">
        <is>
          <t>The LLM switched from IBMQ to the FakeOslo snapshot of the retired backend, but the code still calls properties(), which FakeOslo doesn't have (AttributeError); the reference reads backend.qubit_properties(). Same problem as gpt-5.6-luna.</t>
        </is>
      </c>
      <c r="AR71" s="2" t="inlineStr">
        <is>
          <t>AttributeError</t>
        </is>
      </c>
      <c r="AS71" s="2" t="inlineStr">
        <is>
          <t>AttributeError: 'FakeOslo' object has no attribute 'properties'</t>
        </is>
      </c>
      <c r="AT71" s="2" t="inlineStr">
        <is>
          <t>The LLM switched from IBMQ to the FakeOslo snapshot of the retired backend, but the code still calls properties(), which FakeOslo doesn't have (AttributeError); the reference reads backend.qubit_properties(). Same problem as gpt-5.6-luna.</t>
        </is>
      </c>
      <c r="AU71" s="2" t="inlineStr">
        <is>
          <t>AttributeError</t>
        </is>
      </c>
      <c r="AV71" s="2" t="inlineStr">
        <is>
          <t>AttributeError: 'FakeOslo' object has no attribute 'properties'</t>
        </is>
      </c>
      <c r="AW71" s="2" t="inlineStr">
        <is>
          <t>The LLM switched from IBMQ to the FakeOslo snapshot of the retired backend, but the code still calls properties(), which FakeOslo doesn't have (AttributeError); the reference reads backend.qubit_properties(). Same problem as gpt-5.6-luna.</t>
        </is>
      </c>
      <c r="AX71" s="2" t="inlineStr">
        <is>
          <t>AttributeError</t>
        </is>
      </c>
      <c r="AY71" s="2" t="inlineStr">
        <is>
          <t>AttributeError: 'FakeOslo' object has no attribute 'properties'</t>
        </is>
      </c>
      <c r="AZ71" s="2" t="inlineStr">
        <is>
          <t>The LLM switched from IBMQ to the FakeOslo snapshot of the retired backend, but the code still calls properties(), which FakeOslo doesn't have (AttributeError); the reference reads backend.qubit_properties(). Same problem as gpt-5.6-luna.</t>
        </is>
      </c>
      <c r="BA71" s="2" t="inlineStr">
        <is>
          <t>AttributeError</t>
        </is>
      </c>
      <c r="BB71" s="2" t="inlineStr">
        <is>
          <t>AttributeError: 'FakeOslo' object has no attribute 'properties'</t>
        </is>
      </c>
      <c r="BC71" s="2" t="inlineStr">
        <is>
          <t>The LLM switched from IBMQ to the FakeOslo snapshot of the retired backend, but the code still calls properties(), which FakeOslo doesn't have (AttributeError); the reference reads backend.qubit_properties(). Same problem as gpt-5.6-luna.</t>
        </is>
      </c>
      <c r="BD71" s="2" t="inlineStr">
        <is>
          <t>AttributeError</t>
        </is>
      </c>
      <c r="BE71" s="2" t="inlineStr">
        <is>
          <t>AttributeError: 'FakeOslo' object has no attribute 'properties'</t>
        </is>
      </c>
      <c r="BF71" s="2" t="inlineStr">
        <is>
          <t>The LLM switched from IBMQ to the FakeOslo snapshot of the retired backend, but the code still calls properties(), which FakeOslo doesn't have (AttributeError); the reference reads backend.qubit_properties(). Same problem as gpt-5.6-luna.</t>
        </is>
      </c>
      <c r="BG71" s="2" t="inlineStr">
        <is>
          <t>AttributeError</t>
        </is>
      </c>
      <c r="BH71" s="2" t="inlineStr">
        <is>
          <t>AttributeError: 'FakeOslo' object has no attribute 'properties'</t>
        </is>
      </c>
      <c r="BI71" s="2" t="inlineStr">
        <is>
          <t>The LLM switched from IBMQ to the FakeOslo snapshot of the retired backend, but the code still calls properties(), which FakeOslo doesn't have (AttributeError); the reference reads backend.qubit_properties(). Same problem as gpt-5.6-luna.</t>
        </is>
      </c>
      <c r="BJ71" s="2" t="inlineStr">
        <is>
          <t>AttributeError</t>
        </is>
      </c>
      <c r="BK71" s="2" t="inlineStr">
        <is>
          <t>AttributeError: 'FakeOslo' object has no attribute 'properties'</t>
        </is>
      </c>
      <c r="BL71" s="2" t="inlineStr">
        <is>
          <t>The LLM switched from IBMQ to the FakeOslo snapshot of the retired backend, but the code still calls properties(), which FakeOslo doesn't have (AttributeError); the reference reads backend.qubit_properties(). Same problem as gpt-5.6-luna.</t>
        </is>
      </c>
      <c r="BM71" s="2" t="n"/>
      <c r="BN71" s="2" t="n"/>
      <c r="BO71" s="2" t="n"/>
      <c r="BP71" s="2" t="n"/>
      <c r="BQ71" s="2" t="n"/>
      <c r="BR71" s="2" t="n"/>
      <c r="BS71" s="2" t="n"/>
      <c r="BT71" s="2" t="n"/>
      <c r="BU71" s="2" t="n"/>
      <c r="BV71" s="2" t="n"/>
      <c r="BW71" s="2" t="n"/>
      <c r="BX71" s="2" t="n"/>
      <c r="BY71" s="2" t="n"/>
      <c r="BZ71" s="2" t="n"/>
      <c r="CA71" s="2" t="n"/>
      <c r="CB71" s="2" t="n"/>
      <c r="CC71" s="2" t="n"/>
      <c r="CD71" s="2" t="n"/>
      <c r="CE71" s="2" t="n"/>
      <c r="CF71" s="2" t="n"/>
      <c r="CG71" s="2" t="n"/>
      <c r="CH71" s="2" t="n"/>
      <c r="CI71" s="2" t="n"/>
      <c r="CJ71" s="2" t="n"/>
      <c r="CK71" s="2" t="n"/>
      <c r="CL71" s="2" t="n"/>
      <c r="CM71" s="2" t="n"/>
      <c r="CN71" s="2" t="n"/>
      <c r="CO71" s="2" t="n"/>
      <c r="CP71" s="2" t="n"/>
      <c r="CQ71" s="2" t="n"/>
      <c r="CR71" s="2" t="n"/>
      <c r="CS71" s="2" t="n"/>
      <c r="CT71" s="2" t="n"/>
      <c r="CU71" s="2" t="n"/>
      <c r="CV71" s="2" t="n"/>
      <c r="CW71" s="2" t="n"/>
      <c r="CX71" s="2" t="n"/>
      <c r="CY71" s="2" t="n"/>
      <c r="CZ71" s="2" t="n"/>
      <c r="DA71" s="2" t="n"/>
      <c r="DB71" s="2" t="n"/>
      <c r="DC71" s="2" t="n"/>
      <c r="DD71" s="2" t="n"/>
      <c r="DE71" s="2" t="n"/>
    </row>
    <row r="72">
      <c r="A72" s="2" t="inlineStr">
        <is>
          <t>issue_901</t>
        </is>
      </c>
      <c r="B72" s="3" t="inlineStr">
        <is>
          <t>NOT_TESTED</t>
        </is>
      </c>
      <c r="C72" s="3" t="inlineStr">
        <is>
          <t>NOT_TESTED</t>
        </is>
      </c>
      <c r="D72" s="3" t="inlineStr">
        <is>
          <t>NOT_TESTED</t>
        </is>
      </c>
      <c r="E72" s="3" t="inlineStr">
        <is>
          <t>NOT_TESTED</t>
        </is>
      </c>
      <c r="F72" s="4" t="inlineStr">
        <is>
          <t>Passed on test</t>
        </is>
      </c>
      <c r="G72" s="4" t="inlineStr">
        <is>
          <t>Passed on test</t>
        </is>
      </c>
      <c r="H72" s="4" t="inlineStr">
        <is>
          <t>Passed on test</t>
        </is>
      </c>
      <c r="I72" s="4" t="inlineStr">
        <is>
          <t>Passed on test</t>
        </is>
      </c>
      <c r="J72" s="4" t="inlineStr">
        <is>
          <t>Passed on test</t>
        </is>
      </c>
      <c r="K72" s="4" t="inlineStr">
        <is>
          <t>Passed on test</t>
        </is>
      </c>
      <c r="L72" s="4" t="inlineStr">
        <is>
          <t>Passed on test</t>
        </is>
      </c>
      <c r="M72" s="4" t="inlineStr">
        <is>
          <t>Passed on test</t>
        </is>
      </c>
      <c r="N72" s="4" t="inlineStr">
        <is>
          <t>Passed on test</t>
        </is>
      </c>
      <c r="O72" s="4" t="inlineStr">
        <is>
          <t>Passed on test</t>
        </is>
      </c>
      <c r="P72" s="4" t="inlineStr">
        <is>
          <t>Passed on test</t>
        </is>
      </c>
      <c r="Q72" s="4" t="inlineStr">
        <is>
          <t>Passed on test</t>
        </is>
      </c>
      <c r="R72" s="4" t="inlineStr">
        <is>
          <t>Passed on test</t>
        </is>
      </c>
      <c r="S72" s="4" t="inlineStr">
        <is>
          <t>Passed on test</t>
        </is>
      </c>
      <c r="T72" s="4" t="inlineStr">
        <is>
          <t>Passed on test</t>
        </is>
      </c>
      <c r="U72" s="4" t="inlineStr">
        <is>
          <t>Passed on test</t>
        </is>
      </c>
      <c r="V72" s="4" t="inlineStr">
        <is>
          <t>Passed on test</t>
        </is>
      </c>
      <c r="W72" s="4" t="inlineStr">
        <is>
          <t>Passed on test</t>
        </is>
      </c>
      <c r="X72" s="4" t="inlineStr">
        <is>
          <t>Passed on test</t>
        </is>
      </c>
      <c r="Y72" s="3" t="inlineStr">
        <is>
          <t>NOT_TESTED</t>
        </is>
      </c>
      <c r="Z72" s="3" t="inlineStr">
        <is>
          <t>NOT_TESTED</t>
        </is>
      </c>
      <c r="AA72" s="3" t="inlineStr">
        <is>
          <t>NOT_TESTED</t>
        </is>
      </c>
      <c r="AB72" s="3" t="inlineStr">
        <is>
          <t>NOT_TESTED</t>
        </is>
      </c>
      <c r="AC72" s="2" t="n"/>
      <c r="AD72" s="2" t="n"/>
      <c r="AE72" s="2" t="n"/>
      <c r="AF72" s="2" t="n"/>
      <c r="AG72" s="2" t="n"/>
      <c r="AH72" s="2" t="n"/>
      <c r="AI72" s="2" t="n"/>
      <c r="AJ72" s="2" t="n"/>
      <c r="AK72" s="2" t="n"/>
      <c r="AL72" s="2" t="n"/>
      <c r="AM72" s="2" t="n"/>
      <c r="AN72" s="2" t="n"/>
      <c r="AO72" s="2" t="n"/>
      <c r="AP72" s="2" t="n"/>
      <c r="AQ72" s="2" t="n"/>
      <c r="AR72" s="2" t="n"/>
      <c r="AS72" s="2" t="n"/>
      <c r="AT72" s="2" t="n"/>
      <c r="AU72" s="2" t="n"/>
      <c r="AV72" s="2" t="n"/>
      <c r="AW72" s="2" t="n"/>
      <c r="AX72" s="2" t="n"/>
      <c r="AY72" s="2" t="n"/>
      <c r="AZ72" s="2" t="n"/>
      <c r="BA72" s="2" t="n"/>
      <c r="BB72" s="2" t="n"/>
      <c r="BC72" s="2" t="n"/>
      <c r="BD72" s="2" t="n"/>
      <c r="BE72" s="2" t="n"/>
      <c r="BF72" s="2" t="n"/>
      <c r="BG72" s="2" t="n"/>
      <c r="BH72" s="2" t="n"/>
      <c r="BI72" s="2" t="n"/>
      <c r="BJ72" s="2" t="n"/>
      <c r="BK72" s="2" t="n"/>
      <c r="BL72" s="2" t="n"/>
      <c r="BM72" s="2" t="n"/>
      <c r="BN72" s="2" t="n"/>
      <c r="BO72" s="2" t="n"/>
      <c r="BP72" s="2" t="n"/>
      <c r="BQ72" s="2" t="n"/>
      <c r="BR72" s="2" t="n"/>
      <c r="BS72" s="2" t="n"/>
      <c r="BT72" s="2" t="n"/>
      <c r="BU72" s="2" t="n"/>
      <c r="BV72" s="2" t="n"/>
      <c r="BW72" s="2" t="n"/>
      <c r="BX72" s="2" t="n"/>
      <c r="BY72" s="2" t="n"/>
      <c r="BZ72" s="2" t="n"/>
      <c r="CA72" s="2" t="n"/>
      <c r="CB72" s="2" t="n"/>
      <c r="CC72" s="2" t="n"/>
      <c r="CD72" s="2" t="n"/>
      <c r="CE72" s="2" t="n"/>
      <c r="CF72" s="2" t="n"/>
      <c r="CG72" s="2" t="n"/>
      <c r="CH72" s="2" t="n"/>
      <c r="CI72" s="2" t="n"/>
      <c r="CJ72" s="2" t="n"/>
      <c r="CK72" s="2" t="n"/>
      <c r="CL72" s="2" t="n"/>
      <c r="CM72" s="2" t="n"/>
      <c r="CN72" s="2" t="n"/>
      <c r="CO72" s="2" t="n"/>
      <c r="CP72" s="2" t="n"/>
      <c r="CQ72" s="2" t="n"/>
      <c r="CR72" s="2" t="n"/>
      <c r="CS72" s="2" t="n"/>
      <c r="CT72" s="2" t="n"/>
      <c r="CU72" s="2" t="n"/>
      <c r="CV72" s="2" t="n"/>
      <c r="CW72" s="2" t="n"/>
      <c r="CX72" s="2" t="n"/>
      <c r="CY72" s="2" t="n"/>
      <c r="CZ72" s="2" t="n"/>
      <c r="DA72" s="2" t="n"/>
      <c r="DB72" s="2" t="n"/>
      <c r="DC72" s="2" t="n"/>
      <c r="DD72" s="2" t="n"/>
      <c r="DE72" s="2" t="n"/>
    </row>
    <row r="73">
      <c r="A73" s="2" t="inlineStr">
        <is>
          <t>issue_921</t>
        </is>
      </c>
      <c r="B73" s="6" t="inlineStr">
        <is>
          <t>Runtime error</t>
        </is>
      </c>
      <c r="C73" s="6" t="inlineStr">
        <is>
          <t>Runtime error</t>
        </is>
      </c>
      <c r="D73" s="6" t="inlineStr">
        <is>
          <t>Runtime error</t>
        </is>
      </c>
      <c r="E73" s="6" t="inlineStr">
        <is>
          <t>Runtime error</t>
        </is>
      </c>
      <c r="F73" s="3" t="inlineStr">
        <is>
          <t>NOT_TESTED</t>
        </is>
      </c>
      <c r="G73" s="3" t="inlineStr">
        <is>
          <t>NOT_TESTED</t>
        </is>
      </c>
      <c r="H73" s="3" t="inlineStr">
        <is>
          <t>NOT_TESTED</t>
        </is>
      </c>
      <c r="I73" s="3" t="inlineStr">
        <is>
          <t>NOT_TESTED</t>
        </is>
      </c>
      <c r="J73" s="3" t="inlineStr">
        <is>
          <t>NOT_TESTED</t>
        </is>
      </c>
      <c r="K73" s="3" t="inlineStr">
        <is>
          <t>NOT_TESTED</t>
        </is>
      </c>
      <c r="L73" s="3" t="inlineStr">
        <is>
          <t>NOT_TESTED</t>
        </is>
      </c>
      <c r="M73" s="3" t="inlineStr">
        <is>
          <t>NOT_TESTED</t>
        </is>
      </c>
      <c r="N73" s="3" t="inlineStr">
        <is>
          <t>NOT_TESTED</t>
        </is>
      </c>
      <c r="O73" s="3" t="inlineStr">
        <is>
          <t>NOT_TESTED</t>
        </is>
      </c>
      <c r="P73" s="3" t="inlineStr">
        <is>
          <t>NOT_TESTED</t>
        </is>
      </c>
      <c r="Q73" s="3" t="inlineStr">
        <is>
          <t>NOT_TESTED</t>
        </is>
      </c>
      <c r="R73" s="3" t="inlineStr">
        <is>
          <t>NOT_TESTED</t>
        </is>
      </c>
      <c r="S73" s="3" t="inlineStr">
        <is>
          <t>NOT_TESTED</t>
        </is>
      </c>
      <c r="T73" s="3" t="inlineStr">
        <is>
          <t>NOT_TESTED</t>
        </is>
      </c>
      <c r="U73" s="3" t="inlineStr">
        <is>
          <t>NOT_TESTED</t>
        </is>
      </c>
      <c r="V73" s="3" t="inlineStr">
        <is>
          <t>NOT_TESTED</t>
        </is>
      </c>
      <c r="W73" s="3" t="inlineStr">
        <is>
          <t>NOT_TESTED</t>
        </is>
      </c>
      <c r="X73" s="3" t="inlineStr">
        <is>
          <t>NOT_TESTED</t>
        </is>
      </c>
      <c r="Y73" s="3" t="inlineStr">
        <is>
          <t>NOT_TESTED</t>
        </is>
      </c>
      <c r="Z73" s="3" t="inlineStr">
        <is>
          <t>NOT_TESTED</t>
        </is>
      </c>
      <c r="AA73" s="3" t="inlineStr">
        <is>
          <t>NOT_TESTED</t>
        </is>
      </c>
      <c r="AB73" s="3" t="inlineStr">
        <is>
          <t>NOT_TESTED</t>
        </is>
      </c>
      <c r="AC73" s="2" t="inlineStr">
        <is>
          <t>ImportError</t>
        </is>
      </c>
      <c r="AD73" s="2" t="inlineStr">
        <is>
          <t>ImportError: cannot import name 'run_algorithm' from 'qiskit.aqua' (C:\qiskit_envs\q0250\lib\site-packages\qiskit\aqua\__init__.py)</t>
        </is>
      </c>
      <c r="AE73" s="2" t="inlineStr">
        <is>
          <t>The LLM changed the problem name from 'ising' to 'energy' but kept the run_algorithm import, which no longer exists in qiskit.aqua (ImportError). Both luna models also left run_algorithm in place.</t>
        </is>
      </c>
      <c r="AF73" s="2" t="inlineStr">
        <is>
          <t>ImportError</t>
        </is>
      </c>
      <c r="AG73" s="2" t="inlineStr">
        <is>
          <t>ImportError: cannot import name 'run_algorithm' from 'qiskit.aqua' (C:\qiskit_envs\q0251\lib\site-packages\qiskit\aqua\__init__.py)</t>
        </is>
      </c>
      <c r="AH73" s="2" t="inlineStr">
        <is>
          <t>The LLM changed the problem name from 'ising' to 'energy' but kept the run_algorithm import, which no longer exists in qiskit.aqua (ImportError). Both luna models also left run_algorithm in place.</t>
        </is>
      </c>
      <c r="AI73" s="2" t="inlineStr">
        <is>
          <t>ImportError</t>
        </is>
      </c>
      <c r="AJ73" s="2" t="inlineStr">
        <is>
          <t>ImportError: cannot import name 'run_algorithm' from 'qiskit.aqua' (C:\qiskit_envs\q0252\lib\site-packages\qiskit\aqua\__init__.py)</t>
        </is>
      </c>
      <c r="AK73" s="2" t="inlineStr">
        <is>
          <t>The LLM changed the problem name from 'ising' to 'energy' but kept the run_algorithm import, which no longer exists in qiskit.aqua (ImportError). Both luna models also left run_algorithm in place.</t>
        </is>
      </c>
      <c r="AL73" s="2" t="inlineStr">
        <is>
          <t>ImportError</t>
        </is>
      </c>
      <c r="AM73" s="2" t="inlineStr">
        <is>
          <t>ImportError: cannot import name 'run_algorithm' from 'qiskit.aqua' (C:\qiskit_envs\q0253\lib\site-packages\qiskit\aqua\__init__.py)</t>
        </is>
      </c>
      <c r="AN73" s="2" t="inlineStr">
        <is>
          <t>The LLM changed the problem name from 'ising' to 'energy' but kept the run_algorithm import, which no longer exists in qiskit.aqua (ImportError). Both luna models also left run_algorithm in place.</t>
        </is>
      </c>
      <c r="AO73" s="2" t="n"/>
      <c r="AP73" s="2" t="n"/>
      <c r="AQ73" s="2" t="n"/>
      <c r="AR73" s="2" t="n"/>
      <c r="AS73" s="2" t="n"/>
      <c r="AT73" s="2" t="n"/>
      <c r="AU73" s="2" t="n"/>
      <c r="AV73" s="2" t="n"/>
      <c r="AW73" s="2" t="n"/>
      <c r="AX73" s="2" t="n"/>
      <c r="AY73" s="2" t="n"/>
      <c r="AZ73" s="2" t="n"/>
      <c r="BA73" s="2" t="n"/>
      <c r="BB73" s="2" t="n"/>
      <c r="BC73" s="2" t="n"/>
      <c r="BD73" s="2" t="n"/>
      <c r="BE73" s="2" t="n"/>
      <c r="BF73" s="2" t="n"/>
      <c r="BG73" s="2" t="n"/>
      <c r="BH73" s="2" t="n"/>
      <c r="BI73" s="2" t="n"/>
      <c r="BJ73" s="2" t="n"/>
      <c r="BK73" s="2" t="n"/>
      <c r="BL73" s="2" t="n"/>
      <c r="BM73" s="2" t="n"/>
      <c r="BN73" s="2" t="n"/>
      <c r="BO73" s="2" t="n"/>
      <c r="BP73" s="2" t="n"/>
      <c r="BQ73" s="2" t="n"/>
      <c r="BR73" s="2" t="n"/>
      <c r="BS73" s="2" t="n"/>
      <c r="BT73" s="2" t="n"/>
      <c r="BU73" s="2" t="n"/>
      <c r="BV73" s="2" t="n"/>
      <c r="BW73" s="2" t="n"/>
      <c r="BX73" s="2" t="n"/>
      <c r="BY73" s="2" t="n"/>
      <c r="BZ73" s="2" t="n"/>
      <c r="CA73" s="2" t="n"/>
      <c r="CB73" s="2" t="n"/>
      <c r="CC73" s="2" t="n"/>
      <c r="CD73" s="2" t="n"/>
      <c r="CE73" s="2" t="n"/>
      <c r="CF73" s="2" t="n"/>
      <c r="CG73" s="2" t="n"/>
      <c r="CH73" s="2" t="n"/>
      <c r="CI73" s="2" t="n"/>
      <c r="CJ73" s="2" t="n"/>
      <c r="CK73" s="2" t="n"/>
      <c r="CL73" s="2" t="n"/>
      <c r="CM73" s="2" t="n"/>
      <c r="CN73" s="2" t="n"/>
      <c r="CO73" s="2" t="n"/>
      <c r="CP73" s="2" t="n"/>
      <c r="CQ73" s="2" t="n"/>
      <c r="CR73" s="2" t="n"/>
      <c r="CS73" s="2" t="n"/>
      <c r="CT73" s="2" t="n"/>
      <c r="CU73" s="2" t="n"/>
      <c r="CV73" s="2" t="n"/>
      <c r="CW73" s="2" t="n"/>
      <c r="CX73" s="2" t="n"/>
      <c r="CY73" s="2" t="n"/>
      <c r="CZ73" s="2" t="n"/>
      <c r="DA73" s="2" t="n"/>
      <c r="DB73" s="2" t="n"/>
      <c r="DC73" s="2" t="n"/>
      <c r="DD73" s="2" t="n"/>
      <c r="DE73"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56"/>
  <sheetViews>
    <sheetView workbookViewId="0">
      <selection activeCell="A1" sqref="A1"/>
    </sheetView>
  </sheetViews>
  <sheetFormatPr baseColWidth="8" defaultRowHeight="15"/>
  <cols>
    <col width="16" customWidth="1" min="1" max="1"/>
    <col width="15" customWidth="1" min="2" max="2"/>
    <col width="34" customWidth="1" min="3" max="3"/>
    <col width="11" customWidth="1" min="4" max="4"/>
    <col width="26" customWidth="1" min="5" max="5"/>
    <col width="48" customWidth="1" min="6" max="6"/>
    <col width="60" customWidth="1" min="7" max="7"/>
    <col width="10" customWidth="1" min="8" max="8"/>
    <col width="14" customWidth="1" min="9" max="9"/>
    <col width="10" customWidth="1" min="10" max="10"/>
    <col width="12" customWidth="1" min="11" max="11"/>
  </cols>
  <sheetData>
    <row r="1">
      <c r="A1" s="7" t="inlineStr">
        <is>
          <t>LLM bug-repair results (gpt-6-astra), judged by each case's test (test_new.py / test-new.py for issue_021_se, issue_058_se and issue_061; test.py for the rest) Since 9 Oct 2026, the test.py of 12 over-specific cases holds an updated test that replaced the old one. issue_096, issue_453, issue_497, issue_622, issue_769, issue_876, issue_877, issue_958 and issue_985 were rescored on 19 Oct 2026 using Nick's updated Part 2 test.py files from origin/main. issue_189, issue_671, issue_747, issue_775, issue_810, issue_886, issue_911, issue_944, issue_977, issue_994 and issue_1035 were rescored the same day on Nick's main test.py files. Timeouts (120 s) count as runtime errors.</t>
        </is>
      </c>
    </row>
    <row r="2">
      <c r="A2" t="inlineStr">
        <is>
          <t>All numbers below are formulas over the Summary sheet, so they update if Summary changes. batch 1 = Summary rows 2-10, batch 2 = Summary rows 11-20, batch 3 = Summary rows 21-30, batch 4 = Summary rows 31-40, batch 5 = Summary rows 41-50, batch 6 = Summary rows 51-60, batch 7 = Summary rows 61-67, batch 8 = Summary rows 68-73. The 4 runs that hit the 120-second timeout are counted as Runtime error.</t>
        </is>
      </c>
    </row>
    <row r="3"/>
    <row r="4">
      <c r="A4" s="7" t="inlineStr">
        <is>
          <t>1. Case × version pairs</t>
        </is>
      </c>
    </row>
    <row r="5">
      <c r="A5" s="1" t="inlineStr">
        <is>
          <t>Result</t>
        </is>
      </c>
      <c r="B5" s="1" t="inlineStr">
        <is>
          <t>Count</t>
        </is>
      </c>
      <c r="C5" s="1" t="inlineStr">
        <is>
          <t>% of tested pairs</t>
        </is>
      </c>
      <c r="D5" s="1" t="inlineStr">
        <is>
          <t>Batch 1</t>
        </is>
      </c>
      <c r="E5" s="1" t="inlineStr">
        <is>
          <t>Batch 1 %</t>
        </is>
      </c>
      <c r="F5" s="1" t="inlineStr">
        <is>
          <t>Batch 2</t>
        </is>
      </c>
      <c r="G5" s="1" t="inlineStr">
        <is>
          <t>Batch 2 %</t>
        </is>
      </c>
      <c r="H5" s="1" t="inlineStr">
        <is>
          <t>Batch 3</t>
        </is>
      </c>
      <c r="I5" s="1" t="inlineStr">
        <is>
          <t>Batch 3 %</t>
        </is>
      </c>
      <c r="J5" s="1" t="inlineStr">
        <is>
          <t>Batch 4</t>
        </is>
      </c>
      <c r="K5" s="1" t="inlineStr">
        <is>
          <t>Batch 4 %</t>
        </is>
      </c>
      <c r="L5" s="1" t="inlineStr">
        <is>
          <t>Batch 5</t>
        </is>
      </c>
      <c r="M5" s="1" t="inlineStr">
        <is>
          <t>Batch 5 %</t>
        </is>
      </c>
      <c r="N5" s="1" t="inlineStr">
        <is>
          <t>Batch 6</t>
        </is>
      </c>
      <c r="O5" s="1" t="inlineStr">
        <is>
          <t>Batch 6 %</t>
        </is>
      </c>
      <c r="P5" s="1" t="inlineStr">
        <is>
          <t>Batch 7</t>
        </is>
      </c>
      <c r="Q5" s="1" t="inlineStr">
        <is>
          <t>Batch 7 %</t>
        </is>
      </c>
      <c r="R5" s="1" t="inlineStr">
        <is>
          <t>Batch 8</t>
        </is>
      </c>
      <c r="S5" s="1" t="inlineStr">
        <is>
          <t>Batch 8 %</t>
        </is>
      </c>
    </row>
    <row r="6">
      <c r="A6" s="8" t="inlineStr">
        <is>
          <t>Passed on test</t>
        </is>
      </c>
      <c r="B6" s="2">
        <f>COUNTIF(Summary!$B$2:$AB$73,"Passed on test")</f>
        <v/>
      </c>
      <c r="C6" s="9">
        <f>IF($B$9=0,0,B6/$B$9)</f>
        <v/>
      </c>
      <c r="D6" s="2">
        <f>COUNTIF(Summary!$B$2:$AB$10,"Passed on test")</f>
        <v/>
      </c>
      <c r="E6" s="9">
        <f>IF(D$9=0,0,D6/D$9)</f>
        <v/>
      </c>
      <c r="F6" s="2">
        <f>COUNTIF(Summary!$B$11:$AB$20,"Passed on test")</f>
        <v/>
      </c>
      <c r="G6" s="9">
        <f>IF(F$9=0,0,F6/F$9)</f>
        <v/>
      </c>
      <c r="H6" s="2">
        <f>COUNTIF(Summary!$B$21:$AB$30,"Passed on test")</f>
        <v/>
      </c>
      <c r="I6" s="9">
        <f>IF(H$9=0,0,H6/H$9)</f>
        <v/>
      </c>
      <c r="J6" s="2">
        <f>COUNTIF(Summary!$B$31:$AB$40,"Passed on test")</f>
        <v/>
      </c>
      <c r="K6" s="9">
        <f>IF(J$9=0,0,J6/J$9)</f>
        <v/>
      </c>
      <c r="L6" s="2">
        <f>COUNTIF(Summary!$B$41:$AB$50,"Passed on test")</f>
        <v/>
      </c>
      <c r="M6" s="9">
        <f>IF(L$9=0,0,L6/L$9)</f>
        <v/>
      </c>
      <c r="N6" s="2">
        <f>COUNTIF(Summary!$B$51:$AB$60,"Passed on test")</f>
        <v/>
      </c>
      <c r="O6" s="9">
        <f>IF(N$9=0,0,N6/N$9)</f>
        <v/>
      </c>
      <c r="P6" s="2">
        <f>COUNTIF(Summary!$B$61:$AB$67,"Passed on test")</f>
        <v/>
      </c>
      <c r="Q6" s="9">
        <f>IF(P$9=0,0,P6/P$9)</f>
        <v/>
      </c>
      <c r="R6" s="2">
        <f>COUNTIF(Summary!$B$68:$AB$73,"Passed on test")</f>
        <v/>
      </c>
      <c r="S6" s="9">
        <f>IF(R$9=0,0,R6/R$9)</f>
        <v/>
      </c>
    </row>
    <row r="7">
      <c r="A7" s="10" t="inlineStr">
        <is>
          <t>Failed on test</t>
        </is>
      </c>
      <c r="B7" s="2">
        <f>COUNTIF(Summary!$B$2:$AB$73,"Failed on test")</f>
        <v/>
      </c>
      <c r="C7" s="9">
        <f>IF($B$9=0,0,B7/$B$9)</f>
        <v/>
      </c>
      <c r="D7" s="2">
        <f>COUNTIF(Summary!$B$2:$AB$10,"Failed on test")</f>
        <v/>
      </c>
      <c r="E7" s="9">
        <f>IF(D$9=0,0,D7/D$9)</f>
        <v/>
      </c>
      <c r="F7" s="2">
        <f>COUNTIF(Summary!$B$11:$AB$20,"Failed on test")</f>
        <v/>
      </c>
      <c r="G7" s="9">
        <f>IF(F$9=0,0,F7/F$9)</f>
        <v/>
      </c>
      <c r="H7" s="2">
        <f>COUNTIF(Summary!$B$21:$AB$30,"Failed on test")</f>
        <v/>
      </c>
      <c r="I7" s="9">
        <f>IF(H$9=0,0,H7/H$9)</f>
        <v/>
      </c>
      <c r="J7" s="2">
        <f>COUNTIF(Summary!$B$31:$AB$40,"Failed on test")</f>
        <v/>
      </c>
      <c r="K7" s="9">
        <f>IF(J$9=0,0,J7/J$9)</f>
        <v/>
      </c>
      <c r="L7" s="2">
        <f>COUNTIF(Summary!$B$41:$AB$50,"Failed on test")</f>
        <v/>
      </c>
      <c r="M7" s="9">
        <f>IF(L$9=0,0,L7/L$9)</f>
        <v/>
      </c>
      <c r="N7" s="2">
        <f>COUNTIF(Summary!$B$51:$AB$60,"Failed on test")</f>
        <v/>
      </c>
      <c r="O7" s="9">
        <f>IF(N$9=0,0,N7/N$9)</f>
        <v/>
      </c>
      <c r="P7" s="2">
        <f>COUNTIF(Summary!$B$61:$AB$67,"Failed on test")</f>
        <v/>
      </c>
      <c r="Q7" s="9">
        <f>IF(P$9=0,0,P7/P$9)</f>
        <v/>
      </c>
      <c r="R7" s="2">
        <f>COUNTIF(Summary!$B$68:$AB$73,"Failed on test")</f>
        <v/>
      </c>
      <c r="S7" s="9">
        <f>IF(R$9=0,0,R7/R$9)</f>
        <v/>
      </c>
    </row>
    <row r="8">
      <c r="A8" s="11" t="inlineStr">
        <is>
          <t>Runtime error</t>
        </is>
      </c>
      <c r="B8" s="2">
        <f>COUNTIF(Summary!$B$2:$AB$73,"Runtime error")</f>
        <v/>
      </c>
      <c r="C8" s="9">
        <f>IF($B$9=0,0,B8/$B$9)</f>
        <v/>
      </c>
      <c r="D8" s="2">
        <f>COUNTIF(Summary!$B$2:$AB$10,"Runtime error")</f>
        <v/>
      </c>
      <c r="E8" s="9">
        <f>IF(D$9=0,0,D8/D$9)</f>
        <v/>
      </c>
      <c r="F8" s="2">
        <f>COUNTIF(Summary!$B$11:$AB$20,"Runtime error")</f>
        <v/>
      </c>
      <c r="G8" s="9">
        <f>IF(F$9=0,0,F8/F$9)</f>
        <v/>
      </c>
      <c r="H8" s="2">
        <f>COUNTIF(Summary!$B$21:$AB$30,"Runtime error")</f>
        <v/>
      </c>
      <c r="I8" s="9">
        <f>IF(H$9=0,0,H8/H$9)</f>
        <v/>
      </c>
      <c r="J8" s="2">
        <f>COUNTIF(Summary!$B$31:$AB$40,"Runtime error")</f>
        <v/>
      </c>
      <c r="K8" s="9">
        <f>IF(J$9=0,0,J8/J$9)</f>
        <v/>
      </c>
      <c r="L8" s="2">
        <f>COUNTIF(Summary!$B$41:$AB$50,"Runtime error")</f>
        <v/>
      </c>
      <c r="M8" s="9">
        <f>IF(L$9=0,0,L8/L$9)</f>
        <v/>
      </c>
      <c r="N8" s="2">
        <f>COUNTIF(Summary!$B$51:$AB$60,"Runtime error")</f>
        <v/>
      </c>
      <c r="O8" s="9">
        <f>IF(N$9=0,0,N8/N$9)</f>
        <v/>
      </c>
      <c r="P8" s="2">
        <f>COUNTIF(Summary!$B$61:$AB$67,"Runtime error")</f>
        <v/>
      </c>
      <c r="Q8" s="9">
        <f>IF(P$9=0,0,P8/P$9)</f>
        <v/>
      </c>
      <c r="R8" s="2">
        <f>COUNTIF(Summary!$B$68:$AB$73,"Runtime error")</f>
        <v/>
      </c>
      <c r="S8" s="9">
        <f>IF(R$9=0,0,R8/R$9)</f>
        <v/>
      </c>
    </row>
    <row r="9">
      <c r="A9" s="12" t="inlineStr">
        <is>
          <t>Total tested</t>
        </is>
      </c>
      <c r="B9" s="12">
        <f>SUM(B6:B8)</f>
        <v/>
      </c>
      <c r="C9" s="13">
        <f>SUM(C6:C8)</f>
        <v/>
      </c>
      <c r="D9" s="12">
        <f>SUM(D6:D8)</f>
        <v/>
      </c>
      <c r="E9" s="13">
        <f>SUM(E6:E8)</f>
        <v/>
      </c>
      <c r="F9" s="12">
        <f>SUM(F6:F8)</f>
        <v/>
      </c>
      <c r="G9" s="13">
        <f>SUM(G6:G8)</f>
        <v/>
      </c>
      <c r="H9" s="12">
        <f>SUM(H6:H8)</f>
        <v/>
      </c>
      <c r="I9" s="13">
        <f>SUM(I6:I8)</f>
        <v/>
      </c>
      <c r="J9" s="12">
        <f>SUM(J6:J8)</f>
        <v/>
      </c>
      <c r="K9" s="13">
        <f>SUM(K6:K8)</f>
        <v/>
      </c>
      <c r="L9" s="12">
        <f>SUM(L6:L8)</f>
        <v/>
      </c>
      <c r="M9" s="13">
        <f>SUM(M6:M8)</f>
        <v/>
      </c>
      <c r="N9" s="12">
        <f>SUM(N6:N8)</f>
        <v/>
      </c>
      <c r="O9" s="13">
        <f>SUM(O6:O8)</f>
        <v/>
      </c>
      <c r="P9" s="12">
        <f>SUM(P6:P8)</f>
        <v/>
      </c>
      <c r="Q9" s="13">
        <f>SUM(Q6:Q8)</f>
        <v/>
      </c>
      <c r="R9" s="12">
        <f>SUM(R6:R8)</f>
        <v/>
      </c>
      <c r="S9" s="13">
        <f>SUM(S6:S8)</f>
        <v/>
      </c>
    </row>
    <row r="10">
      <c r="A10" s="2" t="inlineStr">
        <is>
          <t>Not tested (version not listed for that case)</t>
        </is>
      </c>
      <c r="B10" s="2">
        <f>COUNTIF(Summary!$B$2:$AB$73,"NOT_TESTED")</f>
        <v/>
      </c>
      <c r="D10" s="2">
        <f>COUNTIF(Summary!$B$2:$AB$10,"NOT_TESTED")</f>
        <v/>
      </c>
      <c r="F10" s="2">
        <f>COUNTIF(Summary!$B$11:$AB$20,"NOT_TESTED")</f>
        <v/>
      </c>
      <c r="H10" s="2">
        <f>COUNTIF(Summary!$B$21:$AB$30,"NOT_TESTED")</f>
        <v/>
      </c>
      <c r="J10" s="2">
        <f>COUNTIF(Summary!$B$31:$AB$40,"NOT_TESTED")</f>
        <v/>
      </c>
      <c r="L10" s="2">
        <f>COUNTIF(Summary!$B$41:$AB$50,"NOT_TESTED")</f>
        <v/>
      </c>
      <c r="N10" s="2">
        <f>COUNTIF(Summary!$B$51:$AB$60,"NOT_TESTED")</f>
        <v/>
      </c>
      <c r="P10" s="2">
        <f>COUNTIF(Summary!$B$61:$AB$67,"NOT_TESTED")</f>
        <v/>
      </c>
      <c r="R10" s="2">
        <f>COUNTIF(Summary!$B$68:$AB$73,"NOT_TESTED")</f>
        <v/>
      </c>
    </row>
    <row r="11"/>
    <row r="12">
      <c r="A12" s="7" t="inlineStr">
        <is>
          <t>2. Per case</t>
        </is>
      </c>
    </row>
    <row r="13">
      <c r="A13" s="1" t="inlineStr">
        <is>
          <t>Case</t>
        </is>
      </c>
      <c r="B13" s="1" t="inlineStr">
        <is>
          <t>Versions tested</t>
        </is>
      </c>
      <c r="C13" s="1" t="inlineStr">
        <is>
          <t>Passed on test</t>
        </is>
      </c>
      <c r="D13" s="1" t="inlineStr">
        <is>
          <t>Failed on test</t>
        </is>
      </c>
      <c r="E13" s="1" t="inlineStr">
        <is>
          <t>Runtime error</t>
        </is>
      </c>
      <c r="F13" s="1" t="inlineStr">
        <is>
          <t>Passed on test %</t>
        </is>
      </c>
      <c r="G13" s="1" t="inlineStr">
        <is>
          <t>Failed on test %</t>
        </is>
      </c>
      <c r="H13" s="1" t="inlineStr">
        <is>
          <t>Runtime error %</t>
        </is>
      </c>
      <c r="I13" s="1" t="inlineStr">
        <is>
          <t>Case outcome</t>
        </is>
      </c>
      <c r="J13" s="1" t="inlineStr">
        <is>
          <t>Batch</t>
        </is>
      </c>
    </row>
    <row r="14">
      <c r="A14" s="2">
        <f>Summary!A2</f>
        <v/>
      </c>
      <c r="B14" s="2">
        <f>COUNTIF(Summary!$B$2:$AB$2,"Passed on test")+COUNTIF(Summary!$B$2:$AB$2,"Failed on test")+COUNTIF(Summary!$B$2:$AB$2,"Runtime error")</f>
        <v/>
      </c>
      <c r="C14" s="2">
        <f>COUNTIF(Summary!$B$2:$AB$2,"Passed on test")</f>
        <v/>
      </c>
      <c r="D14" s="2">
        <f>COUNTIF(Summary!$B$2:$AB$2,"Failed on test")</f>
        <v/>
      </c>
      <c r="E14" s="2">
        <f>COUNTIF(Summary!$B$2:$AB$2,"Runtime error")</f>
        <v/>
      </c>
      <c r="F14" s="9">
        <f>IF($B14=0,0,C14/$B14)</f>
        <v/>
      </c>
      <c r="G14" s="9">
        <f>IF($B14=0,0,D14/$B14)</f>
        <v/>
      </c>
      <c r="H14" s="9">
        <f>IF($B14=0,0,E14/$B14)</f>
        <v/>
      </c>
      <c r="I14" s="2">
        <f>IF(C14=B14,"Passed on test",IF(E14&gt;0,"Runtime error","Failed on test"))</f>
        <v/>
      </c>
      <c r="J14" s="2" t="n">
        <v>1</v>
      </c>
    </row>
    <row r="15">
      <c r="A15" s="2">
        <f>Summary!A3</f>
        <v/>
      </c>
      <c r="B15" s="2">
        <f>COUNTIF(Summary!$B$3:$AB$3,"Passed on test")+COUNTIF(Summary!$B$3:$AB$3,"Failed on test")+COUNTIF(Summary!$B$3:$AB$3,"Runtime error")</f>
        <v/>
      </c>
      <c r="C15" s="2">
        <f>COUNTIF(Summary!$B$3:$AB$3,"Passed on test")</f>
        <v/>
      </c>
      <c r="D15" s="2">
        <f>COUNTIF(Summary!$B$3:$AB$3,"Failed on test")</f>
        <v/>
      </c>
      <c r="E15" s="2">
        <f>COUNTIF(Summary!$B$3:$AB$3,"Runtime error")</f>
        <v/>
      </c>
      <c r="F15" s="9">
        <f>IF($B16=0,0,C16/$B16)</f>
        <v/>
      </c>
      <c r="G15" s="9">
        <f>IF($B16=0,0,D16/$B16)</f>
        <v/>
      </c>
      <c r="H15" s="9">
        <f>IF($B16=0,0,E16/$B16)</f>
        <v/>
      </c>
      <c r="I15" s="2">
        <f>IF(C16=B16,"Passed on test",IF(E16&gt;0,"Runtime error","Failed on test"))</f>
        <v/>
      </c>
      <c r="J15" s="2" t="n">
        <v>1</v>
      </c>
    </row>
    <row r="16">
      <c r="A16" s="2">
        <f>Summary!A4</f>
        <v/>
      </c>
      <c r="B16" s="2">
        <f>COUNTIF(Summary!$B$4:$AB$4,"Passed on test")+COUNTIF(Summary!$B$4:$AB$4,"Failed on test")+COUNTIF(Summary!$B$4:$AB$4,"Runtime error")</f>
        <v/>
      </c>
      <c r="C16" s="2">
        <f>COUNTIF(Summary!$B$4:$AB$4,"Passed on test")</f>
        <v/>
      </c>
      <c r="D16" s="2">
        <f>COUNTIF(Summary!$B$4:$AB$4,"Failed on test")</f>
        <v/>
      </c>
      <c r="E16" s="2">
        <f>COUNTIF(Summary!$B$4:$AB$4,"Runtime error")</f>
        <v/>
      </c>
      <c r="F16" s="9">
        <f>IF($B17=0,0,C17/$B17)</f>
        <v/>
      </c>
      <c r="G16" s="9">
        <f>IF($B17=0,0,D17/$B17)</f>
        <v/>
      </c>
      <c r="H16" s="9">
        <f>IF($B17=0,0,E17/$B17)</f>
        <v/>
      </c>
      <c r="I16" s="2">
        <f>IF(C17=B17,"Passed on test",IF(E17&gt;0,"Runtime error","Failed on test"))</f>
        <v/>
      </c>
      <c r="J16" s="2" t="n">
        <v>1</v>
      </c>
    </row>
    <row r="17">
      <c r="A17" s="2">
        <f>Summary!A5</f>
        <v/>
      </c>
      <c r="B17" s="2">
        <f>COUNTIF(Summary!$B$5:$AB$5,"Passed on test")+COUNTIF(Summary!$B$5:$AB$5,"Failed on test")+COUNTIF(Summary!$B$5:$AB$5,"Runtime error")</f>
        <v/>
      </c>
      <c r="C17" s="2">
        <f>COUNTIF(Summary!$B$5:$AB$5,"Passed on test")</f>
        <v/>
      </c>
      <c r="D17" s="2">
        <f>COUNTIF(Summary!$B$5:$AB$5,"Failed on test")</f>
        <v/>
      </c>
      <c r="E17" s="2">
        <f>COUNTIF(Summary!$B$5:$AB$5,"Runtime error")</f>
        <v/>
      </c>
      <c r="F17" s="9">
        <f>IF($B18=0,0,C18/$B18)</f>
        <v/>
      </c>
      <c r="G17" s="9">
        <f>IF($B18=0,0,D18/$B18)</f>
        <v/>
      </c>
      <c r="H17" s="9">
        <f>IF($B18=0,0,E18/$B18)</f>
        <v/>
      </c>
      <c r="I17" s="2">
        <f>IF(C18=B18,"Passed on test",IF(E18&gt;0,"Runtime error","Failed on test"))</f>
        <v/>
      </c>
      <c r="J17" s="2" t="n">
        <v>1</v>
      </c>
    </row>
    <row r="18">
      <c r="A18" s="2">
        <f>Summary!A6</f>
        <v/>
      </c>
      <c r="B18" s="2">
        <f>COUNTIF(Summary!$B$6:$AB$6,"Passed on test")+COUNTIF(Summary!$B$6:$AB$6,"Failed on test")+COUNTIF(Summary!$B$6:$AB$6,"Runtime error")</f>
        <v/>
      </c>
      <c r="C18" s="2">
        <f>COUNTIF(Summary!$B$6:$AB$6,"Passed on test")</f>
        <v/>
      </c>
      <c r="D18" s="2">
        <f>COUNTIF(Summary!$B$6:$AB$6,"Failed on test")</f>
        <v/>
      </c>
      <c r="E18" s="2">
        <f>COUNTIF(Summary!$B$6:$AB$6,"Runtime error")</f>
        <v/>
      </c>
      <c r="F18" s="9">
        <f>IF($B19=0,0,C19/$B19)</f>
        <v/>
      </c>
      <c r="G18" s="9">
        <f>IF($B19=0,0,D19/$B19)</f>
        <v/>
      </c>
      <c r="H18" s="9">
        <f>IF($B19=0,0,E19/$B19)</f>
        <v/>
      </c>
      <c r="I18" s="2">
        <f>IF(C19=B19,"Passed on test",IF(E19&gt;0,"Runtime error","Failed on test"))</f>
        <v/>
      </c>
      <c r="J18" s="2" t="n">
        <v>1</v>
      </c>
    </row>
    <row r="19">
      <c r="A19" s="2">
        <f>Summary!A7</f>
        <v/>
      </c>
      <c r="B19" s="2">
        <f>COUNTIF(Summary!$B$7:$AB$7,"Passed on test")+COUNTIF(Summary!$B$7:$AB$7,"Failed on test")+COUNTIF(Summary!$B$7:$AB$7,"Runtime error")</f>
        <v/>
      </c>
      <c r="C19" s="2">
        <f>COUNTIF(Summary!$B$7:$AB$7,"Passed on test")</f>
        <v/>
      </c>
      <c r="D19" s="2">
        <f>COUNTIF(Summary!$B$7:$AB$7,"Failed on test")</f>
        <v/>
      </c>
      <c r="E19" s="2">
        <f>COUNTIF(Summary!$B$7:$AB$7,"Runtime error")</f>
        <v/>
      </c>
      <c r="F19" s="9">
        <f>IF($B20=0,0,C20/$B20)</f>
        <v/>
      </c>
      <c r="G19" s="9">
        <f>IF($B20=0,0,D20/$B20)</f>
        <v/>
      </c>
      <c r="H19" s="9">
        <f>IF($B20=0,0,E20/$B20)</f>
        <v/>
      </c>
      <c r="I19" s="2">
        <f>IF(C20=B20,"Passed on test",IF(E20&gt;0,"Runtime error","Failed on test"))</f>
        <v/>
      </c>
      <c r="J19" s="2" t="n">
        <v>1</v>
      </c>
    </row>
    <row r="20">
      <c r="A20" s="2">
        <f>Summary!A8</f>
        <v/>
      </c>
      <c r="B20" s="2">
        <f>COUNTIF(Summary!$B$8:$AB$8,"Passed on test")+COUNTIF(Summary!$B$8:$AB$8,"Failed on test")+COUNTIF(Summary!$B$8:$AB$8,"Runtime error")</f>
        <v/>
      </c>
      <c r="C20" s="2">
        <f>COUNTIF(Summary!$B$8:$AB$8,"Passed on test")</f>
        <v/>
      </c>
      <c r="D20" s="2">
        <f>COUNTIF(Summary!$B$8:$AB$8,"Failed on test")</f>
        <v/>
      </c>
      <c r="E20" s="2">
        <f>COUNTIF(Summary!$B$8:$AB$8,"Runtime error")</f>
        <v/>
      </c>
      <c r="F20" s="9">
        <f>IF($B21=0,0,C21/$B21)</f>
        <v/>
      </c>
      <c r="G20" s="9">
        <f>IF($B21=0,0,D21/$B21)</f>
        <v/>
      </c>
      <c r="H20" s="9">
        <f>IF($B21=0,0,E21/$B21)</f>
        <v/>
      </c>
      <c r="I20" s="2">
        <f>IF(C21=B21,"Passed on test",IF(E21&gt;0,"Runtime error","Failed on test"))</f>
        <v/>
      </c>
      <c r="J20" s="2" t="n">
        <v>1</v>
      </c>
    </row>
    <row r="21">
      <c r="A21" s="2">
        <f>Summary!A9</f>
        <v/>
      </c>
      <c r="B21" s="2">
        <f>COUNTIF(Summary!$B$9:$AB$9,"Passed on test")+COUNTIF(Summary!$B$9:$AB$9,"Failed on test")+COUNTIF(Summary!$B$9:$AB$9,"Runtime error")</f>
        <v/>
      </c>
      <c r="C21" s="2">
        <f>COUNTIF(Summary!$B$9:$AB$9,"Passed on test")</f>
        <v/>
      </c>
      <c r="D21" s="2">
        <f>COUNTIF(Summary!$B$9:$AB$9,"Failed on test")</f>
        <v/>
      </c>
      <c r="E21" s="2">
        <f>COUNTIF(Summary!$B$9:$AB$9,"Runtime error")</f>
        <v/>
      </c>
      <c r="F21" s="9">
        <f>IF($B22=0,0,C22/$B22)</f>
        <v/>
      </c>
      <c r="G21" s="9">
        <f>IF($B22=0,0,D22/$B22)</f>
        <v/>
      </c>
      <c r="H21" s="9">
        <f>IF($B22=0,0,E22/$B22)</f>
        <v/>
      </c>
      <c r="I21" s="2">
        <f>IF(C22=B22,"Passed on test",IF(E22&gt;0,"Runtime error","Failed on test"))</f>
        <v/>
      </c>
      <c r="J21" s="2" t="n">
        <v>1</v>
      </c>
    </row>
    <row r="22">
      <c r="A22" s="2">
        <f>Summary!A10</f>
        <v/>
      </c>
      <c r="B22" s="2">
        <f>COUNTIF(Summary!$B$10:$AB$10,"Passed on test")+COUNTIF(Summary!$B$10:$AB$10,"Failed on test")+COUNTIF(Summary!$B$10:$AB$10,"Runtime error")</f>
        <v/>
      </c>
      <c r="C22" s="2">
        <f>COUNTIF(Summary!$B$10:$AB$10,"Passed on test")</f>
        <v/>
      </c>
      <c r="D22" s="2">
        <f>COUNTIF(Summary!$B$10:$AB$10,"Failed on test")</f>
        <v/>
      </c>
      <c r="E22" s="2">
        <f>COUNTIF(Summary!$B$10:$AB$10,"Runtime error")</f>
        <v/>
      </c>
      <c r="F22" s="9">
        <f>IF($B23=0,0,C23/$B23)</f>
        <v/>
      </c>
      <c r="G22" s="9">
        <f>IF($B23=0,0,D23/$B23)</f>
        <v/>
      </c>
      <c r="H22" s="9">
        <f>IF($B23=0,0,E23/$B23)</f>
        <v/>
      </c>
      <c r="I22" s="2">
        <f>IF(C23=B23,"Passed on test",IF(E23&gt;0,"Runtime error","Failed on test"))</f>
        <v/>
      </c>
      <c r="J22" s="2" t="n">
        <v>1</v>
      </c>
    </row>
    <row r="23">
      <c r="A23" s="2">
        <f>Summary!A11</f>
        <v/>
      </c>
      <c r="B23" s="2">
        <f>COUNTIF(Summary!$B$11:$AB$11,"Passed on test")+COUNTIF(Summary!$B$11:$AB$11,"Failed on test")+COUNTIF(Summary!$B$11:$AB$11,"Runtime error")</f>
        <v/>
      </c>
      <c r="C23" s="2">
        <f>COUNTIF(Summary!$B$11:$AB$11,"Passed on test")</f>
        <v/>
      </c>
      <c r="D23" s="2">
        <f>COUNTIF(Summary!$B$11:$AB$11,"Failed on test")</f>
        <v/>
      </c>
      <c r="E23" s="2">
        <f>COUNTIF(Summary!$B$11:$AB$11,"Runtime error")</f>
        <v/>
      </c>
      <c r="F23" s="9">
        <f>IF($B24=0,0,C24/$B24)</f>
        <v/>
      </c>
      <c r="G23" s="9">
        <f>IF($B24=0,0,D24/$B24)</f>
        <v/>
      </c>
      <c r="H23" s="9">
        <f>IF($B24=0,0,E24/$B24)</f>
        <v/>
      </c>
      <c r="I23" s="2">
        <f>IF(C24=B24,"Passed on test",IF(E24&gt;0,"Runtime error","Failed on test"))</f>
        <v/>
      </c>
      <c r="J23" s="2" t="n">
        <v>2</v>
      </c>
    </row>
    <row r="24">
      <c r="A24" s="2">
        <f>Summary!A12</f>
        <v/>
      </c>
      <c r="B24" s="2">
        <f>COUNTIF(Summary!$B$12:$AB$12,"Passed on test")+COUNTIF(Summary!$B$12:$AB$12,"Failed on test")+COUNTIF(Summary!$B$12:$AB$12,"Runtime error")</f>
        <v/>
      </c>
      <c r="C24" s="2">
        <f>COUNTIF(Summary!$B$12:$AB$12,"Passed on test")</f>
        <v/>
      </c>
      <c r="D24" s="2">
        <f>COUNTIF(Summary!$B$12:$AB$12,"Failed on test")</f>
        <v/>
      </c>
      <c r="E24" s="2">
        <f>COUNTIF(Summary!$B$12:$AB$12,"Runtime error")</f>
        <v/>
      </c>
      <c r="F24" s="9">
        <f>IF($B25=0,0,C25/$B25)</f>
        <v/>
      </c>
      <c r="G24" s="9">
        <f>IF($B25=0,0,D25/$B25)</f>
        <v/>
      </c>
      <c r="H24" s="9">
        <f>IF($B25=0,0,E25/$B25)</f>
        <v/>
      </c>
      <c r="I24" s="2">
        <f>IF(C25=B25,"Passed on test",IF(E25&gt;0,"Runtime error","Failed on test"))</f>
        <v/>
      </c>
      <c r="J24" s="2" t="n">
        <v>2</v>
      </c>
    </row>
    <row r="25">
      <c r="A25" s="2">
        <f>Summary!A13</f>
        <v/>
      </c>
      <c r="B25" s="2">
        <f>COUNTIF(Summary!$B$13:$AB$13,"Passed on test")+COUNTIF(Summary!$B$13:$AB$13,"Failed on test")+COUNTIF(Summary!$B$13:$AB$13,"Runtime error")</f>
        <v/>
      </c>
      <c r="C25" s="2">
        <f>COUNTIF(Summary!$B$13:$AB$13,"Passed on test")</f>
        <v/>
      </c>
      <c r="D25" s="2">
        <f>COUNTIF(Summary!$B$13:$AB$13,"Failed on test")</f>
        <v/>
      </c>
      <c r="E25" s="2">
        <f>COUNTIF(Summary!$B$13:$AB$13,"Runtime error")</f>
        <v/>
      </c>
      <c r="F25" s="9">
        <f>IF($B26=0,0,C26/$B26)</f>
        <v/>
      </c>
      <c r="G25" s="9">
        <f>IF($B26=0,0,D26/$B26)</f>
        <v/>
      </c>
      <c r="H25" s="9">
        <f>IF($B26=0,0,E26/$B26)</f>
        <v/>
      </c>
      <c r="I25" s="2">
        <f>IF(C26=B26,"Passed on test",IF(E26&gt;0,"Runtime error","Failed on test"))</f>
        <v/>
      </c>
      <c r="J25" s="2" t="n">
        <v>2</v>
      </c>
    </row>
    <row r="26">
      <c r="A26" s="2">
        <f>Summary!A14</f>
        <v/>
      </c>
      <c r="B26" s="2">
        <f>COUNTIF(Summary!$B$14:$AB$14,"Passed on test")+COUNTIF(Summary!$B$14:$AB$14,"Failed on test")+COUNTIF(Summary!$B$14:$AB$14,"Runtime error")</f>
        <v/>
      </c>
      <c r="C26" s="2">
        <f>COUNTIF(Summary!$B$14:$AB$14,"Passed on test")</f>
        <v/>
      </c>
      <c r="D26" s="2">
        <f>COUNTIF(Summary!$B$14:$AB$14,"Failed on test")</f>
        <v/>
      </c>
      <c r="E26" s="2">
        <f>COUNTIF(Summary!$B$14:$AB$14,"Runtime error")</f>
        <v/>
      </c>
      <c r="F26" s="9">
        <f>IF($B27=0,0,C27/$B27)</f>
        <v/>
      </c>
      <c r="G26" s="9">
        <f>IF($B27=0,0,D27/$B27)</f>
        <v/>
      </c>
      <c r="H26" s="9">
        <f>IF($B27=0,0,E27/$B27)</f>
        <v/>
      </c>
      <c r="I26" s="2">
        <f>IF(C27=B27,"Passed on test",IF(E27&gt;0,"Runtime error","Failed on test"))</f>
        <v/>
      </c>
      <c r="J26" s="2" t="n">
        <v>2</v>
      </c>
    </row>
    <row r="27">
      <c r="A27" s="2">
        <f>Summary!A15</f>
        <v/>
      </c>
      <c r="B27" s="2">
        <f>COUNTIF(Summary!$B$15:$AB$15,"Passed on test")+COUNTIF(Summary!$B$15:$AB$15,"Failed on test")+COUNTIF(Summary!$B$15:$AB$15,"Runtime error")</f>
        <v/>
      </c>
      <c r="C27" s="2">
        <f>COUNTIF(Summary!$B$15:$AB$15,"Passed on test")</f>
        <v/>
      </c>
      <c r="D27" s="2">
        <f>COUNTIF(Summary!$B$15:$AB$15,"Failed on test")</f>
        <v/>
      </c>
      <c r="E27" s="2">
        <f>COUNTIF(Summary!$B$15:$AB$15,"Runtime error")</f>
        <v/>
      </c>
      <c r="F27" s="9">
        <f>IF($B28=0,0,C28/$B28)</f>
        <v/>
      </c>
      <c r="G27" s="9">
        <f>IF($B28=0,0,D28/$B28)</f>
        <v/>
      </c>
      <c r="H27" s="9">
        <f>IF($B28=0,0,E28/$B28)</f>
        <v/>
      </c>
      <c r="I27" s="2">
        <f>IF(C28=B28,"Passed on test",IF(E28&gt;0,"Runtime error","Failed on test"))</f>
        <v/>
      </c>
      <c r="J27" s="2" t="n">
        <v>2</v>
      </c>
    </row>
    <row r="28">
      <c r="A28" s="2">
        <f>Summary!A16</f>
        <v/>
      </c>
      <c r="B28" s="2">
        <f>COUNTIF(Summary!$B$16:$AB$16,"Passed on test")+COUNTIF(Summary!$B$16:$AB$16,"Failed on test")+COUNTIF(Summary!$B$16:$AB$16,"Runtime error")</f>
        <v/>
      </c>
      <c r="C28" s="2">
        <f>COUNTIF(Summary!$B$16:$AB$16,"Passed on test")</f>
        <v/>
      </c>
      <c r="D28" s="2">
        <f>COUNTIF(Summary!$B$16:$AB$16,"Failed on test")</f>
        <v/>
      </c>
      <c r="E28" s="2">
        <f>COUNTIF(Summary!$B$16:$AB$16,"Runtime error")</f>
        <v/>
      </c>
      <c r="F28" s="9">
        <f>IF($B29=0,0,C29/$B29)</f>
        <v/>
      </c>
      <c r="G28" s="9">
        <f>IF($B29=0,0,D29/$B29)</f>
        <v/>
      </c>
      <c r="H28" s="9">
        <f>IF($B29=0,0,E29/$B29)</f>
        <v/>
      </c>
      <c r="I28" s="2">
        <f>IF(C29=B29,"Passed on test",IF(E29&gt;0,"Runtime error","Failed on test"))</f>
        <v/>
      </c>
      <c r="J28" s="2" t="n">
        <v>2</v>
      </c>
    </row>
    <row r="29">
      <c r="A29" s="2">
        <f>Summary!A17</f>
        <v/>
      </c>
      <c r="B29" s="2">
        <f>COUNTIF(Summary!$B$17:$AB$17,"Passed on test")+COUNTIF(Summary!$B$17:$AB$17,"Failed on test")+COUNTIF(Summary!$B$17:$AB$17,"Runtime error")</f>
        <v/>
      </c>
      <c r="C29" s="2">
        <f>COUNTIF(Summary!$B$17:$AB$17,"Passed on test")</f>
        <v/>
      </c>
      <c r="D29" s="2">
        <f>COUNTIF(Summary!$B$17:$AB$17,"Failed on test")</f>
        <v/>
      </c>
      <c r="E29" s="2">
        <f>COUNTIF(Summary!$B$17:$AB$17,"Runtime error")</f>
        <v/>
      </c>
      <c r="F29" s="9">
        <f>IF($B30=0,0,C30/$B30)</f>
        <v/>
      </c>
      <c r="G29" s="9">
        <f>IF($B30=0,0,D30/$B30)</f>
        <v/>
      </c>
      <c r="H29" s="9">
        <f>IF($B30=0,0,E30/$B30)</f>
        <v/>
      </c>
      <c r="I29" s="2">
        <f>IF(C30=B30,"Passed on test",IF(E30&gt;0,"Runtime error","Failed on test"))</f>
        <v/>
      </c>
      <c r="J29" s="2" t="n">
        <v>2</v>
      </c>
    </row>
    <row r="30">
      <c r="A30" s="2">
        <f>Summary!A18</f>
        <v/>
      </c>
      <c r="B30" s="2">
        <f>COUNTIF(Summary!$B$18:$AB$18,"Passed on test")+COUNTIF(Summary!$B$18:$AB$18,"Failed on test")+COUNTIF(Summary!$B$18:$AB$18,"Runtime error")</f>
        <v/>
      </c>
      <c r="C30" s="2">
        <f>COUNTIF(Summary!$B$18:$AB$18,"Passed on test")</f>
        <v/>
      </c>
      <c r="D30" s="2">
        <f>COUNTIF(Summary!$B$18:$AB$18,"Failed on test")</f>
        <v/>
      </c>
      <c r="E30" s="2">
        <f>COUNTIF(Summary!$B$18:$AB$18,"Runtime error")</f>
        <v/>
      </c>
      <c r="F30" s="9">
        <f>IF($B31=0,0,C31/$B31)</f>
        <v/>
      </c>
      <c r="G30" s="9">
        <f>IF($B31=0,0,D31/$B31)</f>
        <v/>
      </c>
      <c r="H30" s="9">
        <f>IF($B31=0,0,E31/$B31)</f>
        <v/>
      </c>
      <c r="I30" s="2">
        <f>IF(C31=B31,"Passed on test",IF(E31&gt;0,"Runtime error","Failed on test"))</f>
        <v/>
      </c>
      <c r="J30" s="2" t="n">
        <v>2</v>
      </c>
    </row>
    <row r="31">
      <c r="A31" s="2">
        <f>Summary!A19</f>
        <v/>
      </c>
      <c r="B31" s="2">
        <f>COUNTIF(Summary!$B$19:$AB$19,"Passed on test")+COUNTIF(Summary!$B$19:$AB$19,"Failed on test")+COUNTIF(Summary!$B$19:$AB$19,"Runtime error")</f>
        <v/>
      </c>
      <c r="C31" s="2">
        <f>COUNTIF(Summary!$B$19:$AB$19,"Passed on test")</f>
        <v/>
      </c>
      <c r="D31" s="2">
        <f>COUNTIF(Summary!$B$19:$AB$19,"Failed on test")</f>
        <v/>
      </c>
      <c r="E31" s="2">
        <f>COUNTIF(Summary!$B$19:$AB$19,"Runtime error")</f>
        <v/>
      </c>
      <c r="F31" s="9">
        <f>IF($B32=0,0,C32/$B32)</f>
        <v/>
      </c>
      <c r="G31" s="9">
        <f>IF($B32=0,0,D32/$B32)</f>
        <v/>
      </c>
      <c r="H31" s="9">
        <f>IF($B32=0,0,E32/$B32)</f>
        <v/>
      </c>
      <c r="I31" s="2">
        <f>IF(C32=B32,"Passed on test",IF(E32&gt;0,"Runtime error","Failed on test"))</f>
        <v/>
      </c>
      <c r="J31" s="2" t="n">
        <v>2</v>
      </c>
    </row>
    <row r="32">
      <c r="A32" s="2">
        <f>Summary!A20</f>
        <v/>
      </c>
      <c r="B32" s="2">
        <f>COUNTIF(Summary!$B$20:$AB$20,"Passed on test")+COUNTIF(Summary!$B$20:$AB$20,"Failed on test")+COUNTIF(Summary!$B$20:$AB$20,"Runtime error")</f>
        <v/>
      </c>
      <c r="C32" s="2">
        <f>COUNTIF(Summary!$B$20:$AB$20,"Passed on test")</f>
        <v/>
      </c>
      <c r="D32" s="2">
        <f>COUNTIF(Summary!$B$20:$AB$20,"Failed on test")</f>
        <v/>
      </c>
      <c r="E32" s="2">
        <f>COUNTIF(Summary!$B$20:$AB$20,"Runtime error")</f>
        <v/>
      </c>
      <c r="F32" s="9">
        <f>IF($B33=0,0,C33/$B33)</f>
        <v/>
      </c>
      <c r="G32" s="9">
        <f>IF($B33=0,0,D33/$B33)</f>
        <v/>
      </c>
      <c r="H32" s="9">
        <f>IF($B33=0,0,E33/$B33)</f>
        <v/>
      </c>
      <c r="I32" s="2">
        <f>IF(C33=B33,"Passed on test",IF(E33&gt;0,"Runtime error","Failed on test"))</f>
        <v/>
      </c>
      <c r="J32" s="2" t="n">
        <v>2</v>
      </c>
    </row>
    <row r="33">
      <c r="A33" s="2">
        <f>Summary!A21</f>
        <v/>
      </c>
      <c r="B33" s="2">
        <f>COUNTIF(Summary!$B$21:$AB$21,"Passed on test")+COUNTIF(Summary!$B$21:$AB$21,"Failed on test")+COUNTIF(Summary!$B$21:$AB$21,"Runtime error")</f>
        <v/>
      </c>
      <c r="C33" s="2">
        <f>COUNTIF(Summary!$B$21:$AB$21,"Passed on test")</f>
        <v/>
      </c>
      <c r="D33" s="2">
        <f>COUNTIF(Summary!$B$21:$AB$21,"Failed on test")</f>
        <v/>
      </c>
      <c r="E33" s="2">
        <f>COUNTIF(Summary!$B$21:$AB$21,"Runtime error")</f>
        <v/>
      </c>
      <c r="F33" s="9">
        <f>IF($B34=0,0,C34/$B34)</f>
        <v/>
      </c>
      <c r="G33" s="9">
        <f>IF($B34=0,0,D34/$B34)</f>
        <v/>
      </c>
      <c r="H33" s="9">
        <f>IF($B34=0,0,E34/$B34)</f>
        <v/>
      </c>
      <c r="I33" s="2">
        <f>IF(C34=B34,"Passed on test",IF(E34&gt;0,"Runtime error","Failed on test"))</f>
        <v/>
      </c>
      <c r="J33" s="2" t="n">
        <v>3</v>
      </c>
    </row>
    <row r="34">
      <c r="A34" s="2">
        <f>Summary!A22</f>
        <v/>
      </c>
      <c r="B34" s="2">
        <f>COUNTIF(Summary!$B$22:$AB$22,"Passed on test")+COUNTIF(Summary!$B$22:$AB$22,"Failed on test")+COUNTIF(Summary!$B$22:$AB$22,"Runtime error")</f>
        <v/>
      </c>
      <c r="C34" s="2">
        <f>COUNTIF(Summary!$B$22:$AB$22,"Passed on test")</f>
        <v/>
      </c>
      <c r="D34" s="2">
        <f>COUNTIF(Summary!$B$22:$AB$22,"Failed on test")</f>
        <v/>
      </c>
      <c r="E34" s="2">
        <f>COUNTIF(Summary!$B$22:$AB$22,"Runtime error")</f>
        <v/>
      </c>
      <c r="F34" s="9">
        <f>IF($B35=0,0,C35/$B35)</f>
        <v/>
      </c>
      <c r="G34" s="9">
        <f>IF($B35=0,0,D35/$B35)</f>
        <v/>
      </c>
      <c r="H34" s="9">
        <f>IF($B35=0,0,E35/$B35)</f>
        <v/>
      </c>
      <c r="I34" s="2">
        <f>IF(C35=B35,"Passed on test",IF(E35&gt;0,"Runtime error","Failed on test"))</f>
        <v/>
      </c>
      <c r="J34" s="2" t="n">
        <v>3</v>
      </c>
    </row>
    <row r="35">
      <c r="A35" s="2">
        <f>Summary!A23</f>
        <v/>
      </c>
      <c r="B35" s="2">
        <f>COUNTIF(Summary!$B$23:$AB$23,"Passed on test")+COUNTIF(Summary!$B$23:$AB$23,"Failed on test")+COUNTIF(Summary!$B$23:$AB$23,"Runtime error")</f>
        <v/>
      </c>
      <c r="C35" s="2">
        <f>COUNTIF(Summary!$B$23:$AB$23,"Passed on test")</f>
        <v/>
      </c>
      <c r="D35" s="2">
        <f>COUNTIF(Summary!$B$23:$AB$23,"Failed on test")</f>
        <v/>
      </c>
      <c r="E35" s="2">
        <f>COUNTIF(Summary!$B$23:$AB$23,"Runtime error")</f>
        <v/>
      </c>
      <c r="F35" s="9">
        <f>IF($B36=0,0,C36/$B36)</f>
        <v/>
      </c>
      <c r="G35" s="9">
        <f>IF($B36=0,0,D36/$B36)</f>
        <v/>
      </c>
      <c r="H35" s="9">
        <f>IF($B36=0,0,E36/$B36)</f>
        <v/>
      </c>
      <c r="I35" s="2">
        <f>IF(C36=B36,"Passed on test",IF(E36&gt;0,"Runtime error","Failed on test"))</f>
        <v/>
      </c>
      <c r="J35" s="2" t="n">
        <v>3</v>
      </c>
    </row>
    <row r="36">
      <c r="A36" s="2">
        <f>Summary!A24</f>
        <v/>
      </c>
      <c r="B36" s="2">
        <f>COUNTIF(Summary!$B$24:$AB$24,"Passed on test")+COUNTIF(Summary!$B$24:$AB$24,"Failed on test")+COUNTIF(Summary!$B$24:$AB$24,"Runtime error")</f>
        <v/>
      </c>
      <c r="C36" s="2">
        <f>COUNTIF(Summary!$B$24:$AB$24,"Passed on test")</f>
        <v/>
      </c>
      <c r="D36" s="2">
        <f>COUNTIF(Summary!$B$24:$AB$24,"Failed on test")</f>
        <v/>
      </c>
      <c r="E36" s="2">
        <f>COUNTIF(Summary!$B$24:$AB$24,"Runtime error")</f>
        <v/>
      </c>
      <c r="F36" s="9">
        <f>IF($B37=0,0,C37/$B37)</f>
        <v/>
      </c>
      <c r="G36" s="9">
        <f>IF($B37=0,0,D37/$B37)</f>
        <v/>
      </c>
      <c r="H36" s="9">
        <f>IF($B37=0,0,E37/$B37)</f>
        <v/>
      </c>
      <c r="I36" s="2">
        <f>IF(C37=B37,"Passed on test",IF(E37&gt;0,"Runtime error","Failed on test"))</f>
        <v/>
      </c>
      <c r="J36" s="2" t="n">
        <v>3</v>
      </c>
    </row>
    <row r="37">
      <c r="A37" s="2">
        <f>Summary!A25</f>
        <v/>
      </c>
      <c r="B37" s="2">
        <f>COUNTIF(Summary!$B$25:$AB$25,"Passed on test")+COUNTIF(Summary!$B$25:$AB$25,"Failed on test")+COUNTIF(Summary!$B$25:$AB$25,"Runtime error")</f>
        <v/>
      </c>
      <c r="C37" s="2">
        <f>COUNTIF(Summary!$B$25:$AB$25,"Passed on test")</f>
        <v/>
      </c>
      <c r="D37" s="2">
        <f>COUNTIF(Summary!$B$25:$AB$25,"Failed on test")</f>
        <v/>
      </c>
      <c r="E37" s="2">
        <f>COUNTIF(Summary!$B$25:$AB$25,"Runtime error")</f>
        <v/>
      </c>
      <c r="F37" s="9">
        <f>IF($B38=0,0,C38/$B38)</f>
        <v/>
      </c>
      <c r="G37" s="9">
        <f>IF($B38=0,0,D38/$B38)</f>
        <v/>
      </c>
      <c r="H37" s="9">
        <f>IF($B38=0,0,E38/$B38)</f>
        <v/>
      </c>
      <c r="I37" s="2">
        <f>IF(C38=B38,"Passed on test",IF(E38&gt;0,"Runtime error","Failed on test"))</f>
        <v/>
      </c>
      <c r="J37" s="2" t="n">
        <v>3</v>
      </c>
    </row>
    <row r="38">
      <c r="A38" s="2">
        <f>Summary!A26</f>
        <v/>
      </c>
      <c r="B38" s="2">
        <f>COUNTIF(Summary!$B$26:$AB$26,"Passed on test")+COUNTIF(Summary!$B$26:$AB$26,"Failed on test")+COUNTIF(Summary!$B$26:$AB$26,"Runtime error")</f>
        <v/>
      </c>
      <c r="C38" s="2">
        <f>COUNTIF(Summary!$B$26:$AB$26,"Passed on test")</f>
        <v/>
      </c>
      <c r="D38" s="2">
        <f>COUNTIF(Summary!$B$26:$AB$26,"Failed on test")</f>
        <v/>
      </c>
      <c r="E38" s="2">
        <f>COUNTIF(Summary!$B$26:$AB$26,"Runtime error")</f>
        <v/>
      </c>
      <c r="F38" s="9">
        <f>IF($B39=0,0,C39/$B39)</f>
        <v/>
      </c>
      <c r="G38" s="9">
        <f>IF($B39=0,0,D39/$B39)</f>
        <v/>
      </c>
      <c r="H38" s="9">
        <f>IF($B39=0,0,E39/$B39)</f>
        <v/>
      </c>
      <c r="I38" s="2">
        <f>IF(C39=B39,"Passed on test",IF(E39&gt;0,"Runtime error","Failed on test"))</f>
        <v/>
      </c>
      <c r="J38" s="2" t="n">
        <v>3</v>
      </c>
    </row>
    <row r="39">
      <c r="A39" s="2">
        <f>Summary!A27</f>
        <v/>
      </c>
      <c r="B39" s="2">
        <f>COUNTIF(Summary!$B$27:$AB$27,"Passed on test")+COUNTIF(Summary!$B$27:$AB$27,"Failed on test")+COUNTIF(Summary!$B$27:$AB$27,"Runtime error")</f>
        <v/>
      </c>
      <c r="C39" s="2">
        <f>COUNTIF(Summary!$B$27:$AB$27,"Passed on test")</f>
        <v/>
      </c>
      <c r="D39" s="2">
        <f>COUNTIF(Summary!$B$27:$AB$27,"Failed on test")</f>
        <v/>
      </c>
      <c r="E39" s="2">
        <f>COUNTIF(Summary!$B$27:$AB$27,"Runtime error")</f>
        <v/>
      </c>
      <c r="F39" s="9">
        <f>IF($B40=0,0,C40/$B40)</f>
        <v/>
      </c>
      <c r="G39" s="9">
        <f>IF($B40=0,0,D40/$B40)</f>
        <v/>
      </c>
      <c r="H39" s="9">
        <f>IF($B40=0,0,E40/$B40)</f>
        <v/>
      </c>
      <c r="I39" s="2">
        <f>IF(C40=B40,"Passed on test",IF(E40&gt;0,"Runtime error","Failed on test"))</f>
        <v/>
      </c>
      <c r="J39" s="2" t="n">
        <v>3</v>
      </c>
    </row>
    <row r="40">
      <c r="A40" s="2">
        <f>Summary!A28</f>
        <v/>
      </c>
      <c r="B40" s="2">
        <f>COUNTIF(Summary!$B$28:$AB$28,"Passed on test")+COUNTIF(Summary!$B$28:$AB$28,"Failed on test")+COUNTIF(Summary!$B$28:$AB$28,"Runtime error")</f>
        <v/>
      </c>
      <c r="C40" s="2">
        <f>COUNTIF(Summary!$B$28:$AB$28,"Passed on test")</f>
        <v/>
      </c>
      <c r="D40" s="2">
        <f>COUNTIF(Summary!$B$28:$AB$28,"Failed on test")</f>
        <v/>
      </c>
      <c r="E40" s="2">
        <f>COUNTIF(Summary!$B$28:$AB$28,"Runtime error")</f>
        <v/>
      </c>
      <c r="F40" s="9">
        <f>IF($B41=0,0,C41/$B41)</f>
        <v/>
      </c>
      <c r="G40" s="9">
        <f>IF($B41=0,0,D41/$B41)</f>
        <v/>
      </c>
      <c r="H40" s="9">
        <f>IF($B41=0,0,E41/$B41)</f>
        <v/>
      </c>
      <c r="I40" s="2">
        <f>IF(C41=B41,"Passed on test",IF(E41&gt;0,"Runtime error","Failed on test"))</f>
        <v/>
      </c>
      <c r="J40" s="2" t="n">
        <v>3</v>
      </c>
    </row>
    <row r="41">
      <c r="A41" s="2">
        <f>Summary!A29</f>
        <v/>
      </c>
      <c r="B41" s="2">
        <f>COUNTIF(Summary!$B$29:$AB$29,"Passed on test")+COUNTIF(Summary!$B$29:$AB$29,"Failed on test")+COUNTIF(Summary!$B$29:$AB$29,"Runtime error")</f>
        <v/>
      </c>
      <c r="C41" s="2">
        <f>COUNTIF(Summary!$B$29:$AB$29,"Passed on test")</f>
        <v/>
      </c>
      <c r="D41" s="2">
        <f>COUNTIF(Summary!$B$29:$AB$29,"Failed on test")</f>
        <v/>
      </c>
      <c r="E41" s="2">
        <f>COUNTIF(Summary!$B$29:$AB$29,"Runtime error")</f>
        <v/>
      </c>
      <c r="F41" s="9">
        <f>IF($B42=0,0,C42/$B42)</f>
        <v/>
      </c>
      <c r="G41" s="9">
        <f>IF($B42=0,0,D42/$B42)</f>
        <v/>
      </c>
      <c r="H41" s="9">
        <f>IF($B42=0,0,E42/$B42)</f>
        <v/>
      </c>
      <c r="I41" s="2">
        <f>IF(C42=B42,"Passed on test",IF(E42&gt;0,"Runtime error","Failed on test"))</f>
        <v/>
      </c>
      <c r="J41" s="2" t="n">
        <v>3</v>
      </c>
    </row>
    <row r="42">
      <c r="A42" s="2">
        <f>Summary!A30</f>
        <v/>
      </c>
      <c r="B42" s="2">
        <f>COUNTIF(Summary!$B$30:$AB$30,"Passed on test")+COUNTIF(Summary!$B$30:$AB$30,"Failed on test")+COUNTIF(Summary!$B$30:$AB$30,"Runtime error")</f>
        <v/>
      </c>
      <c r="C42" s="2">
        <f>COUNTIF(Summary!$B$30:$AB$30,"Passed on test")</f>
        <v/>
      </c>
      <c r="D42" s="2">
        <f>COUNTIF(Summary!$B$30:$AB$30,"Failed on test")</f>
        <v/>
      </c>
      <c r="E42" s="2">
        <f>COUNTIF(Summary!$B$30:$AB$30,"Runtime error")</f>
        <v/>
      </c>
      <c r="F42" s="9">
        <f>IF($B43=0,0,C43/$B43)</f>
        <v/>
      </c>
      <c r="G42" s="9">
        <f>IF($B43=0,0,D43/$B43)</f>
        <v/>
      </c>
      <c r="H42" s="9">
        <f>IF($B43=0,0,E43/$B43)</f>
        <v/>
      </c>
      <c r="I42" s="2">
        <f>IF(C43=B43,"Passed on test",IF(E43&gt;0,"Runtime error","Failed on test"))</f>
        <v/>
      </c>
      <c r="J42" s="2" t="n">
        <v>3</v>
      </c>
    </row>
    <row r="43">
      <c r="A43" s="2">
        <f>Summary!A31</f>
        <v/>
      </c>
      <c r="B43" s="2">
        <f>COUNTIF(Summary!$B$31:$AB$31,"Passed on test")+COUNTIF(Summary!$B$31:$AB$31,"Failed on test")+COUNTIF(Summary!$B$31:$AB$31,"Runtime error")</f>
        <v/>
      </c>
      <c r="C43" s="2">
        <f>COUNTIF(Summary!$B$31:$AB$31,"Passed on test")</f>
        <v/>
      </c>
      <c r="D43" s="2">
        <f>COUNTIF(Summary!$B$31:$AB$31,"Failed on test")</f>
        <v/>
      </c>
      <c r="E43" s="2">
        <f>COUNTIF(Summary!$B$31:$AB$31,"Runtime error")</f>
        <v/>
      </c>
      <c r="F43" s="9">
        <f>IF($B44=0,0,C44/$B44)</f>
        <v/>
      </c>
      <c r="G43" s="9">
        <f>IF($B44=0,0,D44/$B44)</f>
        <v/>
      </c>
      <c r="H43" s="9">
        <f>IF($B44=0,0,E44/$B44)</f>
        <v/>
      </c>
      <c r="I43" s="2">
        <f>IF(C44=B44,"Passed on test",IF(E44&gt;0,"Runtime error","Failed on test"))</f>
        <v/>
      </c>
      <c r="J43" s="2" t="n">
        <v>4</v>
      </c>
    </row>
    <row r="44">
      <c r="A44" s="2">
        <f>Summary!A32</f>
        <v/>
      </c>
      <c r="B44" s="2">
        <f>COUNTIF(Summary!$B$32:$AB$32,"Passed on test")+COUNTIF(Summary!$B$32:$AB$32,"Failed on test")+COUNTIF(Summary!$B$32:$AB$32,"Runtime error")</f>
        <v/>
      </c>
      <c r="C44" s="2">
        <f>COUNTIF(Summary!$B$32:$AB$32,"Passed on test")</f>
        <v/>
      </c>
      <c r="D44" s="2">
        <f>COUNTIF(Summary!$B$32:$AB$32,"Failed on test")</f>
        <v/>
      </c>
      <c r="E44" s="2">
        <f>COUNTIF(Summary!$B$32:$AB$32,"Runtime error")</f>
        <v/>
      </c>
      <c r="F44" s="9">
        <f>IF($B45=0,0,C45/$B45)</f>
        <v/>
      </c>
      <c r="G44" s="9">
        <f>IF($B45=0,0,D45/$B45)</f>
        <v/>
      </c>
      <c r="H44" s="9">
        <f>IF($B45=0,0,E45/$B45)</f>
        <v/>
      </c>
      <c r="I44" s="2">
        <f>IF(C45=B45,"Passed on test",IF(E45&gt;0,"Runtime error","Failed on test"))</f>
        <v/>
      </c>
      <c r="J44" s="2" t="n">
        <v>4</v>
      </c>
    </row>
    <row r="45">
      <c r="A45" s="2">
        <f>Summary!A33</f>
        <v/>
      </c>
      <c r="B45" s="2">
        <f>COUNTIF(Summary!$B$33:$AB$33,"Passed on test")+COUNTIF(Summary!$B$33:$AB$33,"Failed on test")+COUNTIF(Summary!$B$33:$AB$33,"Runtime error")</f>
        <v/>
      </c>
      <c r="C45" s="2">
        <f>COUNTIF(Summary!$B$33:$AB$33,"Passed on test")</f>
        <v/>
      </c>
      <c r="D45" s="2">
        <f>COUNTIF(Summary!$B$33:$AB$33,"Failed on test")</f>
        <v/>
      </c>
      <c r="E45" s="2">
        <f>COUNTIF(Summary!$B$33:$AB$33,"Runtime error")</f>
        <v/>
      </c>
      <c r="F45" s="9">
        <f>IF($B46=0,0,C46/$B46)</f>
        <v/>
      </c>
      <c r="G45" s="9">
        <f>IF($B46=0,0,D46/$B46)</f>
        <v/>
      </c>
      <c r="H45" s="9">
        <f>IF($B46=0,0,E46/$B46)</f>
        <v/>
      </c>
      <c r="I45" s="2">
        <f>IF(C46=B46,"Passed on test",IF(E46&gt;0,"Runtime error","Failed on test"))</f>
        <v/>
      </c>
      <c r="J45" s="2" t="n">
        <v>4</v>
      </c>
    </row>
    <row r="46">
      <c r="A46" s="2">
        <f>Summary!A34</f>
        <v/>
      </c>
      <c r="B46" s="2">
        <f>COUNTIF(Summary!$B$34:$AB$34,"Passed on test")+COUNTIF(Summary!$B$34:$AB$34,"Failed on test")+COUNTIF(Summary!$B$34:$AB$34,"Runtime error")</f>
        <v/>
      </c>
      <c r="C46" s="2">
        <f>COUNTIF(Summary!$B$34:$AB$34,"Passed on test")</f>
        <v/>
      </c>
      <c r="D46" s="2">
        <f>COUNTIF(Summary!$B$34:$AB$34,"Failed on test")</f>
        <v/>
      </c>
      <c r="E46" s="2">
        <f>COUNTIF(Summary!$B$34:$AB$34,"Runtime error")</f>
        <v/>
      </c>
      <c r="F46" s="9">
        <f>IF($B47=0,0,C47/$B47)</f>
        <v/>
      </c>
      <c r="G46" s="9">
        <f>IF($B47=0,0,D47/$B47)</f>
        <v/>
      </c>
      <c r="H46" s="9">
        <f>IF($B47=0,0,E47/$B47)</f>
        <v/>
      </c>
      <c r="I46" s="2">
        <f>IF(C47=B47,"Passed on test",IF(E47&gt;0,"Runtime error","Failed on test"))</f>
        <v/>
      </c>
      <c r="J46" s="2" t="n">
        <v>4</v>
      </c>
    </row>
    <row r="47">
      <c r="A47" s="2">
        <f>Summary!A35</f>
        <v/>
      </c>
      <c r="B47" s="2">
        <f>COUNTIF(Summary!$B$35:$AB$35,"Passed on test")+COUNTIF(Summary!$B$35:$AB$35,"Failed on test")+COUNTIF(Summary!$B$35:$AB$35,"Runtime error")</f>
        <v/>
      </c>
      <c r="C47" s="2">
        <f>COUNTIF(Summary!$B$35:$AB$35,"Passed on test")</f>
        <v/>
      </c>
      <c r="D47" s="2">
        <f>COUNTIF(Summary!$B$35:$AB$35,"Failed on test")</f>
        <v/>
      </c>
      <c r="E47" s="2">
        <f>COUNTIF(Summary!$B$35:$AB$35,"Runtime error")</f>
        <v/>
      </c>
      <c r="F47" s="9">
        <f>IF($B48=0,0,C48/$B48)</f>
        <v/>
      </c>
      <c r="G47" s="9">
        <f>IF($B48=0,0,D48/$B48)</f>
        <v/>
      </c>
      <c r="H47" s="9">
        <f>IF($B48=0,0,E48/$B48)</f>
        <v/>
      </c>
      <c r="I47" s="2">
        <f>IF(C48=B48,"Passed on test",IF(E48&gt;0,"Runtime error","Failed on test"))</f>
        <v/>
      </c>
      <c r="J47" s="2" t="n">
        <v>4</v>
      </c>
    </row>
    <row r="48">
      <c r="A48" s="2">
        <f>Summary!A36</f>
        <v/>
      </c>
      <c r="B48" s="2">
        <f>COUNTIF(Summary!$B$36:$AB$36,"Passed on test")+COUNTIF(Summary!$B$36:$AB$36,"Failed on test")+COUNTIF(Summary!$B$36:$AB$36,"Runtime error")</f>
        <v/>
      </c>
      <c r="C48" s="2">
        <f>COUNTIF(Summary!$B$36:$AB$36,"Passed on test")</f>
        <v/>
      </c>
      <c r="D48" s="2">
        <f>COUNTIF(Summary!$B$36:$AB$36,"Failed on test")</f>
        <v/>
      </c>
      <c r="E48" s="2">
        <f>COUNTIF(Summary!$B$36:$AB$36,"Runtime error")</f>
        <v/>
      </c>
      <c r="F48" s="9">
        <f>IF($B49=0,0,C49/$B49)</f>
        <v/>
      </c>
      <c r="G48" s="9">
        <f>IF($B49=0,0,D49/$B49)</f>
        <v/>
      </c>
      <c r="H48" s="9">
        <f>IF($B49=0,0,E49/$B49)</f>
        <v/>
      </c>
      <c r="I48" s="2">
        <f>IF(C49=B49,"Passed on test",IF(E49&gt;0,"Runtime error","Failed on test"))</f>
        <v/>
      </c>
      <c r="J48" s="2" t="n">
        <v>4</v>
      </c>
    </row>
    <row r="49">
      <c r="A49" s="2">
        <f>Summary!A37</f>
        <v/>
      </c>
      <c r="B49" s="2">
        <f>COUNTIF(Summary!$B$37:$AB$37,"Passed on test")+COUNTIF(Summary!$B$37:$AB$37,"Failed on test")+COUNTIF(Summary!$B$37:$AB$37,"Runtime error")</f>
        <v/>
      </c>
      <c r="C49" s="2">
        <f>COUNTIF(Summary!$B$37:$AB$37,"Passed on test")</f>
        <v/>
      </c>
      <c r="D49" s="2">
        <f>COUNTIF(Summary!$B$37:$AB$37,"Failed on test")</f>
        <v/>
      </c>
      <c r="E49" s="2">
        <f>COUNTIF(Summary!$B$37:$AB$37,"Runtime error")</f>
        <v/>
      </c>
      <c r="F49" s="9">
        <f>IF($B50=0,0,C50/$B50)</f>
        <v/>
      </c>
      <c r="G49" s="9">
        <f>IF($B50=0,0,D50/$B50)</f>
        <v/>
      </c>
      <c r="H49" s="9">
        <f>IF($B50=0,0,E50/$B50)</f>
        <v/>
      </c>
      <c r="I49" s="2">
        <f>IF(C50=B50,"Passed on test",IF(E50&gt;0,"Runtime error","Failed on test"))</f>
        <v/>
      </c>
      <c r="J49" s="2" t="n">
        <v>4</v>
      </c>
    </row>
    <row r="50">
      <c r="A50" s="2">
        <f>Summary!A38</f>
        <v/>
      </c>
      <c r="B50" s="2">
        <f>COUNTIF(Summary!$B$38:$AB$38,"Passed on test")+COUNTIF(Summary!$B$38:$AB$38,"Failed on test")+COUNTIF(Summary!$B$38:$AB$38,"Runtime error")</f>
        <v/>
      </c>
      <c r="C50" s="2">
        <f>COUNTIF(Summary!$B$38:$AB$38,"Passed on test")</f>
        <v/>
      </c>
      <c r="D50" s="2">
        <f>COUNTIF(Summary!$B$38:$AB$38,"Failed on test")</f>
        <v/>
      </c>
      <c r="E50" s="2">
        <f>COUNTIF(Summary!$B$38:$AB$38,"Runtime error")</f>
        <v/>
      </c>
      <c r="F50" s="9">
        <f>IF($B51=0,0,C51/$B51)</f>
        <v/>
      </c>
      <c r="G50" s="9">
        <f>IF($B51=0,0,D51/$B51)</f>
        <v/>
      </c>
      <c r="H50" s="9">
        <f>IF($B51=0,0,E51/$B51)</f>
        <v/>
      </c>
      <c r="I50" s="2">
        <f>IF(C51=B51,"Passed on test",IF(E51&gt;0,"Runtime error","Failed on test"))</f>
        <v/>
      </c>
      <c r="J50" s="2" t="n">
        <v>4</v>
      </c>
    </row>
    <row r="51">
      <c r="A51" s="2">
        <f>Summary!A39</f>
        <v/>
      </c>
      <c r="B51" s="2">
        <f>COUNTIF(Summary!$B$39:$AB$39,"Passed on test")+COUNTIF(Summary!$B$39:$AB$39,"Failed on test")+COUNTIF(Summary!$B$39:$AB$39,"Runtime error")</f>
        <v/>
      </c>
      <c r="C51" s="2">
        <f>COUNTIF(Summary!$B$39:$AB$39,"Passed on test")</f>
        <v/>
      </c>
      <c r="D51" s="2">
        <f>COUNTIF(Summary!$B$39:$AB$39,"Failed on test")</f>
        <v/>
      </c>
      <c r="E51" s="2">
        <f>COUNTIF(Summary!$B$39:$AB$39,"Runtime error")</f>
        <v/>
      </c>
      <c r="F51" s="9">
        <f>IF($B52=0,0,C52/$B52)</f>
        <v/>
      </c>
      <c r="G51" s="9">
        <f>IF($B52=0,0,D52/$B52)</f>
        <v/>
      </c>
      <c r="H51" s="9">
        <f>IF($B52=0,0,E52/$B52)</f>
        <v/>
      </c>
      <c r="I51" s="2">
        <f>IF(C52=B52,"Passed on test",IF(E52&gt;0,"Runtime error","Failed on test"))</f>
        <v/>
      </c>
      <c r="J51" s="2" t="n">
        <v>4</v>
      </c>
    </row>
    <row r="52">
      <c r="A52" s="2">
        <f>Summary!A40</f>
        <v/>
      </c>
      <c r="B52" s="2">
        <f>COUNTIF(Summary!$B$40:$AB$40,"Passed on test")+COUNTIF(Summary!$B$40:$AB$40,"Failed on test")+COUNTIF(Summary!$B$40:$AB$40,"Runtime error")</f>
        <v/>
      </c>
      <c r="C52" s="2">
        <f>COUNTIF(Summary!$B$40:$AB$40,"Passed on test")</f>
        <v/>
      </c>
      <c r="D52" s="2">
        <f>COUNTIF(Summary!$B$40:$AB$40,"Failed on test")</f>
        <v/>
      </c>
      <c r="E52" s="2">
        <f>COUNTIF(Summary!$B$40:$AB$40,"Runtime error")</f>
        <v/>
      </c>
      <c r="F52" s="9">
        <f>IF($B53=0,0,C53/$B53)</f>
        <v/>
      </c>
      <c r="G52" s="9">
        <f>IF($B53=0,0,D53/$B53)</f>
        <v/>
      </c>
      <c r="H52" s="9">
        <f>IF($B53=0,0,E53/$B53)</f>
        <v/>
      </c>
      <c r="I52" s="2">
        <f>IF(C53=B53,"Passed on test",IF(E53&gt;0,"Runtime error","Failed on test"))</f>
        <v/>
      </c>
      <c r="J52" s="2" t="n">
        <v>4</v>
      </c>
    </row>
    <row r="53">
      <c r="A53" s="2">
        <f>Summary!A41</f>
        <v/>
      </c>
      <c r="B53" s="2">
        <f>COUNTIF(Summary!$B$41:$AB$41,"Passed on test")+COUNTIF(Summary!$B$41:$AB$41,"Failed on test")+COUNTIF(Summary!$B$41:$AB$41,"Runtime error")</f>
        <v/>
      </c>
      <c r="C53" s="2">
        <f>COUNTIF(Summary!$B$41:$AB$41,"Passed on test")</f>
        <v/>
      </c>
      <c r="D53" s="2">
        <f>COUNTIF(Summary!$B$41:$AB$41,"Failed on test")</f>
        <v/>
      </c>
      <c r="E53" s="2">
        <f>COUNTIF(Summary!$B$41:$AB$41,"Runtime error")</f>
        <v/>
      </c>
      <c r="F53" s="9">
        <f>IF($B54=0,0,C54/$B54)</f>
        <v/>
      </c>
      <c r="G53" s="9">
        <f>IF($B54=0,0,D54/$B54)</f>
        <v/>
      </c>
      <c r="H53" s="9">
        <f>IF($B54=0,0,E54/$B54)</f>
        <v/>
      </c>
      <c r="I53" s="2">
        <f>IF(C54=B54,"Passed on test",IF(E54&gt;0,"Runtime error","Failed on test"))</f>
        <v/>
      </c>
      <c r="J53" s="2" t="n">
        <v>5</v>
      </c>
    </row>
    <row r="54">
      <c r="A54" s="2">
        <f>Summary!A42</f>
        <v/>
      </c>
      <c r="B54" s="2">
        <f>COUNTIF(Summary!$B$42:$AB$42,"Passed on test")+COUNTIF(Summary!$B$42:$AB$42,"Failed on test")+COUNTIF(Summary!$B$42:$AB$42,"Runtime error")</f>
        <v/>
      </c>
      <c r="C54" s="2">
        <f>COUNTIF(Summary!$B$42:$AB$42,"Passed on test")</f>
        <v/>
      </c>
      <c r="D54" s="2">
        <f>COUNTIF(Summary!$B$42:$AB$42,"Failed on test")</f>
        <v/>
      </c>
      <c r="E54" s="2">
        <f>COUNTIF(Summary!$B$42:$AB$42,"Runtime error")</f>
        <v/>
      </c>
      <c r="F54" s="9">
        <f>IF($B55=0,0,C55/$B55)</f>
        <v/>
      </c>
      <c r="G54" s="9">
        <f>IF($B55=0,0,D55/$B55)</f>
        <v/>
      </c>
      <c r="H54" s="9">
        <f>IF($B55=0,0,E55/$B55)</f>
        <v/>
      </c>
      <c r="I54" s="2">
        <f>IF(C55=B55,"Passed on test",IF(E55&gt;0,"Runtime error","Failed on test"))</f>
        <v/>
      </c>
      <c r="J54" s="2" t="n">
        <v>5</v>
      </c>
    </row>
    <row r="55">
      <c r="A55" s="2">
        <f>Summary!A43</f>
        <v/>
      </c>
      <c r="B55" s="2">
        <f>COUNTIF(Summary!$B$43:$AB$43,"Passed on test")+COUNTIF(Summary!$B$43:$AB$43,"Failed on test")+COUNTIF(Summary!$B$43:$AB$43,"Runtime error")</f>
        <v/>
      </c>
      <c r="C55" s="2">
        <f>COUNTIF(Summary!$B$43:$AB$43,"Passed on test")</f>
        <v/>
      </c>
      <c r="D55" s="2">
        <f>COUNTIF(Summary!$B$43:$AB$43,"Failed on test")</f>
        <v/>
      </c>
      <c r="E55" s="2">
        <f>COUNTIF(Summary!$B$43:$AB$43,"Runtime error")</f>
        <v/>
      </c>
      <c r="F55" s="9">
        <f>IF($B56=0,0,C56/$B56)</f>
        <v/>
      </c>
      <c r="G55" s="9">
        <f>IF($B56=0,0,D56/$B56)</f>
        <v/>
      </c>
      <c r="H55" s="9">
        <f>IF($B56=0,0,E56/$B56)</f>
        <v/>
      </c>
      <c r="I55" s="2">
        <f>IF(C56=B56,"Passed on test",IF(E56&gt;0,"Runtime error","Failed on test"))</f>
        <v/>
      </c>
      <c r="J55" s="2" t="n">
        <v>5</v>
      </c>
    </row>
    <row r="56">
      <c r="A56" s="2">
        <f>Summary!A44</f>
        <v/>
      </c>
      <c r="B56" s="2">
        <f>COUNTIF(Summary!$B$44:$AB$44,"Passed on test")+COUNTIF(Summary!$B$44:$AB$44,"Failed on test")+COUNTIF(Summary!$B$44:$AB$44,"Runtime error")</f>
        <v/>
      </c>
      <c r="C56" s="2">
        <f>COUNTIF(Summary!$B$44:$AB$44,"Passed on test")</f>
        <v/>
      </c>
      <c r="D56" s="2">
        <f>COUNTIF(Summary!$B$44:$AB$44,"Failed on test")</f>
        <v/>
      </c>
      <c r="E56" s="2">
        <f>COUNTIF(Summary!$B$44:$AB$44,"Runtime error")</f>
        <v/>
      </c>
      <c r="F56" s="9">
        <f>IF($B57=0,0,C57/$B57)</f>
        <v/>
      </c>
      <c r="G56" s="9">
        <f>IF($B57=0,0,D57/$B57)</f>
        <v/>
      </c>
      <c r="H56" s="9">
        <f>IF($B57=0,0,E57/$B57)</f>
        <v/>
      </c>
      <c r="I56" s="2">
        <f>IF(C57=B57,"Passed on test",IF(E57&gt;0,"Runtime error","Failed on test"))</f>
        <v/>
      </c>
      <c r="J56" s="2" t="n">
        <v>5</v>
      </c>
    </row>
    <row r="57">
      <c r="A57" s="2">
        <f>Summary!A45</f>
        <v/>
      </c>
      <c r="B57" s="2">
        <f>COUNTIF(Summary!$B$45:$AB$45,"Passed on test")+COUNTIF(Summary!$B$45:$AB$45,"Failed on test")+COUNTIF(Summary!$B$45:$AB$45,"Runtime error")</f>
        <v/>
      </c>
      <c r="C57" s="2">
        <f>COUNTIF(Summary!$B$45:$AB$45,"Passed on test")</f>
        <v/>
      </c>
      <c r="D57" s="2">
        <f>COUNTIF(Summary!$B$45:$AB$45,"Failed on test")</f>
        <v/>
      </c>
      <c r="E57" s="2">
        <f>COUNTIF(Summary!$B$45:$AB$45,"Runtime error")</f>
        <v/>
      </c>
      <c r="F57" s="9">
        <f>IF($B58=0,0,C58/$B58)</f>
        <v/>
      </c>
      <c r="G57" s="9">
        <f>IF($B58=0,0,D58/$B58)</f>
        <v/>
      </c>
      <c r="H57" s="9">
        <f>IF($B58=0,0,E58/$B58)</f>
        <v/>
      </c>
      <c r="I57" s="2">
        <f>IF(C58=B58,"Passed on test",IF(E58&gt;0,"Runtime error","Failed on test"))</f>
        <v/>
      </c>
      <c r="J57" s="2" t="n">
        <v>5</v>
      </c>
    </row>
    <row r="58">
      <c r="A58" s="2">
        <f>Summary!A46</f>
        <v/>
      </c>
      <c r="B58" s="2">
        <f>COUNTIF(Summary!$B$46:$AB$46,"Passed on test")+COUNTIF(Summary!$B$46:$AB$46,"Failed on test")+COUNTIF(Summary!$B$46:$AB$46,"Runtime error")</f>
        <v/>
      </c>
      <c r="C58" s="2">
        <f>COUNTIF(Summary!$B$46:$AB$46,"Passed on test")</f>
        <v/>
      </c>
      <c r="D58" s="2">
        <f>COUNTIF(Summary!$B$46:$AB$46,"Failed on test")</f>
        <v/>
      </c>
      <c r="E58" s="2">
        <f>COUNTIF(Summary!$B$46:$AB$46,"Runtime error")</f>
        <v/>
      </c>
      <c r="F58" s="9">
        <f>IF($B59=0,0,C59/$B59)</f>
        <v/>
      </c>
      <c r="G58" s="9">
        <f>IF($B59=0,0,D59/$B59)</f>
        <v/>
      </c>
      <c r="H58" s="9">
        <f>IF($B59=0,0,E59/$B59)</f>
        <v/>
      </c>
      <c r="I58" s="2">
        <f>IF(C59=B59,"Passed on test",IF(E59&gt;0,"Runtime error","Failed on test"))</f>
        <v/>
      </c>
      <c r="J58" s="2" t="n">
        <v>5</v>
      </c>
    </row>
    <row r="59">
      <c r="A59" s="2">
        <f>Summary!A47</f>
        <v/>
      </c>
      <c r="B59" s="2">
        <f>COUNTIF(Summary!$B$47:$AB$47,"Passed on test")+COUNTIF(Summary!$B$47:$AB$47,"Failed on test")+COUNTIF(Summary!$B$47:$AB$47,"Runtime error")</f>
        <v/>
      </c>
      <c r="C59" s="2">
        <f>COUNTIF(Summary!$B$47:$AB$47,"Passed on test")</f>
        <v/>
      </c>
      <c r="D59" s="2">
        <f>COUNTIF(Summary!$B$47:$AB$47,"Failed on test")</f>
        <v/>
      </c>
      <c r="E59" s="2">
        <f>COUNTIF(Summary!$B$47:$AB$47,"Runtime error")</f>
        <v/>
      </c>
      <c r="F59" s="9">
        <f>IF($B60=0,0,C60/$B60)</f>
        <v/>
      </c>
      <c r="G59" s="9">
        <f>IF($B60=0,0,D60/$B60)</f>
        <v/>
      </c>
      <c r="H59" s="9">
        <f>IF($B60=0,0,E60/$B60)</f>
        <v/>
      </c>
      <c r="I59" s="2">
        <f>IF(C60=B60,"Passed on test",IF(E60&gt;0,"Runtime error","Failed on test"))</f>
        <v/>
      </c>
      <c r="J59" s="2" t="n">
        <v>5</v>
      </c>
    </row>
    <row r="60">
      <c r="A60" s="2">
        <f>Summary!A48</f>
        <v/>
      </c>
      <c r="B60" s="2">
        <f>COUNTIF(Summary!$B$48:$AB$48,"Passed on test")+COUNTIF(Summary!$B$48:$AB$48,"Failed on test")+COUNTIF(Summary!$B$48:$AB$48,"Runtime error")</f>
        <v/>
      </c>
      <c r="C60" s="2">
        <f>COUNTIF(Summary!$B$48:$AB$48,"Passed on test")</f>
        <v/>
      </c>
      <c r="D60" s="2">
        <f>COUNTIF(Summary!$B$48:$AB$48,"Failed on test")</f>
        <v/>
      </c>
      <c r="E60" s="2">
        <f>COUNTIF(Summary!$B$48:$AB$48,"Runtime error")</f>
        <v/>
      </c>
      <c r="F60" s="9">
        <f>IF($B61=0,0,C61/$B61)</f>
        <v/>
      </c>
      <c r="G60" s="9">
        <f>IF($B61=0,0,D61/$B61)</f>
        <v/>
      </c>
      <c r="H60" s="9">
        <f>IF($B61=0,0,E61/$B61)</f>
        <v/>
      </c>
      <c r="I60" s="2">
        <f>IF(C61=B61,"Passed on test",IF(E61&gt;0,"Runtime error","Failed on test"))</f>
        <v/>
      </c>
      <c r="J60" s="2" t="n">
        <v>5</v>
      </c>
    </row>
    <row r="61">
      <c r="A61" s="2">
        <f>Summary!A49</f>
        <v/>
      </c>
      <c r="B61" s="2">
        <f>COUNTIF(Summary!$B$49:$AB$49,"Passed on test")+COUNTIF(Summary!$B$49:$AB$49,"Failed on test")+COUNTIF(Summary!$B$49:$AB$49,"Runtime error")</f>
        <v/>
      </c>
      <c r="C61" s="2">
        <f>COUNTIF(Summary!$B$49:$AB$49,"Passed on test")</f>
        <v/>
      </c>
      <c r="D61" s="2">
        <f>COUNTIF(Summary!$B$49:$AB$49,"Failed on test")</f>
        <v/>
      </c>
      <c r="E61" s="2">
        <f>COUNTIF(Summary!$B$49:$AB$49,"Runtime error")</f>
        <v/>
      </c>
      <c r="F61" s="9">
        <f>IF($B62=0,0,C62/$B62)</f>
        <v/>
      </c>
      <c r="G61" s="9">
        <f>IF($B62=0,0,D62/$B62)</f>
        <v/>
      </c>
      <c r="H61" s="9">
        <f>IF($B62=0,0,E62/$B62)</f>
        <v/>
      </c>
      <c r="I61" s="2">
        <f>IF(C62=B62,"Passed on test",IF(E62&gt;0,"Runtime error","Failed on test"))</f>
        <v/>
      </c>
      <c r="J61" s="2" t="n">
        <v>5</v>
      </c>
    </row>
    <row r="62">
      <c r="A62" s="2">
        <f>Summary!A50</f>
        <v/>
      </c>
      <c r="B62" s="2">
        <f>COUNTIF(Summary!$B$50:$AB$50,"Passed on test")+COUNTIF(Summary!$B$50:$AB$50,"Failed on test")+COUNTIF(Summary!$B$50:$AB$50,"Runtime error")</f>
        <v/>
      </c>
      <c r="C62" s="2">
        <f>COUNTIF(Summary!$B$50:$AB$50,"Passed on test")</f>
        <v/>
      </c>
      <c r="D62" s="2">
        <f>COUNTIF(Summary!$B$50:$AB$50,"Failed on test")</f>
        <v/>
      </c>
      <c r="E62" s="2">
        <f>COUNTIF(Summary!$B$50:$AB$50,"Runtime error")</f>
        <v/>
      </c>
      <c r="F62" s="9">
        <f>IF($B63=0,0,C63/$B63)</f>
        <v/>
      </c>
      <c r="G62" s="9">
        <f>IF($B63=0,0,D63/$B63)</f>
        <v/>
      </c>
      <c r="H62" s="9">
        <f>IF($B63=0,0,E63/$B63)</f>
        <v/>
      </c>
      <c r="I62" s="2">
        <f>IF(C63=B63,"Passed on test",IF(E63&gt;0,"Runtime error","Failed on test"))</f>
        <v/>
      </c>
      <c r="J62" s="2" t="n">
        <v>5</v>
      </c>
    </row>
    <row r="63">
      <c r="A63" s="2">
        <f>Summary!A51</f>
        <v/>
      </c>
      <c r="B63" s="2">
        <f>COUNTIF(Summary!$B$51:$AB$51,"Passed on test")+COUNTIF(Summary!$B$51:$AB$51,"Failed on test")+COUNTIF(Summary!$B$51:$AB$51,"Runtime error")</f>
        <v/>
      </c>
      <c r="C63" s="2">
        <f>COUNTIF(Summary!$B$51:$AB$51,"Passed on test")</f>
        <v/>
      </c>
      <c r="D63" s="2">
        <f>COUNTIF(Summary!$B$51:$AB$51,"Failed on test")</f>
        <v/>
      </c>
      <c r="E63" s="2">
        <f>COUNTIF(Summary!$B$51:$AB$51,"Runtime error")</f>
        <v/>
      </c>
      <c r="F63" s="9">
        <f>IF($B64=0,0,C64/$B64)</f>
        <v/>
      </c>
      <c r="G63" s="9">
        <f>IF($B64=0,0,D64/$B64)</f>
        <v/>
      </c>
      <c r="H63" s="9">
        <f>IF($B64=0,0,E64/$B64)</f>
        <v/>
      </c>
      <c r="I63" s="2">
        <f>IF(C64=B64,"Passed on test",IF(E64&gt;0,"Runtime error","Failed on test"))</f>
        <v/>
      </c>
      <c r="J63" s="2" t="n">
        <v>6</v>
      </c>
    </row>
    <row r="64">
      <c r="A64" s="2">
        <f>Summary!A52</f>
        <v/>
      </c>
      <c r="B64" s="2">
        <f>COUNTIF(Summary!$B$52:$AB$52,"Passed on test")+COUNTIF(Summary!$B$52:$AB$52,"Failed on test")+COUNTIF(Summary!$B$52:$AB$52,"Runtime error")</f>
        <v/>
      </c>
      <c r="C64" s="2">
        <f>COUNTIF(Summary!$B$52:$AB$52,"Passed on test")</f>
        <v/>
      </c>
      <c r="D64" s="2">
        <f>COUNTIF(Summary!$B$52:$AB$52,"Failed on test")</f>
        <v/>
      </c>
      <c r="E64" s="2">
        <f>COUNTIF(Summary!$B$52:$AB$52,"Runtime error")</f>
        <v/>
      </c>
      <c r="F64" s="9">
        <f>IF($B65=0,0,C65/$B65)</f>
        <v/>
      </c>
      <c r="G64" s="9">
        <f>IF($B65=0,0,D65/$B65)</f>
        <v/>
      </c>
      <c r="H64" s="9">
        <f>IF($B65=0,0,E65/$B65)</f>
        <v/>
      </c>
      <c r="I64" s="2">
        <f>IF(C65=B65,"Passed on test",IF(E65&gt;0,"Runtime error","Failed on test"))</f>
        <v/>
      </c>
      <c r="J64" s="2" t="n">
        <v>6</v>
      </c>
    </row>
    <row r="65">
      <c r="A65" s="2">
        <f>Summary!A53</f>
        <v/>
      </c>
      <c r="B65" s="2">
        <f>COUNTIF(Summary!$B$53:$AB$53,"Passed on test")+COUNTIF(Summary!$B$53:$AB$53,"Failed on test")+COUNTIF(Summary!$B$53:$AB$53,"Runtime error")</f>
        <v/>
      </c>
      <c r="C65" s="2">
        <f>COUNTIF(Summary!$B$53:$AB$53,"Passed on test")</f>
        <v/>
      </c>
      <c r="D65" s="2">
        <f>COUNTIF(Summary!$B$53:$AB$53,"Failed on test")</f>
        <v/>
      </c>
      <c r="E65" s="2">
        <f>COUNTIF(Summary!$B$53:$AB$53,"Runtime error")</f>
        <v/>
      </c>
      <c r="F65" s="9">
        <f>IF($B66=0,0,C66/$B66)</f>
        <v/>
      </c>
      <c r="G65" s="9">
        <f>IF($B66=0,0,D66/$B66)</f>
        <v/>
      </c>
      <c r="H65" s="9">
        <f>IF($B66=0,0,E66/$B66)</f>
        <v/>
      </c>
      <c r="I65" s="2">
        <f>IF(C66=B66,"Passed on test",IF(E66&gt;0,"Runtime error","Failed on test"))</f>
        <v/>
      </c>
      <c r="J65" s="2" t="n">
        <v>6</v>
      </c>
    </row>
    <row r="66">
      <c r="A66" s="2">
        <f>Summary!A54</f>
        <v/>
      </c>
      <c r="B66" s="2">
        <f>COUNTIF(Summary!$B$54:$AB$54,"Passed on test")+COUNTIF(Summary!$B$54:$AB$54,"Failed on test")+COUNTIF(Summary!$B$54:$AB$54,"Runtime error")</f>
        <v/>
      </c>
      <c r="C66" s="2">
        <f>COUNTIF(Summary!$B$54:$AB$54,"Passed on test")</f>
        <v/>
      </c>
      <c r="D66" s="2">
        <f>COUNTIF(Summary!$B$54:$AB$54,"Failed on test")</f>
        <v/>
      </c>
      <c r="E66" s="2">
        <f>COUNTIF(Summary!$B$54:$AB$54,"Runtime error")</f>
        <v/>
      </c>
      <c r="F66" s="9">
        <f>IF($B67=0,0,C67/$B67)</f>
        <v/>
      </c>
      <c r="G66" s="9">
        <f>IF($B67=0,0,D67/$B67)</f>
        <v/>
      </c>
      <c r="H66" s="9">
        <f>IF($B67=0,0,E67/$B67)</f>
        <v/>
      </c>
      <c r="I66" s="2">
        <f>IF(C67=B67,"Passed on test",IF(E67&gt;0,"Runtime error","Failed on test"))</f>
        <v/>
      </c>
      <c r="J66" s="2" t="n">
        <v>6</v>
      </c>
    </row>
    <row r="67">
      <c r="A67" s="2">
        <f>Summary!A55</f>
        <v/>
      </c>
      <c r="B67" s="2">
        <f>COUNTIF(Summary!$B$55:$AB$55,"Passed on test")+COUNTIF(Summary!$B$55:$AB$55,"Failed on test")+COUNTIF(Summary!$B$55:$AB$55,"Runtime error")</f>
        <v/>
      </c>
      <c r="C67" s="2">
        <f>COUNTIF(Summary!$B$55:$AB$55,"Passed on test")</f>
        <v/>
      </c>
      <c r="D67" s="2">
        <f>COUNTIF(Summary!$B$55:$AB$55,"Failed on test")</f>
        <v/>
      </c>
      <c r="E67" s="2">
        <f>COUNTIF(Summary!$B$55:$AB$55,"Runtime error")</f>
        <v/>
      </c>
      <c r="F67" s="9">
        <f>IF($B68=0,0,C68/$B68)</f>
        <v/>
      </c>
      <c r="G67" s="9">
        <f>IF($B68=0,0,D68/$B68)</f>
        <v/>
      </c>
      <c r="H67" s="9">
        <f>IF($B68=0,0,E68/$B68)</f>
        <v/>
      </c>
      <c r="I67" s="2">
        <f>IF(C68=B68,"Passed on test",IF(E68&gt;0,"Runtime error","Failed on test"))</f>
        <v/>
      </c>
      <c r="J67" s="2" t="n">
        <v>6</v>
      </c>
    </row>
    <row r="68">
      <c r="A68" s="2">
        <f>Summary!A56</f>
        <v/>
      </c>
      <c r="B68" s="2">
        <f>COUNTIF(Summary!$B$56:$AB$56,"Passed on test")+COUNTIF(Summary!$B$56:$AB$56,"Failed on test")+COUNTIF(Summary!$B$56:$AB$56,"Runtime error")</f>
        <v/>
      </c>
      <c r="C68" s="2">
        <f>COUNTIF(Summary!$B$56:$AB$56,"Passed on test")</f>
        <v/>
      </c>
      <c r="D68" s="2">
        <f>COUNTIF(Summary!$B$56:$AB$56,"Failed on test")</f>
        <v/>
      </c>
      <c r="E68" s="2">
        <f>COUNTIF(Summary!$B$56:$AB$56,"Runtime error")</f>
        <v/>
      </c>
      <c r="F68" s="9">
        <f>IF($B69=0,0,C69/$B69)</f>
        <v/>
      </c>
      <c r="G68" s="9">
        <f>IF($B69=0,0,D69/$B69)</f>
        <v/>
      </c>
      <c r="H68" s="9">
        <f>IF($B69=0,0,E69/$B69)</f>
        <v/>
      </c>
      <c r="I68" s="2">
        <f>IF(C69=B69,"Passed on test",IF(E69&gt;0,"Runtime error","Failed on test"))</f>
        <v/>
      </c>
      <c r="J68" s="2" t="n">
        <v>6</v>
      </c>
    </row>
    <row r="69">
      <c r="A69" s="2">
        <f>Summary!A57</f>
        <v/>
      </c>
      <c r="B69" s="2">
        <f>COUNTIF(Summary!$B$57:$AB$57,"Passed on test")+COUNTIF(Summary!$B$57:$AB$57,"Failed on test")+COUNTIF(Summary!$B$57:$AB$57,"Runtime error")</f>
        <v/>
      </c>
      <c r="C69" s="2">
        <f>COUNTIF(Summary!$B$57:$AB$57,"Passed on test")</f>
        <v/>
      </c>
      <c r="D69" s="2">
        <f>COUNTIF(Summary!$B$57:$AB$57,"Failed on test")</f>
        <v/>
      </c>
      <c r="E69" s="2">
        <f>COUNTIF(Summary!$B$57:$AB$57,"Runtime error")</f>
        <v/>
      </c>
      <c r="F69" s="9">
        <f>IF($B70=0,0,C70/$B70)</f>
        <v/>
      </c>
      <c r="G69" s="9">
        <f>IF($B70=0,0,D70/$B70)</f>
        <v/>
      </c>
      <c r="H69" s="9">
        <f>IF($B70=0,0,E70/$B70)</f>
        <v/>
      </c>
      <c r="I69" s="2">
        <f>IF(C70=B70,"Passed on test",IF(E70&gt;0,"Runtime error","Failed on test"))</f>
        <v/>
      </c>
      <c r="J69" s="2" t="n">
        <v>6</v>
      </c>
    </row>
    <row r="70">
      <c r="A70" s="2">
        <f>Summary!A58</f>
        <v/>
      </c>
      <c r="B70" s="2">
        <f>COUNTIF(Summary!$B$58:$AB$58,"Passed on test")+COUNTIF(Summary!$B$58:$AB$58,"Failed on test")+COUNTIF(Summary!$B$58:$AB$58,"Runtime error")</f>
        <v/>
      </c>
      <c r="C70" s="2">
        <f>COUNTIF(Summary!$B$58:$AB$58,"Passed on test")</f>
        <v/>
      </c>
      <c r="D70" s="2">
        <f>COUNTIF(Summary!$B$58:$AB$58,"Failed on test")</f>
        <v/>
      </c>
      <c r="E70" s="2">
        <f>COUNTIF(Summary!$B$58:$AB$58,"Runtime error")</f>
        <v/>
      </c>
      <c r="F70" s="9">
        <f>IF($B71=0,0,C71/$B71)</f>
        <v/>
      </c>
      <c r="G70" s="9">
        <f>IF($B71=0,0,D71/$B71)</f>
        <v/>
      </c>
      <c r="H70" s="9">
        <f>IF($B71=0,0,E71/$B71)</f>
        <v/>
      </c>
      <c r="I70" s="2">
        <f>IF(C71=B71,"Passed on test",IF(E71&gt;0,"Runtime error","Failed on test"))</f>
        <v/>
      </c>
      <c r="J70" s="2" t="n">
        <v>6</v>
      </c>
    </row>
    <row r="71">
      <c r="A71" s="2">
        <f>Summary!A59</f>
        <v/>
      </c>
      <c r="B71" s="2">
        <f>COUNTIF(Summary!$B$59:$AB$59,"Passed on test")+COUNTIF(Summary!$B$59:$AB$59,"Failed on test")+COUNTIF(Summary!$B$59:$AB$59,"Runtime error")</f>
        <v/>
      </c>
      <c r="C71" s="2">
        <f>COUNTIF(Summary!$B$59:$AB$59,"Passed on test")</f>
        <v/>
      </c>
      <c r="D71" s="2">
        <f>COUNTIF(Summary!$B$59:$AB$59,"Failed on test")</f>
        <v/>
      </c>
      <c r="E71" s="2">
        <f>COUNTIF(Summary!$B$59:$AB$59,"Runtime error")</f>
        <v/>
      </c>
      <c r="F71" s="9">
        <f>IF($B72=0,0,C72/$B72)</f>
        <v/>
      </c>
      <c r="G71" s="9">
        <f>IF($B72=0,0,D72/$B72)</f>
        <v/>
      </c>
      <c r="H71" s="9">
        <f>IF($B72=0,0,E72/$B72)</f>
        <v/>
      </c>
      <c r="I71" s="2">
        <f>IF(C72=B72,"Passed on test",IF(E72&gt;0,"Runtime error","Failed on test"))</f>
        <v/>
      </c>
      <c r="J71" s="2" t="n">
        <v>6</v>
      </c>
    </row>
    <row r="72">
      <c r="A72" s="2">
        <f>Summary!A60</f>
        <v/>
      </c>
      <c r="B72" s="2">
        <f>COUNTIF(Summary!$B$60:$AB$60,"Passed on test")+COUNTIF(Summary!$B$60:$AB$60,"Failed on test")+COUNTIF(Summary!$B$60:$AB$60,"Runtime error")</f>
        <v/>
      </c>
      <c r="C72" s="2">
        <f>COUNTIF(Summary!$B$60:$AB$60,"Passed on test")</f>
        <v/>
      </c>
      <c r="D72" s="2">
        <f>COUNTIF(Summary!$B$60:$AB$60,"Failed on test")</f>
        <v/>
      </c>
      <c r="E72" s="2">
        <f>COUNTIF(Summary!$B$60:$AB$60,"Runtime error")</f>
        <v/>
      </c>
      <c r="F72" s="9">
        <f>IF($B73=0,0,C73/$B73)</f>
        <v/>
      </c>
      <c r="G72" s="9">
        <f>IF($B73=0,0,D73/$B73)</f>
        <v/>
      </c>
      <c r="H72" s="9">
        <f>IF($B73=0,0,E73/$B73)</f>
        <v/>
      </c>
      <c r="I72" s="2">
        <f>IF(C73=B73,"Passed on test",IF(E73&gt;0,"Runtime error","Failed on test"))</f>
        <v/>
      </c>
      <c r="J72" s="2" t="n">
        <v>6</v>
      </c>
    </row>
    <row r="73">
      <c r="A73" s="2">
        <f>Summary!A61</f>
        <v/>
      </c>
      <c r="B73" s="2">
        <f>COUNTIF(Summary!$B$61:$AB$61,"Passed on test")+COUNTIF(Summary!$B$61:$AB$61,"Failed on test")+COUNTIF(Summary!$B$61:$AB$61,"Runtime error")</f>
        <v/>
      </c>
      <c r="C73" s="2">
        <f>COUNTIF(Summary!$B$61:$AB$61,"Passed on test")</f>
        <v/>
      </c>
      <c r="D73" s="2">
        <f>COUNTIF(Summary!$B$61:$AB$61,"Failed on test")</f>
        <v/>
      </c>
      <c r="E73" s="2">
        <f>COUNTIF(Summary!$B$61:$AB$61,"Runtime error")</f>
        <v/>
      </c>
      <c r="F73" s="9">
        <f>IF($B74=0,0,C74/$B74)</f>
        <v/>
      </c>
      <c r="G73" s="9">
        <f>IF($B74=0,0,D74/$B74)</f>
        <v/>
      </c>
      <c r="H73" s="9">
        <f>IF($B74=0,0,E74/$B74)</f>
        <v/>
      </c>
      <c r="I73" s="2">
        <f>IF(C74=B74,"Passed on test",IF(E74&gt;0,"Runtime error","Failed on test"))</f>
        <v/>
      </c>
      <c r="J73" s="2" t="n">
        <v>7</v>
      </c>
    </row>
    <row r="74">
      <c r="A74" s="2">
        <f>Summary!A62</f>
        <v/>
      </c>
      <c r="B74" s="2">
        <f>COUNTIF(Summary!$B$62:$AB$62,"Passed on test")+COUNTIF(Summary!$B$62:$AB$62,"Failed on test")+COUNTIF(Summary!$B$62:$AB$62,"Runtime error")</f>
        <v/>
      </c>
      <c r="C74" s="2">
        <f>COUNTIF(Summary!$B$62:$AB$62,"Passed on test")</f>
        <v/>
      </c>
      <c r="D74" s="2">
        <f>COUNTIF(Summary!$B$62:$AB$62,"Failed on test")</f>
        <v/>
      </c>
      <c r="E74" s="2">
        <f>COUNTIF(Summary!$B$62:$AB$62,"Runtime error")</f>
        <v/>
      </c>
      <c r="F74" s="9">
        <f>IF($B75=0,0,C75/$B75)</f>
        <v/>
      </c>
      <c r="G74" s="9">
        <f>IF($B75=0,0,D75/$B75)</f>
        <v/>
      </c>
      <c r="H74" s="9">
        <f>IF($B75=0,0,E75/$B75)</f>
        <v/>
      </c>
      <c r="I74" s="2">
        <f>IF(C75=B75,"Passed on test",IF(E75&gt;0,"Runtime error","Failed on test"))</f>
        <v/>
      </c>
      <c r="J74" s="2" t="n">
        <v>7</v>
      </c>
    </row>
    <row r="75">
      <c r="A75" s="2">
        <f>Summary!A63</f>
        <v/>
      </c>
      <c r="B75" s="2">
        <f>COUNTIF(Summary!$B$63:$AB$63,"Passed on test")+COUNTIF(Summary!$B$63:$AB$63,"Failed on test")+COUNTIF(Summary!$B$63:$AB$63,"Runtime error")</f>
        <v/>
      </c>
      <c r="C75" s="2">
        <f>COUNTIF(Summary!$B$63:$AB$63,"Passed on test")</f>
        <v/>
      </c>
      <c r="D75" s="2">
        <f>COUNTIF(Summary!$B$63:$AB$63,"Failed on test")</f>
        <v/>
      </c>
      <c r="E75" s="2">
        <f>COUNTIF(Summary!$B$63:$AB$63,"Runtime error")</f>
        <v/>
      </c>
      <c r="F75" s="9">
        <f>IF($B76=0,0,C76/$B76)</f>
        <v/>
      </c>
      <c r="G75" s="9">
        <f>IF($B76=0,0,D76/$B76)</f>
        <v/>
      </c>
      <c r="H75" s="9">
        <f>IF($B76=0,0,E76/$B76)</f>
        <v/>
      </c>
      <c r="I75" s="2">
        <f>IF(C76=B76,"Passed on test",IF(E76&gt;0,"Runtime error","Failed on test"))</f>
        <v/>
      </c>
      <c r="J75" s="2" t="n">
        <v>7</v>
      </c>
    </row>
    <row r="76">
      <c r="A76" s="2">
        <f>Summary!A64</f>
        <v/>
      </c>
      <c r="B76" s="2">
        <f>COUNTIF(Summary!$B$64:$AB$64,"Passed on test")+COUNTIF(Summary!$B$64:$AB$64,"Failed on test")+COUNTIF(Summary!$B$64:$AB$64,"Runtime error")</f>
        <v/>
      </c>
      <c r="C76" s="2">
        <f>COUNTIF(Summary!$B$64:$AB$64,"Passed on test")</f>
        <v/>
      </c>
      <c r="D76" s="2">
        <f>COUNTIF(Summary!$B$64:$AB$64,"Failed on test")</f>
        <v/>
      </c>
      <c r="E76" s="2">
        <f>COUNTIF(Summary!$B$64:$AB$64,"Runtime error")</f>
        <v/>
      </c>
      <c r="F76" s="9">
        <f>IF($B77=0,0,C77/$B77)</f>
        <v/>
      </c>
      <c r="G76" s="9">
        <f>IF($B77=0,0,D77/$B77)</f>
        <v/>
      </c>
      <c r="H76" s="9">
        <f>IF($B77=0,0,E77/$B77)</f>
        <v/>
      </c>
      <c r="I76" s="2">
        <f>IF(C77=B77,"Passed on test",IF(E77&gt;0,"Runtime error","Failed on test"))</f>
        <v/>
      </c>
      <c r="J76" s="2" t="n">
        <v>7</v>
      </c>
    </row>
    <row r="77">
      <c r="A77" s="2">
        <f>Summary!A65</f>
        <v/>
      </c>
      <c r="B77" s="2">
        <f>COUNTIF(Summary!$B$65:$AB$65,"Passed on test")+COUNTIF(Summary!$B$65:$AB$65,"Failed on test")+COUNTIF(Summary!$B$65:$AB$65,"Runtime error")</f>
        <v/>
      </c>
      <c r="C77" s="2">
        <f>COUNTIF(Summary!$B$65:$AB$65,"Passed on test")</f>
        <v/>
      </c>
      <c r="D77" s="2">
        <f>COUNTIF(Summary!$B$65:$AB$65,"Failed on test")</f>
        <v/>
      </c>
      <c r="E77" s="2">
        <f>COUNTIF(Summary!$B$65:$AB$65,"Runtime error")</f>
        <v/>
      </c>
      <c r="F77" s="9">
        <f>IF($B78=0,0,C78/$B78)</f>
        <v/>
      </c>
      <c r="G77" s="9">
        <f>IF($B78=0,0,D78/$B78)</f>
        <v/>
      </c>
      <c r="H77" s="9">
        <f>IF($B78=0,0,E78/$B78)</f>
        <v/>
      </c>
      <c r="I77" s="2">
        <f>IF(C78=B78,"Passed on test",IF(E78&gt;0,"Runtime error","Failed on test"))</f>
        <v/>
      </c>
      <c r="J77" s="2" t="n">
        <v>7</v>
      </c>
    </row>
    <row r="78">
      <c r="A78" s="2">
        <f>Summary!A66</f>
        <v/>
      </c>
      <c r="B78" s="2">
        <f>COUNTIF(Summary!$B$66:$AB$66,"Passed on test")+COUNTIF(Summary!$B$66:$AB$66,"Failed on test")+COUNTIF(Summary!$B$66:$AB$66,"Runtime error")</f>
        <v/>
      </c>
      <c r="C78" s="2">
        <f>COUNTIF(Summary!$B$66:$AB$66,"Passed on test")</f>
        <v/>
      </c>
      <c r="D78" s="2">
        <f>COUNTIF(Summary!$B$66:$AB$66,"Failed on test")</f>
        <v/>
      </c>
      <c r="E78" s="2">
        <f>COUNTIF(Summary!$B$66:$AB$66,"Runtime error")</f>
        <v/>
      </c>
      <c r="F78" s="9">
        <f>IF($B79=0,0,C79/$B79)</f>
        <v/>
      </c>
      <c r="G78" s="9">
        <f>IF($B79=0,0,D79/$B79)</f>
        <v/>
      </c>
      <c r="H78" s="9">
        <f>IF($B79=0,0,E79/$B79)</f>
        <v/>
      </c>
      <c r="I78" s="2">
        <f>IF(C79=B79,"Passed on test",IF(E79&gt;0,"Runtime error","Failed on test"))</f>
        <v/>
      </c>
      <c r="J78" s="2" t="n">
        <v>7</v>
      </c>
    </row>
    <row r="79">
      <c r="A79" s="2">
        <f>Summary!A67</f>
        <v/>
      </c>
      <c r="B79" s="2">
        <f>COUNTIF(Summary!$B$67:$AB$67,"Passed on test")+COUNTIF(Summary!$B$67:$AB$67,"Failed on test")+COUNTIF(Summary!$B$67:$AB$67,"Runtime error")</f>
        <v/>
      </c>
      <c r="C79" s="2">
        <f>COUNTIF(Summary!$B$67:$AB$67,"Passed on test")</f>
        <v/>
      </c>
      <c r="D79" s="2">
        <f>COUNTIF(Summary!$B$67:$AB$67,"Failed on test")</f>
        <v/>
      </c>
      <c r="E79" s="2">
        <f>COUNTIF(Summary!$B$67:$AB$67,"Runtime error")</f>
        <v/>
      </c>
      <c r="F79" s="9">
        <f>IF($B80=0,0,C80/$B80)</f>
        <v/>
      </c>
      <c r="G79" s="9">
        <f>IF($B80=0,0,D80/$B80)</f>
        <v/>
      </c>
      <c r="H79" s="9">
        <f>IF($B80=0,0,E80/$B80)</f>
        <v/>
      </c>
      <c r="I79" s="2">
        <f>IF(C80=B80,"Passed on test",IF(E80&gt;0,"Runtime error","Failed on test"))</f>
        <v/>
      </c>
      <c r="J79" s="2" t="n">
        <v>7</v>
      </c>
    </row>
    <row r="80">
      <c r="A80" s="2">
        <f>Summary!A68</f>
        <v/>
      </c>
      <c r="B80" s="2">
        <f>COUNTIF(Summary!$B$68:$AB$68,"Passed on test")+COUNTIF(Summary!$B$68:$AB$68,"Failed on test")+COUNTIF(Summary!$B$68:$AB$68,"Runtime error")</f>
        <v/>
      </c>
      <c r="C80" s="2">
        <f>COUNTIF(Summary!$B$68:$AB$68,"Passed on test")</f>
        <v/>
      </c>
      <c r="D80" s="2">
        <f>COUNTIF(Summary!$B$68:$AB$68,"Failed on test")</f>
        <v/>
      </c>
      <c r="E80" s="2">
        <f>COUNTIF(Summary!$B$68:$AB$68,"Runtime error")</f>
        <v/>
      </c>
      <c r="F80" s="9">
        <f>IF($B81=0,0,C81/$B81)</f>
        <v/>
      </c>
      <c r="G80" s="9">
        <f>IF($B81=0,0,D81/$B81)</f>
        <v/>
      </c>
      <c r="H80" s="9">
        <f>IF($B81=0,0,E81/$B81)</f>
        <v/>
      </c>
      <c r="I80" s="2">
        <f>IF(C81=B81,"Passed on test",IF(E81&gt;0,"Runtime error","Failed on test"))</f>
        <v/>
      </c>
      <c r="J80" s="2" t="n">
        <v>8</v>
      </c>
    </row>
    <row r="81">
      <c r="A81" s="2">
        <f>Summary!A69</f>
        <v/>
      </c>
      <c r="B81" s="2">
        <f>COUNTIF(Summary!$B$69:$AB$69,"Passed on test")+COUNTIF(Summary!$B$69:$AB$69,"Failed on test")+COUNTIF(Summary!$B$69:$AB$69,"Runtime error")</f>
        <v/>
      </c>
      <c r="C81" s="2">
        <f>COUNTIF(Summary!$B$69:$AB$69,"Passed on test")</f>
        <v/>
      </c>
      <c r="D81" s="2">
        <f>COUNTIF(Summary!$B$69:$AB$69,"Failed on test")</f>
        <v/>
      </c>
      <c r="E81" s="2">
        <f>COUNTIF(Summary!$B$69:$AB$69,"Runtime error")</f>
        <v/>
      </c>
      <c r="F81" s="9">
        <f>IF($B82=0,0,C82/$B82)</f>
        <v/>
      </c>
      <c r="G81" s="9">
        <f>IF($B82=0,0,D82/$B82)</f>
        <v/>
      </c>
      <c r="H81" s="9">
        <f>IF($B82=0,0,E82/$B82)</f>
        <v/>
      </c>
      <c r="I81" s="2">
        <f>IF(C82=B82,"Passed on test",IF(E82&gt;0,"Runtime error","Failed on test"))</f>
        <v/>
      </c>
      <c r="J81" s="2" t="n">
        <v>8</v>
      </c>
    </row>
    <row r="82">
      <c r="A82" s="2">
        <f>Summary!A70</f>
        <v/>
      </c>
      <c r="B82" s="2">
        <f>COUNTIF(Summary!$B$70:$AB$70,"Passed on test")+COUNTIF(Summary!$B$70:$AB$70,"Failed on test")+COUNTIF(Summary!$B$70:$AB$70,"Runtime error")</f>
        <v/>
      </c>
      <c r="C82" s="2">
        <f>COUNTIF(Summary!$B$70:$AB$70,"Passed on test")</f>
        <v/>
      </c>
      <c r="D82" s="2">
        <f>COUNTIF(Summary!$B$70:$AB$70,"Failed on test")</f>
        <v/>
      </c>
      <c r="E82" s="2">
        <f>COUNTIF(Summary!$B$70:$AB$70,"Runtime error")</f>
        <v/>
      </c>
      <c r="F82" s="9">
        <f>IF($B83=0,0,C83/$B83)</f>
        <v/>
      </c>
      <c r="G82" s="9">
        <f>IF($B83=0,0,D83/$B83)</f>
        <v/>
      </c>
      <c r="H82" s="9">
        <f>IF($B83=0,0,E83/$B83)</f>
        <v/>
      </c>
      <c r="I82" s="2">
        <f>IF(C83=B83,"Passed on test",IF(E83&gt;0,"Runtime error","Failed on test"))</f>
        <v/>
      </c>
      <c r="J82" s="2" t="n">
        <v>8</v>
      </c>
    </row>
    <row r="83">
      <c r="A83" s="2">
        <f>Summary!A71</f>
        <v/>
      </c>
      <c r="B83" s="2">
        <f>COUNTIF(Summary!$B$71:$AB$71,"Passed on test")+COUNTIF(Summary!$B$71:$AB$71,"Failed on test")+COUNTIF(Summary!$B$71:$AB$71,"Runtime error")</f>
        <v/>
      </c>
      <c r="C83" s="2">
        <f>COUNTIF(Summary!$B$71:$AB$71,"Passed on test")</f>
        <v/>
      </c>
      <c r="D83" s="2">
        <f>COUNTIF(Summary!$B$71:$AB$71,"Failed on test")</f>
        <v/>
      </c>
      <c r="E83" s="2">
        <f>COUNTIF(Summary!$B$71:$AB$71,"Runtime error")</f>
        <v/>
      </c>
      <c r="F83" s="9">
        <f>IF($B84=0,0,C84/$B84)</f>
        <v/>
      </c>
      <c r="G83" s="9">
        <f>IF($B84=0,0,D84/$B84)</f>
        <v/>
      </c>
      <c r="H83" s="9">
        <f>IF($B84=0,0,E84/$B84)</f>
        <v/>
      </c>
      <c r="I83" s="2">
        <f>IF(C84=B84,"Passed on test",IF(E84&gt;0,"Runtime error","Failed on test"))</f>
        <v/>
      </c>
      <c r="J83" s="2" t="n">
        <v>8</v>
      </c>
    </row>
    <row r="84">
      <c r="A84" s="2">
        <f>Summary!A72</f>
        <v/>
      </c>
      <c r="B84" s="2">
        <f>COUNTIF(Summary!$B$72:$AB$72,"Passed on test")+COUNTIF(Summary!$B$72:$AB$72,"Failed on test")+COUNTIF(Summary!$B$72:$AB$72,"Runtime error")</f>
        <v/>
      </c>
      <c r="C84" s="2">
        <f>COUNTIF(Summary!$B$72:$AB$72,"Passed on test")</f>
        <v/>
      </c>
      <c r="D84" s="2">
        <f>COUNTIF(Summary!$B$72:$AB$72,"Failed on test")</f>
        <v/>
      </c>
      <c r="E84" s="2">
        <f>COUNTIF(Summary!$B$72:$AB$72,"Runtime error")</f>
        <v/>
      </c>
      <c r="F84" s="9">
        <f>IF($B85=0,0,C85/$B85)</f>
        <v/>
      </c>
      <c r="G84" s="9">
        <f>IF($B85=0,0,D85/$B85)</f>
        <v/>
      </c>
      <c r="H84" s="9">
        <f>IF($B85=0,0,E85/$B85)</f>
        <v/>
      </c>
      <c r="I84" s="2">
        <f>IF(C85=B85,"Passed on test",IF(E85&gt;0,"Runtime error","Failed on test"))</f>
        <v/>
      </c>
      <c r="J84" s="2" t="n">
        <v>8</v>
      </c>
    </row>
    <row r="85">
      <c r="A85" s="2">
        <f>Summary!A73</f>
        <v/>
      </c>
      <c r="B85" s="2">
        <f>COUNTIF(Summary!$B$73:$AB$73,"Passed on test")+COUNTIF(Summary!$B$73:$AB$73,"Failed on test")+COUNTIF(Summary!$B$73:$AB$73,"Runtime error")</f>
        <v/>
      </c>
      <c r="C85" s="2">
        <f>COUNTIF(Summary!$B$73:$AB$73,"Passed on test")</f>
        <v/>
      </c>
      <c r="D85" s="2">
        <f>COUNTIF(Summary!$B$73:$AB$73,"Failed on test")</f>
        <v/>
      </c>
      <c r="E85" s="2">
        <f>COUNTIF(Summary!$B$73:$AB$73,"Runtime error")</f>
        <v/>
      </c>
      <c r="F85" s="9">
        <f>IF($B86=0,0,C86/$B86)</f>
        <v/>
      </c>
      <c r="G85" s="9">
        <f>IF($B86=0,0,D86/$B86)</f>
        <v/>
      </c>
      <c r="H85" s="9">
        <f>IF($B86=0,0,E86/$B86)</f>
        <v/>
      </c>
      <c r="I85" s="2">
        <f>IF(C86=B86,"Passed on test",IF(E86&gt;0,"Runtime error","Failed on test"))</f>
        <v/>
      </c>
      <c r="J85" s="2" t="n">
        <v>8</v>
      </c>
    </row>
    <row r="86">
      <c r="A86" s="2" t="n"/>
      <c r="B86" s="2" t="n"/>
      <c r="C86" s="2" t="n"/>
      <c r="D86" s="2" t="n"/>
      <c r="E86" s="2" t="n"/>
      <c r="F86" s="9" t="n"/>
      <c r="G86" s="9" t="n"/>
      <c r="H86" s="9" t="n"/>
      <c r="I86" s="2" t="n"/>
      <c r="J86" s="2" t="n"/>
    </row>
    <row r="87">
      <c r="A87" t="inlineStr">
        <is>
          <t>3. Cases by outcome</t>
        </is>
      </c>
    </row>
    <row r="88">
      <c r="A88" s="7" t="inlineStr">
        <is>
          <t>Outcome</t>
        </is>
      </c>
      <c r="B88" t="inlineStr">
        <is>
          <t>Cases</t>
        </is>
      </c>
      <c r="C88" t="inlineStr">
        <is>
          <t>% of cases</t>
        </is>
      </c>
      <c r="D88" t="inlineStr">
        <is>
          <t>Batch 1</t>
        </is>
      </c>
      <c r="E88" t="inlineStr">
        <is>
          <t>Batch 1 %</t>
        </is>
      </c>
      <c r="F88" t="inlineStr">
        <is>
          <t>Batch 2</t>
        </is>
      </c>
      <c r="G88" t="inlineStr">
        <is>
          <t>Batch 2 %</t>
        </is>
      </c>
      <c r="H88" t="inlineStr">
        <is>
          <t>Batch 3</t>
        </is>
      </c>
      <c r="I88" t="inlineStr">
        <is>
          <t>Batch 3 %</t>
        </is>
      </c>
      <c r="J88" t="inlineStr">
        <is>
          <t>Batch 4</t>
        </is>
      </c>
      <c r="K88" t="inlineStr">
        <is>
          <t>Batch 4 %</t>
        </is>
      </c>
      <c r="L88" t="inlineStr">
        <is>
          <t>Batch 5</t>
        </is>
      </c>
      <c r="M88" t="inlineStr">
        <is>
          <t>Batch 5 %</t>
        </is>
      </c>
      <c r="N88" t="inlineStr">
        <is>
          <t>Batch 6</t>
        </is>
      </c>
      <c r="O88" t="inlineStr">
        <is>
          <t>Batch 6 %</t>
        </is>
      </c>
      <c r="P88" t="inlineStr">
        <is>
          <t>Batch 7</t>
        </is>
      </c>
      <c r="Q88" t="inlineStr">
        <is>
          <t>Batch 7 %</t>
        </is>
      </c>
      <c r="R88" t="inlineStr">
        <is>
          <t>Batch 8</t>
        </is>
      </c>
      <c r="S88" t="inlineStr">
        <is>
          <t>Batch 8 %</t>
        </is>
      </c>
    </row>
    <row r="89">
      <c r="A89" s="1" t="inlineStr">
        <is>
          <t>Passed on test</t>
        </is>
      </c>
      <c r="B89" s="1">
        <f>COUNTIF($I$14:$I$85,"Passed on test")</f>
        <v/>
      </c>
      <c r="C89" s="1">
        <f>IF($B$92=0,0,B89/$B$92)</f>
        <v/>
      </c>
      <c r="D89" s="1">
        <f>COUNTIFS($I$14:$I$85,"Passed on test",$J$14:$J$85,1)</f>
        <v/>
      </c>
      <c r="E89" s="1">
        <f>IF(D$92=0,0,D89/D$92)</f>
        <v/>
      </c>
      <c r="F89" s="1">
        <f>COUNTIFS($I$14:$I$85,"Passed on test",$J$14:$J$85,2)</f>
        <v/>
      </c>
      <c r="G89" s="1">
        <f>IF(F$92=0,0,F89/F$92)</f>
        <v/>
      </c>
      <c r="H89" s="1">
        <f>COUNTIFS($I$14:$I$85,"Passed on test",$J$14:$J$85,3)</f>
        <v/>
      </c>
      <c r="I89" s="1">
        <f>IF(H$92=0,0,H89/H$92)</f>
        <v/>
      </c>
      <c r="J89" s="1">
        <f>COUNTIFS($I$14:$I$85,"Passed on test",$J$14:$J$85,4)</f>
        <v/>
      </c>
      <c r="K89" s="1">
        <f>IF(J$92=0,0,J89/J$92)</f>
        <v/>
      </c>
      <c r="L89" s="1">
        <f>COUNTIFS($I$14:$I$85,"Passed on test",$J$14:$J$85,5)</f>
        <v/>
      </c>
      <c r="M89" s="1">
        <f>IF(L$92=0,0,L89/L$92)</f>
        <v/>
      </c>
      <c r="N89" s="1">
        <f>COUNTIFS($I$14:$I$85,"Passed on test",$J$14:$J$85,6)</f>
        <v/>
      </c>
      <c r="O89" s="1">
        <f>IF(N$92=0,0,N89/N$92)</f>
        <v/>
      </c>
      <c r="P89" s="1">
        <f>COUNTIFS($I$14:$I$85,"Passed on test",$J$14:$J$85,7)</f>
        <v/>
      </c>
      <c r="Q89" s="1">
        <f>IF(P$92=0,0,P89/P$92)</f>
        <v/>
      </c>
      <c r="R89" s="1">
        <f>COUNTIFS($I$14:$I$85,"Passed on test",$J$14:$J$85,8)</f>
        <v/>
      </c>
      <c r="S89" s="1">
        <f>IF(R$92=0,0,R89/R$92)</f>
        <v/>
      </c>
    </row>
    <row r="90">
      <c r="A90" s="8" t="inlineStr">
        <is>
          <t>Failed on test</t>
        </is>
      </c>
      <c r="B90" s="2">
        <f>COUNTIF($I$14:$I$85,"Failed on test")</f>
        <v/>
      </c>
      <c r="C90" s="9">
        <f>IF($B$92=0,0,B90/$B$92)</f>
        <v/>
      </c>
      <c r="D90" s="2">
        <f>COUNTIFS($I$14:$I$85,"Failed on test",$J$14:$J$85,1)</f>
        <v/>
      </c>
      <c r="E90" s="9">
        <f>IF(D$92=0,0,D90/D$92)</f>
        <v/>
      </c>
      <c r="F90" s="2">
        <f>COUNTIFS($I$14:$I$85,"Failed on test",$J$14:$J$85,2)</f>
        <v/>
      </c>
      <c r="G90" s="9">
        <f>IF(F$92=0,0,F90/F$92)</f>
        <v/>
      </c>
      <c r="H90" s="2">
        <f>COUNTIFS($I$14:$I$85,"Failed on test",$J$14:$J$85,3)</f>
        <v/>
      </c>
      <c r="I90" s="9">
        <f>IF(H$92=0,0,H90/H$92)</f>
        <v/>
      </c>
      <c r="J90" s="2">
        <f>COUNTIFS($I$14:$I$85,"Failed on test",$J$14:$J$85,4)</f>
        <v/>
      </c>
      <c r="K90" s="9">
        <f>IF(J$92=0,0,J90/J$92)</f>
        <v/>
      </c>
      <c r="L90" s="2">
        <f>COUNTIFS($I$14:$I$85,"Failed on test",$J$14:$J$85,5)</f>
        <v/>
      </c>
      <c r="M90" s="9">
        <f>IF(L$92=0,0,L90/L$92)</f>
        <v/>
      </c>
      <c r="N90" s="2">
        <f>COUNTIFS($I$14:$I$85,"Failed on test",$J$14:$J$85,6)</f>
        <v/>
      </c>
      <c r="O90" s="9">
        <f>IF(N$92=0,0,N90/N$92)</f>
        <v/>
      </c>
      <c r="P90" s="2">
        <f>COUNTIFS($I$14:$I$85,"Failed on test",$J$14:$J$85,7)</f>
        <v/>
      </c>
      <c r="Q90" s="9">
        <f>IF(P$92=0,0,P90/P$92)</f>
        <v/>
      </c>
      <c r="R90" s="2">
        <f>COUNTIFS($I$14:$I$85,"Failed on test",$J$14:$J$85,8)</f>
        <v/>
      </c>
      <c r="S90" s="9">
        <f>IF(R$92=0,0,R90/R$92)</f>
        <v/>
      </c>
    </row>
    <row r="91">
      <c r="A91" s="10" t="inlineStr">
        <is>
          <t>Runtime error</t>
        </is>
      </c>
      <c r="B91" s="2">
        <f>COUNTIF($I$14:$I$85,"Runtime error")</f>
        <v/>
      </c>
      <c r="C91" s="9">
        <f>IF($B$92=0,0,B91/$B$92)</f>
        <v/>
      </c>
      <c r="D91" s="2">
        <f>COUNTIFS($I$14:$I$85,"Runtime error",$J$14:$J$85,1)</f>
        <v/>
      </c>
      <c r="E91" s="9">
        <f>IF(D$92=0,0,D91/D$92)</f>
        <v/>
      </c>
      <c r="F91" s="2">
        <f>COUNTIFS($I$14:$I$85,"Runtime error",$J$14:$J$85,2)</f>
        <v/>
      </c>
      <c r="G91" s="9">
        <f>IF(F$92=0,0,F91/F$92)</f>
        <v/>
      </c>
      <c r="H91" s="2">
        <f>COUNTIFS($I$14:$I$85,"Runtime error",$J$14:$J$85,3)</f>
        <v/>
      </c>
      <c r="I91" s="9">
        <f>IF(H$92=0,0,H91/H$92)</f>
        <v/>
      </c>
      <c r="J91" s="2">
        <f>COUNTIFS($I$14:$I$85,"Runtime error",$J$14:$J$85,4)</f>
        <v/>
      </c>
      <c r="K91" s="9">
        <f>IF(J$92=0,0,J91/J$92)</f>
        <v/>
      </c>
      <c r="L91" s="2">
        <f>COUNTIFS($I$14:$I$85,"Runtime error",$J$14:$J$85,5)</f>
        <v/>
      </c>
      <c r="M91" s="9">
        <f>IF(L$92=0,0,L91/L$92)</f>
        <v/>
      </c>
      <c r="N91" s="2">
        <f>COUNTIFS($I$14:$I$85,"Runtime error",$J$14:$J$85,6)</f>
        <v/>
      </c>
      <c r="O91" s="9">
        <f>IF(N$92=0,0,N91/N$92)</f>
        <v/>
      </c>
      <c r="P91" s="2">
        <f>COUNTIFS($I$14:$I$85,"Runtime error",$J$14:$J$85,7)</f>
        <v/>
      </c>
      <c r="Q91" s="9">
        <f>IF(P$92=0,0,P91/P$92)</f>
        <v/>
      </c>
      <c r="R91" s="2">
        <f>COUNTIFS($I$14:$I$85,"Runtime error",$J$14:$J$85,8)</f>
        <v/>
      </c>
      <c r="S91" s="9">
        <f>IF(R$92=0,0,R91/R$92)</f>
        <v/>
      </c>
    </row>
    <row r="92">
      <c r="A92" s="11" t="inlineStr">
        <is>
          <t>Total cases</t>
        </is>
      </c>
      <c r="B92" s="2">
        <f>SUM(B89:B91)</f>
        <v/>
      </c>
      <c r="C92" s="9">
        <f>SUM(C89:C91)</f>
        <v/>
      </c>
      <c r="D92" s="2">
        <f>SUM(D89:D91)</f>
        <v/>
      </c>
      <c r="E92" s="9">
        <f>SUM(E89:E91)</f>
        <v/>
      </c>
      <c r="F92" s="2">
        <f>SUM(F89:F91)</f>
        <v/>
      </c>
      <c r="G92" s="9">
        <f>SUM(G89:G91)</f>
        <v/>
      </c>
      <c r="H92" s="2">
        <f>SUM(H89:H91)</f>
        <v/>
      </c>
      <c r="I92" s="9">
        <f>SUM(I89:I91)</f>
        <v/>
      </c>
      <c r="J92" s="2">
        <f>SUM(J89:J91)</f>
        <v/>
      </c>
      <c r="K92" s="9">
        <f>SUM(K89:K91)</f>
        <v/>
      </c>
      <c r="L92" s="2">
        <f>SUM(L89:L91)</f>
        <v/>
      </c>
      <c r="M92" s="9">
        <f>SUM(M89:M91)</f>
        <v/>
      </c>
      <c r="N92" s="2">
        <f>SUM(N89:N91)</f>
        <v/>
      </c>
      <c r="O92" s="9">
        <f>SUM(O89:O91)</f>
        <v/>
      </c>
      <c r="P92" s="2">
        <f>SUM(P89:P91)</f>
        <v/>
      </c>
      <c r="Q92" s="9">
        <f>SUM(Q89:Q91)</f>
        <v/>
      </c>
      <c r="R92" s="2">
        <f>SUM(R89:R91)</f>
        <v/>
      </c>
      <c r="S92" s="9">
        <f>SUM(S89:S91)</f>
        <v/>
      </c>
    </row>
    <row r="93">
      <c r="A93" s="12" t="inlineStr">
        <is>
          <t>A case counts as "Passed on test" only if it passed on every version it was tested on, "Runtime error" if any version crashed, otherwise "Failed on test".</t>
        </is>
      </c>
      <c r="B93" s="12" t="n"/>
      <c r="C93" s="13" t="n"/>
      <c r="D93" s="12" t="n"/>
      <c r="E93" s="13" t="n"/>
      <c r="F93" s="12" t="n"/>
      <c r="G93" s="13" t="n"/>
      <c r="H93" s="12" t="n"/>
      <c r="I93" s="13" t="n"/>
      <c r="J93" s="12" t="n"/>
      <c r="K93" s="13" t="n"/>
      <c r="L93" s="12" t="n"/>
      <c r="M93" s="13" t="n"/>
      <c r="N93" s="12" t="n"/>
      <c r="O93" s="13" t="n"/>
      <c r="P93" s="12" t="n"/>
      <c r="Q93" s="13" t="n"/>
      <c r="R93" s="12" t="n"/>
      <c r="S93" s="13" t="n"/>
    </row>
    <row r="94"/>
    <row r="95">
      <c r="A95" t="inlineStr">
        <is>
          <t>4. Cases that passed on at least one version</t>
        </is>
      </c>
    </row>
    <row r="96">
      <c r="A96" s="7" t="inlineStr">
        <is>
          <t>Measure</t>
        </is>
      </c>
      <c r="B96" t="inlineStr">
        <is>
          <t>Cases</t>
        </is>
      </c>
      <c r="C96" t="inlineStr">
        <is>
          <t>% of cases</t>
        </is>
      </c>
      <c r="D96" t="inlineStr">
        <is>
          <t>Batch 1</t>
        </is>
      </c>
      <c r="E96" t="inlineStr">
        <is>
          <t>Batch 1 %</t>
        </is>
      </c>
      <c r="F96" t="inlineStr">
        <is>
          <t>Batch 2</t>
        </is>
      </c>
      <c r="G96" t="inlineStr">
        <is>
          <t>Batch 2 %</t>
        </is>
      </c>
      <c r="H96" t="inlineStr">
        <is>
          <t>Batch 3</t>
        </is>
      </c>
      <c r="I96" t="inlineStr">
        <is>
          <t>Batch 3 %</t>
        </is>
      </c>
      <c r="J96" t="inlineStr">
        <is>
          <t>Batch 4</t>
        </is>
      </c>
      <c r="K96" t="inlineStr">
        <is>
          <t>Batch 4 %</t>
        </is>
      </c>
      <c r="L96" t="inlineStr">
        <is>
          <t>Batch 5</t>
        </is>
      </c>
      <c r="M96" t="inlineStr">
        <is>
          <t>Batch 5 %</t>
        </is>
      </c>
      <c r="N96" t="inlineStr">
        <is>
          <t>Batch 6</t>
        </is>
      </c>
      <c r="O96" t="inlineStr">
        <is>
          <t>Batch 6 %</t>
        </is>
      </c>
      <c r="P96" t="inlineStr">
        <is>
          <t>Batch 7</t>
        </is>
      </c>
      <c r="Q96" t="inlineStr">
        <is>
          <t>Batch 7 %</t>
        </is>
      </c>
      <c r="R96" t="inlineStr">
        <is>
          <t>Batch 8</t>
        </is>
      </c>
      <c r="S96" t="inlineStr">
        <is>
          <t>Batch 8 %</t>
        </is>
      </c>
    </row>
    <row r="97">
      <c r="A97" s="1" t="inlineStr">
        <is>
          <t>Passed on at least one version</t>
        </is>
      </c>
      <c r="B97" s="1">
        <f>COUNTIF($B$102:$B$174,"YES")</f>
        <v/>
      </c>
      <c r="C97" s="1">
        <f>IF(COUNTA($A$102:$A$174)=0,0,B97/COUNTA($A$102:$A$174))</f>
        <v/>
      </c>
      <c r="D97" s="1">
        <f>COUNTIFS($B$102:$B$174,"YES",$F$102:$F$174,1)</f>
        <v/>
      </c>
      <c r="E97" s="1">
        <f>IF(COUNTIF($F$102:$F$174,1)=0,0,D97/COUNTIF($F$102:$F$174,1))</f>
        <v/>
      </c>
      <c r="F97" s="1">
        <f>COUNTIFS($B$102:$B$174,"YES",$F$102:$F$174,2)</f>
        <v/>
      </c>
      <c r="G97" s="1">
        <f>IF(COUNTIF($F$102:$F$174,2)=0,0,F97/COUNTIF($F$102:$F$174,2))</f>
        <v/>
      </c>
      <c r="H97" s="1">
        <f>COUNTIFS($B$102:$B$174,"YES",$F$102:$F$174,3)</f>
        <v/>
      </c>
      <c r="I97" s="1">
        <f>IF(COUNTIF($F$102:$F$174,3)=0,0,H97/COUNTIF($F$102:$F$174,3))</f>
        <v/>
      </c>
      <c r="J97" s="1">
        <f>COUNTIFS($B$102:$B$174,"YES",$F$102:$F$174,4)</f>
        <v/>
      </c>
      <c r="K97" s="1">
        <f>IF(COUNTIF($F$102:$F$174,4)=0,0,J97/COUNTIF($F$102:$F$174,4))</f>
        <v/>
      </c>
      <c r="L97" s="1">
        <f>COUNTIFS($B$102:$B$174,"YES",$F$102:$F$174,5)</f>
        <v/>
      </c>
      <c r="M97" s="1">
        <f>IF(COUNTIF($F$102:$F$174,5)=0,0,L97/COUNTIF($F$102:$F$174,5))</f>
        <v/>
      </c>
      <c r="N97" s="1">
        <f>COUNTIFS($B$102:$B$174,"YES",$F$102:$F$174,6)</f>
        <v/>
      </c>
      <c r="O97" s="1">
        <f>IF(COUNTIF($F$102:$F$174,6)=0,0,N97/COUNTIF($F$102:$F$174,6))</f>
        <v/>
      </c>
      <c r="P97" s="1">
        <f>COUNTIFS($B$102:$B$174,"YES",$F$102:$F$174,7)</f>
        <v/>
      </c>
      <c r="Q97" s="1">
        <f>IF(COUNTIF($F$102:$F$174,7)=0,0,P97/COUNTIF($F$102:$F$174,7))</f>
        <v/>
      </c>
      <c r="R97" s="1">
        <f>COUNTIFS($B$102:$B$174,"YES",$F$102:$F$174,8)</f>
        <v/>
      </c>
      <c r="S97" s="1">
        <f>IF(COUNTIF($F$102:$F$174,8)=0,0,R97/COUNTIF($F$102:$F$174,8))</f>
        <v/>
      </c>
    </row>
    <row r="98">
      <c r="A98" s="2" t="inlineStr">
        <is>
          <t>Passed on every version (strict, as in section 3)</t>
        </is>
      </c>
      <c r="B98" s="2">
        <f>B89</f>
        <v/>
      </c>
      <c r="C98" s="9">
        <f>IF(COUNTA($A$102:$A$174)=0,0,B98/COUNTA($A$102:$A$174))</f>
        <v/>
      </c>
      <c r="D98" s="2">
        <f>D89</f>
        <v/>
      </c>
      <c r="E98" s="9">
        <f>IF(COUNTIF($F$102:$F$174,1)=0,0,D98/COUNTIF($F$102:$F$174,1))</f>
        <v/>
      </c>
      <c r="F98" s="2">
        <f>F89</f>
        <v/>
      </c>
      <c r="G98" s="9">
        <f>IF(COUNTIF($F$102:$F$174,2)=0,0,F98/COUNTIF($F$102:$F$174,2))</f>
        <v/>
      </c>
      <c r="H98" s="2">
        <f>H89</f>
        <v/>
      </c>
      <c r="I98" s="9">
        <f>IF(COUNTIF($F$102:$F$174,3)=0,0,H98/COUNTIF($F$102:$F$174,3))</f>
        <v/>
      </c>
      <c r="J98" s="2">
        <f>J89</f>
        <v/>
      </c>
      <c r="K98" s="9">
        <f>IF(COUNTIF($F$102:$F$174,4)=0,0,J98/COUNTIF($F$102:$F$174,4))</f>
        <v/>
      </c>
      <c r="L98" s="2">
        <f>L89</f>
        <v/>
      </c>
      <c r="M98" s="9">
        <f>IF(COUNTIF($F$102:$F$174,5)=0,0,L98/COUNTIF($F$102:$F$174,5))</f>
        <v/>
      </c>
      <c r="N98" s="2">
        <f>N89</f>
        <v/>
      </c>
      <c r="O98" s="9">
        <f>IF(COUNTIF($F$102:$F$174,6)=0,0,N98/COUNTIF($F$102:$F$174,6))</f>
        <v/>
      </c>
      <c r="P98" s="2">
        <f>P89</f>
        <v/>
      </c>
      <c r="Q98" s="9">
        <f>IF(COUNTIF($F$102:$F$174,7)=0,0,P98/COUNTIF($F$102:$F$174,7))</f>
        <v/>
      </c>
      <c r="R98" s="2">
        <f>R89</f>
        <v/>
      </c>
      <c r="S98" s="9">
        <f>IF(COUNTIF($F$102:$F$174,8)=0,0,R98/COUNTIF($F$102:$F$174,8))</f>
        <v/>
      </c>
    </row>
    <row r="99">
      <c r="A99" s="2" t="inlineStr">
        <is>
          <t>Passed on some but not all versions</t>
        </is>
      </c>
      <c r="B99" s="2">
        <f>B97-B98</f>
        <v/>
      </c>
      <c r="C99" s="9">
        <f>IF(COUNTA($A$102:$A$174)=0,0,B99/COUNTA($A$102:$A$174))</f>
        <v/>
      </c>
      <c r="D99" s="2">
        <f>D97-D98</f>
        <v/>
      </c>
      <c r="E99" s="9">
        <f>IF(COUNTIF($F$102:$F$174,1)=0,0,D99/COUNTIF($F$102:$F$174,1))</f>
        <v/>
      </c>
      <c r="F99" s="2">
        <f>F97-F98</f>
        <v/>
      </c>
      <c r="G99" s="9">
        <f>IF(COUNTIF($F$102:$F$174,2)=0,0,F99/COUNTIF($F$102:$F$174,2))</f>
        <v/>
      </c>
      <c r="H99" s="2">
        <f>H97-H98</f>
        <v/>
      </c>
      <c r="I99" s="9">
        <f>IF(COUNTIF($F$102:$F$174,3)=0,0,H99/COUNTIF($F$102:$F$174,3))</f>
        <v/>
      </c>
      <c r="J99" s="2">
        <f>J97-J98</f>
        <v/>
      </c>
      <c r="K99" s="9">
        <f>IF(COUNTIF($F$102:$F$174,4)=0,0,J99/COUNTIF($F$102:$F$174,4))</f>
        <v/>
      </c>
      <c r="L99" s="2">
        <f>L97-L98</f>
        <v/>
      </c>
      <c r="M99" s="9">
        <f>IF(COUNTIF($F$102:$F$174,5)=0,0,L99/COUNTIF($F$102:$F$174,5))</f>
        <v/>
      </c>
      <c r="N99" s="2">
        <f>N97-N98</f>
        <v/>
      </c>
      <c r="O99" s="9">
        <f>IF(COUNTIF($F$102:$F$174,6)=0,0,N99/COUNTIF($F$102:$F$174,6))</f>
        <v/>
      </c>
      <c r="P99" s="2">
        <f>P97-P98</f>
        <v/>
      </c>
      <c r="Q99" s="9">
        <f>IF(COUNTIF($F$102:$F$174,7)=0,0,P99/COUNTIF($F$102:$F$174,7))</f>
        <v/>
      </c>
      <c r="R99" s="2">
        <f>R97-R98</f>
        <v/>
      </c>
      <c r="S99" s="9">
        <f>IF(COUNTIF($F$102:$F$174,8)=0,0,R99/COUNTIF($F$102:$F$174,8))</f>
        <v/>
      </c>
    </row>
    <row r="100">
      <c r="A100" s="2" t="inlineStr">
        <is>
          <t>Passed on no version</t>
        </is>
      </c>
      <c r="B100" s="2">
        <f>COUNTIF($B$102:$B$174,"NO")</f>
        <v/>
      </c>
      <c r="C100" s="9">
        <f>IF(COUNTA($A$102:$A$174)=0,0,B100/COUNTA($A$102:$A$174))</f>
        <v/>
      </c>
      <c r="D100" s="2">
        <f>COUNTIFS($B$102:$B$174,"NO",$F$102:$F$174,1)</f>
        <v/>
      </c>
      <c r="E100" s="9">
        <f>IF(COUNTIF($F$102:$F$174,1)=0,0,D100/COUNTIF($F$102:$F$174,1))</f>
        <v/>
      </c>
      <c r="F100" s="2">
        <f>COUNTIFS($B$102:$B$174,"NO",$F$102:$F$174,2)</f>
        <v/>
      </c>
      <c r="G100" s="9">
        <f>IF(COUNTIF($F$102:$F$174,2)=0,0,F100/COUNTIF($F$102:$F$174,2))</f>
        <v/>
      </c>
      <c r="H100" s="2">
        <f>COUNTIFS($B$102:$B$174,"NO",$F$102:$F$174,3)</f>
        <v/>
      </c>
      <c r="I100" s="9">
        <f>IF(COUNTIF($F$102:$F$174,3)=0,0,H100/COUNTIF($F$102:$F$174,3))</f>
        <v/>
      </c>
      <c r="J100" s="2">
        <f>COUNTIFS($B$102:$B$174,"NO",$F$102:$F$174,4)</f>
        <v/>
      </c>
      <c r="K100" s="9">
        <f>IF(COUNTIF($F$102:$F$174,4)=0,0,J100/COUNTIF($F$102:$F$174,4))</f>
        <v/>
      </c>
      <c r="L100" s="2">
        <f>COUNTIFS($B$102:$B$174,"NO",$F$102:$F$174,5)</f>
        <v/>
      </c>
      <c r="M100" s="9">
        <f>IF(COUNTIF($F$102:$F$174,5)=0,0,L100/COUNTIF($F$102:$F$174,5))</f>
        <v/>
      </c>
      <c r="N100" s="2">
        <f>COUNTIFS($B$102:$B$174,"NO",$F$102:$F$174,6)</f>
        <v/>
      </c>
      <c r="O100" s="9">
        <f>IF(COUNTIF($F$102:$F$174,6)=0,0,N100/COUNTIF($F$102:$F$174,6))</f>
        <v/>
      </c>
      <c r="P100" s="2">
        <f>COUNTIFS($B$102:$B$174,"NO",$F$102:$F$174,7)</f>
        <v/>
      </c>
      <c r="Q100" s="9">
        <f>IF(COUNTIF($F$102:$F$174,7)=0,0,P100/COUNTIF($F$102:$F$174,7))</f>
        <v/>
      </c>
      <c r="R100" s="2">
        <f>COUNTIFS($B$102:$B$174,"NO",$F$102:$F$174,8)</f>
        <v/>
      </c>
      <c r="S100" s="9">
        <f>IF(COUNTIF($F$102:$F$174,8)=0,0,R100/COUNTIF($F$102:$F$174,8))</f>
        <v/>
      </c>
    </row>
    <row r="101">
      <c r="A101" s="2" t="inlineStr">
        <is>
          <t>Case</t>
        </is>
      </c>
      <c r="B101" s="2" t="inlineStr">
        <is>
          <t>Passed on ≥1 version?</t>
        </is>
      </c>
      <c r="C101" s="9" t="inlineStr">
        <is>
          <t>Versions it passed on</t>
        </is>
      </c>
      <c r="D101" s="2" t="inlineStr">
        <is>
          <t># passed</t>
        </is>
      </c>
      <c r="E101" s="9" t="inlineStr">
        <is>
          <t># tested</t>
        </is>
      </c>
      <c r="F101" s="2" t="inlineStr">
        <is>
          <t>Batch</t>
        </is>
      </c>
      <c r="G101" s="9" t="n"/>
      <c r="H101" s="2" t="n"/>
      <c r="I101" s="9" t="n"/>
      <c r="J101" s="2" t="n"/>
      <c r="K101" s="9" t="n"/>
      <c r="L101" s="2" t="n"/>
      <c r="M101" s="9" t="n"/>
      <c r="N101" s="2" t="n"/>
      <c r="O101" s="9" t="n"/>
      <c r="P101" s="2" t="n"/>
      <c r="Q101" s="9" t="n"/>
      <c r="R101" s="2" t="n"/>
      <c r="S101" s="9" t="n"/>
    </row>
    <row r="102">
      <c r="A102" s="1">
        <f>Summary!A2</f>
        <v/>
      </c>
      <c r="B102" s="1">
        <f>IF(C14&gt;0,"YES","NO")</f>
        <v/>
      </c>
      <c r="C102" s="1">
        <f t="array" ref="C103">IF(C14=0,"-",_xlfn.TEXTJOIN(", ",TRUE,IF(Summary!$B$2:$AB$2="Passed on test",Summary!$B$1:$AB$1,"")))</f>
        <v/>
      </c>
      <c r="D102" s="1">
        <f>C14</f>
        <v/>
      </c>
      <c r="E102" s="1">
        <f>B14</f>
        <v/>
      </c>
      <c r="F102" s="1" t="n">
        <v>1</v>
      </c>
    </row>
    <row r="103">
      <c r="A103" s="2">
        <f>Summary!A3</f>
        <v/>
      </c>
      <c r="B103" s="2">
        <f>IF(C15&gt;0,"YES","NO")</f>
        <v/>
      </c>
      <c r="C103" s="14">
        <f t="array" ref="C104">IF(C15=0,"-",_xlfn.TEXTJOIN(", ",TRUE,IF(Summary!$B$3:$AB$3="Passed on test",Summary!$B$1:$AB$1,"")))</f>
        <v/>
      </c>
      <c r="D103" s="2">
        <f>C15</f>
        <v/>
      </c>
      <c r="E103" s="2">
        <f>B15</f>
        <v/>
      </c>
      <c r="F103" s="2" t="n">
        <v>1</v>
      </c>
    </row>
    <row r="104">
      <c r="A104" s="2">
        <f>Summary!A4</f>
        <v/>
      </c>
      <c r="B104" s="2">
        <f>IF(C16&gt;0,"YES","NO")</f>
        <v/>
      </c>
      <c r="C104" s="14">
        <f t="array" ref="C105">IF(C16=0,"-",_xlfn.TEXTJOIN(", ",TRUE,IF(Summary!$B$4:$AB$4="Passed on test",Summary!$B$1:$AB$1,"")))</f>
        <v/>
      </c>
      <c r="D104" s="2">
        <f>C16</f>
        <v/>
      </c>
      <c r="E104" s="2">
        <f>B16</f>
        <v/>
      </c>
      <c r="F104" s="2" t="n">
        <v>1</v>
      </c>
    </row>
    <row r="105">
      <c r="A105" s="2">
        <f>Summary!A5</f>
        <v/>
      </c>
      <c r="B105" s="2">
        <f>IF(C17&gt;0,"YES","NO")</f>
        <v/>
      </c>
      <c r="C105" s="14">
        <f t="array" ref="C106">IF(C17=0,"-",_xlfn.TEXTJOIN(", ",TRUE,IF(Summary!$B$5:$AB$5="Passed on test",Summary!$B$1:$AB$1,"")))</f>
        <v/>
      </c>
      <c r="D105" s="2">
        <f>C17</f>
        <v/>
      </c>
      <c r="E105" s="2">
        <f>B17</f>
        <v/>
      </c>
      <c r="F105" s="2" t="n">
        <v>1</v>
      </c>
    </row>
    <row r="106">
      <c r="A106" s="2">
        <f>Summary!A6</f>
        <v/>
      </c>
      <c r="B106" s="2">
        <f>IF(C18&gt;0,"YES","NO")</f>
        <v/>
      </c>
      <c r="C106" s="14">
        <f t="array" ref="C107">IF(C18=0,"-",_xlfn.TEXTJOIN(", ",TRUE,IF(Summary!$B$6:$AB$6="Passed on test",Summary!$B$1:$AB$1,"")))</f>
        <v/>
      </c>
      <c r="D106" s="2">
        <f>C18</f>
        <v/>
      </c>
      <c r="E106" s="2">
        <f>B18</f>
        <v/>
      </c>
      <c r="F106" s="2" t="n">
        <v>1</v>
      </c>
    </row>
    <row r="107">
      <c r="A107" s="2">
        <f>Summary!A7</f>
        <v/>
      </c>
      <c r="B107" s="2">
        <f>IF(C19&gt;0,"YES","NO")</f>
        <v/>
      </c>
      <c r="C107" s="14">
        <f t="array" ref="C108">IF(C19=0,"-",_xlfn.TEXTJOIN(", ",TRUE,IF(Summary!$B$7:$AB$7="Passed on test",Summary!$B$1:$AB$1,"")))</f>
        <v/>
      </c>
      <c r="D107" s="2">
        <f>C19</f>
        <v/>
      </c>
      <c r="E107" s="2">
        <f>B19</f>
        <v/>
      </c>
      <c r="F107" s="2" t="n">
        <v>1</v>
      </c>
    </row>
    <row r="108">
      <c r="A108" s="2">
        <f>Summary!A8</f>
        <v/>
      </c>
      <c r="B108" s="2">
        <f>IF(C20&gt;0,"YES","NO")</f>
        <v/>
      </c>
      <c r="C108" s="14">
        <f t="array" ref="C109">IF(C20=0,"-",_xlfn.TEXTJOIN(", ",TRUE,IF(Summary!$B$8:$AB$8="Passed on test",Summary!$B$1:$AB$1,"")))</f>
        <v/>
      </c>
      <c r="D108" s="2">
        <f>C20</f>
        <v/>
      </c>
      <c r="E108" s="2">
        <f>B20</f>
        <v/>
      </c>
      <c r="F108" s="2" t="n">
        <v>1</v>
      </c>
    </row>
    <row r="109">
      <c r="A109" s="2">
        <f>Summary!A9</f>
        <v/>
      </c>
      <c r="B109" s="2">
        <f>IF(C21&gt;0,"YES","NO")</f>
        <v/>
      </c>
      <c r="C109" s="14">
        <f t="array" ref="C110">IF(C21=0,"-",_xlfn.TEXTJOIN(", ",TRUE,IF(Summary!$B$9:$AB$9="Passed on test",Summary!$B$1:$AB$1,"")))</f>
        <v/>
      </c>
      <c r="D109" s="2">
        <f>C21</f>
        <v/>
      </c>
      <c r="E109" s="2">
        <f>B21</f>
        <v/>
      </c>
      <c r="F109" s="2" t="n">
        <v>1</v>
      </c>
    </row>
    <row r="110">
      <c r="A110" s="2">
        <f>Summary!A10</f>
        <v/>
      </c>
      <c r="B110" s="2">
        <f>IF(C22&gt;0,"YES","NO")</f>
        <v/>
      </c>
      <c r="C110" s="14">
        <f t="array" ref="C111">IF(C22=0,"-",_xlfn.TEXTJOIN(", ",TRUE,IF(Summary!$B$10:$AB$10="Passed on test",Summary!$B$1:$AB$1,"")))</f>
        <v/>
      </c>
      <c r="D110" s="2">
        <f>C22</f>
        <v/>
      </c>
      <c r="E110" s="2">
        <f>B22</f>
        <v/>
      </c>
      <c r="F110" s="2" t="n">
        <v>1</v>
      </c>
    </row>
    <row r="111">
      <c r="A111" s="2">
        <f>Summary!A11</f>
        <v/>
      </c>
      <c r="B111" s="2">
        <f>IF(C23&gt;0,"YES","NO")</f>
        <v/>
      </c>
      <c r="C111" s="14">
        <f t="array" ref="C112">IF(C23=0,"-",_xlfn.TEXTJOIN(", ",TRUE,IF(Summary!$B$11:$AB$11="Passed on test",Summary!$B$1:$AB$1,"")))</f>
        <v/>
      </c>
      <c r="D111" s="2">
        <f>C23</f>
        <v/>
      </c>
      <c r="E111" s="2">
        <f>B23</f>
        <v/>
      </c>
      <c r="F111" s="2" t="n">
        <v>1</v>
      </c>
    </row>
    <row r="112">
      <c r="A112" s="2">
        <f>Summary!A12</f>
        <v/>
      </c>
      <c r="B112" s="2">
        <f>IF(C24&gt;0,"YES","NO")</f>
        <v/>
      </c>
      <c r="C112" s="14">
        <f t="array" ref="C113">IF(C24=0,"-",_xlfn.TEXTJOIN(", ",TRUE,IF(Summary!$B$12:$AB$12="Passed on test",Summary!$B$1:$AB$1,"")))</f>
        <v/>
      </c>
      <c r="D112" s="2">
        <f>C24</f>
        <v/>
      </c>
      <c r="E112" s="2">
        <f>B24</f>
        <v/>
      </c>
      <c r="F112" s="2" t="n">
        <v>2</v>
      </c>
    </row>
    <row r="113">
      <c r="A113" s="2">
        <f>Summary!A13</f>
        <v/>
      </c>
      <c r="B113" s="2">
        <f>IF(C25&gt;0,"YES","NO")</f>
        <v/>
      </c>
      <c r="C113" s="14">
        <f t="array" ref="C114">IF(C25=0,"-",_xlfn.TEXTJOIN(", ",TRUE,IF(Summary!$B$13:$AB$13="Passed on test",Summary!$B$1:$AB$1,"")))</f>
        <v/>
      </c>
      <c r="D113" s="2">
        <f>C25</f>
        <v/>
      </c>
      <c r="E113" s="2">
        <f>B25</f>
        <v/>
      </c>
      <c r="F113" s="2" t="n">
        <v>2</v>
      </c>
    </row>
    <row r="114">
      <c r="A114" s="2">
        <f>Summary!A14</f>
        <v/>
      </c>
      <c r="B114" s="2">
        <f>IF(C26&gt;0,"YES","NO")</f>
        <v/>
      </c>
      <c r="C114" s="14">
        <f t="array" ref="C115">IF(C26=0,"-",_xlfn.TEXTJOIN(", ",TRUE,IF(Summary!$B$14:$AB$14="Passed on test",Summary!$B$1:$AB$1,"")))</f>
        <v/>
      </c>
      <c r="D114" s="2">
        <f>C26</f>
        <v/>
      </c>
      <c r="E114" s="2">
        <f>B26</f>
        <v/>
      </c>
      <c r="F114" s="2" t="n">
        <v>2</v>
      </c>
    </row>
    <row r="115">
      <c r="A115" s="2">
        <f>Summary!A15</f>
        <v/>
      </c>
      <c r="B115" s="2">
        <f>IF(C27&gt;0,"YES","NO")</f>
        <v/>
      </c>
      <c r="C115" s="14">
        <f t="array" ref="C116">IF(C27=0,"-",_xlfn.TEXTJOIN(", ",TRUE,IF(Summary!$B$15:$AB$15="Passed on test",Summary!$B$1:$AB$1,"")))</f>
        <v/>
      </c>
      <c r="D115" s="2">
        <f>C27</f>
        <v/>
      </c>
      <c r="E115" s="2">
        <f>B27</f>
        <v/>
      </c>
      <c r="F115" s="2" t="n">
        <v>2</v>
      </c>
    </row>
    <row r="116">
      <c r="A116" s="2">
        <f>Summary!A16</f>
        <v/>
      </c>
      <c r="B116" s="2">
        <f>IF(C28&gt;0,"YES","NO")</f>
        <v/>
      </c>
      <c r="C116" s="14">
        <f t="array" ref="C117">IF(C28=0,"-",_xlfn.TEXTJOIN(", ",TRUE,IF(Summary!$B$16:$AB$16="Passed on test",Summary!$B$1:$AB$1,"")))</f>
        <v/>
      </c>
      <c r="D116" s="2">
        <f>C28</f>
        <v/>
      </c>
      <c r="E116" s="2">
        <f>B28</f>
        <v/>
      </c>
      <c r="F116" s="2" t="n">
        <v>2</v>
      </c>
    </row>
    <row r="117">
      <c r="A117" s="2">
        <f>Summary!A17</f>
        <v/>
      </c>
      <c r="B117" s="2">
        <f>IF(C29&gt;0,"YES","NO")</f>
        <v/>
      </c>
      <c r="C117" s="14">
        <f t="array" ref="C118">IF(C29=0,"-",_xlfn.TEXTJOIN(", ",TRUE,IF(Summary!$B$17:$AB$17="Passed on test",Summary!$B$1:$AB$1,"")))</f>
        <v/>
      </c>
      <c r="D117" s="2">
        <f>C29</f>
        <v/>
      </c>
      <c r="E117" s="2">
        <f>B29</f>
        <v/>
      </c>
      <c r="F117" s="2" t="n">
        <v>2</v>
      </c>
    </row>
    <row r="118">
      <c r="A118" s="2">
        <f>Summary!A18</f>
        <v/>
      </c>
      <c r="B118" s="2">
        <f>IF(C30&gt;0,"YES","NO")</f>
        <v/>
      </c>
      <c r="C118" s="14">
        <f t="array" ref="C119">IF(C30=0,"-",_xlfn.TEXTJOIN(", ",TRUE,IF(Summary!$B$18:$AB$18="Passed on test",Summary!$B$1:$AB$1,"")))</f>
        <v/>
      </c>
      <c r="D118" s="2">
        <f>C30</f>
        <v/>
      </c>
      <c r="E118" s="2">
        <f>B30</f>
        <v/>
      </c>
      <c r="F118" s="2" t="n">
        <v>2</v>
      </c>
    </row>
    <row r="119">
      <c r="A119" s="2">
        <f>Summary!A19</f>
        <v/>
      </c>
      <c r="B119" s="2">
        <f>IF(C31&gt;0,"YES","NO")</f>
        <v/>
      </c>
      <c r="C119" s="14">
        <f t="array" ref="C120">IF(C31=0,"-",_xlfn.TEXTJOIN(", ",TRUE,IF(Summary!$B$19:$AB$19="Passed on test",Summary!$B$1:$AB$1,"")))</f>
        <v/>
      </c>
      <c r="D119" s="2">
        <f>C31</f>
        <v/>
      </c>
      <c r="E119" s="2">
        <f>B31</f>
        <v/>
      </c>
      <c r="F119" s="2" t="n">
        <v>2</v>
      </c>
    </row>
    <row r="120">
      <c r="A120" s="2">
        <f>Summary!A20</f>
        <v/>
      </c>
      <c r="B120" s="2">
        <f>IF(C32&gt;0,"YES","NO")</f>
        <v/>
      </c>
      <c r="C120" s="14">
        <f t="array" ref="C121">IF(C32=0,"-",_xlfn.TEXTJOIN(", ",TRUE,IF(Summary!$B$20:$AB$20="Passed on test",Summary!$B$1:$AB$1,"")))</f>
        <v/>
      </c>
      <c r="D120" s="2">
        <f>C32</f>
        <v/>
      </c>
      <c r="E120" s="2">
        <f>B32</f>
        <v/>
      </c>
      <c r="F120" s="2" t="n">
        <v>2</v>
      </c>
    </row>
    <row r="121">
      <c r="A121" s="2">
        <f>Summary!A21</f>
        <v/>
      </c>
      <c r="B121" s="2">
        <f>IF(C33&gt;0,"YES","NO")</f>
        <v/>
      </c>
      <c r="C121" s="14">
        <f t="array" ref="C122">IF(C33=0,"-",_xlfn.TEXTJOIN(", ",TRUE,IF(Summary!$B$21:$AB$21="Passed on test",Summary!$B$1:$AB$1,"")))</f>
        <v/>
      </c>
      <c r="D121" s="2">
        <f>C33</f>
        <v/>
      </c>
      <c r="E121" s="2">
        <f>B33</f>
        <v/>
      </c>
      <c r="F121" s="2" t="n">
        <v>2</v>
      </c>
    </row>
    <row r="122">
      <c r="A122" s="2">
        <f>Summary!A22</f>
        <v/>
      </c>
      <c r="B122" s="2">
        <f>IF(C34&gt;0,"YES","NO")</f>
        <v/>
      </c>
      <c r="C122" s="14">
        <f t="array" ref="C123">IF(C34=0,"-",_xlfn.TEXTJOIN(", ",TRUE,IF(Summary!$B$22:$AB$22="Passed on test",Summary!$B$1:$AB$1,"")))</f>
        <v/>
      </c>
      <c r="D122" s="2">
        <f>C34</f>
        <v/>
      </c>
      <c r="E122" s="2">
        <f>B34</f>
        <v/>
      </c>
      <c r="F122" s="2" t="n">
        <v>3</v>
      </c>
    </row>
    <row r="123">
      <c r="A123" s="2">
        <f>Summary!A23</f>
        <v/>
      </c>
      <c r="B123" s="2">
        <f>IF(C35&gt;0,"YES","NO")</f>
        <v/>
      </c>
      <c r="C123" s="14">
        <f t="array" ref="C124">IF(C35=0,"-",_xlfn.TEXTJOIN(", ",TRUE,IF(Summary!$B$23:$AB$23="Passed on test",Summary!$B$1:$AB$1,"")))</f>
        <v/>
      </c>
      <c r="D123" s="2">
        <f>C35</f>
        <v/>
      </c>
      <c r="E123" s="2">
        <f>B35</f>
        <v/>
      </c>
      <c r="F123" s="2" t="n">
        <v>3</v>
      </c>
    </row>
    <row r="124">
      <c r="A124" s="2">
        <f>Summary!A24</f>
        <v/>
      </c>
      <c r="B124" s="2">
        <f>IF(C36&gt;0,"YES","NO")</f>
        <v/>
      </c>
      <c r="C124" s="14">
        <f t="array" ref="C125">IF(C36=0,"-",_xlfn.TEXTJOIN(", ",TRUE,IF(Summary!$B$24:$AB$24="Passed on test",Summary!$B$1:$AB$1,"")))</f>
        <v/>
      </c>
      <c r="D124" s="2">
        <f>C36</f>
        <v/>
      </c>
      <c r="E124" s="2">
        <f>B36</f>
        <v/>
      </c>
      <c r="F124" s="2" t="n">
        <v>3</v>
      </c>
    </row>
    <row r="125">
      <c r="A125" s="2">
        <f>Summary!A25</f>
        <v/>
      </c>
      <c r="B125" s="2">
        <f>IF(C37&gt;0,"YES","NO")</f>
        <v/>
      </c>
      <c r="C125" s="14">
        <f t="array" ref="C126">IF(C37=0,"-",_xlfn.TEXTJOIN(", ",TRUE,IF(Summary!$B$25:$AB$25="Passed on test",Summary!$B$1:$AB$1,"")))</f>
        <v/>
      </c>
      <c r="D125" s="2">
        <f>C37</f>
        <v/>
      </c>
      <c r="E125" s="2">
        <f>B37</f>
        <v/>
      </c>
      <c r="F125" s="2" t="n">
        <v>3</v>
      </c>
    </row>
    <row r="126">
      <c r="A126" s="2">
        <f>Summary!A26</f>
        <v/>
      </c>
      <c r="B126" s="2">
        <f>IF(C38&gt;0,"YES","NO")</f>
        <v/>
      </c>
      <c r="C126" s="14">
        <f t="array" ref="C127">IF(C38=0,"-",_xlfn.TEXTJOIN(", ",TRUE,IF(Summary!$B$26:$AB$26="Passed on test",Summary!$B$1:$AB$1,"")))</f>
        <v/>
      </c>
      <c r="D126" s="2">
        <f>C38</f>
        <v/>
      </c>
      <c r="E126" s="2">
        <f>B38</f>
        <v/>
      </c>
      <c r="F126" s="2" t="n">
        <v>3</v>
      </c>
    </row>
    <row r="127">
      <c r="A127" s="2">
        <f>Summary!A27</f>
        <v/>
      </c>
      <c r="B127" s="2">
        <f>IF(C39&gt;0,"YES","NO")</f>
        <v/>
      </c>
      <c r="C127" s="14">
        <f t="array" ref="C128">IF(C39=0,"-",_xlfn.TEXTJOIN(", ",TRUE,IF(Summary!$B$27:$AB$27="Passed on test",Summary!$B$1:$AB$1,"")))</f>
        <v/>
      </c>
      <c r="D127" s="2">
        <f>C39</f>
        <v/>
      </c>
      <c r="E127" s="2">
        <f>B39</f>
        <v/>
      </c>
      <c r="F127" s="2" t="n">
        <v>3</v>
      </c>
    </row>
    <row r="128">
      <c r="A128" s="2">
        <f>Summary!A28</f>
        <v/>
      </c>
      <c r="B128" s="2">
        <f>IF(C40&gt;0,"YES","NO")</f>
        <v/>
      </c>
      <c r="C128" s="14">
        <f t="array" ref="C129">IF(C40=0,"-",_xlfn.TEXTJOIN(", ",TRUE,IF(Summary!$B$28:$AB$28="Passed on test",Summary!$B$1:$AB$1,"")))</f>
        <v/>
      </c>
      <c r="D128" s="2">
        <f>C40</f>
        <v/>
      </c>
      <c r="E128" s="2">
        <f>B40</f>
        <v/>
      </c>
      <c r="F128" s="2" t="n">
        <v>3</v>
      </c>
    </row>
    <row r="129">
      <c r="A129" s="2">
        <f>Summary!A29</f>
        <v/>
      </c>
      <c r="B129" s="2">
        <f>IF(C41&gt;0,"YES","NO")</f>
        <v/>
      </c>
      <c r="C129" s="14">
        <f t="array" ref="C130">IF(C41=0,"-",_xlfn.TEXTJOIN(", ",TRUE,IF(Summary!$B$29:$AB$29="Passed on test",Summary!$B$1:$AB$1,"")))</f>
        <v/>
      </c>
      <c r="D129" s="2">
        <f>C41</f>
        <v/>
      </c>
      <c r="E129" s="2">
        <f>B41</f>
        <v/>
      </c>
      <c r="F129" s="2" t="n">
        <v>3</v>
      </c>
    </row>
    <row r="130">
      <c r="A130" s="2">
        <f>Summary!A30</f>
        <v/>
      </c>
      <c r="B130" s="2">
        <f>IF(C42&gt;0,"YES","NO")</f>
        <v/>
      </c>
      <c r="C130" s="14">
        <f t="array" ref="C131">IF(C42=0,"-",_xlfn.TEXTJOIN(", ",TRUE,IF(Summary!$B$30:$AB$30="Passed on test",Summary!$B$1:$AB$1,"")))</f>
        <v/>
      </c>
      <c r="D130" s="2">
        <f>C42</f>
        <v/>
      </c>
      <c r="E130" s="2">
        <f>B42</f>
        <v/>
      </c>
      <c r="F130" s="2" t="n">
        <v>3</v>
      </c>
    </row>
    <row r="131">
      <c r="A131" s="2">
        <f>Summary!A31</f>
        <v/>
      </c>
      <c r="B131" s="2">
        <f>IF(C43&gt;0,"YES","NO")</f>
        <v/>
      </c>
      <c r="C131" s="14">
        <f t="array" ref="C132">IF(C43=0,"-",_xlfn.TEXTJOIN(", ",TRUE,IF(Summary!$B$31:$AB$31="Passed on test",Summary!$B$1:$AB$1,"")))</f>
        <v/>
      </c>
      <c r="D131" s="2">
        <f>C43</f>
        <v/>
      </c>
      <c r="E131" s="2">
        <f>B43</f>
        <v/>
      </c>
      <c r="F131" s="2" t="n">
        <v>3</v>
      </c>
    </row>
    <row r="132">
      <c r="A132" s="2">
        <f>Summary!A32</f>
        <v/>
      </c>
      <c r="B132" s="2">
        <f>IF(C44&gt;0,"YES","NO")</f>
        <v/>
      </c>
      <c r="C132" s="14">
        <f t="array" ref="C133">IF(C44=0,"-",_xlfn.TEXTJOIN(", ",TRUE,IF(Summary!$B$32:$AB$32="Passed on test",Summary!$B$1:$AB$1,"")))</f>
        <v/>
      </c>
      <c r="D132" s="2">
        <f>C44</f>
        <v/>
      </c>
      <c r="E132" s="2">
        <f>B44</f>
        <v/>
      </c>
      <c r="F132" s="2" t="n">
        <v>4</v>
      </c>
    </row>
    <row r="133">
      <c r="A133" s="2">
        <f>Summary!A33</f>
        <v/>
      </c>
      <c r="B133" s="2">
        <f>IF(C45&gt;0,"YES","NO")</f>
        <v/>
      </c>
      <c r="C133" s="14">
        <f t="array" ref="C134">IF(C45=0,"-",_xlfn.TEXTJOIN(", ",TRUE,IF(Summary!$B$33:$AB$33="Passed on test",Summary!$B$1:$AB$1,"")))</f>
        <v/>
      </c>
      <c r="D133" s="2">
        <f>C45</f>
        <v/>
      </c>
      <c r="E133" s="2">
        <f>B45</f>
        <v/>
      </c>
      <c r="F133" s="2" t="n">
        <v>4</v>
      </c>
    </row>
    <row r="134">
      <c r="A134" s="2">
        <f>Summary!A34</f>
        <v/>
      </c>
      <c r="B134" s="2">
        <f>IF(C46&gt;0,"YES","NO")</f>
        <v/>
      </c>
      <c r="C134" s="14">
        <f t="array" ref="C135">IF(C46=0,"-",_xlfn.TEXTJOIN(", ",TRUE,IF(Summary!$B$34:$AB$34="Passed on test",Summary!$B$1:$AB$1,"")))</f>
        <v/>
      </c>
      <c r="D134" s="2">
        <f>C46</f>
        <v/>
      </c>
      <c r="E134" s="2">
        <f>B46</f>
        <v/>
      </c>
      <c r="F134" s="2" t="n">
        <v>4</v>
      </c>
    </row>
    <row r="135">
      <c r="A135" s="2">
        <f>Summary!A35</f>
        <v/>
      </c>
      <c r="B135" s="2">
        <f>IF(C47&gt;0,"YES","NO")</f>
        <v/>
      </c>
      <c r="C135" s="14">
        <f t="array" ref="C136">IF(C47=0,"-",_xlfn.TEXTJOIN(", ",TRUE,IF(Summary!$B$35:$AB$35="Passed on test",Summary!$B$1:$AB$1,"")))</f>
        <v/>
      </c>
      <c r="D135" s="2">
        <f>C47</f>
        <v/>
      </c>
      <c r="E135" s="2">
        <f>B47</f>
        <v/>
      </c>
      <c r="F135" s="2" t="n">
        <v>4</v>
      </c>
    </row>
    <row r="136">
      <c r="A136" s="2">
        <f>Summary!A36</f>
        <v/>
      </c>
      <c r="B136" s="2">
        <f>IF(C48&gt;0,"YES","NO")</f>
        <v/>
      </c>
      <c r="C136" s="14">
        <f t="array" ref="C137">IF(C48=0,"-",_xlfn.TEXTJOIN(", ",TRUE,IF(Summary!$B$36:$AB$36="Passed on test",Summary!$B$1:$AB$1,"")))</f>
        <v/>
      </c>
      <c r="D136" s="2">
        <f>C48</f>
        <v/>
      </c>
      <c r="E136" s="2">
        <f>B48</f>
        <v/>
      </c>
      <c r="F136" s="2" t="n">
        <v>4</v>
      </c>
    </row>
    <row r="137">
      <c r="A137" s="2">
        <f>Summary!A37</f>
        <v/>
      </c>
      <c r="B137" s="2">
        <f>IF(C49&gt;0,"YES","NO")</f>
        <v/>
      </c>
      <c r="C137" s="14">
        <f t="array" ref="C138">IF(C49=0,"-",_xlfn.TEXTJOIN(", ",TRUE,IF(Summary!$B$37:$AB$37="Passed on test",Summary!$B$1:$AB$1,"")))</f>
        <v/>
      </c>
      <c r="D137" s="2">
        <f>C49</f>
        <v/>
      </c>
      <c r="E137" s="2">
        <f>B49</f>
        <v/>
      </c>
      <c r="F137" s="2" t="n">
        <v>4</v>
      </c>
    </row>
    <row r="138">
      <c r="A138" s="2">
        <f>Summary!A38</f>
        <v/>
      </c>
      <c r="B138" s="2">
        <f>IF(C50&gt;0,"YES","NO")</f>
        <v/>
      </c>
      <c r="C138" s="14">
        <f t="array" ref="C139">IF(C50=0,"-",_xlfn.TEXTJOIN(", ",TRUE,IF(Summary!$B$38:$AB$38="Passed on test",Summary!$B$1:$AB$1,"")))</f>
        <v/>
      </c>
      <c r="D138" s="2">
        <f>C50</f>
        <v/>
      </c>
      <c r="E138" s="2">
        <f>B50</f>
        <v/>
      </c>
      <c r="F138" s="2" t="n">
        <v>4</v>
      </c>
    </row>
    <row r="139">
      <c r="A139" s="2">
        <f>Summary!A39</f>
        <v/>
      </c>
      <c r="B139" s="2">
        <f>IF(C51&gt;0,"YES","NO")</f>
        <v/>
      </c>
      <c r="C139" s="14">
        <f t="array" ref="C140">IF(C51=0,"-",_xlfn.TEXTJOIN(", ",TRUE,IF(Summary!$B$39:$AB$39="Passed on test",Summary!$B$1:$AB$1,"")))</f>
        <v/>
      </c>
      <c r="D139" s="2">
        <f>C51</f>
        <v/>
      </c>
      <c r="E139" s="2">
        <f>B51</f>
        <v/>
      </c>
      <c r="F139" s="2" t="n">
        <v>4</v>
      </c>
    </row>
    <row r="140">
      <c r="A140" s="2">
        <f>Summary!A40</f>
        <v/>
      </c>
      <c r="B140" s="2">
        <f>IF(C52&gt;0,"YES","NO")</f>
        <v/>
      </c>
      <c r="C140" s="14">
        <f t="array" ref="C141">IF(C52=0,"-",_xlfn.TEXTJOIN(", ",TRUE,IF(Summary!$B$40:$AB$40="Passed on test",Summary!$B$1:$AB$1,"")))</f>
        <v/>
      </c>
      <c r="D140" s="2">
        <f>C52</f>
        <v/>
      </c>
      <c r="E140" s="2">
        <f>B52</f>
        <v/>
      </c>
      <c r="F140" s="2" t="n">
        <v>4</v>
      </c>
    </row>
    <row r="141">
      <c r="A141" s="2">
        <f>Summary!A41</f>
        <v/>
      </c>
      <c r="B141" s="2">
        <f>IF(C53&gt;0,"YES","NO")</f>
        <v/>
      </c>
      <c r="C141" s="14">
        <f t="array" ref="C142">IF(C53=0,"-",_xlfn.TEXTJOIN(", ",TRUE,IF(Summary!$B$41:$AB$41="Passed on test",Summary!$B$1:$AB$1,"")))</f>
        <v/>
      </c>
      <c r="D141" s="2">
        <f>C53</f>
        <v/>
      </c>
      <c r="E141" s="2">
        <f>B53</f>
        <v/>
      </c>
      <c r="F141" s="2" t="n">
        <v>4</v>
      </c>
    </row>
    <row r="142">
      <c r="A142" s="2">
        <f>Summary!A42</f>
        <v/>
      </c>
      <c r="B142" s="2">
        <f>IF(C54&gt;0,"YES","NO")</f>
        <v/>
      </c>
      <c r="C142" s="14">
        <f t="array" ref="C143">IF(C54=0,"-",_xlfn.TEXTJOIN(", ",TRUE,IF(Summary!$B$42:$AB$42="Passed on test",Summary!$B$1:$AB$1,"")))</f>
        <v/>
      </c>
      <c r="D142" s="2">
        <f>C54</f>
        <v/>
      </c>
      <c r="E142" s="2">
        <f>B54</f>
        <v/>
      </c>
      <c r="F142" s="2" t="n">
        <v>5</v>
      </c>
    </row>
    <row r="143">
      <c r="A143" s="2">
        <f>Summary!A43</f>
        <v/>
      </c>
      <c r="B143" s="2">
        <f>IF(C55&gt;0,"YES","NO")</f>
        <v/>
      </c>
      <c r="C143" s="14">
        <f t="array" ref="C144">IF(C55=0,"-",_xlfn.TEXTJOIN(", ",TRUE,IF(Summary!$B$43:$AB$43="Passed on test",Summary!$B$1:$AB$1,"")))</f>
        <v/>
      </c>
      <c r="D143" s="2">
        <f>C55</f>
        <v/>
      </c>
      <c r="E143" s="2">
        <f>B55</f>
        <v/>
      </c>
      <c r="F143" s="2" t="n">
        <v>5</v>
      </c>
    </row>
    <row r="144">
      <c r="A144" s="2">
        <f>Summary!A44</f>
        <v/>
      </c>
      <c r="B144" s="2">
        <f>IF(C56&gt;0,"YES","NO")</f>
        <v/>
      </c>
      <c r="C144" s="14">
        <f t="array" ref="C145">IF(C56=0,"-",_xlfn.TEXTJOIN(", ",TRUE,IF(Summary!$B$44:$AB$44="Passed on test",Summary!$B$1:$AB$1,"")))</f>
        <v/>
      </c>
      <c r="D144" s="2">
        <f>C56</f>
        <v/>
      </c>
      <c r="E144" s="2">
        <f>B56</f>
        <v/>
      </c>
      <c r="F144" s="2" t="n">
        <v>5</v>
      </c>
    </row>
    <row r="145">
      <c r="A145" s="2">
        <f>Summary!A45</f>
        <v/>
      </c>
      <c r="B145" s="2">
        <f>IF(C57&gt;0,"YES","NO")</f>
        <v/>
      </c>
      <c r="C145" s="14">
        <f t="array" ref="C146">IF(C57=0,"-",_xlfn.TEXTJOIN(", ",TRUE,IF(Summary!$B$45:$AB$45="Passed on test",Summary!$B$1:$AB$1,"")))</f>
        <v/>
      </c>
      <c r="D145" s="2">
        <f>C57</f>
        <v/>
      </c>
      <c r="E145" s="2">
        <f>B57</f>
        <v/>
      </c>
      <c r="F145" s="2" t="n">
        <v>5</v>
      </c>
    </row>
    <row r="146">
      <c r="A146" s="2">
        <f>Summary!A46</f>
        <v/>
      </c>
      <c r="B146" s="2">
        <f>IF(C58&gt;0,"YES","NO")</f>
        <v/>
      </c>
      <c r="C146" s="14">
        <f t="array" ref="C147">IF(C58=0,"-",_xlfn.TEXTJOIN(", ",TRUE,IF(Summary!$B$46:$AB$46="Passed on test",Summary!$B$1:$AB$1,"")))</f>
        <v/>
      </c>
      <c r="D146" s="2">
        <f>C58</f>
        <v/>
      </c>
      <c r="E146" s="2">
        <f>B58</f>
        <v/>
      </c>
      <c r="F146" s="2" t="n">
        <v>5</v>
      </c>
    </row>
    <row r="147">
      <c r="A147" s="2">
        <f>Summary!A47</f>
        <v/>
      </c>
      <c r="B147" s="2">
        <f>IF(C59&gt;0,"YES","NO")</f>
        <v/>
      </c>
      <c r="C147" s="14">
        <f t="array" ref="C148">IF(C59=0,"-",_xlfn.TEXTJOIN(", ",TRUE,IF(Summary!$B$47:$AB$47="Passed on test",Summary!$B$1:$AB$1,"")))</f>
        <v/>
      </c>
      <c r="D147" s="2">
        <f>C59</f>
        <v/>
      </c>
      <c r="E147" s="2">
        <f>B59</f>
        <v/>
      </c>
      <c r="F147" s="2" t="n">
        <v>5</v>
      </c>
    </row>
    <row r="148">
      <c r="A148" s="2">
        <f>Summary!A48</f>
        <v/>
      </c>
      <c r="B148" s="2">
        <f>IF(C60&gt;0,"YES","NO")</f>
        <v/>
      </c>
      <c r="C148" s="14">
        <f t="array" ref="C149">IF(C60=0,"-",_xlfn.TEXTJOIN(", ",TRUE,IF(Summary!$B$48:$AB$48="Passed on test",Summary!$B$1:$AB$1,"")))</f>
        <v/>
      </c>
      <c r="D148" s="2">
        <f>C60</f>
        <v/>
      </c>
      <c r="E148" s="2">
        <f>B60</f>
        <v/>
      </c>
      <c r="F148" s="2" t="n">
        <v>5</v>
      </c>
    </row>
    <row r="149">
      <c r="A149" s="2">
        <f>Summary!A49</f>
        <v/>
      </c>
      <c r="B149" s="2">
        <f>IF(C61&gt;0,"YES","NO")</f>
        <v/>
      </c>
      <c r="C149" s="14">
        <f t="array" ref="C150">IF(C61=0,"-",_xlfn.TEXTJOIN(", ",TRUE,IF(Summary!$B$49:$AB$49="Passed on test",Summary!$B$1:$AB$1,"")))</f>
        <v/>
      </c>
      <c r="D149" s="2">
        <f>C61</f>
        <v/>
      </c>
      <c r="E149" s="2">
        <f>B61</f>
        <v/>
      </c>
      <c r="F149" s="2" t="n">
        <v>5</v>
      </c>
    </row>
    <row r="150">
      <c r="A150" s="2">
        <f>Summary!A50</f>
        <v/>
      </c>
      <c r="B150" s="2">
        <f>IF(C62&gt;0,"YES","NO")</f>
        <v/>
      </c>
      <c r="C150" s="14">
        <f t="array" ref="C151">IF(C62=0,"-",_xlfn.TEXTJOIN(", ",TRUE,IF(Summary!$B$50:$AB$50="Passed on test",Summary!$B$1:$AB$1,"")))</f>
        <v/>
      </c>
      <c r="D150" s="2">
        <f>C62</f>
        <v/>
      </c>
      <c r="E150" s="2">
        <f>B62</f>
        <v/>
      </c>
      <c r="F150" s="2" t="n">
        <v>5</v>
      </c>
    </row>
    <row r="151">
      <c r="A151" s="2">
        <f>Summary!A51</f>
        <v/>
      </c>
      <c r="B151" s="2">
        <f>IF(C63&gt;0,"YES","NO")</f>
        <v/>
      </c>
      <c r="C151" s="14">
        <f t="array" ref="C152">IF(C63=0,"-",_xlfn.TEXTJOIN(", ",TRUE,IF(Summary!$B$51:$AB$51="Passed on test",Summary!$B$1:$AB$1,"")))</f>
        <v/>
      </c>
      <c r="D151" s="2">
        <f>C63</f>
        <v/>
      </c>
      <c r="E151" s="2">
        <f>B63</f>
        <v/>
      </c>
      <c r="F151" s="2" t="n">
        <v>5</v>
      </c>
    </row>
    <row r="152">
      <c r="A152" s="2">
        <f>Summary!A52</f>
        <v/>
      </c>
      <c r="B152" s="2">
        <f>IF(C64&gt;0,"YES","NO")</f>
        <v/>
      </c>
      <c r="C152" s="14">
        <f t="array" ref="C153">IF(C64=0,"-",_xlfn.TEXTJOIN(", ",TRUE,IF(Summary!$B$52:$AB$52="Passed on test",Summary!$B$1:$AB$1,"")))</f>
        <v/>
      </c>
      <c r="D152" s="2">
        <f>C64</f>
        <v/>
      </c>
      <c r="E152" s="2">
        <f>B64</f>
        <v/>
      </c>
      <c r="F152" s="2" t="n">
        <v>6</v>
      </c>
    </row>
    <row r="153">
      <c r="A153" s="2">
        <f>Summary!A53</f>
        <v/>
      </c>
      <c r="B153" s="2">
        <f>IF(C65&gt;0,"YES","NO")</f>
        <v/>
      </c>
      <c r="C153" s="14">
        <f t="array" ref="C154">IF(C65=0,"-",_xlfn.TEXTJOIN(", ",TRUE,IF(Summary!$B$53:$AB$53="Passed on test",Summary!$B$1:$AB$1,"")))</f>
        <v/>
      </c>
      <c r="D153" s="2">
        <f>C65</f>
        <v/>
      </c>
      <c r="E153" s="2">
        <f>B65</f>
        <v/>
      </c>
      <c r="F153" s="2" t="n">
        <v>6</v>
      </c>
    </row>
    <row r="154">
      <c r="A154" s="2">
        <f>Summary!A54</f>
        <v/>
      </c>
      <c r="B154" s="2">
        <f>IF(C66&gt;0,"YES","NO")</f>
        <v/>
      </c>
      <c r="C154" s="14">
        <f t="array" ref="C155">IF(C66=0,"-",_xlfn.TEXTJOIN(", ",TRUE,IF(Summary!$B$54:$AB$54="Passed on test",Summary!$B$1:$AB$1,"")))</f>
        <v/>
      </c>
      <c r="D154" s="2">
        <f>C66</f>
        <v/>
      </c>
      <c r="E154" s="2">
        <f>B66</f>
        <v/>
      </c>
      <c r="F154" s="2" t="n">
        <v>6</v>
      </c>
    </row>
    <row r="155">
      <c r="A155" s="2">
        <f>Summary!A55</f>
        <v/>
      </c>
      <c r="B155" s="2">
        <f>IF(C67&gt;0,"YES","NO")</f>
        <v/>
      </c>
      <c r="C155" s="14">
        <f t="array" ref="C156">IF(C67=0,"-",_xlfn.TEXTJOIN(", ",TRUE,IF(Summary!$B$55:$AB$55="Passed on test",Summary!$B$1:$AB$1,"")))</f>
        <v/>
      </c>
      <c r="D155" s="2">
        <f>C67</f>
        <v/>
      </c>
      <c r="E155" s="2">
        <f>B67</f>
        <v/>
      </c>
      <c r="F155" s="2" t="n">
        <v>6</v>
      </c>
    </row>
    <row r="156">
      <c r="A156" s="2">
        <f>Summary!A56</f>
        <v/>
      </c>
      <c r="B156" s="2">
        <f>IF(C68&gt;0,"YES","NO")</f>
        <v/>
      </c>
      <c r="C156" s="14">
        <f t="array" ref="C157">IF(C68=0,"-",_xlfn.TEXTJOIN(", ",TRUE,IF(Summary!$B$56:$AB$56="Passed on test",Summary!$B$1:$AB$1,"")))</f>
        <v/>
      </c>
      <c r="D156" s="2">
        <f>C68</f>
        <v/>
      </c>
      <c r="E156" s="2">
        <f>B68</f>
        <v/>
      </c>
      <c r="F156" s="2" t="n">
        <v>6</v>
      </c>
    </row>
    <row r="157">
      <c r="A157" s="2">
        <f>Summary!A57</f>
        <v/>
      </c>
      <c r="B157" s="2">
        <f>IF(C69&gt;0,"YES","NO")</f>
        <v/>
      </c>
      <c r="C157" s="14">
        <f t="array" ref="C158">IF(C69=0,"-",_xlfn.TEXTJOIN(", ",TRUE,IF(Summary!$B$57:$AB$57="Passed on test",Summary!$B$1:$AB$1,"")))</f>
        <v/>
      </c>
      <c r="D157" s="2">
        <f>C69</f>
        <v/>
      </c>
      <c r="E157" s="2">
        <f>B69</f>
        <v/>
      </c>
      <c r="F157" s="2" t="n">
        <v>6</v>
      </c>
    </row>
    <row r="158">
      <c r="A158" s="2">
        <f>Summary!A58</f>
        <v/>
      </c>
      <c r="B158" s="2">
        <f>IF(C70&gt;0,"YES","NO")</f>
        <v/>
      </c>
      <c r="C158" s="14">
        <f t="array" ref="C159">IF(C70=0,"-",_xlfn.TEXTJOIN(", ",TRUE,IF(Summary!$B$58:$AB$58="Passed on test",Summary!$B$1:$AB$1,"")))</f>
        <v/>
      </c>
      <c r="D158" s="2">
        <f>C70</f>
        <v/>
      </c>
      <c r="E158" s="2">
        <f>B70</f>
        <v/>
      </c>
      <c r="F158" s="2" t="n">
        <v>6</v>
      </c>
    </row>
    <row r="159">
      <c r="A159" s="2">
        <f>Summary!A59</f>
        <v/>
      </c>
      <c r="B159" s="2">
        <f>IF(C71&gt;0,"YES","NO")</f>
        <v/>
      </c>
      <c r="C159" s="14">
        <f t="array" ref="C160">IF(C71=0,"-",_xlfn.TEXTJOIN(", ",TRUE,IF(Summary!$B$59:$AB$59="Passed on test",Summary!$B$1:$AB$1,"")))</f>
        <v/>
      </c>
      <c r="D159" s="2">
        <f>C71</f>
        <v/>
      </c>
      <c r="E159" s="2">
        <f>B71</f>
        <v/>
      </c>
      <c r="F159" s="2" t="n">
        <v>6</v>
      </c>
    </row>
    <row r="160">
      <c r="A160" s="2">
        <f>Summary!A60</f>
        <v/>
      </c>
      <c r="B160" s="2">
        <f>IF(C72&gt;0,"YES","NO")</f>
        <v/>
      </c>
      <c r="C160" s="14">
        <f t="array" ref="C161">IF(C72=0,"-",_xlfn.TEXTJOIN(", ",TRUE,IF(Summary!$B$60:$AB$60="Passed on test",Summary!$B$1:$AB$1,"")))</f>
        <v/>
      </c>
      <c r="D160" s="2">
        <f>C72</f>
        <v/>
      </c>
      <c r="E160" s="2">
        <f>B72</f>
        <v/>
      </c>
      <c r="F160" s="2" t="n">
        <v>6</v>
      </c>
    </row>
    <row r="161">
      <c r="A161" s="2">
        <f>Summary!A61</f>
        <v/>
      </c>
      <c r="B161" s="2">
        <f>IF(C73&gt;0,"YES","NO")</f>
        <v/>
      </c>
      <c r="C161" s="14">
        <f t="array" ref="C162">IF(C73=0,"-",_xlfn.TEXTJOIN(", ",TRUE,IF(Summary!$B$61:$AB$61="Passed on test",Summary!$B$1:$AB$1,"")))</f>
        <v/>
      </c>
      <c r="D161" s="2">
        <f>C73</f>
        <v/>
      </c>
      <c r="E161" s="2">
        <f>B73</f>
        <v/>
      </c>
      <c r="F161" s="2" t="n">
        <v>6</v>
      </c>
    </row>
    <row r="162">
      <c r="A162" s="2">
        <f>Summary!A62</f>
        <v/>
      </c>
      <c r="B162" s="2">
        <f>IF(C74&gt;0,"YES","NO")</f>
        <v/>
      </c>
      <c r="C162" s="14">
        <f t="array" ref="C163">IF(C74=0,"-",_xlfn.TEXTJOIN(", ",TRUE,IF(Summary!$B$62:$AB$62="Passed on test",Summary!$B$1:$AB$1,"")))</f>
        <v/>
      </c>
      <c r="D162" s="2">
        <f>C74</f>
        <v/>
      </c>
      <c r="E162" s="2">
        <f>B74</f>
        <v/>
      </c>
      <c r="F162" s="2" t="n">
        <v>7</v>
      </c>
    </row>
    <row r="163">
      <c r="A163" s="2">
        <f>Summary!A63</f>
        <v/>
      </c>
      <c r="B163" s="2">
        <f>IF(C75&gt;0,"YES","NO")</f>
        <v/>
      </c>
      <c r="C163" s="14">
        <f t="array" ref="C164">IF(C75=0,"-",_xlfn.TEXTJOIN(", ",TRUE,IF(Summary!$B$63:$AB$63="Passed on test",Summary!$B$1:$AB$1,"")))</f>
        <v/>
      </c>
      <c r="D163" s="2">
        <f>C75</f>
        <v/>
      </c>
      <c r="E163" s="2">
        <f>B75</f>
        <v/>
      </c>
      <c r="F163" s="2" t="n">
        <v>7</v>
      </c>
    </row>
    <row r="164">
      <c r="A164" s="2">
        <f>Summary!A64</f>
        <v/>
      </c>
      <c r="B164" s="2">
        <f>IF(C76&gt;0,"YES","NO")</f>
        <v/>
      </c>
      <c r="C164" s="14">
        <f t="array" ref="C165">IF(C76=0,"-",_xlfn.TEXTJOIN(", ",TRUE,IF(Summary!$B$64:$AB$64="Passed on test",Summary!$B$1:$AB$1,"")))</f>
        <v/>
      </c>
      <c r="D164" s="2">
        <f>C76</f>
        <v/>
      </c>
      <c r="E164" s="2">
        <f>B76</f>
        <v/>
      </c>
      <c r="F164" s="2" t="n">
        <v>7</v>
      </c>
    </row>
    <row r="165">
      <c r="A165" s="2">
        <f>Summary!A65</f>
        <v/>
      </c>
      <c r="B165" s="2">
        <f>IF(C77&gt;0,"YES","NO")</f>
        <v/>
      </c>
      <c r="C165" s="14">
        <f t="array" ref="C166">IF(C77=0,"-",_xlfn.TEXTJOIN(", ",TRUE,IF(Summary!$B$65:$AB$65="Passed on test",Summary!$B$1:$AB$1,"")))</f>
        <v/>
      </c>
      <c r="D165" s="2">
        <f>C77</f>
        <v/>
      </c>
      <c r="E165" s="2">
        <f>B77</f>
        <v/>
      </c>
      <c r="F165" s="2" t="n">
        <v>7</v>
      </c>
    </row>
    <row r="166">
      <c r="A166" s="2">
        <f>Summary!A66</f>
        <v/>
      </c>
      <c r="B166" s="2">
        <f>IF(C78&gt;0,"YES","NO")</f>
        <v/>
      </c>
      <c r="C166" s="14">
        <f t="array" ref="C167">IF(C78=0,"-",_xlfn.TEXTJOIN(", ",TRUE,IF(Summary!$B$66:$AB$66="Passed on test",Summary!$B$1:$AB$1,"")))</f>
        <v/>
      </c>
      <c r="D166" s="2">
        <f>C78</f>
        <v/>
      </c>
      <c r="E166" s="2">
        <f>B78</f>
        <v/>
      </c>
      <c r="F166" s="2" t="n">
        <v>7</v>
      </c>
    </row>
    <row r="167">
      <c r="A167" s="2">
        <f>Summary!A67</f>
        <v/>
      </c>
      <c r="B167" s="2">
        <f>IF(C79&gt;0,"YES","NO")</f>
        <v/>
      </c>
      <c r="C167" s="14">
        <f t="array" ref="C168">IF(C79=0,"-",_xlfn.TEXTJOIN(", ",TRUE,IF(Summary!$B$67:$AB$67="Passed on test",Summary!$B$1:$AB$1,"")))</f>
        <v/>
      </c>
      <c r="D167" s="2">
        <f>C79</f>
        <v/>
      </c>
      <c r="E167" s="2">
        <f>B79</f>
        <v/>
      </c>
      <c r="F167" s="2" t="n">
        <v>7</v>
      </c>
    </row>
    <row r="168">
      <c r="A168" s="2">
        <f>Summary!A68</f>
        <v/>
      </c>
      <c r="B168" s="2">
        <f>IF(C80&gt;0,"YES","NO")</f>
        <v/>
      </c>
      <c r="C168" s="14">
        <f t="array" ref="C169">IF(C80=0,"-",_xlfn.TEXTJOIN(", ",TRUE,IF(Summary!$B$68:$AB$68="Passed on test",Summary!$B$1:$AB$1,"")))</f>
        <v/>
      </c>
      <c r="D168" s="2">
        <f>C80</f>
        <v/>
      </c>
      <c r="E168" s="2">
        <f>B80</f>
        <v/>
      </c>
      <c r="F168" s="2" t="n">
        <v>7</v>
      </c>
    </row>
    <row r="169">
      <c r="A169" s="2">
        <f>Summary!A69</f>
        <v/>
      </c>
      <c r="B169" s="2">
        <f>IF(C81&gt;0,"YES","NO")</f>
        <v/>
      </c>
      <c r="C169" s="14">
        <f t="array" ref="C170">IF(C81=0,"-",_xlfn.TEXTJOIN(", ",TRUE,IF(Summary!$B$69:$AB$69="Passed on test",Summary!$B$1:$AB$1,"")))</f>
        <v/>
      </c>
      <c r="D169" s="2">
        <f>C81</f>
        <v/>
      </c>
      <c r="E169" s="2">
        <f>B81</f>
        <v/>
      </c>
      <c r="F169" s="2" t="n">
        <v>8</v>
      </c>
    </row>
    <row r="170">
      <c r="A170" s="2">
        <f>Summary!A70</f>
        <v/>
      </c>
      <c r="B170" s="2">
        <f>IF(C82&gt;0,"YES","NO")</f>
        <v/>
      </c>
      <c r="C170" s="14">
        <f t="array" ref="C171">IF(C82=0,"-",_xlfn.TEXTJOIN(", ",TRUE,IF(Summary!$B$70:$AB$70="Passed on test",Summary!$B$1:$AB$1,"")))</f>
        <v/>
      </c>
      <c r="D170" s="2">
        <f>C82</f>
        <v/>
      </c>
      <c r="E170" s="2">
        <f>B82</f>
        <v/>
      </c>
      <c r="F170" s="2" t="n">
        <v>8</v>
      </c>
    </row>
    <row r="171">
      <c r="A171" s="2">
        <f>Summary!A71</f>
        <v/>
      </c>
      <c r="B171" s="2">
        <f>IF(C83&gt;0,"YES","NO")</f>
        <v/>
      </c>
      <c r="C171" s="14">
        <f t="array" ref="C172">IF(C83=0,"-",_xlfn.TEXTJOIN(", ",TRUE,IF(Summary!$B$71:$AB$71="Passed on test",Summary!$B$1:$AB$1,"")))</f>
        <v/>
      </c>
      <c r="D171" s="2">
        <f>C83</f>
        <v/>
      </c>
      <c r="E171" s="2">
        <f>B83</f>
        <v/>
      </c>
      <c r="F171" s="2" t="n">
        <v>8</v>
      </c>
    </row>
    <row r="172">
      <c r="A172" s="2">
        <f>Summary!A72</f>
        <v/>
      </c>
      <c r="B172" s="2">
        <f>IF(C84&gt;0,"YES","NO")</f>
        <v/>
      </c>
      <c r="C172" s="14">
        <f t="array" ref="C173">IF(C84=0,"-",_xlfn.TEXTJOIN(", ",TRUE,IF(Summary!$B$72:$AB$72="Passed on test",Summary!$B$1:$AB$1,"")))</f>
        <v/>
      </c>
      <c r="D172" s="2">
        <f>C84</f>
        <v/>
      </c>
      <c r="E172" s="2">
        <f>B84</f>
        <v/>
      </c>
      <c r="F172" s="2" t="n">
        <v>8</v>
      </c>
    </row>
    <row r="173">
      <c r="A173" s="2">
        <f>Summary!A73</f>
        <v/>
      </c>
      <c r="B173" s="2">
        <f>IF(C85&gt;0,"YES","NO")</f>
        <v/>
      </c>
      <c r="C173" s="14">
        <f t="array" ref="C174">IF(C85=0,"-",_xlfn.TEXTJOIN(", ",TRUE,IF(Summary!$B$73:$AB$73="Passed on test",Summary!$B$1:$AB$1,"")))</f>
        <v/>
      </c>
      <c r="D173" s="2">
        <f>C85</f>
        <v/>
      </c>
      <c r="E173" s="2">
        <f>B85</f>
        <v/>
      </c>
      <c r="F173" s="2" t="n">
        <v>8</v>
      </c>
    </row>
    <row r="174">
      <c r="A174" s="2" t="n"/>
      <c r="B174" s="2" t="n"/>
      <c r="C174" s="14" t="n"/>
      <c r="D174" s="2" t="n"/>
      <c r="E174" s="2" t="n"/>
      <c r="F174" s="2" t="n"/>
    </row>
    <row r="175">
      <c r="A175" s="2" t="n"/>
      <c r="B175" s="2" t="n"/>
      <c r="C175" s="14" t="n"/>
      <c r="D175" s="2" t="n"/>
      <c r="E175" s="2" t="n"/>
      <c r="F175" s="2" t="n"/>
    </row>
    <row r="176">
      <c r="A176">
        <f>IF(B99=0,"Every case passed on either all or none of its versions, so the at-least-one count equals the strict count.","Some cases passed on only part of their versions; see the table above.")</f>
        <v/>
      </c>
    </row>
    <row r="177"/>
    <row r="178">
      <c r="A178" s="7" t="inlineStr">
        <is>
          <t>5. Notes: every case, its versions and what happened</t>
        </is>
      </c>
    </row>
    <row r="179">
      <c r="A179" s="1" t="inlineStr">
        <is>
          <t>Result</t>
        </is>
      </c>
      <c r="B179" s="1" t="inlineStr">
        <is>
          <t>Case</t>
        </is>
      </c>
      <c r="C179" s="1" t="inlineStr">
        <is>
          <t>Versions</t>
        </is>
      </c>
      <c r="D179" s="1" t="inlineStr">
        <is>
          <t># versions</t>
        </is>
      </c>
      <c r="E179" s="1" t="inlineStr">
        <is>
          <t>Error type</t>
        </is>
      </c>
      <c r="F179" s="1" t="inlineStr">
        <is>
          <t>Error message (last traceback line)</t>
        </is>
      </c>
      <c r="G179" s="1" t="inlineStr">
        <is>
          <t>What happened (plain English)</t>
        </is>
      </c>
      <c r="H179" s="1" t="inlineStr">
        <is>
          <t>Batch</t>
        </is>
      </c>
    </row>
    <row r="180">
      <c r="A180" s="15" t="inlineStr">
        <is>
          <t>Passed on test</t>
        </is>
      </c>
      <c r="B180" s="14" t="inlineStr">
        <is>
          <t>issue_009</t>
        </is>
      </c>
      <c r="C180" s="14" t="inlineStr">
        <is>
          <t>0.45.0, 0.45.1, 0.45.2, 0.45.3, 0.46.0, 0.46.1, 0.46.2, 0.46.3</t>
        </is>
      </c>
      <c r="D180" s="14" t="n">
        <v>8</v>
      </c>
      <c r="E180" s="14" t="n"/>
      <c r="F180" s="14" t="n"/>
      <c r="G180" s="14" t="inlineStr">
        <is>
          <t>The LLM ran CSPLayout explicitly through a PassManager and passed the layout it found to transpile() as initial_layout, instead of the invalid layout_method='csp_layout'. gpt-5.6-luna tried the same pass by hand but applied it with ApplyLayout, which rejects a 3-qubit layout on a 5-qubit backend; handing the layout to transpile() lets it add the ancillas itself.</t>
        </is>
      </c>
      <c r="H180" s="14" t="n">
        <v>1</v>
      </c>
    </row>
    <row r="181">
      <c r="A181" s="15" t="inlineStr">
        <is>
          <t>Passed on test</t>
        </is>
      </c>
      <c r="B181" s="14" t="inlineStr">
        <is>
          <t>issue_021_se</t>
        </is>
      </c>
      <c r="C181" s="14" t="inlineStr">
        <is>
          <t>0.25.0, 0.25.1, 0.25.2, 0.25.3, 0.45.0, 0.45.1, 0.45.2, 0.45.3, 0.46.0, 0.46.1, 0.46.2, 0.46.3</t>
        </is>
      </c>
      <c r="D181" s="14" t="n">
        <v>12</v>
      </c>
      <c r="E181" s="14" t="n"/>
      <c r="F181" s="14" t="n"/>
      <c r="G181" s="14" t="inlineStr">
        <is>
          <t>The LLM called assemble(transpile(circuit, svsim)), which fully unrolls both the custom CNOTNOT gate and initialize into instructions Aer supports. Both luna models used circuit.decompose(), which only expands one level and leaves disentangler_dg / state_preparation, so they crashed.</t>
        </is>
      </c>
      <c r="H181" s="14" t="n">
        <v>1</v>
      </c>
    </row>
    <row r="182">
      <c r="A182" s="15" t="inlineStr">
        <is>
          <t>Passed on test</t>
        </is>
      </c>
      <c r="B182" s="14" t="inlineStr">
        <is>
          <t>issue_032_se</t>
        </is>
      </c>
      <c r="C182" s="14" t="inlineStr">
        <is>
          <t>0.25.0, 0.25.1, 0.25.2, 0.25.3</t>
        </is>
      </c>
      <c r="D182" s="14" t="n">
        <v>4</v>
      </c>
      <c r="E182" s="14" t="n"/>
      <c r="F182" s="14" t="n"/>
      <c r="G182" s="14" t="inlineStr">
        <is>
          <t>The LLM imported iSwapGate and passed iSwapGate() as entanglement_blocks instead of the unrecognised string 'iswap' (same code as both luna models).</t>
        </is>
      </c>
      <c r="H182" s="14" t="n">
        <v>1</v>
      </c>
    </row>
    <row r="183">
      <c r="A183" s="15" t="inlineStr">
        <is>
          <t>Passed on test</t>
        </is>
      </c>
      <c r="B183" s="14" t="inlineStr">
        <is>
          <t>issue_034</t>
        </is>
      </c>
      <c r="C183" s="14" t="inlineStr">
        <is>
          <t>1.0.0, 1.0.1, 1.0.2, 1.1.0, 1.1.1, 1.1.2, 1.2.0, 1.2.1, 1.2.2, 1.2.4, 2.0.0, 2.2.0, 2.3.0, 2.4.0, 2.5.0</t>
        </is>
      </c>
      <c r="D183" s="14" t="n">
        <v>15</v>
      </c>
      <c r="E183" s="14" t="n"/>
      <c r="F183" s="14" t="n"/>
      <c r="G183" s="14" t="inlineStr">
        <is>
          <t>The LLM imported Aer from qiskit_aer instead of qiskit, where it no longer exists (same code as both luna models).</t>
        </is>
      </c>
      <c r="H183" s="14" t="n">
        <v>1</v>
      </c>
    </row>
    <row r="184">
      <c r="A184" s="15" t="inlineStr">
        <is>
          <t>Passed on test</t>
        </is>
      </c>
      <c r="B184" s="14" t="inlineStr">
        <is>
          <t>issue_036</t>
        </is>
      </c>
      <c r="C184" s="14" t="inlineStr">
        <is>
          <t>1.0.0, 1.0.1, 1.0.2, 1.1.0, 1.1.1, 1.1.2, 1.2.0, 1.2.1, 1.2.2, 1.2.4, 2.0.0, 2.2.0, 2.3.0, 2.4.0, 2.5.0</t>
        </is>
      </c>
      <c r="D184" s="14" t="n">
        <v>15</v>
      </c>
      <c r="E184" s="14" t="n"/>
      <c r="F184" s="14" t="n"/>
      <c r="G184" s="14" t="inlineStr">
        <is>
          <t>The LLM imported qiskit.qasm2 and replaced the removed QuantumCircuit.qasm() with qiskit.qasm2.dumps(c).</t>
        </is>
      </c>
      <c r="H184" s="14" t="n">
        <v>1</v>
      </c>
    </row>
    <row r="185">
      <c r="A185" s="15" t="inlineStr">
        <is>
          <t>Passed on test</t>
        </is>
      </c>
      <c r="B185" s="14" t="inlineStr">
        <is>
          <t>issue_058_se</t>
        </is>
      </c>
      <c r="C185" s="14" t="inlineStr">
        <is>
          <t>0.25.0, 0.25.1, 0.25.2, 0.25.3, 0.45.0, 0.45.1, 0.45.2, 0.45.3, 0.46.0, 0.46.1, 0.46.2, 0.46.3</t>
        </is>
      </c>
      <c r="D185" s="14" t="n">
        <v>12</v>
      </c>
      <c r="E185" s="14" t="n"/>
      <c r="F185" s="14" t="n"/>
      <c r="G185" s="14" t="inlineStr">
        <is>
          <t>The LLM transpiled the circuit for the backend before backend.run(), so the custom diffuser gate is decomposed into gates Aer supports (same code as gpt-6-luna).</t>
        </is>
      </c>
      <c r="H185" s="14" t="n">
        <v>1</v>
      </c>
    </row>
    <row r="186">
      <c r="A186" s="15" t="inlineStr">
        <is>
          <t>Passed on test</t>
        </is>
      </c>
      <c r="B186" s="14" t="inlineStr">
        <is>
          <t>issue_061</t>
        </is>
      </c>
      <c r="C186" s="14" t="inlineStr">
        <is>
          <t>1.0.0, 1.0.1, 1.0.2, 1.1.0, 1.1.1, 1.1.2, 1.2.0, 1.2.1, 1.2.2, 1.2.4, 2.0.0, 2.2.0, 2.3.0, 2.4.0, 2.5.0</t>
        </is>
      </c>
      <c r="D186" s="14" t="n">
        <v>15</v>
      </c>
      <c r="E186" s="14" t="n"/>
      <c r="F186" s="14" t="n"/>
      <c r="G186" s="14" t="inlineStr">
        <is>
          <t>The LLM read the register and register-local index through qc.find_bit(qbit).registers[0] instead of the removed Bit.register / Bit.index attributes (same code as gpt-5.6-luna).</t>
        </is>
      </c>
      <c r="H186" s="14" t="n">
        <v>1</v>
      </c>
    </row>
    <row r="187">
      <c r="A187" s="15" t="inlineStr">
        <is>
          <t>Passed on test</t>
        </is>
      </c>
      <c r="B187" s="14" t="inlineStr">
        <is>
          <t>issue_072</t>
        </is>
      </c>
      <c r="C187" s="14" t="inlineStr">
        <is>
          <t>0.25.0, 0.25.1, 0.25.2, 0.25.3</t>
        </is>
      </c>
      <c r="D187" s="14" t="n">
        <v>4</v>
      </c>
      <c r="E187" s="14" t="n"/>
      <c r="F187" s="14" t="n"/>
      <c r="G187" s="14" t="inlineStr">
        <is>
          <t>Qreg[0] and qreg[5] were both mapped to physical qubit 12; the LLM mapped qreg[5] to the unused qubit 15, so the initial layout is valid (same code as both luna models).</t>
        </is>
      </c>
      <c r="H187" s="14" t="n">
        <v>1</v>
      </c>
    </row>
    <row r="188">
      <c r="A188" s="16" t="inlineStr">
        <is>
          <t>Failed on test</t>
        </is>
      </c>
      <c r="B188" s="14" t="inlineStr">
        <is>
          <t>issue_096</t>
        </is>
      </c>
      <c r="C188" s="14" t="inlineStr">
        <is>
          <t>0.25.0, 0.25.1, 0.25.2, 0.25.3, 0.45.0, 0.45.1, 0.45.2, 0.45.3, 0.46.0, 0.46.1, 0.46.2, 0.46.3, 1.0.0, 1.0.1, 1.0.2, 1.1.0, 1.1.1, 1.1.2, 1.2.0, 1.2.1, 1.2.2, 1.2.4, 2.0.0, 2.2.0, 2.3.0, 2.4.0, 2.5.0</t>
        </is>
      </c>
      <c r="D188" s="14" t="n">
        <v>27</v>
      </c>
      <c r="E188" s="14" t="inlineStr">
        <is>
          <t>AssertionError</t>
        </is>
      </c>
      <c r="F188" s="14" t="inlineStr">
        <is>
          <t>AssertionError: '' != '[default]\n'; AssertionError: False is not true : Missing ipython_kernel_config.py (even when the profile directory already exists)</t>
        </is>
      </c>
      <c r="G188" s="14" t="inlineStr">
        <is>
          <t>The LLM creates ~/.qiskit and opens settings.conf in a+ mode so a missing file is created empty, which stops the crash, but the test expects the file to contain a [default] section and the IPython profile's ipython_kernel_config.py to be created, which the fix does not do. Same problem as both luna models.</t>
        </is>
      </c>
      <c r="H188" s="14" t="n">
        <v>1</v>
      </c>
    </row>
    <row r="189">
      <c r="A189" s="15" t="inlineStr">
        <is>
          <t>Passed on test</t>
        </is>
      </c>
      <c r="B189" s="14" t="inlineStr">
        <is>
          <t>issue_155</t>
        </is>
      </c>
      <c r="C189" s="14" t="inlineStr">
        <is>
          <t>0.45.0, 0.45.1, 0.45.2, 0.45.3, 0.46.0, 0.46.1, 0.46.2, 0.46.3</t>
        </is>
      </c>
      <c r="D189" s="14" t="n">
        <v>8</v>
      </c>
      <c r="E189" s="14" t="n"/>
      <c r="F189" s="14" t="n"/>
      <c r="G189" s="14" t="inlineStr">
        <is>
          <t>Error on 0.25.x, passed on 0.45.x / 0.46.x: the LLM turned the traced-out registers into qubit indices with qc.find_bit(qubit).index, which is correct but QuantumCircuit.find_bit() doesn't exist yet in Qiskit 0.25 (AttributeError). Same approach as gpt-6-luna; gpt-5.6-luna used qc.qubits.index() and passed on all 12 versions.</t>
        </is>
      </c>
      <c r="H189" s="14" t="n">
        <v>2</v>
      </c>
    </row>
    <row r="190">
      <c r="A190" s="17" t="inlineStr">
        <is>
          <t>Runtime error</t>
        </is>
      </c>
      <c r="B190" s="14" t="inlineStr">
        <is>
          <t>issue_155</t>
        </is>
      </c>
      <c r="C190" s="14" t="inlineStr">
        <is>
          <t>0.25.0, 0.25.1, 0.25.2, 0.25.3</t>
        </is>
      </c>
      <c r="D190" s="14" t="n">
        <v>4</v>
      </c>
      <c r="E190" s="14" t="inlineStr">
        <is>
          <t>AttributeError</t>
        </is>
      </c>
      <c r="F190" s="14" t="inlineStr">
        <is>
          <t>AttributeError: 'QuantumCircuit' object has no attribute 'find_bit'</t>
        </is>
      </c>
      <c r="G190" s="14" t="inlineStr">
        <is>
          <t>Error on 0.25.x, passed on 0.45.x / 0.46.x: the LLM turned the traced-out registers into qubit indices with qc.find_bit(qubit).index, which is correct but QuantumCircuit.find_bit() doesn't exist yet in Qiskit 0.25 (AttributeError). Same approach as gpt-6-luna; gpt-5.6-luna used qc.qubits.index() and passed on all 12 versions.</t>
        </is>
      </c>
      <c r="H190" s="14" t="n">
        <v>2</v>
      </c>
    </row>
    <row r="191">
      <c r="A191" s="15" t="inlineStr">
        <is>
          <t>Passed on test</t>
        </is>
      </c>
      <c r="B191" s="14" t="inlineStr">
        <is>
          <t>issue_157</t>
        </is>
      </c>
      <c r="C191" s="14" t="inlineStr">
        <is>
          <t>0.45.0, 0.45.1, 0.45.2, 0.45.3, 0.46.0, 0.46.1, 0.46.2, 0.46.3</t>
        </is>
      </c>
      <c r="D191" s="14" t="n">
        <v>8</v>
      </c>
      <c r="E191" s="14" t="n"/>
      <c r="F191" s="14" t="n"/>
      <c r="G191" s="14" t="inlineStr">
        <is>
          <t>Error on 0.25.x, passed on 0.45.x / 0.46.x: the LLM replaced initialize() (which contains a non-unitary reset and can't be controlled) with prepare_state(), which is correct but doesn't exist yet in Qiskit 0.25 (AttributeError). Same code as gpt-6-luna.</t>
        </is>
      </c>
      <c r="H191" s="14" t="n">
        <v>2</v>
      </c>
    </row>
    <row r="192">
      <c r="A192" s="17" t="inlineStr">
        <is>
          <t>Runtime error</t>
        </is>
      </c>
      <c r="B192" s="14" t="inlineStr">
        <is>
          <t>issue_157</t>
        </is>
      </c>
      <c r="C192" s="14" t="inlineStr">
        <is>
          <t>0.25.0, 0.25.1, 0.25.2, 0.25.3</t>
        </is>
      </c>
      <c r="D192" s="14" t="n">
        <v>4</v>
      </c>
      <c r="E192" s="14" t="inlineStr">
        <is>
          <t>AttributeError</t>
        </is>
      </c>
      <c r="F192" s="14" t="inlineStr">
        <is>
          <t>AttributeError: 'QuantumCircuit' object has no attribute 'prepare_state'</t>
        </is>
      </c>
      <c r="G192" s="14" t="inlineStr">
        <is>
          <t>Error on 0.25.x, passed on 0.45.x / 0.46.x: the LLM replaced initialize() (which contains a non-unitary reset and can't be controlled) with prepare_state(), which is correct but doesn't exist yet in Qiskit 0.25 (AttributeError). Same code as gpt-6-luna.</t>
        </is>
      </c>
      <c r="H192" s="14" t="n">
        <v>2</v>
      </c>
    </row>
    <row r="193">
      <c r="A193" s="15" t="inlineStr">
        <is>
          <t>Passed on test</t>
        </is>
      </c>
      <c r="B193" s="14" t="inlineStr">
        <is>
          <t>issue_174</t>
        </is>
      </c>
      <c r="C193" s="14" t="inlineStr">
        <is>
          <t>0.25.0, 0.25.1, 0.25.2, 0.25.3, 0.45.0, 0.45.1, 0.45.2, 0.45.3, 0.46.0, 0.46.1, 0.46.2, 0.46.3</t>
        </is>
      </c>
      <c r="D193" s="14" t="n">
        <v>12</v>
      </c>
      <c r="E193" s="14" t="n"/>
      <c r="F193" s="14" t="n"/>
      <c r="G193" s="14" t="inlineStr">
        <is>
          <t>The LLM changed all six conditions to if (c==1), like the reference, and put its '# FIX:' comment above the QASM string. Both luna models made the same QASM change but put the comment inside the string, where '#' is not valid OpenQASM, so their fixes crashed.</t>
        </is>
      </c>
      <c r="H193" s="14" t="n">
        <v>2</v>
      </c>
    </row>
    <row r="194">
      <c r="A194" s="15" t="inlineStr">
        <is>
          <t>Failed on test</t>
        </is>
      </c>
      <c r="B194" s="14" t="inlineStr">
        <is>
          <t>issue_189</t>
        </is>
      </c>
      <c r="C194" s="14" t="inlineStr">
        <is>
          <t>0.45.0, 0.45.1, 0.45.2, 0.45.3, 0.46.0, 0.46.1, 0.46.2, 0.46.3, 1.0.0, 1.0.1, 1.0.2, 1.1.0, 1.1.1, 1.1.2, 1.2.0, 1.2.1, 1.2.2, 1.2.4, 2.0.0, 2.2.0, 2.3.0, 2.4.0, 2.5.0</t>
        </is>
      </c>
      <c r="D194" s="14" t="n">
        <v>23</v>
      </c>
      <c r="E194" s="14" t="inlineStr">
        <is>
          <t>AssertionError</t>
        </is>
      </c>
      <c r="F194" s="14" t="inlineStr">
        <is>
          <t>AssertionError: Lists differ: [2, 3, 4, 5, 6, 7, 8] != [0, 3, 4, 5, 6, 7, 8]</t>
        </is>
      </c>
      <c r="G194" s="14" t="inlineStr">
        <is>
          <t>Rescored 19 Oct 2026 on Nick's main test. gpt-6-astra 0 pass / 23 fail / 0 error.</t>
        </is>
      </c>
      <c r="H194" s="14" t="n">
        <v>2</v>
      </c>
    </row>
    <row r="195">
      <c r="A195" s="15" t="inlineStr">
        <is>
          <t>Passed on test</t>
        </is>
      </c>
      <c r="B195" s="14" t="inlineStr">
        <is>
          <t>issue_225</t>
        </is>
      </c>
      <c r="C195" s="14" t="inlineStr">
        <is>
          <t>0.45.0, 0.45.1, 0.45.2, 0.45.3, 0.46.0, 0.46.1, 0.46.2, 0.46.3</t>
        </is>
      </c>
      <c r="D195" s="14" t="n">
        <v>8</v>
      </c>
      <c r="E195" s="14" t="n"/>
      <c r="F195" s="14" t="n"/>
      <c r="G195" s="14" t="inlineStr">
        <is>
          <t>The LLM reshaped the Statevector's .data array instead of calling reshape() on the Statevector object.</t>
        </is>
      </c>
      <c r="H195" s="14" t="n">
        <v>2</v>
      </c>
    </row>
    <row r="196">
      <c r="A196" s="15" t="inlineStr">
        <is>
          <t>Passed on test</t>
        </is>
      </c>
      <c r="B196" s="14" t="inlineStr">
        <is>
          <t>issue_233</t>
        </is>
      </c>
      <c r="C196" s="14" t="inlineStr">
        <is>
          <t>0.25.0, 0.25.1, 0.25.2, 0.25.3, 0.45.0, 0.45.1, 0.45.2, 0.45.3, 0.46.0, 0.46.1, 0.46.2, 0.46.3, 1.0.0, 1.0.1, 1.0.2, 1.1.0, 1.1.1, 1.1.2, 1.2.0, 1.2.1, 1.2.2, 1.2.4, 2.0.0, 2.2.0, 2.3.0, 2.4.0, 2.5.0</t>
        </is>
      </c>
      <c r="D196" s="14" t="n">
        <v>27</v>
      </c>
      <c r="E196" s="14" t="n"/>
      <c r="F196" s="14" t="n"/>
      <c r="G196" s="14" t="inlineStr">
        <is>
          <t>The LLM replaced both rot.num_parameters_settable() calls with rot.num_parameters. Both luna models replaced only the second call and kept the first, which raises TypeError because num_parameters_settable is an int property.</t>
        </is>
      </c>
      <c r="H196" s="14" t="n">
        <v>2</v>
      </c>
    </row>
    <row r="197">
      <c r="A197" s="15" t="inlineStr">
        <is>
          <t>Passed on test</t>
        </is>
      </c>
      <c r="B197" s="14" t="inlineStr">
        <is>
          <t>issue_261</t>
        </is>
      </c>
      <c r="C197" s="14" t="inlineStr">
        <is>
          <t>0.25.0, 0.25.1, 0.25.2, 0.25.3, 0.45.0, 0.45.1, 0.45.2, 0.45.3, 0.46.0, 0.46.1, 0.46.2, 0.46.3</t>
        </is>
      </c>
      <c r="D197" s="14" t="n">
        <v>12</v>
      </c>
      <c r="E197" s="14" t="n"/>
      <c r="F197" s="14" t="n"/>
      <c r="G197" s="14" t="inlineStr">
        <is>
          <t>The LLM replaced PauliOp(hamiltonian_string) with eval(hamiltonian_string), the same fix as the reference (same code as both luna models).</t>
        </is>
      </c>
      <c r="H197" s="14" t="n">
        <v>2</v>
      </c>
    </row>
    <row r="198">
      <c r="A198" s="15" t="inlineStr">
        <is>
          <t>Passed on test</t>
        </is>
      </c>
      <c r="B198" s="14" t="inlineStr">
        <is>
          <t>issue_280</t>
        </is>
      </c>
      <c r="C198" s="14" t="inlineStr">
        <is>
          <t>0.25.0, 0.25.1, 0.25.2, 0.25.3, 0.45.0, 0.45.1, 0.45.2, 0.45.3, 0.46.0, 0.46.1, 0.46.2, 0.46.3</t>
        </is>
      </c>
      <c r="D198" s="14" t="n">
        <v>12</v>
      </c>
      <c r="E198" s="14" t="n"/>
      <c r="F198" s="14" t="n"/>
      <c r="G198" s="14" t="inlineStr">
        <is>
          <t>The LLM used a two-qubit depolarizing_error(0.05, 2) for the cx gate instead of the one-qubit error (same code as gpt-6-luna).</t>
        </is>
      </c>
      <c r="H198" s="14" t="n">
        <v>2</v>
      </c>
    </row>
    <row r="199">
      <c r="A199" s="15" t="inlineStr">
        <is>
          <t>Passed on test</t>
        </is>
      </c>
      <c r="B199" s="14" t="inlineStr">
        <is>
          <t>issue_295</t>
        </is>
      </c>
      <c r="C199" s="14" t="inlineStr">
        <is>
          <t>0.45.0, 0.45.1, 0.45.2, 0.45.3, 0.46.0, 0.46.1, 0.46.2, 0.46.3</t>
        </is>
      </c>
      <c r="D199" s="14" t="n">
        <v>8</v>
      </c>
      <c r="E199" s="14" t="n"/>
      <c r="F199" s="14" t="n"/>
      <c r="G199" s="14" t="inlineStr">
        <is>
          <t>The LLM replaced circuit += oracle with circuit.compose(oracle, inplace=True) (same code as both luna models).</t>
        </is>
      </c>
      <c r="H199" s="14" t="n">
        <v>2</v>
      </c>
    </row>
    <row r="200">
      <c r="A200" s="17" t="inlineStr">
        <is>
          <t>Runtime error</t>
        </is>
      </c>
      <c r="B200" s="14" t="inlineStr">
        <is>
          <t>issue_315</t>
        </is>
      </c>
      <c r="C200" s="14" t="inlineStr">
        <is>
          <t>0.45.0, 0.45.1, 0.45.2, 0.45.3, 0.46.0, 0.46.1, 0.46.2, 0.46.3, 1.0.0, 1.0.1, 1.0.2, 1.1.0, 1.1.1, 1.1.2, 1.2.0, 1.2.1, 1.2.2, 1.2.4, 2.0.0, 2.2.0, 2.3.0, 2.4.0, 2.5.0</t>
        </is>
      </c>
      <c r="D200" s="14" t="n">
        <v>23</v>
      </c>
      <c r="E200" s="14" t="inlineStr">
        <is>
          <t>ModuleNotFoundError, KeyError</t>
        </is>
      </c>
      <c r="F200" s="14" t="inlineStr">
        <is>
          <t>KeyError: 'max_parallel_threads'; AttributeError: Option max_parallel_threads is not defined</t>
        </is>
      </c>
      <c r="G200" s="14" t="inlineStr">
        <is>
          <t>The LLM deleted the backend.set_options(...) call instead of switching to a simulator that supports the parallel options (the reference and gpt-6-luna use AerSimulator), so the settings the user wanted are never applied: on 0.46.x / 1.x / 2.x the backend has no max_parallel_threads option to read (AttributeError), and on 0.45.x the code's BasicProvider import doesn't exist yet (ModuleNotFoundError). Same code as gpt-5.6-luna.</t>
        </is>
      </c>
      <c r="H200" s="14" t="n">
        <v>2</v>
      </c>
    </row>
    <row r="201">
      <c r="A201" s="15" t="inlineStr">
        <is>
          <t>Passed on test</t>
        </is>
      </c>
      <c r="B201" s="14" t="inlineStr">
        <is>
          <t>issue_344</t>
        </is>
      </c>
      <c r="C201" s="14" t="inlineStr">
        <is>
          <t>0.25.0, 0.25.1, 0.25.2, 0.25.3, 0.45.0, 0.45.1, 0.45.2, 0.45.3, 0.46.0, 0.46.1, 0.46.2, 0.46.3</t>
        </is>
      </c>
      <c r="D201" s="14" t="n">
        <v>12</v>
      </c>
      <c r="E201" s="14" t="n"/>
      <c r="F201" s="14" t="n"/>
      <c r="G201" s="14" t="inlineStr">
        <is>
          <t>The LLM dropped decimals=3 from get_statevector(), so the rounded amplitudes no longer break the normalization check in entropy() (same code as gpt-6-luna).</t>
        </is>
      </c>
      <c r="H201" s="14" t="n">
        <v>3</v>
      </c>
    </row>
    <row r="202">
      <c r="A202" s="15" t="inlineStr">
        <is>
          <t>Passed on test</t>
        </is>
      </c>
      <c r="B202" s="14" t="inlineStr">
        <is>
          <t>issue_362</t>
        </is>
      </c>
      <c r="C202" s="14" t="inlineStr">
        <is>
          <t>0.45.0, 0.45.1, 0.45.2, 0.45.3, 0.46.0, 0.46.1, 0.46.2, 0.46.3, 1.0.0, 1.0.1, 1.0.2, 1.1.0, 1.1.1, 1.1.2, 1.2.0, 1.2.1, 1.2.2, 1.2.4, 2.0.0, 2.2.0, 2.3.0, 2.4.0, 2.5.0</t>
        </is>
      </c>
      <c r="D202" s="14" t="n">
        <v>23</v>
      </c>
      <c r="E202" s="14" t="n"/>
      <c r="F202" s="14" t="n"/>
      <c r="G202" s="14" t="inlineStr">
        <is>
          <t>The LLM added circuit.save_unitary(), so AerSimulator returns the unitary.</t>
        </is>
      </c>
      <c r="H202" s="14" t="n">
        <v>3</v>
      </c>
    </row>
    <row r="203">
      <c r="A203" s="15" t="inlineStr">
        <is>
          <t>Passed on test</t>
        </is>
      </c>
      <c r="B203" s="14" t="inlineStr">
        <is>
          <t>issue_369</t>
        </is>
      </c>
      <c r="C203" s="14" t="inlineStr">
        <is>
          <t>0.25.0, 0.25.1, 0.25.2, 0.25.3, 0.45.0, 0.45.1, 0.45.2, 0.45.3, 0.46.0, 0.46.1, 0.46.2, 0.46.3, 1.0.0, 1.0.1, 1.0.2, 1.1.0, 1.1.1, 1.1.2, 1.2.0, 1.2.1, 1.2.2, 1.2.4, 2.0.0, 2.2.0, 2.3.0, 2.4.0, 2.5.0</t>
        </is>
      </c>
      <c r="D203" s="14" t="n">
        <v>27</v>
      </c>
      <c r="E203" s="14" t="n"/>
      <c r="F203" s="14" t="n"/>
      <c r="G203" s="14" t="inlineStr">
        <is>
          <t>The LLM mapped the control and all 16 subcircuit qubits in compose(csub, [i] + list(range(1, 17))) instead of only the control wire.</t>
        </is>
      </c>
      <c r="H203" s="14" t="n">
        <v>3</v>
      </c>
    </row>
    <row r="204">
      <c r="A204" s="15" t="inlineStr">
        <is>
          <t>Passed on test</t>
        </is>
      </c>
      <c r="B204" s="14" t="inlineStr">
        <is>
          <t>issue_396</t>
        </is>
      </c>
      <c r="C204" s="14" t="inlineStr">
        <is>
          <t>0.45.0, 0.45.1, 0.45.2, 0.45.3, 0.46.0, 0.46.1, 0.46.2, 0.46.3, 1.0.0, 1.0.1, 1.0.2, 1.1.0, 1.1.1, 1.1.2, 1.2.0, 1.2.1, 1.2.2, 1.2.4, 2.0.0, 2.2.0, 2.3.0, 2.4.0, 2.5.0</t>
        </is>
      </c>
      <c r="D204" s="14" t="n">
        <v>23</v>
      </c>
      <c r="E204" s="14" t="n"/>
      <c r="F204" s="14" t="n"/>
      <c r="G204" s="14" t="inlineStr">
        <is>
          <t>Failed on 0.25.x, passed on the other 23 versions: the LLM built the phase oracle as a Diagonal circuit (-1 on the two targets, +1 elsewhere), which is exact and, unlike the QuantumCircuit.diagonal() both luna models used, still exists in Qiskit 1.x / 2.x. On 0.25.x, GroverOperator drops the Diagonal circuit's global phase, so the Grover operator is off by a factor e^(-i*pi/4), and the test compares the operator exactly.</t>
        </is>
      </c>
      <c r="H204" s="14" t="n">
        <v>3</v>
      </c>
    </row>
    <row r="205">
      <c r="A205" s="16" t="inlineStr">
        <is>
          <t>Failed on test</t>
        </is>
      </c>
      <c r="B205" s="14" t="inlineStr">
        <is>
          <t>issue_396</t>
        </is>
      </c>
      <c r="C205" s="14" t="inlineStr">
        <is>
          <t>0.25.0, 0.25.1, 0.25.2, 0.25.3</t>
        </is>
      </c>
      <c r="D205" s="14" t="n">
        <v>4</v>
      </c>
      <c r="E205" s="14" t="inlineStr">
        <is>
          <t>AssertionError</t>
        </is>
      </c>
      <c r="F205" s="14" t="inlineStr">
        <is>
          <t>AssertionError:</t>
        </is>
      </c>
      <c r="G205" s="14" t="inlineStr">
        <is>
          <t>Failed on 0.25.x, passed on the other 23 versions: the LLM built the phase oracle as a Diagonal circuit (-1 on the two targets, +1 elsewhere), which is exact and, unlike the QuantumCircuit.diagonal() both luna models used, still exists in Qiskit 1.x / 2.x. On 0.25.x, GroverOperator drops the Diagonal circuit's global phase, so the Grover operator is off by a factor e^(-i*pi/4), and the test compares the operator exactly.</t>
        </is>
      </c>
      <c r="H205" s="14" t="n">
        <v>3</v>
      </c>
    </row>
    <row r="206">
      <c r="A206" s="16" t="inlineStr">
        <is>
          <t>Failed on test</t>
        </is>
      </c>
      <c r="B206" s="14" t="inlineStr">
        <is>
          <t>issue_415</t>
        </is>
      </c>
      <c r="C206" s="14" t="inlineStr">
        <is>
          <t>0.25.0, 0.25.1, 0.25.2, 0.25.3</t>
        </is>
      </c>
      <c r="D206" s="14" t="n">
        <v>4</v>
      </c>
      <c r="E206" s="14" t="inlineStr">
        <is>
          <t>AssertionError</t>
        </is>
      </c>
      <c r="F206" s="14" t="inlineStr">
        <is>
          <t>AssertionError: -1.2374811137735784 != 0 within 7 places (1.2374811137735784 difference)</t>
        </is>
      </c>
      <c r="G206" s="14" t="inlineStr">
        <is>
          <t>The LLM left theta and phi complex and replaced circ.u3(theta, phi, 0, 0) with circ.initialize(arb_quantum_state, [0]). That prepares the right state, but the question is about getting real U3 angles, and the test checks that theta and phi are real (theta's imaginary part is -1.24). gpt-6-luna computed real angles and passed.</t>
        </is>
      </c>
      <c r="H206" s="14" t="n">
        <v>3</v>
      </c>
    </row>
    <row r="207">
      <c r="A207" s="15" t="inlineStr">
        <is>
          <t>Passed on test</t>
        </is>
      </c>
      <c r="B207" s="14" t="inlineStr">
        <is>
          <t>issue_436</t>
        </is>
      </c>
      <c r="C207" s="14" t="inlineStr">
        <is>
          <t>0.25.0, 0.25.1, 0.25.2, 0.25.3</t>
        </is>
      </c>
      <c r="D207" s="14" t="n">
        <v>4</v>
      </c>
      <c r="E207" s="14" t="n"/>
      <c r="F207" s="14" t="n"/>
      <c r="G207" s="14" t="inlineStr">
        <is>
          <t>The LLM removed set_frequency(), which PulseSimulator doesn't support, and modulated the pulse samples by exp(2*pi*i*df*t) instead.</t>
        </is>
      </c>
      <c r="H207" s="14" t="n">
        <v>3</v>
      </c>
    </row>
    <row r="208">
      <c r="A208" s="15" t="inlineStr">
        <is>
          <t>Passed on test</t>
        </is>
      </c>
      <c r="B208" s="14" t="inlineStr">
        <is>
          <t>issue_443</t>
        </is>
      </c>
      <c r="C208" s="14" t="inlineStr">
        <is>
          <t>0.25.0, 0.25.1, 0.25.2, 0.25.3, 0.45.0, 0.45.1, 0.45.2, 0.45.3, 0.46.0, 0.46.1, 0.46.2, 0.46.3, 1.0.0, 1.0.1, 1.0.2, 1.1.0, 1.1.1, 1.1.2, 1.2.0, 1.2.1, 1.2.2, 1.2.4, 2.0.0, 2.2.0, 2.3.0, 2.4.0, 2.5.0</t>
        </is>
      </c>
      <c r="D208" s="14" t="n">
        <v>27</v>
      </c>
      <c r="E208" s="14" t="n"/>
      <c r="F208" s="14" t="n"/>
      <c r="G208" s="14" t="inlineStr">
        <is>
          <t>The LLM passed the qubits of both registers as one flat list (list(train_register) + list(control)) to append().</t>
        </is>
      </c>
      <c r="H208" s="14" t="n">
        <v>3</v>
      </c>
    </row>
    <row r="209">
      <c r="A209" s="17" t="inlineStr">
        <is>
          <t>Runtime error</t>
        </is>
      </c>
      <c r="B209" s="14" t="inlineStr">
        <is>
          <t>issue_453</t>
        </is>
      </c>
      <c r="C209" s="14" t="inlineStr">
        <is>
          <t>0.45.0, 0.45.1, 0.45.2, 0.45.3, 0.46.0, 0.46.1, 0.46.2, 0.46.3, 1.0.0, 1.0.1, 1.0.2, 1.1.0, 1.1.1, 1.1.2, 1.2.0, 1.2.1, 1.2.2, 1.2.4, 2.0.0, 2.2.0, 2.3.0, 2.4.0, 2.5.0</t>
        </is>
      </c>
      <c r="D209" s="14" t="n">
        <v>23</v>
      </c>
      <c r="E209" s="14" t="inlineStr">
        <is>
          <t>AttributeError</t>
        </is>
      </c>
      <c r="F209" s="14" t="inlineStr">
        <is>
          <t>AttributeError: 'QuantumCircuit' object has no attribute 'compose_with_auto_ancillas'</t>
        </is>
      </c>
      <c r="G209" s="14" t="inlineStr">
        <is>
          <t>The LLM added the ancilla register to the target circuit by hand and mapped all six qubits, instead of adding ancillas automatically as the user asked; the test also calls the reference answer's helper compose_with_auto_ancillas() by name (AttributeError). Over-specific test, and no updated test exists for this case; same situation as both luna models.</t>
        </is>
      </c>
      <c r="H209" s="14" t="n">
        <v>3</v>
      </c>
    </row>
    <row r="210">
      <c r="A210" s="17" t="inlineStr">
        <is>
          <t>Runtime error</t>
        </is>
      </c>
      <c r="B210" s="14" t="inlineStr">
        <is>
          <t>issue_468</t>
        </is>
      </c>
      <c r="C210" s="14" t="inlineStr">
        <is>
          <t>0.25.0, 0.25.1, 0.25.2, 0.25.3</t>
        </is>
      </c>
      <c r="D210" s="14" t="n">
        <v>4</v>
      </c>
      <c r="E210" s="14" t="inlineStr">
        <is>
          <t>AttributeError</t>
        </is>
      </c>
      <c r="F210" s="14" t="inlineStr">
        <is>
          <t>AttributeError: 'MatrixOperator' object has no attribute 'simplify'</t>
        </is>
      </c>
      <c r="G210" s="14" t="inlineStr">
        <is>
          <t>The LLM wrapped the density matrices in Aqua's legacy MatrixOperator before calling commutator(), but commutator() calls simplify(), which MatrixOperator doesn't have (AttributeError). Both luna models used opflow's MatrixOp and crashed too; the reference rewrites the operators as WeightedPauliOperators.</t>
        </is>
      </c>
      <c r="H210" s="14" t="n">
        <v>3</v>
      </c>
    </row>
    <row r="211">
      <c r="A211" s="17" t="inlineStr">
        <is>
          <t>Runtime error</t>
        </is>
      </c>
      <c r="B211" s="14" t="inlineStr">
        <is>
          <t>issue_497</t>
        </is>
      </c>
      <c r="C211" s="14" t="inlineStr">
        <is>
          <t>0.25.0, 0.25.1, 0.25.2, 0.25.3</t>
        </is>
      </c>
      <c r="D211" s="14" t="n">
        <v>4</v>
      </c>
      <c r="E211" s="14" t="inlineStr">
        <is>
          <t>KeyError</t>
        </is>
      </c>
      <c r="F211" s="14" t="inlineStr">
        <is>
          <t>KeyError: 'sampler'</t>
        </is>
      </c>
      <c r="G211" s="14" t="inlineStr">
        <is>
          <t>The LLM batched both expectation values into one ListOp converted by a single CircuitSampler call and removed the undefined IBMQJobManager(), like the reference, but unpacked the result into sampler1 and sampler2; the script runs, but the test reads the reference's variable sampler (KeyError: 'sampler'), so it never checks the values. Over-specific variable name, and no updated test exists for this case; gpt-5.6-luna kept the name and passed.</t>
        </is>
      </c>
      <c r="H211" s="14" t="n">
        <v>3</v>
      </c>
    </row>
    <row r="212">
      <c r="A212" s="15" t="inlineStr">
        <is>
          <t>Passed on test</t>
        </is>
      </c>
      <c r="B212" s="14" t="inlineStr">
        <is>
          <t>issue_504</t>
        </is>
      </c>
      <c r="C212" s="14" t="inlineStr">
        <is>
          <t>0.45.0, 0.45.1, 0.45.2, 0.45.3, 0.46.0, 0.46.1, 0.46.2, 0.46.3, 1.0.0, 1.0.1, 1.0.2, 1.1.0, 1.1.1, 1.1.2, 1.2.0, 1.2.1, 1.2.2, 1.2.4, 2.0.0, 2.2.0, 2.3.0, 2.4.0, 2.5.0</t>
        </is>
      </c>
      <c r="D212" s="14" t="n">
        <v>23</v>
      </c>
      <c r="E212" s="14" t="n"/>
      <c r="F212" s="14" t="n"/>
      <c r="G212" s="14" t="inlineStr">
        <is>
          <t>The LLM reused the circuit's own register (circuit.qregs[0]) instead of building a new QuantumRegister(n) each time, and ran the transpiled circuit with backend.run() instead of treating transpile()'s output as a job.</t>
        </is>
      </c>
      <c r="H212" s="14" t="n">
        <v>4</v>
      </c>
    </row>
    <row r="213">
      <c r="A213" s="15" t="inlineStr">
        <is>
          <t>Passed on test</t>
        </is>
      </c>
      <c r="B213" s="14" t="inlineStr">
        <is>
          <t>issue_505</t>
        </is>
      </c>
      <c r="C213" s="14" t="inlineStr">
        <is>
          <t>0.45.0, 0.45.1, 0.45.2, 0.45.3, 0.46.0, 0.46.1, 0.46.2, 0.46.3</t>
        </is>
      </c>
      <c r="D213" s="14" t="n">
        <v>8</v>
      </c>
      <c r="E213" s="14" t="n"/>
      <c r="F213" s="14" t="n"/>
      <c r="G213" s="14" t="inlineStr">
        <is>
          <t>The LLM cast x to a Python float, so the Qiskit operator handles the scalar multiplication instead of NumPy (the same cast as the reference).</t>
        </is>
      </c>
      <c r="H213" s="14" t="n">
        <v>4</v>
      </c>
    </row>
    <row r="214">
      <c r="A214" s="17" t="inlineStr">
        <is>
          <t>Runtime error</t>
        </is>
      </c>
      <c r="B214" s="14" t="inlineStr">
        <is>
          <t>issue_565</t>
        </is>
      </c>
      <c r="C214" s="14" t="inlineStr">
        <is>
          <t>0.25.0, 0.25.1, 0.25.2, 0.25.3</t>
        </is>
      </c>
      <c r="D214" s="14" t="n">
        <v>4</v>
      </c>
      <c r="E214" s="14" t="inlineStr">
        <is>
          <t>Timeout</t>
        </is>
      </c>
      <c r="F214" s="14" t="inlineStr">
        <is>
          <t>120 second timeout</t>
        </is>
      </c>
      <c r="G214" s="14" t="inlineStr">
        <is>
          <t>Error (timeout): the LLM wrapped each mixer Operator in Aqua's MatrixOp before building the SummedOp, which removes the crash both luna models hit, but building the QAOA circuits doesn't finish within 120 seconds on any version (2 runs, the second with a single worker).</t>
        </is>
      </c>
      <c r="H214" s="14" t="n">
        <v>4</v>
      </c>
    </row>
    <row r="215">
      <c r="A215" s="15" t="inlineStr">
        <is>
          <t>Passed on test</t>
        </is>
      </c>
      <c r="B215" s="14" t="inlineStr">
        <is>
          <t>issue_595</t>
        </is>
      </c>
      <c r="C215" s="14" t="inlineStr">
        <is>
          <t>0.45.0, 0.45.1, 0.45.2, 0.45.3, 0.46.0, 0.46.1, 0.46.2, 0.46.3, 1.0.0, 1.0.1, 1.0.2, 1.1.0, 1.1.1, 1.1.2, 1.2.0, 1.2.1, 1.2.2, 1.2.4, 2.0.0, 2.2.0, 2.3.0, 2.4.0, 2.5.0</t>
        </is>
      </c>
      <c r="D215" s="14" t="n">
        <v>23</v>
      </c>
      <c r="E215" s="14" t="n"/>
      <c r="F215" s="14" t="n"/>
      <c r="G215" s="14" t="inlineStr">
        <is>
          <t>The LLM selected AerSimulator(method='unitary') and added circ.save_unitary().</t>
        </is>
      </c>
      <c r="H215" s="14" t="n">
        <v>4</v>
      </c>
    </row>
    <row r="216">
      <c r="A216" s="15" t="inlineStr">
        <is>
          <t>Passed on test</t>
        </is>
      </c>
      <c r="B216" s="14" t="inlineStr">
        <is>
          <t>issue_596</t>
        </is>
      </c>
      <c r="C216" s="14" t="inlineStr">
        <is>
          <t>0.25.0, 0.25.1, 0.25.2, 0.25.3, 0.45.0, 0.45.1, 0.45.2, 0.45.3, 0.46.0, 0.46.1, 0.46.2, 0.46.3</t>
        </is>
      </c>
      <c r="D216" s="14" t="n">
        <v>12</v>
      </c>
      <c r="E216" s="14" t="n"/>
      <c r="F216" s="14" t="n"/>
      <c r="G216" s="14" t="inlineStr">
        <is>
          <t>The LLM bound each parameter vector in one dictionary ({p: inp[0], th: theta}) and assigned it in place, so the circuit used by assemble() has no unbound parameters.</t>
        </is>
      </c>
      <c r="H216" s="14" t="n">
        <v>4</v>
      </c>
    </row>
    <row r="217">
      <c r="A217" s="15" t="inlineStr">
        <is>
          <t>Passed on test</t>
        </is>
      </c>
      <c r="B217" s="14" t="inlineStr">
        <is>
          <t>issue_600</t>
        </is>
      </c>
      <c r="C217" s="14" t="inlineStr">
        <is>
          <t>0.25.0, 0.25.1, 0.25.2, 0.25.3, 0.45.0, 0.45.1, 0.45.2, 0.45.3, 0.46.0, 0.46.1, 0.46.2, 0.46.3</t>
        </is>
      </c>
      <c r="D217" s="14" t="n">
        <v>12</v>
      </c>
      <c r="E217" s="14" t="n"/>
      <c r="F217" s="14" t="n"/>
      <c r="G217" s="14" t="inlineStr">
        <is>
          <t>The LLM replaced PauliGate(...).power(param) with RXXGate / RYYGate / RZZGate(pi * param) plus the matching global phase, and removed the PauliGate import, so it also runs on Qiskit 0.25. gpt-6-luna kept the PauliGate import and gpt-5.6-luna used PauliEvolutionGate; neither exists in 0.25, so both crashed there.</t>
        </is>
      </c>
      <c r="H217" s="14" t="n">
        <v>4</v>
      </c>
    </row>
    <row r="218">
      <c r="A218" s="15" t="inlineStr">
        <is>
          <t>Passed on test</t>
        </is>
      </c>
      <c r="B218" s="14" t="inlineStr">
        <is>
          <t>issue_622</t>
        </is>
      </c>
      <c r="C218" s="14" t="inlineStr">
        <is>
          <t>0.25.0, 0.25.1, 0.25.2, 0.25.3, 0.45.0, 0.45.1, 0.45.2, 0.45.3, 0.46.0, 0.46.1, 0.46.2, 0.46.3</t>
        </is>
      </c>
      <c r="D218" s="14" t="n">
        <v>12</v>
      </c>
      <c r="E218" s="14" t="n"/>
      <c r="F218" s="14" t="n"/>
      <c r="G218" s="14" t="inlineStr">
        <is>
          <t>The LLM swapped the 1-qubit FakeArmonk for the 5-qubit FakeVigo and kept import qiskit, so the Bell circuit runs. The updated test allows the fake device's noise. gpt-6-luna made the same switch but deleted import qiskit and crashed.</t>
        </is>
      </c>
      <c r="H218" s="14" t="n">
        <v>4</v>
      </c>
    </row>
    <row r="219">
      <c r="A219" s="15" t="inlineStr">
        <is>
          <t>Passed on test</t>
        </is>
      </c>
      <c r="B219" s="14" t="inlineStr">
        <is>
          <t>issue_624</t>
        </is>
      </c>
      <c r="C219" s="14" t="inlineStr">
        <is>
          <t>0.25.0, 0.25.1, 0.25.2, 0.25.3, 0.45.0, 0.45.1, 0.45.2, 0.45.3, 0.46.0, 0.46.1, 0.46.2, 0.46.3</t>
        </is>
      </c>
      <c r="D219" s="14" t="n">
        <v>12</v>
      </c>
      <c r="E219" s="14" t="n"/>
      <c r="F219" s="14" t="n"/>
      <c r="G219" s="14" t="inlineStr">
        <is>
          <t>The LLM converted the circuit into a Pauli operator with CircuitOp(H).to_pauli_op() before compute_minimum_eigenvalue(). gpt-5.6-luna passed a CircuitOp without converting it and gpt-6-luna called a non-existent PauliSumOp.from_operator(); both crashed.</t>
        </is>
      </c>
      <c r="H219" s="14" t="n">
        <v>4</v>
      </c>
    </row>
    <row r="220">
      <c r="A220" s="17" t="inlineStr">
        <is>
          <t>Runtime error</t>
        </is>
      </c>
      <c r="B220" s="14" t="inlineStr">
        <is>
          <t>issue_635</t>
        </is>
      </c>
      <c r="C220" s="14" t="inlineStr">
        <is>
          <t>0.25.0, 0.25.1, 0.25.2, 0.25.3</t>
        </is>
      </c>
      <c r="D220" s="14" t="n">
        <v>4</v>
      </c>
      <c r="E220" s="14" t="inlineStr">
        <is>
          <t>AttributeError</t>
        </is>
      </c>
      <c r="F220" s="14" t="inlineStr">
        <is>
          <t>AttributeError: 'QuantumCircuit' object has no attribute 'if_test'</t>
        </is>
      </c>
      <c r="G220" s="14" t="inlineStr">
        <is>
          <t>The LLM nested two qc.if_test() blocks so both X gates need c[0] = 1 and c[1] = 1, which is the logic the question asks for, but if_test() doesn't exist in Qiskit 0.25, the only versions this case runs on (AttributeError). Both luna models used c_if with the wrong conditions and failed.</t>
        </is>
      </c>
      <c r="H220" s="14" t="n">
        <v>4</v>
      </c>
    </row>
    <row r="221">
      <c r="A221" s="15" t="inlineStr">
        <is>
          <t>Passed on test</t>
        </is>
      </c>
      <c r="B221" s="14" t="inlineStr">
        <is>
          <t>issue_662</t>
        </is>
      </c>
      <c r="C221" s="14" t="inlineStr">
        <is>
          <t>0.45.0, 0.45.1, 0.45.2, 0.45.3, 0.46.0, 0.46.1, 0.46.2, 0.46.3, 1.0.0, 1.0.1, 1.0.2, 1.1.0, 1.1.1, 1.1.2, 1.2.0, 1.2.1, 1.2.2, 1.2.4, 2.0.0, 2.2.0, 2.3.0, 2.4.0, 2.5.0</t>
        </is>
      </c>
      <c r="D221" s="14" t="n">
        <v>23</v>
      </c>
      <c r="E221" s="14" t="n"/>
      <c r="F221" s="14" t="n"/>
      <c r="G221" s="14" t="inlineStr">
        <is>
          <t>The LLM counted gates over dag.op_nodes() and removed the node.type check. Both luna models kept that check, which raises AttributeError because DAG nodes no longer have a type attribute.</t>
        </is>
      </c>
      <c r="H221" s="14" t="n">
        <v>4</v>
      </c>
    </row>
    <row r="222">
      <c r="A222" s="15" t="inlineStr">
        <is>
          <t>Passed on test</t>
        </is>
      </c>
      <c r="B222" s="14" t="inlineStr">
        <is>
          <t>issue_663</t>
        </is>
      </c>
      <c r="C222" s="14" t="inlineStr">
        <is>
          <t>0.45.0, 0.45.1, 0.45.2, 0.45.3, 0.46.0, 0.46.1, 0.46.2, 0.46.3</t>
        </is>
      </c>
      <c r="D222" s="14" t="n">
        <v>8</v>
      </c>
      <c r="E222" s="14" t="n"/>
      <c r="F222" s="14" t="n"/>
      <c r="G222" s="14" t="inlineStr">
        <is>
          <t>The LLM measured each qubit into its classical bit, so the counts are no longer always 000.</t>
        </is>
      </c>
      <c r="H222" s="14" t="n">
        <v>5</v>
      </c>
    </row>
    <row r="223">
      <c r="A223" s="15" t="inlineStr">
        <is>
          <t>Failed on test</t>
        </is>
      </c>
      <c r="B223" s="14" t="inlineStr">
        <is>
          <t>issue_671</t>
        </is>
      </c>
      <c r="C223" s="14" t="inlineStr">
        <is>
          <t>0.25.0, 0.25.1, 0.25.2, 0.25.3, 0.45.0, 0.45.1, 0.45.2, 0.45.3, 0.46.0, 0.46.1, 0.46.2, 0.46.3, 1.0.0, 1.0.1, 1.0.2, 1.1.0, 1.1.1, 1.1.2, 1.2.0, 1.2.1, 1.2.2, 1.2.4, 2.0.0, 2.2.0, 2.3.0, 2.4.0, 2.5.0</t>
        </is>
      </c>
      <c r="D223" s="14" t="n">
        <v>27</v>
      </c>
      <c r="E223" s="14" t="inlineStr">
        <is>
          <t>AssertionError</t>
        </is>
      </c>
      <c r="F223" s="14" t="inlineStr">
        <is>
          <t>AssertionError:</t>
        </is>
      </c>
      <c r="G223" s="14" t="inlineStr">
        <is>
          <t>Rescored 19 Oct 2026 on Nick's main test. gpt-6-astra 0 pass / 27 fail / 0 error.</t>
        </is>
      </c>
      <c r="H223" s="14" t="n">
        <v>5</v>
      </c>
    </row>
    <row r="224">
      <c r="A224" s="15" t="inlineStr">
        <is>
          <t>Passed on test</t>
        </is>
      </c>
      <c r="B224" s="14" t="inlineStr">
        <is>
          <t>issue_727</t>
        </is>
      </c>
      <c r="C224" s="14" t="inlineStr">
        <is>
          <t>0.25.0, 0.25.1, 0.25.2, 0.25.3, 0.45.0, 0.45.1, 0.45.2, 0.45.3, 0.46.0, 0.46.1, 0.46.2, 0.46.3</t>
        </is>
      </c>
      <c r="D224" s="14" t="n">
        <v>12</v>
      </c>
      <c r="E224" s="14" t="n"/>
      <c r="F224" s="14" t="n"/>
      <c r="G224" s="14" t="inlineStr">
        <is>
          <t>The LLM wrote 2 ** k as (k * numpy.log(2)).exp(), which works with a symbolic Parameter.</t>
        </is>
      </c>
      <c r="H224" s="14" t="n">
        <v>5</v>
      </c>
    </row>
    <row r="225">
      <c r="A225" s="15" t="inlineStr">
        <is>
          <t>Passed on test</t>
        </is>
      </c>
      <c r="B225" s="14" t="inlineStr">
        <is>
          <t>issue_742</t>
        </is>
      </c>
      <c r="C225" s="14" t="inlineStr">
        <is>
          <t>1.1.0, 1.1.1, 1.1.2, 1.2.0, 1.2.1, 1.2.2, 1.2.4, 2.0.0, 2.2.0, 2.3.0, 2.4.0, 2.5.0</t>
        </is>
      </c>
      <c r="D225" s="14" t="n">
        <v>12</v>
      </c>
      <c r="E225" s="14" t="n"/>
      <c r="F225" s="14" t="n"/>
      <c r="G225" s="14" t="inlineStr">
        <is>
          <t>The LLM converted the Operator observable with SparsePauliOp.from_operator(O) (same code as gpt-6-luna).</t>
        </is>
      </c>
      <c r="H225" s="14" t="n">
        <v>5</v>
      </c>
    </row>
    <row r="226">
      <c r="A226" s="15" t="inlineStr">
        <is>
          <t>Passed on test</t>
        </is>
      </c>
      <c r="B226" s="14" t="inlineStr">
        <is>
          <t>issue_747</t>
        </is>
      </c>
      <c r="C226" s="14" t="inlineStr">
        <is>
          <t>0.45.0, 0.45.1, 0.45.2, 0.45.3, 0.46.0, 0.46.1, 0.46.2, 0.46.3</t>
        </is>
      </c>
      <c r="D226" s="14" t="n">
        <v>8</v>
      </c>
      <c r="E226" s="14" t="n"/>
      <c r="F226" s="14" t="n"/>
      <c r="G226" s="14" t="inlineStr">
        <is>
          <t>Rescored 19 Oct 2026 on Nick's main test. gpt-6-astra 8 pass / 0 fail / 0 error.</t>
        </is>
      </c>
      <c r="H226" s="14" t="n">
        <v>5</v>
      </c>
    </row>
    <row r="227">
      <c r="A227" s="15" t="inlineStr">
        <is>
          <t>Passed on test</t>
        </is>
      </c>
      <c r="B227" s="14" t="inlineStr">
        <is>
          <t>issue_750</t>
        </is>
      </c>
      <c r="C227" s="14" t="inlineStr">
        <is>
          <t>0.45.0, 0.45.1, 0.45.2, 0.45.3, 0.46.0, 0.46.1, 0.46.2, 0.46.3, 1.0.0, 1.0.1, 1.0.2, 1.1.0, 1.1.1, 1.1.2, 1.2.0, 1.2.1, 1.2.2, 1.2.4, 2.0.0, 2.2.0, 2.3.0, 2.4.0, 2.5.0</t>
        </is>
      </c>
      <c r="D227" s="14" t="n">
        <v>23</v>
      </c>
      <c r="E227" s="14" t="n"/>
      <c r="F227" s="14" t="n"/>
      <c r="G227" s="14" t="inlineStr">
        <is>
          <t>The LLM passed the label positionally, Pauli('XZ'), because the label= keyword no longer exists. Both luna models answered that there is no bug and kept Pauli(label='XZ'), which raises TypeError.</t>
        </is>
      </c>
      <c r="H227" s="14" t="n">
        <v>5</v>
      </c>
    </row>
    <row r="228">
      <c r="A228" s="17" t="inlineStr">
        <is>
          <t>Runtime error</t>
        </is>
      </c>
      <c r="B228" s="14" t="inlineStr">
        <is>
          <t>issue_769</t>
        </is>
      </c>
      <c r="C228" s="14" t="inlineStr">
        <is>
          <t>1.0.0, 1.0.1, 1.0.2, 1.1.0, 1.1.1, 1.1.2, 1.2.0, 1.2.1, 1.2.2, 1.2.4, 2.0.0, 2.2.0, 2.3.0, 2.4.0, 2.5.0</t>
        </is>
      </c>
      <c r="D228" s="14" t="n">
        <v>15</v>
      </c>
      <c r="E228" s="14" t="inlineStr">
        <is>
          <t>KeyError</t>
        </is>
      </c>
      <c r="F228" s="14" t="inlineStr">
        <is>
          <t>KeyError: 'get_qiskit_gate'</t>
        </is>
      </c>
      <c r="G228" s="14" t="inlineStr">
        <is>
          <t>The LLM wrote a general matcher that searches Qiskit's standard gates for one whose operator equals the matrix (up to global phase) and prints its name, which is what the user asked for, and the script runs; but the test calls the reference answer's function get_qiskit_gate() by name (KeyError). Over-specific test, and no updated test exists for this case. Both luna models only checked for the X gate.</t>
        </is>
      </c>
      <c r="H228" s="14" t="n">
        <v>5</v>
      </c>
    </row>
    <row r="229">
      <c r="A229" s="15" t="inlineStr">
        <is>
          <t>Passed on test</t>
        </is>
      </c>
      <c r="B229" s="14" t="inlineStr">
        <is>
          <t>issue_773</t>
        </is>
      </c>
      <c r="C229" s="14" t="inlineStr">
        <is>
          <t>0.45.0, 0.45.1, 0.45.2, 0.45.3, 0.46.0, 0.46.1, 0.46.2, 0.46.3</t>
        </is>
      </c>
      <c r="D229" s="14" t="n">
        <v>8</v>
      </c>
      <c r="E229" s="14" t="n"/>
      <c r="F229" s="14" t="n"/>
      <c r="G229" s="14" t="inlineStr">
        <is>
          <t>The LLM removed the IBMQ job_monitor import that shadowed the general one (same code as both luna models).</t>
        </is>
      </c>
      <c r="H229" s="14" t="n">
        <v>5</v>
      </c>
    </row>
    <row r="230">
      <c r="A230" s="15" t="inlineStr">
        <is>
          <t>Runtime error</t>
        </is>
      </c>
      <c r="B230" s="14" t="inlineStr">
        <is>
          <t>issue_775</t>
        </is>
      </c>
      <c r="C230" s="14" t="inlineStr">
        <is>
          <t>0.25.0, 0.25.1, 0.25.2, 0.25.3, 0.45.0, 0.45.1, 0.45.2, 0.45.3, 0.46.0, 0.46.1, 0.46.2, 0.46.3</t>
        </is>
      </c>
      <c r="D230" s="14" t="n">
        <v>12</v>
      </c>
      <c r="E230" s="14" t="inlineStr">
        <is>
          <t>KeyError</t>
        </is>
      </c>
      <c r="F230" s="14" t="inlineStr">
        <is>
          <t>KeyError: 'qc'</t>
        </is>
      </c>
      <c r="G230" s="14" t="inlineStr">
        <is>
          <t>Rescored 19 Oct 2026 on Nick's main test. gpt-6-astra 0 pass / 0 fail / 12 error.</t>
        </is>
      </c>
      <c r="H230" s="14" t="n">
        <v>5</v>
      </c>
    </row>
    <row r="231">
      <c r="A231" s="15" t="inlineStr">
        <is>
          <t>Passed on test</t>
        </is>
      </c>
      <c r="B231" s="14" t="inlineStr">
        <is>
          <t>issue_795</t>
        </is>
      </c>
      <c r="C231" s="14" t="inlineStr">
        <is>
          <t>0.25.0, 0.25.1, 0.25.2, 0.25.3, 0.45.0, 0.45.1, 0.45.2, 0.45.3, 0.46.0, 0.46.1, 0.46.2, 0.46.3</t>
        </is>
      </c>
      <c r="D231" s="14" t="n">
        <v>12</v>
      </c>
      <c r="E231" s="14" t="n"/>
      <c r="F231" s="14" t="n"/>
      <c r="G231" s="14" t="inlineStr">
        <is>
          <t>The LLM appended the operator's matrix with circuit.unitary(...to_matrix(), [0]) (same code as both luna models).</t>
        </is>
      </c>
      <c r="H231" s="14" t="n">
        <v>5</v>
      </c>
    </row>
    <row r="232">
      <c r="A232" s="16" t="inlineStr">
        <is>
          <t>Failed on test</t>
        </is>
      </c>
      <c r="B232" s="14" t="inlineStr">
        <is>
          <t>issue_803</t>
        </is>
      </c>
      <c r="C232" s="14" t="inlineStr">
        <is>
          <t>0.25.0, 0.25.1, 0.25.2, 0.25.3</t>
        </is>
      </c>
      <c r="D232" s="14" t="n">
        <v>4</v>
      </c>
      <c r="E232" s="14" t="inlineStr">
        <is>
          <t>AssertionError</t>
        </is>
      </c>
      <c r="F232" s="14" t="inlineStr">
        <is>
          <t>ValueError: The truth value of an array with more than one element is ambiguous. Use a.any() or a.all(); AssertionError: array([list([55, 45]), list([100]), list([100])], dtype=object) is not an instance of &lt;class 'list'&gt;</t>
        </is>
      </c>
      <c r="G232" s="14" t="inlineStr">
        <is>
          <t>Error on 0.45.x / 0.46.x, failed on 0.25.x: the LLM turned the list of count dictionaries into a NumPy array of value lists, which loses the outcome keys; the test wants one counts dictionary per circuit, and newer NumPy refuses the ragged array (ValueError). Same problem as both luna models.</t>
        </is>
      </c>
      <c r="H232" s="14" t="n">
        <v>6</v>
      </c>
    </row>
    <row r="233">
      <c r="A233" s="17" t="inlineStr">
        <is>
          <t>Runtime error</t>
        </is>
      </c>
      <c r="B233" s="14" t="inlineStr">
        <is>
          <t>issue_803</t>
        </is>
      </c>
      <c r="C233" s="14" t="inlineStr">
        <is>
          <t>0.45.0, 0.45.1, 0.45.2, 0.45.3, 0.46.0, 0.46.1, 0.46.2, 0.46.3</t>
        </is>
      </c>
      <c r="D233" s="14" t="n">
        <v>8</v>
      </c>
      <c r="E233" s="14" t="inlineStr">
        <is>
          <t>ValueError</t>
        </is>
      </c>
      <c r="F233" s="14" t="inlineStr">
        <is>
          <t>ValueError: The truth value of an array with more than one element is ambiguous. Use a.any() or a.all(); ValueError: setting an array element with a sequence. The requested array has an inhomogeneous shape after 1 dimensions. The detected shape was (3,) + inhomogeneous part.</t>
        </is>
      </c>
      <c r="G233" s="14" t="inlineStr">
        <is>
          <t>Error on 0.45.x / 0.46.x, failed on 0.25.x: the LLM turned the list of count dictionaries into a NumPy array of value lists, which loses the outcome keys; the test wants one counts dictionary per circuit, and newer NumPy refuses the ragged array (ValueError). Same problem as both luna models.</t>
        </is>
      </c>
      <c r="H233" s="14" t="n">
        <v>6</v>
      </c>
    </row>
    <row r="234">
      <c r="A234" s="16" t="inlineStr">
        <is>
          <t>Failed on test</t>
        </is>
      </c>
      <c r="B234" s="14" t="inlineStr">
        <is>
          <t>issue_810</t>
        </is>
      </c>
      <c r="C234" s="14" t="inlineStr">
        <is>
          <t>0.45.1, 0.46.2</t>
        </is>
      </c>
      <c r="D234" s="14" t="n">
        <v>2</v>
      </c>
      <c r="E234" s="14" t="inlineStr">
        <is>
          <t>AssertionError</t>
        </is>
      </c>
      <c r="F234" s="14" t="inlineStr">
        <is>
          <t>AssertionError: None is not an instance of &lt;class 'dict'&gt; : Expose a raw counts dictionary, not the Result object</t>
        </is>
      </c>
      <c r="G234" s="14" t="inlineStr">
        <is>
          <t>Rescored 19 Oct 2026 on Nick's main test. gpt-6-astra 0 pass / 2 fail / 0 error.</t>
        </is>
      </c>
      <c r="H234" s="14" t="n">
        <v>6</v>
      </c>
    </row>
    <row r="235">
      <c r="A235" s="15" t="inlineStr">
        <is>
          <t>Passed on test</t>
        </is>
      </c>
      <c r="B235" s="14" t="inlineStr">
        <is>
          <t>issue_816</t>
        </is>
      </c>
      <c r="C235" s="14" t="inlineStr">
        <is>
          <t>0.45.0, 0.45.1, 0.45.2, 0.45.3, 0.46.0, 0.46.1, 0.46.2, 0.46.3, 1.0.0, 1.0.1, 1.0.2, 1.1.0, 1.1.1, 1.1.2, 1.2.0, 1.2.1, 1.2.2, 1.2.4, 2.0.0, 2.2.0, 2.3.0, 2.4.0, 2.5.0</t>
        </is>
      </c>
      <c r="D235" s="14" t="n">
        <v>23</v>
      </c>
      <c r="E235" s="14" t="n"/>
      <c r="F235" s="14" t="n"/>
      <c r="G235" s="14" t="inlineStr">
        <is>
          <t>The LLM passed memory=True to simulator.run() (same code as both luna models).</t>
        </is>
      </c>
      <c r="H235" s="14" t="n">
        <v>6</v>
      </c>
    </row>
    <row r="236">
      <c r="A236" s="17" t="inlineStr">
        <is>
          <t>Runtime error</t>
        </is>
      </c>
      <c r="B236" s="14" t="inlineStr">
        <is>
          <t>issue_876</t>
        </is>
      </c>
      <c r="C236" s="14" t="inlineStr">
        <is>
          <t>1.0.0, 1.0.1, 1.0.2, 1.1.0, 1.1.1, 1.1.2, 1.2.0, 1.2.1, 1.2.2, 1.2.4, 2.0.0, 2.2.0, 2.3.0, 2.4.0, 2.5.0</t>
        </is>
      </c>
      <c r="D236" s="14" t="n">
        <v>15</v>
      </c>
      <c r="E236" s="14" t="inlineStr">
        <is>
          <t>KeyError</t>
        </is>
      </c>
      <c r="F236" s="14" t="inlineStr">
        <is>
          <t>KeyError: 'rho_real'</t>
        </is>
      </c>
      <c r="G236" s="14" t="inlineStr">
        <is>
          <t>The LLM switched to AerSimulator.from_backend(FakeBrisbane, method='density_matrix') and saved the density matrix of the logical qubits, which addresses the noise question, and the script runs; but it stores the result in statevector_real, and the test reads the reference's variable rho_real (KeyError). No updated test exists for this case.</t>
        </is>
      </c>
      <c r="H236" s="14" t="n">
        <v>6</v>
      </c>
    </row>
    <row r="237">
      <c r="A237" s="17" t="inlineStr">
        <is>
          <t>Runtime error</t>
        </is>
      </c>
      <c r="B237" s="14" t="inlineStr">
        <is>
          <t>issue_877</t>
        </is>
      </c>
      <c r="C237" s="14" t="inlineStr">
        <is>
          <t>0.45.0, 0.45.1, 0.45.2, 0.45.3, 0.46.0, 0.46.1, 0.46.2, 0.46.3</t>
        </is>
      </c>
      <c r="D237" s="14" t="n">
        <v>8</v>
      </c>
      <c r="E237" s="14" t="inlineStr">
        <is>
          <t>ModuleNotFoundError</t>
        </is>
      </c>
      <c r="F237" s="14" t="inlineStr">
        <is>
          <t>ModuleNotFoundError: No module named 'qiskit_ibm_runtime'</t>
        </is>
      </c>
      <c r="G237" s="14" t="inlineStr">
        <is>
          <t>The LLM defined the missing backend as FakeWashingtonV2 from qiskit_ibm_runtime.fake_provider, but qiskit_ibm_runtime isn't installed for Qiskit 0.45 / 0.46 (ModuleNotFoundError). gpt-6-luna used the bundled FakeMontreal snapshot and passed.</t>
        </is>
      </c>
      <c r="H237" s="14" t="n">
        <v>6</v>
      </c>
    </row>
    <row r="238">
      <c r="A238" s="15" t="inlineStr">
        <is>
          <t>Failed on test</t>
        </is>
      </c>
      <c r="B238" s="14" t="inlineStr">
        <is>
          <t>issue_886</t>
        </is>
      </c>
      <c r="C238" s="14" t="inlineStr">
        <is>
          <t>0.45.0, 0.45.1</t>
        </is>
      </c>
      <c r="D238" s="14" t="n">
        <v>2</v>
      </c>
      <c r="E238" s="14" t="inlineStr">
        <is>
          <t>AssertionError</t>
        </is>
      </c>
      <c r="F238" s="14" t="inlineStr">
        <is>
          <t>KeyError: 'transpile_circ'; AssertionError: {'00 00': 1024} != {'00': 1024}</t>
        </is>
      </c>
      <c r="G238" s="14" t="inlineStr">
        <is>
          <t>Rescored 19 Oct 2026 on Nick's main test. gpt-6-astra 0 pass / 2 fail / 0 error.</t>
        </is>
      </c>
      <c r="H238" s="14" t="n">
        <v>6</v>
      </c>
    </row>
    <row r="239">
      <c r="A239" s="16" t="inlineStr">
        <is>
          <t>Failed on test</t>
        </is>
      </c>
      <c r="B239" s="14" t="inlineStr">
        <is>
          <t>issue_889</t>
        </is>
      </c>
      <c r="C239" s="14" t="inlineStr">
        <is>
          <t>0.45.0, 0.45.1, 0.45.2, 0.45.3, 0.46.0, 0.46.1, 0.46.2, 0.46.3</t>
        </is>
      </c>
      <c r="D239" s="14" t="n">
        <v>8</v>
      </c>
      <c r="E239" s="14" t="inlineStr">
        <is>
          <t>AssertionError</t>
        </is>
      </c>
      <c r="F239" s="14" t="inlineStr">
        <is>
          <t>AssertionError:</t>
        </is>
      </c>
      <c r="G239" s="14" t="inlineStr">
        <is>
          <t>Error on 0.25.x, failed on 0.45.x / 0.46.x: the LLM rewrote the Hamiltonian (number operator (I - Z) / 2 and XX + YY hopping with a Jordan-Wigner string) and evolved it with PauliEvolutionGate; PauliEvolutionGate doesn't exist in Qiskit 0.25 (ImportError), and on 0.45 / 0.46 the changed Hamiltonian no longer matches the one in the question. Similar to gpt-6-luna.</t>
        </is>
      </c>
      <c r="H239" s="14" t="n">
        <v>6</v>
      </c>
    </row>
    <row r="240">
      <c r="A240" s="17" t="inlineStr">
        <is>
          <t>Runtime error</t>
        </is>
      </c>
      <c r="B240" s="14" t="inlineStr">
        <is>
          <t>issue_889</t>
        </is>
      </c>
      <c r="C240" s="14" t="inlineStr">
        <is>
          <t>0.25.0, 0.25.1, 0.25.2, 0.25.3</t>
        </is>
      </c>
      <c r="D240" s="14" t="n">
        <v>4</v>
      </c>
      <c r="E240" s="14" t="inlineStr">
        <is>
          <t>ImportError</t>
        </is>
      </c>
      <c r="F240" s="14" t="inlineStr">
        <is>
          <t>ImportError: cannot import name 'PauliEvolutionGate' from 'qiskit.circuit.library' (C:\qiskit_envs\q0250\lib\site-packages\qiskit\circuit\library\__init__.py)</t>
        </is>
      </c>
      <c r="G240" s="14" t="inlineStr">
        <is>
          <t>Error on 0.25.x, failed on 0.45.x / 0.46.x: the LLM rewrote the Hamiltonian (number operator (I - Z) / 2 and XX + YY hopping with a Jordan-Wigner string) and evolved it with PauliEvolutionGate; PauliEvolutionGate doesn't exist in Qiskit 0.25 (ImportError), and on 0.45 / 0.46 the changed Hamiltonian no longer matches the one in the question. Similar to gpt-6-luna.</t>
        </is>
      </c>
      <c r="H240" s="14" t="n">
        <v>6</v>
      </c>
    </row>
    <row r="241">
      <c r="A241" s="16" t="inlineStr">
        <is>
          <t>Runtime error</t>
        </is>
      </c>
      <c r="B241" s="14" t="inlineStr">
        <is>
          <t>issue_911</t>
        </is>
      </c>
      <c r="C241" s="14" t="inlineStr">
        <is>
          <t>0.45.0, 0.45.1, 0.45.2, 0.45.3, 0.46.0, 0.46.1, 0.46.2, 0.46.3, 1.0.0, 1.0.1, 1.0.2, 1.1.0, 1.1.1, 1.1.2, 1.2.0, 1.2.1, 1.2.2, 1.2.4, 2.0.0, 2.2.0, 2.3.0, 2.4.0, 2.5.0</t>
        </is>
      </c>
      <c r="D241" s="14" t="n">
        <v>23</v>
      </c>
      <c r="E241" s="14" t="inlineStr">
        <is>
          <t>ValueError</t>
        </is>
      </c>
      <c r="F241" s="14" t="inlineStr">
        <is>
          <t>ValueError: malformed node or string on line 1: &lt;ast.Call object at 0x000001FD730A3F70&gt;</t>
        </is>
      </c>
      <c r="G241" s="14" t="inlineStr">
        <is>
          <t>Rescored 19 Oct 2026 on Nick's main test. gpt-6-astra 0 pass / 0 fail / 23 error.</t>
        </is>
      </c>
      <c r="H241" s="14" t="n">
        <v>6</v>
      </c>
    </row>
    <row r="242">
      <c r="A242" s="17" t="inlineStr">
        <is>
          <t>Runtime error</t>
        </is>
      </c>
      <c r="B242" s="14" t="inlineStr">
        <is>
          <t>issue_925</t>
        </is>
      </c>
      <c r="C242" s="14" t="inlineStr">
        <is>
          <t>0.25.0, 0.25.1, 0.25.2, 0.25.3</t>
        </is>
      </c>
      <c r="D242" s="14" t="n">
        <v>4</v>
      </c>
      <c r="E242" s="14" t="inlineStr">
        <is>
          <t>TranspilerError</t>
        </is>
      </c>
      <c r="F242" s="14" t="inlineStr">
        <is>
          <t>qiskit.transpiler.exceptions.TranspilerError: 'Number of qubits (18) in Shor(N=15, a=2) is greater than maximum (14) in the coupling_map'</t>
        </is>
      </c>
      <c r="G242" s="14" t="inlineStr">
        <is>
          <t>The LLM answered NO BUG: it explained that Aqua's Shor needs 18 qubits for N = 15, more than FakeMelbourne has, but said changing the backend isn't allowed. The code is unchanged, so it fails exactly like the buggy code (TranspilerError). Same answer as gpt-5.6-luna; the reference switches to Aer's qasm_simulator.</t>
        </is>
      </c>
      <c r="H242" s="14" t="n">
        <v>6</v>
      </c>
    </row>
    <row r="243">
      <c r="A243" s="15" t="inlineStr">
        <is>
          <t>Runtime error</t>
        </is>
      </c>
      <c r="B243" s="14" t="inlineStr">
        <is>
          <t>issue_944</t>
        </is>
      </c>
      <c r="C243" s="14" t="inlineStr">
        <is>
          <t>0.25.0, 0.25.1, 0.25.2, 0.25.3, 0.45.0, 0.45.1, 0.45.2, 0.45.3, 0.46.0, 0.46.1, 0.46.2, 0.46.3</t>
        </is>
      </c>
      <c r="D243" s="14" t="n">
        <v>12</v>
      </c>
      <c r="E243" s="14" t="inlineStr">
        <is>
          <t>AttributeError</t>
        </is>
      </c>
      <c r="F243" s="14" t="inlineStr">
        <is>
          <t>AttributeError: 'MatrixOp' object has no attribute 'data'</t>
        </is>
      </c>
      <c r="G243" s="14" t="inlineStr">
        <is>
          <t>Rescored 19 Oct 2026 on Nick's main test. gpt-6-astra 0 pass / 0 fail / 12 error.</t>
        </is>
      </c>
      <c r="H243" s="14" t="n">
        <v>6</v>
      </c>
    </row>
    <row r="244">
      <c r="A244" s="15" t="inlineStr">
        <is>
          <t>Passed on test</t>
        </is>
      </c>
      <c r="B244" s="14" t="inlineStr">
        <is>
          <t>issue_950</t>
        </is>
      </c>
      <c r="C244" s="14" t="inlineStr">
        <is>
          <t>0.25.0, 0.25.1, 0.25.2, 0.25.3, 0.45.0, 0.45.1, 0.45.2, 0.45.3, 0.46.0, 0.46.1, 0.46.2, 0.46.3, 1.0.0, 1.0.1, 1.0.2, 1.1.0, 1.1.1, 1.1.2, 1.2.0, 1.2.1, 1.2.2, 1.2.4, 2.0.0, 2.2.0, 2.3.0, 2.4.0, 2.5.0</t>
        </is>
      </c>
      <c r="D244" s="14" t="n">
        <v>27</v>
      </c>
      <c r="E244" s="14" t="n"/>
      <c r="F244" s="14" t="n"/>
      <c r="G244" s="14" t="inlineStr">
        <is>
          <t>The LLM made the identity N qubits wide and used compose() instead of _add(), so Z is placed on qubits i+1 .. j-1 and the identity elsewhere. Both luna models kept _add(), which adds the operators instead, and failed.</t>
        </is>
      </c>
      <c r="H244" s="14" t="n">
        <v>7</v>
      </c>
    </row>
    <row r="245">
      <c r="A245" s="17" t="inlineStr">
        <is>
          <t>Runtime error</t>
        </is>
      </c>
      <c r="B245" s="14" t="inlineStr">
        <is>
          <t>issue_958</t>
        </is>
      </c>
      <c r="C245" s="14" t="inlineStr">
        <is>
          <t>0.45.0, 0.45.1, 0.45.2, 0.45.3, 0.46.0, 0.46.1, 0.46.2, 0.46.3, 1.0.0, 1.0.1, 1.0.2, 1.1.0, 1.1.1, 1.1.2, 1.2.0, 1.2.1, 1.2.2, 1.2.4, 2.0.0, 2.2.0, 2.3.0, 2.4.0, 2.5.0</t>
        </is>
      </c>
      <c r="D245" s="14" t="n">
        <v>23</v>
      </c>
      <c r="E245" s="14" t="inlineStr">
        <is>
          <t>KeyError</t>
        </is>
      </c>
      <c r="F245" s="14" t="inlineStr">
        <is>
          <t>KeyError: 'qc2'</t>
        </is>
      </c>
      <c r="G245" s="14" t="inlineStr">
        <is>
          <t>Setting the circuit's global phase to pi (qc.global_phase += pi) gives exactly -(H x H) and passes the check on qc, but the test also requires the reference answer's second circuit qc2 (KeyError: 'qc2'). Over-specific test, and no updated test exists for this case; same approach as gpt-6-luna.</t>
        </is>
      </c>
      <c r="H245" s="14" t="n">
        <v>7</v>
      </c>
    </row>
    <row r="246">
      <c r="A246" s="15" t="inlineStr">
        <is>
          <t>Runtime error</t>
        </is>
      </c>
      <c r="B246" s="14" t="inlineStr">
        <is>
          <t>issue_977</t>
        </is>
      </c>
      <c r="C246" s="14" t="inlineStr">
        <is>
          <t>0.45.0, 0.45.1, 0.45.2, 0.45.3, 0.46.0, 0.46.1, 0.46.2, 0.46.3, 1.0.0, 1.0.1, 1.0.2, 1.1.0, 1.1.1, 1.1.2, 1.2.0, 1.2.1, 1.2.2, 1.2.4, 2.0.0, 2.2.0, 2.3.0, 2.4.0, 2.5.0</t>
        </is>
      </c>
      <c r="D246" s="14" t="n">
        <v>23</v>
      </c>
      <c r="E246" s="14" t="inlineStr">
        <is>
          <t>KeyError</t>
        </is>
      </c>
      <c r="F246" s="14" t="inlineStr">
        <is>
          <t>KeyError: 'op'</t>
        </is>
      </c>
      <c r="G246" s="14" t="inlineStr">
        <is>
          <t>Rescored 19 Oct 2026 on Nick's main test. gpt-6-astra 0 pass / 0 fail / 23 error.</t>
        </is>
      </c>
      <c r="H246" s="14" t="n">
        <v>7</v>
      </c>
    </row>
    <row r="247">
      <c r="A247" s="16" t="inlineStr">
        <is>
          <t>Failed on test</t>
        </is>
      </c>
      <c r="B247" s="14" t="inlineStr">
        <is>
          <t>issue_985</t>
        </is>
      </c>
      <c r="C247" s="14" t="inlineStr">
        <is>
          <t>0.45.0, 0.45.1, 0.45.2, 0.45.3, 0.46.0, 0.46.1, 0.46.2, 0.46.3, 1.0.0, 1.0.1, 1.0.2, 1.1.0, 1.1.1, 1.1.2, 1.2.0, 1.2.1, 1.2.2, 1.2.4, 2.0.0, 2.2.0, 2.3.0, 2.4.0, 2.5.0</t>
        </is>
      </c>
      <c r="D247" s="14" t="n">
        <v>23</v>
      </c>
      <c r="E247" s="14" t="inlineStr">
        <is>
          <t>AssertionError</t>
        </is>
      </c>
      <c r="F247" s="14" t="inlineStr">
        <is>
          <t>AssertionError:</t>
        </is>
      </c>
      <c r="G247" s="14" t="inlineStr">
        <is>
          <t>The LLM replaced u1 with p(lam), the identical phase gate, which transpiles to rz plus a global phase and keeps the U1 phase exactly; the current test requires the phase to be dropped (determinant 1), as in the reference. The team's earlier test_before.py, which requires the exact U1 phase, passes this fix on all 23 versions (debatable test, as with both luna models).</t>
        </is>
      </c>
      <c r="H247" s="14" t="n">
        <v>7</v>
      </c>
    </row>
    <row r="248">
      <c r="A248" s="15" t="inlineStr">
        <is>
          <t>Passed on test</t>
        </is>
      </c>
      <c r="B248" s="14" t="inlineStr">
        <is>
          <t>issue_989</t>
        </is>
      </c>
      <c r="C248" s="14" t="inlineStr">
        <is>
          <t>1.0.0, 1.0.1, 1.0.2, 1.1.0, 1.1.1, 1.1.2, 1.2.0, 1.2.1, 1.2.2, 1.2.4, 2.0.0, 2.2.0, 2.3.0, 2.4.0, 2.5.0</t>
        </is>
      </c>
      <c r="D248" s="14" t="n">
        <v>15</v>
      </c>
      <c r="E248" s="14" t="n"/>
      <c r="F248" s="14" t="n"/>
      <c r="G248" s="14" t="inlineStr">
        <is>
          <t>The LLM imported Aer from qiskit_aer (same code as gpt-6-luna).</t>
        </is>
      </c>
      <c r="H248" s="14" t="n">
        <v>7</v>
      </c>
    </row>
    <row r="249">
      <c r="A249" s="15" t="inlineStr">
        <is>
          <t>Runtime error</t>
        </is>
      </c>
      <c r="B249" s="14" t="inlineStr">
        <is>
          <t>issue_994</t>
        </is>
      </c>
      <c r="C249" s="14" t="inlineStr">
        <is>
          <t>0.25.0, 0.25.1, 0.25.2, 0.25.3</t>
        </is>
      </c>
      <c r="D249" s="14" t="n">
        <v>4</v>
      </c>
      <c r="E249" s="14" t="inlineStr">
        <is>
          <t>KeyError</t>
        </is>
      </c>
      <c r="F249" s="14" t="inlineStr">
        <is>
          <t>KeyError: 'statevector'</t>
        </is>
      </c>
      <c r="G249" s="14" t="inlineStr">
        <is>
          <t>Rescored 19 Oct 2026 on Nick's main test. gpt-6-astra 0 pass / 0 fail / 4 error.</t>
        </is>
      </c>
      <c r="H249" s="14" t="n">
        <v>7</v>
      </c>
    </row>
    <row r="250">
      <c r="A250" s="16" t="inlineStr">
        <is>
          <t>Failed on test</t>
        </is>
      </c>
      <c r="B250" s="14" t="inlineStr">
        <is>
          <t>issue_1035</t>
        </is>
      </c>
      <c r="C250" s="14" t="inlineStr">
        <is>
          <t>0.45.0, 0.45.1, 0.45.2, 0.45.3, 0.46.0, 0.46.1, 0.46.2, 0.46.3</t>
        </is>
      </c>
      <c r="D250" s="14" t="n">
        <v>8</v>
      </c>
      <c r="E250" s="14" t="inlineStr">
        <is>
          <t>AssertionError</t>
        </is>
      </c>
      <c r="F250" s="14" t="inlineStr">
        <is>
          <t>AssertionError: OFFLINE_CONTRACT: Runtime account/session is not a local fake backend</t>
        </is>
      </c>
      <c r="G250" s="14" t="inlineStr">
        <is>
          <t>Rescored 19 Oct 2026 on Nick's main test. gpt-6-astra 0 pass / 8 fail / 0 error.</t>
        </is>
      </c>
      <c r="H250" s="14" t="n">
        <v>7</v>
      </c>
    </row>
    <row r="251">
      <c r="A251" s="15" t="inlineStr">
        <is>
          <t>Passed on test</t>
        </is>
      </c>
      <c r="B251" s="14" t="inlineStr">
        <is>
          <t>issue_772</t>
        </is>
      </c>
      <c r="C251" s="14" t="inlineStr">
        <is>
          <t>0.25.0, 0.25.1, 0.25.2, 0.25.3, 0.45.0, 0.45.1, 0.45.2, 0.45.3, 0.46.0, 0.46.1, 0.46.2, 0.46.3</t>
        </is>
      </c>
      <c r="D251" s="14" t="n">
        <v>12</v>
      </c>
      <c r="E251" s="14" t="n"/>
      <c r="F251" s="14" t="n"/>
      <c r="G251" s="14" t="inlineStr">
        <is>
          <t>The LLM passed both register slices as one qubit list (qr1[1:2] + qr2[0:3]) to append() (same code as both luna models).</t>
        </is>
      </c>
      <c r="H251" s="14" t="n">
        <v>8</v>
      </c>
    </row>
    <row r="252">
      <c r="A252" s="16" t="inlineStr">
        <is>
          <t>Failed on test</t>
        </is>
      </c>
      <c r="B252" s="14" t="inlineStr">
        <is>
          <t>issue_790</t>
        </is>
      </c>
      <c r="C252" s="14" t="inlineStr">
        <is>
          <t>0.45.0, 0.45.1, 0.45.2, 0.45.3, 0.46.0, 0.46.1, 0.46.2, 0.46.3, 1.0.0, 1.0.1, 1.0.2, 1.1.0, 1.1.1, 1.1.2, 1.2.0, 1.2.1, 1.2.2, 1.2.4, 2.0.0, 2.2.0, 2.3.0, 2.4.0, 2.5.0</t>
        </is>
      </c>
      <c r="D252" s="14" t="n">
        <v>23</v>
      </c>
      <c r="E252" s="14" t="inlineStr">
        <is>
          <t>AssertionError</t>
        </is>
      </c>
      <c r="F252" s="14" t="inlineStr">
        <is>
          <t>AssertionError: 1.630715739004526 not less than or equal to 0.7083783495810843 : circuit does not approximate exp(-i H) within the six-step second-order bound</t>
        </is>
      </c>
      <c r="G252" s="14" t="inlineStr">
        <is>
          <t>The LLM turned X, Y and Z into SparsePauliOps, which removes the Pauli - Pauli subtraction crash both luna models kept, and attached the SuzukiTrotter synthesis to each separate evolution gate before decompose(). Each bond is then split into six steps on its own, but the bonds are still applied one after another only once, a single coarse Trotter step of the full Hamiltonian, so the distance from exp(-iH) is 1.63, above the test's bound of 0.71. The reference builds one SparsePauliOp Hamiltonian and synthesizes one gate.</t>
        </is>
      </c>
      <c r="H252" s="14" t="n">
        <v>8</v>
      </c>
    </row>
    <row r="253">
      <c r="A253" s="17" t="inlineStr">
        <is>
          <t>Runtime error</t>
        </is>
      </c>
      <c r="B253" s="14" t="inlineStr">
        <is>
          <t>issue_827</t>
        </is>
      </c>
      <c r="C253" s="14" t="inlineStr">
        <is>
          <t>0.25.0, 0.25.1, 0.25.2, 0.25.3, 0.45.0, 0.45.1, 0.45.2, 0.45.3, 0.46.0, 0.46.1, 0.46.2, 0.46.3</t>
        </is>
      </c>
      <c r="D253" s="14" t="n">
        <v>12</v>
      </c>
      <c r="E253" s="14" t="inlineStr">
        <is>
          <t>ModuleNotFoundError</t>
        </is>
      </c>
      <c r="F253" s="14" t="inlineStr">
        <is>
          <t>ModuleNotFoundError: No module named 'qiskit.backends'</t>
        </is>
      </c>
      <c r="G253" s="14" t="inlineStr">
        <is>
          <t>The LLM replaced compile() with transpile() + assemble(), but the code still imports qiskit.backends, which no longer exists (ModuleNotFoundError). Same problem as both luna models.</t>
        </is>
      </c>
      <c r="H253" s="14" t="n">
        <v>8</v>
      </c>
    </row>
    <row r="254">
      <c r="A254" s="17" t="inlineStr">
        <is>
          <t>Runtime error</t>
        </is>
      </c>
      <c r="B254" s="14" t="inlineStr">
        <is>
          <t>issue_858</t>
        </is>
      </c>
      <c r="C254" s="14" t="inlineStr">
        <is>
          <t>0.45.0, 0.45.1, 0.45.2, 0.45.3, 0.46.0, 0.46.1, 0.46.2, 0.46.3</t>
        </is>
      </c>
      <c r="D254" s="14" t="n">
        <v>8</v>
      </c>
      <c r="E254" s="14" t="inlineStr">
        <is>
          <t>AttributeError</t>
        </is>
      </c>
      <c r="F254" s="14" t="inlineStr">
        <is>
          <t>AttributeError: 'FakeOslo' object has no attribute 'properties'</t>
        </is>
      </c>
      <c r="G254" s="14" t="inlineStr">
        <is>
          <t>The LLM switched from IBMQ to the FakeOslo snapshot of the retired backend, but the code still calls properties(), which FakeOslo doesn't have (AttributeError); the reference reads backend.qubit_properties(). Same problem as gpt-5.6-luna.</t>
        </is>
      </c>
      <c r="H254" s="14" t="n">
        <v>8</v>
      </c>
    </row>
    <row r="255">
      <c r="A255" s="15" t="inlineStr">
        <is>
          <t>Passed on test</t>
        </is>
      </c>
      <c r="B255" s="14" t="inlineStr">
        <is>
          <t>issue_901</t>
        </is>
      </c>
      <c r="C255" s="14" t="inlineStr">
        <is>
          <t>0.45.0, 0.45.1, 0.45.2, 0.45.3, 0.46.0, 0.46.1, 0.46.2, 0.46.3, 1.0.0, 1.0.1, 1.0.2, 1.1.0, 1.1.1, 1.1.2, 1.2.0, 1.2.1, 1.2.2, 1.2.4, 2.0.0</t>
        </is>
      </c>
      <c r="D255" s="14" t="n">
        <v>19</v>
      </c>
      <c r="E255" s="14" t="n"/>
      <c r="F255" s="14" t="n"/>
      <c r="G255" s="14" t="inlineStr">
        <is>
          <t>The LLM kept the S gate and registered the exact decomposition S = T T with SGate().add_decomposition(), so the transpiler can translate the circuit into the {H, T, CNOT} basis. The first run timed out on 0.46.3 under load; a rerun with a single worker passed all 19 versions.</t>
        </is>
      </c>
      <c r="H255" s="14" t="n">
        <v>8</v>
      </c>
    </row>
    <row r="256">
      <c r="A256" s="17" t="inlineStr">
        <is>
          <t>Runtime error</t>
        </is>
      </c>
      <c r="B256" s="14" t="inlineStr">
        <is>
          <t>issue_921</t>
        </is>
      </c>
      <c r="C256" s="14" t="inlineStr">
        <is>
          <t>0.25.0, 0.25.1, 0.25.2, 0.25.3</t>
        </is>
      </c>
      <c r="D256" s="14" t="n">
        <v>4</v>
      </c>
      <c r="E256" s="14" t="inlineStr">
        <is>
          <t>ImportError</t>
        </is>
      </c>
      <c r="F256" s="14" t="inlineStr">
        <is>
          <t>ImportError: cannot import name 'run_algorithm' from 'qiskit.aqua' (C:\qiskit_envs\q0250\lib\site-packages\qiskit\aqua\__init__.py)</t>
        </is>
      </c>
      <c r="G256" s="14" t="inlineStr">
        <is>
          <t>The LLM changed the problem name from 'ising' to 'energy' but kept the run_algorithm import, which no longer exists in qiskit.aqua (ImportError). Both luna models also left run_algorithm in place.</t>
        </is>
      </c>
      <c r="H256" s="14" t="n">
        <v>8</v>
      </c>
    </row>
  </sheetData>
  <conditionalFormatting sqref="B103:B175">
    <cfRule type="cellIs" priority="1" operator="equal" dxfId="0">
      <formula>"YES"</formula>
    </cfRule>
    <cfRule type="cellIs" priority="2" operator="equal" dxfId="1">
      <formula>"NO"</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2026-10-13T16:31:31Z</dcterms:created>
  <dcterms:modified xsi:type="dcterms:W3CDTF">2026-10-19T21:01:27Z</dcterms:modified>
</cp:coreProperties>
</file>