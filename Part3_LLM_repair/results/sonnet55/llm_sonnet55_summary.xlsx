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issue_018_se</t>
        </is>
      </c>
      <c r="B3" s="3" t="inlineStr">
        <is>
          <t>NOT_TESTED</t>
        </is>
      </c>
      <c r="C3" s="3" t="inlineStr">
        <is>
          <t>NOT_TESTED</t>
        </is>
      </c>
      <c r="D3" s="3" t="inlineStr">
        <is>
          <t>NOT_TESTED</t>
        </is>
      </c>
      <c r="E3" s="3" t="inlineStr">
        <is>
          <t>NOT_TESTED</t>
        </is>
      </c>
      <c r="F3" s="3" t="inlineStr">
        <is>
          <t>NOT_TESTED</t>
        </is>
      </c>
      <c r="G3" s="3" t="inlineStr">
        <is>
          <t>NOT_TESTED</t>
        </is>
      </c>
      <c r="H3" s="3" t="inlineStr">
        <is>
          <t>NOT_TESTED</t>
        </is>
      </c>
      <c r="I3" s="3" t="inlineStr">
        <is>
          <t>NOT_TESTED</t>
        </is>
      </c>
      <c r="J3" s="3" t="inlineStr">
        <is>
          <t>NOT_TESTED</t>
        </is>
      </c>
      <c r="K3" s="3" t="inlineStr">
        <is>
          <t>NOT_TESTED</t>
        </is>
      </c>
      <c r="L3" s="3" t="inlineStr">
        <is>
          <t>NOT_TESTED</t>
        </is>
      </c>
      <c r="M3" s="3" t="inlineStr">
        <is>
          <t>NOT_TESTED</t>
        </is>
      </c>
      <c r="N3" s="5" t="inlineStr">
        <is>
          <t>Failed on test</t>
        </is>
      </c>
      <c r="O3" s="5" t="inlineStr">
        <is>
          <t>Failed on test</t>
        </is>
      </c>
      <c r="P3" s="5" t="inlineStr">
        <is>
          <t>Failed on test</t>
        </is>
      </c>
      <c r="Q3" s="5" t="inlineStr">
        <is>
          <t>Failed on test</t>
        </is>
      </c>
      <c r="R3" s="5" t="inlineStr">
        <is>
          <t>Failed on test</t>
        </is>
      </c>
      <c r="S3" s="5" t="inlineStr">
        <is>
          <t>Failed on test</t>
        </is>
      </c>
      <c r="T3" s="5" t="inlineStr">
        <is>
          <t>Failed on test</t>
        </is>
      </c>
      <c r="U3" s="5" t="inlineStr">
        <is>
          <t>Failed on test</t>
        </is>
      </c>
      <c r="V3" s="5" t="inlineStr">
        <is>
          <t>Failed on test</t>
        </is>
      </c>
      <c r="W3" s="5" t="inlineStr">
        <is>
          <t>Failed on test</t>
        </is>
      </c>
      <c r="X3" s="5" t="inlineStr">
        <is>
          <t>Failed on test</t>
        </is>
      </c>
      <c r="Y3" s="5" t="inlineStr">
        <is>
          <t>Failed on test</t>
        </is>
      </c>
      <c r="Z3" s="5" t="inlineStr">
        <is>
          <t>Failed on test</t>
        </is>
      </c>
      <c r="AA3" s="5" t="inlineStr">
        <is>
          <t>Failed on test</t>
        </is>
      </c>
      <c r="AB3" s="5" t="inlineStr">
        <is>
          <t>Failed on test</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inlineStr">
        <is>
          <t>AssertionError</t>
        </is>
      </c>
      <c r="BN3" s="2" t="inlineStr">
        <is>
          <t>RuntimeError: SIMULATOR_PROCESS_ERROR: exit=3221226356 (0xC0000374); AssertionError:</t>
        </is>
      </c>
      <c r="BO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P3" s="2" t="inlineStr">
        <is>
          <t>AssertionError</t>
        </is>
      </c>
      <c r="BQ3" s="2" t="inlineStr">
        <is>
          <t>RuntimeError: SIMULATOR_PROCESS_ERROR: exit=3221226356 (0xC0000374); AssertionError:</t>
        </is>
      </c>
      <c r="BR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S3" s="2" t="inlineStr">
        <is>
          <t>AssertionError</t>
        </is>
      </c>
      <c r="BT3" s="2" t="inlineStr">
        <is>
          <t>RuntimeError: SIMULATOR_PROCESS_ERROR: exit=3221226356 (0xC0000374); AssertionError:</t>
        </is>
      </c>
      <c r="BU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V3" s="2" t="inlineStr">
        <is>
          <t>AssertionError</t>
        </is>
      </c>
      <c r="BW3" s="2" t="inlineStr">
        <is>
          <t>RuntimeError: SIMULATOR_PROCESS_ERROR: exit=3221225477 (0xC0000005); AssertionError:</t>
        </is>
      </c>
      <c r="BX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BY3" s="2" t="inlineStr">
        <is>
          <t>AssertionError</t>
        </is>
      </c>
      <c r="BZ3" s="2" t="inlineStr">
        <is>
          <t>RuntimeError: SIMULATOR_PROCESS_ERROR: exit=3221226356 (0xC0000374); AssertionError:</t>
        </is>
      </c>
      <c r="CA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B3" s="2" t="inlineStr">
        <is>
          <t>AssertionError</t>
        </is>
      </c>
      <c r="CC3" s="2" t="inlineStr">
        <is>
          <t>RuntimeError: SIMULATOR_PROCESS_ERROR: exit=3221226356 (0xC0000374); AssertionError:</t>
        </is>
      </c>
      <c r="CD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E3" s="2" t="inlineStr">
        <is>
          <t>AssertionError</t>
        </is>
      </c>
      <c r="CF3" s="2" t="inlineStr">
        <is>
          <t>RuntimeError: SIMULATOR_PROCESS_ERROR: exit=3221226356 (0xC0000374); AssertionError:</t>
        </is>
      </c>
      <c r="CG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H3" s="2" t="inlineStr">
        <is>
          <t>AssertionError</t>
        </is>
      </c>
      <c r="CI3" s="2" t="inlineStr">
        <is>
          <t>RuntimeError: SIMULATOR_PROCESS_ERROR: exit=3221226356 (0xC0000374); AssertionError:</t>
        </is>
      </c>
      <c r="CJ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K3" s="2" t="inlineStr">
        <is>
          <t>AssertionError</t>
        </is>
      </c>
      <c r="CL3" s="2" t="inlineStr">
        <is>
          <t>RuntimeError: SIMULATOR_PROCESS_ERROR: exit=3221226356 (0xC0000374); AssertionError:</t>
        </is>
      </c>
      <c r="CM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N3" s="2" t="inlineStr">
        <is>
          <t>AssertionError</t>
        </is>
      </c>
      <c r="CO3" s="2" t="inlineStr">
        <is>
          <t>RuntimeError: SIMULATOR_PROCESS_ERROR: exit=3221226356 (0xC0000374); AssertionError:</t>
        </is>
      </c>
      <c r="CP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Q3" s="2" t="inlineStr">
        <is>
          <t>AssertionError</t>
        </is>
      </c>
      <c r="CR3" s="2" t="inlineStr">
        <is>
          <t>RuntimeError: SIMULATOR_PROCESS_ERROR: exit=3221226356 (0xC0000374); AssertionError:</t>
        </is>
      </c>
      <c r="CS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T3" s="2" t="inlineStr">
        <is>
          <t>AssertionError</t>
        </is>
      </c>
      <c r="CU3" s="2" t="inlineStr">
        <is>
          <t>RuntimeError: SIMULATOR_PROCESS_ERROR: exit=3221225477 (0xC0000005); AssertionError:</t>
        </is>
      </c>
      <c r="CV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W3" s="2" t="inlineStr">
        <is>
          <t>AssertionError</t>
        </is>
      </c>
      <c r="CX3" s="2" t="inlineStr">
        <is>
          <t>RuntimeError: SIMULATOR_PROCESS_ERROR: exit=3221225477 (0xC0000005); AssertionError:</t>
        </is>
      </c>
      <c r="CY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CZ3" s="2" t="inlineStr">
        <is>
          <t>AssertionError</t>
        </is>
      </c>
      <c r="DA3" s="2" t="inlineStr">
        <is>
          <t>RuntimeError: SIMULATOR_PROCESS_ERROR: exit=3221226356 (0xC0000374); AssertionError:</t>
        </is>
      </c>
      <c r="DB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DC3" s="2" t="inlineStr">
        <is>
          <t>AssertionError</t>
        </is>
      </c>
      <c r="DD3" s="2" t="inlineStr">
        <is>
          <t>RuntimeError: SIMULATOR_PROCESS_ERROR: exit=3221226356 (0xC0000374); AssertionError:</t>
        </is>
      </c>
      <c r="DE3" s="2"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row>
    <row r="4">
      <c r="A4" s="2" t="inlineStr">
        <is>
          <t>issue_021_se</t>
        </is>
      </c>
      <c r="B4" s="4" t="inlineStr">
        <is>
          <t>Passed on test</t>
        </is>
      </c>
      <c r="C4" s="4" t="inlineStr">
        <is>
          <t>Passed on test</t>
        </is>
      </c>
      <c r="D4" s="4" t="inlineStr">
        <is>
          <t>Passed on test</t>
        </is>
      </c>
      <c r="E4" s="4" t="inlineStr">
        <is>
          <t>Passed on test</t>
        </is>
      </c>
      <c r="F4" s="4" t="inlineStr">
        <is>
          <t>Passed on test</t>
        </is>
      </c>
      <c r="G4" s="4" t="inlineStr">
        <is>
          <t>Passed on test</t>
        </is>
      </c>
      <c r="H4" s="4" t="inlineStr">
        <is>
          <t>Passed on test</t>
        </is>
      </c>
      <c r="I4" s="4" t="inlineStr">
        <is>
          <t>Passed on test</t>
        </is>
      </c>
      <c r="J4" s="4" t="inlineStr">
        <is>
          <t>Passed on test</t>
        </is>
      </c>
      <c r="K4" s="4" t="inlineStr">
        <is>
          <t>Passed on test</t>
        </is>
      </c>
      <c r="L4" s="4" t="inlineStr">
        <is>
          <t>Passed on test</t>
        </is>
      </c>
      <c r="M4" s="4" t="inlineStr">
        <is>
          <t>Passed on test</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issue_032_se</t>
        </is>
      </c>
      <c r="B5" s="4" t="inlineStr">
        <is>
          <t>Passed on test</t>
        </is>
      </c>
      <c r="C5" s="4" t="inlineStr">
        <is>
          <t>Passed on test</t>
        </is>
      </c>
      <c r="D5" s="4" t="inlineStr">
        <is>
          <t>Passed on test</t>
        </is>
      </c>
      <c r="E5" s="4" t="inlineStr">
        <is>
          <t>Passed on test</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3" t="inlineStr">
        <is>
          <t>NOT_TESTED</t>
        </is>
      </c>
      <c r="O5" s="3" t="inlineStr">
        <is>
          <t>NOT_TESTED</t>
        </is>
      </c>
      <c r="P5" s="3" t="inlineStr">
        <is>
          <t>NOT_TESTED</t>
        </is>
      </c>
      <c r="Q5" s="3" t="inlineStr">
        <is>
          <t>NOT_TESTED</t>
        </is>
      </c>
      <c r="R5" s="3" t="inlineStr">
        <is>
          <t>NOT_TESTED</t>
        </is>
      </c>
      <c r="S5" s="3" t="inlineStr">
        <is>
          <t>NOT_TESTED</t>
        </is>
      </c>
      <c r="T5" s="3" t="inlineStr">
        <is>
          <t>NOT_TESTED</t>
        </is>
      </c>
      <c r="U5" s="3" t="inlineStr">
        <is>
          <t>NOT_TESTED</t>
        </is>
      </c>
      <c r="V5" s="3" t="inlineStr">
        <is>
          <t>NOT_TESTED</t>
        </is>
      </c>
      <c r="W5" s="3" t="inlineStr">
        <is>
          <t>NOT_TESTED</t>
        </is>
      </c>
      <c r="X5" s="3" t="inlineStr">
        <is>
          <t>NOT_TESTED</t>
        </is>
      </c>
      <c r="Y5" s="3" t="inlineStr">
        <is>
          <t>NOT_TESTED</t>
        </is>
      </c>
      <c r="Z5" s="3" t="inlineStr">
        <is>
          <t>NOT_TESTED</t>
        </is>
      </c>
      <c r="AA5" s="3" t="inlineStr">
        <is>
          <t>NOT_TESTED</t>
        </is>
      </c>
      <c r="AB5" s="3" t="inlineStr">
        <is>
          <t>NOT_TESTED</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issue_034</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issue_036</t>
        </is>
      </c>
      <c r="B7" s="3" t="inlineStr">
        <is>
          <t>NOT_TESTED</t>
        </is>
      </c>
      <c r="C7" s="3" t="inlineStr">
        <is>
          <t>NOT_TESTED</t>
        </is>
      </c>
      <c r="D7" s="3" t="inlineStr">
        <is>
          <t>NOT_TESTED</t>
        </is>
      </c>
      <c r="E7" s="3" t="inlineStr">
        <is>
          <t>NOT_TESTED</t>
        </is>
      </c>
      <c r="F7" s="3" t="inlineStr">
        <is>
          <t>NOT_TESTED</t>
        </is>
      </c>
      <c r="G7" s="3" t="inlineStr">
        <is>
          <t>NOT_TESTED</t>
        </is>
      </c>
      <c r="H7" s="3" t="inlineStr">
        <is>
          <t>NOT_TESTED</t>
        </is>
      </c>
      <c r="I7" s="3" t="inlineStr">
        <is>
          <t>NOT_TESTED</t>
        </is>
      </c>
      <c r="J7" s="3" t="inlineStr">
        <is>
          <t>NOT_TESTED</t>
        </is>
      </c>
      <c r="K7" s="3" t="inlineStr">
        <is>
          <t>NOT_TESTED</t>
        </is>
      </c>
      <c r="L7" s="3" t="inlineStr">
        <is>
          <t>NOT_TESTED</t>
        </is>
      </c>
      <c r="M7" s="3" t="inlineStr">
        <is>
          <t>NOT_TESTED</t>
        </is>
      </c>
      <c r="N7" s="4" t="inlineStr">
        <is>
          <t>Passed on test</t>
        </is>
      </c>
      <c r="O7" s="4" t="inlineStr">
        <is>
          <t>Passed on test</t>
        </is>
      </c>
      <c r="P7" s="4" t="inlineStr">
        <is>
          <t>Passed on test</t>
        </is>
      </c>
      <c r="Q7" s="4" t="inlineStr">
        <is>
          <t>Passed on test</t>
        </is>
      </c>
      <c r="R7" s="4" t="inlineStr">
        <is>
          <t>Passed on test</t>
        </is>
      </c>
      <c r="S7" s="4" t="inlineStr">
        <is>
          <t>Passed on test</t>
        </is>
      </c>
      <c r="T7" s="4" t="inlineStr">
        <is>
          <t>Passed on test</t>
        </is>
      </c>
      <c r="U7" s="4" t="inlineStr">
        <is>
          <t>Passed on test</t>
        </is>
      </c>
      <c r="V7" s="4" t="inlineStr">
        <is>
          <t>Passed on test</t>
        </is>
      </c>
      <c r="W7" s="4" t="inlineStr">
        <is>
          <t>Passed on test</t>
        </is>
      </c>
      <c r="X7" s="4" t="inlineStr">
        <is>
          <t>Passed on test</t>
        </is>
      </c>
      <c r="Y7" s="4" t="inlineStr">
        <is>
          <t>Passed on test</t>
        </is>
      </c>
      <c r="Z7" s="4" t="inlineStr">
        <is>
          <t>Passed on test</t>
        </is>
      </c>
      <c r="AA7" s="4" t="inlineStr">
        <is>
          <t>Passed on test</t>
        </is>
      </c>
      <c r="AB7" s="4" t="inlineStr">
        <is>
          <t>Passed on test</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issue_058_se</t>
        </is>
      </c>
      <c r="B8" s="4" t="inlineStr">
        <is>
          <t>Passed on test</t>
        </is>
      </c>
      <c r="C8" s="4" t="inlineStr">
        <is>
          <t>Passed on test</t>
        </is>
      </c>
      <c r="D8" s="4" t="inlineStr">
        <is>
          <t>Passed on test</t>
        </is>
      </c>
      <c r="E8" s="4" t="inlineStr">
        <is>
          <t>Passed on test</t>
        </is>
      </c>
      <c r="F8" s="4" t="inlineStr">
        <is>
          <t>Passed on test</t>
        </is>
      </c>
      <c r="G8" s="4" t="inlineStr">
        <is>
          <t>Passed on test</t>
        </is>
      </c>
      <c r="H8" s="4" t="inlineStr">
        <is>
          <t>Passed on test</t>
        </is>
      </c>
      <c r="I8" s="4" t="inlineStr">
        <is>
          <t>Passed on test</t>
        </is>
      </c>
      <c r="J8" s="4" t="inlineStr">
        <is>
          <t>Passed on test</t>
        </is>
      </c>
      <c r="K8" s="4" t="inlineStr">
        <is>
          <t>Passed on test</t>
        </is>
      </c>
      <c r="L8" s="4" t="inlineStr">
        <is>
          <t>Passed on test</t>
        </is>
      </c>
      <c r="M8" s="4" t="inlineStr">
        <is>
          <t>Passed on test</t>
        </is>
      </c>
      <c r="N8" s="3" t="inlineStr">
        <is>
          <t>NOT_TESTED</t>
        </is>
      </c>
      <c r="O8" s="3" t="inlineStr">
        <is>
          <t>NOT_TESTED</t>
        </is>
      </c>
      <c r="P8" s="3" t="inlineStr">
        <is>
          <t>NOT_TESTED</t>
        </is>
      </c>
      <c r="Q8" s="3" t="inlineStr">
        <is>
          <t>NOT_TESTED</t>
        </is>
      </c>
      <c r="R8" s="3" t="inlineStr">
        <is>
          <t>NOT_TESTED</t>
        </is>
      </c>
      <c r="S8" s="3" t="inlineStr">
        <is>
          <t>NOT_TESTED</t>
        </is>
      </c>
      <c r="T8" s="3" t="inlineStr">
        <is>
          <t>NOT_TESTED</t>
        </is>
      </c>
      <c r="U8" s="3" t="inlineStr">
        <is>
          <t>NOT_TESTED</t>
        </is>
      </c>
      <c r="V8" s="3" t="inlineStr">
        <is>
          <t>NOT_TESTED</t>
        </is>
      </c>
      <c r="W8" s="3" t="inlineStr">
        <is>
          <t>NOT_TESTED</t>
        </is>
      </c>
      <c r="X8" s="3" t="inlineStr">
        <is>
          <t>NOT_TESTED</t>
        </is>
      </c>
      <c r="Y8" s="3" t="inlineStr">
        <is>
          <t>NOT_TESTED</t>
        </is>
      </c>
      <c r="Z8" s="3" t="inlineStr">
        <is>
          <t>NOT_TESTED</t>
        </is>
      </c>
      <c r="AA8" s="3" t="inlineStr">
        <is>
          <t>NOT_TESTED</t>
        </is>
      </c>
      <c r="AB8" s="3" t="inlineStr">
        <is>
          <t>NOT_TESTED</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issue_061</t>
        </is>
      </c>
      <c r="B9" s="3" t="inlineStr">
        <is>
          <t>NOT_TESTED</t>
        </is>
      </c>
      <c r="C9" s="3" t="inlineStr">
        <is>
          <t>NOT_TESTED</t>
        </is>
      </c>
      <c r="D9" s="3" t="inlineStr">
        <is>
          <t>NOT_TESTED</t>
        </is>
      </c>
      <c r="E9" s="3" t="inlineStr">
        <is>
          <t>NOT_TESTED</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4" t="inlineStr">
        <is>
          <t>Passed on test</t>
        </is>
      </c>
      <c r="O9" s="4" t="inlineStr">
        <is>
          <t>Passed on test</t>
        </is>
      </c>
      <c r="P9" s="4" t="inlineStr">
        <is>
          <t>Passed on test</t>
        </is>
      </c>
      <c r="Q9" s="4" t="inlineStr">
        <is>
          <t>Passed on test</t>
        </is>
      </c>
      <c r="R9" s="4" t="inlineStr">
        <is>
          <t>Passed on test</t>
        </is>
      </c>
      <c r="S9" s="4" t="inlineStr">
        <is>
          <t>Passed on test</t>
        </is>
      </c>
      <c r="T9" s="4" t="inlineStr">
        <is>
          <t>Passed on test</t>
        </is>
      </c>
      <c r="U9" s="4" t="inlineStr">
        <is>
          <t>Passed on test</t>
        </is>
      </c>
      <c r="V9" s="4" t="inlineStr">
        <is>
          <t>Passed on test</t>
        </is>
      </c>
      <c r="W9" s="4" t="inlineStr">
        <is>
          <t>Passed on test</t>
        </is>
      </c>
      <c r="X9" s="4" t="inlineStr">
        <is>
          <t>Passed on test</t>
        </is>
      </c>
      <c r="Y9" s="4" t="inlineStr">
        <is>
          <t>Passed on test</t>
        </is>
      </c>
      <c r="Z9" s="4" t="inlineStr">
        <is>
          <t>Passed on test</t>
        </is>
      </c>
      <c r="AA9" s="4" t="inlineStr">
        <is>
          <t>Passed on test</t>
        </is>
      </c>
      <c r="AB9" s="4" t="inlineStr">
        <is>
          <t>Passed on test</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c r="CW9" s="2" t="n"/>
      <c r="CX9" s="2" t="n"/>
      <c r="CY9" s="2" t="n"/>
      <c r="CZ9" s="2" t="n"/>
      <c r="DA9" s="2" t="n"/>
      <c r="DB9" s="2" t="n"/>
      <c r="DC9" s="2" t="n"/>
      <c r="DD9" s="2" t="n"/>
      <c r="DE9" s="2" t="n"/>
    </row>
    <row r="10">
      <c r="A10" s="2" t="inlineStr">
        <is>
          <t>issue_072</t>
        </is>
      </c>
      <c r="B10" s="4" t="inlineStr">
        <is>
          <t>Passed on test</t>
        </is>
      </c>
      <c r="C10" s="4" t="inlineStr">
        <is>
          <t>Passed on test</t>
        </is>
      </c>
      <c r="D10" s="4" t="inlineStr">
        <is>
          <t>Passed on test</t>
        </is>
      </c>
      <c r="E10" s="4" t="inlineStr">
        <is>
          <t>Passed on test</t>
        </is>
      </c>
      <c r="F10" s="3" t="inlineStr">
        <is>
          <t>NOT_TESTED</t>
        </is>
      </c>
      <c r="G10" s="3" t="inlineStr">
        <is>
          <t>NOT_TESTED</t>
        </is>
      </c>
      <c r="H10" s="3" t="inlineStr">
        <is>
          <t>NOT_TESTED</t>
        </is>
      </c>
      <c r="I10" s="3" t="inlineStr">
        <is>
          <t>NOT_TESTED</t>
        </is>
      </c>
      <c r="J10" s="3" t="inlineStr">
        <is>
          <t>NOT_TESTED</t>
        </is>
      </c>
      <c r="K10" s="3" t="inlineStr">
        <is>
          <t>NOT_TESTED</t>
        </is>
      </c>
      <c r="L10" s="3" t="inlineStr">
        <is>
          <t>NOT_TESTED</t>
        </is>
      </c>
      <c r="M10" s="3" t="inlineStr">
        <is>
          <t>NOT_TESTED</t>
        </is>
      </c>
      <c r="N10" s="3" t="inlineStr">
        <is>
          <t>NOT_TESTED</t>
        </is>
      </c>
      <c r="O10" s="3" t="inlineStr">
        <is>
          <t>NOT_TESTED</t>
        </is>
      </c>
      <c r="P10" s="3" t="inlineStr">
        <is>
          <t>NOT_TESTED</t>
        </is>
      </c>
      <c r="Q10" s="3" t="inlineStr">
        <is>
          <t>NOT_TESTED</t>
        </is>
      </c>
      <c r="R10" s="3" t="inlineStr">
        <is>
          <t>NOT_TESTED</t>
        </is>
      </c>
      <c r="S10" s="3" t="inlineStr">
        <is>
          <t>NOT_TESTED</t>
        </is>
      </c>
      <c r="T10" s="3" t="inlineStr">
        <is>
          <t>NOT_TESTED</t>
        </is>
      </c>
      <c r="U10" s="3" t="inlineStr">
        <is>
          <t>NOT_TESTED</t>
        </is>
      </c>
      <c r="V10" s="3" t="inlineStr">
        <is>
          <t>NOT_TESTED</t>
        </is>
      </c>
      <c r="W10" s="3" t="inlineStr">
        <is>
          <t>NOT_TESTED</t>
        </is>
      </c>
      <c r="X10" s="3" t="inlineStr">
        <is>
          <t>NOT_TESTED</t>
        </is>
      </c>
      <c r="Y10" s="3" t="inlineStr">
        <is>
          <t>NOT_TESTED</t>
        </is>
      </c>
      <c r="Z10" s="3" t="inlineStr">
        <is>
          <t>NOT_TESTED</t>
        </is>
      </c>
      <c r="AA10" s="3" t="inlineStr">
        <is>
          <t>NOT_TESTED</t>
        </is>
      </c>
      <c r="AB10" s="3" t="inlineStr">
        <is>
          <t>NOT_TESTED</t>
        </is>
      </c>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c r="CW10" s="2" t="n"/>
      <c r="CX10" s="2" t="n"/>
      <c r="CY10" s="2" t="n"/>
      <c r="CZ10" s="2" t="n"/>
      <c r="DA10" s="2" t="n"/>
      <c r="DB10" s="2" t="n"/>
      <c r="DC10" s="2" t="n"/>
      <c r="DD10" s="2" t="n"/>
      <c r="DE10" s="2" t="n"/>
    </row>
    <row r="11">
      <c r="A11" s="2" t="inlineStr">
        <is>
          <t>issue_096</t>
        </is>
      </c>
      <c r="B11" s="5" t="inlineStr">
        <is>
          <t>Failed on test</t>
        </is>
      </c>
      <c r="C11" s="5" t="inlineStr">
        <is>
          <t>Failed on test</t>
        </is>
      </c>
      <c r="D11" s="5" t="inlineStr">
        <is>
          <t>Failed on test</t>
        </is>
      </c>
      <c r="E11" s="5" t="inlineStr">
        <is>
          <t>Failed on test</t>
        </is>
      </c>
      <c r="F11" s="5" t="inlineStr">
        <is>
          <t>Failed on test</t>
        </is>
      </c>
      <c r="G11" s="5" t="inlineStr">
        <is>
          <t>Failed on test</t>
        </is>
      </c>
      <c r="H11" s="5" t="inlineStr">
        <is>
          <t>Failed on test</t>
        </is>
      </c>
      <c r="I11" s="5" t="inlineStr">
        <is>
          <t>Failed on test</t>
        </is>
      </c>
      <c r="J11" s="5" t="inlineStr">
        <is>
          <t>Failed on test</t>
        </is>
      </c>
      <c r="K11" s="5" t="inlineStr">
        <is>
          <t>Failed on test</t>
        </is>
      </c>
      <c r="L11" s="5" t="inlineStr">
        <is>
          <t>Failed on test</t>
        </is>
      </c>
      <c r="M11" s="5" t="inlineStr">
        <is>
          <t>Failed on test</t>
        </is>
      </c>
      <c r="N11" s="5" t="inlineStr">
        <is>
          <t>Failed on test</t>
        </is>
      </c>
      <c r="O11" s="5" t="inlineStr">
        <is>
          <t>Failed on test</t>
        </is>
      </c>
      <c r="P11" s="5" t="inlineStr">
        <is>
          <t>Failed on test</t>
        </is>
      </c>
      <c r="Q11" s="5" t="inlineStr">
        <is>
          <t>Failed on test</t>
        </is>
      </c>
      <c r="R11" s="5" t="inlineStr">
        <is>
          <t>Failed on test</t>
        </is>
      </c>
      <c r="S11" s="5" t="inlineStr">
        <is>
          <t>Failed on test</t>
        </is>
      </c>
      <c r="T11" s="5" t="inlineStr">
        <is>
          <t>Failed on test</t>
        </is>
      </c>
      <c r="U11" s="5" t="inlineStr">
        <is>
          <t>Failed on test</t>
        </is>
      </c>
      <c r="V11" s="5" t="inlineStr">
        <is>
          <t>Failed on test</t>
        </is>
      </c>
      <c r="W11" s="5" t="inlineStr">
        <is>
          <t>Failed on test</t>
        </is>
      </c>
      <c r="X11" s="5" t="inlineStr">
        <is>
          <t>Failed on test</t>
        </is>
      </c>
      <c r="Y11" s="5" t="inlineStr">
        <is>
          <t>Failed on test</t>
        </is>
      </c>
      <c r="Z11" s="5" t="inlineStr">
        <is>
          <t>Failed on test</t>
        </is>
      </c>
      <c r="AA11" s="5" t="inlineStr">
        <is>
          <t>Failed on test</t>
        </is>
      </c>
      <c r="AB11" s="5" t="inlineStr">
        <is>
          <t>Failed on test</t>
        </is>
      </c>
      <c r="AC11" s="2" t="inlineStr">
        <is>
          <t>AssertionError</t>
        </is>
      </c>
      <c r="AD11" s="2" t="inlineStr">
        <is>
          <t>AssertionError: '' != '[default]\n'; AssertionError: False is not true : Missing ipython_kernel_config.py (even when the profile directory already exists)</t>
        </is>
      </c>
      <c r="AE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F11" s="2" t="inlineStr">
        <is>
          <t>AssertionError</t>
        </is>
      </c>
      <c r="AG11" s="2" t="inlineStr">
        <is>
          <t>AssertionError: '' != '[default]\n'; AssertionError: False is not true : Missing ipython_kernel_config.py (even when the profile directory already exists)</t>
        </is>
      </c>
      <c r="AH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I11" s="2" t="inlineStr">
        <is>
          <t>AssertionError</t>
        </is>
      </c>
      <c r="AJ11" s="2" t="inlineStr">
        <is>
          <t>AssertionError: '' != '[default]\n'; AssertionError: False is not true : Missing ipython_kernel_config.py (even when the profile directory already exists)</t>
        </is>
      </c>
      <c r="AK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L11" s="2" t="inlineStr">
        <is>
          <t>AssertionError</t>
        </is>
      </c>
      <c r="AM11" s="2" t="inlineStr">
        <is>
          <t>AssertionError: '' != '[default]\n'; AssertionError: False is not true : Missing ipython_kernel_config.py (even when the profile directory already exists)</t>
        </is>
      </c>
      <c r="AN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O11" s="2" t="inlineStr">
        <is>
          <t>AssertionError</t>
        </is>
      </c>
      <c r="AP11" s="2" t="inlineStr">
        <is>
          <t>AssertionError: '' != '[default]\n'; AssertionError: False is not true : Missing ipython_kernel_config.py (even when the profile directory already exists)</t>
        </is>
      </c>
      <c r="AQ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R11" s="2" t="inlineStr">
        <is>
          <t>AssertionError</t>
        </is>
      </c>
      <c r="AS11" s="2" t="inlineStr">
        <is>
          <t>AssertionError: '' != '[default]\n'; AssertionError: False is not true : Missing ipython_kernel_config.py (even when the profile directory already exists)</t>
        </is>
      </c>
      <c r="AT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U11" s="2" t="inlineStr">
        <is>
          <t>AssertionError</t>
        </is>
      </c>
      <c r="AV11" s="2" t="inlineStr">
        <is>
          <t>AssertionError: '' != '[default]\n'; AssertionError: False is not true : Missing ipython_kernel_config.py (even when the profile directory already exists)</t>
        </is>
      </c>
      <c r="AW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AX11" s="2" t="inlineStr">
        <is>
          <t>AssertionError</t>
        </is>
      </c>
      <c r="AY11" s="2" t="inlineStr">
        <is>
          <t>AssertionError: '' != '[default]\n'; AssertionError: False is not true : Missing ipython_kernel_config.py (even when the profile directory already exists)</t>
        </is>
      </c>
      <c r="AZ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A11" s="2" t="inlineStr">
        <is>
          <t>AssertionError</t>
        </is>
      </c>
      <c r="BB11" s="2" t="inlineStr">
        <is>
          <t>AssertionError: '' != '[default]\n'; AssertionError: False is not true : Missing ipython_kernel_config.py (even when the profile directory already exists)</t>
        </is>
      </c>
      <c r="BC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D11" s="2" t="inlineStr">
        <is>
          <t>AssertionError</t>
        </is>
      </c>
      <c r="BE11" s="2" t="inlineStr">
        <is>
          <t>AssertionError: '' != '[default]\n'; AssertionError: False is not true : Missing ipython_kernel_config.py (even when the profile directory already exists)</t>
        </is>
      </c>
      <c r="BF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G11" s="2" t="inlineStr">
        <is>
          <t>AssertionError</t>
        </is>
      </c>
      <c r="BH11" s="2" t="inlineStr">
        <is>
          <t>AssertionError: '' != '[default]\n'; AssertionError: False is not true : Missing ipython_kernel_config.py (even when the profile directory already exists)</t>
        </is>
      </c>
      <c r="BI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J11" s="2" t="inlineStr">
        <is>
          <t>AssertionError</t>
        </is>
      </c>
      <c r="BK11" s="2" t="inlineStr">
        <is>
          <t>AssertionError: '' != '[default]\n'; AssertionError: False is not true : Missing ipython_kernel_config.py (even when the profile directory already exists)</t>
        </is>
      </c>
      <c r="BL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M11" s="2" t="inlineStr">
        <is>
          <t>AssertionError</t>
        </is>
      </c>
      <c r="BN11" s="2" t="inlineStr">
        <is>
          <t>AssertionError: '' != '[default]\n'; AssertionError: False is not true : Missing ipython_kernel_config.py (even when the profile directory already exists)</t>
        </is>
      </c>
      <c r="BO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P11" s="2" t="inlineStr">
        <is>
          <t>AssertionError</t>
        </is>
      </c>
      <c r="BQ11" s="2" t="inlineStr">
        <is>
          <t>AssertionError: '' != '[default]\n'; AssertionError: False is not true : Missing ipython_kernel_config.py (even when the profile directory already exists)</t>
        </is>
      </c>
      <c r="BR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S11" s="2" t="inlineStr">
        <is>
          <t>AssertionError</t>
        </is>
      </c>
      <c r="BT11" s="2" t="inlineStr">
        <is>
          <t>AssertionError: '' != '[default]\n'; AssertionError: False is not true : Missing ipython_kernel_config.py (even when the profile directory already exists)</t>
        </is>
      </c>
      <c r="BU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V11" s="2" t="inlineStr">
        <is>
          <t>AssertionError</t>
        </is>
      </c>
      <c r="BW11" s="2" t="inlineStr">
        <is>
          <t>AssertionError: '' != '[default]\n'; AssertionError: False is not true : Missing ipython_kernel_config.py (even when the profile directory already exists)</t>
        </is>
      </c>
      <c r="BX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BY11" s="2" t="inlineStr">
        <is>
          <t>AssertionError</t>
        </is>
      </c>
      <c r="BZ11" s="2" t="inlineStr">
        <is>
          <t>AssertionError: '' != '[default]\n'; AssertionError: False is not true : Missing ipython_kernel_config.py (even when the profile directory already exists)</t>
        </is>
      </c>
      <c r="CA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B11" s="2" t="inlineStr">
        <is>
          <t>AssertionError</t>
        </is>
      </c>
      <c r="CC11" s="2" t="inlineStr">
        <is>
          <t>AssertionError: '' != '[default]\n'; AssertionError: False is not true : Missing ipython_kernel_config.py (even when the profile directory already exists)</t>
        </is>
      </c>
      <c r="CD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E11" s="2" t="inlineStr">
        <is>
          <t>AssertionError</t>
        </is>
      </c>
      <c r="CF11" s="2" t="inlineStr">
        <is>
          <t>AssertionError: '' != '[default]\n'; AssertionError: False is not true : Missing ipython_kernel_config.py (even when the profile directory already exists)</t>
        </is>
      </c>
      <c r="CG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H11" s="2" t="inlineStr">
        <is>
          <t>AssertionError</t>
        </is>
      </c>
      <c r="CI11" s="2" t="inlineStr">
        <is>
          <t>AssertionError: '' != '[default]\n'; AssertionError: False is not true : Missing ipython_kernel_config.py (even when the profile directory already exists)</t>
        </is>
      </c>
      <c r="CJ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K11" s="2" t="inlineStr">
        <is>
          <t>AssertionError</t>
        </is>
      </c>
      <c r="CL11" s="2" t="inlineStr">
        <is>
          <t>AssertionError: '' != '[default]\n'; AssertionError: False is not true : Missing ipython_kernel_config.py (even when the profile directory already exists)</t>
        </is>
      </c>
      <c r="CM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N11" s="2" t="inlineStr">
        <is>
          <t>AssertionError</t>
        </is>
      </c>
      <c r="CO11" s="2" t="inlineStr">
        <is>
          <t>AssertionError: '' != '[default]\n'; AssertionError: False is not true : Missing ipython_kernel_config.py (even when the profile directory already exists)</t>
        </is>
      </c>
      <c r="CP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Q11" s="2" t="inlineStr">
        <is>
          <t>AssertionError</t>
        </is>
      </c>
      <c r="CR11" s="2" t="inlineStr">
        <is>
          <t>AssertionError: '' != '[default]\n'; AssertionError: False is not true : Missing ipython_kernel_config.py (even when the profile directory already exists)</t>
        </is>
      </c>
      <c r="CS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T11" s="2" t="inlineStr">
        <is>
          <t>AssertionError</t>
        </is>
      </c>
      <c r="CU11" s="2" t="inlineStr">
        <is>
          <t>AssertionError: '' != '[default]\n'; AssertionError: False is not true : Missing ipython_kernel_config.py (even when the profile directory already exists)</t>
        </is>
      </c>
      <c r="CV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W11" s="2" t="inlineStr">
        <is>
          <t>AssertionError</t>
        </is>
      </c>
      <c r="CX11" s="2" t="inlineStr">
        <is>
          <t>AssertionError: '' != '[default]\n'; AssertionError: False is not true : Missing ipython_kernel_config.py (even when the profile directory already exists)</t>
        </is>
      </c>
      <c r="CY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CZ11" s="2" t="inlineStr">
        <is>
          <t>AssertionError</t>
        </is>
      </c>
      <c r="DA11" s="2" t="inlineStr">
        <is>
          <t>AssertionError: '' != '[default]\n'; AssertionError: False is not true : Missing ipython_kernel_config.py (even when the profile directory already exists)</t>
        </is>
      </c>
      <c r="DB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DC11" s="2" t="inlineStr">
        <is>
          <t>AssertionError</t>
        </is>
      </c>
      <c r="DD11" s="2" t="inlineStr">
        <is>
          <t>AssertionError: '' != '[default]\n'; AssertionError: False is not true : Missing ipython_kernel_config.py (even when the profile directory already exists)</t>
        </is>
      </c>
      <c r="DE11" s="2"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row>
    <row r="12">
      <c r="A12" s="2" t="inlineStr">
        <is>
          <t>issue_155</t>
        </is>
      </c>
      <c r="B12" s="6" t="inlineStr">
        <is>
          <t>Runtime error</t>
        </is>
      </c>
      <c r="C12" s="6" t="inlineStr">
        <is>
          <t>Runtime error</t>
        </is>
      </c>
      <c r="D12" s="6" t="inlineStr">
        <is>
          <t>Runtime error</t>
        </is>
      </c>
      <c r="E12" s="6" t="inlineStr">
        <is>
          <t>Runtime error</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inlineStr">
        <is>
          <t>AttributeError</t>
        </is>
      </c>
      <c r="AD12" s="2" t="inlineStr">
        <is>
          <t>AttributeError: 'QuantumCircuit' object has no attribute 'find_bit'</t>
        </is>
      </c>
      <c r="AE12" s="2"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AF12" s="2" t="inlineStr">
        <is>
          <t>AttributeError</t>
        </is>
      </c>
      <c r="AG12" s="2" t="inlineStr">
        <is>
          <t>AttributeError: 'QuantumCircuit' object has no attribute 'find_bit'</t>
        </is>
      </c>
      <c r="AH12" s="2"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AI12" s="2" t="inlineStr">
        <is>
          <t>AttributeError</t>
        </is>
      </c>
      <c r="AJ12" s="2" t="inlineStr">
        <is>
          <t>AttributeError: 'QuantumCircuit' object has no attribute 'find_bit'</t>
        </is>
      </c>
      <c r="AK12" s="2"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AL12" s="2" t="inlineStr">
        <is>
          <t>AttributeError</t>
        </is>
      </c>
      <c r="AM12" s="2" t="inlineStr">
        <is>
          <t>AttributeError: 'QuantumCircuit' object has no attribute 'find_bit'</t>
        </is>
      </c>
      <c r="AN12" s="2"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issue_157</t>
        </is>
      </c>
      <c r="B13" s="6" t="inlineStr">
        <is>
          <t>Runtime error</t>
        </is>
      </c>
      <c r="C13" s="6" t="inlineStr">
        <is>
          <t>Runtime error</t>
        </is>
      </c>
      <c r="D13" s="6" t="inlineStr">
        <is>
          <t>Runtime error</t>
        </is>
      </c>
      <c r="E13" s="6" t="inlineStr">
        <is>
          <t>Runtime error</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inlineStr">
        <is>
          <t>ImportError</t>
        </is>
      </c>
      <c r="AD13" s="2" t="inlineStr">
        <is>
          <t>ImportError: cannot import name 'StatePreparation' from 'qiskit.circuit.library' (C:\qiskit_envs\q0250\lib\site-packages\qiskit\circuit\library\__init__.py)</t>
        </is>
      </c>
      <c r="AE13" s="2"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AF13" s="2" t="inlineStr">
        <is>
          <t>ImportError</t>
        </is>
      </c>
      <c r="AG13" s="2" t="inlineStr">
        <is>
          <t>ImportError: cannot import name 'StatePreparation' from 'qiskit.circuit.library' (C:\qiskit_envs\q0251\lib\site-packages\qiskit\circuit\library\__init__.py)</t>
        </is>
      </c>
      <c r="AH13" s="2"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AI13" s="2" t="inlineStr">
        <is>
          <t>ImportError</t>
        </is>
      </c>
      <c r="AJ13" s="2" t="inlineStr">
        <is>
          <t>ImportError: cannot import name 'StatePreparation' from 'qiskit.circuit.library' (C:\qiskit_envs\q0252\lib\site-packages\qiskit\circuit\library\__init__.py)</t>
        </is>
      </c>
      <c r="AK13" s="2"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AL13" s="2" t="inlineStr">
        <is>
          <t>ImportError</t>
        </is>
      </c>
      <c r="AM13" s="2" t="inlineStr">
        <is>
          <t>ImportError: cannot import name 'StatePreparation' from 'qiskit.circuit.library' (C:\qiskit_envs\q0253\lib\site-packages\qiskit\circuit\library\__init__.py)</t>
        </is>
      </c>
      <c r="AN13" s="2"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issue_174</t>
        </is>
      </c>
      <c r="B14" s="4" t="inlineStr">
        <is>
          <t>Passed on test</t>
        </is>
      </c>
      <c r="C14" s="4" t="inlineStr">
        <is>
          <t>Passed on test</t>
        </is>
      </c>
      <c r="D14" s="4" t="inlineStr">
        <is>
          <t>Passed on test</t>
        </is>
      </c>
      <c r="E14" s="4" t="inlineStr">
        <is>
          <t>Passed on test</t>
        </is>
      </c>
      <c r="F14" s="4" t="inlineStr">
        <is>
          <t>Passed on test</t>
        </is>
      </c>
      <c r="G14" s="4" t="inlineStr">
        <is>
          <t>Passed on test</t>
        </is>
      </c>
      <c r="H14" s="4" t="inlineStr">
        <is>
          <t>Passed on test</t>
        </is>
      </c>
      <c r="I14" s="4" t="inlineStr">
        <is>
          <t>Passed on test</t>
        </is>
      </c>
      <c r="J14" s="4" t="inlineStr">
        <is>
          <t>Passed on test</t>
        </is>
      </c>
      <c r="K14" s="4" t="inlineStr">
        <is>
          <t>Passed on test</t>
        </is>
      </c>
      <c r="L14" s="4" t="inlineStr">
        <is>
          <t>Passed on test</t>
        </is>
      </c>
      <c r="M14" s="4" t="inlineStr">
        <is>
          <t>Passed on test</t>
        </is>
      </c>
      <c r="N14" s="3" t="inlineStr">
        <is>
          <t>NOT_TESTED</t>
        </is>
      </c>
      <c r="O14" s="3" t="inlineStr">
        <is>
          <t>NOT_TESTED</t>
        </is>
      </c>
      <c r="P14" s="3" t="inlineStr">
        <is>
          <t>NOT_TESTED</t>
        </is>
      </c>
      <c r="Q14" s="3" t="inlineStr">
        <is>
          <t>NOT_TESTED</t>
        </is>
      </c>
      <c r="R14" s="3" t="inlineStr">
        <is>
          <t>NOT_TESTED</t>
        </is>
      </c>
      <c r="S14" s="3" t="inlineStr">
        <is>
          <t>NOT_TESTED</t>
        </is>
      </c>
      <c r="T14" s="3" t="inlineStr">
        <is>
          <t>NOT_TESTED</t>
        </is>
      </c>
      <c r="U14" s="3" t="inlineStr">
        <is>
          <t>NOT_TESTED</t>
        </is>
      </c>
      <c r="V14" s="3" t="inlineStr">
        <is>
          <t>NOT_TESTED</t>
        </is>
      </c>
      <c r="W14" s="3" t="inlineStr">
        <is>
          <t>NOT_TESTED</t>
        </is>
      </c>
      <c r="X14" s="3" t="inlineStr">
        <is>
          <t>NOT_TESTED</t>
        </is>
      </c>
      <c r="Y14" s="3" t="inlineStr">
        <is>
          <t>NOT_TESTED</t>
        </is>
      </c>
      <c r="Z14" s="3" t="inlineStr">
        <is>
          <t>NOT_TESTED</t>
        </is>
      </c>
      <c r="AA14" s="3" t="inlineStr">
        <is>
          <t>NOT_TESTED</t>
        </is>
      </c>
      <c r="AB14" s="3" t="inlineStr">
        <is>
          <t>NOT_TESTED</t>
        </is>
      </c>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2" t="n"/>
      <c r="CS14" s="2" t="n"/>
      <c r="CT14" s="2" t="n"/>
      <c r="CU14" s="2" t="n"/>
      <c r="CV14" s="2" t="n"/>
      <c r="CW14" s="2" t="n"/>
      <c r="CX14" s="2" t="n"/>
      <c r="CY14" s="2" t="n"/>
      <c r="CZ14" s="2" t="n"/>
      <c r="DA14" s="2" t="n"/>
      <c r="DB14" s="2" t="n"/>
      <c r="DC14" s="2" t="n"/>
      <c r="DD14" s="2" t="n"/>
      <c r="DE14" s="2" t="n"/>
    </row>
    <row r="15">
      <c r="A15" s="2" t="inlineStr">
        <is>
          <t>issue_189</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4" t="inlineStr">
        <is>
          <t>Passed on test</t>
        </is>
      </c>
      <c r="O15" s="4" t="inlineStr">
        <is>
          <t>Passed on test</t>
        </is>
      </c>
      <c r="P15" s="4" t="inlineStr">
        <is>
          <t>Passed on test</t>
        </is>
      </c>
      <c r="Q15" s="4" t="inlineStr">
        <is>
          <t>Passed on test</t>
        </is>
      </c>
      <c r="R15" s="4" t="inlineStr">
        <is>
          <t>Passed on test</t>
        </is>
      </c>
      <c r="S15" s="4" t="inlineStr">
        <is>
          <t>Passed on test</t>
        </is>
      </c>
      <c r="T15" s="4" t="inlineStr">
        <is>
          <t>Passed on test</t>
        </is>
      </c>
      <c r="U15" s="4" t="inlineStr">
        <is>
          <t>Passed on test</t>
        </is>
      </c>
      <c r="V15" s="4" t="inlineStr">
        <is>
          <t>Passed on test</t>
        </is>
      </c>
      <c r="W15" s="4" t="inlineStr">
        <is>
          <t>Passed on test</t>
        </is>
      </c>
      <c r="X15" s="4" t="inlineStr">
        <is>
          <t>Passed on test</t>
        </is>
      </c>
      <c r="Y15" s="4" t="inlineStr">
        <is>
          <t>Passed on test</t>
        </is>
      </c>
      <c r="Z15" s="4" t="inlineStr">
        <is>
          <t>Passed on test</t>
        </is>
      </c>
      <c r="AA15" s="4" t="inlineStr">
        <is>
          <t>Passed on test</t>
        </is>
      </c>
      <c r="AB15" s="4" t="inlineStr">
        <is>
          <t>Passed on test</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issue_225</t>
        </is>
      </c>
      <c r="B16" s="3" t="inlineStr">
        <is>
          <t>NOT_TESTED</t>
        </is>
      </c>
      <c r="C16" s="3" t="inlineStr">
        <is>
          <t>NOT_TESTED</t>
        </is>
      </c>
      <c r="D16" s="3" t="inlineStr">
        <is>
          <t>NOT_TESTED</t>
        </is>
      </c>
      <c r="E16" s="3" t="inlineStr">
        <is>
          <t>NOT_TESTED</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3" t="inlineStr">
        <is>
          <t>NOT_TESTED</t>
        </is>
      </c>
      <c r="O16" s="3" t="inlineStr">
        <is>
          <t>NOT_TESTED</t>
        </is>
      </c>
      <c r="P16" s="3" t="inlineStr">
        <is>
          <t>NOT_TESTED</t>
        </is>
      </c>
      <c r="Q16" s="3" t="inlineStr">
        <is>
          <t>NOT_TESTED</t>
        </is>
      </c>
      <c r="R16" s="3" t="inlineStr">
        <is>
          <t>NOT_TESTED</t>
        </is>
      </c>
      <c r="S16" s="3" t="inlineStr">
        <is>
          <t>NOT_TESTED</t>
        </is>
      </c>
      <c r="T16" s="3" t="inlineStr">
        <is>
          <t>NOT_TESTED</t>
        </is>
      </c>
      <c r="U16" s="3" t="inlineStr">
        <is>
          <t>NOT_TESTED</t>
        </is>
      </c>
      <c r="V16" s="3" t="inlineStr">
        <is>
          <t>NOT_TESTED</t>
        </is>
      </c>
      <c r="W16" s="3" t="inlineStr">
        <is>
          <t>NOT_TESTED</t>
        </is>
      </c>
      <c r="X16" s="3" t="inlineStr">
        <is>
          <t>NOT_TESTED</t>
        </is>
      </c>
      <c r="Y16" s="3" t="inlineStr">
        <is>
          <t>NOT_TESTED</t>
        </is>
      </c>
      <c r="Z16" s="3" t="inlineStr">
        <is>
          <t>NOT_TESTED</t>
        </is>
      </c>
      <c r="AA16" s="3" t="inlineStr">
        <is>
          <t>NOT_TESTED</t>
        </is>
      </c>
      <c r="AB16" s="3" t="inlineStr">
        <is>
          <t>NOT_TESTED</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issue_233</t>
        </is>
      </c>
      <c r="B17" s="6" t="inlineStr">
        <is>
          <t>Runtime error</t>
        </is>
      </c>
      <c r="C17" s="6" t="inlineStr">
        <is>
          <t>Runtime error</t>
        </is>
      </c>
      <c r="D17" s="6" t="inlineStr">
        <is>
          <t>Runtime error</t>
        </is>
      </c>
      <c r="E17" s="6" t="inlineStr">
        <is>
          <t>Runtime error</t>
        </is>
      </c>
      <c r="F17" s="6" t="inlineStr">
        <is>
          <t>Runtime error</t>
        </is>
      </c>
      <c r="G17" s="6" t="inlineStr">
        <is>
          <t>Runtime error</t>
        </is>
      </c>
      <c r="H17" s="6" t="inlineStr">
        <is>
          <t>Runtime error</t>
        </is>
      </c>
      <c r="I17" s="6" t="inlineStr">
        <is>
          <t>Runtime error</t>
        </is>
      </c>
      <c r="J17" s="6" t="inlineStr">
        <is>
          <t>Runtime error</t>
        </is>
      </c>
      <c r="K17" s="6" t="inlineStr">
        <is>
          <t>Runtime error</t>
        </is>
      </c>
      <c r="L17" s="6" t="inlineStr">
        <is>
          <t>Runtime error</t>
        </is>
      </c>
      <c r="M17" s="6" t="inlineStr">
        <is>
          <t>Runtime error</t>
        </is>
      </c>
      <c r="N17" s="6" t="inlineStr">
        <is>
          <t>Runtime error</t>
        </is>
      </c>
      <c r="O17" s="6" t="inlineStr">
        <is>
          <t>Runtime error</t>
        </is>
      </c>
      <c r="P17" s="6" t="inlineStr">
        <is>
          <t>Runtime error</t>
        </is>
      </c>
      <c r="Q17" s="6" t="inlineStr">
        <is>
          <t>Runtime error</t>
        </is>
      </c>
      <c r="R17" s="6" t="inlineStr">
        <is>
          <t>Runtime error</t>
        </is>
      </c>
      <c r="S17" s="6" t="inlineStr">
        <is>
          <t>Runtime error</t>
        </is>
      </c>
      <c r="T17" s="6" t="inlineStr">
        <is>
          <t>Runtime error</t>
        </is>
      </c>
      <c r="U17" s="6" t="inlineStr">
        <is>
          <t>Runtime error</t>
        </is>
      </c>
      <c r="V17" s="6" t="inlineStr">
        <is>
          <t>Runtime error</t>
        </is>
      </c>
      <c r="W17" s="6" t="inlineStr">
        <is>
          <t>Runtime error</t>
        </is>
      </c>
      <c r="X17" s="6" t="inlineStr">
        <is>
          <t>Runtime error</t>
        </is>
      </c>
      <c r="Y17" s="6" t="inlineStr">
        <is>
          <t>Runtime error</t>
        </is>
      </c>
      <c r="Z17" s="6" t="inlineStr">
        <is>
          <t>Runtime error</t>
        </is>
      </c>
      <c r="AA17" s="6" t="inlineStr">
        <is>
          <t>Runtime error</t>
        </is>
      </c>
      <c r="AB17" s="6" t="inlineStr">
        <is>
          <t>Runtime error</t>
        </is>
      </c>
      <c r="AC17" s="2" t="inlineStr">
        <is>
          <t>TypeError</t>
        </is>
      </c>
      <c r="AD17" s="2" t="inlineStr">
        <is>
          <t>TypeError: 'int' object is not callable</t>
        </is>
      </c>
      <c r="AE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F17" s="2" t="inlineStr">
        <is>
          <t>TypeError</t>
        </is>
      </c>
      <c r="AG17" s="2" t="inlineStr">
        <is>
          <t>TypeError: 'int' object is not callable</t>
        </is>
      </c>
      <c r="AH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I17" s="2" t="inlineStr">
        <is>
          <t>TypeError</t>
        </is>
      </c>
      <c r="AJ17" s="2" t="inlineStr">
        <is>
          <t>TypeError: 'int' object is not callable</t>
        </is>
      </c>
      <c r="AK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L17" s="2" t="inlineStr">
        <is>
          <t>TypeError</t>
        </is>
      </c>
      <c r="AM17" s="2" t="inlineStr">
        <is>
          <t>TypeError: 'int' object is not callable</t>
        </is>
      </c>
      <c r="AN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O17" s="2" t="inlineStr">
        <is>
          <t>TypeError</t>
        </is>
      </c>
      <c r="AP17" s="2" t="inlineStr">
        <is>
          <t>TypeError: 'int' object is not callable</t>
        </is>
      </c>
      <c r="AQ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R17" s="2" t="inlineStr">
        <is>
          <t>TypeError</t>
        </is>
      </c>
      <c r="AS17" s="2" t="inlineStr">
        <is>
          <t>TypeError: 'int' object is not callable</t>
        </is>
      </c>
      <c r="AT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U17" s="2" t="inlineStr">
        <is>
          <t>TypeError</t>
        </is>
      </c>
      <c r="AV17" s="2" t="inlineStr">
        <is>
          <t>TypeError: 'int' object is not callable</t>
        </is>
      </c>
      <c r="AW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AX17" s="2" t="inlineStr">
        <is>
          <t>TypeError</t>
        </is>
      </c>
      <c r="AY17" s="2" t="inlineStr">
        <is>
          <t>TypeError: 'int' object is not callable</t>
        </is>
      </c>
      <c r="AZ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A17" s="2" t="inlineStr">
        <is>
          <t>TypeError</t>
        </is>
      </c>
      <c r="BB17" s="2" t="inlineStr">
        <is>
          <t>TypeError: 'int' object is not callable</t>
        </is>
      </c>
      <c r="BC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D17" s="2" t="inlineStr">
        <is>
          <t>TypeError</t>
        </is>
      </c>
      <c r="BE17" s="2" t="inlineStr">
        <is>
          <t>TypeError: 'int' object is not callable</t>
        </is>
      </c>
      <c r="BF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G17" s="2" t="inlineStr">
        <is>
          <t>TypeError</t>
        </is>
      </c>
      <c r="BH17" s="2" t="inlineStr">
        <is>
          <t>TypeError: 'int' object is not callable</t>
        </is>
      </c>
      <c r="BI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J17" s="2" t="inlineStr">
        <is>
          <t>TypeError</t>
        </is>
      </c>
      <c r="BK17" s="2" t="inlineStr">
        <is>
          <t>TypeError: 'int' object is not callable</t>
        </is>
      </c>
      <c r="BL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M17" s="2" t="inlineStr">
        <is>
          <t>TypeError</t>
        </is>
      </c>
      <c r="BN17" s="2" t="inlineStr">
        <is>
          <t>TypeError: 'int' object is not callable</t>
        </is>
      </c>
      <c r="BO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P17" s="2" t="inlineStr">
        <is>
          <t>TypeError</t>
        </is>
      </c>
      <c r="BQ17" s="2" t="inlineStr">
        <is>
          <t>TypeError: 'int' object is not callable</t>
        </is>
      </c>
      <c r="BR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S17" s="2" t="inlineStr">
        <is>
          <t>TypeError</t>
        </is>
      </c>
      <c r="BT17" s="2" t="inlineStr">
        <is>
          <t>TypeError: 'int' object is not callable</t>
        </is>
      </c>
      <c r="BU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V17" s="2" t="inlineStr">
        <is>
          <t>TypeError</t>
        </is>
      </c>
      <c r="BW17" s="2" t="inlineStr">
        <is>
          <t>TypeError: 'int' object is not callable</t>
        </is>
      </c>
      <c r="BX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BY17" s="2" t="inlineStr">
        <is>
          <t>TypeError</t>
        </is>
      </c>
      <c r="BZ17" s="2" t="inlineStr">
        <is>
          <t>TypeError: 'int' object is not callable</t>
        </is>
      </c>
      <c r="CA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B17" s="2" t="inlineStr">
        <is>
          <t>TypeError</t>
        </is>
      </c>
      <c r="CC17" s="2" t="inlineStr">
        <is>
          <t>TypeError: 'int' object is not callable</t>
        </is>
      </c>
      <c r="CD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E17" s="2" t="inlineStr">
        <is>
          <t>TypeError</t>
        </is>
      </c>
      <c r="CF17" s="2" t="inlineStr">
        <is>
          <t>TypeError: 'int' object is not callable</t>
        </is>
      </c>
      <c r="CG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H17" s="2" t="inlineStr">
        <is>
          <t>TypeError</t>
        </is>
      </c>
      <c r="CI17" s="2" t="inlineStr">
        <is>
          <t>TypeError: 'int' object is not callable</t>
        </is>
      </c>
      <c r="CJ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K17" s="2" t="inlineStr">
        <is>
          <t>TypeError</t>
        </is>
      </c>
      <c r="CL17" s="2" t="inlineStr">
        <is>
          <t>TypeError: 'int' object is not callable</t>
        </is>
      </c>
      <c r="CM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N17" s="2" t="inlineStr">
        <is>
          <t>TypeError</t>
        </is>
      </c>
      <c r="CO17" s="2" t="inlineStr">
        <is>
          <t>TypeError: 'int' object is not callable</t>
        </is>
      </c>
      <c r="CP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Q17" s="2" t="inlineStr">
        <is>
          <t>TypeError</t>
        </is>
      </c>
      <c r="CR17" s="2" t="inlineStr">
        <is>
          <t>TypeError: 'int' object is not callable</t>
        </is>
      </c>
      <c r="CS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T17" s="2" t="inlineStr">
        <is>
          <t>TypeError</t>
        </is>
      </c>
      <c r="CU17" s="2" t="inlineStr">
        <is>
          <t>TypeError: 'int' object is not callable</t>
        </is>
      </c>
      <c r="CV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W17" s="2" t="inlineStr">
        <is>
          <t>TypeError</t>
        </is>
      </c>
      <c r="CX17" s="2" t="inlineStr">
        <is>
          <t>TypeError: 'int' object is not callable</t>
        </is>
      </c>
      <c r="CY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CZ17" s="2" t="inlineStr">
        <is>
          <t>TypeError</t>
        </is>
      </c>
      <c r="DA17" s="2" t="inlineStr">
        <is>
          <t>TypeError: 'int' object is not callable</t>
        </is>
      </c>
      <c r="DB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DC17" s="2" t="inlineStr">
        <is>
          <t>TypeError</t>
        </is>
      </c>
      <c r="DD17" s="2" t="inlineStr">
        <is>
          <t>TypeError: 'int' object is not callable</t>
        </is>
      </c>
      <c r="DE17" s="2"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row>
    <row r="18">
      <c r="A18" s="2" t="inlineStr">
        <is>
          <t>issue_261</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issue_280</t>
        </is>
      </c>
      <c r="B19" s="4" t="inlineStr">
        <is>
          <t>Passed on test</t>
        </is>
      </c>
      <c r="C19" s="4" t="inlineStr">
        <is>
          <t>Passed on test</t>
        </is>
      </c>
      <c r="D19" s="4" t="inlineStr">
        <is>
          <t>Passed on test</t>
        </is>
      </c>
      <c r="E19" s="4" t="inlineStr">
        <is>
          <t>Passed on test</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issue_295</t>
        </is>
      </c>
      <c r="B20" s="3" t="inlineStr">
        <is>
          <t>NOT_TESTED</t>
        </is>
      </c>
      <c r="C20" s="3" t="inlineStr">
        <is>
          <t>NOT_TESTED</t>
        </is>
      </c>
      <c r="D20" s="3" t="inlineStr">
        <is>
          <t>NOT_TESTED</t>
        </is>
      </c>
      <c r="E20" s="3" t="inlineStr">
        <is>
          <t>NOT_TESTED</t>
        </is>
      </c>
      <c r="F20" s="6" t="inlineStr">
        <is>
          <t>Runtime error</t>
        </is>
      </c>
      <c r="G20" s="6" t="inlineStr">
        <is>
          <t>Runtime error</t>
        </is>
      </c>
      <c r="H20" s="6" t="inlineStr">
        <is>
          <t>Runtime error</t>
        </is>
      </c>
      <c r="I20" s="6" t="inlineStr">
        <is>
          <t>Runtime error</t>
        </is>
      </c>
      <c r="J20" s="6" t="inlineStr">
        <is>
          <t>Runtime error</t>
        </is>
      </c>
      <c r="K20" s="6" t="inlineStr">
        <is>
          <t>Runtime error</t>
        </is>
      </c>
      <c r="L20" s="6" t="inlineStr">
        <is>
          <t>Runtime error</t>
        </is>
      </c>
      <c r="M20" s="6" t="inlineStr">
        <is>
          <t>Runtime error</t>
        </is>
      </c>
      <c r="N20" s="3" t="inlineStr">
        <is>
          <t>NOT_TESTED</t>
        </is>
      </c>
      <c r="O20" s="3" t="inlineStr">
        <is>
          <t>NOT_TESTED</t>
        </is>
      </c>
      <c r="P20" s="3" t="inlineStr">
        <is>
          <t>NOT_TESTED</t>
        </is>
      </c>
      <c r="Q20" s="3" t="inlineStr">
        <is>
          <t>NOT_TESTED</t>
        </is>
      </c>
      <c r="R20" s="3" t="inlineStr">
        <is>
          <t>NOT_TESTED</t>
        </is>
      </c>
      <c r="S20" s="3" t="inlineStr">
        <is>
          <t>NOT_TESTED</t>
        </is>
      </c>
      <c r="T20" s="3" t="inlineStr">
        <is>
          <t>NOT_TESTED</t>
        </is>
      </c>
      <c r="U20" s="3" t="inlineStr">
        <is>
          <t>NOT_TESTED</t>
        </is>
      </c>
      <c r="V20" s="3" t="inlineStr">
        <is>
          <t>NOT_TESTED</t>
        </is>
      </c>
      <c r="W20" s="3" t="inlineStr">
        <is>
          <t>NOT_TESTED</t>
        </is>
      </c>
      <c r="X20" s="3" t="inlineStr">
        <is>
          <t>NOT_TESTED</t>
        </is>
      </c>
      <c r="Y20" s="3" t="inlineStr">
        <is>
          <t>NOT_TESTED</t>
        </is>
      </c>
      <c r="Z20" s="3" t="inlineStr">
        <is>
          <t>NOT_TESTED</t>
        </is>
      </c>
      <c r="AA20" s="3" t="inlineStr">
        <is>
          <t>NOT_TESTED</t>
        </is>
      </c>
      <c r="AB20" s="3" t="inlineStr">
        <is>
          <t>NOT_TESTED</t>
        </is>
      </c>
      <c r="AC20" s="2" t="n"/>
      <c r="AD20" s="2" t="n"/>
      <c r="AE20" s="2" t="n"/>
      <c r="AF20" s="2" t="n"/>
      <c r="AG20" s="2" t="n"/>
      <c r="AH20" s="2" t="n"/>
      <c r="AI20" s="2" t="n"/>
      <c r="AJ20" s="2" t="n"/>
      <c r="AK20" s="2" t="n"/>
      <c r="AL20" s="2" t="n"/>
      <c r="AM20" s="2" t="n"/>
      <c r="AN20" s="2" t="n"/>
      <c r="AO20" s="2" t="inlineStr">
        <is>
          <t>TypeError</t>
        </is>
      </c>
      <c r="AP20" s="2" t="inlineStr">
        <is>
          <t>TypeError: unsupported operand type(s) for +=: 'QuantumCircuit' and 'QuantumCircuit'</t>
        </is>
      </c>
      <c r="AQ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AR20" s="2" t="inlineStr">
        <is>
          <t>TypeError</t>
        </is>
      </c>
      <c r="AS20" s="2" t="inlineStr">
        <is>
          <t>TypeError: unsupported operand type(s) for +=: 'QuantumCircuit' and 'QuantumCircuit'</t>
        </is>
      </c>
      <c r="AT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AU20" s="2" t="inlineStr">
        <is>
          <t>TypeError</t>
        </is>
      </c>
      <c r="AV20" s="2" t="inlineStr">
        <is>
          <t>TypeError: unsupported operand type(s) for +=: 'QuantumCircuit' and 'QuantumCircuit'</t>
        </is>
      </c>
      <c r="AW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AX20" s="2" t="inlineStr">
        <is>
          <t>TypeError</t>
        </is>
      </c>
      <c r="AY20" s="2" t="inlineStr">
        <is>
          <t>TypeError: unsupported operand type(s) for +=: 'QuantumCircuit' and 'QuantumCircuit'</t>
        </is>
      </c>
      <c r="AZ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BA20" s="2" t="inlineStr">
        <is>
          <t>TypeError</t>
        </is>
      </c>
      <c r="BB20" s="2" t="inlineStr">
        <is>
          <t>TypeError: unsupported operand type(s) for +=: 'QuantumCircuit' and 'QuantumCircuit'</t>
        </is>
      </c>
      <c r="BC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BD20" s="2" t="inlineStr">
        <is>
          <t>TypeError</t>
        </is>
      </c>
      <c r="BE20" s="2" t="inlineStr">
        <is>
          <t>TypeError: unsupported operand type(s) for +=: 'QuantumCircuit' and 'QuantumCircuit'</t>
        </is>
      </c>
      <c r="BF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BG20" s="2" t="inlineStr">
        <is>
          <t>TypeError</t>
        </is>
      </c>
      <c r="BH20" s="2" t="inlineStr">
        <is>
          <t>TypeError: unsupported operand type(s) for +=: 'QuantumCircuit' and 'QuantumCircuit'</t>
        </is>
      </c>
      <c r="BI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BJ20" s="2" t="inlineStr">
        <is>
          <t>TypeError</t>
        </is>
      </c>
      <c r="BK20" s="2" t="inlineStr">
        <is>
          <t>TypeError: unsupported operand type(s) for +=: 'QuantumCircuit' and 'QuantumCircuit'</t>
        </is>
      </c>
      <c r="BL20" s="2"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2" t="n"/>
      <c r="CO20" s="2" t="n"/>
      <c r="CP20" s="2" t="n"/>
      <c r="CQ20" s="2" t="n"/>
      <c r="CR20" s="2" t="n"/>
      <c r="CS20" s="2" t="n"/>
      <c r="CT20" s="2" t="n"/>
      <c r="CU20" s="2" t="n"/>
      <c r="CV20" s="2" t="n"/>
      <c r="CW20" s="2" t="n"/>
      <c r="CX20" s="2" t="n"/>
      <c r="CY20" s="2" t="n"/>
      <c r="CZ20" s="2" t="n"/>
      <c r="DA20" s="2" t="n"/>
      <c r="DB20" s="2" t="n"/>
      <c r="DC20" s="2" t="n"/>
      <c r="DD20" s="2" t="n"/>
      <c r="DE20" s="2" t="n"/>
    </row>
    <row r="21">
      <c r="A21" s="2" t="inlineStr">
        <is>
          <t>issue_315</t>
        </is>
      </c>
      <c r="B21" s="3" t="inlineStr">
        <is>
          <t>NOT_TESTED</t>
        </is>
      </c>
      <c r="C21" s="3" t="inlineStr">
        <is>
          <t>NOT_TESTED</t>
        </is>
      </c>
      <c r="D21" s="3" t="inlineStr">
        <is>
          <t>NOT_TESTED</t>
        </is>
      </c>
      <c r="E21" s="3" t="inlineStr">
        <is>
          <t>NOT_TESTED</t>
        </is>
      </c>
      <c r="F21" s="6" t="inlineStr">
        <is>
          <t>Runtime error</t>
        </is>
      </c>
      <c r="G21" s="6" t="inlineStr">
        <is>
          <t>Runtime error</t>
        </is>
      </c>
      <c r="H21" s="6" t="inlineStr">
        <is>
          <t>Runtime error</t>
        </is>
      </c>
      <c r="I21" s="6" t="inlineStr">
        <is>
          <t>Runtime error</t>
        </is>
      </c>
      <c r="J21" s="6" t="inlineStr">
        <is>
          <t>Runtime error</t>
        </is>
      </c>
      <c r="K21" s="6" t="inlineStr">
        <is>
          <t>Runtime error</t>
        </is>
      </c>
      <c r="L21" s="6" t="inlineStr">
        <is>
          <t>Runtime error</t>
        </is>
      </c>
      <c r="M21" s="6" t="inlineStr">
        <is>
          <t>Runtime error</t>
        </is>
      </c>
      <c r="N21" s="6" t="inlineStr">
        <is>
          <t>Runtime error</t>
        </is>
      </c>
      <c r="O21" s="6" t="inlineStr">
        <is>
          <t>Runtime error</t>
        </is>
      </c>
      <c r="P21" s="6" t="inlineStr">
        <is>
          <t>Runtime error</t>
        </is>
      </c>
      <c r="Q21" s="6" t="inlineStr">
        <is>
          <t>Runtime error</t>
        </is>
      </c>
      <c r="R21" s="6" t="inlineStr">
        <is>
          <t>Runtime error</t>
        </is>
      </c>
      <c r="S21" s="6" t="inlineStr">
        <is>
          <t>Runtime error</t>
        </is>
      </c>
      <c r="T21" s="6" t="inlineStr">
        <is>
          <t>Runtime error</t>
        </is>
      </c>
      <c r="U21" s="6" t="inlineStr">
        <is>
          <t>Runtime error</t>
        </is>
      </c>
      <c r="V21" s="6" t="inlineStr">
        <is>
          <t>Runtime error</t>
        </is>
      </c>
      <c r="W21" s="6" t="inlineStr">
        <is>
          <t>Runtime error</t>
        </is>
      </c>
      <c r="X21" s="6" t="inlineStr">
        <is>
          <t>Runtime error</t>
        </is>
      </c>
      <c r="Y21" s="6" t="inlineStr">
        <is>
          <t>Runtime error</t>
        </is>
      </c>
      <c r="Z21" s="6" t="inlineStr">
        <is>
          <t>Runtime error</t>
        </is>
      </c>
      <c r="AA21" s="6" t="inlineStr">
        <is>
          <t>Runtime error</t>
        </is>
      </c>
      <c r="AB21" s="6" t="inlineStr">
        <is>
          <t>Runtime error</t>
        </is>
      </c>
      <c r="AC21" s="2" t="n"/>
      <c r="AD21" s="2" t="n"/>
      <c r="AE21" s="2" t="n"/>
      <c r="AF21" s="2" t="n"/>
      <c r="AG21" s="2" t="n"/>
      <c r="AH21" s="2" t="n"/>
      <c r="AI21" s="2" t="n"/>
      <c r="AJ21" s="2" t="n"/>
      <c r="AK21" s="2" t="n"/>
      <c r="AL21" s="2" t="n"/>
      <c r="AM21" s="2" t="n"/>
      <c r="AN21" s="2" t="n"/>
      <c r="AO21" s="2" t="inlineStr">
        <is>
          <t>ModuleNotFoundError</t>
        </is>
      </c>
      <c r="AP21" s="2" t="inlineStr">
        <is>
          <t>ModuleNotFoundError: No module named 'qiskit.providers.basic_provider'</t>
        </is>
      </c>
      <c r="AQ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AR21" s="2" t="inlineStr">
        <is>
          <t>ModuleNotFoundError</t>
        </is>
      </c>
      <c r="AS21" s="2" t="inlineStr">
        <is>
          <t>ModuleNotFoundError: No module named 'qiskit.providers.basic_provider'</t>
        </is>
      </c>
      <c r="AT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AU21" s="2" t="inlineStr">
        <is>
          <t>ModuleNotFoundError</t>
        </is>
      </c>
      <c r="AV21" s="2" t="inlineStr">
        <is>
          <t>ModuleNotFoundError: No module named 'qiskit.providers.basic_provider'</t>
        </is>
      </c>
      <c r="AW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AX21" s="2" t="inlineStr">
        <is>
          <t>ModuleNotFoundError</t>
        </is>
      </c>
      <c r="AY21" s="2" t="inlineStr">
        <is>
          <t>ModuleNotFoundError: No module named 'qiskit.providers.basic_provider'</t>
        </is>
      </c>
      <c r="AZ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A21" s="2" t="inlineStr">
        <is>
          <t>KeyError</t>
        </is>
      </c>
      <c r="BB21" s="2" t="inlineStr">
        <is>
          <t>KeyError: 'max_parallel_threads'; AttributeError: Option max_parallel_threads is not defined</t>
        </is>
      </c>
      <c r="BC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D21" s="2" t="inlineStr">
        <is>
          <t>KeyError</t>
        </is>
      </c>
      <c r="BE21" s="2" t="inlineStr">
        <is>
          <t>KeyError: 'max_parallel_threads'; AttributeError: Option max_parallel_threads is not defined</t>
        </is>
      </c>
      <c r="BF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G21" s="2" t="inlineStr">
        <is>
          <t>KeyError</t>
        </is>
      </c>
      <c r="BH21" s="2" t="inlineStr">
        <is>
          <t>KeyError: 'max_parallel_threads'; AttributeError: Option max_parallel_threads is not defined</t>
        </is>
      </c>
      <c r="BI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J21" s="2" t="inlineStr">
        <is>
          <t>KeyError</t>
        </is>
      </c>
      <c r="BK21" s="2" t="inlineStr">
        <is>
          <t>KeyError: 'max_parallel_threads'; AttributeError: Option max_parallel_threads is not defined</t>
        </is>
      </c>
      <c r="BL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M21" s="2" t="inlineStr">
        <is>
          <t>KeyError</t>
        </is>
      </c>
      <c r="BN21" s="2" t="inlineStr">
        <is>
          <t>KeyError: 'max_parallel_threads'; AttributeError: Option max_parallel_threads is not defined</t>
        </is>
      </c>
      <c r="BO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P21" s="2" t="inlineStr">
        <is>
          <t>KeyError</t>
        </is>
      </c>
      <c r="BQ21" s="2" t="inlineStr">
        <is>
          <t>KeyError: 'max_parallel_threads'; AttributeError: Option max_parallel_threads is not defined</t>
        </is>
      </c>
      <c r="BR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S21" s="2" t="inlineStr">
        <is>
          <t>KeyError</t>
        </is>
      </c>
      <c r="BT21" s="2" t="inlineStr">
        <is>
          <t>KeyError: 'max_parallel_threads'; AttributeError: Option max_parallel_threads is not defined</t>
        </is>
      </c>
      <c r="BU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V21" s="2" t="inlineStr">
        <is>
          <t>KeyError</t>
        </is>
      </c>
      <c r="BW21" s="2" t="inlineStr">
        <is>
          <t>KeyError: 'max_parallel_threads'; AttributeError: Option max_parallel_threads is not defined</t>
        </is>
      </c>
      <c r="BX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BY21" s="2" t="inlineStr">
        <is>
          <t>KeyError</t>
        </is>
      </c>
      <c r="BZ21" s="2" t="inlineStr">
        <is>
          <t>KeyError: 'max_parallel_threads'; AttributeError: Option max_parallel_threads is not defined</t>
        </is>
      </c>
      <c r="CA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B21" s="2" t="inlineStr">
        <is>
          <t>KeyError</t>
        </is>
      </c>
      <c r="CC21" s="2" t="inlineStr">
        <is>
          <t>KeyError: 'max_parallel_threads'; AttributeError: Option max_parallel_threads is not defined</t>
        </is>
      </c>
      <c r="CD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E21" s="2" t="inlineStr">
        <is>
          <t>KeyError</t>
        </is>
      </c>
      <c r="CF21" s="2" t="inlineStr">
        <is>
          <t>KeyError: 'max_parallel_threads'; AttributeError: Option max_parallel_threads is not defined</t>
        </is>
      </c>
      <c r="CG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H21" s="2" t="inlineStr">
        <is>
          <t>KeyError</t>
        </is>
      </c>
      <c r="CI21" s="2" t="inlineStr">
        <is>
          <t>KeyError: 'max_parallel_threads'; AttributeError: Option max_parallel_threads is not defined</t>
        </is>
      </c>
      <c r="CJ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K21" s="2" t="inlineStr">
        <is>
          <t>KeyError</t>
        </is>
      </c>
      <c r="CL21" s="2" t="inlineStr">
        <is>
          <t>KeyError: 'max_parallel_threads'; AttributeError: Option max_parallel_threads is not defined</t>
        </is>
      </c>
      <c r="CM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N21" s="2" t="inlineStr">
        <is>
          <t>KeyError</t>
        </is>
      </c>
      <c r="CO21" s="2" t="inlineStr">
        <is>
          <t>KeyError: 'max_parallel_threads'; AttributeError: Option max_parallel_threads is not defined</t>
        </is>
      </c>
      <c r="CP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Q21" s="2" t="inlineStr">
        <is>
          <t>KeyError</t>
        </is>
      </c>
      <c r="CR21" s="2" t="inlineStr">
        <is>
          <t>KeyError: 'max_parallel_threads'; AttributeError: Option max_parallel_threads is not defined</t>
        </is>
      </c>
      <c r="CS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T21" s="2" t="inlineStr">
        <is>
          <t>KeyError</t>
        </is>
      </c>
      <c r="CU21" s="2" t="inlineStr">
        <is>
          <t>KeyError: 'max_parallel_threads'; AttributeError: Option max_parallel_threads is not defined</t>
        </is>
      </c>
      <c r="CV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W21" s="2" t="inlineStr">
        <is>
          <t>KeyError</t>
        </is>
      </c>
      <c r="CX21" s="2" t="inlineStr">
        <is>
          <t>KeyError: 'max_parallel_threads'; AttributeError: Option max_parallel_threads is not defined</t>
        </is>
      </c>
      <c r="CY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CZ21" s="2" t="inlineStr">
        <is>
          <t>KeyError</t>
        </is>
      </c>
      <c r="DA21" s="2" t="inlineStr">
        <is>
          <t>KeyError: 'max_parallel_threads'; AttributeError: Option max_parallel_threads is not defined</t>
        </is>
      </c>
      <c r="DB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DC21" s="2" t="inlineStr">
        <is>
          <t>KeyError</t>
        </is>
      </c>
      <c r="DD21" s="2" t="inlineStr">
        <is>
          <t>KeyError: 'max_parallel_threads'; AttributeError: Option max_parallel_threads is not defined</t>
        </is>
      </c>
      <c r="DE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row>
    <row r="22">
      <c r="A22" s="2" t="inlineStr">
        <is>
          <t>issue_344</t>
        </is>
      </c>
      <c r="B22" s="4" t="inlineStr">
        <is>
          <t>Passed on test</t>
        </is>
      </c>
      <c r="C22" s="4" t="inlineStr">
        <is>
          <t>Passed on test</t>
        </is>
      </c>
      <c r="D22" s="4" t="inlineStr">
        <is>
          <t>Passed on test</t>
        </is>
      </c>
      <c r="E22" s="4" t="inlineStr">
        <is>
          <t>Passed on test</t>
        </is>
      </c>
      <c r="F22" s="4" t="inlineStr">
        <is>
          <t>Passed on test</t>
        </is>
      </c>
      <c r="G22" s="4" t="inlineStr">
        <is>
          <t>Passed on test</t>
        </is>
      </c>
      <c r="H22" s="4" t="inlineStr">
        <is>
          <t>Passed on test</t>
        </is>
      </c>
      <c r="I22" s="4" t="inlineStr">
        <is>
          <t>Passed on test</t>
        </is>
      </c>
      <c r="J22" s="4" t="inlineStr">
        <is>
          <t>Passed on test</t>
        </is>
      </c>
      <c r="K22" s="4" t="inlineStr">
        <is>
          <t>Passed on test</t>
        </is>
      </c>
      <c r="L22" s="4" t="inlineStr">
        <is>
          <t>Passed on test</t>
        </is>
      </c>
      <c r="M22" s="4" t="inlineStr">
        <is>
          <t>Passed on test</t>
        </is>
      </c>
      <c r="N22" s="3" t="inlineStr">
        <is>
          <t>NOT_TESTED</t>
        </is>
      </c>
      <c r="O22" s="3" t="inlineStr">
        <is>
          <t>NOT_TESTED</t>
        </is>
      </c>
      <c r="P22" s="3" t="inlineStr">
        <is>
          <t>NOT_TESTED</t>
        </is>
      </c>
      <c r="Q22" s="3" t="inlineStr">
        <is>
          <t>NOT_TESTED</t>
        </is>
      </c>
      <c r="R22" s="3" t="inlineStr">
        <is>
          <t>NOT_TESTED</t>
        </is>
      </c>
      <c r="S22" s="3" t="inlineStr">
        <is>
          <t>NOT_TESTED</t>
        </is>
      </c>
      <c r="T22" s="3" t="inlineStr">
        <is>
          <t>NOT_TESTED</t>
        </is>
      </c>
      <c r="U22" s="3" t="inlineStr">
        <is>
          <t>NOT_TESTED</t>
        </is>
      </c>
      <c r="V22" s="3" t="inlineStr">
        <is>
          <t>NOT_TESTED</t>
        </is>
      </c>
      <c r="W22" s="3" t="inlineStr">
        <is>
          <t>NOT_TESTED</t>
        </is>
      </c>
      <c r="X22" s="3" t="inlineStr">
        <is>
          <t>NOT_TESTED</t>
        </is>
      </c>
      <c r="Y22" s="3" t="inlineStr">
        <is>
          <t>NOT_TESTED</t>
        </is>
      </c>
      <c r="Z22" s="3" t="inlineStr">
        <is>
          <t>NOT_TESTED</t>
        </is>
      </c>
      <c r="AA22" s="3" t="inlineStr">
        <is>
          <t>NOT_TESTED</t>
        </is>
      </c>
      <c r="AB22" s="3" t="inlineStr">
        <is>
          <t>NOT_TESTED</t>
        </is>
      </c>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issue_362</t>
        </is>
      </c>
      <c r="B23" s="3" t="inlineStr">
        <is>
          <t>NOT_TESTED</t>
        </is>
      </c>
      <c r="C23" s="3" t="inlineStr">
        <is>
          <t>NOT_TESTED</t>
        </is>
      </c>
      <c r="D23" s="3" t="inlineStr">
        <is>
          <t>NOT_TESTED</t>
        </is>
      </c>
      <c r="E23" s="3" t="inlineStr">
        <is>
          <t>NOT_TESTED</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issue_369</t>
        </is>
      </c>
      <c r="B24" s="4" t="inlineStr">
        <is>
          <t>Passed on test</t>
        </is>
      </c>
      <c r="C24" s="4" t="inlineStr">
        <is>
          <t>Passed on test</t>
        </is>
      </c>
      <c r="D24" s="4" t="inlineStr">
        <is>
          <t>Passed on test</t>
        </is>
      </c>
      <c r="E24" s="4" t="inlineStr">
        <is>
          <t>Passed on test</t>
        </is>
      </c>
      <c r="F24" s="4" t="inlineStr">
        <is>
          <t>Passed on test</t>
        </is>
      </c>
      <c r="G24" s="4" t="inlineStr">
        <is>
          <t>Passed on test</t>
        </is>
      </c>
      <c r="H24" s="4" t="inlineStr">
        <is>
          <t>Passed on test</t>
        </is>
      </c>
      <c r="I24" s="4" t="inlineStr">
        <is>
          <t>Passed on test</t>
        </is>
      </c>
      <c r="J24" s="4" t="inlineStr">
        <is>
          <t>Passed on test</t>
        </is>
      </c>
      <c r="K24" s="4" t="inlineStr">
        <is>
          <t>Passed on test</t>
        </is>
      </c>
      <c r="L24" s="4" t="inlineStr">
        <is>
          <t>Passed on test</t>
        </is>
      </c>
      <c r="M24" s="4" t="inlineStr">
        <is>
          <t>Passed on test</t>
        </is>
      </c>
      <c r="N24" s="4" t="inlineStr">
        <is>
          <t>Passed on test</t>
        </is>
      </c>
      <c r="O24" s="4" t="inlineStr">
        <is>
          <t>Passed on test</t>
        </is>
      </c>
      <c r="P24" s="4" t="inlineStr">
        <is>
          <t>Passed on test</t>
        </is>
      </c>
      <c r="Q24" s="4" t="inlineStr">
        <is>
          <t>Passed on test</t>
        </is>
      </c>
      <c r="R24" s="4" t="inlineStr">
        <is>
          <t>Passed on test</t>
        </is>
      </c>
      <c r="S24" s="4" t="inlineStr">
        <is>
          <t>Passed on test</t>
        </is>
      </c>
      <c r="T24" s="4" t="inlineStr">
        <is>
          <t>Passed on test</t>
        </is>
      </c>
      <c r="U24" s="4" t="inlineStr">
        <is>
          <t>Passed on test</t>
        </is>
      </c>
      <c r="V24" s="4" t="inlineStr">
        <is>
          <t>Passed on test</t>
        </is>
      </c>
      <c r="W24" s="4" t="inlineStr">
        <is>
          <t>Passed on test</t>
        </is>
      </c>
      <c r="X24" s="4" t="inlineStr">
        <is>
          <t>Passed on test</t>
        </is>
      </c>
      <c r="Y24" s="4" t="inlineStr">
        <is>
          <t>Passed on test</t>
        </is>
      </c>
      <c r="Z24" s="4" t="inlineStr">
        <is>
          <t>Passed on test</t>
        </is>
      </c>
      <c r="AA24" s="4" t="inlineStr">
        <is>
          <t>Passed on test</t>
        </is>
      </c>
      <c r="AB24" s="4" t="inlineStr">
        <is>
          <t>Passed on test</t>
        </is>
      </c>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c r="CW24" s="2" t="n"/>
      <c r="CX24" s="2" t="n"/>
      <c r="CY24" s="2" t="n"/>
      <c r="CZ24" s="2" t="n"/>
      <c r="DA24" s="2" t="n"/>
      <c r="DB24" s="2" t="n"/>
      <c r="DC24" s="2" t="n"/>
      <c r="DD24" s="2" t="n"/>
      <c r="DE24" s="2" t="n"/>
    </row>
    <row r="25">
      <c r="A25" s="2" t="inlineStr">
        <is>
          <t>issue_396</t>
        </is>
      </c>
      <c r="B25" s="5" t="inlineStr">
        <is>
          <t>Failed on test</t>
        </is>
      </c>
      <c r="C25" s="5" t="inlineStr">
        <is>
          <t>Failed on test</t>
        </is>
      </c>
      <c r="D25" s="5" t="inlineStr">
        <is>
          <t>Failed on test</t>
        </is>
      </c>
      <c r="E25" s="5" t="inlineStr">
        <is>
          <t>Failed on test</t>
        </is>
      </c>
      <c r="F25" s="5" t="inlineStr">
        <is>
          <t>Failed on test</t>
        </is>
      </c>
      <c r="G25" s="5" t="inlineStr">
        <is>
          <t>Failed on test</t>
        </is>
      </c>
      <c r="H25" s="5" t="inlineStr">
        <is>
          <t>Failed on test</t>
        </is>
      </c>
      <c r="I25" s="5" t="inlineStr">
        <is>
          <t>Failed on test</t>
        </is>
      </c>
      <c r="J25" s="5" t="inlineStr">
        <is>
          <t>Failed on test</t>
        </is>
      </c>
      <c r="K25" s="5" t="inlineStr">
        <is>
          <t>Failed on test</t>
        </is>
      </c>
      <c r="L25" s="5" t="inlineStr">
        <is>
          <t>Failed on test</t>
        </is>
      </c>
      <c r="M25" s="5" t="inlineStr">
        <is>
          <t>Failed on test</t>
        </is>
      </c>
      <c r="N25" s="5" t="inlineStr">
        <is>
          <t>Failed on test</t>
        </is>
      </c>
      <c r="O25" s="5" t="inlineStr">
        <is>
          <t>Failed on test</t>
        </is>
      </c>
      <c r="P25" s="5" t="inlineStr">
        <is>
          <t>Failed on test</t>
        </is>
      </c>
      <c r="Q25" s="5" t="inlineStr">
        <is>
          <t>Failed on test</t>
        </is>
      </c>
      <c r="R25" s="5" t="inlineStr">
        <is>
          <t>Failed on test</t>
        </is>
      </c>
      <c r="S25" s="5" t="inlineStr">
        <is>
          <t>Failed on test</t>
        </is>
      </c>
      <c r="T25" s="5" t="inlineStr">
        <is>
          <t>Failed on test</t>
        </is>
      </c>
      <c r="U25" s="5" t="inlineStr">
        <is>
          <t>Failed on test</t>
        </is>
      </c>
      <c r="V25" s="5" t="inlineStr">
        <is>
          <t>Failed on test</t>
        </is>
      </c>
      <c r="W25" s="5" t="inlineStr">
        <is>
          <t>Failed on test</t>
        </is>
      </c>
      <c r="X25" s="5" t="inlineStr">
        <is>
          <t>Failed on test</t>
        </is>
      </c>
      <c r="Y25" s="5" t="inlineStr">
        <is>
          <t>Failed on test</t>
        </is>
      </c>
      <c r="Z25" s="5" t="inlineStr">
        <is>
          <t>Failed on test</t>
        </is>
      </c>
      <c r="AA25" s="5" t="inlineStr">
        <is>
          <t>Failed on test</t>
        </is>
      </c>
      <c r="AB25" s="5" t="inlineStr">
        <is>
          <t>Failed on test</t>
        </is>
      </c>
      <c r="AC25" s="2" t="inlineStr">
        <is>
          <t>AssertionError</t>
        </is>
      </c>
      <c r="AD25" s="2" t="inlineStr">
        <is>
          <t>AssertionError:</t>
        </is>
      </c>
      <c r="AE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F25" s="2" t="inlineStr">
        <is>
          <t>AssertionError</t>
        </is>
      </c>
      <c r="AG25" s="2" t="inlineStr">
        <is>
          <t>AssertionError:</t>
        </is>
      </c>
      <c r="AH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I25" s="2" t="inlineStr">
        <is>
          <t>AssertionError</t>
        </is>
      </c>
      <c r="AJ25" s="2" t="inlineStr">
        <is>
          <t>AssertionError:</t>
        </is>
      </c>
      <c r="AK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L25" s="2" t="inlineStr">
        <is>
          <t>AssertionError</t>
        </is>
      </c>
      <c r="AM25" s="2" t="inlineStr">
        <is>
          <t>AssertionError:</t>
        </is>
      </c>
      <c r="AN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O25" s="2" t="inlineStr">
        <is>
          <t>AssertionError</t>
        </is>
      </c>
      <c r="AP25" s="2" t="inlineStr">
        <is>
          <t>AssertionError:</t>
        </is>
      </c>
      <c r="AQ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R25" s="2" t="inlineStr">
        <is>
          <t>AssertionError</t>
        </is>
      </c>
      <c r="AS25" s="2" t="inlineStr">
        <is>
          <t>AssertionError:</t>
        </is>
      </c>
      <c r="AT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U25" s="2" t="inlineStr">
        <is>
          <t>AssertionError</t>
        </is>
      </c>
      <c r="AV25" s="2" t="inlineStr">
        <is>
          <t>AssertionError:</t>
        </is>
      </c>
      <c r="AW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AX25" s="2" t="inlineStr">
        <is>
          <t>AssertionError</t>
        </is>
      </c>
      <c r="AY25" s="2" t="inlineStr">
        <is>
          <t>AssertionError:</t>
        </is>
      </c>
      <c r="AZ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A25" s="2" t="inlineStr">
        <is>
          <t>AssertionError</t>
        </is>
      </c>
      <c r="BB25" s="2" t="inlineStr">
        <is>
          <t>AssertionError:</t>
        </is>
      </c>
      <c r="BC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D25" s="2" t="inlineStr">
        <is>
          <t>AssertionError</t>
        </is>
      </c>
      <c r="BE25" s="2" t="inlineStr">
        <is>
          <t>AssertionError:</t>
        </is>
      </c>
      <c r="BF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G25" s="2" t="inlineStr">
        <is>
          <t>AssertionError</t>
        </is>
      </c>
      <c r="BH25" s="2" t="inlineStr">
        <is>
          <t>AssertionError:</t>
        </is>
      </c>
      <c r="BI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J25" s="2" t="inlineStr">
        <is>
          <t>AssertionError</t>
        </is>
      </c>
      <c r="BK25" s="2" t="inlineStr">
        <is>
          <t>AssertionError:</t>
        </is>
      </c>
      <c r="BL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M25" s="2" t="inlineStr">
        <is>
          <t>AssertionError</t>
        </is>
      </c>
      <c r="BN25" s="2" t="inlineStr">
        <is>
          <t>AssertionError:</t>
        </is>
      </c>
      <c r="BO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P25" s="2" t="inlineStr">
        <is>
          <t>AssertionError</t>
        </is>
      </c>
      <c r="BQ25" s="2" t="inlineStr">
        <is>
          <t>AssertionError:</t>
        </is>
      </c>
      <c r="BR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S25" s="2" t="inlineStr">
        <is>
          <t>AssertionError</t>
        </is>
      </c>
      <c r="BT25" s="2" t="inlineStr">
        <is>
          <t>AssertionError:</t>
        </is>
      </c>
      <c r="BU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V25" s="2" t="inlineStr">
        <is>
          <t>AssertionError</t>
        </is>
      </c>
      <c r="BW25" s="2" t="inlineStr">
        <is>
          <t>AssertionError:</t>
        </is>
      </c>
      <c r="BX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BY25" s="2" t="inlineStr">
        <is>
          <t>AssertionError</t>
        </is>
      </c>
      <c r="BZ25" s="2" t="inlineStr">
        <is>
          <t>AssertionError:</t>
        </is>
      </c>
      <c r="CA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B25" s="2" t="inlineStr">
        <is>
          <t>AssertionError</t>
        </is>
      </c>
      <c r="CC25" s="2" t="inlineStr">
        <is>
          <t>AssertionError:</t>
        </is>
      </c>
      <c r="CD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E25" s="2" t="inlineStr">
        <is>
          <t>AssertionError</t>
        </is>
      </c>
      <c r="CF25" s="2" t="inlineStr">
        <is>
          <t>AssertionError:</t>
        </is>
      </c>
      <c r="CG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H25" s="2" t="inlineStr">
        <is>
          <t>AssertionError</t>
        </is>
      </c>
      <c r="CI25" s="2" t="inlineStr">
        <is>
          <t>AssertionError:</t>
        </is>
      </c>
      <c r="CJ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K25" s="2" t="inlineStr">
        <is>
          <t>AssertionError</t>
        </is>
      </c>
      <c r="CL25" s="2" t="inlineStr">
        <is>
          <t>AssertionError:</t>
        </is>
      </c>
      <c r="CM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N25" s="2" t="inlineStr">
        <is>
          <t>AssertionError</t>
        </is>
      </c>
      <c r="CO25" s="2" t="inlineStr">
        <is>
          <t>AssertionError:</t>
        </is>
      </c>
      <c r="CP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Q25" s="2" t="inlineStr">
        <is>
          <t>AssertionError</t>
        </is>
      </c>
      <c r="CR25" s="2" t="inlineStr">
        <is>
          <t>AssertionError:</t>
        </is>
      </c>
      <c r="CS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T25" s="2" t="inlineStr">
        <is>
          <t>AssertionError</t>
        </is>
      </c>
      <c r="CU25" s="2" t="inlineStr">
        <is>
          <t>AssertionError:</t>
        </is>
      </c>
      <c r="CV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W25" s="2" t="inlineStr">
        <is>
          <t>AssertionError</t>
        </is>
      </c>
      <c r="CX25" s="2" t="inlineStr">
        <is>
          <t>AssertionError:</t>
        </is>
      </c>
      <c r="CY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CZ25" s="2" t="inlineStr">
        <is>
          <t>AssertionError</t>
        </is>
      </c>
      <c r="DA25" s="2" t="inlineStr">
        <is>
          <t>AssertionError:</t>
        </is>
      </c>
      <c r="DB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DC25" s="2" t="inlineStr">
        <is>
          <t>AssertionError</t>
        </is>
      </c>
      <c r="DD25" s="2" t="inlineStr">
        <is>
          <t>AssertionError:</t>
        </is>
      </c>
      <c r="DE25" s="2"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row>
    <row r="26">
      <c r="A26" s="2" t="inlineStr">
        <is>
          <t>issue_415</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issue_436</t>
        </is>
      </c>
      <c r="B27" s="4" t="inlineStr">
        <is>
          <t>Passed on test</t>
        </is>
      </c>
      <c r="C27" s="4" t="inlineStr">
        <is>
          <t>Passed on test</t>
        </is>
      </c>
      <c r="D27" s="4" t="inlineStr">
        <is>
          <t>Passed on test</t>
        </is>
      </c>
      <c r="E27" s="4" t="inlineStr">
        <is>
          <t>Passed on test</t>
        </is>
      </c>
      <c r="F27" s="3" t="inlineStr">
        <is>
          <t>NOT_TESTED</t>
        </is>
      </c>
      <c r="G27" s="3" t="inlineStr">
        <is>
          <t>NOT_TESTED</t>
        </is>
      </c>
      <c r="H27" s="3" t="inlineStr">
        <is>
          <t>NOT_TESTED</t>
        </is>
      </c>
      <c r="I27" s="3" t="inlineStr">
        <is>
          <t>NOT_TESTED</t>
        </is>
      </c>
      <c r="J27" s="3" t="inlineStr">
        <is>
          <t>NOT_TESTED</t>
        </is>
      </c>
      <c r="K27" s="3" t="inlineStr">
        <is>
          <t>NOT_TESTED</t>
        </is>
      </c>
      <c r="L27" s="3" t="inlineStr">
        <is>
          <t>NOT_TESTED</t>
        </is>
      </c>
      <c r="M27" s="3" t="inlineStr">
        <is>
          <t>NOT_TESTED</t>
        </is>
      </c>
      <c r="N27" s="3" t="inlineStr">
        <is>
          <t>NOT_TESTED</t>
        </is>
      </c>
      <c r="O27" s="3" t="inlineStr">
        <is>
          <t>NOT_TESTED</t>
        </is>
      </c>
      <c r="P27" s="3" t="inlineStr">
        <is>
          <t>NOT_TESTED</t>
        </is>
      </c>
      <c r="Q27" s="3" t="inlineStr">
        <is>
          <t>NOT_TESTED</t>
        </is>
      </c>
      <c r="R27" s="3" t="inlineStr">
        <is>
          <t>NOT_TESTED</t>
        </is>
      </c>
      <c r="S27" s="3" t="inlineStr">
        <is>
          <t>NOT_TESTED</t>
        </is>
      </c>
      <c r="T27" s="3" t="inlineStr">
        <is>
          <t>NOT_TESTED</t>
        </is>
      </c>
      <c r="U27" s="3" t="inlineStr">
        <is>
          <t>NOT_TESTED</t>
        </is>
      </c>
      <c r="V27" s="3" t="inlineStr">
        <is>
          <t>NOT_TESTED</t>
        </is>
      </c>
      <c r="W27" s="3" t="inlineStr">
        <is>
          <t>NOT_TESTED</t>
        </is>
      </c>
      <c r="X27" s="3" t="inlineStr">
        <is>
          <t>NOT_TESTED</t>
        </is>
      </c>
      <c r="Y27" s="3" t="inlineStr">
        <is>
          <t>NOT_TESTED</t>
        </is>
      </c>
      <c r="Z27" s="3" t="inlineStr">
        <is>
          <t>NOT_TESTED</t>
        </is>
      </c>
      <c r="AA27" s="3" t="inlineStr">
        <is>
          <t>NOT_TESTED</t>
        </is>
      </c>
      <c r="AB27" s="3" t="inlineStr">
        <is>
          <t>NOT_TESTED</t>
        </is>
      </c>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row>
    <row r="28">
      <c r="A28" s="2" t="inlineStr">
        <is>
          <t>issue_443</t>
        </is>
      </c>
      <c r="B28" s="5" t="inlineStr">
        <is>
          <t>Failed on test</t>
        </is>
      </c>
      <c r="C28" s="5" t="inlineStr">
        <is>
          <t>Failed on test</t>
        </is>
      </c>
      <c r="D28" s="5" t="inlineStr">
        <is>
          <t>Failed on test</t>
        </is>
      </c>
      <c r="E28" s="5" t="inlineStr">
        <is>
          <t>Failed on test</t>
        </is>
      </c>
      <c r="F28" s="5" t="inlineStr">
        <is>
          <t>Failed on test</t>
        </is>
      </c>
      <c r="G28" s="5" t="inlineStr">
        <is>
          <t>Failed on test</t>
        </is>
      </c>
      <c r="H28" s="5" t="inlineStr">
        <is>
          <t>Failed on test</t>
        </is>
      </c>
      <c r="I28" s="5" t="inlineStr">
        <is>
          <t>Failed on test</t>
        </is>
      </c>
      <c r="J28" s="5" t="inlineStr">
        <is>
          <t>Failed on test</t>
        </is>
      </c>
      <c r="K28" s="5" t="inlineStr">
        <is>
          <t>Failed on test</t>
        </is>
      </c>
      <c r="L28" s="5" t="inlineStr">
        <is>
          <t>Failed on test</t>
        </is>
      </c>
      <c r="M28" s="5" t="inlineStr">
        <is>
          <t>Failed on test</t>
        </is>
      </c>
      <c r="N28" s="5" t="inlineStr">
        <is>
          <t>Failed on test</t>
        </is>
      </c>
      <c r="O28" s="5" t="inlineStr">
        <is>
          <t>Failed on test</t>
        </is>
      </c>
      <c r="P28" s="5" t="inlineStr">
        <is>
          <t>Failed on test</t>
        </is>
      </c>
      <c r="Q28" s="5" t="inlineStr">
        <is>
          <t>Failed on test</t>
        </is>
      </c>
      <c r="R28" s="5" t="inlineStr">
        <is>
          <t>Failed on test</t>
        </is>
      </c>
      <c r="S28" s="5" t="inlineStr">
        <is>
          <t>Failed on test</t>
        </is>
      </c>
      <c r="T28" s="5" t="inlineStr">
        <is>
          <t>Failed on test</t>
        </is>
      </c>
      <c r="U28" s="5" t="inlineStr">
        <is>
          <t>Failed on test</t>
        </is>
      </c>
      <c r="V28" s="5" t="inlineStr">
        <is>
          <t>Failed on test</t>
        </is>
      </c>
      <c r="W28" s="5" t="inlineStr">
        <is>
          <t>Failed on test</t>
        </is>
      </c>
      <c r="X28" s="5" t="inlineStr">
        <is>
          <t>Failed on test</t>
        </is>
      </c>
      <c r="Y28" s="5" t="inlineStr">
        <is>
          <t>Failed on test</t>
        </is>
      </c>
      <c r="Z28" s="5" t="inlineStr">
        <is>
          <t>Failed on test</t>
        </is>
      </c>
      <c r="AA28" s="5" t="inlineStr">
        <is>
          <t>Failed on test</t>
        </is>
      </c>
      <c r="AB28" s="5" t="inlineStr">
        <is>
          <t>Failed on test</t>
        </is>
      </c>
      <c r="AC28" s="2" t="inlineStr">
        <is>
          <t>AssertionError</t>
        </is>
      </c>
      <c r="AD28" s="2" t="inlineStr">
        <is>
          <t>AssertionError:</t>
        </is>
      </c>
      <c r="AE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F28" s="2" t="inlineStr">
        <is>
          <t>AssertionError</t>
        </is>
      </c>
      <c r="AG28" s="2" t="inlineStr">
        <is>
          <t>AssertionError:</t>
        </is>
      </c>
      <c r="AH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I28" s="2" t="inlineStr">
        <is>
          <t>AssertionError</t>
        </is>
      </c>
      <c r="AJ28" s="2" t="inlineStr">
        <is>
          <t>AssertionError:</t>
        </is>
      </c>
      <c r="AK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L28" s="2" t="inlineStr">
        <is>
          <t>AssertionError</t>
        </is>
      </c>
      <c r="AM28" s="2" t="inlineStr">
        <is>
          <t>AssertionError:</t>
        </is>
      </c>
      <c r="AN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O28" s="2" t="inlineStr">
        <is>
          <t>AssertionError</t>
        </is>
      </c>
      <c r="AP28" s="2" t="inlineStr">
        <is>
          <t>AssertionError:</t>
        </is>
      </c>
      <c r="AQ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R28" s="2" t="inlineStr">
        <is>
          <t>AssertionError</t>
        </is>
      </c>
      <c r="AS28" s="2" t="inlineStr">
        <is>
          <t>AssertionError:</t>
        </is>
      </c>
      <c r="AT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U28" s="2" t="inlineStr">
        <is>
          <t>AssertionError</t>
        </is>
      </c>
      <c r="AV28" s="2" t="inlineStr">
        <is>
          <t>AssertionError:</t>
        </is>
      </c>
      <c r="AW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AX28" s="2" t="inlineStr">
        <is>
          <t>AssertionError</t>
        </is>
      </c>
      <c r="AY28" s="2" t="inlineStr">
        <is>
          <t>AssertionError:</t>
        </is>
      </c>
      <c r="AZ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A28" s="2" t="inlineStr">
        <is>
          <t>AssertionError</t>
        </is>
      </c>
      <c r="BB28" s="2" t="inlineStr">
        <is>
          <t>AssertionError:</t>
        </is>
      </c>
      <c r="BC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D28" s="2" t="inlineStr">
        <is>
          <t>AssertionError</t>
        </is>
      </c>
      <c r="BE28" s="2" t="inlineStr">
        <is>
          <t>AssertionError:</t>
        </is>
      </c>
      <c r="BF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G28" s="2" t="inlineStr">
        <is>
          <t>AssertionError</t>
        </is>
      </c>
      <c r="BH28" s="2" t="inlineStr">
        <is>
          <t>AssertionError:</t>
        </is>
      </c>
      <c r="BI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J28" s="2" t="inlineStr">
        <is>
          <t>AssertionError</t>
        </is>
      </c>
      <c r="BK28" s="2" t="inlineStr">
        <is>
          <t>AssertionError:</t>
        </is>
      </c>
      <c r="BL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M28" s="2" t="inlineStr">
        <is>
          <t>AssertionError</t>
        </is>
      </c>
      <c r="BN28" s="2" t="inlineStr">
        <is>
          <t>AssertionError:</t>
        </is>
      </c>
      <c r="BO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P28" s="2" t="inlineStr">
        <is>
          <t>AssertionError</t>
        </is>
      </c>
      <c r="BQ28" s="2" t="inlineStr">
        <is>
          <t>AssertionError:</t>
        </is>
      </c>
      <c r="BR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S28" s="2" t="inlineStr">
        <is>
          <t>AssertionError</t>
        </is>
      </c>
      <c r="BT28" s="2" t="inlineStr">
        <is>
          <t>AssertionError:</t>
        </is>
      </c>
      <c r="BU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V28" s="2" t="inlineStr">
        <is>
          <t>AssertionError</t>
        </is>
      </c>
      <c r="BW28" s="2" t="inlineStr">
        <is>
          <t>AssertionError:</t>
        </is>
      </c>
      <c r="BX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BY28" s="2" t="inlineStr">
        <is>
          <t>AssertionError</t>
        </is>
      </c>
      <c r="BZ28" s="2" t="inlineStr">
        <is>
          <t>AssertionError:</t>
        </is>
      </c>
      <c r="CA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B28" s="2" t="inlineStr">
        <is>
          <t>AssertionError</t>
        </is>
      </c>
      <c r="CC28" s="2" t="inlineStr">
        <is>
          <t>AssertionError:</t>
        </is>
      </c>
      <c r="CD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E28" s="2" t="inlineStr">
        <is>
          <t>AssertionError</t>
        </is>
      </c>
      <c r="CF28" s="2" t="inlineStr">
        <is>
          <t>AssertionError:</t>
        </is>
      </c>
      <c r="CG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H28" s="2" t="inlineStr">
        <is>
          <t>AssertionError</t>
        </is>
      </c>
      <c r="CI28" s="2" t="inlineStr">
        <is>
          <t>AssertionError:</t>
        </is>
      </c>
      <c r="CJ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K28" s="2" t="inlineStr">
        <is>
          <t>AssertionError</t>
        </is>
      </c>
      <c r="CL28" s="2" t="inlineStr">
        <is>
          <t>AssertionError:</t>
        </is>
      </c>
      <c r="CM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N28" s="2" t="inlineStr">
        <is>
          <t>AssertionError</t>
        </is>
      </c>
      <c r="CO28" s="2" t="inlineStr">
        <is>
          <t>AssertionError:</t>
        </is>
      </c>
      <c r="CP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Q28" s="2" t="inlineStr">
        <is>
          <t>AssertionError</t>
        </is>
      </c>
      <c r="CR28" s="2" t="inlineStr">
        <is>
          <t>AssertionError:</t>
        </is>
      </c>
      <c r="CS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T28" s="2" t="inlineStr">
        <is>
          <t>AssertionError</t>
        </is>
      </c>
      <c r="CU28" s="2" t="inlineStr">
        <is>
          <t>AssertionError:</t>
        </is>
      </c>
      <c r="CV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W28" s="2" t="inlineStr">
        <is>
          <t>AssertionError</t>
        </is>
      </c>
      <c r="CX28" s="2" t="inlineStr">
        <is>
          <t>AssertionError:</t>
        </is>
      </c>
      <c r="CY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CZ28" s="2" t="inlineStr">
        <is>
          <t>AssertionError</t>
        </is>
      </c>
      <c r="DA28" s="2" t="inlineStr">
        <is>
          <t>AssertionError:</t>
        </is>
      </c>
      <c r="DB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DC28" s="2" t="inlineStr">
        <is>
          <t>AssertionError</t>
        </is>
      </c>
      <c r="DD28" s="2" t="inlineStr">
        <is>
          <t>AssertionError:</t>
        </is>
      </c>
      <c r="DE28" s="2"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row>
    <row r="29">
      <c r="A29" s="2" t="inlineStr">
        <is>
          <t>issue_453</t>
        </is>
      </c>
      <c r="B29" s="3" t="inlineStr">
        <is>
          <t>NOT_TESTED</t>
        </is>
      </c>
      <c r="C29" s="3" t="inlineStr">
        <is>
          <t>NOT_TESTED</t>
        </is>
      </c>
      <c r="D29" s="3" t="inlineStr">
        <is>
          <t>NOT_TESTED</t>
        </is>
      </c>
      <c r="E29" s="3" t="inlineStr">
        <is>
          <t>NOT_TESTED</t>
        </is>
      </c>
      <c r="F29" s="6" t="inlineStr">
        <is>
          <t>Runtime error</t>
        </is>
      </c>
      <c r="G29" s="6" t="inlineStr">
        <is>
          <t>Runtime error</t>
        </is>
      </c>
      <c r="H29" s="6" t="inlineStr">
        <is>
          <t>Runtime error</t>
        </is>
      </c>
      <c r="I29" s="6" t="inlineStr">
        <is>
          <t>Runtime error</t>
        </is>
      </c>
      <c r="J29" s="6" t="inlineStr">
        <is>
          <t>Runtime error</t>
        </is>
      </c>
      <c r="K29" s="6" t="inlineStr">
        <is>
          <t>Runtime error</t>
        </is>
      </c>
      <c r="L29" s="6" t="inlineStr">
        <is>
          <t>Runtime error</t>
        </is>
      </c>
      <c r="M29" s="6" t="inlineStr">
        <is>
          <t>Runtime error</t>
        </is>
      </c>
      <c r="N29" s="6" t="inlineStr">
        <is>
          <t>Runtime error</t>
        </is>
      </c>
      <c r="O29" s="6" t="inlineStr">
        <is>
          <t>Runtime error</t>
        </is>
      </c>
      <c r="P29" s="6" t="inlineStr">
        <is>
          <t>Runtime error</t>
        </is>
      </c>
      <c r="Q29" s="6" t="inlineStr">
        <is>
          <t>Runtime error</t>
        </is>
      </c>
      <c r="R29" s="6" t="inlineStr">
        <is>
          <t>Runtime error</t>
        </is>
      </c>
      <c r="S29" s="6" t="inlineStr">
        <is>
          <t>Runtime error</t>
        </is>
      </c>
      <c r="T29" s="6" t="inlineStr">
        <is>
          <t>Runtime error</t>
        </is>
      </c>
      <c r="U29" s="6" t="inlineStr">
        <is>
          <t>Runtime error</t>
        </is>
      </c>
      <c r="V29" s="6" t="inlineStr">
        <is>
          <t>Runtime error</t>
        </is>
      </c>
      <c r="W29" s="6" t="inlineStr">
        <is>
          <t>Runtime error</t>
        </is>
      </c>
      <c r="X29" s="6" t="inlineStr">
        <is>
          <t>Runtime error</t>
        </is>
      </c>
      <c r="Y29" s="6" t="inlineStr">
        <is>
          <t>Runtime error</t>
        </is>
      </c>
      <c r="Z29" s="6" t="inlineStr">
        <is>
          <t>Runtime error</t>
        </is>
      </c>
      <c r="AA29" s="6" t="inlineStr">
        <is>
          <t>Runtime error</t>
        </is>
      </c>
      <c r="AB29" s="6" t="inlineStr">
        <is>
          <t>Runtime error</t>
        </is>
      </c>
      <c r="AC29" s="2" t="n"/>
      <c r="AD29" s="2" t="n"/>
      <c r="AE29" s="2" t="n"/>
      <c r="AF29" s="2" t="n"/>
      <c r="AG29" s="2" t="n"/>
      <c r="AH29" s="2" t="n"/>
      <c r="AI29" s="2" t="n"/>
      <c r="AJ29" s="2" t="n"/>
      <c r="AK29" s="2" t="n"/>
      <c r="AL29" s="2" t="n"/>
      <c r="AM29" s="2" t="n"/>
      <c r="AN29" s="2" t="n"/>
      <c r="AO29" s="2" t="inlineStr">
        <is>
          <t>AttributeError</t>
        </is>
      </c>
      <c r="AP29" s="2" t="inlineStr">
        <is>
          <t>AttributeError: 'QuantumCircuit' object has no attribute 'compose_with_auto_ancillas'</t>
        </is>
      </c>
      <c r="AQ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AR29" s="2" t="inlineStr">
        <is>
          <t>AttributeError</t>
        </is>
      </c>
      <c r="AS29" s="2" t="inlineStr">
        <is>
          <t>AttributeError: 'QuantumCircuit' object has no attribute 'compose_with_auto_ancillas'</t>
        </is>
      </c>
      <c r="AT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AU29" s="2" t="inlineStr">
        <is>
          <t>AttributeError</t>
        </is>
      </c>
      <c r="AV29" s="2" t="inlineStr">
        <is>
          <t>AttributeError: 'QuantumCircuit' object has no attribute 'compose_with_auto_ancillas'</t>
        </is>
      </c>
      <c r="AW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AX29" s="2" t="inlineStr">
        <is>
          <t>AttributeError</t>
        </is>
      </c>
      <c r="AY29" s="2" t="inlineStr">
        <is>
          <t>AttributeError: 'QuantumCircuit' object has no attribute 'compose_with_auto_ancillas'</t>
        </is>
      </c>
      <c r="AZ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A29" s="2" t="inlineStr">
        <is>
          <t>AttributeError</t>
        </is>
      </c>
      <c r="BB29" s="2" t="inlineStr">
        <is>
          <t>AttributeError: 'QuantumCircuit' object has no attribute 'compose_with_auto_ancillas'</t>
        </is>
      </c>
      <c r="BC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D29" s="2" t="inlineStr">
        <is>
          <t>AttributeError</t>
        </is>
      </c>
      <c r="BE29" s="2" t="inlineStr">
        <is>
          <t>AttributeError: 'QuantumCircuit' object has no attribute 'compose_with_auto_ancillas'</t>
        </is>
      </c>
      <c r="BF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G29" s="2" t="inlineStr">
        <is>
          <t>AttributeError</t>
        </is>
      </c>
      <c r="BH29" s="2" t="inlineStr">
        <is>
          <t>AttributeError: 'QuantumCircuit' object has no attribute 'compose_with_auto_ancillas'</t>
        </is>
      </c>
      <c r="BI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J29" s="2" t="inlineStr">
        <is>
          <t>AttributeError</t>
        </is>
      </c>
      <c r="BK29" s="2" t="inlineStr">
        <is>
          <t>AttributeError: 'QuantumCircuit' object has no attribute 'compose_with_auto_ancillas'</t>
        </is>
      </c>
      <c r="BL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M29" s="2" t="inlineStr">
        <is>
          <t>AttributeError</t>
        </is>
      </c>
      <c r="BN29" s="2" t="inlineStr">
        <is>
          <t>AttributeError: 'QuantumCircuit' object has no attribute 'compose_with_auto_ancillas'</t>
        </is>
      </c>
      <c r="BO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P29" s="2" t="inlineStr">
        <is>
          <t>AttributeError</t>
        </is>
      </c>
      <c r="BQ29" s="2" t="inlineStr">
        <is>
          <t>AttributeError: 'QuantumCircuit' object has no attribute 'compose_with_auto_ancillas'</t>
        </is>
      </c>
      <c r="BR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S29" s="2" t="inlineStr">
        <is>
          <t>AttributeError</t>
        </is>
      </c>
      <c r="BT29" s="2" t="inlineStr">
        <is>
          <t>AttributeError: 'QuantumCircuit' object has no attribute 'compose_with_auto_ancillas'</t>
        </is>
      </c>
      <c r="BU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V29" s="2" t="inlineStr">
        <is>
          <t>AttributeError</t>
        </is>
      </c>
      <c r="BW29" s="2" t="inlineStr">
        <is>
          <t>AttributeError: 'QuantumCircuit' object has no attribute 'compose_with_auto_ancillas'</t>
        </is>
      </c>
      <c r="BX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BY29" s="2" t="inlineStr">
        <is>
          <t>AttributeError</t>
        </is>
      </c>
      <c r="BZ29" s="2" t="inlineStr">
        <is>
          <t>AttributeError: 'QuantumCircuit' object has no attribute 'compose_with_auto_ancillas'</t>
        </is>
      </c>
      <c r="CA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B29" s="2" t="inlineStr">
        <is>
          <t>AttributeError</t>
        </is>
      </c>
      <c r="CC29" s="2" t="inlineStr">
        <is>
          <t>AttributeError: 'QuantumCircuit' object has no attribute 'compose_with_auto_ancillas'</t>
        </is>
      </c>
      <c r="CD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E29" s="2" t="inlineStr">
        <is>
          <t>AttributeError</t>
        </is>
      </c>
      <c r="CF29" s="2" t="inlineStr">
        <is>
          <t>AttributeError: 'QuantumCircuit' object has no attribute 'compose_with_auto_ancillas'</t>
        </is>
      </c>
      <c r="CG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H29" s="2" t="inlineStr">
        <is>
          <t>AttributeError</t>
        </is>
      </c>
      <c r="CI29" s="2" t="inlineStr">
        <is>
          <t>AttributeError: 'QuantumCircuit' object has no attribute 'compose_with_auto_ancillas'</t>
        </is>
      </c>
      <c r="CJ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K29" s="2" t="inlineStr">
        <is>
          <t>AttributeError</t>
        </is>
      </c>
      <c r="CL29" s="2" t="inlineStr">
        <is>
          <t>AttributeError: 'QuantumCircuit' object has no attribute 'compose_with_auto_ancillas'</t>
        </is>
      </c>
      <c r="CM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N29" s="2" t="inlineStr">
        <is>
          <t>AttributeError</t>
        </is>
      </c>
      <c r="CO29" s="2" t="inlineStr">
        <is>
          <t>AttributeError: 'QuantumCircuit' object has no attribute 'compose_with_auto_ancillas'</t>
        </is>
      </c>
      <c r="CP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Q29" s="2" t="inlineStr">
        <is>
          <t>AttributeError</t>
        </is>
      </c>
      <c r="CR29" s="2" t="inlineStr">
        <is>
          <t>AttributeError: 'QuantumCircuit' object has no attribute 'compose_with_auto_ancillas'</t>
        </is>
      </c>
      <c r="CS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T29" s="2" t="inlineStr">
        <is>
          <t>AttributeError</t>
        </is>
      </c>
      <c r="CU29" s="2" t="inlineStr">
        <is>
          <t>AttributeError: 'QuantumCircuit' object has no attribute 'compose_with_auto_ancillas'</t>
        </is>
      </c>
      <c r="CV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W29" s="2" t="inlineStr">
        <is>
          <t>AttributeError</t>
        </is>
      </c>
      <c r="CX29" s="2" t="inlineStr">
        <is>
          <t>AttributeError: 'QuantumCircuit' object has no attribute 'compose_with_auto_ancillas'</t>
        </is>
      </c>
      <c r="CY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CZ29" s="2" t="inlineStr">
        <is>
          <t>AttributeError</t>
        </is>
      </c>
      <c r="DA29" s="2" t="inlineStr">
        <is>
          <t>AttributeError: 'QuantumCircuit' object has no attribute 'compose_with_auto_ancillas'</t>
        </is>
      </c>
      <c r="DB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DC29" s="2" t="inlineStr">
        <is>
          <t>AttributeError</t>
        </is>
      </c>
      <c r="DD29" s="2" t="inlineStr">
        <is>
          <t>AttributeError: 'QuantumCircuit' object has no attribute 'compose_with_auto_ancillas'</t>
        </is>
      </c>
      <c r="DE29" s="2"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row>
    <row r="30">
      <c r="A30" s="2" t="inlineStr">
        <is>
          <t>issue_468</t>
        </is>
      </c>
      <c r="B30" s="5" t="inlineStr">
        <is>
          <t>Failed on test</t>
        </is>
      </c>
      <c r="C30" s="5" t="inlineStr">
        <is>
          <t>Failed on test</t>
        </is>
      </c>
      <c r="D30" s="5" t="inlineStr">
        <is>
          <t>Failed on test</t>
        </is>
      </c>
      <c r="E30" s="5" t="inlineStr">
        <is>
          <t>Failed on test</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inlineStr">
        <is>
          <t>AssertionError</t>
        </is>
      </c>
      <c r="AD30" s="2" t="inlineStr">
        <is>
          <t>AssertionError: Expected one actual commutator call</t>
        </is>
      </c>
      <c r="AE30" s="2" t="inlineStr">
        <is>
          <t>The LLM dropped Aqua's legacy commutator() and computed AB - BA directly on the density matrices' data, so the script computes the commutator, but the test checks that Qiskit's commutator() is actually called ('Expected one actual commutator call'). claude-opus-5-5 did the same with its own function; every model so far fails this case.</t>
        </is>
      </c>
      <c r="AF30" s="2" t="inlineStr">
        <is>
          <t>AssertionError</t>
        </is>
      </c>
      <c r="AG30" s="2" t="inlineStr">
        <is>
          <t>AssertionError: Expected one actual commutator call</t>
        </is>
      </c>
      <c r="AH30" s="2" t="inlineStr">
        <is>
          <t>The LLM dropped Aqua's legacy commutator() and computed AB - BA directly on the density matrices' data, so the script computes the commutator, but the test checks that Qiskit's commutator() is actually called ('Expected one actual commutator call'). claude-opus-5-5 did the same with its own function; every model so far fails this case.</t>
        </is>
      </c>
      <c r="AI30" s="2" t="inlineStr">
        <is>
          <t>AssertionError</t>
        </is>
      </c>
      <c r="AJ30" s="2" t="inlineStr">
        <is>
          <t>AssertionError: Expected one actual commutator call</t>
        </is>
      </c>
      <c r="AK30" s="2" t="inlineStr">
        <is>
          <t>The LLM dropped Aqua's legacy commutator() and computed AB - BA directly on the density matrices' data, so the script computes the commutator, but the test checks that Qiskit's commutator() is actually called ('Expected one actual commutator call'). claude-opus-5-5 did the same with its own function; every model so far fails this case.</t>
        </is>
      </c>
      <c r="AL30" s="2" t="inlineStr">
        <is>
          <t>AssertionError</t>
        </is>
      </c>
      <c r="AM30" s="2" t="inlineStr">
        <is>
          <t>AssertionError: Expected one actual commutator call</t>
        </is>
      </c>
      <c r="AN30" s="2" t="inlineStr">
        <is>
          <t>The LLM dropped Aqua's legacy commutator() and computed AB - BA directly on the density matrices' data, so the script computes the commutator, but the test checks that Qiskit's commutator() is actually called ('Expected one actual commutator call'). claude-opus-5-5 did the same with its own function; every model so far fails this case.</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issue_497</t>
        </is>
      </c>
      <c r="B31" s="5" t="inlineStr">
        <is>
          <t>Failed on test</t>
        </is>
      </c>
      <c r="C31" s="5" t="inlineStr">
        <is>
          <t>Failed on test</t>
        </is>
      </c>
      <c r="D31" s="5" t="inlineStr">
        <is>
          <t>Failed on test</t>
        </is>
      </c>
      <c r="E31" s="5" t="inlineStr">
        <is>
          <t>Failed on test</t>
        </is>
      </c>
      <c r="F31" s="3" t="inlineStr">
        <is>
          <t>NOT_TESTED</t>
        </is>
      </c>
      <c r="G31" s="3" t="inlineStr">
        <is>
          <t>NOT_TESTED</t>
        </is>
      </c>
      <c r="H31" s="3" t="inlineStr">
        <is>
          <t>NOT_TESTED</t>
        </is>
      </c>
      <c r="I31" s="3" t="inlineStr">
        <is>
          <t>NOT_TESTED</t>
        </is>
      </c>
      <c r="J31" s="3" t="inlineStr">
        <is>
          <t>NOT_TESTED</t>
        </is>
      </c>
      <c r="K31" s="3" t="inlineStr">
        <is>
          <t>NOT_TESTED</t>
        </is>
      </c>
      <c r="L31" s="3" t="inlineStr">
        <is>
          <t>NOT_TESTED</t>
        </is>
      </c>
      <c r="M31" s="3" t="inlineStr">
        <is>
          <t>NOT_TESTED</t>
        </is>
      </c>
      <c r="N31" s="3" t="inlineStr">
        <is>
          <t>NOT_TESTED</t>
        </is>
      </c>
      <c r="O31" s="3" t="inlineStr">
        <is>
          <t>NOT_TESTED</t>
        </is>
      </c>
      <c r="P31" s="3" t="inlineStr">
        <is>
          <t>NOT_TESTED</t>
        </is>
      </c>
      <c r="Q31" s="3" t="inlineStr">
        <is>
          <t>NOT_TESTED</t>
        </is>
      </c>
      <c r="R31" s="3" t="inlineStr">
        <is>
          <t>NOT_TESTED</t>
        </is>
      </c>
      <c r="S31" s="3" t="inlineStr">
        <is>
          <t>NOT_TESTED</t>
        </is>
      </c>
      <c r="T31" s="3" t="inlineStr">
        <is>
          <t>NOT_TESTED</t>
        </is>
      </c>
      <c r="U31" s="3" t="inlineStr">
        <is>
          <t>NOT_TESTED</t>
        </is>
      </c>
      <c r="V31" s="3" t="inlineStr">
        <is>
          <t>NOT_TESTED</t>
        </is>
      </c>
      <c r="W31" s="3" t="inlineStr">
        <is>
          <t>NOT_TESTED</t>
        </is>
      </c>
      <c r="X31" s="3" t="inlineStr">
        <is>
          <t>NOT_TESTED</t>
        </is>
      </c>
      <c r="Y31" s="3" t="inlineStr">
        <is>
          <t>NOT_TESTED</t>
        </is>
      </c>
      <c r="Z31" s="3" t="inlineStr">
        <is>
          <t>NOT_TESTED</t>
        </is>
      </c>
      <c r="AA31" s="3" t="inlineStr">
        <is>
          <t>NOT_TESTED</t>
        </is>
      </c>
      <c r="AB31" s="3" t="inlineStr">
        <is>
          <t>NOT_TESTED</t>
        </is>
      </c>
      <c r="AC31" s="2" t="inlineStr">
        <is>
          <t>AssertionError</t>
        </is>
      </c>
      <c r="AD31" s="2" t="inlineStr">
        <is>
          <t>AssertionError: 2 != 1 : The local expectation batch should use one backend submission</t>
        </is>
      </c>
      <c r="AE31" s="2" t="inlineStr">
        <is>
          <t>The LLM only removed the stray IBMQJobManager() call and kept the two expectation values as separate evaluations, so the test sees two backend submissions instead of one batched job (2 != 1). gpt-5.6-luna batched them into one CircuitSampler call and passed.</t>
        </is>
      </c>
      <c r="AF31" s="2" t="inlineStr">
        <is>
          <t>AssertionError</t>
        </is>
      </c>
      <c r="AG31" s="2" t="inlineStr">
        <is>
          <t>AssertionError: 2 != 1 : The local expectation batch should use one backend submission</t>
        </is>
      </c>
      <c r="AH31" s="2" t="inlineStr">
        <is>
          <t>The LLM only removed the stray IBMQJobManager() call and kept the two expectation values as separate evaluations, so the test sees two backend submissions instead of one batched job (2 != 1). gpt-5.6-luna batched them into one CircuitSampler call and passed.</t>
        </is>
      </c>
      <c r="AI31" s="2" t="inlineStr">
        <is>
          <t>AssertionError</t>
        </is>
      </c>
      <c r="AJ31" s="2" t="inlineStr">
        <is>
          <t>AssertionError: 2 != 1 : The local expectation batch should use one backend submission</t>
        </is>
      </c>
      <c r="AK31" s="2" t="inlineStr">
        <is>
          <t>The LLM only removed the stray IBMQJobManager() call and kept the two expectation values as separate evaluations, so the test sees two backend submissions instead of one batched job (2 != 1). gpt-5.6-luna batched them into one CircuitSampler call and passed.</t>
        </is>
      </c>
      <c r="AL31" s="2" t="inlineStr">
        <is>
          <t>AssertionError</t>
        </is>
      </c>
      <c r="AM31" s="2" t="inlineStr">
        <is>
          <t>AssertionError: 2 != 1 : The local expectation batch should use one backend submission</t>
        </is>
      </c>
      <c r="AN31" s="2" t="inlineStr">
        <is>
          <t>The LLM only removed the stray IBMQJobManager() call and kept the two expectation values as separate evaluations, so the test sees two backend submissions instead of one batched job (2 != 1). gpt-5.6-luna batched them into one CircuitSampler call and passed.</t>
        </is>
      </c>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issue_504</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4" t="inlineStr">
        <is>
          <t>Passed on test</t>
        </is>
      </c>
      <c r="O32" s="4" t="inlineStr">
        <is>
          <t>Passed on test</t>
        </is>
      </c>
      <c r="P32" s="4" t="inlineStr">
        <is>
          <t>Passed on test</t>
        </is>
      </c>
      <c r="Q32" s="4" t="inlineStr">
        <is>
          <t>Passed on test</t>
        </is>
      </c>
      <c r="R32" s="4" t="inlineStr">
        <is>
          <t>Passed on test</t>
        </is>
      </c>
      <c r="S32" s="4" t="inlineStr">
        <is>
          <t>Passed on test</t>
        </is>
      </c>
      <c r="T32" s="4" t="inlineStr">
        <is>
          <t>Passed on test</t>
        </is>
      </c>
      <c r="U32" s="4" t="inlineStr">
        <is>
          <t>Passed on test</t>
        </is>
      </c>
      <c r="V32" s="4" t="inlineStr">
        <is>
          <t>Passed on test</t>
        </is>
      </c>
      <c r="W32" s="4" t="inlineStr">
        <is>
          <t>Passed on test</t>
        </is>
      </c>
      <c r="X32" s="4" t="inlineStr">
        <is>
          <t>Passed on test</t>
        </is>
      </c>
      <c r="Y32" s="4" t="inlineStr">
        <is>
          <t>Passed on test</t>
        </is>
      </c>
      <c r="Z32" s="4" t="inlineStr">
        <is>
          <t>Passed on test</t>
        </is>
      </c>
      <c r="AA32" s="4" t="inlineStr">
        <is>
          <t>Passed on test</t>
        </is>
      </c>
      <c r="AB32" s="4" t="inlineStr">
        <is>
          <t>Passed on test</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issue_505</t>
        </is>
      </c>
      <c r="B33" s="3" t="inlineStr">
        <is>
          <t>NOT_TESTED</t>
        </is>
      </c>
      <c r="C33" s="3" t="inlineStr">
        <is>
          <t>NOT_TESTED</t>
        </is>
      </c>
      <c r="D33" s="3" t="inlineStr">
        <is>
          <t>NOT_TESTED</t>
        </is>
      </c>
      <c r="E33" s="3" t="inlineStr">
        <is>
          <t>NOT_TESTED</t>
        </is>
      </c>
      <c r="F33" s="4" t="inlineStr">
        <is>
          <t>Passed on test</t>
        </is>
      </c>
      <c r="G33" s="4" t="inlineStr">
        <is>
          <t>Passed on test</t>
        </is>
      </c>
      <c r="H33" s="4" t="inlineStr">
        <is>
          <t>Passed on test</t>
        </is>
      </c>
      <c r="I33" s="4" t="inlineStr">
        <is>
          <t>Passed on test</t>
        </is>
      </c>
      <c r="J33" s="4" t="inlineStr">
        <is>
          <t>Passed on test</t>
        </is>
      </c>
      <c r="K33" s="4" t="inlineStr">
        <is>
          <t>Passed on test</t>
        </is>
      </c>
      <c r="L33" s="4" t="inlineStr">
        <is>
          <t>Passed on test</t>
        </is>
      </c>
      <c r="M33" s="4" t="inlineStr">
        <is>
          <t>Passed on test</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issue_565</t>
        </is>
      </c>
      <c r="B34" s="6" t="inlineStr">
        <is>
          <t>Runtime error</t>
        </is>
      </c>
      <c r="C34" s="6" t="inlineStr">
        <is>
          <t>Runtime error</t>
        </is>
      </c>
      <c r="D34" s="6" t="inlineStr">
        <is>
          <t>Runtime error</t>
        </is>
      </c>
      <c r="E34" s="6" t="inlineStr">
        <is>
          <t>Runtime error</t>
        </is>
      </c>
      <c r="F34" s="3" t="inlineStr">
        <is>
          <t>NOT_TESTED</t>
        </is>
      </c>
      <c r="G34" s="3" t="inlineStr">
        <is>
          <t>NOT_TESTED</t>
        </is>
      </c>
      <c r="H34" s="3" t="inlineStr">
        <is>
          <t>NOT_TESTED</t>
        </is>
      </c>
      <c r="I34" s="3" t="inlineStr">
        <is>
          <t>NOT_TESTED</t>
        </is>
      </c>
      <c r="J34" s="3" t="inlineStr">
        <is>
          <t>NOT_TESTED</t>
        </is>
      </c>
      <c r="K34" s="3" t="inlineStr">
        <is>
          <t>NOT_TESTED</t>
        </is>
      </c>
      <c r="L34" s="3" t="inlineStr">
        <is>
          <t>NOT_TESTED</t>
        </is>
      </c>
      <c r="M34" s="3" t="inlineStr">
        <is>
          <t>NOT_TESTED</t>
        </is>
      </c>
      <c r="N34" s="3" t="inlineStr">
        <is>
          <t>NOT_TESTED</t>
        </is>
      </c>
      <c r="O34" s="3" t="inlineStr">
        <is>
          <t>NOT_TESTED</t>
        </is>
      </c>
      <c r="P34" s="3" t="inlineStr">
        <is>
          <t>NOT_TESTED</t>
        </is>
      </c>
      <c r="Q34" s="3" t="inlineStr">
        <is>
          <t>NOT_TESTED</t>
        </is>
      </c>
      <c r="R34" s="3" t="inlineStr">
        <is>
          <t>NOT_TESTED</t>
        </is>
      </c>
      <c r="S34" s="3" t="inlineStr">
        <is>
          <t>NOT_TESTED</t>
        </is>
      </c>
      <c r="T34" s="3" t="inlineStr">
        <is>
          <t>NOT_TESTED</t>
        </is>
      </c>
      <c r="U34" s="3" t="inlineStr">
        <is>
          <t>NOT_TESTED</t>
        </is>
      </c>
      <c r="V34" s="3" t="inlineStr">
        <is>
          <t>NOT_TESTED</t>
        </is>
      </c>
      <c r="W34" s="3" t="inlineStr">
        <is>
          <t>NOT_TESTED</t>
        </is>
      </c>
      <c r="X34" s="3" t="inlineStr">
        <is>
          <t>NOT_TESTED</t>
        </is>
      </c>
      <c r="Y34" s="3" t="inlineStr">
        <is>
          <t>NOT_TESTED</t>
        </is>
      </c>
      <c r="Z34" s="3" t="inlineStr">
        <is>
          <t>NOT_TESTED</t>
        </is>
      </c>
      <c r="AA34" s="3" t="inlineStr">
        <is>
          <t>NOT_TESTED</t>
        </is>
      </c>
      <c r="AB34" s="3" t="inlineStr">
        <is>
          <t>NOT_TESTED</t>
        </is>
      </c>
      <c r="AC34" s="2" t="inlineStr">
        <is>
          <t>Timeout</t>
        </is>
      </c>
      <c r="AD34" s="2" t="inlineStr">
        <is>
          <t>120 second timeout</t>
        </is>
      </c>
      <c r="AE34" s="2" t="inlineStr">
        <is>
          <t>Error (timeout): the LLM returned Aqua PauliOps instead of quantum_info Operators and built the mixer products with @= starting from an identity PauliOp, which removes the crash both luna models hit, but building the QAOA circuits doesn't finish within 120 seconds on any version (2 runs, the second with a single worker). claude-opus-5-5, gpt-6.1-sol and gpt-6-astra timed out the same way.</t>
        </is>
      </c>
      <c r="AF34" s="2" t="inlineStr">
        <is>
          <t>Timeout</t>
        </is>
      </c>
      <c r="AG34" s="2" t="inlineStr">
        <is>
          <t>120 second timeout</t>
        </is>
      </c>
      <c r="AH34" s="2" t="inlineStr">
        <is>
          <t>Error (timeout): the LLM returned Aqua PauliOps instead of quantum_info Operators and built the mixer products with @= starting from an identity PauliOp, which removes the crash both luna models hit, but building the QAOA circuits doesn't finish within 120 seconds on any version (2 runs, the second with a single worker). claude-opus-5-5, gpt-6.1-sol and gpt-6-astra timed out the same way.</t>
        </is>
      </c>
      <c r="AI34" s="2" t="inlineStr">
        <is>
          <t>Timeout</t>
        </is>
      </c>
      <c r="AJ34" s="2" t="inlineStr">
        <is>
          <t>120 second timeout</t>
        </is>
      </c>
      <c r="AK34" s="2" t="inlineStr">
        <is>
          <t>Error (timeout): the LLM returned Aqua PauliOps instead of quantum_info Operators and built the mixer products with @= starting from an identity PauliOp, which removes the crash both luna models hit, but building the QAOA circuits doesn't finish within 120 seconds on any version (2 runs, the second with a single worker). claude-opus-5-5, gpt-6.1-sol and gpt-6-astra timed out the same way.</t>
        </is>
      </c>
      <c r="AL34" s="2" t="inlineStr">
        <is>
          <t>Timeout</t>
        </is>
      </c>
      <c r="AM34" s="2" t="inlineStr">
        <is>
          <t>120 second timeout</t>
        </is>
      </c>
      <c r="AN34" s="2" t="inlineStr">
        <is>
          <t>Error (timeout): the LLM returned Aqua PauliOps instead of quantum_info Operators and built the mixer products with @= starting from an identity PauliOp, which removes the crash both luna models hit, but building the QAOA circuits doesn't finish within 120 seconds on any version (2 runs, the second with a single worker). claude-opus-5-5, gpt-6.1-sol and gpt-6-astra timed out the same way.</t>
        </is>
      </c>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issue_595</t>
        </is>
      </c>
      <c r="B35" s="3" t="inlineStr">
        <is>
          <t>NOT_TESTED</t>
        </is>
      </c>
      <c r="C35" s="3" t="inlineStr">
        <is>
          <t>NOT_TESTED</t>
        </is>
      </c>
      <c r="D35" s="3" t="inlineStr">
        <is>
          <t>NOT_TESTED</t>
        </is>
      </c>
      <c r="E35" s="3" t="inlineStr">
        <is>
          <t>NOT_TESTED</t>
        </is>
      </c>
      <c r="F35" s="4" t="inlineStr">
        <is>
          <t>Passed on test</t>
        </is>
      </c>
      <c r="G35" s="4" t="inlineStr">
        <is>
          <t>Passed on test</t>
        </is>
      </c>
      <c r="H35" s="4" t="inlineStr">
        <is>
          <t>Passed on test</t>
        </is>
      </c>
      <c r="I35" s="4" t="inlineStr">
        <is>
          <t>Passed on test</t>
        </is>
      </c>
      <c r="J35" s="4" t="inlineStr">
        <is>
          <t>Passed on test</t>
        </is>
      </c>
      <c r="K35" s="4" t="inlineStr">
        <is>
          <t>Passed on test</t>
        </is>
      </c>
      <c r="L35" s="4" t="inlineStr">
        <is>
          <t>Passed on test</t>
        </is>
      </c>
      <c r="M35" s="4" t="inlineStr">
        <is>
          <t>Passed on test</t>
        </is>
      </c>
      <c r="N35" s="4" t="inlineStr">
        <is>
          <t>Passed on test</t>
        </is>
      </c>
      <c r="O35" s="4" t="inlineStr">
        <is>
          <t>Passed on test</t>
        </is>
      </c>
      <c r="P35" s="4" t="inlineStr">
        <is>
          <t>Passed on test</t>
        </is>
      </c>
      <c r="Q35" s="4" t="inlineStr">
        <is>
          <t>Passed on test</t>
        </is>
      </c>
      <c r="R35" s="4" t="inlineStr">
        <is>
          <t>Passed on test</t>
        </is>
      </c>
      <c r="S35" s="4" t="inlineStr">
        <is>
          <t>Passed on test</t>
        </is>
      </c>
      <c r="T35" s="4" t="inlineStr">
        <is>
          <t>Passed on test</t>
        </is>
      </c>
      <c r="U35" s="4" t="inlineStr">
        <is>
          <t>Passed on test</t>
        </is>
      </c>
      <c r="V35" s="4" t="inlineStr">
        <is>
          <t>Passed on test</t>
        </is>
      </c>
      <c r="W35" s="4" t="inlineStr">
        <is>
          <t>Passed on test</t>
        </is>
      </c>
      <c r="X35" s="4" t="inlineStr">
        <is>
          <t>Passed on test</t>
        </is>
      </c>
      <c r="Y35" s="4" t="inlineStr">
        <is>
          <t>Passed on test</t>
        </is>
      </c>
      <c r="Z35" s="4" t="inlineStr">
        <is>
          <t>Passed on test</t>
        </is>
      </c>
      <c r="AA35" s="4" t="inlineStr">
        <is>
          <t>Passed on test</t>
        </is>
      </c>
      <c r="AB35" s="4" t="inlineStr">
        <is>
          <t>Passed on test</t>
        </is>
      </c>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row>
    <row r="36">
      <c r="A36" s="2" t="inlineStr">
        <is>
          <t>issue_596</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issue_600</t>
        </is>
      </c>
      <c r="B37" s="6" t="inlineStr">
        <is>
          <t>Runtime error</t>
        </is>
      </c>
      <c r="C37" s="6" t="inlineStr">
        <is>
          <t>Runtime error</t>
        </is>
      </c>
      <c r="D37" s="6" t="inlineStr">
        <is>
          <t>Runtime error</t>
        </is>
      </c>
      <c r="E37" s="6" t="inlineStr">
        <is>
          <t>Runtime error</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inlineStr">
        <is>
          <t>ImportError</t>
        </is>
      </c>
      <c r="AD37" s="2" t="inlineStr">
        <is>
          <t>ImportError: cannot import name 'PauliGate' from 'qiskit.circuit.library' (C:\qiskit_envs\q0250\lib\site-packages\qiskit\circuit\library\__init__.py)</t>
        </is>
      </c>
      <c r="AE37" s="2"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AF37" s="2" t="inlineStr">
        <is>
          <t>ImportError</t>
        </is>
      </c>
      <c r="AG37" s="2" t="inlineStr">
        <is>
          <t>ImportError: cannot import name 'PauliGate' from 'qiskit.circuit.library' (C:\qiskit_envs\q0251\lib\site-packages\qiskit\circuit\library\__init__.py)</t>
        </is>
      </c>
      <c r="AH37" s="2"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AI37" s="2" t="inlineStr">
        <is>
          <t>ImportError</t>
        </is>
      </c>
      <c r="AJ37" s="2" t="inlineStr">
        <is>
          <t>ImportError: cannot import name 'PauliGate' from 'qiskit.circuit.library' (C:\qiskit_envs\q0252\lib\site-packages\qiskit\circuit\library\__init__.py)</t>
        </is>
      </c>
      <c r="AK37" s="2"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AL37" s="2" t="inlineStr">
        <is>
          <t>ImportError</t>
        </is>
      </c>
      <c r="AM37" s="2" t="inlineStr">
        <is>
          <t>ImportError: cannot import name 'PauliGate' from 'qiskit.circuit.library' (C:\qiskit_envs\q0253\lib\site-packages\qiskit\circuit\library\__init__.py)</t>
        </is>
      </c>
      <c r="AN37" s="2"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issue_622</t>
        </is>
      </c>
      <c r="B38" s="4" t="inlineStr">
        <is>
          <t>Passed on test</t>
        </is>
      </c>
      <c r="C38" s="4" t="inlineStr">
        <is>
          <t>Passed on test</t>
        </is>
      </c>
      <c r="D38" s="4" t="inlineStr">
        <is>
          <t>Passed on test</t>
        </is>
      </c>
      <c r="E38" s="4" t="inlineStr">
        <is>
          <t>Passed on test</t>
        </is>
      </c>
      <c r="F38" s="4" t="inlineStr">
        <is>
          <t>Passed on test</t>
        </is>
      </c>
      <c r="G38" s="4" t="inlineStr">
        <is>
          <t>Passed on test</t>
        </is>
      </c>
      <c r="H38" s="4" t="inlineStr">
        <is>
          <t>Passed on test</t>
        </is>
      </c>
      <c r="I38" s="4" t="inlineStr">
        <is>
          <t>Passed on test</t>
        </is>
      </c>
      <c r="J38" s="4" t="inlineStr">
        <is>
          <t>Passed on test</t>
        </is>
      </c>
      <c r="K38" s="4" t="inlineStr">
        <is>
          <t>Passed on test</t>
        </is>
      </c>
      <c r="L38" s="4" t="inlineStr">
        <is>
          <t>Passed on test</t>
        </is>
      </c>
      <c r="M38" s="4" t="inlineStr">
        <is>
          <t>Passed on test</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issue_624</t>
        </is>
      </c>
      <c r="B39" s="4" t="inlineStr">
        <is>
          <t>Passed on test</t>
        </is>
      </c>
      <c r="C39" s="4" t="inlineStr">
        <is>
          <t>Passed on test</t>
        </is>
      </c>
      <c r="D39" s="4" t="inlineStr">
        <is>
          <t>Passed on test</t>
        </is>
      </c>
      <c r="E39" s="4" t="inlineStr">
        <is>
          <t>Passed on test</t>
        </is>
      </c>
      <c r="F39" s="4" t="inlineStr">
        <is>
          <t>Passed on test</t>
        </is>
      </c>
      <c r="G39" s="4" t="inlineStr">
        <is>
          <t>Passed on test</t>
        </is>
      </c>
      <c r="H39" s="4" t="inlineStr">
        <is>
          <t>Passed on test</t>
        </is>
      </c>
      <c r="I39" s="4" t="inlineStr">
        <is>
          <t>Passed on test</t>
        </is>
      </c>
      <c r="J39" s="4" t="inlineStr">
        <is>
          <t>Passed on test</t>
        </is>
      </c>
      <c r="K39" s="4" t="inlineStr">
        <is>
          <t>Passed on test</t>
        </is>
      </c>
      <c r="L39" s="4" t="inlineStr">
        <is>
          <t>Passed on test</t>
        </is>
      </c>
      <c r="M39" s="4" t="inlineStr">
        <is>
          <t>Passed on test</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issue_635</t>
        </is>
      </c>
      <c r="B40" s="5" t="inlineStr">
        <is>
          <t>Failed on test</t>
        </is>
      </c>
      <c r="C40" s="5" t="inlineStr">
        <is>
          <t>Failed on test</t>
        </is>
      </c>
      <c r="D40" s="5" t="inlineStr">
        <is>
          <t>Failed on test</t>
        </is>
      </c>
      <c r="E40" s="5" t="inlineStr">
        <is>
          <t>Failed on test</t>
        </is>
      </c>
      <c r="F40" s="3" t="inlineStr">
        <is>
          <t>NOT_TESTED</t>
        </is>
      </c>
      <c r="G40" s="3" t="inlineStr">
        <is>
          <t>NOT_TESTED</t>
        </is>
      </c>
      <c r="H40" s="3" t="inlineStr">
        <is>
          <t>NOT_TESTED</t>
        </is>
      </c>
      <c r="I40" s="3" t="inlineStr">
        <is>
          <t>NOT_TESTED</t>
        </is>
      </c>
      <c r="J40" s="3" t="inlineStr">
        <is>
          <t>NOT_TESTED</t>
        </is>
      </c>
      <c r="K40" s="3" t="inlineStr">
        <is>
          <t>NOT_TESTED</t>
        </is>
      </c>
      <c r="L40" s="3" t="inlineStr">
        <is>
          <t>NOT_TESTED</t>
        </is>
      </c>
      <c r="M40" s="3" t="inlineStr">
        <is>
          <t>NOT_TESTED</t>
        </is>
      </c>
      <c r="N40" s="3" t="inlineStr">
        <is>
          <t>NOT_TESTED</t>
        </is>
      </c>
      <c r="O40" s="3" t="inlineStr">
        <is>
          <t>NOT_TESTED</t>
        </is>
      </c>
      <c r="P40" s="3" t="inlineStr">
        <is>
          <t>NOT_TESTED</t>
        </is>
      </c>
      <c r="Q40" s="3" t="inlineStr">
        <is>
          <t>NOT_TESTED</t>
        </is>
      </c>
      <c r="R40" s="3" t="inlineStr">
        <is>
          <t>NOT_TESTED</t>
        </is>
      </c>
      <c r="S40" s="3" t="inlineStr">
        <is>
          <t>NOT_TESTED</t>
        </is>
      </c>
      <c r="T40" s="3" t="inlineStr">
        <is>
          <t>NOT_TESTED</t>
        </is>
      </c>
      <c r="U40" s="3" t="inlineStr">
        <is>
          <t>NOT_TESTED</t>
        </is>
      </c>
      <c r="V40" s="3" t="inlineStr">
        <is>
          <t>NOT_TESTED</t>
        </is>
      </c>
      <c r="W40" s="3" t="inlineStr">
        <is>
          <t>NOT_TESTED</t>
        </is>
      </c>
      <c r="X40" s="3" t="inlineStr">
        <is>
          <t>NOT_TESTED</t>
        </is>
      </c>
      <c r="Y40" s="3" t="inlineStr">
        <is>
          <t>NOT_TESTED</t>
        </is>
      </c>
      <c r="Z40" s="3" t="inlineStr">
        <is>
          <t>NOT_TESTED</t>
        </is>
      </c>
      <c r="AA40" s="3" t="inlineStr">
        <is>
          <t>NOT_TESTED</t>
        </is>
      </c>
      <c r="AB40" s="3" t="inlineStr">
        <is>
          <t>NOT_TESTED</t>
        </is>
      </c>
      <c r="AC40" s="2" t="inlineStr">
        <is>
          <t>AssertionError</t>
        </is>
      </c>
      <c r="AD40" s="2" t="inlineStr">
        <is>
          <t>AssertionError: Items in the first set but not the second:</t>
        </is>
      </c>
      <c r="AE40" s="2" t="inlineStr">
        <is>
          <t>The LLM conditioned both X gates on the whole register with c_if(c, 3), so they fire only when the register reads exactly 011. With the third bit set (register value 7) neither gate fires, although the question only asks for c[0] = c[1] = 1, so the test's full truth table doesn't match. gpt-6.1-sol added c_if(c, 7) as well and is the only model to pass; c_if exists in Qiskit 0.25, the only versions this case runs on.</t>
        </is>
      </c>
      <c r="AF40" s="2" t="inlineStr">
        <is>
          <t>AssertionError</t>
        </is>
      </c>
      <c r="AG40" s="2" t="inlineStr">
        <is>
          <t>AssertionError: Items in the first set but not the second:</t>
        </is>
      </c>
      <c r="AH40" s="2" t="inlineStr">
        <is>
          <t>The LLM conditioned both X gates on the whole register with c_if(c, 3), so they fire only when the register reads exactly 011. With the third bit set (register value 7) neither gate fires, although the question only asks for c[0] = c[1] = 1, so the test's full truth table doesn't match. gpt-6.1-sol added c_if(c, 7) as well and is the only model to pass; c_if exists in Qiskit 0.25, the only versions this case runs on.</t>
        </is>
      </c>
      <c r="AI40" s="2" t="inlineStr">
        <is>
          <t>AssertionError</t>
        </is>
      </c>
      <c r="AJ40" s="2" t="inlineStr">
        <is>
          <t>AssertionError: Items in the first set but not the second:</t>
        </is>
      </c>
      <c r="AK40" s="2" t="inlineStr">
        <is>
          <t>The LLM conditioned both X gates on the whole register with c_if(c, 3), so they fire only when the register reads exactly 011. With the third bit set (register value 7) neither gate fires, although the question only asks for c[0] = c[1] = 1, so the test's full truth table doesn't match. gpt-6.1-sol added c_if(c, 7) as well and is the only model to pass; c_if exists in Qiskit 0.25, the only versions this case runs on.</t>
        </is>
      </c>
      <c r="AL40" s="2" t="inlineStr">
        <is>
          <t>AssertionError</t>
        </is>
      </c>
      <c r="AM40" s="2" t="inlineStr">
        <is>
          <t>AssertionError: Items in the first set but not the second:</t>
        </is>
      </c>
      <c r="AN40" s="2" t="inlineStr">
        <is>
          <t>The LLM conditioned both X gates on the whole register with c_if(c, 3), so they fire only when the register reads exactly 011. With the third bit set (register value 7) neither gate fires, although the question only asks for c[0] = c[1] = 1, so the test's full truth table doesn't match. gpt-6.1-sol added c_if(c, 7) as well and is the only model to pass; c_if exists in Qiskit 0.25, the only versions this case runs on.</t>
        </is>
      </c>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issue_662</t>
        </is>
      </c>
      <c r="B41" s="3" t="inlineStr">
        <is>
          <t>NOT_TESTED</t>
        </is>
      </c>
      <c r="C41" s="3" t="inlineStr">
        <is>
          <t>NOT_TESTED</t>
        </is>
      </c>
      <c r="D41" s="3" t="inlineStr">
        <is>
          <t>NOT_TESTED</t>
        </is>
      </c>
      <c r="E41" s="3" t="inlineStr">
        <is>
          <t>NOT_TESTED</t>
        </is>
      </c>
      <c r="F41" s="4" t="inlineStr">
        <is>
          <t>Passed on test</t>
        </is>
      </c>
      <c r="G41" s="4" t="inlineStr">
        <is>
          <t>Passed on test</t>
        </is>
      </c>
      <c r="H41" s="4" t="inlineStr">
        <is>
          <t>Passed on test</t>
        </is>
      </c>
      <c r="I41" s="4" t="inlineStr">
        <is>
          <t>Passed on test</t>
        </is>
      </c>
      <c r="J41" s="4" t="inlineStr">
        <is>
          <t>Passed on test</t>
        </is>
      </c>
      <c r="K41" s="4" t="inlineStr">
        <is>
          <t>Passed on test</t>
        </is>
      </c>
      <c r="L41" s="4" t="inlineStr">
        <is>
          <t>Passed on test</t>
        </is>
      </c>
      <c r="M41" s="4" t="inlineStr">
        <is>
          <t>Passed on test</t>
        </is>
      </c>
      <c r="N41" s="4" t="inlineStr">
        <is>
          <t>Passed on test</t>
        </is>
      </c>
      <c r="O41" s="4" t="inlineStr">
        <is>
          <t>Passed on test</t>
        </is>
      </c>
      <c r="P41" s="4" t="inlineStr">
        <is>
          <t>Passed on test</t>
        </is>
      </c>
      <c r="Q41" s="4" t="inlineStr">
        <is>
          <t>Passed on test</t>
        </is>
      </c>
      <c r="R41" s="4" t="inlineStr">
        <is>
          <t>Passed on test</t>
        </is>
      </c>
      <c r="S41" s="4" t="inlineStr">
        <is>
          <t>Passed on test</t>
        </is>
      </c>
      <c r="T41" s="4" t="inlineStr">
        <is>
          <t>Passed on test</t>
        </is>
      </c>
      <c r="U41" s="4" t="inlineStr">
        <is>
          <t>Passed on test</t>
        </is>
      </c>
      <c r="V41" s="4" t="inlineStr">
        <is>
          <t>Passed on test</t>
        </is>
      </c>
      <c r="W41" s="4" t="inlineStr">
        <is>
          <t>Passed on test</t>
        </is>
      </c>
      <c r="X41" s="4" t="inlineStr">
        <is>
          <t>Passed on test</t>
        </is>
      </c>
      <c r="Y41" s="4" t="inlineStr">
        <is>
          <t>Passed on test</t>
        </is>
      </c>
      <c r="Z41" s="4" t="inlineStr">
        <is>
          <t>Passed on test</t>
        </is>
      </c>
      <c r="AA41" s="4" t="inlineStr">
        <is>
          <t>Passed on test</t>
        </is>
      </c>
      <c r="AB41" s="4" t="inlineStr">
        <is>
          <t>Passed on test</t>
        </is>
      </c>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row>
    <row r="42">
      <c r="A42" s="2" t="inlineStr">
        <is>
          <t>issue_663</t>
        </is>
      </c>
      <c r="B42" s="3" t="inlineStr">
        <is>
          <t>NOT_TESTED</t>
        </is>
      </c>
      <c r="C42" s="3" t="inlineStr">
        <is>
          <t>NOT_TESTED</t>
        </is>
      </c>
      <c r="D42" s="3" t="inlineStr">
        <is>
          <t>NOT_TESTED</t>
        </is>
      </c>
      <c r="E42" s="3" t="inlineStr">
        <is>
          <t>NOT_TESTED</t>
        </is>
      </c>
      <c r="F42" s="4" t="inlineStr">
        <is>
          <t>Passed on test</t>
        </is>
      </c>
      <c r="G42" s="4" t="inlineStr">
        <is>
          <t>Passed on test</t>
        </is>
      </c>
      <c r="H42" s="4" t="inlineStr">
        <is>
          <t>Passed on test</t>
        </is>
      </c>
      <c r="I42" s="4" t="inlineStr">
        <is>
          <t>Passed on test</t>
        </is>
      </c>
      <c r="J42" s="4" t="inlineStr">
        <is>
          <t>Passed on test</t>
        </is>
      </c>
      <c r="K42" s="4" t="inlineStr">
        <is>
          <t>Passed on test</t>
        </is>
      </c>
      <c r="L42" s="4" t="inlineStr">
        <is>
          <t>Passed on test</t>
        </is>
      </c>
      <c r="M42" s="4" t="inlineStr">
        <is>
          <t>Passed on test</t>
        </is>
      </c>
      <c r="N42" s="3" t="inlineStr">
        <is>
          <t>NOT_TESTED</t>
        </is>
      </c>
      <c r="O42" s="3" t="inlineStr">
        <is>
          <t>NOT_TESTED</t>
        </is>
      </c>
      <c r="P42" s="3" t="inlineStr">
        <is>
          <t>NOT_TESTED</t>
        </is>
      </c>
      <c r="Q42" s="3" t="inlineStr">
        <is>
          <t>NOT_TESTED</t>
        </is>
      </c>
      <c r="R42" s="3" t="inlineStr">
        <is>
          <t>NOT_TESTED</t>
        </is>
      </c>
      <c r="S42" s="3" t="inlineStr">
        <is>
          <t>NOT_TESTED</t>
        </is>
      </c>
      <c r="T42" s="3" t="inlineStr">
        <is>
          <t>NOT_TESTED</t>
        </is>
      </c>
      <c r="U42" s="3" t="inlineStr">
        <is>
          <t>NOT_TESTED</t>
        </is>
      </c>
      <c r="V42" s="3" t="inlineStr">
        <is>
          <t>NOT_TESTED</t>
        </is>
      </c>
      <c r="W42" s="3" t="inlineStr">
        <is>
          <t>NOT_TESTED</t>
        </is>
      </c>
      <c r="X42" s="3" t="inlineStr">
        <is>
          <t>NOT_TESTED</t>
        </is>
      </c>
      <c r="Y42" s="3" t="inlineStr">
        <is>
          <t>NOT_TESTED</t>
        </is>
      </c>
      <c r="Z42" s="3" t="inlineStr">
        <is>
          <t>NOT_TESTED</t>
        </is>
      </c>
      <c r="AA42" s="3" t="inlineStr">
        <is>
          <t>NOT_TESTED</t>
        </is>
      </c>
      <c r="AB42" s="3" t="inlineStr">
        <is>
          <t>NOT_TESTED</t>
        </is>
      </c>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2" t="n"/>
      <c r="CW42" s="2" t="n"/>
      <c r="CX42" s="2" t="n"/>
      <c r="CY42" s="2" t="n"/>
      <c r="CZ42" s="2" t="n"/>
      <c r="DA42" s="2" t="n"/>
      <c r="DB42" s="2" t="n"/>
      <c r="DC42" s="2" t="n"/>
      <c r="DD42" s="2" t="n"/>
      <c r="DE42" s="2" t="n"/>
    </row>
    <row r="43">
      <c r="A43" s="2" t="inlineStr">
        <is>
          <t>issue_671</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4" t="inlineStr">
        <is>
          <t>Passed on test</t>
        </is>
      </c>
      <c r="O43" s="4" t="inlineStr">
        <is>
          <t>Passed on test</t>
        </is>
      </c>
      <c r="P43" s="4" t="inlineStr">
        <is>
          <t>Passed on test</t>
        </is>
      </c>
      <c r="Q43" s="4" t="inlineStr">
        <is>
          <t>Passed on test</t>
        </is>
      </c>
      <c r="R43" s="4" t="inlineStr">
        <is>
          <t>Passed on test</t>
        </is>
      </c>
      <c r="S43" s="4" t="inlineStr">
        <is>
          <t>Passed on test</t>
        </is>
      </c>
      <c r="T43" s="4" t="inlineStr">
        <is>
          <t>Passed on test</t>
        </is>
      </c>
      <c r="U43" s="4" t="inlineStr">
        <is>
          <t>Passed on test</t>
        </is>
      </c>
      <c r="V43" s="4" t="inlineStr">
        <is>
          <t>Passed on test</t>
        </is>
      </c>
      <c r="W43" s="4" t="inlineStr">
        <is>
          <t>Passed on test</t>
        </is>
      </c>
      <c r="X43" s="4" t="inlineStr">
        <is>
          <t>Passed on test</t>
        </is>
      </c>
      <c r="Y43" s="4" t="inlineStr">
        <is>
          <t>Passed on test</t>
        </is>
      </c>
      <c r="Z43" s="4" t="inlineStr">
        <is>
          <t>Passed on test</t>
        </is>
      </c>
      <c r="AA43" s="4" t="inlineStr">
        <is>
          <t>Passed on test</t>
        </is>
      </c>
      <c r="AB43" s="4" t="inlineStr">
        <is>
          <t>Passed on test</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issue_727</t>
        </is>
      </c>
      <c r="B44" s="4" t="inlineStr">
        <is>
          <t>Passed on test</t>
        </is>
      </c>
      <c r="C44" s="4" t="inlineStr">
        <is>
          <t>Passed on test</t>
        </is>
      </c>
      <c r="D44" s="4" t="inlineStr">
        <is>
          <t>Passed on test</t>
        </is>
      </c>
      <c r="E44" s="4" t="inlineStr">
        <is>
          <t>Passed on test</t>
        </is>
      </c>
      <c r="F44" s="4" t="inlineStr">
        <is>
          <t>Passed on test</t>
        </is>
      </c>
      <c r="G44" s="4" t="inlineStr">
        <is>
          <t>Passed on test</t>
        </is>
      </c>
      <c r="H44" s="4" t="inlineStr">
        <is>
          <t>Passed on test</t>
        </is>
      </c>
      <c r="I44" s="4" t="inlineStr">
        <is>
          <t>Passed on test</t>
        </is>
      </c>
      <c r="J44" s="4" t="inlineStr">
        <is>
          <t>Passed on test</t>
        </is>
      </c>
      <c r="K44" s="4" t="inlineStr">
        <is>
          <t>Passed on test</t>
        </is>
      </c>
      <c r="L44" s="4" t="inlineStr">
        <is>
          <t>Passed on test</t>
        </is>
      </c>
      <c r="M44" s="4" t="inlineStr">
        <is>
          <t>Passed on test</t>
        </is>
      </c>
      <c r="N44" s="3" t="inlineStr">
        <is>
          <t>NOT_TESTED</t>
        </is>
      </c>
      <c r="O44" s="3" t="inlineStr">
        <is>
          <t>NOT_TESTED</t>
        </is>
      </c>
      <c r="P44" s="3" t="inlineStr">
        <is>
          <t>NOT_TESTED</t>
        </is>
      </c>
      <c r="Q44" s="3" t="inlineStr">
        <is>
          <t>NOT_TESTED</t>
        </is>
      </c>
      <c r="R44" s="3" t="inlineStr">
        <is>
          <t>NOT_TESTED</t>
        </is>
      </c>
      <c r="S44" s="3" t="inlineStr">
        <is>
          <t>NOT_TESTED</t>
        </is>
      </c>
      <c r="T44" s="3" t="inlineStr">
        <is>
          <t>NOT_TESTED</t>
        </is>
      </c>
      <c r="U44" s="3" t="inlineStr">
        <is>
          <t>NOT_TESTED</t>
        </is>
      </c>
      <c r="V44" s="3" t="inlineStr">
        <is>
          <t>NOT_TESTED</t>
        </is>
      </c>
      <c r="W44" s="3" t="inlineStr">
        <is>
          <t>NOT_TESTED</t>
        </is>
      </c>
      <c r="X44" s="3" t="inlineStr">
        <is>
          <t>NOT_TESTED</t>
        </is>
      </c>
      <c r="Y44" s="3" t="inlineStr">
        <is>
          <t>NOT_TESTED</t>
        </is>
      </c>
      <c r="Z44" s="3" t="inlineStr">
        <is>
          <t>NOT_TESTED</t>
        </is>
      </c>
      <c r="AA44" s="3" t="inlineStr">
        <is>
          <t>NOT_TESTED</t>
        </is>
      </c>
      <c r="AB44" s="3" t="inlineStr">
        <is>
          <t>NOT_TESTED</t>
        </is>
      </c>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issue_742</t>
        </is>
      </c>
      <c r="B45" s="3" t="inlineStr">
        <is>
          <t>NOT_TESTED</t>
        </is>
      </c>
      <c r="C45" s="3" t="inlineStr">
        <is>
          <t>NOT_TESTED</t>
        </is>
      </c>
      <c r="D45" s="3" t="inlineStr">
        <is>
          <t>NOT_TESTED</t>
        </is>
      </c>
      <c r="E45" s="3" t="inlineStr">
        <is>
          <t>NOT_TESTED</t>
        </is>
      </c>
      <c r="F45" s="3" t="inlineStr">
        <is>
          <t>NOT_TESTED</t>
        </is>
      </c>
      <c r="G45" s="3" t="inlineStr">
        <is>
          <t>NOT_TESTED</t>
        </is>
      </c>
      <c r="H45" s="3" t="inlineStr">
        <is>
          <t>NOT_TESTED</t>
        </is>
      </c>
      <c r="I45" s="3" t="inlineStr">
        <is>
          <t>NOT_TESTED</t>
        </is>
      </c>
      <c r="J45" s="3" t="inlineStr">
        <is>
          <t>NOT_TESTED</t>
        </is>
      </c>
      <c r="K45" s="3" t="inlineStr">
        <is>
          <t>NOT_TESTED</t>
        </is>
      </c>
      <c r="L45" s="3" t="inlineStr">
        <is>
          <t>NOT_TESTED</t>
        </is>
      </c>
      <c r="M45" s="3" t="inlineStr">
        <is>
          <t>NOT_TESTED</t>
        </is>
      </c>
      <c r="N45" s="3" t="inlineStr">
        <is>
          <t>NOT_TESTED</t>
        </is>
      </c>
      <c r="O45" s="3" t="inlineStr">
        <is>
          <t>NOT_TESTED</t>
        </is>
      </c>
      <c r="P45" s="3" t="inlineStr">
        <is>
          <t>NOT_TESTED</t>
        </is>
      </c>
      <c r="Q45" s="4" t="inlineStr">
        <is>
          <t>Passed on test</t>
        </is>
      </c>
      <c r="R45" s="4" t="inlineStr">
        <is>
          <t>Passed on test</t>
        </is>
      </c>
      <c r="S45" s="4" t="inlineStr">
        <is>
          <t>Passed on test</t>
        </is>
      </c>
      <c r="T45" s="4" t="inlineStr">
        <is>
          <t>Passed on test</t>
        </is>
      </c>
      <c r="U45" s="4" t="inlineStr">
        <is>
          <t>Passed on test</t>
        </is>
      </c>
      <c r="V45" s="4" t="inlineStr">
        <is>
          <t>Passed on test</t>
        </is>
      </c>
      <c r="W45" s="4" t="inlineStr">
        <is>
          <t>Passed on test</t>
        </is>
      </c>
      <c r="X45" s="4" t="inlineStr">
        <is>
          <t>Passed on test</t>
        </is>
      </c>
      <c r="Y45" s="4" t="inlineStr">
        <is>
          <t>Passed on test</t>
        </is>
      </c>
      <c r="Z45" s="4" t="inlineStr">
        <is>
          <t>Passed on test</t>
        </is>
      </c>
      <c r="AA45" s="4" t="inlineStr">
        <is>
          <t>Passed on test</t>
        </is>
      </c>
      <c r="AB45" s="4" t="inlineStr">
        <is>
          <t>Passed on test</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issue_747</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3" t="inlineStr">
        <is>
          <t>NOT_TESTED</t>
        </is>
      </c>
      <c r="O46" s="3" t="inlineStr">
        <is>
          <t>NOT_TESTED</t>
        </is>
      </c>
      <c r="P46" s="3" t="inlineStr">
        <is>
          <t>NOT_TESTED</t>
        </is>
      </c>
      <c r="Q46" s="3" t="inlineStr">
        <is>
          <t>NOT_TESTED</t>
        </is>
      </c>
      <c r="R46" s="3" t="inlineStr">
        <is>
          <t>NOT_TESTED</t>
        </is>
      </c>
      <c r="S46" s="3" t="inlineStr">
        <is>
          <t>NOT_TESTED</t>
        </is>
      </c>
      <c r="T46" s="3" t="inlineStr">
        <is>
          <t>NOT_TESTED</t>
        </is>
      </c>
      <c r="U46" s="3" t="inlineStr">
        <is>
          <t>NOT_TESTED</t>
        </is>
      </c>
      <c r="V46" s="3" t="inlineStr">
        <is>
          <t>NOT_TESTED</t>
        </is>
      </c>
      <c r="W46" s="3" t="inlineStr">
        <is>
          <t>NOT_TESTED</t>
        </is>
      </c>
      <c r="X46" s="3" t="inlineStr">
        <is>
          <t>NOT_TESTED</t>
        </is>
      </c>
      <c r="Y46" s="3" t="inlineStr">
        <is>
          <t>NOT_TESTED</t>
        </is>
      </c>
      <c r="Z46" s="3" t="inlineStr">
        <is>
          <t>NOT_TESTED</t>
        </is>
      </c>
      <c r="AA46" s="3" t="inlineStr">
        <is>
          <t>NOT_TESTED</t>
        </is>
      </c>
      <c r="AB46" s="3" t="inlineStr">
        <is>
          <t>NOT_TESTED</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issue_750</t>
        </is>
      </c>
      <c r="B47" s="3" t="inlineStr">
        <is>
          <t>NOT_TESTED</t>
        </is>
      </c>
      <c r="C47" s="3" t="inlineStr">
        <is>
          <t>NOT_TESTED</t>
        </is>
      </c>
      <c r="D47" s="3" t="inlineStr">
        <is>
          <t>NOT_TESTED</t>
        </is>
      </c>
      <c r="E47" s="3" t="inlineStr">
        <is>
          <t>NOT_TESTED</t>
        </is>
      </c>
      <c r="F47" s="6" t="inlineStr">
        <is>
          <t>Runtime error</t>
        </is>
      </c>
      <c r="G47" s="6" t="inlineStr">
        <is>
          <t>Runtime error</t>
        </is>
      </c>
      <c r="H47" s="6" t="inlineStr">
        <is>
          <t>Runtime error</t>
        </is>
      </c>
      <c r="I47" s="6" t="inlineStr">
        <is>
          <t>Runtime error</t>
        </is>
      </c>
      <c r="J47" s="6" t="inlineStr">
        <is>
          <t>Runtime error</t>
        </is>
      </c>
      <c r="K47" s="6" t="inlineStr">
        <is>
          <t>Runtime error</t>
        </is>
      </c>
      <c r="L47" s="6" t="inlineStr">
        <is>
          <t>Runtime error</t>
        </is>
      </c>
      <c r="M47" s="6" t="inlineStr">
        <is>
          <t>Runtime error</t>
        </is>
      </c>
      <c r="N47" s="6" t="inlineStr">
        <is>
          <t>Runtime error</t>
        </is>
      </c>
      <c r="O47" s="6" t="inlineStr">
        <is>
          <t>Runtime error</t>
        </is>
      </c>
      <c r="P47" s="6" t="inlineStr">
        <is>
          <t>Runtime error</t>
        </is>
      </c>
      <c r="Q47" s="6" t="inlineStr">
        <is>
          <t>Runtime error</t>
        </is>
      </c>
      <c r="R47" s="6" t="inlineStr">
        <is>
          <t>Runtime error</t>
        </is>
      </c>
      <c r="S47" s="6" t="inlineStr">
        <is>
          <t>Runtime error</t>
        </is>
      </c>
      <c r="T47" s="6" t="inlineStr">
        <is>
          <t>Runtime error</t>
        </is>
      </c>
      <c r="U47" s="6" t="inlineStr">
        <is>
          <t>Runtime error</t>
        </is>
      </c>
      <c r="V47" s="6" t="inlineStr">
        <is>
          <t>Runtime error</t>
        </is>
      </c>
      <c r="W47" s="6" t="inlineStr">
        <is>
          <t>Runtime error</t>
        </is>
      </c>
      <c r="X47" s="6" t="inlineStr">
        <is>
          <t>Runtime error</t>
        </is>
      </c>
      <c r="Y47" s="6" t="inlineStr">
        <is>
          <t>Runtime error</t>
        </is>
      </c>
      <c r="Z47" s="6" t="inlineStr">
        <is>
          <t>Runtime error</t>
        </is>
      </c>
      <c r="AA47" s="6" t="inlineStr">
        <is>
          <t>Runtime error</t>
        </is>
      </c>
      <c r="AB47" s="6" t="inlineStr">
        <is>
          <t>Runtime error</t>
        </is>
      </c>
      <c r="AC47" s="2" t="n"/>
      <c r="AD47" s="2" t="n"/>
      <c r="AE47" s="2" t="n"/>
      <c r="AF47" s="2" t="n"/>
      <c r="AG47" s="2" t="n"/>
      <c r="AH47" s="2" t="n"/>
      <c r="AI47" s="2" t="n"/>
      <c r="AJ47" s="2" t="n"/>
      <c r="AK47" s="2" t="n"/>
      <c r="AL47" s="2" t="n"/>
      <c r="AM47" s="2" t="n"/>
      <c r="AN47" s="2" t="n"/>
      <c r="AO47" s="2" t="inlineStr">
        <is>
          <t>TypeError</t>
        </is>
      </c>
      <c r="AP47" s="2" t="inlineStr">
        <is>
          <t>TypeError: Pauli.__init__() got an unexpected keyword argument 'label'</t>
        </is>
      </c>
      <c r="AQ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AR47" s="2" t="inlineStr">
        <is>
          <t>TypeError</t>
        </is>
      </c>
      <c r="AS47" s="2" t="inlineStr">
        <is>
          <t>TypeError: Pauli.__init__() got an unexpected keyword argument 'label'</t>
        </is>
      </c>
      <c r="AT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AU47" s="2" t="inlineStr">
        <is>
          <t>TypeError</t>
        </is>
      </c>
      <c r="AV47" s="2" t="inlineStr">
        <is>
          <t>TypeError: Pauli.__init__() got an unexpected keyword argument 'label'</t>
        </is>
      </c>
      <c r="AW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AX47" s="2" t="inlineStr">
        <is>
          <t>TypeError</t>
        </is>
      </c>
      <c r="AY47" s="2" t="inlineStr">
        <is>
          <t>TypeError: Pauli.__init__() got an unexpected keyword argument 'label'</t>
        </is>
      </c>
      <c r="AZ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A47" s="2" t="inlineStr">
        <is>
          <t>TypeError</t>
        </is>
      </c>
      <c r="BB47" s="2" t="inlineStr">
        <is>
          <t>TypeError: Pauli.__init__() got an unexpected keyword argument 'label'</t>
        </is>
      </c>
      <c r="BC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D47" s="2" t="inlineStr">
        <is>
          <t>TypeError</t>
        </is>
      </c>
      <c r="BE47" s="2" t="inlineStr">
        <is>
          <t>TypeError: Pauli.__init__() got an unexpected keyword argument 'label'</t>
        </is>
      </c>
      <c r="BF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G47" s="2" t="inlineStr">
        <is>
          <t>TypeError</t>
        </is>
      </c>
      <c r="BH47" s="2" t="inlineStr">
        <is>
          <t>TypeError: Pauli.__init__() got an unexpected keyword argument 'label'</t>
        </is>
      </c>
      <c r="BI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J47" s="2" t="inlineStr">
        <is>
          <t>TypeError</t>
        </is>
      </c>
      <c r="BK47" s="2" t="inlineStr">
        <is>
          <t>TypeError: Pauli.__init__() got an unexpected keyword argument 'label'</t>
        </is>
      </c>
      <c r="BL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M47" s="2" t="inlineStr">
        <is>
          <t>TypeError</t>
        </is>
      </c>
      <c r="BN47" s="2" t="inlineStr">
        <is>
          <t>TypeError: Pauli.__init__() got an unexpected keyword argument 'label'</t>
        </is>
      </c>
      <c r="BO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P47" s="2" t="inlineStr">
        <is>
          <t>TypeError</t>
        </is>
      </c>
      <c r="BQ47" s="2" t="inlineStr">
        <is>
          <t>TypeError: Pauli.__init__() got an unexpected keyword argument 'label'</t>
        </is>
      </c>
      <c r="BR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S47" s="2" t="inlineStr">
        <is>
          <t>TypeError</t>
        </is>
      </c>
      <c r="BT47" s="2" t="inlineStr">
        <is>
          <t>TypeError: Pauli.__init__() got an unexpected keyword argument 'label'</t>
        </is>
      </c>
      <c r="BU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V47" s="2" t="inlineStr">
        <is>
          <t>TypeError</t>
        </is>
      </c>
      <c r="BW47" s="2" t="inlineStr">
        <is>
          <t>TypeError: Pauli.__init__() got an unexpected keyword argument 'label'</t>
        </is>
      </c>
      <c r="BX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BY47" s="2" t="inlineStr">
        <is>
          <t>TypeError</t>
        </is>
      </c>
      <c r="BZ47" s="2" t="inlineStr">
        <is>
          <t>TypeError: Pauli.__init__() got an unexpected keyword argument 'label'</t>
        </is>
      </c>
      <c r="CA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B47" s="2" t="inlineStr">
        <is>
          <t>TypeError</t>
        </is>
      </c>
      <c r="CC47" s="2" t="inlineStr">
        <is>
          <t>TypeError: Pauli.__init__() got an unexpected keyword argument 'label'</t>
        </is>
      </c>
      <c r="CD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E47" s="2" t="inlineStr">
        <is>
          <t>TypeError</t>
        </is>
      </c>
      <c r="CF47" s="2" t="inlineStr">
        <is>
          <t>TypeError: Pauli.__init__() got an unexpected keyword argument 'label'</t>
        </is>
      </c>
      <c r="CG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H47" s="2" t="inlineStr">
        <is>
          <t>TypeError</t>
        </is>
      </c>
      <c r="CI47" s="2" t="inlineStr">
        <is>
          <t>TypeError: Pauli.__init__() got an unexpected keyword argument 'label'</t>
        </is>
      </c>
      <c r="CJ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K47" s="2" t="inlineStr">
        <is>
          <t>TypeError</t>
        </is>
      </c>
      <c r="CL47" s="2" t="inlineStr">
        <is>
          <t>TypeError: Pauli.__init__() got an unexpected keyword argument 'label'</t>
        </is>
      </c>
      <c r="CM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N47" s="2" t="inlineStr">
        <is>
          <t>TypeError</t>
        </is>
      </c>
      <c r="CO47" s="2" t="inlineStr">
        <is>
          <t>TypeError: Pauli.__init__() got an unexpected keyword argument 'label'</t>
        </is>
      </c>
      <c r="CP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Q47" s="2" t="inlineStr">
        <is>
          <t>TypeError</t>
        </is>
      </c>
      <c r="CR47" s="2" t="inlineStr">
        <is>
          <t>TypeError: Pauli.__init__() got an unexpected keyword argument 'label'</t>
        </is>
      </c>
      <c r="CS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T47" s="2" t="inlineStr">
        <is>
          <t>TypeError</t>
        </is>
      </c>
      <c r="CU47" s="2" t="inlineStr">
        <is>
          <t>TypeError: Pauli.__init__() got an unexpected keyword argument 'label'</t>
        </is>
      </c>
      <c r="CV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W47" s="2" t="inlineStr">
        <is>
          <t>TypeError</t>
        </is>
      </c>
      <c r="CX47" s="2" t="inlineStr">
        <is>
          <t>TypeError: Pauli.__init__() got an unexpected keyword argument 'label'</t>
        </is>
      </c>
      <c r="CY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CZ47" s="2" t="inlineStr">
        <is>
          <t>TypeError</t>
        </is>
      </c>
      <c r="DA47" s="2" t="inlineStr">
        <is>
          <t>TypeError: Pauli.__init__() got an unexpected keyword argument 'label'</t>
        </is>
      </c>
      <c r="DB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DC47" s="2" t="inlineStr">
        <is>
          <t>TypeError</t>
        </is>
      </c>
      <c r="DD47" s="2" t="inlineStr">
        <is>
          <t>TypeError: Pauli.__init__() got an unexpected keyword argument 'label'</t>
        </is>
      </c>
      <c r="DE47" s="2"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row>
    <row r="48">
      <c r="A48" s="2" t="inlineStr">
        <is>
          <t>issue_769</t>
        </is>
      </c>
      <c r="B48" s="3" t="inlineStr">
        <is>
          <t>NOT_TESTED</t>
        </is>
      </c>
      <c r="C48" s="3" t="inlineStr">
        <is>
          <t>NOT_TESTED</t>
        </is>
      </c>
      <c r="D48" s="3" t="inlineStr">
        <is>
          <t>NOT_TESTED</t>
        </is>
      </c>
      <c r="E48" s="3" t="inlineStr">
        <is>
          <t>NOT_TESTED</t>
        </is>
      </c>
      <c r="F48" s="3" t="inlineStr">
        <is>
          <t>NOT_TESTED</t>
        </is>
      </c>
      <c r="G48" s="3" t="inlineStr">
        <is>
          <t>NOT_TESTED</t>
        </is>
      </c>
      <c r="H48" s="3" t="inlineStr">
        <is>
          <t>NOT_TESTED</t>
        </is>
      </c>
      <c r="I48" s="3" t="inlineStr">
        <is>
          <t>NOT_TESTED</t>
        </is>
      </c>
      <c r="J48" s="3" t="inlineStr">
        <is>
          <t>NOT_TESTED</t>
        </is>
      </c>
      <c r="K48" s="3" t="inlineStr">
        <is>
          <t>NOT_TESTED</t>
        </is>
      </c>
      <c r="L48" s="3" t="inlineStr">
        <is>
          <t>NOT_TESTED</t>
        </is>
      </c>
      <c r="M48" s="3" t="inlineStr">
        <is>
          <t>NOT_TESTED</t>
        </is>
      </c>
      <c r="N48" s="6" t="inlineStr">
        <is>
          <t>Runtime error</t>
        </is>
      </c>
      <c r="O48" s="6" t="inlineStr">
        <is>
          <t>Runtime error</t>
        </is>
      </c>
      <c r="P48" s="6" t="inlineStr">
        <is>
          <t>Runtime error</t>
        </is>
      </c>
      <c r="Q48" s="6" t="inlineStr">
        <is>
          <t>Runtime error</t>
        </is>
      </c>
      <c r="R48" s="6" t="inlineStr">
        <is>
          <t>Runtime error</t>
        </is>
      </c>
      <c r="S48" s="6" t="inlineStr">
        <is>
          <t>Runtime error</t>
        </is>
      </c>
      <c r="T48" s="6" t="inlineStr">
        <is>
          <t>Runtime error</t>
        </is>
      </c>
      <c r="U48" s="6" t="inlineStr">
        <is>
          <t>Runtime error</t>
        </is>
      </c>
      <c r="V48" s="6" t="inlineStr">
        <is>
          <t>Runtime error</t>
        </is>
      </c>
      <c r="W48" s="6" t="inlineStr">
        <is>
          <t>Runtime error</t>
        </is>
      </c>
      <c r="X48" s="6" t="inlineStr">
        <is>
          <t>Runtime error</t>
        </is>
      </c>
      <c r="Y48" s="6" t="inlineStr">
        <is>
          <t>Runtime error</t>
        </is>
      </c>
      <c r="Z48" s="6" t="inlineStr">
        <is>
          <t>Runtime error</t>
        </is>
      </c>
      <c r="AA48" s="6" t="inlineStr">
        <is>
          <t>Runtime error</t>
        </is>
      </c>
      <c r="AB48" s="6" t="inlineStr">
        <is>
          <t>Runtime error</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inlineStr">
        <is>
          <t>KeyError</t>
        </is>
      </c>
      <c r="BN48" s="2" t="inlineStr">
        <is>
          <t>KeyError: 'get_qiskit_gate'</t>
        </is>
      </c>
      <c r="BO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BP48" s="2" t="inlineStr">
        <is>
          <t>KeyError</t>
        </is>
      </c>
      <c r="BQ48" s="2" t="inlineStr">
        <is>
          <t>KeyError: 'get_qiskit_gate'</t>
        </is>
      </c>
      <c r="BR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BS48" s="2" t="inlineStr">
        <is>
          <t>KeyError</t>
        </is>
      </c>
      <c r="BT48" s="2" t="inlineStr">
        <is>
          <t>KeyError: 'get_qiskit_gate'</t>
        </is>
      </c>
      <c r="BU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BV48" s="2" t="inlineStr">
        <is>
          <t>KeyError</t>
        </is>
      </c>
      <c r="BW48" s="2" t="inlineStr">
        <is>
          <t>KeyError: 'get_qiskit_gate'</t>
        </is>
      </c>
      <c r="BX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BY48" s="2" t="inlineStr">
        <is>
          <t>KeyError</t>
        </is>
      </c>
      <c r="BZ48" s="2" t="inlineStr">
        <is>
          <t>KeyError: 'get_qiskit_gate'</t>
        </is>
      </c>
      <c r="CA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B48" s="2" t="inlineStr">
        <is>
          <t>KeyError</t>
        </is>
      </c>
      <c r="CC48" s="2" t="inlineStr">
        <is>
          <t>KeyError: 'get_qiskit_gate'</t>
        </is>
      </c>
      <c r="CD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E48" s="2" t="inlineStr">
        <is>
          <t>KeyError</t>
        </is>
      </c>
      <c r="CF48" s="2" t="inlineStr">
        <is>
          <t>KeyError: 'get_qiskit_gate'</t>
        </is>
      </c>
      <c r="CG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H48" s="2" t="inlineStr">
        <is>
          <t>KeyError</t>
        </is>
      </c>
      <c r="CI48" s="2" t="inlineStr">
        <is>
          <t>KeyError: 'get_qiskit_gate'</t>
        </is>
      </c>
      <c r="CJ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K48" s="2" t="inlineStr">
        <is>
          <t>KeyError</t>
        </is>
      </c>
      <c r="CL48" s="2" t="inlineStr">
        <is>
          <t>KeyError: 'get_qiskit_gate'</t>
        </is>
      </c>
      <c r="CM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N48" s="2" t="inlineStr">
        <is>
          <t>KeyError</t>
        </is>
      </c>
      <c r="CO48" s="2" t="inlineStr">
        <is>
          <t>KeyError: 'get_qiskit_gate'</t>
        </is>
      </c>
      <c r="CP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Q48" s="2" t="inlineStr">
        <is>
          <t>KeyError</t>
        </is>
      </c>
      <c r="CR48" s="2" t="inlineStr">
        <is>
          <t>KeyError: 'get_qiskit_gate'</t>
        </is>
      </c>
      <c r="CS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T48" s="2" t="inlineStr">
        <is>
          <t>KeyError</t>
        </is>
      </c>
      <c r="CU48" s="2" t="inlineStr">
        <is>
          <t>KeyError: 'get_qiskit_gate'</t>
        </is>
      </c>
      <c r="CV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W48" s="2" t="inlineStr">
        <is>
          <t>KeyError</t>
        </is>
      </c>
      <c r="CX48" s="2" t="inlineStr">
        <is>
          <t>KeyError: 'get_qiskit_gate'</t>
        </is>
      </c>
      <c r="CY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CZ48" s="2" t="inlineStr">
        <is>
          <t>KeyError</t>
        </is>
      </c>
      <c r="DA48" s="2" t="inlineStr">
        <is>
          <t>KeyError: 'get_qiskit_gate'</t>
        </is>
      </c>
      <c r="DB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DC48" s="2" t="inlineStr">
        <is>
          <t>KeyError</t>
        </is>
      </c>
      <c r="DD48" s="2" t="inlineStr">
        <is>
          <t>KeyError: 'get_qiskit_gate'</t>
        </is>
      </c>
      <c r="DE48" s="2"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row>
    <row r="49">
      <c r="A49" s="2" t="inlineStr">
        <is>
          <t>issue_773</t>
        </is>
      </c>
      <c r="B49" s="3" t="inlineStr">
        <is>
          <t>NOT_TESTED</t>
        </is>
      </c>
      <c r="C49" s="3" t="inlineStr">
        <is>
          <t>NOT_TESTED</t>
        </is>
      </c>
      <c r="D49" s="3" t="inlineStr">
        <is>
          <t>NOT_TESTED</t>
        </is>
      </c>
      <c r="E49" s="3" t="inlineStr">
        <is>
          <t>NOT_TESTED</t>
        </is>
      </c>
      <c r="F49" s="4" t="inlineStr">
        <is>
          <t>Passed on test</t>
        </is>
      </c>
      <c r="G49" s="4" t="inlineStr">
        <is>
          <t>Passed on test</t>
        </is>
      </c>
      <c r="H49" s="4" t="inlineStr">
        <is>
          <t>Passed on test</t>
        </is>
      </c>
      <c r="I49" s="4" t="inlineStr">
        <is>
          <t>Passed on test</t>
        </is>
      </c>
      <c r="J49" s="4" t="inlineStr">
        <is>
          <t>Passed on test</t>
        </is>
      </c>
      <c r="K49" s="4" t="inlineStr">
        <is>
          <t>Passed on test</t>
        </is>
      </c>
      <c r="L49" s="4" t="inlineStr">
        <is>
          <t>Passed on test</t>
        </is>
      </c>
      <c r="M49" s="4" t="inlineStr">
        <is>
          <t>Passed on test</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issue_775</t>
        </is>
      </c>
      <c r="B50" s="4" t="inlineStr">
        <is>
          <t>Passed on test</t>
        </is>
      </c>
      <c r="C50" s="4" t="inlineStr">
        <is>
          <t>Passed on test</t>
        </is>
      </c>
      <c r="D50" s="4" t="inlineStr">
        <is>
          <t>Passed on test</t>
        </is>
      </c>
      <c r="E50" s="4" t="inlineStr">
        <is>
          <t>Passed on test</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issue_795</t>
        </is>
      </c>
      <c r="B51" s="4" t="inlineStr">
        <is>
          <t>Passed on test</t>
        </is>
      </c>
      <c r="C51" s="4" t="inlineStr">
        <is>
          <t>Passed on test</t>
        </is>
      </c>
      <c r="D51" s="4" t="inlineStr">
        <is>
          <t>Passed on test</t>
        </is>
      </c>
      <c r="E51" s="4" t="inlineStr">
        <is>
          <t>Passed on test</t>
        </is>
      </c>
      <c r="F51" s="4" t="inlineStr">
        <is>
          <t>Passed on test</t>
        </is>
      </c>
      <c r="G51" s="4" t="inlineStr">
        <is>
          <t>Passed on test</t>
        </is>
      </c>
      <c r="H51" s="4" t="inlineStr">
        <is>
          <t>Passed on test</t>
        </is>
      </c>
      <c r="I51" s="4" t="inlineStr">
        <is>
          <t>Passed on test</t>
        </is>
      </c>
      <c r="J51" s="4" t="inlineStr">
        <is>
          <t>Passed on test</t>
        </is>
      </c>
      <c r="K51" s="4" t="inlineStr">
        <is>
          <t>Passed on test</t>
        </is>
      </c>
      <c r="L51" s="4" t="inlineStr">
        <is>
          <t>Passed on test</t>
        </is>
      </c>
      <c r="M51" s="4" t="inlineStr">
        <is>
          <t>Passed on test</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issue_803</t>
        </is>
      </c>
      <c r="B52" s="5" t="inlineStr">
        <is>
          <t>Failed on test</t>
        </is>
      </c>
      <c r="C52" s="5" t="inlineStr">
        <is>
          <t>Failed on test</t>
        </is>
      </c>
      <c r="D52" s="5" t="inlineStr">
        <is>
          <t>Failed on test</t>
        </is>
      </c>
      <c r="E52" s="5" t="inlineStr">
        <is>
          <t>Failed on test</t>
        </is>
      </c>
      <c r="F52" s="6" t="inlineStr">
        <is>
          <t>Runtime error</t>
        </is>
      </c>
      <c r="G52" s="6" t="inlineStr">
        <is>
          <t>Runtime error</t>
        </is>
      </c>
      <c r="H52" s="6" t="inlineStr">
        <is>
          <t>Runtime error</t>
        </is>
      </c>
      <c r="I52" s="6" t="inlineStr">
        <is>
          <t>Runtime error</t>
        </is>
      </c>
      <c r="J52" s="6" t="inlineStr">
        <is>
          <t>Runtime error</t>
        </is>
      </c>
      <c r="K52" s="6" t="inlineStr">
        <is>
          <t>Runtime error</t>
        </is>
      </c>
      <c r="L52" s="6" t="inlineStr">
        <is>
          <t>Runtime error</t>
        </is>
      </c>
      <c r="M52" s="6" t="inlineStr">
        <is>
          <t>Runtime error</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inlineStr">
        <is>
          <t>AssertionError</t>
        </is>
      </c>
      <c r="AD52" s="2" t="inlineStr">
        <is>
          <t>ValueError: The truth value of an array with more than one element is ambiguous. Use a.any() or a.all(); AssertionError: array([list([55, 45]), list([100]), list([100])], dtype=object) is not an instance of &lt;class 'list'&gt;</t>
        </is>
      </c>
      <c r="AE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F52" s="2" t="inlineStr">
        <is>
          <t>AssertionError</t>
        </is>
      </c>
      <c r="AG52" s="2" t="inlineStr">
        <is>
          <t>ValueError: The truth value of an array with more than one element is ambiguous. Use a.any() or a.all(); AssertionError: array([list([57, 43]), list([100]), list([100])], dtype=object) is not an instance of &lt;class 'list'&gt;</t>
        </is>
      </c>
      <c r="AH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I52" s="2" t="inlineStr">
        <is>
          <t>AssertionError</t>
        </is>
      </c>
      <c r="AJ52" s="2" t="inlineStr">
        <is>
          <t>ValueError: The truth value of an array with more than one element is ambiguous. Use a.any() or a.all(); AssertionError: array([list([53, 47]), list([100]), list([100])], dtype=object) is not an instance of &lt;class 'list'&gt;</t>
        </is>
      </c>
      <c r="AK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L52" s="2" t="inlineStr">
        <is>
          <t>AssertionError</t>
        </is>
      </c>
      <c r="AM52" s="2" t="inlineStr">
        <is>
          <t>ValueError: The truth value of an array with more than one element is ambiguous. Use a.any() or a.all(); AssertionError: array([list([52, 48]), list([100]), list([100])], dtype=object) is not an instance of &lt;class 'list'&gt;</t>
        </is>
      </c>
      <c r="AN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O52" s="2" t="inlineStr">
        <is>
          <t>ValueError</t>
        </is>
      </c>
      <c r="AP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Q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R52" s="2" t="inlineStr">
        <is>
          <t>ValueError</t>
        </is>
      </c>
      <c r="AS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T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U52" s="2" t="inlineStr">
        <is>
          <t>ValueError</t>
        </is>
      </c>
      <c r="AV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W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AX52" s="2" t="inlineStr">
        <is>
          <t>ValueError</t>
        </is>
      </c>
      <c r="AY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Z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BA52" s="2" t="inlineStr">
        <is>
          <t>ValueError</t>
        </is>
      </c>
      <c r="BB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C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BD52" s="2" t="inlineStr">
        <is>
          <t>ValueError</t>
        </is>
      </c>
      <c r="BE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F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BG52" s="2" t="inlineStr">
        <is>
          <t>ValueError</t>
        </is>
      </c>
      <c r="BH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I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BJ52" s="2" t="inlineStr">
        <is>
          <t>ValueError</t>
        </is>
      </c>
      <c r="BK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L52" s="2"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issue_810</t>
        </is>
      </c>
      <c r="B53" s="3" t="inlineStr">
        <is>
          <t>NOT_TESTED</t>
        </is>
      </c>
      <c r="C53" s="3" t="inlineStr">
        <is>
          <t>NOT_TESTED</t>
        </is>
      </c>
      <c r="D53" s="3" t="inlineStr">
        <is>
          <t>NOT_TESTED</t>
        </is>
      </c>
      <c r="E53" s="3" t="inlineStr">
        <is>
          <t>NOT_TESTED</t>
        </is>
      </c>
      <c r="F53" s="3" t="inlineStr">
        <is>
          <t>NOT_TESTED</t>
        </is>
      </c>
      <c r="G53" s="4" t="inlineStr">
        <is>
          <t>Passed on test</t>
        </is>
      </c>
      <c r="H53" s="3" t="inlineStr">
        <is>
          <t>NOT_TESTED</t>
        </is>
      </c>
      <c r="I53" s="3" t="inlineStr">
        <is>
          <t>NOT_TESTED</t>
        </is>
      </c>
      <c r="J53" s="3" t="inlineStr">
        <is>
          <t>NOT_TESTED</t>
        </is>
      </c>
      <c r="K53" s="3" t="inlineStr">
        <is>
          <t>NOT_TESTED</t>
        </is>
      </c>
      <c r="L53" s="4" t="inlineStr">
        <is>
          <t>Passed on test</t>
        </is>
      </c>
      <c r="M53" s="3" t="inlineStr">
        <is>
          <t>NOT_TESTED</t>
        </is>
      </c>
      <c r="N53" s="3" t="inlineStr">
        <is>
          <t>NOT_TESTED</t>
        </is>
      </c>
      <c r="O53" s="3" t="inlineStr">
        <is>
          <t>NOT_TESTED</t>
        </is>
      </c>
      <c r="P53" s="3" t="inlineStr">
        <is>
          <t>NOT_TESTED</t>
        </is>
      </c>
      <c r="Q53" s="3" t="inlineStr">
        <is>
          <t>NOT_TESTED</t>
        </is>
      </c>
      <c r="R53" s="3" t="inlineStr">
        <is>
          <t>NOT_TESTED</t>
        </is>
      </c>
      <c r="S53" s="3" t="inlineStr">
        <is>
          <t>NOT_TESTED</t>
        </is>
      </c>
      <c r="T53" s="3" t="inlineStr">
        <is>
          <t>NOT_TESTED</t>
        </is>
      </c>
      <c r="U53" s="3" t="inlineStr">
        <is>
          <t>NOT_TESTED</t>
        </is>
      </c>
      <c r="V53" s="3" t="inlineStr">
        <is>
          <t>NOT_TESTED</t>
        </is>
      </c>
      <c r="W53" s="3" t="inlineStr">
        <is>
          <t>NOT_TESTED</t>
        </is>
      </c>
      <c r="X53" s="3" t="inlineStr">
        <is>
          <t>NOT_TESTED</t>
        </is>
      </c>
      <c r="Y53" s="3" t="inlineStr">
        <is>
          <t>NOT_TESTED</t>
        </is>
      </c>
      <c r="Z53" s="3" t="inlineStr">
        <is>
          <t>NOT_TESTED</t>
        </is>
      </c>
      <c r="AA53" s="3" t="inlineStr">
        <is>
          <t>NOT_TESTED</t>
        </is>
      </c>
      <c r="AB53" s="3" t="inlineStr">
        <is>
          <t>NOT_TESTED</t>
        </is>
      </c>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issue_816</t>
        </is>
      </c>
      <c r="B54" s="3" t="inlineStr">
        <is>
          <t>NOT_TESTED</t>
        </is>
      </c>
      <c r="C54" s="3" t="inlineStr">
        <is>
          <t>NOT_TESTED</t>
        </is>
      </c>
      <c r="D54" s="3" t="inlineStr">
        <is>
          <t>NOT_TESTED</t>
        </is>
      </c>
      <c r="E54" s="3" t="inlineStr">
        <is>
          <t>NOT_TESTED</t>
        </is>
      </c>
      <c r="F54" s="4" t="inlineStr">
        <is>
          <t>Passed on test</t>
        </is>
      </c>
      <c r="G54" s="4" t="inlineStr">
        <is>
          <t>Passed on test</t>
        </is>
      </c>
      <c r="H54" s="4" t="inlineStr">
        <is>
          <t>Passed on test</t>
        </is>
      </c>
      <c r="I54" s="4" t="inlineStr">
        <is>
          <t>Passed on test</t>
        </is>
      </c>
      <c r="J54" s="4" t="inlineStr">
        <is>
          <t>Passed on test</t>
        </is>
      </c>
      <c r="K54" s="4" t="inlineStr">
        <is>
          <t>Passed on test</t>
        </is>
      </c>
      <c r="L54" s="4" t="inlineStr">
        <is>
          <t>Passed on test</t>
        </is>
      </c>
      <c r="M54" s="4" t="inlineStr">
        <is>
          <t>Passed on test</t>
        </is>
      </c>
      <c r="N54" s="4" t="inlineStr">
        <is>
          <t>Passed on test</t>
        </is>
      </c>
      <c r="O54" s="4" t="inlineStr">
        <is>
          <t>Passed on test</t>
        </is>
      </c>
      <c r="P54" s="4" t="inlineStr">
        <is>
          <t>Passed on test</t>
        </is>
      </c>
      <c r="Q54" s="4" t="inlineStr">
        <is>
          <t>Passed on test</t>
        </is>
      </c>
      <c r="R54" s="4" t="inlineStr">
        <is>
          <t>Passed on test</t>
        </is>
      </c>
      <c r="S54" s="4" t="inlineStr">
        <is>
          <t>Passed on test</t>
        </is>
      </c>
      <c r="T54" s="4" t="inlineStr">
        <is>
          <t>Passed on test</t>
        </is>
      </c>
      <c r="U54" s="4" t="inlineStr">
        <is>
          <t>Passed on test</t>
        </is>
      </c>
      <c r="V54" s="4" t="inlineStr">
        <is>
          <t>Passed on test</t>
        </is>
      </c>
      <c r="W54" s="4" t="inlineStr">
        <is>
          <t>Passed on test</t>
        </is>
      </c>
      <c r="X54" s="4" t="inlineStr">
        <is>
          <t>Passed on test</t>
        </is>
      </c>
      <c r="Y54" s="4" t="inlineStr">
        <is>
          <t>Passed on test</t>
        </is>
      </c>
      <c r="Z54" s="4" t="inlineStr">
        <is>
          <t>Passed on test</t>
        </is>
      </c>
      <c r="AA54" s="4" t="inlineStr">
        <is>
          <t>Passed on test</t>
        </is>
      </c>
      <c r="AB54" s="4"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2" t="n"/>
      <c r="CW54" s="2" t="n"/>
      <c r="CX54" s="2" t="n"/>
      <c r="CY54" s="2" t="n"/>
      <c r="CZ54" s="2" t="n"/>
      <c r="DA54" s="2" t="n"/>
      <c r="DB54" s="2" t="n"/>
      <c r="DC54" s="2" t="n"/>
      <c r="DD54" s="2" t="n"/>
      <c r="DE54" s="2" t="n"/>
    </row>
    <row r="55">
      <c r="A55" s="2" t="inlineStr">
        <is>
          <t>issue_876</t>
        </is>
      </c>
      <c r="B55" s="3" t="inlineStr">
        <is>
          <t>NOT_TESTED</t>
        </is>
      </c>
      <c r="C55" s="3" t="inlineStr">
        <is>
          <t>NOT_TESTED</t>
        </is>
      </c>
      <c r="D55" s="3" t="inlineStr">
        <is>
          <t>NOT_TESTED</t>
        </is>
      </c>
      <c r="E55" s="3" t="inlineStr">
        <is>
          <t>NOT_TESTED</t>
        </is>
      </c>
      <c r="F55" s="3" t="inlineStr">
        <is>
          <t>NOT_TESTED</t>
        </is>
      </c>
      <c r="G55" s="3" t="inlineStr">
        <is>
          <t>NOT_TESTED</t>
        </is>
      </c>
      <c r="H55" s="3" t="inlineStr">
        <is>
          <t>NOT_TESTED</t>
        </is>
      </c>
      <c r="I55" s="3" t="inlineStr">
        <is>
          <t>NOT_TESTED</t>
        </is>
      </c>
      <c r="J55" s="3" t="inlineStr">
        <is>
          <t>NOT_TESTED</t>
        </is>
      </c>
      <c r="K55" s="3" t="inlineStr">
        <is>
          <t>NOT_TESTED</t>
        </is>
      </c>
      <c r="L55" s="3" t="inlineStr">
        <is>
          <t>NOT_TESTED</t>
        </is>
      </c>
      <c r="M55" s="3" t="inlineStr">
        <is>
          <t>NOT_TESTED</t>
        </is>
      </c>
      <c r="N55" s="6" t="inlineStr">
        <is>
          <t>Runtime error</t>
        </is>
      </c>
      <c r="O55" s="6" t="inlineStr">
        <is>
          <t>Runtime error</t>
        </is>
      </c>
      <c r="P55" s="6" t="inlineStr">
        <is>
          <t>Runtime error</t>
        </is>
      </c>
      <c r="Q55" s="6" t="inlineStr">
        <is>
          <t>Runtime error</t>
        </is>
      </c>
      <c r="R55" s="6" t="inlineStr">
        <is>
          <t>Runtime error</t>
        </is>
      </c>
      <c r="S55" s="6" t="inlineStr">
        <is>
          <t>Runtime error</t>
        </is>
      </c>
      <c r="T55" s="6" t="inlineStr">
        <is>
          <t>Runtime error</t>
        </is>
      </c>
      <c r="U55" s="6" t="inlineStr">
        <is>
          <t>Runtime error</t>
        </is>
      </c>
      <c r="V55" s="6" t="inlineStr">
        <is>
          <t>Runtime error</t>
        </is>
      </c>
      <c r="W55" s="6" t="inlineStr">
        <is>
          <t>Runtime error</t>
        </is>
      </c>
      <c r="X55" s="6" t="inlineStr">
        <is>
          <t>Runtime error</t>
        </is>
      </c>
      <c r="Y55" s="6" t="inlineStr">
        <is>
          <t>Runtime error</t>
        </is>
      </c>
      <c r="Z55" s="6" t="inlineStr">
        <is>
          <t>Runtime error</t>
        </is>
      </c>
      <c r="AA55" s="6" t="inlineStr">
        <is>
          <t>Runtime error</t>
        </is>
      </c>
      <c r="AB55" s="6" t="inlineStr">
        <is>
          <t>Runtime error</t>
        </is>
      </c>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inlineStr">
        <is>
          <t>QiskitError</t>
        </is>
      </c>
      <c r="BN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O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BP55" s="2" t="inlineStr">
        <is>
          <t>QiskitError</t>
        </is>
      </c>
      <c r="BQ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R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BS55" s="2" t="inlineStr">
        <is>
          <t>QiskitError</t>
        </is>
      </c>
      <c r="BT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U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BV55" s="2" t="inlineStr">
        <is>
          <t>QiskitError</t>
        </is>
      </c>
      <c r="BW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X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BY55" s="2" t="inlineStr">
        <is>
          <t>QiskitError</t>
        </is>
      </c>
      <c r="BZ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A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B55" s="2" t="inlineStr">
        <is>
          <t>QiskitError</t>
        </is>
      </c>
      <c r="CC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D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E55" s="2" t="inlineStr">
        <is>
          <t>QiskitError</t>
        </is>
      </c>
      <c r="CF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G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H55" s="2" t="inlineStr">
        <is>
          <t>QiskitError</t>
        </is>
      </c>
      <c r="CI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J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K55" s="2" t="inlineStr">
        <is>
          <t>QiskitError</t>
        </is>
      </c>
      <c r="CL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M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N55" s="2" t="inlineStr">
        <is>
          <t>QiskitError</t>
        </is>
      </c>
      <c r="CO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P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Q55" s="2" t="inlineStr">
        <is>
          <t>QiskitError</t>
        </is>
      </c>
      <c r="CR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S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T55" s="2" t="inlineStr">
        <is>
          <t>QiskitError</t>
        </is>
      </c>
      <c r="CU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V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W55" s="2" t="inlineStr">
        <is>
          <t>QiskitError</t>
        </is>
      </c>
      <c r="CX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Y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CZ55" s="2" t="inlineStr">
        <is>
          <t>QiskitError</t>
        </is>
      </c>
      <c r="DA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DB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DC55" s="2" t="inlineStr">
        <is>
          <t>QiskitError</t>
        </is>
      </c>
      <c r="DD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DE55" s="2"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row>
    <row r="56">
      <c r="A56" s="2" t="inlineStr">
        <is>
          <t>issue_877</t>
        </is>
      </c>
      <c r="B56" s="3" t="inlineStr">
        <is>
          <t>NOT_TESTED</t>
        </is>
      </c>
      <c r="C56" s="3" t="inlineStr">
        <is>
          <t>NOT_TESTED</t>
        </is>
      </c>
      <c r="D56" s="3" t="inlineStr">
        <is>
          <t>NOT_TESTED</t>
        </is>
      </c>
      <c r="E56" s="3" t="inlineStr">
        <is>
          <t>NOT_TESTED</t>
        </is>
      </c>
      <c r="F56" s="6" t="inlineStr">
        <is>
          <t>Runtime error</t>
        </is>
      </c>
      <c r="G56" s="6" t="inlineStr">
        <is>
          <t>Runtime error</t>
        </is>
      </c>
      <c r="H56" s="6" t="inlineStr">
        <is>
          <t>Runtime error</t>
        </is>
      </c>
      <c r="I56" s="6" t="inlineStr">
        <is>
          <t>Runtime error</t>
        </is>
      </c>
      <c r="J56" s="6" t="inlineStr">
        <is>
          <t>Runtime error</t>
        </is>
      </c>
      <c r="K56" s="6" t="inlineStr">
        <is>
          <t>Runtime error</t>
        </is>
      </c>
      <c r="L56" s="6" t="inlineStr">
        <is>
          <t>Runtime error</t>
        </is>
      </c>
      <c r="M56" s="6" t="inlineStr">
        <is>
          <t>Runtime error</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inlineStr">
        <is>
          <t>ModuleNotFoundError</t>
        </is>
      </c>
      <c r="AP56" s="2" t="inlineStr">
        <is>
          <t>ModuleNotFoundError: No module named 'qiskit_ibm_runtime'</t>
        </is>
      </c>
      <c r="AQ56" s="2" t="inlineStr">
        <is>
          <t>The LLM defined the missing backend as a 127-qubit fake device from qiskit_ibm_runtime.fake_provider, but qiskit_ibm_runtime isn't installed for Qiskit 0.45 / 0.46 (ModuleNotFoundError). Same code as claude-opus-5-5; gpt-6-luna's bundled FakeMontreal passed.</t>
        </is>
      </c>
      <c r="AR56" s="2" t="inlineStr">
        <is>
          <t>ModuleNotFoundError</t>
        </is>
      </c>
      <c r="AS56" s="2" t="inlineStr">
        <is>
          <t>ModuleNotFoundError: No module named 'qiskit_ibm_runtime'</t>
        </is>
      </c>
      <c r="AT56" s="2" t="inlineStr">
        <is>
          <t>The LLM defined the missing backend as a 127-qubit fake device from qiskit_ibm_runtime.fake_provider, but qiskit_ibm_runtime isn't installed for Qiskit 0.45 / 0.46 (ModuleNotFoundError). Same code as claude-opus-5-5; gpt-6-luna's bundled FakeMontreal passed.</t>
        </is>
      </c>
      <c r="AU56" s="2" t="inlineStr">
        <is>
          <t>ModuleNotFoundError</t>
        </is>
      </c>
      <c r="AV56" s="2" t="inlineStr">
        <is>
          <t>ModuleNotFoundError: No module named 'qiskit_ibm_runtime'</t>
        </is>
      </c>
      <c r="AW56" s="2" t="inlineStr">
        <is>
          <t>The LLM defined the missing backend as a 127-qubit fake device from qiskit_ibm_runtime.fake_provider, but qiskit_ibm_runtime isn't installed for Qiskit 0.45 / 0.46 (ModuleNotFoundError). Same code as claude-opus-5-5; gpt-6-luna's bundled FakeMontreal passed.</t>
        </is>
      </c>
      <c r="AX56" s="2" t="inlineStr">
        <is>
          <t>ModuleNotFoundError</t>
        </is>
      </c>
      <c r="AY56" s="2" t="inlineStr">
        <is>
          <t>ModuleNotFoundError: No module named 'qiskit_ibm_runtime'</t>
        </is>
      </c>
      <c r="AZ56" s="2" t="inlineStr">
        <is>
          <t>The LLM defined the missing backend as a 127-qubit fake device from qiskit_ibm_runtime.fake_provider, but qiskit_ibm_runtime isn't installed for Qiskit 0.45 / 0.46 (ModuleNotFoundError). Same code as claude-opus-5-5; gpt-6-luna's bundled FakeMontreal passed.</t>
        </is>
      </c>
      <c r="BA56" s="2" t="inlineStr">
        <is>
          <t>ModuleNotFoundError</t>
        </is>
      </c>
      <c r="BB56" s="2" t="inlineStr">
        <is>
          <t>ModuleNotFoundError: No module named 'qiskit_ibm_runtime'</t>
        </is>
      </c>
      <c r="BC56" s="2" t="inlineStr">
        <is>
          <t>The LLM defined the missing backend as a 127-qubit fake device from qiskit_ibm_runtime.fake_provider, but qiskit_ibm_runtime isn't installed for Qiskit 0.45 / 0.46 (ModuleNotFoundError). Same code as claude-opus-5-5; gpt-6-luna's bundled FakeMontreal passed.</t>
        </is>
      </c>
      <c r="BD56" s="2" t="inlineStr">
        <is>
          <t>ModuleNotFoundError</t>
        </is>
      </c>
      <c r="BE56" s="2" t="inlineStr">
        <is>
          <t>ModuleNotFoundError: No module named 'qiskit_ibm_runtime'</t>
        </is>
      </c>
      <c r="BF56" s="2" t="inlineStr">
        <is>
          <t>The LLM defined the missing backend as a 127-qubit fake device from qiskit_ibm_runtime.fake_provider, but qiskit_ibm_runtime isn't installed for Qiskit 0.45 / 0.46 (ModuleNotFoundError). Same code as claude-opus-5-5; gpt-6-luna's bundled FakeMontreal passed.</t>
        </is>
      </c>
      <c r="BG56" s="2" t="inlineStr">
        <is>
          <t>ModuleNotFoundError</t>
        </is>
      </c>
      <c r="BH56" s="2" t="inlineStr">
        <is>
          <t>ModuleNotFoundError: No module named 'qiskit_ibm_runtime'</t>
        </is>
      </c>
      <c r="BI56" s="2" t="inlineStr">
        <is>
          <t>The LLM defined the missing backend as a 127-qubit fake device from qiskit_ibm_runtime.fake_provider, but qiskit_ibm_runtime isn't installed for Qiskit 0.45 / 0.46 (ModuleNotFoundError). Same code as claude-opus-5-5; gpt-6-luna's bundled FakeMontreal passed.</t>
        </is>
      </c>
      <c r="BJ56" s="2" t="inlineStr">
        <is>
          <t>ModuleNotFoundError</t>
        </is>
      </c>
      <c r="BK56" s="2" t="inlineStr">
        <is>
          <t>ModuleNotFoundError: No module named 'qiskit_ibm_runtime'</t>
        </is>
      </c>
      <c r="BL56" s="2" t="inlineStr">
        <is>
          <t>The LLM defined the missing backend as a 127-qubit fake device from qiskit_ibm_runtime.fake_provider, but qiskit_ibm_runtime isn't installed for Qiskit 0.45 / 0.46 (ModuleNotFoundError). Same code as claude-opus-5-5; gpt-6-luna's bundled FakeMontreal passed.</t>
        </is>
      </c>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issue_886</t>
        </is>
      </c>
      <c r="B57" s="3" t="inlineStr">
        <is>
          <t>NOT_TESTED</t>
        </is>
      </c>
      <c r="C57" s="3" t="inlineStr">
        <is>
          <t>NOT_TESTED</t>
        </is>
      </c>
      <c r="D57" s="3" t="inlineStr">
        <is>
          <t>NOT_TESTED</t>
        </is>
      </c>
      <c r="E57" s="3" t="inlineStr">
        <is>
          <t>NOT_TESTED</t>
        </is>
      </c>
      <c r="F57" s="4" t="inlineStr">
        <is>
          <t>Passed on test</t>
        </is>
      </c>
      <c r="G57" s="4" t="inlineStr">
        <is>
          <t>Passed on test</t>
        </is>
      </c>
      <c r="H57" s="3" t="inlineStr">
        <is>
          <t>NOT_TESTED</t>
        </is>
      </c>
      <c r="I57" s="3" t="inlineStr">
        <is>
          <t>NOT_TESTED</t>
        </is>
      </c>
      <c r="J57" s="3" t="inlineStr">
        <is>
          <t>NOT_TESTED</t>
        </is>
      </c>
      <c r="K57" s="3" t="inlineStr">
        <is>
          <t>NOT_TESTED</t>
        </is>
      </c>
      <c r="L57" s="3" t="inlineStr">
        <is>
          <t>NOT_TESTED</t>
        </is>
      </c>
      <c r="M57" s="3" t="inlineStr">
        <is>
          <t>NOT_TESTED</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issue_889</t>
        </is>
      </c>
      <c r="B58" s="6" t="inlineStr">
        <is>
          <t>Runtime error</t>
        </is>
      </c>
      <c r="C58" s="6" t="inlineStr">
        <is>
          <t>Runtime error</t>
        </is>
      </c>
      <c r="D58" s="6" t="inlineStr">
        <is>
          <t>Runtime error</t>
        </is>
      </c>
      <c r="E58" s="6" t="inlineStr">
        <is>
          <t>Runtime error</t>
        </is>
      </c>
      <c r="F58" s="5" t="inlineStr">
        <is>
          <t>Failed on test</t>
        </is>
      </c>
      <c r="G58" s="5" t="inlineStr">
        <is>
          <t>Failed on test</t>
        </is>
      </c>
      <c r="H58" s="5" t="inlineStr">
        <is>
          <t>Failed on test</t>
        </is>
      </c>
      <c r="I58" s="5" t="inlineStr">
        <is>
          <t>Failed on test</t>
        </is>
      </c>
      <c r="J58" s="5" t="inlineStr">
        <is>
          <t>Failed on test</t>
        </is>
      </c>
      <c r="K58" s="5" t="inlineStr">
        <is>
          <t>Failed on test</t>
        </is>
      </c>
      <c r="L58" s="5" t="inlineStr">
        <is>
          <t>Failed on test</t>
        </is>
      </c>
      <c r="M58" s="5" t="inlineStr">
        <is>
          <t>Failed on test</t>
        </is>
      </c>
      <c r="N58" s="3" t="inlineStr">
        <is>
          <t>NOT_TESTED</t>
        </is>
      </c>
      <c r="O58" s="3" t="inlineStr">
        <is>
          <t>NOT_TESTED</t>
        </is>
      </c>
      <c r="P58" s="3" t="inlineStr">
        <is>
          <t>NOT_TESTED</t>
        </is>
      </c>
      <c r="Q58" s="3" t="inlineStr">
        <is>
          <t>NOT_TESTED</t>
        </is>
      </c>
      <c r="R58" s="3" t="inlineStr">
        <is>
          <t>NOT_TESTED</t>
        </is>
      </c>
      <c r="S58" s="3" t="inlineStr">
        <is>
          <t>NOT_TESTED</t>
        </is>
      </c>
      <c r="T58" s="3" t="inlineStr">
        <is>
          <t>NOT_TESTED</t>
        </is>
      </c>
      <c r="U58" s="3" t="inlineStr">
        <is>
          <t>NOT_TESTED</t>
        </is>
      </c>
      <c r="V58" s="3" t="inlineStr">
        <is>
          <t>NOT_TESTED</t>
        </is>
      </c>
      <c r="W58" s="3" t="inlineStr">
        <is>
          <t>NOT_TESTED</t>
        </is>
      </c>
      <c r="X58" s="3" t="inlineStr">
        <is>
          <t>NOT_TESTED</t>
        </is>
      </c>
      <c r="Y58" s="3" t="inlineStr">
        <is>
          <t>NOT_TESTED</t>
        </is>
      </c>
      <c r="Z58" s="3" t="inlineStr">
        <is>
          <t>NOT_TESTED</t>
        </is>
      </c>
      <c r="AA58" s="3" t="inlineStr">
        <is>
          <t>NOT_TESTED</t>
        </is>
      </c>
      <c r="AB58" s="3" t="inlineStr">
        <is>
          <t>NOT_TESTED</t>
        </is>
      </c>
      <c r="AC58" s="2" t="inlineStr">
        <is>
          <t>ImportError</t>
        </is>
      </c>
      <c r="AD58" s="2" t="inlineStr">
        <is>
          <t>ImportError: cannot import name 'PauliEvolutionGate' from 'qiskit.circuit.library' (C:\qiskit_envs\q0250\lib\site-packages\qiskit\circuit\library\__init__.py)</t>
        </is>
      </c>
      <c r="AE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F58" s="2" t="inlineStr">
        <is>
          <t>ImportError</t>
        </is>
      </c>
      <c r="AG58" s="2" t="inlineStr">
        <is>
          <t>ImportError: cannot import name 'PauliEvolutionGate' from 'qiskit.circuit.library' (C:\qiskit_envs\q0251\lib\site-packages\qiskit\circuit\library\__init__.py)</t>
        </is>
      </c>
      <c r="AH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I58" s="2" t="inlineStr">
        <is>
          <t>ImportError</t>
        </is>
      </c>
      <c r="AJ58" s="2" t="inlineStr">
        <is>
          <t>ImportError: cannot import name 'PauliEvolutionGate' from 'qiskit.circuit.library' (C:\qiskit_envs\q0252\lib\site-packages\qiskit\circuit\library\__init__.py)</t>
        </is>
      </c>
      <c r="AK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L58" s="2" t="inlineStr">
        <is>
          <t>ImportError</t>
        </is>
      </c>
      <c r="AM58" s="2" t="inlineStr">
        <is>
          <t>ImportError: cannot import name 'PauliEvolutionGate' from 'qiskit.circuit.library' (C:\qiskit_envs\q0253\lib\site-packages\qiskit\circuit\library\__init__.py)</t>
        </is>
      </c>
      <c r="AN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O58" s="2" t="inlineStr">
        <is>
          <t>AssertionError</t>
        </is>
      </c>
      <c r="AP58" s="2" t="inlineStr">
        <is>
          <t>AssertionError:</t>
        </is>
      </c>
      <c r="AQ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R58" s="2" t="inlineStr">
        <is>
          <t>AssertionError</t>
        </is>
      </c>
      <c r="AS58" s="2" t="inlineStr">
        <is>
          <t>AssertionError:</t>
        </is>
      </c>
      <c r="AT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U58" s="2" t="inlineStr">
        <is>
          <t>AssertionError</t>
        </is>
      </c>
      <c r="AV58" s="2" t="inlineStr">
        <is>
          <t>AssertionError:</t>
        </is>
      </c>
      <c r="AW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AX58" s="2" t="inlineStr">
        <is>
          <t>AssertionError</t>
        </is>
      </c>
      <c r="AY58" s="2" t="inlineStr">
        <is>
          <t>AssertionError:</t>
        </is>
      </c>
      <c r="AZ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BA58" s="2" t="inlineStr">
        <is>
          <t>AssertionError</t>
        </is>
      </c>
      <c r="BB58" s="2" t="inlineStr">
        <is>
          <t>AssertionError:</t>
        </is>
      </c>
      <c r="BC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BD58" s="2" t="inlineStr">
        <is>
          <t>AssertionError</t>
        </is>
      </c>
      <c r="BE58" s="2" t="inlineStr">
        <is>
          <t>AssertionError:</t>
        </is>
      </c>
      <c r="BF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BG58" s="2" t="inlineStr">
        <is>
          <t>AssertionError</t>
        </is>
      </c>
      <c r="BH58" s="2" t="inlineStr">
        <is>
          <t>AssertionError:</t>
        </is>
      </c>
      <c r="BI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BJ58" s="2" t="inlineStr">
        <is>
          <t>AssertionError</t>
        </is>
      </c>
      <c r="BK58" s="2" t="inlineStr">
        <is>
          <t>AssertionError:</t>
        </is>
      </c>
      <c r="BL58" s="2"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2" t="n"/>
      <c r="CV58" s="2" t="n"/>
      <c r="CW58" s="2" t="n"/>
      <c r="CX58" s="2" t="n"/>
      <c r="CY58" s="2" t="n"/>
      <c r="CZ58" s="2" t="n"/>
      <c r="DA58" s="2" t="n"/>
      <c r="DB58" s="2" t="n"/>
      <c r="DC58" s="2" t="n"/>
      <c r="DD58" s="2" t="n"/>
      <c r="DE58" s="2" t="n"/>
    </row>
    <row r="59">
      <c r="A59" s="2" t="inlineStr">
        <is>
          <t>issue_911</t>
        </is>
      </c>
      <c r="B59" s="3" t="inlineStr">
        <is>
          <t>NOT_TESTED</t>
        </is>
      </c>
      <c r="C59" s="3" t="inlineStr">
        <is>
          <t>NOT_TESTED</t>
        </is>
      </c>
      <c r="D59" s="3" t="inlineStr">
        <is>
          <t>NOT_TESTED</t>
        </is>
      </c>
      <c r="E59" s="3" t="inlineStr">
        <is>
          <t>NOT_TESTED</t>
        </is>
      </c>
      <c r="F59" s="4" t="inlineStr">
        <is>
          <t>Passed on test</t>
        </is>
      </c>
      <c r="G59" s="4" t="inlineStr">
        <is>
          <t>Passed on test</t>
        </is>
      </c>
      <c r="H59" s="4" t="inlineStr">
        <is>
          <t>Passed on test</t>
        </is>
      </c>
      <c r="I59" s="4" t="inlineStr">
        <is>
          <t>Passed on test</t>
        </is>
      </c>
      <c r="J59" s="4" t="inlineStr">
        <is>
          <t>Passed on test</t>
        </is>
      </c>
      <c r="K59" s="4" t="inlineStr">
        <is>
          <t>Passed on test</t>
        </is>
      </c>
      <c r="L59" s="4" t="inlineStr">
        <is>
          <t>Passed on test</t>
        </is>
      </c>
      <c r="M59" s="4" t="inlineStr">
        <is>
          <t>Passed on test</t>
        </is>
      </c>
      <c r="N59" s="4" t="inlineStr">
        <is>
          <t>Passed on test</t>
        </is>
      </c>
      <c r="O59" s="4" t="inlineStr">
        <is>
          <t>Passed on test</t>
        </is>
      </c>
      <c r="P59" s="4" t="inlineStr">
        <is>
          <t>Passed on test</t>
        </is>
      </c>
      <c r="Q59" s="4" t="inlineStr">
        <is>
          <t>Passed on test</t>
        </is>
      </c>
      <c r="R59" s="4" t="inlineStr">
        <is>
          <t>Passed on test</t>
        </is>
      </c>
      <c r="S59" s="4" t="inlineStr">
        <is>
          <t>Passed on test</t>
        </is>
      </c>
      <c r="T59" s="4" t="inlineStr">
        <is>
          <t>Passed on test</t>
        </is>
      </c>
      <c r="U59" s="4" t="inlineStr">
        <is>
          <t>Passed on test</t>
        </is>
      </c>
      <c r="V59" s="4" t="inlineStr">
        <is>
          <t>Passed on test</t>
        </is>
      </c>
      <c r="W59" s="4" t="inlineStr">
        <is>
          <t>Passed on test</t>
        </is>
      </c>
      <c r="X59" s="4" t="inlineStr">
        <is>
          <t>Passed on test</t>
        </is>
      </c>
      <c r="Y59" s="4" t="inlineStr">
        <is>
          <t>Passed on test</t>
        </is>
      </c>
      <c r="Z59" s="4" t="inlineStr">
        <is>
          <t>Passed on test</t>
        </is>
      </c>
      <c r="AA59" s="4" t="inlineStr">
        <is>
          <t>Passed on test</t>
        </is>
      </c>
      <c r="AB59" s="4" t="inlineStr">
        <is>
          <t>Passed on test</t>
        </is>
      </c>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2" t="n"/>
      <c r="CV59" s="2" t="n"/>
      <c r="CW59" s="2" t="n"/>
      <c r="CX59" s="2" t="n"/>
      <c r="CY59" s="2" t="n"/>
      <c r="CZ59" s="2" t="n"/>
      <c r="DA59" s="2" t="n"/>
      <c r="DB59" s="2" t="n"/>
      <c r="DC59" s="2" t="n"/>
      <c r="DD59" s="2" t="n"/>
      <c r="DE59" s="2" t="n"/>
    </row>
    <row r="60">
      <c r="A60" s="2" t="inlineStr">
        <is>
          <t>issue_925</t>
        </is>
      </c>
      <c r="B60" s="4" t="inlineStr">
        <is>
          <t>Passed on test</t>
        </is>
      </c>
      <c r="C60" s="4" t="inlineStr">
        <is>
          <t>Passed on test</t>
        </is>
      </c>
      <c r="D60" s="4" t="inlineStr">
        <is>
          <t>Passed on test</t>
        </is>
      </c>
      <c r="E60" s="4" t="inlineStr">
        <is>
          <t>Passed on test</t>
        </is>
      </c>
      <c r="F60" s="3" t="inlineStr">
        <is>
          <t>NOT_TESTED</t>
        </is>
      </c>
      <c r="G60" s="3" t="inlineStr">
        <is>
          <t>NOT_TESTED</t>
        </is>
      </c>
      <c r="H60" s="3" t="inlineStr">
        <is>
          <t>NOT_TESTED</t>
        </is>
      </c>
      <c r="I60" s="3" t="inlineStr">
        <is>
          <t>NOT_TESTED</t>
        </is>
      </c>
      <c r="J60" s="3" t="inlineStr">
        <is>
          <t>NOT_TESTED</t>
        </is>
      </c>
      <c r="K60" s="3" t="inlineStr">
        <is>
          <t>NOT_TESTED</t>
        </is>
      </c>
      <c r="L60" s="3" t="inlineStr">
        <is>
          <t>NOT_TESTED</t>
        </is>
      </c>
      <c r="M60" s="3" t="inlineStr">
        <is>
          <t>NOT_TESTED</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issue_944</t>
        </is>
      </c>
      <c r="B61" s="4" t="inlineStr">
        <is>
          <t>Passed on test</t>
        </is>
      </c>
      <c r="C61" s="4" t="inlineStr">
        <is>
          <t>Passed on test</t>
        </is>
      </c>
      <c r="D61" s="4" t="inlineStr">
        <is>
          <t>Passed on test</t>
        </is>
      </c>
      <c r="E61" s="4" t="inlineStr">
        <is>
          <t>Passed on test</t>
        </is>
      </c>
      <c r="F61" s="4" t="inlineStr">
        <is>
          <t>Passed on test</t>
        </is>
      </c>
      <c r="G61" s="4" t="inlineStr">
        <is>
          <t>Passed on test</t>
        </is>
      </c>
      <c r="H61" s="4" t="inlineStr">
        <is>
          <t>Passed on test</t>
        </is>
      </c>
      <c r="I61" s="4" t="inlineStr">
        <is>
          <t>Passed on test</t>
        </is>
      </c>
      <c r="J61" s="4" t="inlineStr">
        <is>
          <t>Passed on test</t>
        </is>
      </c>
      <c r="K61" s="4" t="inlineStr">
        <is>
          <t>Passed on test</t>
        </is>
      </c>
      <c r="L61" s="4" t="inlineStr">
        <is>
          <t>Passed on test</t>
        </is>
      </c>
      <c r="M61" s="4" t="inlineStr">
        <is>
          <t>Passed on test</t>
        </is>
      </c>
      <c r="N61" s="3" t="inlineStr">
        <is>
          <t>NOT_TESTED</t>
        </is>
      </c>
      <c r="O61" s="3" t="inlineStr">
        <is>
          <t>NOT_TESTED</t>
        </is>
      </c>
      <c r="P61" s="3" t="inlineStr">
        <is>
          <t>NOT_TESTED</t>
        </is>
      </c>
      <c r="Q61" s="3" t="inlineStr">
        <is>
          <t>NOT_TESTED</t>
        </is>
      </c>
      <c r="R61" s="3" t="inlineStr">
        <is>
          <t>NOT_TESTED</t>
        </is>
      </c>
      <c r="S61" s="3" t="inlineStr">
        <is>
          <t>NOT_TESTED</t>
        </is>
      </c>
      <c r="T61" s="3" t="inlineStr">
        <is>
          <t>NOT_TESTED</t>
        </is>
      </c>
      <c r="U61" s="3" t="inlineStr">
        <is>
          <t>NOT_TESTED</t>
        </is>
      </c>
      <c r="V61" s="3" t="inlineStr">
        <is>
          <t>NOT_TESTED</t>
        </is>
      </c>
      <c r="W61" s="3" t="inlineStr">
        <is>
          <t>NOT_TESTED</t>
        </is>
      </c>
      <c r="X61" s="3" t="inlineStr">
        <is>
          <t>NOT_TESTED</t>
        </is>
      </c>
      <c r="Y61" s="3" t="inlineStr">
        <is>
          <t>NOT_TESTED</t>
        </is>
      </c>
      <c r="Z61" s="3" t="inlineStr">
        <is>
          <t>NOT_TESTED</t>
        </is>
      </c>
      <c r="AA61" s="3" t="inlineStr">
        <is>
          <t>NOT_TESTED</t>
        </is>
      </c>
      <c r="AB61" s="3" t="inlineStr">
        <is>
          <t>NOT_TESTED</t>
        </is>
      </c>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issue_950</t>
        </is>
      </c>
      <c r="B62" s="5" t="inlineStr">
        <is>
          <t>Failed on test</t>
        </is>
      </c>
      <c r="C62" s="5" t="inlineStr">
        <is>
          <t>Failed on test</t>
        </is>
      </c>
      <c r="D62" s="5" t="inlineStr">
        <is>
          <t>Failed on test</t>
        </is>
      </c>
      <c r="E62" s="5" t="inlineStr">
        <is>
          <t>Failed on test</t>
        </is>
      </c>
      <c r="F62" s="5" t="inlineStr">
        <is>
          <t>Failed on test</t>
        </is>
      </c>
      <c r="G62" s="5" t="inlineStr">
        <is>
          <t>Failed on test</t>
        </is>
      </c>
      <c r="H62" s="5" t="inlineStr">
        <is>
          <t>Failed on test</t>
        </is>
      </c>
      <c r="I62" s="5" t="inlineStr">
        <is>
          <t>Failed on test</t>
        </is>
      </c>
      <c r="J62" s="5" t="inlineStr">
        <is>
          <t>Failed on test</t>
        </is>
      </c>
      <c r="K62" s="5" t="inlineStr">
        <is>
          <t>Failed on test</t>
        </is>
      </c>
      <c r="L62" s="5" t="inlineStr">
        <is>
          <t>Failed on test</t>
        </is>
      </c>
      <c r="M62" s="5" t="inlineStr">
        <is>
          <t>Failed on test</t>
        </is>
      </c>
      <c r="N62" s="5" t="inlineStr">
        <is>
          <t>Failed on test</t>
        </is>
      </c>
      <c r="O62" s="5" t="inlineStr">
        <is>
          <t>Failed on test</t>
        </is>
      </c>
      <c r="P62" s="5" t="inlineStr">
        <is>
          <t>Failed on test</t>
        </is>
      </c>
      <c r="Q62" s="5" t="inlineStr">
        <is>
          <t>Failed on test</t>
        </is>
      </c>
      <c r="R62" s="5" t="inlineStr">
        <is>
          <t>Failed on test</t>
        </is>
      </c>
      <c r="S62" s="5" t="inlineStr">
        <is>
          <t>Failed on test</t>
        </is>
      </c>
      <c r="T62" s="5" t="inlineStr">
        <is>
          <t>Failed on test</t>
        </is>
      </c>
      <c r="U62" s="5" t="inlineStr">
        <is>
          <t>Failed on test</t>
        </is>
      </c>
      <c r="V62" s="5" t="inlineStr">
        <is>
          <t>Failed on test</t>
        </is>
      </c>
      <c r="W62" s="5" t="inlineStr">
        <is>
          <t>Failed on test</t>
        </is>
      </c>
      <c r="X62" s="5" t="inlineStr">
        <is>
          <t>Failed on test</t>
        </is>
      </c>
      <c r="Y62" s="5" t="inlineStr">
        <is>
          <t>Failed on test</t>
        </is>
      </c>
      <c r="Z62" s="5" t="inlineStr">
        <is>
          <t>Failed on test</t>
        </is>
      </c>
      <c r="AA62" s="5" t="inlineStr">
        <is>
          <t>Failed on test</t>
        </is>
      </c>
      <c r="AB62" s="5" t="inlineStr">
        <is>
          <t>Failed on test</t>
        </is>
      </c>
      <c r="AC62" s="2" t="inlineStr">
        <is>
          <t>AssertionError</t>
        </is>
      </c>
      <c r="AD62" s="2" t="inlineStr">
        <is>
          <t>AssertionError:</t>
        </is>
      </c>
      <c r="AE62" s="2" t="inlineStr">
        <is>
          <t>The LLM widened the identity to N qubits but kept _add(), which adds the Z operator to the identity instead of placing Z on the requested qubits (same code as both luna models). claude-opus-5-5, gpt-6.1-sol and gpt-6-astra used compose() and passed.</t>
        </is>
      </c>
      <c r="AF62" s="2" t="inlineStr">
        <is>
          <t>AssertionError</t>
        </is>
      </c>
      <c r="AG62" s="2" t="inlineStr">
        <is>
          <t>AssertionError:</t>
        </is>
      </c>
      <c r="AH62" s="2" t="inlineStr">
        <is>
          <t>The LLM widened the identity to N qubits but kept _add(), which adds the Z operator to the identity instead of placing Z on the requested qubits (same code as both luna models). claude-opus-5-5, gpt-6.1-sol and gpt-6-astra used compose() and passed.</t>
        </is>
      </c>
      <c r="AI62" s="2" t="inlineStr">
        <is>
          <t>AssertionError</t>
        </is>
      </c>
      <c r="AJ62" s="2" t="inlineStr">
        <is>
          <t>AssertionError:</t>
        </is>
      </c>
      <c r="AK62" s="2" t="inlineStr">
        <is>
          <t>The LLM widened the identity to N qubits but kept _add(), which adds the Z operator to the identity instead of placing Z on the requested qubits (same code as both luna models). claude-opus-5-5, gpt-6.1-sol and gpt-6-astra used compose() and passed.</t>
        </is>
      </c>
      <c r="AL62" s="2" t="inlineStr">
        <is>
          <t>AssertionError</t>
        </is>
      </c>
      <c r="AM62" s="2" t="inlineStr">
        <is>
          <t>AssertionError:</t>
        </is>
      </c>
      <c r="AN62" s="2" t="inlineStr">
        <is>
          <t>The LLM widened the identity to N qubits but kept _add(), which adds the Z operator to the identity instead of placing Z on the requested qubits (same code as both luna models). claude-opus-5-5, gpt-6.1-sol and gpt-6-astra used compose() and passed.</t>
        </is>
      </c>
      <c r="AO62" s="2" t="inlineStr">
        <is>
          <t>AssertionError</t>
        </is>
      </c>
      <c r="AP62" s="2" t="inlineStr">
        <is>
          <t>AssertionError:</t>
        </is>
      </c>
      <c r="AQ62" s="2" t="inlineStr">
        <is>
          <t>The LLM widened the identity to N qubits but kept _add(), which adds the Z operator to the identity instead of placing Z on the requested qubits (same code as both luna models). claude-opus-5-5, gpt-6.1-sol and gpt-6-astra used compose() and passed.</t>
        </is>
      </c>
      <c r="AR62" s="2" t="inlineStr">
        <is>
          <t>AssertionError</t>
        </is>
      </c>
      <c r="AS62" s="2" t="inlineStr">
        <is>
          <t>AssertionError:</t>
        </is>
      </c>
      <c r="AT62" s="2" t="inlineStr">
        <is>
          <t>The LLM widened the identity to N qubits but kept _add(), which adds the Z operator to the identity instead of placing Z on the requested qubits (same code as both luna models). claude-opus-5-5, gpt-6.1-sol and gpt-6-astra used compose() and passed.</t>
        </is>
      </c>
      <c r="AU62" s="2" t="inlineStr">
        <is>
          <t>AssertionError</t>
        </is>
      </c>
      <c r="AV62" s="2" t="inlineStr">
        <is>
          <t>AssertionError:</t>
        </is>
      </c>
      <c r="AW62" s="2" t="inlineStr">
        <is>
          <t>The LLM widened the identity to N qubits but kept _add(), which adds the Z operator to the identity instead of placing Z on the requested qubits (same code as both luna models). claude-opus-5-5, gpt-6.1-sol and gpt-6-astra used compose() and passed.</t>
        </is>
      </c>
      <c r="AX62" s="2" t="inlineStr">
        <is>
          <t>AssertionError</t>
        </is>
      </c>
      <c r="AY62" s="2" t="inlineStr">
        <is>
          <t>AssertionError:</t>
        </is>
      </c>
      <c r="AZ62" s="2" t="inlineStr">
        <is>
          <t>The LLM widened the identity to N qubits but kept _add(), which adds the Z operator to the identity instead of placing Z on the requested qubits (same code as both luna models). claude-opus-5-5, gpt-6.1-sol and gpt-6-astra used compose() and passed.</t>
        </is>
      </c>
      <c r="BA62" s="2" t="inlineStr">
        <is>
          <t>AssertionError</t>
        </is>
      </c>
      <c r="BB62" s="2" t="inlineStr">
        <is>
          <t>AssertionError:</t>
        </is>
      </c>
      <c r="BC62" s="2" t="inlineStr">
        <is>
          <t>The LLM widened the identity to N qubits but kept _add(), which adds the Z operator to the identity instead of placing Z on the requested qubits (same code as both luna models). claude-opus-5-5, gpt-6.1-sol and gpt-6-astra used compose() and passed.</t>
        </is>
      </c>
      <c r="BD62" s="2" t="inlineStr">
        <is>
          <t>AssertionError</t>
        </is>
      </c>
      <c r="BE62" s="2" t="inlineStr">
        <is>
          <t>AssertionError:</t>
        </is>
      </c>
      <c r="BF62" s="2" t="inlineStr">
        <is>
          <t>The LLM widened the identity to N qubits but kept _add(), which adds the Z operator to the identity instead of placing Z on the requested qubits (same code as both luna models). claude-opus-5-5, gpt-6.1-sol and gpt-6-astra used compose() and passed.</t>
        </is>
      </c>
      <c r="BG62" s="2" t="inlineStr">
        <is>
          <t>AssertionError</t>
        </is>
      </c>
      <c r="BH62" s="2" t="inlineStr">
        <is>
          <t>AssertionError:</t>
        </is>
      </c>
      <c r="BI62" s="2" t="inlineStr">
        <is>
          <t>The LLM widened the identity to N qubits but kept _add(), which adds the Z operator to the identity instead of placing Z on the requested qubits (same code as both luna models). claude-opus-5-5, gpt-6.1-sol and gpt-6-astra used compose() and passed.</t>
        </is>
      </c>
      <c r="BJ62" s="2" t="inlineStr">
        <is>
          <t>AssertionError</t>
        </is>
      </c>
      <c r="BK62" s="2" t="inlineStr">
        <is>
          <t>AssertionError:</t>
        </is>
      </c>
      <c r="BL62" s="2" t="inlineStr">
        <is>
          <t>The LLM widened the identity to N qubits but kept _add(), which adds the Z operator to the identity instead of placing Z on the requested qubits (same code as both luna models). claude-opus-5-5, gpt-6.1-sol and gpt-6-astra used compose() and passed.</t>
        </is>
      </c>
      <c r="BM62" s="2" t="inlineStr">
        <is>
          <t>AssertionError</t>
        </is>
      </c>
      <c r="BN62" s="2" t="inlineStr">
        <is>
          <t>AssertionError:</t>
        </is>
      </c>
      <c r="BO62" s="2" t="inlineStr">
        <is>
          <t>The LLM widened the identity to N qubits but kept _add(), which adds the Z operator to the identity instead of placing Z on the requested qubits (same code as both luna models). claude-opus-5-5, gpt-6.1-sol and gpt-6-astra used compose() and passed.</t>
        </is>
      </c>
      <c r="BP62" s="2" t="inlineStr">
        <is>
          <t>AssertionError</t>
        </is>
      </c>
      <c r="BQ62" s="2" t="inlineStr">
        <is>
          <t>AssertionError:</t>
        </is>
      </c>
      <c r="BR62" s="2" t="inlineStr">
        <is>
          <t>The LLM widened the identity to N qubits but kept _add(), which adds the Z operator to the identity instead of placing Z on the requested qubits (same code as both luna models). claude-opus-5-5, gpt-6.1-sol and gpt-6-astra used compose() and passed.</t>
        </is>
      </c>
      <c r="BS62" s="2" t="inlineStr">
        <is>
          <t>AssertionError</t>
        </is>
      </c>
      <c r="BT62" s="2" t="inlineStr">
        <is>
          <t>AssertionError:</t>
        </is>
      </c>
      <c r="BU62" s="2" t="inlineStr">
        <is>
          <t>The LLM widened the identity to N qubits but kept _add(), which adds the Z operator to the identity instead of placing Z on the requested qubits (same code as both luna models). claude-opus-5-5, gpt-6.1-sol and gpt-6-astra used compose() and passed.</t>
        </is>
      </c>
      <c r="BV62" s="2" t="inlineStr">
        <is>
          <t>AssertionError</t>
        </is>
      </c>
      <c r="BW62" s="2" t="inlineStr">
        <is>
          <t>AssertionError:</t>
        </is>
      </c>
      <c r="BX62" s="2" t="inlineStr">
        <is>
          <t>The LLM widened the identity to N qubits but kept _add(), which adds the Z operator to the identity instead of placing Z on the requested qubits (same code as both luna models). claude-opus-5-5, gpt-6.1-sol and gpt-6-astra used compose() and passed.</t>
        </is>
      </c>
      <c r="BY62" s="2" t="inlineStr">
        <is>
          <t>AssertionError</t>
        </is>
      </c>
      <c r="BZ62" s="2" t="inlineStr">
        <is>
          <t>AssertionError:</t>
        </is>
      </c>
      <c r="CA62" s="2" t="inlineStr">
        <is>
          <t>The LLM widened the identity to N qubits but kept _add(), which adds the Z operator to the identity instead of placing Z on the requested qubits (same code as both luna models). claude-opus-5-5, gpt-6.1-sol and gpt-6-astra used compose() and passed.</t>
        </is>
      </c>
      <c r="CB62" s="2" t="inlineStr">
        <is>
          <t>AssertionError</t>
        </is>
      </c>
      <c r="CC62" s="2" t="inlineStr">
        <is>
          <t>AssertionError:</t>
        </is>
      </c>
      <c r="CD62" s="2" t="inlineStr">
        <is>
          <t>The LLM widened the identity to N qubits but kept _add(), which adds the Z operator to the identity instead of placing Z on the requested qubits (same code as both luna models). claude-opus-5-5, gpt-6.1-sol and gpt-6-astra used compose() and passed.</t>
        </is>
      </c>
      <c r="CE62" s="2" t="inlineStr">
        <is>
          <t>AssertionError</t>
        </is>
      </c>
      <c r="CF62" s="2" t="inlineStr">
        <is>
          <t>AssertionError:</t>
        </is>
      </c>
      <c r="CG62" s="2" t="inlineStr">
        <is>
          <t>The LLM widened the identity to N qubits but kept _add(), which adds the Z operator to the identity instead of placing Z on the requested qubits (same code as both luna models). claude-opus-5-5, gpt-6.1-sol and gpt-6-astra used compose() and passed.</t>
        </is>
      </c>
      <c r="CH62" s="2" t="inlineStr">
        <is>
          <t>AssertionError</t>
        </is>
      </c>
      <c r="CI62" s="2" t="inlineStr">
        <is>
          <t>AssertionError:</t>
        </is>
      </c>
      <c r="CJ62" s="2" t="inlineStr">
        <is>
          <t>The LLM widened the identity to N qubits but kept _add(), which adds the Z operator to the identity instead of placing Z on the requested qubits (same code as both luna models). claude-opus-5-5, gpt-6.1-sol and gpt-6-astra used compose() and passed.</t>
        </is>
      </c>
      <c r="CK62" s="2" t="inlineStr">
        <is>
          <t>AssertionError</t>
        </is>
      </c>
      <c r="CL62" s="2" t="inlineStr">
        <is>
          <t>AssertionError:</t>
        </is>
      </c>
      <c r="CM62" s="2" t="inlineStr">
        <is>
          <t>The LLM widened the identity to N qubits but kept _add(), which adds the Z operator to the identity instead of placing Z on the requested qubits (same code as both luna models). claude-opus-5-5, gpt-6.1-sol and gpt-6-astra used compose() and passed.</t>
        </is>
      </c>
      <c r="CN62" s="2" t="inlineStr">
        <is>
          <t>AssertionError</t>
        </is>
      </c>
      <c r="CO62" s="2" t="inlineStr">
        <is>
          <t>AssertionError:</t>
        </is>
      </c>
      <c r="CP62" s="2" t="inlineStr">
        <is>
          <t>The LLM widened the identity to N qubits but kept _add(), which adds the Z operator to the identity instead of placing Z on the requested qubits (same code as both luna models). claude-opus-5-5, gpt-6.1-sol and gpt-6-astra used compose() and passed.</t>
        </is>
      </c>
      <c r="CQ62" s="2" t="inlineStr">
        <is>
          <t>AssertionError</t>
        </is>
      </c>
      <c r="CR62" s="2" t="inlineStr">
        <is>
          <t>AssertionError:</t>
        </is>
      </c>
      <c r="CS62" s="2" t="inlineStr">
        <is>
          <t>The LLM widened the identity to N qubits but kept _add(), which adds the Z operator to the identity instead of placing Z on the requested qubits (same code as both luna models). claude-opus-5-5, gpt-6.1-sol and gpt-6-astra used compose() and passed.</t>
        </is>
      </c>
      <c r="CT62" s="2" t="inlineStr">
        <is>
          <t>AssertionError</t>
        </is>
      </c>
      <c r="CU62" s="2" t="inlineStr">
        <is>
          <t>AssertionError:</t>
        </is>
      </c>
      <c r="CV62" s="2" t="inlineStr">
        <is>
          <t>The LLM widened the identity to N qubits but kept _add(), which adds the Z operator to the identity instead of placing Z on the requested qubits (same code as both luna models). claude-opus-5-5, gpt-6.1-sol and gpt-6-astra used compose() and passed.</t>
        </is>
      </c>
      <c r="CW62" s="2" t="inlineStr">
        <is>
          <t>AssertionError</t>
        </is>
      </c>
      <c r="CX62" s="2" t="inlineStr">
        <is>
          <t>AssertionError:</t>
        </is>
      </c>
      <c r="CY62" s="2" t="inlineStr">
        <is>
          <t>The LLM widened the identity to N qubits but kept _add(), which adds the Z operator to the identity instead of placing Z on the requested qubits (same code as both luna models). claude-opus-5-5, gpt-6.1-sol and gpt-6-astra used compose() and passed.</t>
        </is>
      </c>
      <c r="CZ62" s="2" t="inlineStr">
        <is>
          <t>AssertionError</t>
        </is>
      </c>
      <c r="DA62" s="2" t="inlineStr">
        <is>
          <t>AssertionError:</t>
        </is>
      </c>
      <c r="DB62" s="2" t="inlineStr">
        <is>
          <t>The LLM widened the identity to N qubits but kept _add(), which adds the Z operator to the identity instead of placing Z on the requested qubits (same code as both luna models). claude-opus-5-5, gpt-6.1-sol and gpt-6-astra used compose() and passed.</t>
        </is>
      </c>
      <c r="DC62" s="2" t="inlineStr">
        <is>
          <t>AssertionError</t>
        </is>
      </c>
      <c r="DD62" s="2" t="inlineStr">
        <is>
          <t>AssertionError:</t>
        </is>
      </c>
      <c r="DE62" s="2" t="inlineStr">
        <is>
          <t>The LLM widened the identity to N qubits but kept _add(), which adds the Z operator to the identity instead of placing Z on the requested qubits (same code as both luna models). claude-opus-5-5, gpt-6.1-sol and gpt-6-astra used compose() and passed.</t>
        </is>
      </c>
    </row>
    <row r="63">
      <c r="A63" s="2" t="inlineStr">
        <is>
          <t>issue_958</t>
        </is>
      </c>
      <c r="B63" s="3" t="inlineStr">
        <is>
          <t>NOT_TESTED</t>
        </is>
      </c>
      <c r="C63" s="3" t="inlineStr">
        <is>
          <t>NOT_TESTED</t>
        </is>
      </c>
      <c r="D63" s="3" t="inlineStr">
        <is>
          <t>NOT_TESTED</t>
        </is>
      </c>
      <c r="E63" s="3" t="inlineStr">
        <is>
          <t>NOT_TESTED</t>
        </is>
      </c>
      <c r="F63" s="5" t="inlineStr">
        <is>
          <t>Failed on test</t>
        </is>
      </c>
      <c r="G63" s="5" t="inlineStr">
        <is>
          <t>Failed on test</t>
        </is>
      </c>
      <c r="H63" s="5" t="inlineStr">
        <is>
          <t>Failed on test</t>
        </is>
      </c>
      <c r="I63" s="5" t="inlineStr">
        <is>
          <t>Failed on test</t>
        </is>
      </c>
      <c r="J63" s="5" t="inlineStr">
        <is>
          <t>Failed on test</t>
        </is>
      </c>
      <c r="K63" s="5" t="inlineStr">
        <is>
          <t>Failed on test</t>
        </is>
      </c>
      <c r="L63" s="5" t="inlineStr">
        <is>
          <t>Failed on test</t>
        </is>
      </c>
      <c r="M63" s="5" t="inlineStr">
        <is>
          <t>Failed on test</t>
        </is>
      </c>
      <c r="N63" s="5" t="inlineStr">
        <is>
          <t>Failed on test</t>
        </is>
      </c>
      <c r="O63" s="5" t="inlineStr">
        <is>
          <t>Failed on test</t>
        </is>
      </c>
      <c r="P63" s="5" t="inlineStr">
        <is>
          <t>Failed on test</t>
        </is>
      </c>
      <c r="Q63" s="5" t="inlineStr">
        <is>
          <t>Failed on test</t>
        </is>
      </c>
      <c r="R63" s="5" t="inlineStr">
        <is>
          <t>Failed on test</t>
        </is>
      </c>
      <c r="S63" s="5" t="inlineStr">
        <is>
          <t>Failed on test</t>
        </is>
      </c>
      <c r="T63" s="5" t="inlineStr">
        <is>
          <t>Failed on test</t>
        </is>
      </c>
      <c r="U63" s="5" t="inlineStr">
        <is>
          <t>Failed on test</t>
        </is>
      </c>
      <c r="V63" s="5" t="inlineStr">
        <is>
          <t>Failed on test</t>
        </is>
      </c>
      <c r="W63" s="5" t="inlineStr">
        <is>
          <t>Failed on test</t>
        </is>
      </c>
      <c r="X63" s="5" t="inlineStr">
        <is>
          <t>Failed on test</t>
        </is>
      </c>
      <c r="Y63" s="5" t="inlineStr">
        <is>
          <t>Failed on test</t>
        </is>
      </c>
      <c r="Z63" s="5" t="inlineStr">
        <is>
          <t>Failed on test</t>
        </is>
      </c>
      <c r="AA63" s="5" t="inlineStr">
        <is>
          <t>Failed on test</t>
        </is>
      </c>
      <c r="AB63" s="5" t="inlineStr">
        <is>
          <t>Failed on test</t>
        </is>
      </c>
      <c r="AC63" s="2" t="n"/>
      <c r="AD63" s="2" t="n"/>
      <c r="AE63" s="2" t="n"/>
      <c r="AF63" s="2" t="n"/>
      <c r="AG63" s="2" t="n"/>
      <c r="AH63" s="2" t="n"/>
      <c r="AI63" s="2" t="n"/>
      <c r="AJ63" s="2" t="n"/>
      <c r="AK63" s="2" t="n"/>
      <c r="AL63" s="2" t="n"/>
      <c r="AM63" s="2" t="n"/>
      <c r="AN63" s="2" t="n"/>
      <c r="AO63" s="2" t="inlineStr">
        <is>
          <t>AssertionError</t>
        </is>
      </c>
      <c r="AP63" s="2" t="inlineStr">
        <is>
          <t>KeyError: 'qc2'; AssertionError:</t>
        </is>
      </c>
      <c r="AQ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AR63" s="2" t="inlineStr">
        <is>
          <t>AssertionError</t>
        </is>
      </c>
      <c r="AS63" s="2" t="inlineStr">
        <is>
          <t>KeyError: 'qc2'; AssertionError:</t>
        </is>
      </c>
      <c r="AT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AU63" s="2" t="inlineStr">
        <is>
          <t>AssertionError</t>
        </is>
      </c>
      <c r="AV63" s="2" t="inlineStr">
        <is>
          <t>KeyError: 'qc2'; AssertionError:</t>
        </is>
      </c>
      <c r="AW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AX63" s="2" t="inlineStr">
        <is>
          <t>AssertionError</t>
        </is>
      </c>
      <c r="AY63" s="2" t="inlineStr">
        <is>
          <t>KeyError: 'qc2'; AssertionError:</t>
        </is>
      </c>
      <c r="AZ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A63" s="2" t="inlineStr">
        <is>
          <t>AssertionError</t>
        </is>
      </c>
      <c r="BB63" s="2" t="inlineStr">
        <is>
          <t>KeyError: 'qc2'; AssertionError:</t>
        </is>
      </c>
      <c r="BC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D63" s="2" t="inlineStr">
        <is>
          <t>AssertionError</t>
        </is>
      </c>
      <c r="BE63" s="2" t="inlineStr">
        <is>
          <t>KeyError: 'qc2'; AssertionError:</t>
        </is>
      </c>
      <c r="BF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G63" s="2" t="inlineStr">
        <is>
          <t>AssertionError</t>
        </is>
      </c>
      <c r="BH63" s="2" t="inlineStr">
        <is>
          <t>KeyError: 'qc2'; AssertionError:</t>
        </is>
      </c>
      <c r="BI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J63" s="2" t="inlineStr">
        <is>
          <t>AssertionError</t>
        </is>
      </c>
      <c r="BK63" s="2" t="inlineStr">
        <is>
          <t>KeyError: 'qc2'; AssertionError:</t>
        </is>
      </c>
      <c r="BL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M63" s="2" t="inlineStr">
        <is>
          <t>AssertionError</t>
        </is>
      </c>
      <c r="BN63" s="2" t="inlineStr">
        <is>
          <t>KeyError: 'qc2'; AssertionError:</t>
        </is>
      </c>
      <c r="BO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P63" s="2" t="inlineStr">
        <is>
          <t>AssertionError</t>
        </is>
      </c>
      <c r="BQ63" s="2" t="inlineStr">
        <is>
          <t>KeyError: 'qc2'; AssertionError:</t>
        </is>
      </c>
      <c r="BR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S63" s="2" t="inlineStr">
        <is>
          <t>AssertionError</t>
        </is>
      </c>
      <c r="BT63" s="2" t="inlineStr">
        <is>
          <t>KeyError: 'qc2'; AssertionError:</t>
        </is>
      </c>
      <c r="BU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V63" s="2" t="inlineStr">
        <is>
          <t>AssertionError</t>
        </is>
      </c>
      <c r="BW63" s="2" t="inlineStr">
        <is>
          <t>KeyError: 'qc2'; AssertionError:</t>
        </is>
      </c>
      <c r="BX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BY63" s="2" t="inlineStr">
        <is>
          <t>AssertionError</t>
        </is>
      </c>
      <c r="BZ63" s="2" t="inlineStr">
        <is>
          <t>KeyError: 'qc2'; AssertionError:</t>
        </is>
      </c>
      <c r="CA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B63" s="2" t="inlineStr">
        <is>
          <t>AssertionError</t>
        </is>
      </c>
      <c r="CC63" s="2" t="inlineStr">
        <is>
          <t>KeyError: 'qc2'; AssertionError:</t>
        </is>
      </c>
      <c r="CD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E63" s="2" t="inlineStr">
        <is>
          <t>AssertionError</t>
        </is>
      </c>
      <c r="CF63" s="2" t="inlineStr">
        <is>
          <t>KeyError: 'qc2'; AssertionError:</t>
        </is>
      </c>
      <c r="CG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H63" s="2" t="inlineStr">
        <is>
          <t>AssertionError</t>
        </is>
      </c>
      <c r="CI63" s="2" t="inlineStr">
        <is>
          <t>KeyError: 'qc2'; AssertionError:</t>
        </is>
      </c>
      <c r="CJ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K63" s="2" t="inlineStr">
        <is>
          <t>AssertionError</t>
        </is>
      </c>
      <c r="CL63" s="2" t="inlineStr">
        <is>
          <t>KeyError: 'qc2'; AssertionError:</t>
        </is>
      </c>
      <c r="CM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N63" s="2" t="inlineStr">
        <is>
          <t>AssertionError</t>
        </is>
      </c>
      <c r="CO63" s="2" t="inlineStr">
        <is>
          <t>KeyError: 'qc2'; AssertionError:</t>
        </is>
      </c>
      <c r="CP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Q63" s="2" t="inlineStr">
        <is>
          <t>AssertionError</t>
        </is>
      </c>
      <c r="CR63" s="2" t="inlineStr">
        <is>
          <t>KeyError: 'qc2'; AssertionError:</t>
        </is>
      </c>
      <c r="CS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T63" s="2" t="inlineStr">
        <is>
          <t>AssertionError</t>
        </is>
      </c>
      <c r="CU63" s="2" t="inlineStr">
        <is>
          <t>KeyError: 'qc2'; AssertionError:</t>
        </is>
      </c>
      <c r="CV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W63" s="2" t="inlineStr">
        <is>
          <t>AssertionError</t>
        </is>
      </c>
      <c r="CX63" s="2" t="inlineStr">
        <is>
          <t>KeyError: 'qc2'; AssertionError:</t>
        </is>
      </c>
      <c r="CY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CZ63" s="2" t="inlineStr">
        <is>
          <t>AssertionError</t>
        </is>
      </c>
      <c r="DA63" s="2" t="inlineStr">
        <is>
          <t>KeyError: 'qc2'; AssertionError:</t>
        </is>
      </c>
      <c r="DB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DC63" s="2" t="inlineStr">
        <is>
          <t>AssertionError</t>
        </is>
      </c>
      <c r="DD63" s="2" t="inlineStr">
        <is>
          <t>KeyError: 'qc2'; AssertionError:</t>
        </is>
      </c>
      <c r="DE63" s="2"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row>
    <row r="64">
      <c r="A64" s="2" t="inlineStr">
        <is>
          <t>issue_977</t>
        </is>
      </c>
      <c r="B64" s="3" t="inlineStr">
        <is>
          <t>NOT_TESTED</t>
        </is>
      </c>
      <c r="C64" s="3" t="inlineStr">
        <is>
          <t>NOT_TESTED</t>
        </is>
      </c>
      <c r="D64" s="3" t="inlineStr">
        <is>
          <t>NOT_TESTED</t>
        </is>
      </c>
      <c r="E64" s="3" t="inlineStr">
        <is>
          <t>NOT_TESTED</t>
        </is>
      </c>
      <c r="F64" s="5" t="inlineStr">
        <is>
          <t>Failed on test</t>
        </is>
      </c>
      <c r="G64" s="5" t="inlineStr">
        <is>
          <t>Failed on test</t>
        </is>
      </c>
      <c r="H64" s="5" t="inlineStr">
        <is>
          <t>Failed on test</t>
        </is>
      </c>
      <c r="I64" s="5" t="inlineStr">
        <is>
          <t>Failed on test</t>
        </is>
      </c>
      <c r="J64" s="5" t="inlineStr">
        <is>
          <t>Failed on test</t>
        </is>
      </c>
      <c r="K64" s="5" t="inlineStr">
        <is>
          <t>Failed on test</t>
        </is>
      </c>
      <c r="L64" s="5" t="inlineStr">
        <is>
          <t>Failed on test</t>
        </is>
      </c>
      <c r="M64" s="5" t="inlineStr">
        <is>
          <t>Failed on test</t>
        </is>
      </c>
      <c r="N64" s="5" t="inlineStr">
        <is>
          <t>Failed on test</t>
        </is>
      </c>
      <c r="O64" s="5" t="inlineStr">
        <is>
          <t>Failed on test</t>
        </is>
      </c>
      <c r="P64" s="5" t="inlineStr">
        <is>
          <t>Failed on test</t>
        </is>
      </c>
      <c r="Q64" s="5" t="inlineStr">
        <is>
          <t>Failed on test</t>
        </is>
      </c>
      <c r="R64" s="5" t="inlineStr">
        <is>
          <t>Failed on test</t>
        </is>
      </c>
      <c r="S64" s="5" t="inlineStr">
        <is>
          <t>Failed on test</t>
        </is>
      </c>
      <c r="T64" s="5" t="inlineStr">
        <is>
          <t>Failed on test</t>
        </is>
      </c>
      <c r="U64" s="5" t="inlineStr">
        <is>
          <t>Failed on test</t>
        </is>
      </c>
      <c r="V64" s="5" t="inlineStr">
        <is>
          <t>Failed on test</t>
        </is>
      </c>
      <c r="W64" s="5" t="inlineStr">
        <is>
          <t>Failed on test</t>
        </is>
      </c>
      <c r="X64" s="5" t="inlineStr">
        <is>
          <t>Failed on test</t>
        </is>
      </c>
      <c r="Y64" s="5" t="inlineStr">
        <is>
          <t>Failed on test</t>
        </is>
      </c>
      <c r="Z64" s="5" t="inlineStr">
        <is>
          <t>Failed on test</t>
        </is>
      </c>
      <c r="AA64" s="5" t="inlineStr">
        <is>
          <t>Failed on test</t>
        </is>
      </c>
      <c r="AB64" s="5" t="inlineStr">
        <is>
          <t>Failed on test</t>
        </is>
      </c>
      <c r="AC64" s="2" t="n"/>
      <c r="AD64" s="2" t="n"/>
      <c r="AE64" s="2" t="n"/>
      <c r="AF64" s="2" t="n"/>
      <c r="AG64" s="2" t="n"/>
      <c r="AH64" s="2" t="n"/>
      <c r="AI64" s="2" t="n"/>
      <c r="AJ64" s="2" t="n"/>
      <c r="AK64" s="2" t="n"/>
      <c r="AL64" s="2" t="n"/>
      <c r="AM64" s="2" t="n"/>
      <c r="AN64" s="2" t="n"/>
      <c r="AO64" s="2" t="inlineStr">
        <is>
          <t>AssertionError</t>
        </is>
      </c>
      <c r="AP64" s="2" t="inlineStr">
        <is>
          <t>AssertionError: [] is not true : no SparsePauliOp in the program</t>
        </is>
      </c>
      <c r="AQ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AR64" s="2" t="inlineStr">
        <is>
          <t>AssertionError</t>
        </is>
      </c>
      <c r="AS64" s="2" t="inlineStr">
        <is>
          <t>AssertionError: [] is not true : no SparsePauliOp in the program</t>
        </is>
      </c>
      <c r="AT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AU64" s="2" t="inlineStr">
        <is>
          <t>AssertionError</t>
        </is>
      </c>
      <c r="AV64" s="2" t="inlineStr">
        <is>
          <t>AssertionError: [] is not true : no SparsePauliOp in the program</t>
        </is>
      </c>
      <c r="AW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AX64" s="2" t="inlineStr">
        <is>
          <t>AssertionError</t>
        </is>
      </c>
      <c r="AY64" s="2" t="inlineStr">
        <is>
          <t>AssertionError: [] is not true : no SparsePauliOp in the program</t>
        </is>
      </c>
      <c r="AZ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A64" s="2" t="inlineStr">
        <is>
          <t>AssertionError</t>
        </is>
      </c>
      <c r="BB64" s="2" t="inlineStr">
        <is>
          <t>AssertionError: [] is not true : no SparsePauliOp in the program</t>
        </is>
      </c>
      <c r="BC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D64" s="2" t="inlineStr">
        <is>
          <t>AssertionError</t>
        </is>
      </c>
      <c r="BE64" s="2" t="inlineStr">
        <is>
          <t>AssertionError: [] is not true : no SparsePauliOp in the program</t>
        </is>
      </c>
      <c r="BF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G64" s="2" t="inlineStr">
        <is>
          <t>AssertionError</t>
        </is>
      </c>
      <c r="BH64" s="2" t="inlineStr">
        <is>
          <t>AssertionError: [] is not true : no SparsePauliOp in the program</t>
        </is>
      </c>
      <c r="BI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J64" s="2" t="inlineStr">
        <is>
          <t>AssertionError</t>
        </is>
      </c>
      <c r="BK64" s="2" t="inlineStr">
        <is>
          <t>AssertionError: [] is not true : no SparsePauliOp in the program</t>
        </is>
      </c>
      <c r="BL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M64" s="2" t="inlineStr">
        <is>
          <t>AssertionError</t>
        </is>
      </c>
      <c r="BN64" s="2" t="inlineStr">
        <is>
          <t>AssertionError: [] is not true : no SparsePauliOp in the program</t>
        </is>
      </c>
      <c r="BO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P64" s="2" t="inlineStr">
        <is>
          <t>AssertionError</t>
        </is>
      </c>
      <c r="BQ64" s="2" t="inlineStr">
        <is>
          <t>AssertionError: [] is not true : no SparsePauliOp in the program</t>
        </is>
      </c>
      <c r="BR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S64" s="2" t="inlineStr">
        <is>
          <t>AssertionError</t>
        </is>
      </c>
      <c r="BT64" s="2" t="inlineStr">
        <is>
          <t>AssertionError: [] is not true : no SparsePauliOp in the program</t>
        </is>
      </c>
      <c r="BU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V64" s="2" t="inlineStr">
        <is>
          <t>AssertionError</t>
        </is>
      </c>
      <c r="BW64" s="2" t="inlineStr">
        <is>
          <t>AssertionError: [] is not true : no SparsePauliOp in the program</t>
        </is>
      </c>
      <c r="BX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BY64" s="2" t="inlineStr">
        <is>
          <t>AssertionError</t>
        </is>
      </c>
      <c r="BZ64" s="2" t="inlineStr">
        <is>
          <t>AssertionError: [] is not true : no SparsePauliOp in the program</t>
        </is>
      </c>
      <c r="CA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B64" s="2" t="inlineStr">
        <is>
          <t>AssertionError</t>
        </is>
      </c>
      <c r="CC64" s="2" t="inlineStr">
        <is>
          <t>AssertionError: [] is not true : no SparsePauliOp in the program</t>
        </is>
      </c>
      <c r="CD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E64" s="2" t="inlineStr">
        <is>
          <t>AssertionError</t>
        </is>
      </c>
      <c r="CF64" s="2" t="inlineStr">
        <is>
          <t>AssertionError: [] is not true : no SparsePauliOp in the program</t>
        </is>
      </c>
      <c r="CG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H64" s="2" t="inlineStr">
        <is>
          <t>AssertionError</t>
        </is>
      </c>
      <c r="CI64" s="2" t="inlineStr">
        <is>
          <t>AssertionError: [] is not true : no SparsePauliOp in the program</t>
        </is>
      </c>
      <c r="CJ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K64" s="2" t="inlineStr">
        <is>
          <t>AssertionError</t>
        </is>
      </c>
      <c r="CL64" s="2" t="inlineStr">
        <is>
          <t>AssertionError: [] is not true : no SparsePauliOp in the program</t>
        </is>
      </c>
      <c r="CM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N64" s="2" t="inlineStr">
        <is>
          <t>AssertionError</t>
        </is>
      </c>
      <c r="CO64" s="2" t="inlineStr">
        <is>
          <t>AssertionError: [] is not true : no SparsePauliOp in the program</t>
        </is>
      </c>
      <c r="CP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Q64" s="2" t="inlineStr">
        <is>
          <t>AssertionError</t>
        </is>
      </c>
      <c r="CR64" s="2" t="inlineStr">
        <is>
          <t>AssertionError: [] is not true : no SparsePauliOp in the program</t>
        </is>
      </c>
      <c r="CS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T64" s="2" t="inlineStr">
        <is>
          <t>AssertionError</t>
        </is>
      </c>
      <c r="CU64" s="2" t="inlineStr">
        <is>
          <t>AssertionError: [] is not true : no SparsePauliOp in the program</t>
        </is>
      </c>
      <c r="CV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W64" s="2" t="inlineStr">
        <is>
          <t>AssertionError</t>
        </is>
      </c>
      <c r="CX64" s="2" t="inlineStr">
        <is>
          <t>AssertionError: [] is not true : no SparsePauliOp in the program</t>
        </is>
      </c>
      <c r="CY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CZ64" s="2" t="inlineStr">
        <is>
          <t>AssertionError</t>
        </is>
      </c>
      <c r="DA64" s="2" t="inlineStr">
        <is>
          <t>AssertionError: [] is not true : no SparsePauliOp in the program</t>
        </is>
      </c>
      <c r="DB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DC64" s="2" t="inlineStr">
        <is>
          <t>AssertionError</t>
        </is>
      </c>
      <c r="DD64" s="2" t="inlineStr">
        <is>
          <t>AssertionError: [] is not true : no SparsePauliOp in the program</t>
        </is>
      </c>
      <c r="DE64" s="2"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row>
    <row r="65">
      <c r="A65" s="2" t="inlineStr">
        <is>
          <t>issue_985</t>
        </is>
      </c>
      <c r="B65" s="3" t="inlineStr">
        <is>
          <t>NOT_TESTED</t>
        </is>
      </c>
      <c r="C65" s="3" t="inlineStr">
        <is>
          <t>NOT_TESTED</t>
        </is>
      </c>
      <c r="D65" s="3" t="inlineStr">
        <is>
          <t>NOT_TESTED</t>
        </is>
      </c>
      <c r="E65" s="3" t="inlineStr">
        <is>
          <t>NOT_TESTED</t>
        </is>
      </c>
      <c r="F65" s="5" t="inlineStr">
        <is>
          <t>Failed on test</t>
        </is>
      </c>
      <c r="G65" s="5" t="inlineStr">
        <is>
          <t>Failed on test</t>
        </is>
      </c>
      <c r="H65" s="5" t="inlineStr">
        <is>
          <t>Failed on test</t>
        </is>
      </c>
      <c r="I65" s="5" t="inlineStr">
        <is>
          <t>Failed on test</t>
        </is>
      </c>
      <c r="J65" s="5" t="inlineStr">
        <is>
          <t>Failed on test</t>
        </is>
      </c>
      <c r="K65" s="5" t="inlineStr">
        <is>
          <t>Failed on test</t>
        </is>
      </c>
      <c r="L65" s="5" t="inlineStr">
        <is>
          <t>Failed on test</t>
        </is>
      </c>
      <c r="M65" s="5" t="inlineStr">
        <is>
          <t>Failed on test</t>
        </is>
      </c>
      <c r="N65" s="5" t="inlineStr">
        <is>
          <t>Failed on test</t>
        </is>
      </c>
      <c r="O65" s="5" t="inlineStr">
        <is>
          <t>Failed on test</t>
        </is>
      </c>
      <c r="P65" s="5" t="inlineStr">
        <is>
          <t>Failed on test</t>
        </is>
      </c>
      <c r="Q65" s="5" t="inlineStr">
        <is>
          <t>Failed on test</t>
        </is>
      </c>
      <c r="R65" s="5" t="inlineStr">
        <is>
          <t>Failed on test</t>
        </is>
      </c>
      <c r="S65" s="5" t="inlineStr">
        <is>
          <t>Failed on test</t>
        </is>
      </c>
      <c r="T65" s="5" t="inlineStr">
        <is>
          <t>Failed on test</t>
        </is>
      </c>
      <c r="U65" s="5" t="inlineStr">
        <is>
          <t>Failed on test</t>
        </is>
      </c>
      <c r="V65" s="5" t="inlineStr">
        <is>
          <t>Failed on test</t>
        </is>
      </c>
      <c r="W65" s="5" t="inlineStr">
        <is>
          <t>Failed on test</t>
        </is>
      </c>
      <c r="X65" s="5" t="inlineStr">
        <is>
          <t>Failed on test</t>
        </is>
      </c>
      <c r="Y65" s="5" t="inlineStr">
        <is>
          <t>Failed on test</t>
        </is>
      </c>
      <c r="Z65" s="5" t="inlineStr">
        <is>
          <t>Failed on test</t>
        </is>
      </c>
      <c r="AA65" s="5" t="inlineStr">
        <is>
          <t>Failed on test</t>
        </is>
      </c>
      <c r="AB65" s="5" t="inlineStr">
        <is>
          <t>Failed on test</t>
        </is>
      </c>
      <c r="AC65" s="2" t="n"/>
      <c r="AD65" s="2" t="n"/>
      <c r="AE65" s="2" t="n"/>
      <c r="AF65" s="2" t="n"/>
      <c r="AG65" s="2" t="n"/>
      <c r="AH65" s="2" t="n"/>
      <c r="AI65" s="2" t="n"/>
      <c r="AJ65" s="2" t="n"/>
      <c r="AK65" s="2" t="n"/>
      <c r="AL65" s="2" t="n"/>
      <c r="AM65" s="2" t="n"/>
      <c r="AN65" s="2" t="n"/>
      <c r="AO65" s="2" t="inlineStr">
        <is>
          <t>AssertionError</t>
        </is>
      </c>
      <c r="AP65" s="2" t="inlineStr">
        <is>
          <t>AssertionError:</t>
        </is>
      </c>
      <c r="AQ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AR65" s="2" t="inlineStr">
        <is>
          <t>AssertionError</t>
        </is>
      </c>
      <c r="AS65" s="2" t="inlineStr">
        <is>
          <t>AssertionError:</t>
        </is>
      </c>
      <c r="AT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AU65" s="2" t="inlineStr">
        <is>
          <t>AssertionError</t>
        </is>
      </c>
      <c r="AV65" s="2" t="inlineStr">
        <is>
          <t>AssertionError:</t>
        </is>
      </c>
      <c r="AW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AX65" s="2" t="inlineStr">
        <is>
          <t>AssertionError</t>
        </is>
      </c>
      <c r="AY65" s="2" t="inlineStr">
        <is>
          <t>AssertionError:</t>
        </is>
      </c>
      <c r="AZ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A65" s="2" t="inlineStr">
        <is>
          <t>AssertionError</t>
        </is>
      </c>
      <c r="BB65" s="2" t="inlineStr">
        <is>
          <t>AssertionError:</t>
        </is>
      </c>
      <c r="BC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D65" s="2" t="inlineStr">
        <is>
          <t>AssertionError</t>
        </is>
      </c>
      <c r="BE65" s="2" t="inlineStr">
        <is>
          <t>AssertionError:</t>
        </is>
      </c>
      <c r="BF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G65" s="2" t="inlineStr">
        <is>
          <t>AssertionError</t>
        </is>
      </c>
      <c r="BH65" s="2" t="inlineStr">
        <is>
          <t>AssertionError:</t>
        </is>
      </c>
      <c r="BI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J65" s="2" t="inlineStr">
        <is>
          <t>AssertionError</t>
        </is>
      </c>
      <c r="BK65" s="2" t="inlineStr">
        <is>
          <t>AssertionError:</t>
        </is>
      </c>
      <c r="BL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M65" s="2" t="inlineStr">
        <is>
          <t>AssertionError</t>
        </is>
      </c>
      <c r="BN65" s="2" t="inlineStr">
        <is>
          <t>AssertionError:</t>
        </is>
      </c>
      <c r="BO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P65" s="2" t="inlineStr">
        <is>
          <t>AssertionError</t>
        </is>
      </c>
      <c r="BQ65" s="2" t="inlineStr">
        <is>
          <t>AssertionError:</t>
        </is>
      </c>
      <c r="BR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S65" s="2" t="inlineStr">
        <is>
          <t>AssertionError</t>
        </is>
      </c>
      <c r="BT65" s="2" t="inlineStr">
        <is>
          <t>AssertionError:</t>
        </is>
      </c>
      <c r="BU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V65" s="2" t="inlineStr">
        <is>
          <t>AssertionError</t>
        </is>
      </c>
      <c r="BW65" s="2" t="inlineStr">
        <is>
          <t>AssertionError:</t>
        </is>
      </c>
      <c r="BX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BY65" s="2" t="inlineStr">
        <is>
          <t>AssertionError</t>
        </is>
      </c>
      <c r="BZ65" s="2" t="inlineStr">
        <is>
          <t>AssertionError:</t>
        </is>
      </c>
      <c r="CA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B65" s="2" t="inlineStr">
        <is>
          <t>AssertionError</t>
        </is>
      </c>
      <c r="CC65" s="2" t="inlineStr">
        <is>
          <t>AssertionError:</t>
        </is>
      </c>
      <c r="CD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E65" s="2" t="inlineStr">
        <is>
          <t>AssertionError</t>
        </is>
      </c>
      <c r="CF65" s="2" t="inlineStr">
        <is>
          <t>AssertionError:</t>
        </is>
      </c>
      <c r="CG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H65" s="2" t="inlineStr">
        <is>
          <t>AssertionError</t>
        </is>
      </c>
      <c r="CI65" s="2" t="inlineStr">
        <is>
          <t>AssertionError:</t>
        </is>
      </c>
      <c r="CJ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K65" s="2" t="inlineStr">
        <is>
          <t>AssertionError</t>
        </is>
      </c>
      <c r="CL65" s="2" t="inlineStr">
        <is>
          <t>AssertionError:</t>
        </is>
      </c>
      <c r="CM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N65" s="2" t="inlineStr">
        <is>
          <t>AssertionError</t>
        </is>
      </c>
      <c r="CO65" s="2" t="inlineStr">
        <is>
          <t>AssertionError:</t>
        </is>
      </c>
      <c r="CP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Q65" s="2" t="inlineStr">
        <is>
          <t>AssertionError</t>
        </is>
      </c>
      <c r="CR65" s="2" t="inlineStr">
        <is>
          <t>AssertionError:</t>
        </is>
      </c>
      <c r="CS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T65" s="2" t="inlineStr">
        <is>
          <t>AssertionError</t>
        </is>
      </c>
      <c r="CU65" s="2" t="inlineStr">
        <is>
          <t>AssertionError:</t>
        </is>
      </c>
      <c r="CV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W65" s="2" t="inlineStr">
        <is>
          <t>AssertionError</t>
        </is>
      </c>
      <c r="CX65" s="2" t="inlineStr">
        <is>
          <t>AssertionError:</t>
        </is>
      </c>
      <c r="CY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CZ65" s="2" t="inlineStr">
        <is>
          <t>AssertionError</t>
        </is>
      </c>
      <c r="DA65" s="2" t="inlineStr">
        <is>
          <t>AssertionError:</t>
        </is>
      </c>
      <c r="DB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DC65" s="2" t="inlineStr">
        <is>
          <t>AssertionError</t>
        </is>
      </c>
      <c r="DD65" s="2" t="inlineStr">
        <is>
          <t>AssertionError:</t>
        </is>
      </c>
      <c r="DE65" s="2"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row>
    <row r="66">
      <c r="A66" s="2" t="inlineStr">
        <is>
          <t>issue_989</t>
        </is>
      </c>
      <c r="B66" s="3" t="inlineStr">
        <is>
          <t>NOT_TESTED</t>
        </is>
      </c>
      <c r="C66" s="3" t="inlineStr">
        <is>
          <t>NOT_TESTED</t>
        </is>
      </c>
      <c r="D66" s="3" t="inlineStr">
        <is>
          <t>NOT_TESTED</t>
        </is>
      </c>
      <c r="E66" s="3" t="inlineStr">
        <is>
          <t>NOT_TESTED</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4" t="inlineStr">
        <is>
          <t>Passed on test</t>
        </is>
      </c>
      <c r="O66" s="4" t="inlineStr">
        <is>
          <t>Passed on test</t>
        </is>
      </c>
      <c r="P66" s="4" t="inlineStr">
        <is>
          <t>Passed on test</t>
        </is>
      </c>
      <c r="Q66" s="4" t="inlineStr">
        <is>
          <t>Passed on test</t>
        </is>
      </c>
      <c r="R66" s="4" t="inlineStr">
        <is>
          <t>Passed on test</t>
        </is>
      </c>
      <c r="S66" s="4" t="inlineStr">
        <is>
          <t>Passed on test</t>
        </is>
      </c>
      <c r="T66" s="4" t="inlineStr">
        <is>
          <t>Passed on test</t>
        </is>
      </c>
      <c r="U66" s="4" t="inlineStr">
        <is>
          <t>Passed on test</t>
        </is>
      </c>
      <c r="V66" s="4" t="inlineStr">
        <is>
          <t>Passed on test</t>
        </is>
      </c>
      <c r="W66" s="4" t="inlineStr">
        <is>
          <t>Passed on test</t>
        </is>
      </c>
      <c r="X66" s="4" t="inlineStr">
        <is>
          <t>Passed on test</t>
        </is>
      </c>
      <c r="Y66" s="4" t="inlineStr">
        <is>
          <t>Passed on test</t>
        </is>
      </c>
      <c r="Z66" s="4" t="inlineStr">
        <is>
          <t>Passed on test</t>
        </is>
      </c>
      <c r="AA66" s="4" t="inlineStr">
        <is>
          <t>Passed on test</t>
        </is>
      </c>
      <c r="AB66" s="4" t="inlineStr">
        <is>
          <t>Passed on test</t>
        </is>
      </c>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issue_994</t>
        </is>
      </c>
      <c r="B67" s="4" t="inlineStr">
        <is>
          <t>Passed on test</t>
        </is>
      </c>
      <c r="C67" s="4" t="inlineStr">
        <is>
          <t>Passed on test</t>
        </is>
      </c>
      <c r="D67" s="4" t="inlineStr">
        <is>
          <t>Passed on test</t>
        </is>
      </c>
      <c r="E67" s="4" t="inlineStr">
        <is>
          <t>Passed on test</t>
        </is>
      </c>
      <c r="F67" s="3" t="inlineStr">
        <is>
          <t>NOT_TESTED</t>
        </is>
      </c>
      <c r="G67" s="3" t="inlineStr">
        <is>
          <t>NOT_TESTED</t>
        </is>
      </c>
      <c r="H67" s="3" t="inlineStr">
        <is>
          <t>NOT_TESTED</t>
        </is>
      </c>
      <c r="I67" s="3" t="inlineStr">
        <is>
          <t>NOT_TESTED</t>
        </is>
      </c>
      <c r="J67" s="3" t="inlineStr">
        <is>
          <t>NOT_TESTED</t>
        </is>
      </c>
      <c r="K67" s="3" t="inlineStr">
        <is>
          <t>NOT_TESTED</t>
        </is>
      </c>
      <c r="L67" s="3" t="inlineStr">
        <is>
          <t>NOT_TESTED</t>
        </is>
      </c>
      <c r="M67" s="3" t="inlineStr">
        <is>
          <t>NOT_TESTED</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issue_1035</t>
        </is>
      </c>
      <c r="B68" s="3" t="inlineStr">
        <is>
          <t>NOT_TESTED</t>
        </is>
      </c>
      <c r="C68" s="3" t="inlineStr">
        <is>
          <t>NOT_TESTED</t>
        </is>
      </c>
      <c r="D68" s="3" t="inlineStr">
        <is>
          <t>NOT_TESTED</t>
        </is>
      </c>
      <c r="E68" s="3" t="inlineStr">
        <is>
          <t>NOT_TESTED</t>
        </is>
      </c>
      <c r="F68" s="5" t="inlineStr">
        <is>
          <t>Failed on test</t>
        </is>
      </c>
      <c r="G68" s="5" t="inlineStr">
        <is>
          <t>Failed on test</t>
        </is>
      </c>
      <c r="H68" s="5" t="inlineStr">
        <is>
          <t>Failed on test</t>
        </is>
      </c>
      <c r="I68" s="5" t="inlineStr">
        <is>
          <t>Failed on test</t>
        </is>
      </c>
      <c r="J68" s="5" t="inlineStr">
        <is>
          <t>Failed on test</t>
        </is>
      </c>
      <c r="K68" s="5" t="inlineStr">
        <is>
          <t>Failed on test</t>
        </is>
      </c>
      <c r="L68" s="5" t="inlineStr">
        <is>
          <t>Failed on test</t>
        </is>
      </c>
      <c r="M68" s="5" t="inlineStr">
        <is>
          <t>Failed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inlineStr">
        <is>
          <t>AssertionError</t>
        </is>
      </c>
      <c r="AP68" s="2" t="inlineStr">
        <is>
          <t>AssertionError: OFFLINE_CONTRACT: Runtime account/session is not a local fake backend</t>
        </is>
      </c>
      <c r="AQ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AR68" s="2" t="inlineStr">
        <is>
          <t>AssertionError</t>
        </is>
      </c>
      <c r="AS68" s="2" t="inlineStr">
        <is>
          <t>AssertionError: OFFLINE_CONTRACT: Runtime account/session is not a local fake backend</t>
        </is>
      </c>
      <c r="AT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AU68" s="2" t="inlineStr">
        <is>
          <t>AssertionError</t>
        </is>
      </c>
      <c r="AV68" s="2" t="inlineStr">
        <is>
          <t>AssertionError: OFFLINE_CONTRACT: Runtime account/session is not a local fake backend</t>
        </is>
      </c>
      <c r="AW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AX68" s="2" t="inlineStr">
        <is>
          <t>AssertionError</t>
        </is>
      </c>
      <c r="AY68" s="2" t="inlineStr">
        <is>
          <t>AssertionError: OFFLINE_CONTRACT: Runtime account/session is not a local fake backend</t>
        </is>
      </c>
      <c r="AZ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BA68" s="2" t="inlineStr">
        <is>
          <t>AssertionError</t>
        </is>
      </c>
      <c r="BB68" s="2" t="inlineStr">
        <is>
          <t>AssertionError: OFFLINE_CONTRACT: Runtime account/session is not a local fake backend</t>
        </is>
      </c>
      <c r="BC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BD68" s="2" t="inlineStr">
        <is>
          <t>AssertionError</t>
        </is>
      </c>
      <c r="BE68" s="2" t="inlineStr">
        <is>
          <t>AssertionError: OFFLINE_CONTRACT: Runtime account/session is not a local fake backend</t>
        </is>
      </c>
      <c r="BF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BG68" s="2" t="inlineStr">
        <is>
          <t>AssertionError</t>
        </is>
      </c>
      <c r="BH68" s="2" t="inlineStr">
        <is>
          <t>AssertionError: OFFLINE_CONTRACT: Runtime account/session is not a local fake backend</t>
        </is>
      </c>
      <c r="BI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BJ68" s="2" t="inlineStr">
        <is>
          <t>AssertionError</t>
        </is>
      </c>
      <c r="BK68" s="2" t="inlineStr">
        <is>
          <t>AssertionError: OFFLINE_CONTRACT: Runtime account/session is not a local fake backend</t>
        </is>
      </c>
      <c r="BL68" s="2"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issue_772</t>
        </is>
      </c>
      <c r="B69" s="4" t="inlineStr">
        <is>
          <t>Passed on test</t>
        </is>
      </c>
      <c r="C69" s="4" t="inlineStr">
        <is>
          <t>Passed on test</t>
        </is>
      </c>
      <c r="D69" s="4" t="inlineStr">
        <is>
          <t>Passed on test</t>
        </is>
      </c>
      <c r="E69" s="4" t="inlineStr">
        <is>
          <t>Passed on test</t>
        </is>
      </c>
      <c r="F69" s="4" t="inlineStr">
        <is>
          <t>Passed on test</t>
        </is>
      </c>
      <c r="G69" s="4" t="inlineStr">
        <is>
          <t>Passed on test</t>
        </is>
      </c>
      <c r="H69" s="4" t="inlineStr">
        <is>
          <t>Passed on test</t>
        </is>
      </c>
      <c r="I69" s="4" t="inlineStr">
        <is>
          <t>Passed on test</t>
        </is>
      </c>
      <c r="J69" s="4" t="inlineStr">
        <is>
          <t>Passed on test</t>
        </is>
      </c>
      <c r="K69" s="4" t="inlineStr">
        <is>
          <t>Passed on test</t>
        </is>
      </c>
      <c r="L69" s="4" t="inlineStr">
        <is>
          <t>Passed on test</t>
        </is>
      </c>
      <c r="M69" s="4" t="inlineStr">
        <is>
          <t>Passed on test</t>
        </is>
      </c>
      <c r="N69" s="3" t="inlineStr">
        <is>
          <t>NOT_TESTED</t>
        </is>
      </c>
      <c r="O69" s="3" t="inlineStr">
        <is>
          <t>NOT_TESTED</t>
        </is>
      </c>
      <c r="P69" s="3" t="inlineStr">
        <is>
          <t>NOT_TESTED</t>
        </is>
      </c>
      <c r="Q69" s="3" t="inlineStr">
        <is>
          <t>NOT_TESTED</t>
        </is>
      </c>
      <c r="R69" s="3" t="inlineStr">
        <is>
          <t>NOT_TESTED</t>
        </is>
      </c>
      <c r="S69" s="3" t="inlineStr">
        <is>
          <t>NOT_TESTED</t>
        </is>
      </c>
      <c r="T69" s="3" t="inlineStr">
        <is>
          <t>NOT_TESTED</t>
        </is>
      </c>
      <c r="U69" s="3" t="inlineStr">
        <is>
          <t>NOT_TESTED</t>
        </is>
      </c>
      <c r="V69" s="3" t="inlineStr">
        <is>
          <t>NOT_TESTED</t>
        </is>
      </c>
      <c r="W69" s="3" t="inlineStr">
        <is>
          <t>NOT_TESTED</t>
        </is>
      </c>
      <c r="X69" s="3" t="inlineStr">
        <is>
          <t>NOT_TESTED</t>
        </is>
      </c>
      <c r="Y69" s="3" t="inlineStr">
        <is>
          <t>NOT_TESTED</t>
        </is>
      </c>
      <c r="Z69" s="3" t="inlineStr">
        <is>
          <t>NOT_TESTED</t>
        </is>
      </c>
      <c r="AA69" s="3" t="inlineStr">
        <is>
          <t>NOT_TESTED</t>
        </is>
      </c>
      <c r="AB69" s="3" t="inlineStr">
        <is>
          <t>NOT_TESTED</t>
        </is>
      </c>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c r="BP69" s="2" t="n"/>
      <c r="BQ69" s="2" t="n"/>
      <c r="BR69" s="2" t="n"/>
      <c r="BS69" s="2" t="n"/>
      <c r="BT69" s="2" t="n"/>
      <c r="BU69" s="2" t="n"/>
      <c r="BV69" s="2" t="n"/>
      <c r="BW69" s="2" t="n"/>
      <c r="BX69" s="2" t="n"/>
      <c r="BY69" s="2" t="n"/>
      <c r="BZ69" s="2" t="n"/>
      <c r="CA69" s="2" t="n"/>
      <c r="CB69" s="2" t="n"/>
      <c r="CC69" s="2" t="n"/>
      <c r="CD69" s="2" t="n"/>
      <c r="CE69" s="2" t="n"/>
      <c r="CF69" s="2" t="n"/>
      <c r="CG69" s="2" t="n"/>
      <c r="CH69" s="2" t="n"/>
      <c r="CI69" s="2" t="n"/>
      <c r="CJ69" s="2" t="n"/>
      <c r="CK69" s="2" t="n"/>
      <c r="CL69" s="2" t="n"/>
      <c r="CM69" s="2" t="n"/>
      <c r="CN69" s="2" t="n"/>
      <c r="CO69" s="2" t="n"/>
      <c r="CP69" s="2" t="n"/>
      <c r="CQ69" s="2" t="n"/>
      <c r="CR69" s="2" t="n"/>
      <c r="CS69" s="2" t="n"/>
      <c r="CT69" s="2" t="n"/>
      <c r="CU69" s="2" t="n"/>
      <c r="CV69" s="2" t="n"/>
      <c r="CW69" s="2" t="n"/>
      <c r="CX69" s="2" t="n"/>
      <c r="CY69" s="2" t="n"/>
      <c r="CZ69" s="2" t="n"/>
      <c r="DA69" s="2" t="n"/>
      <c r="DB69" s="2" t="n"/>
      <c r="DC69" s="2" t="n"/>
      <c r="DD69" s="2" t="n"/>
      <c r="DE69" s="2" t="n"/>
    </row>
    <row r="70">
      <c r="A70" s="2" t="inlineStr">
        <is>
          <t>issue_790</t>
        </is>
      </c>
      <c r="B70" s="3" t="inlineStr">
        <is>
          <t>NOT_TESTED</t>
        </is>
      </c>
      <c r="C70" s="3" t="inlineStr">
        <is>
          <t>NOT_TESTED</t>
        </is>
      </c>
      <c r="D70" s="3" t="inlineStr">
        <is>
          <t>NOT_TESTED</t>
        </is>
      </c>
      <c r="E70" s="3" t="inlineStr">
        <is>
          <t>NOT_TESTED</t>
        </is>
      </c>
      <c r="F70" s="5" t="inlineStr">
        <is>
          <t>Failed on test</t>
        </is>
      </c>
      <c r="G70" s="5" t="inlineStr">
        <is>
          <t>Failed on test</t>
        </is>
      </c>
      <c r="H70" s="5" t="inlineStr">
        <is>
          <t>Failed on test</t>
        </is>
      </c>
      <c r="I70" s="5" t="inlineStr">
        <is>
          <t>Failed on test</t>
        </is>
      </c>
      <c r="J70" s="5" t="inlineStr">
        <is>
          <t>Failed on test</t>
        </is>
      </c>
      <c r="K70" s="5" t="inlineStr">
        <is>
          <t>Failed on test</t>
        </is>
      </c>
      <c r="L70" s="5" t="inlineStr">
        <is>
          <t>Failed on test</t>
        </is>
      </c>
      <c r="M70" s="5" t="inlineStr">
        <is>
          <t>Failed on test</t>
        </is>
      </c>
      <c r="N70" s="5" t="inlineStr">
        <is>
          <t>Failed on test</t>
        </is>
      </c>
      <c r="O70" s="5" t="inlineStr">
        <is>
          <t>Failed on test</t>
        </is>
      </c>
      <c r="P70" s="5" t="inlineStr">
        <is>
          <t>Failed on test</t>
        </is>
      </c>
      <c r="Q70" s="5" t="inlineStr">
        <is>
          <t>Failed on test</t>
        </is>
      </c>
      <c r="R70" s="5" t="inlineStr">
        <is>
          <t>Failed on test</t>
        </is>
      </c>
      <c r="S70" s="5" t="inlineStr">
        <is>
          <t>Failed on test</t>
        </is>
      </c>
      <c r="T70" s="5" t="inlineStr">
        <is>
          <t>Failed on test</t>
        </is>
      </c>
      <c r="U70" s="5" t="inlineStr">
        <is>
          <t>Failed on test</t>
        </is>
      </c>
      <c r="V70" s="5" t="inlineStr">
        <is>
          <t>Failed on test</t>
        </is>
      </c>
      <c r="W70" s="5" t="inlineStr">
        <is>
          <t>Failed on test</t>
        </is>
      </c>
      <c r="X70" s="5" t="inlineStr">
        <is>
          <t>Failed on test</t>
        </is>
      </c>
      <c r="Y70" s="5" t="inlineStr">
        <is>
          <t>Failed on test</t>
        </is>
      </c>
      <c r="Z70" s="5" t="inlineStr">
        <is>
          <t>Failed on test</t>
        </is>
      </c>
      <c r="AA70" s="5" t="inlineStr">
        <is>
          <t>Failed on test</t>
        </is>
      </c>
      <c r="AB70" s="5" t="inlineStr">
        <is>
          <t>Failed on test</t>
        </is>
      </c>
      <c r="AC70" s="2" t="n"/>
      <c r="AD70" s="2" t="n"/>
      <c r="AE70" s="2" t="n"/>
      <c r="AF70" s="2" t="n"/>
      <c r="AG70" s="2" t="n"/>
      <c r="AH70" s="2" t="n"/>
      <c r="AI70" s="2" t="n"/>
      <c r="AJ70" s="2" t="n"/>
      <c r="AK70" s="2" t="n"/>
      <c r="AL70" s="2" t="n"/>
      <c r="AM70" s="2" t="n"/>
      <c r="AN70" s="2" t="n"/>
      <c r="AO70" s="2" t="inlineStr">
        <is>
          <t>AssertionError</t>
        </is>
      </c>
      <c r="AP70" s="2" t="inlineStr">
        <is>
          <t>AssertionError: 1.630715739004526 not less than or equal to 0.7083783495810843 : circuit does not approximate exp(-i H) within the six-step second-order bound</t>
        </is>
      </c>
      <c r="AQ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AR70" s="2" t="inlineStr">
        <is>
          <t>AssertionError</t>
        </is>
      </c>
      <c r="AS70" s="2" t="inlineStr">
        <is>
          <t>AssertionError: 1.630715739004526 not less than or equal to 0.7083783495810843 : circuit does not approximate exp(-i H) within the six-step second-order bound</t>
        </is>
      </c>
      <c r="AT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AU70" s="2" t="inlineStr">
        <is>
          <t>AssertionError</t>
        </is>
      </c>
      <c r="AV70" s="2" t="inlineStr">
        <is>
          <t>AssertionError: 1.630715739004526 not less than or equal to 0.7083783495810843 : circuit does not approximate exp(-i H) within the six-step second-order bound</t>
        </is>
      </c>
      <c r="AW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AX70" s="2" t="inlineStr">
        <is>
          <t>AssertionError</t>
        </is>
      </c>
      <c r="AY70" s="2" t="inlineStr">
        <is>
          <t>AssertionError: 1.630715739004526 not less than or equal to 0.7083783495810843 : circuit does not approximate exp(-i H) within the six-step second-order bound</t>
        </is>
      </c>
      <c r="AZ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A70" s="2" t="inlineStr">
        <is>
          <t>AssertionError</t>
        </is>
      </c>
      <c r="BB70" s="2" t="inlineStr">
        <is>
          <t>AssertionError: 1.630715739004526 not less than or equal to 0.7083783495810843 : circuit does not approximate exp(-i H) within the six-step second-order bound</t>
        </is>
      </c>
      <c r="BC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D70" s="2" t="inlineStr">
        <is>
          <t>AssertionError</t>
        </is>
      </c>
      <c r="BE70" s="2" t="inlineStr">
        <is>
          <t>AssertionError: 1.630715739004526 not less than or equal to 0.7083783495810843 : circuit does not approximate exp(-i H) within the six-step second-order bound</t>
        </is>
      </c>
      <c r="BF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G70" s="2" t="inlineStr">
        <is>
          <t>AssertionError</t>
        </is>
      </c>
      <c r="BH70" s="2" t="inlineStr">
        <is>
          <t>AssertionError: np.float64(1.6307157390045257) not less than or equal to np.float64(0.7083783495810843) : circuit does not approximate exp(-i H) within the six-step second-order bound</t>
        </is>
      </c>
      <c r="BI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J70" s="2" t="inlineStr">
        <is>
          <t>AssertionError</t>
        </is>
      </c>
      <c r="BK70" s="2" t="inlineStr">
        <is>
          <t>AssertionError: np.float64(1.6307157390045257) not less than or equal to np.float64(0.7083783495810843) : circuit does not approximate exp(-i H) within the six-step second-order bound</t>
        </is>
      </c>
      <c r="BL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M70" s="2" t="inlineStr">
        <is>
          <t>AssertionError</t>
        </is>
      </c>
      <c r="BN70" s="2" t="inlineStr">
        <is>
          <t>AssertionError: 1.630715739004526 not less than or equal to 0.7083783495810843 : circuit does not approximate exp(-i H) within the six-step second-order bound</t>
        </is>
      </c>
      <c r="BO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P70" s="2" t="inlineStr">
        <is>
          <t>AssertionError</t>
        </is>
      </c>
      <c r="BQ70" s="2" t="inlineStr">
        <is>
          <t>AssertionError: 1.630715739004526 not less than or equal to 0.7083783495810843 : circuit does not approximate exp(-i H) within the six-step second-order bound</t>
        </is>
      </c>
      <c r="BR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S70" s="2" t="inlineStr">
        <is>
          <t>AssertionError</t>
        </is>
      </c>
      <c r="BT70" s="2" t="inlineStr">
        <is>
          <t>AssertionError: 1.630715739004526 not less than or equal to 0.7083783495810843 : circuit does not approximate exp(-i H) within the six-step second-order bound</t>
        </is>
      </c>
      <c r="BU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V70" s="2" t="inlineStr">
        <is>
          <t>AssertionError</t>
        </is>
      </c>
      <c r="BW70" s="2" t="inlineStr">
        <is>
          <t>AssertionError: np.float64(1.6307157390045257) not less than or equal to np.float64(0.7083783495810843) : circuit does not approximate exp(-i H) within the six-step second-order bound</t>
        </is>
      </c>
      <c r="BX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BY70" s="2" t="inlineStr">
        <is>
          <t>AssertionError</t>
        </is>
      </c>
      <c r="BZ70" s="2" t="inlineStr">
        <is>
          <t>AssertionError: np.float64(1.6307157390045257) not less than or equal to np.float64(0.7083783495810843) : circuit does not approximate exp(-i H) within the six-step second-order bound</t>
        </is>
      </c>
      <c r="CA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B70" s="2" t="inlineStr">
        <is>
          <t>AssertionError</t>
        </is>
      </c>
      <c r="CC70" s="2" t="inlineStr">
        <is>
          <t>AssertionError: np.float64(1.6307157390045257) not less than or equal to np.float64(0.7083783495810843) : circuit does not approximate exp(-i H) within the six-step second-order bound</t>
        </is>
      </c>
      <c r="CD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E70" s="2" t="inlineStr">
        <is>
          <t>AssertionError</t>
        </is>
      </c>
      <c r="CF70" s="2" t="inlineStr">
        <is>
          <t>AssertionError: np.float64(1.6307157390045257) not less than or equal to np.float64(0.7083783495810843) : circuit does not approximate exp(-i H) within the six-step second-order bound</t>
        </is>
      </c>
      <c r="CG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H70" s="2" t="inlineStr">
        <is>
          <t>AssertionError</t>
        </is>
      </c>
      <c r="CI70" s="2" t="inlineStr">
        <is>
          <t>AssertionError: np.float64(1.6307157390045257) not less than or equal to np.float64(0.7083783495810843) : circuit does not approximate exp(-i H) within the six-step second-order bound</t>
        </is>
      </c>
      <c r="CJ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K70" s="2" t="inlineStr">
        <is>
          <t>AssertionError</t>
        </is>
      </c>
      <c r="CL70" s="2" t="inlineStr">
        <is>
          <t>AssertionError: np.float64(1.6307157390045257) not less than or equal to np.float64(0.7083783495810843) : circuit does not approximate exp(-i H) within the six-step second-order bound</t>
        </is>
      </c>
      <c r="CM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N70" s="2" t="inlineStr">
        <is>
          <t>AssertionError</t>
        </is>
      </c>
      <c r="CO70" s="2" t="inlineStr">
        <is>
          <t>AssertionError: np.float64(1.630715739004526) not less than or equal to np.float64(0.7083783495810843) : circuit does not approximate exp(-i H) within the six-step second-order bound</t>
        </is>
      </c>
      <c r="CP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Q70" s="2" t="inlineStr">
        <is>
          <t>AssertionError</t>
        </is>
      </c>
      <c r="CR70" s="2" t="inlineStr">
        <is>
          <t>AssertionError: np.float64(1.630715739004526) not less than or equal to np.float64(0.7083783495810843) : circuit does not approximate exp(-i H) within the six-step second-order bound</t>
        </is>
      </c>
      <c r="CS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T70" s="2" t="inlineStr">
        <is>
          <t>AssertionError</t>
        </is>
      </c>
      <c r="CU70" s="2" t="inlineStr">
        <is>
          <t>AssertionError: np.float64(1.630715739004526) not less than or equal to np.float64(0.7083783495810843) : circuit does not approximate exp(-i H) within the six-step second-order bound</t>
        </is>
      </c>
      <c r="CV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W70" s="2" t="inlineStr">
        <is>
          <t>AssertionError</t>
        </is>
      </c>
      <c r="CX70" s="2" t="inlineStr">
        <is>
          <t>AssertionError: np.float64(1.630715739004526) not less than or equal to np.float64(0.7083783495810843) : circuit does not approximate exp(-i H) within the six-step second-order bound</t>
        </is>
      </c>
      <c r="CY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CZ70" s="2" t="inlineStr">
        <is>
          <t>AssertionError</t>
        </is>
      </c>
      <c r="DA70" s="2" t="inlineStr">
        <is>
          <t>AssertionError: np.float64(1.630715739004526) not less than or equal to np.float64(0.7083783495810843) : circuit does not approximate exp(-i H) within the six-step second-order bound</t>
        </is>
      </c>
      <c r="DB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DC70" s="2" t="inlineStr">
        <is>
          <t>AssertionError</t>
        </is>
      </c>
      <c r="DD70" s="2" t="inlineStr">
        <is>
          <t>AssertionError: np.float64(1.630715739004526) not less than or equal to np.float64(0.7083783495810843) : circuit does not approximate exp(-i H) within the six-step second-order bound</t>
        </is>
      </c>
      <c r="DE70" s="2"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row>
    <row r="71">
      <c r="A71" s="2" t="inlineStr">
        <is>
          <t>issue_827</t>
        </is>
      </c>
      <c r="B71" s="4" t="inlineStr">
        <is>
          <t>Passed on test</t>
        </is>
      </c>
      <c r="C71" s="4" t="inlineStr">
        <is>
          <t>Passed on test</t>
        </is>
      </c>
      <c r="D71" s="4" t="inlineStr">
        <is>
          <t>Passed on test</t>
        </is>
      </c>
      <c r="E71" s="4" t="inlineStr">
        <is>
          <t>Passed on test</t>
        </is>
      </c>
      <c r="F71" s="4" t="inlineStr">
        <is>
          <t>Passed on test</t>
        </is>
      </c>
      <c r="G71" s="4" t="inlineStr">
        <is>
          <t>Passed on test</t>
        </is>
      </c>
      <c r="H71" s="4" t="inlineStr">
        <is>
          <t>Passed on test</t>
        </is>
      </c>
      <c r="I71" s="4" t="inlineStr">
        <is>
          <t>Passed on test</t>
        </is>
      </c>
      <c r="J71" s="4" t="inlineStr">
        <is>
          <t>Passed on test</t>
        </is>
      </c>
      <c r="K71" s="4" t="inlineStr">
        <is>
          <t>Passed on test</t>
        </is>
      </c>
      <c r="L71" s="4" t="inlineStr">
        <is>
          <t>Passed on test</t>
        </is>
      </c>
      <c r="M71" s="4" t="inlineStr">
        <is>
          <t>Passed on test</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2" t="n"/>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issue_858</t>
        </is>
      </c>
      <c r="B72" s="3" t="inlineStr">
        <is>
          <t>NOT_TESTED</t>
        </is>
      </c>
      <c r="C72" s="3" t="inlineStr">
        <is>
          <t>NOT_TESTED</t>
        </is>
      </c>
      <c r="D72" s="3" t="inlineStr">
        <is>
          <t>NOT_TESTED</t>
        </is>
      </c>
      <c r="E72" s="3" t="inlineStr">
        <is>
          <t>NOT_TESTED</t>
        </is>
      </c>
      <c r="F72" s="6" t="inlineStr">
        <is>
          <t>Runtime error</t>
        </is>
      </c>
      <c r="G72" s="6" t="inlineStr">
        <is>
          <t>Runtime error</t>
        </is>
      </c>
      <c r="H72" s="6" t="inlineStr">
        <is>
          <t>Runtime error</t>
        </is>
      </c>
      <c r="I72" s="6" t="inlineStr">
        <is>
          <t>Runtime error</t>
        </is>
      </c>
      <c r="J72" s="6" t="inlineStr">
        <is>
          <t>Runtime error</t>
        </is>
      </c>
      <c r="K72" s="6" t="inlineStr">
        <is>
          <t>Runtime error</t>
        </is>
      </c>
      <c r="L72" s="6" t="inlineStr">
        <is>
          <t>Runtime error</t>
        </is>
      </c>
      <c r="M72" s="6" t="inlineStr">
        <is>
          <t>Runtime error</t>
        </is>
      </c>
      <c r="N72" s="3" t="inlineStr">
        <is>
          <t>NOT_TESTED</t>
        </is>
      </c>
      <c r="O72" s="3" t="inlineStr">
        <is>
          <t>NOT_TESTED</t>
        </is>
      </c>
      <c r="P72" s="3" t="inlineStr">
        <is>
          <t>NOT_TESTED</t>
        </is>
      </c>
      <c r="Q72" s="3" t="inlineStr">
        <is>
          <t>NOT_TESTED</t>
        </is>
      </c>
      <c r="R72" s="3" t="inlineStr">
        <is>
          <t>NOT_TESTED</t>
        </is>
      </c>
      <c r="S72" s="3" t="inlineStr">
        <is>
          <t>NOT_TESTED</t>
        </is>
      </c>
      <c r="T72" s="3" t="inlineStr">
        <is>
          <t>NOT_TESTED</t>
        </is>
      </c>
      <c r="U72" s="3" t="inlineStr">
        <is>
          <t>NOT_TESTED</t>
        </is>
      </c>
      <c r="V72" s="3" t="inlineStr">
        <is>
          <t>NOT_TESTED</t>
        </is>
      </c>
      <c r="W72" s="3" t="inlineStr">
        <is>
          <t>NOT_TESTED</t>
        </is>
      </c>
      <c r="X72" s="3" t="inlineStr">
        <is>
          <t>NOT_TESTED</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inlineStr">
        <is>
          <t>ModuleNotFoundError</t>
        </is>
      </c>
      <c r="AP72" s="2" t="inlineStr">
        <is>
          <t>ModuleNotFoundError: No module named 'qiskit_ibm_runtime'</t>
        </is>
      </c>
      <c r="AQ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AR72" s="2" t="inlineStr">
        <is>
          <t>ModuleNotFoundError</t>
        </is>
      </c>
      <c r="AS72" s="2" t="inlineStr">
        <is>
          <t>ModuleNotFoundError: No module named 'qiskit_ibm_runtime'</t>
        </is>
      </c>
      <c r="AT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AU72" s="2" t="inlineStr">
        <is>
          <t>ModuleNotFoundError</t>
        </is>
      </c>
      <c r="AV72" s="2" t="inlineStr">
        <is>
          <t>ModuleNotFoundError: No module named 'qiskit_ibm_runtime'</t>
        </is>
      </c>
      <c r="AW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AX72" s="2" t="inlineStr">
        <is>
          <t>ModuleNotFoundError</t>
        </is>
      </c>
      <c r="AY72" s="2" t="inlineStr">
        <is>
          <t>ModuleNotFoundError: No module named 'qiskit_ibm_runtime'</t>
        </is>
      </c>
      <c r="AZ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BA72" s="2" t="inlineStr">
        <is>
          <t>ModuleNotFoundError</t>
        </is>
      </c>
      <c r="BB72" s="2" t="inlineStr">
        <is>
          <t>ModuleNotFoundError: No module named 'qiskit_ibm_runtime'</t>
        </is>
      </c>
      <c r="BC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BD72" s="2" t="inlineStr">
        <is>
          <t>ModuleNotFoundError</t>
        </is>
      </c>
      <c r="BE72" s="2" t="inlineStr">
        <is>
          <t>ModuleNotFoundError: No module named 'qiskit_ibm_runtime'</t>
        </is>
      </c>
      <c r="BF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BG72" s="2" t="inlineStr">
        <is>
          <t>ModuleNotFoundError</t>
        </is>
      </c>
      <c r="BH72" s="2" t="inlineStr">
        <is>
          <t>ModuleNotFoundError: No module named 'qiskit_ibm_runtime'</t>
        </is>
      </c>
      <c r="BI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BJ72" s="2" t="inlineStr">
        <is>
          <t>ModuleNotFoundError</t>
        </is>
      </c>
      <c r="BK72" s="2" t="inlineStr">
        <is>
          <t>ModuleNotFoundError: No module named 'qiskit_ibm_runtime'</t>
        </is>
      </c>
      <c r="BL72" s="2"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issue_901</t>
        </is>
      </c>
      <c r="B73" s="3" t="inlineStr">
        <is>
          <t>NOT_TESTED</t>
        </is>
      </c>
      <c r="C73" s="3" t="inlineStr">
        <is>
          <t>NOT_TESTED</t>
        </is>
      </c>
      <c r="D73" s="3" t="inlineStr">
        <is>
          <t>NOT_TESTED</t>
        </is>
      </c>
      <c r="E73" s="3" t="inlineStr">
        <is>
          <t>NOT_TESTED</t>
        </is>
      </c>
      <c r="F73" s="5" t="inlineStr">
        <is>
          <t>Failed on test</t>
        </is>
      </c>
      <c r="G73" s="5" t="inlineStr">
        <is>
          <t>Failed on test</t>
        </is>
      </c>
      <c r="H73" s="5" t="inlineStr">
        <is>
          <t>Failed on test</t>
        </is>
      </c>
      <c r="I73" s="5" t="inlineStr">
        <is>
          <t>Failed on test</t>
        </is>
      </c>
      <c r="J73" s="5" t="inlineStr">
        <is>
          <t>Failed on test</t>
        </is>
      </c>
      <c r="K73" s="5" t="inlineStr">
        <is>
          <t>Failed on test</t>
        </is>
      </c>
      <c r="L73" s="5" t="inlineStr">
        <is>
          <t>Failed on test</t>
        </is>
      </c>
      <c r="M73" s="5" t="inlineStr">
        <is>
          <t>Failed on test</t>
        </is>
      </c>
      <c r="N73" s="5" t="inlineStr">
        <is>
          <t>Failed on test</t>
        </is>
      </c>
      <c r="O73" s="5" t="inlineStr">
        <is>
          <t>Failed on test</t>
        </is>
      </c>
      <c r="P73" s="5" t="inlineStr">
        <is>
          <t>Failed on test</t>
        </is>
      </c>
      <c r="Q73" s="5" t="inlineStr">
        <is>
          <t>Failed on test</t>
        </is>
      </c>
      <c r="R73" s="5" t="inlineStr">
        <is>
          <t>Failed on test</t>
        </is>
      </c>
      <c r="S73" s="5" t="inlineStr">
        <is>
          <t>Failed on test</t>
        </is>
      </c>
      <c r="T73" s="5" t="inlineStr">
        <is>
          <t>Failed on test</t>
        </is>
      </c>
      <c r="U73" s="5" t="inlineStr">
        <is>
          <t>Failed on test</t>
        </is>
      </c>
      <c r="V73" s="5" t="inlineStr">
        <is>
          <t>Failed on test</t>
        </is>
      </c>
      <c r="W73" s="5" t="inlineStr">
        <is>
          <t>Failed on test</t>
        </is>
      </c>
      <c r="X73" s="5" t="inlineStr">
        <is>
          <t>Failed on test</t>
        </is>
      </c>
      <c r="Y73" s="3" t="inlineStr">
        <is>
          <t>NOT_TESTED</t>
        </is>
      </c>
      <c r="Z73" s="3" t="inlineStr">
        <is>
          <t>NOT_TESTED</t>
        </is>
      </c>
      <c r="AA73" s="3" t="inlineStr">
        <is>
          <t>NOT_TESTED</t>
        </is>
      </c>
      <c r="AB73" s="3" t="inlineStr">
        <is>
          <t>NOT_TESTED</t>
        </is>
      </c>
      <c r="AC73" s="2" t="n"/>
      <c r="AD73" s="2" t="n"/>
      <c r="AE73" s="2" t="n"/>
      <c r="AF73" s="2" t="n"/>
      <c r="AG73" s="2" t="n"/>
      <c r="AH73" s="2" t="n"/>
      <c r="AI73" s="2" t="n"/>
      <c r="AJ73" s="2" t="n"/>
      <c r="AK73" s="2" t="n"/>
      <c r="AL73" s="2" t="n"/>
      <c r="AM73" s="2" t="n"/>
      <c r="AN73" s="2" t="n"/>
      <c r="AO73" s="2" t="inlineStr">
        <is>
          <t>AssertionError</t>
        </is>
      </c>
      <c r="AP73" s="2" t="inlineStr">
        <is>
          <t>AssertionError: {'s'} is not false : Output still contains gates outside {H, T, CNOT, I}: s</t>
        </is>
      </c>
      <c r="AQ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AR73" s="2" t="inlineStr">
        <is>
          <t>AssertionError</t>
        </is>
      </c>
      <c r="AS73" s="2" t="inlineStr">
        <is>
          <t>AssertionError: {'s'} is not false : Output still contains gates outside {H, T, CNOT, I}: s</t>
        </is>
      </c>
      <c r="AT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AU73" s="2" t="inlineStr">
        <is>
          <t>AssertionError</t>
        </is>
      </c>
      <c r="AV73" s="2" t="inlineStr">
        <is>
          <t>AssertionError: {'s'} is not false : Output still contains gates outside {H, T, CNOT, I}: s</t>
        </is>
      </c>
      <c r="AW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AX73" s="2" t="inlineStr">
        <is>
          <t>AssertionError</t>
        </is>
      </c>
      <c r="AY73" s="2" t="inlineStr">
        <is>
          <t>AssertionError: {'s'} is not false : Output still contains gates outside {H, T, CNOT, I}: s</t>
        </is>
      </c>
      <c r="AZ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A73" s="2" t="inlineStr">
        <is>
          <t>AssertionError</t>
        </is>
      </c>
      <c r="BB73" s="2" t="inlineStr">
        <is>
          <t>AssertionError: {'s'} is not false : Output still contains gates outside {H, T, CNOT, I}: s</t>
        </is>
      </c>
      <c r="BC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D73" s="2" t="inlineStr">
        <is>
          <t>AssertionError</t>
        </is>
      </c>
      <c r="BE73" s="2" t="inlineStr">
        <is>
          <t>AssertionError: {'s'} is not false : Output still contains gates outside {H, T, CNOT, I}: s</t>
        </is>
      </c>
      <c r="BF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G73" s="2" t="inlineStr">
        <is>
          <t>AssertionError</t>
        </is>
      </c>
      <c r="BH73" s="2" t="inlineStr">
        <is>
          <t>AssertionError: {'s'} is not false : Output still contains gates outside {H, T, CNOT, I}: s</t>
        </is>
      </c>
      <c r="BI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J73" s="2" t="inlineStr">
        <is>
          <t>AssertionError</t>
        </is>
      </c>
      <c r="BK73" s="2" t="inlineStr">
        <is>
          <t>AssertionError: {'s'} is not false : Output still contains gates outside {H, T, CNOT, I}: s</t>
        </is>
      </c>
      <c r="BL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M73" s="2" t="inlineStr">
        <is>
          <t>AssertionError</t>
        </is>
      </c>
      <c r="BN73" s="2" t="inlineStr">
        <is>
          <t>AssertionError: {'s'} is not false : Output still contains gates outside {H, T, CNOT, I}: s</t>
        </is>
      </c>
      <c r="BO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P73" s="2" t="inlineStr">
        <is>
          <t>AssertionError</t>
        </is>
      </c>
      <c r="BQ73" s="2" t="inlineStr">
        <is>
          <t>AssertionError: {'s'} is not false : Output still contains gates outside {H, T, CNOT, I}: s</t>
        </is>
      </c>
      <c r="BR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S73" s="2" t="inlineStr">
        <is>
          <t>AssertionError</t>
        </is>
      </c>
      <c r="BT73" s="2" t="inlineStr">
        <is>
          <t>AssertionError: {'s'} is not false : Output still contains gates outside {H, T, CNOT, I}: s</t>
        </is>
      </c>
      <c r="BU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V73" s="2" t="inlineStr">
        <is>
          <t>AssertionError</t>
        </is>
      </c>
      <c r="BW73" s="2" t="inlineStr">
        <is>
          <t>AssertionError: {'s'} is not false : Output still contains gates outside {H, T, CNOT, I}: s</t>
        </is>
      </c>
      <c r="BX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BY73" s="2" t="inlineStr">
        <is>
          <t>AssertionError</t>
        </is>
      </c>
      <c r="BZ73" s="2" t="inlineStr">
        <is>
          <t>AssertionError: {'s'} is not false : Output still contains gates outside {H, T, CNOT, I}: s</t>
        </is>
      </c>
      <c r="CA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B73" s="2" t="inlineStr">
        <is>
          <t>AssertionError</t>
        </is>
      </c>
      <c r="CC73" s="2" t="inlineStr">
        <is>
          <t>AssertionError: {'s'} is not false : Output still contains gates outside {H, T, CNOT, I}: s</t>
        </is>
      </c>
      <c r="CD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E73" s="2" t="inlineStr">
        <is>
          <t>AssertionError</t>
        </is>
      </c>
      <c r="CF73" s="2" t="inlineStr">
        <is>
          <t>AssertionError: {'s'} is not false : Output still contains gates outside {H, T, CNOT, I}: s</t>
        </is>
      </c>
      <c r="CG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H73" s="2" t="inlineStr">
        <is>
          <t>AssertionError</t>
        </is>
      </c>
      <c r="CI73" s="2" t="inlineStr">
        <is>
          <t>AssertionError: {'s'} is not false : Output still contains gates outside {H, T, CNOT, I}: s</t>
        </is>
      </c>
      <c r="CJ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K73" s="2" t="inlineStr">
        <is>
          <t>AssertionError</t>
        </is>
      </c>
      <c r="CL73" s="2" t="inlineStr">
        <is>
          <t>AssertionError: {'s'} is not false : Output still contains gates outside {H, T, CNOT, I}: s</t>
        </is>
      </c>
      <c r="CM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N73" s="2" t="inlineStr">
        <is>
          <t>AssertionError</t>
        </is>
      </c>
      <c r="CO73" s="2" t="inlineStr">
        <is>
          <t>AssertionError: {'s'} is not false : Output still contains gates outside {H, T, CNOT, I}: s</t>
        </is>
      </c>
      <c r="CP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Q73" s="2" t="inlineStr">
        <is>
          <t>AssertionError</t>
        </is>
      </c>
      <c r="CR73" s="2" t="inlineStr">
        <is>
          <t>AssertionError: {'s'} is not false : Output still contains gates outside {H, T, CNOT, I}: s</t>
        </is>
      </c>
      <c r="CS73" s="2"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CT73" s="2" t="n"/>
      <c r="CU73" s="2" t="n"/>
      <c r="CV73" s="2" t="n"/>
      <c r="CW73" s="2" t="n"/>
      <c r="CX73" s="2" t="n"/>
      <c r="CY73" s="2" t="n"/>
      <c r="CZ73" s="2" t="n"/>
      <c r="DA73" s="2" t="n"/>
      <c r="DB73" s="2" t="n"/>
      <c r="DC73" s="2" t="n"/>
      <c r="DD73" s="2" t="n"/>
      <c r="DE73" s="2" t="n"/>
    </row>
    <row r="74">
      <c r="A74" s="2" t="inlineStr">
        <is>
          <t>issue_921</t>
        </is>
      </c>
      <c r="B74" s="6" t="inlineStr">
        <is>
          <t>Runtime error</t>
        </is>
      </c>
      <c r="C74" s="6" t="inlineStr">
        <is>
          <t>Runtime error</t>
        </is>
      </c>
      <c r="D74" s="6" t="inlineStr">
        <is>
          <t>Runtime error</t>
        </is>
      </c>
      <c r="E74" s="6" t="inlineStr">
        <is>
          <t>Runtime error</t>
        </is>
      </c>
      <c r="F74" s="3" t="inlineStr">
        <is>
          <t>NOT_TESTED</t>
        </is>
      </c>
      <c r="G74" s="3" t="inlineStr">
        <is>
          <t>NOT_TESTED</t>
        </is>
      </c>
      <c r="H74" s="3" t="inlineStr">
        <is>
          <t>NOT_TESTED</t>
        </is>
      </c>
      <c r="I74" s="3" t="inlineStr">
        <is>
          <t>NOT_TESTED</t>
        </is>
      </c>
      <c r="J74" s="3" t="inlineStr">
        <is>
          <t>NOT_TESTED</t>
        </is>
      </c>
      <c r="K74" s="3" t="inlineStr">
        <is>
          <t>NOT_TESTED</t>
        </is>
      </c>
      <c r="L74" s="3" t="inlineStr">
        <is>
          <t>NOT_TESTED</t>
        </is>
      </c>
      <c r="M74" s="3" t="inlineStr">
        <is>
          <t>NOT_TESTED</t>
        </is>
      </c>
      <c r="N74" s="3" t="inlineStr">
        <is>
          <t>NOT_TESTED</t>
        </is>
      </c>
      <c r="O74" s="3" t="inlineStr">
        <is>
          <t>NOT_TESTED</t>
        </is>
      </c>
      <c r="P74" s="3" t="inlineStr">
        <is>
          <t>NOT_TESTED</t>
        </is>
      </c>
      <c r="Q74" s="3" t="inlineStr">
        <is>
          <t>NOT_TESTED</t>
        </is>
      </c>
      <c r="R74" s="3" t="inlineStr">
        <is>
          <t>NOT_TESTED</t>
        </is>
      </c>
      <c r="S74" s="3" t="inlineStr">
        <is>
          <t>NOT_TESTED</t>
        </is>
      </c>
      <c r="T74" s="3" t="inlineStr">
        <is>
          <t>NOT_TESTED</t>
        </is>
      </c>
      <c r="U74" s="3" t="inlineStr">
        <is>
          <t>NOT_TESTED</t>
        </is>
      </c>
      <c r="V74" s="3" t="inlineStr">
        <is>
          <t>NOT_TESTED</t>
        </is>
      </c>
      <c r="W74" s="3" t="inlineStr">
        <is>
          <t>NOT_TESTED</t>
        </is>
      </c>
      <c r="X74" s="3" t="inlineStr">
        <is>
          <t>NOT_TESTED</t>
        </is>
      </c>
      <c r="Y74" s="3" t="inlineStr">
        <is>
          <t>NOT_TESTED</t>
        </is>
      </c>
      <c r="Z74" s="3" t="inlineStr">
        <is>
          <t>NOT_TESTED</t>
        </is>
      </c>
      <c r="AA74" s="3" t="inlineStr">
        <is>
          <t>NOT_TESTED</t>
        </is>
      </c>
      <c r="AB74" s="3" t="inlineStr">
        <is>
          <t>NOT_TESTED</t>
        </is>
      </c>
      <c r="AC74" s="2" t="inlineStr">
        <is>
          <t>ImportError</t>
        </is>
      </c>
      <c r="AD74" s="2" t="inlineStr">
        <is>
          <t>ImportError: cannot import name 'run_algorithm' from 'qiskit.aqua' (C:\qiskit_envs\q0250\lib\site-packages\qiskit\aqua\__init__.py)</t>
        </is>
      </c>
      <c r="AE74" s="2" t="inlineStr">
        <is>
          <t>The LLM answered NO BUG, saying the code already uses the valid Aqua 0.6 API, and returned it unchanged, but run_algorithm can't be imported from qiskit.aqua (ImportError). Same answer as both luna models; claude-opus-5-5 rewrote it with SparsePauliOp and NumPy and passed.</t>
        </is>
      </c>
      <c r="AF74" s="2" t="inlineStr">
        <is>
          <t>ImportError</t>
        </is>
      </c>
      <c r="AG74" s="2" t="inlineStr">
        <is>
          <t>ImportError: cannot import name 'run_algorithm' from 'qiskit.aqua' (C:\qiskit_envs\q0251\lib\site-packages\qiskit\aqua\__init__.py)</t>
        </is>
      </c>
      <c r="AH74" s="2" t="inlineStr">
        <is>
          <t>The LLM answered NO BUG, saying the code already uses the valid Aqua 0.6 API, and returned it unchanged, but run_algorithm can't be imported from qiskit.aqua (ImportError). Same answer as both luna models; claude-opus-5-5 rewrote it with SparsePauliOp and NumPy and passed.</t>
        </is>
      </c>
      <c r="AI74" s="2" t="inlineStr">
        <is>
          <t>ImportError</t>
        </is>
      </c>
      <c r="AJ74" s="2" t="inlineStr">
        <is>
          <t>ImportError: cannot import name 'run_algorithm' from 'qiskit.aqua' (C:\qiskit_envs\q0252\lib\site-packages\qiskit\aqua\__init__.py)</t>
        </is>
      </c>
      <c r="AK74" s="2" t="inlineStr">
        <is>
          <t>The LLM answered NO BUG, saying the code already uses the valid Aqua 0.6 API, and returned it unchanged, but run_algorithm can't be imported from qiskit.aqua (ImportError). Same answer as both luna models; claude-opus-5-5 rewrote it with SparsePauliOp and NumPy and passed.</t>
        </is>
      </c>
      <c r="AL74" s="2" t="inlineStr">
        <is>
          <t>ImportError</t>
        </is>
      </c>
      <c r="AM74" s="2" t="inlineStr">
        <is>
          <t>ImportError: cannot import name 'run_algorithm' from 'qiskit.aqua' (C:\qiskit_envs\q0253\lib\site-packages\qiskit\aqua\__init__.py)</t>
        </is>
      </c>
      <c r="AN74" s="2" t="inlineStr">
        <is>
          <t>The LLM answered NO BUG, saying the code already uses the valid Aqua 0.6 API, and returned it unchanged, but run_algorithm can't be imported from qiskit.aqua (ImportError). Same answer as both luna models; claude-opus-5-5 rewrote it with SparsePauliOp and NumPy and passed.</t>
        </is>
      </c>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n"/>
      <c r="CA74" s="2" t="n"/>
      <c r="CB74" s="2" t="n"/>
      <c r="CC74" s="2" t="n"/>
      <c r="CD74" s="2" t="n"/>
      <c r="CE74" s="2" t="n"/>
      <c r="CF74" s="2" t="n"/>
      <c r="CG74" s="2" t="n"/>
      <c r="CH74" s="2" t="n"/>
      <c r="CI74" s="2" t="n"/>
      <c r="CJ74" s="2" t="n"/>
      <c r="CK74" s="2" t="n"/>
      <c r="CL74" s="2" t="n"/>
      <c r="CM74" s="2" t="n"/>
      <c r="CN74" s="2" t="n"/>
      <c r="CO74" s="2" t="n"/>
      <c r="CP74" s="2" t="n"/>
      <c r="CQ74" s="2" t="n"/>
      <c r="CR74" s="2" t="n"/>
      <c r="CS74" s="2" t="n"/>
      <c r="CT74" s="2" t="n"/>
      <c r="CU74" s="2" t="n"/>
      <c r="CV74" s="2" t="n"/>
      <c r="CW74" s="2" t="n"/>
      <c r="CX74" s="2" t="n"/>
      <c r="CY74" s="2" t="n"/>
      <c r="CZ74" s="2" t="n"/>
      <c r="DA74" s="2" t="n"/>
      <c r="DB74" s="2" t="n"/>
      <c r="DC74" s="2" t="n"/>
      <c r="DD74" s="2" t="n"/>
      <c r="DE7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7"/>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(claude-sonnet-5-5), judged by each case's test (test_new.py / test-new.py for issue_021_se, issue_058_se and issue_061; test.py for the rest) Since 9 Oct 2026, the test.py of 12 over-specific cases holds an updated test that replaced the old one.</t>
        </is>
      </c>
    </row>
    <row r="2">
      <c r="A2" t="inlineStr">
        <is>
          <t>All numbers below are formulas over the Summary sheet, so they update if Summary changes. batch 1 = Summary rows 2-11, batch 2 = Summary rows 12-21, batch 3 = Summary rows 22-31, batch 4 = Summary rows 32-41, batch 5 = Summary rows 42-51, batch 6 = Summary rows 52-61, batch 7 = Summary rows 62-68, batch 8 = Summary rows 69-74.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COUNTIF(Summary!$B$2:$AB$74,"Passed on test")</f>
        <v/>
      </c>
      <c r="C6" s="9">
        <f>IF($B$9=0,0,B6/$B$9)</f>
        <v/>
      </c>
      <c r="D6" s="2">
        <f>COUNTIF(Summary!$B$2:$AB$11,"Passed on test")</f>
        <v/>
      </c>
      <c r="E6" s="9">
        <f>IF(D$9=0,0,D6/D$9)</f>
        <v/>
      </c>
      <c r="F6" s="2">
        <f>COUNTIF(Summary!$B$12:$AB$21,"Passed on test")</f>
        <v/>
      </c>
      <c r="G6" s="9">
        <f>IF(F$9=0,0,F6/F$9)</f>
        <v/>
      </c>
      <c r="H6" s="2">
        <f>COUNTIF(Summary!$B$22:$AB$31,"Passed on test")</f>
        <v/>
      </c>
      <c r="I6" s="9">
        <f>IF(H$9=0,0,H6/H$9)</f>
        <v/>
      </c>
      <c r="J6" s="2">
        <f>COUNTIF(Summary!$B$32:$AB$41,"Passed on test")</f>
        <v/>
      </c>
      <c r="K6" s="9">
        <f>IF(J$9=0,0,J6/J$9)</f>
        <v/>
      </c>
      <c r="L6" s="2">
        <f>COUNTIF(Summary!$B$42:$AB$51,"Passed on test")</f>
        <v/>
      </c>
      <c r="M6" s="9">
        <f>IF(L$9=0,0,L6/L$9)</f>
        <v/>
      </c>
      <c r="N6" s="2">
        <f>COUNTIF(Summary!$B$52:$AB$61,"Passed on test")</f>
        <v/>
      </c>
      <c r="O6" s="9">
        <f>IF(N$9=0,0,N6/N$9)</f>
        <v/>
      </c>
      <c r="P6" s="2">
        <f>COUNTIF(Summary!$B$62:$AB$68,"Passed on test")</f>
        <v/>
      </c>
      <c r="Q6" s="9">
        <f>IF(P$9=0,0,P6/P$9)</f>
        <v/>
      </c>
      <c r="R6" s="2">
        <f>COUNTIF(Summary!$B$69:$AB$74,"Passed on test")</f>
        <v/>
      </c>
      <c r="S6" s="9">
        <f>IF(R$9=0,0,R6/R$9)</f>
        <v/>
      </c>
    </row>
    <row r="7">
      <c r="A7" s="10" t="inlineStr">
        <is>
          <t>Failed on test</t>
        </is>
      </c>
      <c r="B7" s="2">
        <f>COUNTIF(Summary!$B$2:$AB$74,"Failed on test")</f>
        <v/>
      </c>
      <c r="C7" s="9">
        <f>IF($B$9=0,0,B7/$B$9)</f>
        <v/>
      </c>
      <c r="D7" s="2">
        <f>COUNTIF(Summary!$B$2:$AB$11,"Failed on test")</f>
        <v/>
      </c>
      <c r="E7" s="9">
        <f>IF(D$9=0,0,D7/D$9)</f>
        <v/>
      </c>
      <c r="F7" s="2">
        <f>COUNTIF(Summary!$B$12:$AB$21,"Failed on test")</f>
        <v/>
      </c>
      <c r="G7" s="9">
        <f>IF(F$9=0,0,F7/F$9)</f>
        <v/>
      </c>
      <c r="H7" s="2">
        <f>COUNTIF(Summary!$B$22:$AB$31,"Failed on test")</f>
        <v/>
      </c>
      <c r="I7" s="9">
        <f>IF(H$9=0,0,H7/H$9)</f>
        <v/>
      </c>
      <c r="J7" s="2">
        <f>COUNTIF(Summary!$B$32:$AB$41,"Failed on test")</f>
        <v/>
      </c>
      <c r="K7" s="9">
        <f>IF(J$9=0,0,J7/J$9)</f>
        <v/>
      </c>
      <c r="L7" s="2">
        <f>COUNTIF(Summary!$B$42:$AB$51,"Failed on test")</f>
        <v/>
      </c>
      <c r="M7" s="9">
        <f>IF(L$9=0,0,L7/L$9)</f>
        <v/>
      </c>
      <c r="N7" s="2">
        <f>COUNTIF(Summary!$B$52:$AB$61,"Failed on test")</f>
        <v/>
      </c>
      <c r="O7" s="9">
        <f>IF(N$9=0,0,N7/N$9)</f>
        <v/>
      </c>
      <c r="P7" s="2">
        <f>COUNTIF(Summary!$B$62:$AB$68,"Failed on test")</f>
        <v/>
      </c>
      <c r="Q7" s="9">
        <f>IF(P$9=0,0,P7/P$9)</f>
        <v/>
      </c>
      <c r="R7" s="2">
        <f>COUNTIF(Summary!$B$69:$AB$74,"Failed on test")</f>
        <v/>
      </c>
      <c r="S7" s="9">
        <f>IF(R$9=0,0,R7/R$9)</f>
        <v/>
      </c>
    </row>
    <row r="8">
      <c r="A8" s="11" t="inlineStr">
        <is>
          <t>Runtime error</t>
        </is>
      </c>
      <c r="B8" s="2">
        <f>COUNTIF(Summary!$B$2:$AB$74,"Runtime error")</f>
        <v/>
      </c>
      <c r="C8" s="9">
        <f>IF($B$9=0,0,B8/$B$9)</f>
        <v/>
      </c>
      <c r="D8" s="2">
        <f>COUNTIF(Summary!$B$2:$AB$11,"Runtime error")</f>
        <v/>
      </c>
      <c r="E8" s="9">
        <f>IF(D$9=0,0,D8/D$9)</f>
        <v/>
      </c>
      <c r="F8" s="2">
        <f>COUNTIF(Summary!$B$12:$AB$21,"Runtime error")</f>
        <v/>
      </c>
      <c r="G8" s="9">
        <f>IF(F$9=0,0,F8/F$9)</f>
        <v/>
      </c>
      <c r="H8" s="2">
        <f>COUNTIF(Summary!$B$22:$AB$31,"Runtime error")</f>
        <v/>
      </c>
      <c r="I8" s="9">
        <f>IF(H$9=0,0,H8/H$9)</f>
        <v/>
      </c>
      <c r="J8" s="2">
        <f>COUNTIF(Summary!$B$32:$AB$41,"Runtime error")</f>
        <v/>
      </c>
      <c r="K8" s="9">
        <f>IF(J$9=0,0,J8/J$9)</f>
        <v/>
      </c>
      <c r="L8" s="2">
        <f>COUNTIF(Summary!$B$42:$AB$51,"Runtime error")</f>
        <v/>
      </c>
      <c r="M8" s="9">
        <f>IF(L$9=0,0,L8/L$9)</f>
        <v/>
      </c>
      <c r="N8" s="2">
        <f>COUNTIF(Summary!$B$52:$AB$61,"Runtime error")</f>
        <v/>
      </c>
      <c r="O8" s="9">
        <f>IF(N$9=0,0,N8/N$9)</f>
        <v/>
      </c>
      <c r="P8" s="2">
        <f>COUNTIF(Summary!$B$62:$AB$68,"Runtime error")</f>
        <v/>
      </c>
      <c r="Q8" s="9">
        <f>IF(P$9=0,0,P8/P$9)</f>
        <v/>
      </c>
      <c r="R8" s="2">
        <f>COUNTIF(Summary!$B$69:$AB$74,"Runtime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COUNTIF(Summary!$B$2:$AB$74,"NOT_TESTED")</f>
        <v/>
      </c>
      <c r="D10" s="2">
        <f>COUNTIF(Summary!$B$2:$AB$11,"NOT_TESTED")</f>
        <v/>
      </c>
      <c r="F10" s="2">
        <f>COUNTIF(Summary!$B$12:$AB$21,"NOT_TESTED")</f>
        <v/>
      </c>
      <c r="H10" s="2">
        <f>COUNTIF(Summary!$B$22:$AB$31,"NOT_TESTED")</f>
        <v/>
      </c>
      <c r="J10" s="2">
        <f>COUNTIF(Summary!$B$32:$AB$41,"NOT_TESTED")</f>
        <v/>
      </c>
      <c r="L10" s="2">
        <f>COUNTIF(Summary!$B$42:$AB$51,"NOT_TESTED")</f>
        <v/>
      </c>
      <c r="N10" s="2">
        <f>COUNTIF(Summary!$B$52:$AB$61,"NOT_TESTED")</f>
        <v/>
      </c>
      <c r="P10" s="2">
        <f>COUNTIF(Summary!$B$62:$AB$68,"NOT_TESTED")</f>
        <v/>
      </c>
      <c r="R10" s="2">
        <f>COUNTIF(Summary!$B$69:$AB$74,"NOT_TESTED")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IF($B15=0,0,C15/$B15)</f>
        <v/>
      </c>
      <c r="G15" s="9">
        <f>IF($B15=0,0,D15/$B15)</f>
        <v/>
      </c>
      <c r="H15" s="9">
        <f>IF($B15=0,0,E15/$B15)</f>
        <v/>
      </c>
      <c r="I15" s="2">
        <f>IF(C15=B15,"Passed on test",IF(E15&gt;0,"Runtime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IF($B16=0,0,C16/$B16)</f>
        <v/>
      </c>
      <c r="G16" s="9">
        <f>IF($B16=0,0,D16/$B16)</f>
        <v/>
      </c>
      <c r="H16" s="9">
        <f>IF($B16=0,0,E16/$B16)</f>
        <v/>
      </c>
      <c r="I16" s="2">
        <f>IF(C16=B16,"Passed on test",IF(E16&gt;0,"Runtime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IF($B17=0,0,C17/$B17)</f>
        <v/>
      </c>
      <c r="G17" s="9">
        <f>IF($B17=0,0,D17/$B17)</f>
        <v/>
      </c>
      <c r="H17" s="9">
        <f>IF($B17=0,0,E17/$B17)</f>
        <v/>
      </c>
      <c r="I17" s="2">
        <f>IF(C17=B17,"Passed on test",IF(E17&gt;0,"Runtime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IF($B18=0,0,C18/$B18)</f>
        <v/>
      </c>
      <c r="G18" s="9">
        <f>IF($B18=0,0,D18/$B18)</f>
        <v/>
      </c>
      <c r="H18" s="9">
        <f>IF($B18=0,0,E18/$B18)</f>
        <v/>
      </c>
      <c r="I18" s="2">
        <f>IF(C18=B18,"Passed on test",IF(E18&gt;0,"Runtime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IF($B19=0,0,C19/$B19)</f>
        <v/>
      </c>
      <c r="G19" s="9">
        <f>IF($B19=0,0,D19/$B19)</f>
        <v/>
      </c>
      <c r="H19" s="9">
        <f>IF($B19=0,0,E19/$B19)</f>
        <v/>
      </c>
      <c r="I19" s="2">
        <f>IF(C19=B19,"Passed on test",IF(E19&gt;0,"Runtime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IF($B20=0,0,C20/$B20)</f>
        <v/>
      </c>
      <c r="G20" s="9">
        <f>IF($B20=0,0,D20/$B20)</f>
        <v/>
      </c>
      <c r="H20" s="9">
        <f>IF($B20=0,0,E20/$B20)</f>
        <v/>
      </c>
      <c r="I20" s="2">
        <f>IF(C20=B20,"Passed on test",IF(E20&gt;0,"Runtime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IF($B21=0,0,C21/$B21)</f>
        <v/>
      </c>
      <c r="G21" s="9">
        <f>IF($B21=0,0,D21/$B21)</f>
        <v/>
      </c>
      <c r="H21" s="9">
        <f>IF($B21=0,0,E21/$B21)</f>
        <v/>
      </c>
      <c r="I21" s="2">
        <f>IF(C21=B21,"Passed on test",IF(E21&gt;0,"Runtime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IF($B22=0,0,C22/$B22)</f>
        <v/>
      </c>
      <c r="G22" s="9">
        <f>IF($B22=0,0,D22/$B22)</f>
        <v/>
      </c>
      <c r="H22" s="9">
        <f>IF($B22=0,0,E22/$B22)</f>
        <v/>
      </c>
      <c r="I22" s="2">
        <f>IF(C22=B22,"Passed on test",IF(E22&gt;0,"Runtime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IF($B23=0,0,C23/$B23)</f>
        <v/>
      </c>
      <c r="G23" s="9">
        <f>IF($B23=0,0,D23/$B23)</f>
        <v/>
      </c>
      <c r="H23" s="9">
        <f>IF($B23=0,0,E23/$B23)</f>
        <v/>
      </c>
      <c r="I23" s="2">
        <f>IF(C23=B23,"Passed on test",IF(E23&gt;0,"Runtime error","Failed on test"))</f>
        <v/>
      </c>
      <c r="J23" s="2" t="n">
        <v>1</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IF($B24=0,0,C24/$B24)</f>
        <v/>
      </c>
      <c r="G24" s="9">
        <f>IF($B24=0,0,D24/$B24)</f>
        <v/>
      </c>
      <c r="H24" s="9">
        <f>IF($B24=0,0,E24/$B24)</f>
        <v/>
      </c>
      <c r="I24" s="2">
        <f>IF(C24=B24,"Passed on test",IF(E24&gt;0,"Runtime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IF($B25=0,0,C25/$B25)</f>
        <v/>
      </c>
      <c r="G25" s="9">
        <f>IF($B25=0,0,D25/$B25)</f>
        <v/>
      </c>
      <c r="H25" s="9">
        <f>IF($B25=0,0,E25/$B25)</f>
        <v/>
      </c>
      <c r="I25" s="2">
        <f>IF(C25=B25,"Passed on test",IF(E25&gt;0,"Runtime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IF($B26=0,0,C26/$B26)</f>
        <v/>
      </c>
      <c r="G26" s="9">
        <f>IF($B26=0,0,D26/$B26)</f>
        <v/>
      </c>
      <c r="H26" s="9">
        <f>IF($B26=0,0,E26/$B26)</f>
        <v/>
      </c>
      <c r="I26" s="2">
        <f>IF(C26=B26,"Passed on test",IF(E26&gt;0,"Runtime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IF($B27=0,0,C27/$B27)</f>
        <v/>
      </c>
      <c r="G27" s="9">
        <f>IF($B27=0,0,D27/$B27)</f>
        <v/>
      </c>
      <c r="H27" s="9">
        <f>IF($B27=0,0,E27/$B27)</f>
        <v/>
      </c>
      <c r="I27" s="2">
        <f>IF(C27=B27,"Passed on test",IF(E27&gt;0,"Runtime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IF($B28=0,0,C28/$B28)</f>
        <v/>
      </c>
      <c r="G28" s="9">
        <f>IF($B28=0,0,D28/$B28)</f>
        <v/>
      </c>
      <c r="H28" s="9">
        <f>IF($B28=0,0,E28/$B28)</f>
        <v/>
      </c>
      <c r="I28" s="2">
        <f>IF(C28=B28,"Passed on test",IF(E28&gt;0,"Runtime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IF($B29=0,0,C29/$B29)</f>
        <v/>
      </c>
      <c r="G29" s="9">
        <f>IF($B29=0,0,D29/$B29)</f>
        <v/>
      </c>
      <c r="H29" s="9">
        <f>IF($B29=0,0,E29/$B29)</f>
        <v/>
      </c>
      <c r="I29" s="2">
        <f>IF(C29=B29,"Passed on test",IF(E29&gt;0,"Runtime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IF($B30=0,0,C30/$B30)</f>
        <v/>
      </c>
      <c r="G30" s="9">
        <f>IF($B30=0,0,D30/$B30)</f>
        <v/>
      </c>
      <c r="H30" s="9">
        <f>IF($B30=0,0,E30/$B30)</f>
        <v/>
      </c>
      <c r="I30" s="2">
        <f>IF(C30=B30,"Passed on test",IF(E30&gt;0,"Runtime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IF($B31=0,0,C31/$B31)</f>
        <v/>
      </c>
      <c r="G31" s="9">
        <f>IF($B31=0,0,D31/$B31)</f>
        <v/>
      </c>
      <c r="H31" s="9">
        <f>IF($B31=0,0,E31/$B31)</f>
        <v/>
      </c>
      <c r="I31" s="2">
        <f>IF(C31=B31,"Passed on test",IF(E31&gt;0,"Runtime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IF($B32=0,0,C32/$B32)</f>
        <v/>
      </c>
      <c r="G32" s="9">
        <f>IF($B32=0,0,D32/$B32)</f>
        <v/>
      </c>
      <c r="H32" s="9">
        <f>IF($B32=0,0,E32/$B32)</f>
        <v/>
      </c>
      <c r="I32" s="2">
        <f>IF(C32=B32,"Passed on test",IF(E32&gt;0,"Runtime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IF($B33=0,0,C33/$B33)</f>
        <v/>
      </c>
      <c r="G33" s="9">
        <f>IF($B33=0,0,D33/$B33)</f>
        <v/>
      </c>
      <c r="H33" s="9">
        <f>IF($B33=0,0,E33/$B33)</f>
        <v/>
      </c>
      <c r="I33" s="2">
        <f>IF(C33=B33,"Passed on test",IF(E33&gt;0,"Runtime error","Failed on test"))</f>
        <v/>
      </c>
      <c r="J33" s="2" t="n">
        <v>2</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IF($B34=0,0,C34/$B34)</f>
        <v/>
      </c>
      <c r="G34" s="9">
        <f>IF($B34=0,0,D34/$B34)</f>
        <v/>
      </c>
      <c r="H34" s="9">
        <f>IF($B34=0,0,E34/$B34)</f>
        <v/>
      </c>
      <c r="I34" s="2">
        <f>IF(C34=B34,"Passed on test",IF(E34&gt;0,"Runtime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IF($B35=0,0,C35/$B35)</f>
        <v/>
      </c>
      <c r="G35" s="9">
        <f>IF($B35=0,0,D35/$B35)</f>
        <v/>
      </c>
      <c r="H35" s="9">
        <f>IF($B35=0,0,E35/$B35)</f>
        <v/>
      </c>
      <c r="I35" s="2">
        <f>IF(C35=B35,"Passed on test",IF(E35&gt;0,"Runtime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IF($B36=0,0,C36/$B36)</f>
        <v/>
      </c>
      <c r="G36" s="9">
        <f>IF($B36=0,0,D36/$B36)</f>
        <v/>
      </c>
      <c r="H36" s="9">
        <f>IF($B36=0,0,E36/$B36)</f>
        <v/>
      </c>
      <c r="I36" s="2">
        <f>IF(C36=B36,"Passed on test",IF(E36&gt;0,"Runtime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IF($B37=0,0,C37/$B37)</f>
        <v/>
      </c>
      <c r="G37" s="9">
        <f>IF($B37=0,0,D37/$B37)</f>
        <v/>
      </c>
      <c r="H37" s="9">
        <f>IF($B37=0,0,E37/$B37)</f>
        <v/>
      </c>
      <c r="I37" s="2">
        <f>IF(C37=B37,"Passed on test",IF(E37&gt;0,"Runtime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IF($B38=0,0,C38/$B38)</f>
        <v/>
      </c>
      <c r="G38" s="9">
        <f>IF($B38=0,0,D38/$B38)</f>
        <v/>
      </c>
      <c r="H38" s="9">
        <f>IF($B38=0,0,E38/$B38)</f>
        <v/>
      </c>
      <c r="I38" s="2">
        <f>IF(C38=B38,"Passed on test",IF(E38&gt;0,"Runtime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IF($B39=0,0,C39/$B39)</f>
        <v/>
      </c>
      <c r="G39" s="9">
        <f>IF($B39=0,0,D39/$B39)</f>
        <v/>
      </c>
      <c r="H39" s="9">
        <f>IF($B39=0,0,E39/$B39)</f>
        <v/>
      </c>
      <c r="I39" s="2">
        <f>IF(C39=B39,"Passed on test",IF(E39&gt;0,"Runtime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IF($B40=0,0,C40/$B40)</f>
        <v/>
      </c>
      <c r="G40" s="9">
        <f>IF($B40=0,0,D40/$B40)</f>
        <v/>
      </c>
      <c r="H40" s="9">
        <f>IF($B40=0,0,E40/$B40)</f>
        <v/>
      </c>
      <c r="I40" s="2">
        <f>IF(C40=B40,"Passed on test",IF(E40&gt;0,"Runtime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IF($B41=0,0,C41/$B41)</f>
        <v/>
      </c>
      <c r="G41" s="9">
        <f>IF($B41=0,0,D41/$B41)</f>
        <v/>
      </c>
      <c r="H41" s="9">
        <f>IF($B41=0,0,E41/$B41)</f>
        <v/>
      </c>
      <c r="I41" s="2">
        <f>IF(C41=B41,"Passed on test",IF(E41&gt;0,"Runtime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IF($B42=0,0,C42/$B42)</f>
        <v/>
      </c>
      <c r="G42" s="9">
        <f>IF($B42=0,0,D42/$B42)</f>
        <v/>
      </c>
      <c r="H42" s="9">
        <f>IF($B42=0,0,E42/$B42)</f>
        <v/>
      </c>
      <c r="I42" s="2">
        <f>IF(C42=B42,"Passed on test",IF(E42&gt;0,"Runtime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IF($B43=0,0,C43/$B43)</f>
        <v/>
      </c>
      <c r="G43" s="9">
        <f>IF($B43=0,0,D43/$B43)</f>
        <v/>
      </c>
      <c r="H43" s="9">
        <f>IF($B43=0,0,E43/$B43)</f>
        <v/>
      </c>
      <c r="I43" s="2">
        <f>IF(C43=B43,"Passed on test",IF(E43&gt;0,"Runtime error","Failed on test"))</f>
        <v/>
      </c>
      <c r="J43" s="2" t="n">
        <v>3</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IF($B44=0,0,C44/$B44)</f>
        <v/>
      </c>
      <c r="G44" s="9">
        <f>IF($B44=0,0,D44/$B44)</f>
        <v/>
      </c>
      <c r="H44" s="9">
        <f>IF($B44=0,0,E44/$B44)</f>
        <v/>
      </c>
      <c r="I44" s="2">
        <f>IF(C44=B44,"Passed on test",IF(E44&gt;0,"Runtime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IF($B45=0,0,C45/$B45)</f>
        <v/>
      </c>
      <c r="G45" s="9">
        <f>IF($B45=0,0,D45/$B45)</f>
        <v/>
      </c>
      <c r="H45" s="9">
        <f>IF($B45=0,0,E45/$B45)</f>
        <v/>
      </c>
      <c r="I45" s="2">
        <f>IF(C45=B45,"Passed on test",IF(E45&gt;0,"Runtime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IF($B46=0,0,C46/$B46)</f>
        <v/>
      </c>
      <c r="G46" s="9">
        <f>IF($B46=0,0,D46/$B46)</f>
        <v/>
      </c>
      <c r="H46" s="9">
        <f>IF($B46=0,0,E46/$B46)</f>
        <v/>
      </c>
      <c r="I46" s="2">
        <f>IF(C46=B46,"Passed on test",IF(E46&gt;0,"Runtime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IF($B47=0,0,C47/$B47)</f>
        <v/>
      </c>
      <c r="G47" s="9">
        <f>IF($B47=0,0,D47/$B47)</f>
        <v/>
      </c>
      <c r="H47" s="9">
        <f>IF($B47=0,0,E47/$B47)</f>
        <v/>
      </c>
      <c r="I47" s="2">
        <f>IF(C47=B47,"Passed on test",IF(E47&gt;0,"Runtime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IF($B48=0,0,C48/$B48)</f>
        <v/>
      </c>
      <c r="G48" s="9">
        <f>IF($B48=0,0,D48/$B48)</f>
        <v/>
      </c>
      <c r="H48" s="9">
        <f>IF($B48=0,0,E48/$B48)</f>
        <v/>
      </c>
      <c r="I48" s="2">
        <f>IF(C48=B48,"Passed on test",IF(E48&gt;0,"Runtime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IF($B49=0,0,C49/$B49)</f>
        <v/>
      </c>
      <c r="G49" s="9">
        <f>IF($B49=0,0,D49/$B49)</f>
        <v/>
      </c>
      <c r="H49" s="9">
        <f>IF($B49=0,0,E49/$B49)</f>
        <v/>
      </c>
      <c r="I49" s="2">
        <f>IF(C49=B49,"Passed on test",IF(E49&gt;0,"Runtime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IF($B50=0,0,C50/$B50)</f>
        <v/>
      </c>
      <c r="G50" s="9">
        <f>IF($B50=0,0,D50/$B50)</f>
        <v/>
      </c>
      <c r="H50" s="9">
        <f>IF($B50=0,0,E50/$B50)</f>
        <v/>
      </c>
      <c r="I50" s="2">
        <f>IF(C50=B50,"Passed on test",IF(E50&gt;0,"Runtime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IF($B51=0,0,C51/$B51)</f>
        <v/>
      </c>
      <c r="G51" s="9">
        <f>IF($B51=0,0,D51/$B51)</f>
        <v/>
      </c>
      <c r="H51" s="9">
        <f>IF($B51=0,0,E51/$B51)</f>
        <v/>
      </c>
      <c r="I51" s="2">
        <f>IF(C51=B51,"Passed on test",IF(E51&gt;0,"Runtime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IF($B52=0,0,C52/$B52)</f>
        <v/>
      </c>
      <c r="G52" s="9">
        <f>IF($B52=0,0,D52/$B52)</f>
        <v/>
      </c>
      <c r="H52" s="9">
        <f>IF($B52=0,0,E52/$B52)</f>
        <v/>
      </c>
      <c r="I52" s="2">
        <f>IF(C52=B52,"Passed on test",IF(E52&gt;0,"Runtime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IF($B53=0,0,C53/$B53)</f>
        <v/>
      </c>
      <c r="G53" s="9">
        <f>IF($B53=0,0,D53/$B53)</f>
        <v/>
      </c>
      <c r="H53" s="9">
        <f>IF($B53=0,0,E53/$B53)</f>
        <v/>
      </c>
      <c r="I53" s="2">
        <f>IF(C53=B53,"Passed on test",IF(E53&gt;0,"Runtime error","Failed on test"))</f>
        <v/>
      </c>
      <c r="J53" s="2" t="n">
        <v>4</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IF($B54=0,0,C54/$B54)</f>
        <v/>
      </c>
      <c r="G54" s="9">
        <f>IF($B54=0,0,D54/$B54)</f>
        <v/>
      </c>
      <c r="H54" s="9">
        <f>IF($B54=0,0,E54/$B54)</f>
        <v/>
      </c>
      <c r="I54" s="2">
        <f>IF(C54=B54,"Passed on test",IF(E54&gt;0,"Runtime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IF($B55=0,0,C55/$B55)</f>
        <v/>
      </c>
      <c r="G55" s="9">
        <f>IF($B55=0,0,D55/$B55)</f>
        <v/>
      </c>
      <c r="H55" s="9">
        <f>IF($B55=0,0,E55/$B55)</f>
        <v/>
      </c>
      <c r="I55" s="2">
        <f>IF(C55=B55,"Passed on test",IF(E55&gt;0,"Runtime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IF($B56=0,0,C56/$B56)</f>
        <v/>
      </c>
      <c r="G56" s="9">
        <f>IF($B56=0,0,D56/$B56)</f>
        <v/>
      </c>
      <c r="H56" s="9">
        <f>IF($B56=0,0,E56/$B56)</f>
        <v/>
      </c>
      <c r="I56" s="2">
        <f>IF(C56=B56,"Passed on test",IF(E56&gt;0,"Runtime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IF($B57=0,0,C57/$B57)</f>
        <v/>
      </c>
      <c r="G57" s="9">
        <f>IF($B57=0,0,D57/$B57)</f>
        <v/>
      </c>
      <c r="H57" s="9">
        <f>IF($B57=0,0,E57/$B57)</f>
        <v/>
      </c>
      <c r="I57" s="2">
        <f>IF(C57=B57,"Passed on test",IF(E57&gt;0,"Runtime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IF($B58=0,0,C58/$B58)</f>
        <v/>
      </c>
      <c r="G58" s="9">
        <f>IF($B58=0,0,D58/$B58)</f>
        <v/>
      </c>
      <c r="H58" s="9">
        <f>IF($B58=0,0,E58/$B58)</f>
        <v/>
      </c>
      <c r="I58" s="2">
        <f>IF(C58=B58,"Passed on test",IF(E58&gt;0,"Runtime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IF($B59=0,0,C59/$B59)</f>
        <v/>
      </c>
      <c r="G59" s="9">
        <f>IF($B59=0,0,D59/$B59)</f>
        <v/>
      </c>
      <c r="H59" s="9">
        <f>IF($B59=0,0,E59/$B59)</f>
        <v/>
      </c>
      <c r="I59" s="2">
        <f>IF(C59=B59,"Passed on test",IF(E59&gt;0,"Runtime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IF($B60=0,0,C60/$B60)</f>
        <v/>
      </c>
      <c r="G60" s="9">
        <f>IF($B60=0,0,D60/$B60)</f>
        <v/>
      </c>
      <c r="H60" s="9">
        <f>IF($B60=0,0,E60/$B60)</f>
        <v/>
      </c>
      <c r="I60" s="2">
        <f>IF(C60=B60,"Passed on test",IF(E60&gt;0,"Runtime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IF($B61=0,0,C61/$B61)</f>
        <v/>
      </c>
      <c r="G61" s="9">
        <f>IF($B61=0,0,D61/$B61)</f>
        <v/>
      </c>
      <c r="H61" s="9">
        <f>IF($B61=0,0,E61/$B61)</f>
        <v/>
      </c>
      <c r="I61" s="2">
        <f>IF(C61=B61,"Passed on test",IF(E61&gt;0,"Runtime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IF($B62=0,0,C62/$B62)</f>
        <v/>
      </c>
      <c r="G62" s="9">
        <f>IF($B62=0,0,D62/$B62)</f>
        <v/>
      </c>
      <c r="H62" s="9">
        <f>IF($B62=0,0,E62/$B62)</f>
        <v/>
      </c>
      <c r="I62" s="2">
        <f>IF(C62=B62,"Passed on test",IF(E62&gt;0,"Runtime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IF($B63=0,0,C63/$B63)</f>
        <v/>
      </c>
      <c r="G63" s="9">
        <f>IF($B63=0,0,D63/$B63)</f>
        <v/>
      </c>
      <c r="H63" s="9">
        <f>IF($B63=0,0,E63/$B63)</f>
        <v/>
      </c>
      <c r="I63" s="2">
        <f>IF(C63=B63,"Passed on test",IF(E63&gt;0,"Runtime error","Failed on test"))</f>
        <v/>
      </c>
      <c r="J63" s="2" t="n">
        <v>5</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IF($B64=0,0,C64/$B64)</f>
        <v/>
      </c>
      <c r="G64" s="9">
        <f>IF($B64=0,0,D64/$B64)</f>
        <v/>
      </c>
      <c r="H64" s="9">
        <f>IF($B64=0,0,E64/$B64)</f>
        <v/>
      </c>
      <c r="I64" s="2">
        <f>IF(C64=B64,"Passed on test",IF(E64&gt;0,"Runtime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IF($B65=0,0,C65/$B65)</f>
        <v/>
      </c>
      <c r="G65" s="9">
        <f>IF($B65=0,0,D65/$B65)</f>
        <v/>
      </c>
      <c r="H65" s="9">
        <f>IF($B65=0,0,E65/$B65)</f>
        <v/>
      </c>
      <c r="I65" s="2">
        <f>IF(C65=B65,"Passed on test",IF(E65&gt;0,"Runtime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IF($B66=0,0,C66/$B66)</f>
        <v/>
      </c>
      <c r="G66" s="9">
        <f>IF($B66=0,0,D66/$B66)</f>
        <v/>
      </c>
      <c r="H66" s="9">
        <f>IF($B66=0,0,E66/$B66)</f>
        <v/>
      </c>
      <c r="I66" s="2">
        <f>IF(C66=B66,"Passed on test",IF(E66&gt;0,"Runtime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IF($B67=0,0,C67/$B67)</f>
        <v/>
      </c>
      <c r="G67" s="9">
        <f>IF($B67=0,0,D67/$B67)</f>
        <v/>
      </c>
      <c r="H67" s="9">
        <f>IF($B67=0,0,E67/$B67)</f>
        <v/>
      </c>
      <c r="I67" s="2">
        <f>IF(C67=B67,"Passed on test",IF(E67&gt;0,"Runtime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IF($B68=0,0,C68/$B68)</f>
        <v/>
      </c>
      <c r="G68" s="9">
        <f>IF($B68=0,0,D68/$B68)</f>
        <v/>
      </c>
      <c r="H68" s="9">
        <f>IF($B68=0,0,E68/$B68)</f>
        <v/>
      </c>
      <c r="I68" s="2">
        <f>IF(C68=B68,"Passed on test",IF(E68&gt;0,"Runtime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IF($B69=0,0,C69/$B69)</f>
        <v/>
      </c>
      <c r="G69" s="9">
        <f>IF($B69=0,0,D69/$B69)</f>
        <v/>
      </c>
      <c r="H69" s="9">
        <f>IF($B69=0,0,E69/$B69)</f>
        <v/>
      </c>
      <c r="I69" s="2">
        <f>IF(C69=B69,"Passed on test",IF(E69&gt;0,"Runtime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IF($B70=0,0,C70/$B70)</f>
        <v/>
      </c>
      <c r="G70" s="9">
        <f>IF($B70=0,0,D70/$B70)</f>
        <v/>
      </c>
      <c r="H70" s="9">
        <f>IF($B70=0,0,E70/$B70)</f>
        <v/>
      </c>
      <c r="I70" s="2">
        <f>IF(C70=B70,"Passed on test",IF(E70&gt;0,"Runtime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IF($B71=0,0,C71/$B71)</f>
        <v/>
      </c>
      <c r="G71" s="9">
        <f>IF($B71=0,0,D71/$B71)</f>
        <v/>
      </c>
      <c r="H71" s="9">
        <f>IF($B71=0,0,E71/$B71)</f>
        <v/>
      </c>
      <c r="I71" s="2">
        <f>IF(C71=B71,"Passed on test",IF(E71&gt;0,"Runtime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IF($B72=0,0,C72/$B72)</f>
        <v/>
      </c>
      <c r="G72" s="9">
        <f>IF($B72=0,0,D72/$B72)</f>
        <v/>
      </c>
      <c r="H72" s="9">
        <f>IF($B72=0,0,E72/$B72)</f>
        <v/>
      </c>
      <c r="I72" s="2">
        <f>IF(C72=B72,"Passed on test",IF(E72&gt;0,"Runtime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IF($B73=0,0,C73/$B73)</f>
        <v/>
      </c>
      <c r="G73" s="9">
        <f>IF($B73=0,0,D73/$B73)</f>
        <v/>
      </c>
      <c r="H73" s="9">
        <f>IF($B73=0,0,E73/$B73)</f>
        <v/>
      </c>
      <c r="I73" s="2">
        <f>IF(C73=B73,"Passed on test",IF(E73&gt;0,"Runtime error","Failed on test"))</f>
        <v/>
      </c>
      <c r="J73" s="2" t="n">
        <v>6</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IF($B74=0,0,C74/$B74)</f>
        <v/>
      </c>
      <c r="G74" s="9">
        <f>IF($B74=0,0,D74/$B74)</f>
        <v/>
      </c>
      <c r="H74" s="9">
        <f>IF($B74=0,0,E74/$B74)</f>
        <v/>
      </c>
      <c r="I74" s="2">
        <f>IF(C74=B74,"Passed on test",IF(E74&gt;0,"Runtime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IF($B75=0,0,C75/$B75)</f>
        <v/>
      </c>
      <c r="G75" s="9">
        <f>IF($B75=0,0,D75/$B75)</f>
        <v/>
      </c>
      <c r="H75" s="9">
        <f>IF($B75=0,0,E75/$B75)</f>
        <v/>
      </c>
      <c r="I75" s="2">
        <f>IF(C75=B75,"Passed on test",IF(E75&gt;0,"Runtime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IF($B76=0,0,C76/$B76)</f>
        <v/>
      </c>
      <c r="G76" s="9">
        <f>IF($B76=0,0,D76/$B76)</f>
        <v/>
      </c>
      <c r="H76" s="9">
        <f>IF($B76=0,0,E76/$B76)</f>
        <v/>
      </c>
      <c r="I76" s="2">
        <f>IF(C76=B76,"Passed on test",IF(E76&gt;0,"Runtime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IF($B77=0,0,C77/$B77)</f>
        <v/>
      </c>
      <c r="G77" s="9">
        <f>IF($B77=0,0,D77/$B77)</f>
        <v/>
      </c>
      <c r="H77" s="9">
        <f>IF($B77=0,0,E77/$B77)</f>
        <v/>
      </c>
      <c r="I77" s="2">
        <f>IF(C77=B77,"Passed on test",IF(E77&gt;0,"Runtime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IF($B78=0,0,C78/$B78)</f>
        <v/>
      </c>
      <c r="G78" s="9">
        <f>IF($B78=0,0,D78/$B78)</f>
        <v/>
      </c>
      <c r="H78" s="9">
        <f>IF($B78=0,0,E78/$B78)</f>
        <v/>
      </c>
      <c r="I78" s="2">
        <f>IF(C78=B78,"Passed on test",IF(E78&gt;0,"Runtime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IF($B79=0,0,C79/$B79)</f>
        <v/>
      </c>
      <c r="G79" s="9">
        <f>IF($B79=0,0,D79/$B79)</f>
        <v/>
      </c>
      <c r="H79" s="9">
        <f>IF($B79=0,0,E79/$B79)</f>
        <v/>
      </c>
      <c r="I79" s="2">
        <f>IF(C79=B79,"Passed on test",IF(E79&gt;0,"Runtime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IF($B80=0,0,C80/$B80)</f>
        <v/>
      </c>
      <c r="G80" s="9">
        <f>IF($B80=0,0,D80/$B80)</f>
        <v/>
      </c>
      <c r="H80" s="9">
        <f>IF($B80=0,0,E80/$B80)</f>
        <v/>
      </c>
      <c r="I80" s="2">
        <f>IF(C80=B80,"Passed on test",IF(E80&gt;0,"Runtime error","Failed on test"))</f>
        <v/>
      </c>
      <c r="J80" s="2" t="n">
        <v>7</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IF($B81=0,0,C81/$B81)</f>
        <v/>
      </c>
      <c r="G81" s="9">
        <f>IF($B81=0,0,D81/$B81)</f>
        <v/>
      </c>
      <c r="H81" s="9">
        <f>IF($B81=0,0,E81/$B81)</f>
        <v/>
      </c>
      <c r="I81" s="2">
        <f>IF(C81=B81,"Passed on test",IF(E81&gt;0,"Runtime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IF($B82=0,0,C82/$B82)</f>
        <v/>
      </c>
      <c r="G82" s="9">
        <f>IF($B82=0,0,D82/$B82)</f>
        <v/>
      </c>
      <c r="H82" s="9">
        <f>IF($B82=0,0,E82/$B82)</f>
        <v/>
      </c>
      <c r="I82" s="2">
        <f>IF(C82=B82,"Passed on test",IF(E82&gt;0,"Runtime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IF($B83=0,0,C83/$B83)</f>
        <v/>
      </c>
      <c r="G83" s="9">
        <f>IF($B83=0,0,D83/$B83)</f>
        <v/>
      </c>
      <c r="H83" s="9">
        <f>IF($B83=0,0,E83/$B83)</f>
        <v/>
      </c>
      <c r="I83" s="2">
        <f>IF(C83=B83,"Passed on test",IF(E83&gt;0,"Runtime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IF($B84=0,0,C84/$B84)</f>
        <v/>
      </c>
      <c r="G84" s="9">
        <f>IF($B84=0,0,D84/$B84)</f>
        <v/>
      </c>
      <c r="H84" s="9">
        <f>IF($B84=0,0,E84/$B84)</f>
        <v/>
      </c>
      <c r="I84" s="2">
        <f>IF(C84=B84,"Passed on test",IF(E84&gt;0,"Runtime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IF($B85=0,0,C85/$B85)</f>
        <v/>
      </c>
      <c r="G85" s="9">
        <f>IF($B85=0,0,D85/$B85)</f>
        <v/>
      </c>
      <c r="H85" s="9">
        <f>IF($B85=0,0,E85/$B85)</f>
        <v/>
      </c>
      <c r="I85" s="2">
        <f>IF(C85=B85,"Passed on test",IF(E85&gt;0,"Runtime error","Failed on test"))</f>
        <v/>
      </c>
      <c r="J85" s="2" t="n">
        <v>8</v>
      </c>
    </row>
    <row r="86">
      <c r="A86" s="2">
        <f>Summary!A74</f>
        <v/>
      </c>
      <c r="B86" s="2">
        <f>COUNTIF(Summary!$B$74:$AB$74,"Passed on test")+COUNTIF(Summary!$B$74:$AB$74,"Failed on test")+COUNTIF(Summary!$B$74:$AB$74,"Runtime error")</f>
        <v/>
      </c>
      <c r="C86" s="2">
        <f>COUNTIF(Summary!$B$74:$AB$74,"Passed on test")</f>
        <v/>
      </c>
      <c r="D86" s="2">
        <f>COUNTIF(Summary!$B$74:$AB$74,"Failed on test")</f>
        <v/>
      </c>
      <c r="E86" s="2">
        <f>COUNTIF(Summary!$B$74:$AB$74,"Runtime error")</f>
        <v/>
      </c>
      <c r="F86" s="9">
        <f>IF($B86=0,0,C86/$B86)</f>
        <v/>
      </c>
      <c r="G86" s="9">
        <f>IF($B86=0,0,D86/$B86)</f>
        <v/>
      </c>
      <c r="H86" s="9">
        <f>IF($B86=0,0,E86/$B86)</f>
        <v/>
      </c>
      <c r="I86" s="2">
        <f>IF(C86=B86,"Passed on test",IF(E86&gt;0,"Runtime error","Failed on test"))</f>
        <v/>
      </c>
      <c r="J86" s="2" t="n">
        <v>8</v>
      </c>
    </row>
    <row r="87"/>
    <row r="88">
      <c r="A88" s="7" t="inlineStr">
        <is>
          <t>3. Cases by outcome</t>
        </is>
      </c>
    </row>
    <row r="89">
      <c r="A89" s="1" t="inlineStr">
        <is>
          <t>Outcome</t>
        </is>
      </c>
      <c r="B89" s="1" t="inlineStr">
        <is>
          <t>Cases</t>
        </is>
      </c>
      <c r="C89" s="1" t="inlineStr">
        <is>
          <t>% of cases</t>
        </is>
      </c>
      <c r="D89" s="1" t="inlineStr">
        <is>
          <t>Batch 1</t>
        </is>
      </c>
      <c r="E89" s="1" t="inlineStr">
        <is>
          <t>Batch 1 %</t>
        </is>
      </c>
      <c r="F89" s="1" t="inlineStr">
        <is>
          <t>Batch 2</t>
        </is>
      </c>
      <c r="G89" s="1" t="inlineStr">
        <is>
          <t>Batch 2 %</t>
        </is>
      </c>
      <c r="H89" s="1" t="inlineStr">
        <is>
          <t>Batch 3</t>
        </is>
      </c>
      <c r="I89" s="1" t="inlineStr">
        <is>
          <t>Batch 3 %</t>
        </is>
      </c>
      <c r="J89" s="1" t="inlineStr">
        <is>
          <t>Batch 4</t>
        </is>
      </c>
      <c r="K89" s="1" t="inlineStr">
        <is>
          <t>Batch 4 %</t>
        </is>
      </c>
      <c r="L89" s="1" t="inlineStr">
        <is>
          <t>Batch 5</t>
        </is>
      </c>
      <c r="M89" s="1" t="inlineStr">
        <is>
          <t>Batch 5 %</t>
        </is>
      </c>
      <c r="N89" s="1" t="inlineStr">
        <is>
          <t>Batch 6</t>
        </is>
      </c>
      <c r="O89" s="1" t="inlineStr">
        <is>
          <t>Batch 6 %</t>
        </is>
      </c>
      <c r="P89" s="1" t="inlineStr">
        <is>
          <t>Batch 7</t>
        </is>
      </c>
      <c r="Q89" s="1" t="inlineStr">
        <is>
          <t>Batch 7 %</t>
        </is>
      </c>
      <c r="R89" s="1" t="inlineStr">
        <is>
          <t>Batch 8</t>
        </is>
      </c>
      <c r="S89" s="1" t="inlineStr">
        <is>
          <t>Batch 8 %</t>
        </is>
      </c>
    </row>
    <row r="90">
      <c r="A90" s="8" t="inlineStr">
        <is>
          <t>Passed on test</t>
        </is>
      </c>
      <c r="B90" s="2">
        <f>COUNTIF($I$14:$I$86,"Passed on test")</f>
        <v/>
      </c>
      <c r="C90" s="9">
        <f>IF($B$93=0,0,B90/$B$93)</f>
        <v/>
      </c>
      <c r="D90" s="2">
        <f>COUNTIFS($I$14:$I$86,"Passed on test",$J$14:$J$86,1)</f>
        <v/>
      </c>
      <c r="E90" s="9">
        <f>IF(D$93=0,0,D90/D$93)</f>
        <v/>
      </c>
      <c r="F90" s="2">
        <f>COUNTIFS($I$14:$I$86,"Passed on test",$J$14:$J$86,2)</f>
        <v/>
      </c>
      <c r="G90" s="9">
        <f>IF(F$93=0,0,F90/F$93)</f>
        <v/>
      </c>
      <c r="H90" s="2">
        <f>COUNTIFS($I$14:$I$86,"Passed on test",$J$14:$J$86,3)</f>
        <v/>
      </c>
      <c r="I90" s="9">
        <f>IF(H$93=0,0,H90/H$93)</f>
        <v/>
      </c>
      <c r="J90" s="2">
        <f>COUNTIFS($I$14:$I$86,"Passed on test",$J$14:$J$86,4)</f>
        <v/>
      </c>
      <c r="K90" s="9">
        <f>IF(J$93=0,0,J90/J$93)</f>
        <v/>
      </c>
      <c r="L90" s="2">
        <f>COUNTIFS($I$14:$I$86,"Passed on test",$J$14:$J$86,5)</f>
        <v/>
      </c>
      <c r="M90" s="9">
        <f>IF(L$93=0,0,L90/L$93)</f>
        <v/>
      </c>
      <c r="N90" s="2">
        <f>COUNTIFS($I$14:$I$86,"Passed on test",$J$14:$J$86,6)</f>
        <v/>
      </c>
      <c r="O90" s="9">
        <f>IF(N$93=0,0,N90/N$93)</f>
        <v/>
      </c>
      <c r="P90" s="2">
        <f>COUNTIFS($I$14:$I$86,"Passed on test",$J$14:$J$86,7)</f>
        <v/>
      </c>
      <c r="Q90" s="9">
        <f>IF(P$93=0,0,P90/P$93)</f>
        <v/>
      </c>
      <c r="R90" s="2">
        <f>COUNTIFS($I$14:$I$86,"Passed on test",$J$14:$J$86,8)</f>
        <v/>
      </c>
      <c r="S90" s="9">
        <f>IF(R$93=0,0,R90/R$93)</f>
        <v/>
      </c>
    </row>
    <row r="91">
      <c r="A91" s="10" t="inlineStr">
        <is>
          <t>Failed on test</t>
        </is>
      </c>
      <c r="B91" s="2">
        <f>COUNTIF($I$14:$I$86,"Failed on test")</f>
        <v/>
      </c>
      <c r="C91" s="9">
        <f>IF($B$93=0,0,B91/$B$93)</f>
        <v/>
      </c>
      <c r="D91" s="2">
        <f>COUNTIFS($I$14:$I$86,"Failed on test",$J$14:$J$86,1)</f>
        <v/>
      </c>
      <c r="E91" s="9">
        <f>IF(D$93=0,0,D91/D$93)</f>
        <v/>
      </c>
      <c r="F91" s="2">
        <f>COUNTIFS($I$14:$I$86,"Failed on test",$J$14:$J$86,2)</f>
        <v/>
      </c>
      <c r="G91" s="9">
        <f>IF(F$93=0,0,F91/F$93)</f>
        <v/>
      </c>
      <c r="H91" s="2">
        <f>COUNTIFS($I$14:$I$86,"Failed on test",$J$14:$J$86,3)</f>
        <v/>
      </c>
      <c r="I91" s="9">
        <f>IF(H$93=0,0,H91/H$93)</f>
        <v/>
      </c>
      <c r="J91" s="2">
        <f>COUNTIFS($I$14:$I$86,"Failed on test",$J$14:$J$86,4)</f>
        <v/>
      </c>
      <c r="K91" s="9">
        <f>IF(J$93=0,0,J91/J$93)</f>
        <v/>
      </c>
      <c r="L91" s="2">
        <f>COUNTIFS($I$14:$I$86,"Failed on test",$J$14:$J$86,5)</f>
        <v/>
      </c>
      <c r="M91" s="9">
        <f>IF(L$93=0,0,L91/L$93)</f>
        <v/>
      </c>
      <c r="N91" s="2">
        <f>COUNTIFS($I$14:$I$86,"Failed on test",$J$14:$J$86,6)</f>
        <v/>
      </c>
      <c r="O91" s="9">
        <f>IF(N$93=0,0,N91/N$93)</f>
        <v/>
      </c>
      <c r="P91" s="2">
        <f>COUNTIFS($I$14:$I$86,"Failed on test",$J$14:$J$86,7)</f>
        <v/>
      </c>
      <c r="Q91" s="9">
        <f>IF(P$93=0,0,P91/P$93)</f>
        <v/>
      </c>
      <c r="R91" s="2">
        <f>COUNTIFS($I$14:$I$86,"Failed on test",$J$14:$J$86,8)</f>
        <v/>
      </c>
      <c r="S91" s="9">
        <f>IF(R$93=0,0,R91/R$93)</f>
        <v/>
      </c>
    </row>
    <row r="92">
      <c r="A92" s="11" t="inlineStr">
        <is>
          <t>Runtime error</t>
        </is>
      </c>
      <c r="B92" s="2">
        <f>COUNTIF($I$14:$I$86,"Runtime error")</f>
        <v/>
      </c>
      <c r="C92" s="9">
        <f>IF($B$93=0,0,B92/$B$93)</f>
        <v/>
      </c>
      <c r="D92" s="2">
        <f>COUNTIFS($I$14:$I$86,"Runtime error",$J$14:$J$86,1)</f>
        <v/>
      </c>
      <c r="E92" s="9">
        <f>IF(D$93=0,0,D92/D$93)</f>
        <v/>
      </c>
      <c r="F92" s="2">
        <f>COUNTIFS($I$14:$I$86,"Runtime error",$J$14:$J$86,2)</f>
        <v/>
      </c>
      <c r="G92" s="9">
        <f>IF(F$93=0,0,F92/F$93)</f>
        <v/>
      </c>
      <c r="H92" s="2">
        <f>COUNTIFS($I$14:$I$86,"Runtime error",$J$14:$J$86,3)</f>
        <v/>
      </c>
      <c r="I92" s="9">
        <f>IF(H$93=0,0,H92/H$93)</f>
        <v/>
      </c>
      <c r="J92" s="2">
        <f>COUNTIFS($I$14:$I$86,"Runtime error",$J$14:$J$86,4)</f>
        <v/>
      </c>
      <c r="K92" s="9">
        <f>IF(J$93=0,0,J92/J$93)</f>
        <v/>
      </c>
      <c r="L92" s="2">
        <f>COUNTIFS($I$14:$I$86,"Runtime error",$J$14:$J$86,5)</f>
        <v/>
      </c>
      <c r="M92" s="9">
        <f>IF(L$93=0,0,L92/L$93)</f>
        <v/>
      </c>
      <c r="N92" s="2">
        <f>COUNTIFS($I$14:$I$86,"Runtime error",$J$14:$J$86,6)</f>
        <v/>
      </c>
      <c r="O92" s="9">
        <f>IF(N$93=0,0,N92/N$93)</f>
        <v/>
      </c>
      <c r="P92" s="2">
        <f>COUNTIFS($I$14:$I$86,"Runtime error",$J$14:$J$86,7)</f>
        <v/>
      </c>
      <c r="Q92" s="9">
        <f>IF(P$93=0,0,P92/P$93)</f>
        <v/>
      </c>
      <c r="R92" s="2">
        <f>COUNTIFS($I$14:$I$86,"Runtime error",$J$14:$J$86,8)</f>
        <v/>
      </c>
      <c r="S92" s="9">
        <f>IF(R$93=0,0,R92/R$93)</f>
        <v/>
      </c>
    </row>
    <row r="93">
      <c r="A93" s="12" t="inlineStr">
        <is>
          <t>Total cases</t>
        </is>
      </c>
      <c r="B93" s="12">
        <f>SUM(B90:B92)</f>
        <v/>
      </c>
      <c r="C93" s="13">
        <f>SUM(C90:C92)</f>
        <v/>
      </c>
      <c r="D93" s="12">
        <f>SUM(D90:D92)</f>
        <v/>
      </c>
      <c r="E93" s="13">
        <f>SUM(E90:E92)</f>
        <v/>
      </c>
      <c r="F93" s="12">
        <f>SUM(F90:F92)</f>
        <v/>
      </c>
      <c r="G93" s="13">
        <f>SUM(G90:G92)</f>
        <v/>
      </c>
      <c r="H93" s="12">
        <f>SUM(H90:H92)</f>
        <v/>
      </c>
      <c r="I93" s="13">
        <f>SUM(I90:I92)</f>
        <v/>
      </c>
      <c r="J93" s="12">
        <f>SUM(J90:J92)</f>
        <v/>
      </c>
      <c r="K93" s="13">
        <f>SUM(K90:K92)</f>
        <v/>
      </c>
      <c r="L93" s="12">
        <f>SUM(L90:L92)</f>
        <v/>
      </c>
      <c r="M93" s="13">
        <f>SUM(M90:M92)</f>
        <v/>
      </c>
      <c r="N93" s="12">
        <f>SUM(N90:N92)</f>
        <v/>
      </c>
      <c r="O93" s="13">
        <f>SUM(O90:O92)</f>
        <v/>
      </c>
      <c r="P93" s="12">
        <f>SUM(P90:P92)</f>
        <v/>
      </c>
      <c r="Q93" s="13">
        <f>SUM(Q90:Q92)</f>
        <v/>
      </c>
      <c r="R93" s="12">
        <f>SUM(R90:R92)</f>
        <v/>
      </c>
      <c r="S93" s="13">
        <f>SUM(S90:S92)</f>
        <v/>
      </c>
    </row>
    <row r="94">
      <c r="A94" t="inlineStr">
        <is>
          <t>A case counts as "Passed on test" only if it passed on every version it was tested on, "Runtime error" if any version crashed, otherwise "Failed on test".</t>
        </is>
      </c>
    </row>
    <row r="95"/>
    <row r="96">
      <c r="A96" s="7" t="inlineStr">
        <is>
          <t>4. Cases that passed on at least one version</t>
        </is>
      </c>
    </row>
    <row r="97">
      <c r="A97" s="1" t="inlineStr">
        <is>
          <t>Measure</t>
        </is>
      </c>
      <c r="B97" s="1" t="inlineStr">
        <is>
          <t>Cases</t>
        </is>
      </c>
      <c r="C97" s="1" t="inlineStr">
        <is>
          <t>% of cases</t>
        </is>
      </c>
      <c r="D97" s="1" t="inlineStr">
        <is>
          <t>Batch 1</t>
        </is>
      </c>
      <c r="E97" s="1" t="inlineStr">
        <is>
          <t>Batch 1 %</t>
        </is>
      </c>
      <c r="F97" s="1" t="inlineStr">
        <is>
          <t>Batch 2</t>
        </is>
      </c>
      <c r="G97" s="1" t="inlineStr">
        <is>
          <t>Batch 2 %</t>
        </is>
      </c>
      <c r="H97" s="1" t="inlineStr">
        <is>
          <t>Batch 3</t>
        </is>
      </c>
      <c r="I97" s="1" t="inlineStr">
        <is>
          <t>Batch 3 %</t>
        </is>
      </c>
      <c r="J97" s="1" t="inlineStr">
        <is>
          <t>Batch 4</t>
        </is>
      </c>
      <c r="K97" s="1" t="inlineStr">
        <is>
          <t>Batch 4 %</t>
        </is>
      </c>
      <c r="L97" s="1" t="inlineStr">
        <is>
          <t>Batch 5</t>
        </is>
      </c>
      <c r="M97" s="1" t="inlineStr">
        <is>
          <t>Batch 5 %</t>
        </is>
      </c>
      <c r="N97" s="1" t="inlineStr">
        <is>
          <t>Batch 6</t>
        </is>
      </c>
      <c r="O97" s="1" t="inlineStr">
        <is>
          <t>Batch 6 %</t>
        </is>
      </c>
      <c r="P97" s="1" t="inlineStr">
        <is>
          <t>Batch 7</t>
        </is>
      </c>
      <c r="Q97" s="1" t="inlineStr">
        <is>
          <t>Batch 7 %</t>
        </is>
      </c>
      <c r="R97" s="1" t="inlineStr">
        <is>
          <t>Batch 8</t>
        </is>
      </c>
      <c r="S97" s="1" t="inlineStr">
        <is>
          <t>Batch 8 %</t>
        </is>
      </c>
    </row>
    <row r="98">
      <c r="A98" s="2" t="inlineStr">
        <is>
          <t>Passed on at least one version</t>
        </is>
      </c>
      <c r="B98" s="2">
        <f>COUNTIF($B$103:$B$175,"YES")</f>
        <v/>
      </c>
      <c r="C98" s="9">
        <f>IF(COUNTA($A$103:$A$175)=0,0,B98/COUNTA($A$103:$A$175))</f>
        <v/>
      </c>
      <c r="D98" s="2">
        <f>COUNTIFS($B$103:$B$175,"YES",$F$103:$F$175,1)</f>
        <v/>
      </c>
      <c r="E98" s="9">
        <f>IF(COUNTIF($F$103:$F$175,1)=0,0,D98/COUNTIF($F$103:$F$175,1))</f>
        <v/>
      </c>
      <c r="F98" s="2">
        <f>COUNTIFS($B$103:$B$175,"YES",$F$103:$F$175,2)</f>
        <v/>
      </c>
      <c r="G98" s="9">
        <f>IF(COUNTIF($F$103:$F$175,2)=0,0,F98/COUNTIF($F$103:$F$175,2))</f>
        <v/>
      </c>
      <c r="H98" s="2">
        <f>COUNTIFS($B$103:$B$175,"YES",$F$103:$F$175,3)</f>
        <v/>
      </c>
      <c r="I98" s="9">
        <f>IF(COUNTIF($F$103:$F$175,3)=0,0,H98/COUNTIF($F$103:$F$175,3))</f>
        <v/>
      </c>
      <c r="J98" s="2">
        <f>COUNTIFS($B$103:$B$175,"YES",$F$103:$F$175,4)</f>
        <v/>
      </c>
      <c r="K98" s="9">
        <f>IF(COUNTIF($F$103:$F$175,4)=0,0,J98/COUNTIF($F$103:$F$175,4))</f>
        <v/>
      </c>
      <c r="L98" s="2">
        <f>COUNTIFS($B$103:$B$175,"YES",$F$103:$F$175,5)</f>
        <v/>
      </c>
      <c r="M98" s="9">
        <f>IF(COUNTIF($F$103:$F$175,5)=0,0,L98/COUNTIF($F$103:$F$175,5))</f>
        <v/>
      </c>
      <c r="N98" s="2">
        <f>COUNTIFS($B$103:$B$175,"YES",$F$103:$F$175,6)</f>
        <v/>
      </c>
      <c r="O98" s="9">
        <f>IF(COUNTIF($F$103:$F$175,6)=0,0,N98/COUNTIF($F$103:$F$175,6))</f>
        <v/>
      </c>
      <c r="P98" s="2">
        <f>COUNTIFS($B$103:$B$175,"YES",$F$103:$F$175,7)</f>
        <v/>
      </c>
      <c r="Q98" s="9">
        <f>IF(COUNTIF($F$103:$F$175,7)=0,0,P98/COUNTIF($F$103:$F$175,7))</f>
        <v/>
      </c>
      <c r="R98" s="2">
        <f>COUNTIFS($B$103:$B$175,"YES",$F$103:$F$175,8)</f>
        <v/>
      </c>
      <c r="S98" s="9">
        <f>IF(COUNTIF($F$103:$F$175,8)=0,0,R98/COUNTIF($F$103:$F$175,8))</f>
        <v/>
      </c>
    </row>
    <row r="99">
      <c r="A99" s="2" t="inlineStr">
        <is>
          <t>Passed on every version (strict, as in section 3)</t>
        </is>
      </c>
      <c r="B99" s="2">
        <f>B90</f>
        <v/>
      </c>
      <c r="C99" s="9">
        <f>IF(COUNTA($A$103:$A$175)=0,0,B99/COUNTA($A$103:$A$175))</f>
        <v/>
      </c>
      <c r="D99" s="2">
        <f>D90</f>
        <v/>
      </c>
      <c r="E99" s="9">
        <f>IF(COUNTIF($F$103:$F$175,1)=0,0,D99/COUNTIF($F$103:$F$175,1))</f>
        <v/>
      </c>
      <c r="F99" s="2">
        <f>F90</f>
        <v/>
      </c>
      <c r="G99" s="9">
        <f>IF(COUNTIF($F$103:$F$175,2)=0,0,F99/COUNTIF($F$103:$F$175,2))</f>
        <v/>
      </c>
      <c r="H99" s="2">
        <f>H90</f>
        <v/>
      </c>
      <c r="I99" s="9">
        <f>IF(COUNTIF($F$103:$F$175,3)=0,0,H99/COUNTIF($F$103:$F$175,3))</f>
        <v/>
      </c>
      <c r="J99" s="2">
        <f>J90</f>
        <v/>
      </c>
      <c r="K99" s="9">
        <f>IF(COUNTIF($F$103:$F$175,4)=0,0,J99/COUNTIF($F$103:$F$175,4))</f>
        <v/>
      </c>
      <c r="L99" s="2">
        <f>L90</f>
        <v/>
      </c>
      <c r="M99" s="9">
        <f>IF(COUNTIF($F$103:$F$175,5)=0,0,L99/COUNTIF($F$103:$F$175,5))</f>
        <v/>
      </c>
      <c r="N99" s="2">
        <f>N90</f>
        <v/>
      </c>
      <c r="O99" s="9">
        <f>IF(COUNTIF($F$103:$F$175,6)=0,0,N99/COUNTIF($F$103:$F$175,6))</f>
        <v/>
      </c>
      <c r="P99" s="2">
        <f>P90</f>
        <v/>
      </c>
      <c r="Q99" s="9">
        <f>IF(COUNTIF($F$103:$F$175,7)=0,0,P99/COUNTIF($F$103:$F$175,7))</f>
        <v/>
      </c>
      <c r="R99" s="2">
        <f>R90</f>
        <v/>
      </c>
      <c r="S99" s="9">
        <f>IF(COUNTIF($F$103:$F$175,8)=0,0,R99/COUNTIF($F$103:$F$175,8))</f>
        <v/>
      </c>
    </row>
    <row r="100">
      <c r="A100" s="2" t="inlineStr">
        <is>
          <t>Passed on some but not all versions</t>
        </is>
      </c>
      <c r="B100" s="2">
        <f>B98-B99</f>
        <v/>
      </c>
      <c r="C100" s="9">
        <f>IF(COUNTA($A$103:$A$175)=0,0,B100/COUNTA($A$103:$A$175))</f>
        <v/>
      </c>
      <c r="D100" s="2">
        <f>D98-D99</f>
        <v/>
      </c>
      <c r="E100" s="9">
        <f>IF(COUNTIF($F$103:$F$175,1)=0,0,D100/COUNTIF($F$103:$F$175,1))</f>
        <v/>
      </c>
      <c r="F100" s="2">
        <f>F98-F99</f>
        <v/>
      </c>
      <c r="G100" s="9">
        <f>IF(COUNTIF($F$103:$F$175,2)=0,0,F100/COUNTIF($F$103:$F$175,2))</f>
        <v/>
      </c>
      <c r="H100" s="2">
        <f>H98-H99</f>
        <v/>
      </c>
      <c r="I100" s="9">
        <f>IF(COUNTIF($F$103:$F$175,3)=0,0,H100/COUNTIF($F$103:$F$175,3))</f>
        <v/>
      </c>
      <c r="J100" s="2">
        <f>J98-J99</f>
        <v/>
      </c>
      <c r="K100" s="9">
        <f>IF(COUNTIF($F$103:$F$175,4)=0,0,J100/COUNTIF($F$103:$F$175,4))</f>
        <v/>
      </c>
      <c r="L100" s="2">
        <f>L98-L99</f>
        <v/>
      </c>
      <c r="M100" s="9">
        <f>IF(COUNTIF($F$103:$F$175,5)=0,0,L100/COUNTIF($F$103:$F$175,5))</f>
        <v/>
      </c>
      <c r="N100" s="2">
        <f>N98-N99</f>
        <v/>
      </c>
      <c r="O100" s="9">
        <f>IF(COUNTIF($F$103:$F$175,6)=0,0,N100/COUNTIF($F$103:$F$175,6))</f>
        <v/>
      </c>
      <c r="P100" s="2">
        <f>P98-P99</f>
        <v/>
      </c>
      <c r="Q100" s="9">
        <f>IF(COUNTIF($F$103:$F$175,7)=0,0,P100/COUNTIF($F$103:$F$175,7))</f>
        <v/>
      </c>
      <c r="R100" s="2">
        <f>R98-R99</f>
        <v/>
      </c>
      <c r="S100" s="9">
        <f>IF(COUNTIF($F$103:$F$175,8)=0,0,R100/COUNTIF($F$103:$F$175,8))</f>
        <v/>
      </c>
    </row>
    <row r="101">
      <c r="A101" s="2" t="inlineStr">
        <is>
          <t>Passed on no version</t>
        </is>
      </c>
      <c r="B101" s="2">
        <f>COUNTIF($B$103:$B$175,"NO")</f>
        <v/>
      </c>
      <c r="C101" s="9">
        <f>IF(COUNTA($A$103:$A$175)=0,0,B101/COUNTA($A$103:$A$175))</f>
        <v/>
      </c>
      <c r="D101" s="2">
        <f>COUNTIFS($B$103:$B$175,"NO",$F$103:$F$175,1)</f>
        <v/>
      </c>
      <c r="E101" s="9">
        <f>IF(COUNTIF($F$103:$F$175,1)=0,0,D101/COUNTIF($F$103:$F$175,1))</f>
        <v/>
      </c>
      <c r="F101" s="2">
        <f>COUNTIFS($B$103:$B$175,"NO",$F$103:$F$175,2)</f>
        <v/>
      </c>
      <c r="G101" s="9">
        <f>IF(COUNTIF($F$103:$F$175,2)=0,0,F101/COUNTIF($F$103:$F$175,2))</f>
        <v/>
      </c>
      <c r="H101" s="2">
        <f>COUNTIFS($B$103:$B$175,"NO",$F$103:$F$175,3)</f>
        <v/>
      </c>
      <c r="I101" s="9">
        <f>IF(COUNTIF($F$103:$F$175,3)=0,0,H101/COUNTIF($F$103:$F$175,3))</f>
        <v/>
      </c>
      <c r="J101" s="2">
        <f>COUNTIFS($B$103:$B$175,"NO",$F$103:$F$175,4)</f>
        <v/>
      </c>
      <c r="K101" s="9">
        <f>IF(COUNTIF($F$103:$F$175,4)=0,0,J101/COUNTIF($F$103:$F$175,4))</f>
        <v/>
      </c>
      <c r="L101" s="2">
        <f>COUNTIFS($B$103:$B$175,"NO",$F$103:$F$175,5)</f>
        <v/>
      </c>
      <c r="M101" s="9">
        <f>IF(COUNTIF($F$103:$F$175,5)=0,0,L101/COUNTIF($F$103:$F$175,5))</f>
        <v/>
      </c>
      <c r="N101" s="2">
        <f>COUNTIFS($B$103:$B$175,"NO",$F$103:$F$175,6)</f>
        <v/>
      </c>
      <c r="O101" s="9">
        <f>IF(COUNTIF($F$103:$F$175,6)=0,0,N101/COUNTIF($F$103:$F$175,6))</f>
        <v/>
      </c>
      <c r="P101" s="2">
        <f>COUNTIFS($B$103:$B$175,"NO",$F$103:$F$175,7)</f>
        <v/>
      </c>
      <c r="Q101" s="9">
        <f>IF(COUNTIF($F$103:$F$175,7)=0,0,P101/COUNTIF($F$103:$F$175,7))</f>
        <v/>
      </c>
      <c r="R101" s="2">
        <f>COUNTIFS($B$103:$B$175,"NO",$F$103:$F$175,8)</f>
        <v/>
      </c>
      <c r="S101" s="9">
        <f>IF(COUNTIF($F$103:$F$175,8)=0,0,R101/COUNTIF($F$103:$F$175,8))</f>
        <v/>
      </c>
    </row>
    <row r="102">
      <c r="A102" s="1" t="inlineStr">
        <is>
          <t>Case</t>
        </is>
      </c>
      <c r="B102" s="1" t="inlineStr">
        <is>
          <t>Passed on ≥1 version?</t>
        </is>
      </c>
      <c r="C102" s="1" t="inlineStr">
        <is>
          <t>Versions it passed on</t>
        </is>
      </c>
      <c r="D102" s="1" t="inlineStr">
        <is>
          <t># passed</t>
        </is>
      </c>
      <c r="E102" s="1" t="inlineStr">
        <is>
          <t># tested</t>
        </is>
      </c>
      <c r="F102" s="1" t="inlineStr">
        <is>
          <t>Batch</t>
        </is>
      </c>
    </row>
    <row r="103">
      <c r="A103" s="2">
        <f>Summary!A2</f>
        <v/>
      </c>
      <c r="B103" s="2">
        <f>IF(C14&gt;0,"YES","NO")</f>
        <v/>
      </c>
      <c r="C103" s="14">
        <f t="array" ref="C103">IF(C14=0,"-",_xlfn.TEXTJOIN(", ",TRUE,IF(Summary!$B$2:$AB$2="Passed on test",Summary!$B$1:$AB$1,"")))</f>
        <v/>
      </c>
      <c r="D103" s="2">
        <f>C14</f>
        <v/>
      </c>
      <c r="E103" s="2">
        <f>B14</f>
        <v/>
      </c>
      <c r="F103" s="2" t="n">
        <v>1</v>
      </c>
    </row>
    <row r="104">
      <c r="A104" s="2">
        <f>Summary!A3</f>
        <v/>
      </c>
      <c r="B104" s="2">
        <f>IF(C15&gt;0,"YES","NO")</f>
        <v/>
      </c>
      <c r="C104" s="14">
        <f t="array" ref="C104">IF(C15=0,"-",_xlfn.TEXTJOIN(", ",TRUE,IF(Summary!$B$3:$AB$3="Passed on test",Summary!$B$1:$AB$1,"")))</f>
        <v/>
      </c>
      <c r="D104" s="2">
        <f>C15</f>
        <v/>
      </c>
      <c r="E104" s="2">
        <f>B15</f>
        <v/>
      </c>
      <c r="F104" s="2" t="n">
        <v>1</v>
      </c>
    </row>
    <row r="105">
      <c r="A105" s="2">
        <f>Summary!A4</f>
        <v/>
      </c>
      <c r="B105" s="2">
        <f>IF(C16&gt;0,"YES","NO")</f>
        <v/>
      </c>
      <c r="C105" s="14">
        <f t="array" ref="C105">IF(C16=0,"-",_xlfn.TEXTJOIN(", ",TRUE,IF(Summary!$B$4:$AB$4="Passed on test",Summary!$B$1:$AB$1,"")))</f>
        <v/>
      </c>
      <c r="D105" s="2">
        <f>C16</f>
        <v/>
      </c>
      <c r="E105" s="2">
        <f>B16</f>
        <v/>
      </c>
      <c r="F105" s="2" t="n">
        <v>1</v>
      </c>
    </row>
    <row r="106">
      <c r="A106" s="2">
        <f>Summary!A5</f>
        <v/>
      </c>
      <c r="B106" s="2">
        <f>IF(C17&gt;0,"YES","NO")</f>
        <v/>
      </c>
      <c r="C106" s="14">
        <f t="array" ref="C106">IF(C17=0,"-",_xlfn.TEXTJOIN(", ",TRUE,IF(Summary!$B$5:$AB$5="Passed on test",Summary!$B$1:$AB$1,"")))</f>
        <v/>
      </c>
      <c r="D106" s="2">
        <f>C17</f>
        <v/>
      </c>
      <c r="E106" s="2">
        <f>B17</f>
        <v/>
      </c>
      <c r="F106" s="2" t="n">
        <v>1</v>
      </c>
    </row>
    <row r="107">
      <c r="A107" s="2">
        <f>Summary!A6</f>
        <v/>
      </c>
      <c r="B107" s="2">
        <f>IF(C18&gt;0,"YES","NO")</f>
        <v/>
      </c>
      <c r="C107" s="14">
        <f t="array" ref="C107">IF(C18=0,"-",_xlfn.TEXTJOIN(", ",TRUE,IF(Summary!$B$6:$AB$6="Passed on test",Summary!$B$1:$AB$1,"")))</f>
        <v/>
      </c>
      <c r="D107" s="2">
        <f>C18</f>
        <v/>
      </c>
      <c r="E107" s="2">
        <f>B18</f>
        <v/>
      </c>
      <c r="F107" s="2" t="n">
        <v>1</v>
      </c>
    </row>
    <row r="108">
      <c r="A108" s="2">
        <f>Summary!A7</f>
        <v/>
      </c>
      <c r="B108" s="2">
        <f>IF(C19&gt;0,"YES","NO")</f>
        <v/>
      </c>
      <c r="C108" s="14">
        <f t="array" ref="C108">IF(C19=0,"-",_xlfn.TEXTJOIN(", ",TRUE,IF(Summary!$B$7:$AB$7="Passed on test",Summary!$B$1:$AB$1,"")))</f>
        <v/>
      </c>
      <c r="D108" s="2">
        <f>C19</f>
        <v/>
      </c>
      <c r="E108" s="2">
        <f>B19</f>
        <v/>
      </c>
      <c r="F108" s="2" t="n">
        <v>1</v>
      </c>
    </row>
    <row r="109">
      <c r="A109" s="2">
        <f>Summary!A8</f>
        <v/>
      </c>
      <c r="B109" s="2">
        <f>IF(C20&gt;0,"YES","NO")</f>
        <v/>
      </c>
      <c r="C109" s="14">
        <f t="array" ref="C109">IF(C20=0,"-",_xlfn.TEXTJOIN(", ",TRUE,IF(Summary!$B$8:$AB$8="Passed on test",Summary!$B$1:$AB$1,"")))</f>
        <v/>
      </c>
      <c r="D109" s="2">
        <f>C20</f>
        <v/>
      </c>
      <c r="E109" s="2">
        <f>B20</f>
        <v/>
      </c>
      <c r="F109" s="2" t="n">
        <v>1</v>
      </c>
    </row>
    <row r="110">
      <c r="A110" s="2">
        <f>Summary!A9</f>
        <v/>
      </c>
      <c r="B110" s="2">
        <f>IF(C21&gt;0,"YES","NO")</f>
        <v/>
      </c>
      <c r="C110" s="14">
        <f t="array" ref="C110">IF(C21=0,"-",_xlfn.TEXTJOIN(", ",TRUE,IF(Summary!$B$9:$AB$9="Passed on test",Summary!$B$1:$AB$1,"")))</f>
        <v/>
      </c>
      <c r="D110" s="2">
        <f>C21</f>
        <v/>
      </c>
      <c r="E110" s="2">
        <f>B21</f>
        <v/>
      </c>
      <c r="F110" s="2" t="n">
        <v>1</v>
      </c>
    </row>
    <row r="111">
      <c r="A111" s="2">
        <f>Summary!A10</f>
        <v/>
      </c>
      <c r="B111" s="2">
        <f>IF(C22&gt;0,"YES","NO")</f>
        <v/>
      </c>
      <c r="C111" s="14">
        <f t="array" ref="C111">IF(C22=0,"-",_xlfn.TEXTJOIN(", ",TRUE,IF(Summary!$B$10:$AB$10="Passed on test",Summary!$B$1:$AB$1,"")))</f>
        <v/>
      </c>
      <c r="D111" s="2">
        <f>C22</f>
        <v/>
      </c>
      <c r="E111" s="2">
        <f>B22</f>
        <v/>
      </c>
      <c r="F111" s="2" t="n">
        <v>1</v>
      </c>
    </row>
    <row r="112">
      <c r="A112" s="2">
        <f>Summary!A11</f>
        <v/>
      </c>
      <c r="B112" s="2">
        <f>IF(C23&gt;0,"YES","NO")</f>
        <v/>
      </c>
      <c r="C112" s="14">
        <f t="array" ref="C112">IF(C23=0,"-",_xlfn.TEXTJOIN(", ",TRUE,IF(Summary!$B$11:$AB$11="Passed on test",Summary!$B$1:$AB$1,"")))</f>
        <v/>
      </c>
      <c r="D112" s="2">
        <f>C23</f>
        <v/>
      </c>
      <c r="E112" s="2">
        <f>B23</f>
        <v/>
      </c>
      <c r="F112" s="2" t="n">
        <v>1</v>
      </c>
    </row>
    <row r="113">
      <c r="A113" s="2">
        <f>Summary!A12</f>
        <v/>
      </c>
      <c r="B113" s="2">
        <f>IF(C24&gt;0,"YES","NO")</f>
        <v/>
      </c>
      <c r="C113" s="14">
        <f t="array" ref="C113">IF(C24=0,"-",_xlfn.TEXTJOIN(", ",TRUE,IF(Summary!$B$12:$AB$12="Passed on test",Summary!$B$1:$AB$1,"")))</f>
        <v/>
      </c>
      <c r="D113" s="2">
        <f>C24</f>
        <v/>
      </c>
      <c r="E113" s="2">
        <f>B24</f>
        <v/>
      </c>
      <c r="F113" s="2" t="n">
        <v>2</v>
      </c>
    </row>
    <row r="114">
      <c r="A114" s="2">
        <f>Summary!A13</f>
        <v/>
      </c>
      <c r="B114" s="2">
        <f>IF(C25&gt;0,"YES","NO")</f>
        <v/>
      </c>
      <c r="C114" s="14">
        <f t="array" ref="C114">IF(C25=0,"-",_xlfn.TEXTJOIN(", ",TRUE,IF(Summary!$B$13:$AB$13="Passed on test",Summary!$B$1:$AB$1,"")))</f>
        <v/>
      </c>
      <c r="D114" s="2">
        <f>C25</f>
        <v/>
      </c>
      <c r="E114" s="2">
        <f>B25</f>
        <v/>
      </c>
      <c r="F114" s="2" t="n">
        <v>2</v>
      </c>
    </row>
    <row r="115">
      <c r="A115" s="2">
        <f>Summary!A14</f>
        <v/>
      </c>
      <c r="B115" s="2">
        <f>IF(C26&gt;0,"YES","NO")</f>
        <v/>
      </c>
      <c r="C115" s="14">
        <f t="array" ref="C115">IF(C26=0,"-",_xlfn.TEXTJOIN(", ",TRUE,IF(Summary!$B$14:$AB$14="Passed on test",Summary!$B$1:$AB$1,"")))</f>
        <v/>
      </c>
      <c r="D115" s="2">
        <f>C26</f>
        <v/>
      </c>
      <c r="E115" s="2">
        <f>B26</f>
        <v/>
      </c>
      <c r="F115" s="2" t="n">
        <v>2</v>
      </c>
    </row>
    <row r="116">
      <c r="A116" s="2">
        <f>Summary!A15</f>
        <v/>
      </c>
      <c r="B116" s="2">
        <f>IF(C27&gt;0,"YES","NO")</f>
        <v/>
      </c>
      <c r="C116" s="14">
        <f t="array" ref="C116">IF(C27=0,"-",_xlfn.TEXTJOIN(", ",TRUE,IF(Summary!$B$15:$AB$15="Passed on test",Summary!$B$1:$AB$1,"")))</f>
        <v/>
      </c>
      <c r="D116" s="2">
        <f>C27</f>
        <v/>
      </c>
      <c r="E116" s="2">
        <f>B27</f>
        <v/>
      </c>
      <c r="F116" s="2" t="n">
        <v>2</v>
      </c>
    </row>
    <row r="117">
      <c r="A117" s="2">
        <f>Summary!A16</f>
        <v/>
      </c>
      <c r="B117" s="2">
        <f>IF(C28&gt;0,"YES","NO")</f>
        <v/>
      </c>
      <c r="C117" s="14">
        <f t="array" ref="C117">IF(C28=0,"-",_xlfn.TEXTJOIN(", ",TRUE,IF(Summary!$B$16:$AB$16="Passed on test",Summary!$B$1:$AB$1,"")))</f>
        <v/>
      </c>
      <c r="D117" s="2">
        <f>C28</f>
        <v/>
      </c>
      <c r="E117" s="2">
        <f>B28</f>
        <v/>
      </c>
      <c r="F117" s="2" t="n">
        <v>2</v>
      </c>
    </row>
    <row r="118">
      <c r="A118" s="2">
        <f>Summary!A17</f>
        <v/>
      </c>
      <c r="B118" s="2">
        <f>IF(C29&gt;0,"YES","NO")</f>
        <v/>
      </c>
      <c r="C118" s="14">
        <f t="array" ref="C118">IF(C29=0,"-",_xlfn.TEXTJOIN(", ",TRUE,IF(Summary!$B$17:$AB$17="Passed on test",Summary!$B$1:$AB$1,"")))</f>
        <v/>
      </c>
      <c r="D118" s="2">
        <f>C29</f>
        <v/>
      </c>
      <c r="E118" s="2">
        <f>B29</f>
        <v/>
      </c>
      <c r="F118" s="2" t="n">
        <v>2</v>
      </c>
    </row>
    <row r="119">
      <c r="A119" s="2">
        <f>Summary!A18</f>
        <v/>
      </c>
      <c r="B119" s="2">
        <f>IF(C30&gt;0,"YES","NO")</f>
        <v/>
      </c>
      <c r="C119" s="14">
        <f t="array" ref="C119">IF(C30=0,"-",_xlfn.TEXTJOIN(", ",TRUE,IF(Summary!$B$18:$AB$18="Passed on test",Summary!$B$1:$AB$1,"")))</f>
        <v/>
      </c>
      <c r="D119" s="2">
        <f>C30</f>
        <v/>
      </c>
      <c r="E119" s="2">
        <f>B30</f>
        <v/>
      </c>
      <c r="F119" s="2" t="n">
        <v>2</v>
      </c>
    </row>
    <row r="120">
      <c r="A120" s="2">
        <f>Summary!A19</f>
        <v/>
      </c>
      <c r="B120" s="2">
        <f>IF(C31&gt;0,"YES","NO")</f>
        <v/>
      </c>
      <c r="C120" s="14">
        <f t="array" ref="C120">IF(C31=0,"-",_xlfn.TEXTJOIN(", ",TRUE,IF(Summary!$B$19:$AB$19="Passed on test",Summary!$B$1:$AB$1,"")))</f>
        <v/>
      </c>
      <c r="D120" s="2">
        <f>C31</f>
        <v/>
      </c>
      <c r="E120" s="2">
        <f>B31</f>
        <v/>
      </c>
      <c r="F120" s="2" t="n">
        <v>2</v>
      </c>
    </row>
    <row r="121">
      <c r="A121" s="2">
        <f>Summary!A20</f>
        <v/>
      </c>
      <c r="B121" s="2">
        <f>IF(C32&gt;0,"YES","NO")</f>
        <v/>
      </c>
      <c r="C121" s="14">
        <f t="array" ref="C121">IF(C32=0,"-",_xlfn.TEXTJOIN(", ",TRUE,IF(Summary!$B$20:$AB$20="Passed on test",Summary!$B$1:$AB$1,"")))</f>
        <v/>
      </c>
      <c r="D121" s="2">
        <f>C32</f>
        <v/>
      </c>
      <c r="E121" s="2">
        <f>B32</f>
        <v/>
      </c>
      <c r="F121" s="2" t="n">
        <v>2</v>
      </c>
    </row>
    <row r="122">
      <c r="A122" s="2">
        <f>Summary!A21</f>
        <v/>
      </c>
      <c r="B122" s="2">
        <f>IF(C33&gt;0,"YES","NO")</f>
        <v/>
      </c>
      <c r="C122" s="14">
        <f t="array" ref="C122">IF(C33=0,"-",_xlfn.TEXTJOIN(", ",TRUE,IF(Summary!$B$21:$AB$21="Passed on test",Summary!$B$1:$AB$1,"")))</f>
        <v/>
      </c>
      <c r="D122" s="2">
        <f>C33</f>
        <v/>
      </c>
      <c r="E122" s="2">
        <f>B33</f>
        <v/>
      </c>
      <c r="F122" s="2" t="n">
        <v>2</v>
      </c>
    </row>
    <row r="123">
      <c r="A123" s="2">
        <f>Summary!A22</f>
        <v/>
      </c>
      <c r="B123" s="2">
        <f>IF(C34&gt;0,"YES","NO")</f>
        <v/>
      </c>
      <c r="C123" s="14">
        <f t="array" ref="C123">IF(C34=0,"-",_xlfn.TEXTJOIN(", ",TRUE,IF(Summary!$B$22:$AB$22="Passed on test",Summary!$B$1:$AB$1,"")))</f>
        <v/>
      </c>
      <c r="D123" s="2">
        <f>C34</f>
        <v/>
      </c>
      <c r="E123" s="2">
        <f>B34</f>
        <v/>
      </c>
      <c r="F123" s="2" t="n">
        <v>3</v>
      </c>
    </row>
    <row r="124">
      <c r="A124" s="2">
        <f>Summary!A23</f>
        <v/>
      </c>
      <c r="B124" s="2">
        <f>IF(C35&gt;0,"YES","NO")</f>
        <v/>
      </c>
      <c r="C124" s="14">
        <f t="array" ref="C124">IF(C35=0,"-",_xlfn.TEXTJOIN(", ",TRUE,IF(Summary!$B$23:$AB$23="Passed on test",Summary!$B$1:$AB$1,"")))</f>
        <v/>
      </c>
      <c r="D124" s="2">
        <f>C35</f>
        <v/>
      </c>
      <c r="E124" s="2">
        <f>B35</f>
        <v/>
      </c>
      <c r="F124" s="2" t="n">
        <v>3</v>
      </c>
    </row>
    <row r="125">
      <c r="A125" s="2">
        <f>Summary!A24</f>
        <v/>
      </c>
      <c r="B125" s="2">
        <f>IF(C36&gt;0,"YES","NO")</f>
        <v/>
      </c>
      <c r="C125" s="14">
        <f t="array" ref="C125">IF(C36=0,"-",_xlfn.TEXTJOIN(", ",TRUE,IF(Summary!$B$24:$AB$24="Passed on test",Summary!$B$1:$AB$1,"")))</f>
        <v/>
      </c>
      <c r="D125" s="2">
        <f>C36</f>
        <v/>
      </c>
      <c r="E125" s="2">
        <f>B36</f>
        <v/>
      </c>
      <c r="F125" s="2" t="n">
        <v>3</v>
      </c>
    </row>
    <row r="126">
      <c r="A126" s="2">
        <f>Summary!A25</f>
        <v/>
      </c>
      <c r="B126" s="2">
        <f>IF(C37&gt;0,"YES","NO")</f>
        <v/>
      </c>
      <c r="C126" s="14">
        <f t="array" ref="C126">IF(C37=0,"-",_xlfn.TEXTJOIN(", ",TRUE,IF(Summary!$B$25:$AB$25="Passed on test",Summary!$B$1:$AB$1,"")))</f>
        <v/>
      </c>
      <c r="D126" s="2">
        <f>C37</f>
        <v/>
      </c>
      <c r="E126" s="2">
        <f>B37</f>
        <v/>
      </c>
      <c r="F126" s="2" t="n">
        <v>3</v>
      </c>
    </row>
    <row r="127">
      <c r="A127" s="2">
        <f>Summary!A26</f>
        <v/>
      </c>
      <c r="B127" s="2">
        <f>IF(C38&gt;0,"YES","NO")</f>
        <v/>
      </c>
      <c r="C127" s="14">
        <f t="array" ref="C127">IF(C38=0,"-",_xlfn.TEXTJOIN(", ",TRUE,IF(Summary!$B$26:$AB$26="Passed on test",Summary!$B$1:$AB$1,"")))</f>
        <v/>
      </c>
      <c r="D127" s="2">
        <f>C38</f>
        <v/>
      </c>
      <c r="E127" s="2">
        <f>B38</f>
        <v/>
      </c>
      <c r="F127" s="2" t="n">
        <v>3</v>
      </c>
    </row>
    <row r="128">
      <c r="A128" s="2">
        <f>Summary!A27</f>
        <v/>
      </c>
      <c r="B128" s="2">
        <f>IF(C39&gt;0,"YES","NO")</f>
        <v/>
      </c>
      <c r="C128" s="14">
        <f t="array" ref="C128">IF(C39=0,"-",_xlfn.TEXTJOIN(", ",TRUE,IF(Summary!$B$27:$AB$27="Passed on test",Summary!$B$1:$AB$1,"")))</f>
        <v/>
      </c>
      <c r="D128" s="2">
        <f>C39</f>
        <v/>
      </c>
      <c r="E128" s="2">
        <f>B39</f>
        <v/>
      </c>
      <c r="F128" s="2" t="n">
        <v>3</v>
      </c>
    </row>
    <row r="129">
      <c r="A129" s="2">
        <f>Summary!A28</f>
        <v/>
      </c>
      <c r="B129" s="2">
        <f>IF(C40&gt;0,"YES","NO")</f>
        <v/>
      </c>
      <c r="C129" s="14">
        <f t="array" ref="C129">IF(C40=0,"-",_xlfn.TEXTJOIN(", ",TRUE,IF(Summary!$B$28:$AB$28="Passed on test",Summary!$B$1:$AB$1,"")))</f>
        <v/>
      </c>
      <c r="D129" s="2">
        <f>C40</f>
        <v/>
      </c>
      <c r="E129" s="2">
        <f>B40</f>
        <v/>
      </c>
      <c r="F129" s="2" t="n">
        <v>3</v>
      </c>
    </row>
    <row r="130">
      <c r="A130" s="2">
        <f>Summary!A29</f>
        <v/>
      </c>
      <c r="B130" s="2">
        <f>IF(C41&gt;0,"YES","NO")</f>
        <v/>
      </c>
      <c r="C130" s="14">
        <f t="array" ref="C130">IF(C41=0,"-",_xlfn.TEXTJOIN(", ",TRUE,IF(Summary!$B$29:$AB$29="Passed on test",Summary!$B$1:$AB$1,"")))</f>
        <v/>
      </c>
      <c r="D130" s="2">
        <f>C41</f>
        <v/>
      </c>
      <c r="E130" s="2">
        <f>B41</f>
        <v/>
      </c>
      <c r="F130" s="2" t="n">
        <v>3</v>
      </c>
    </row>
    <row r="131">
      <c r="A131" s="2">
        <f>Summary!A30</f>
        <v/>
      </c>
      <c r="B131" s="2">
        <f>IF(C42&gt;0,"YES","NO")</f>
        <v/>
      </c>
      <c r="C131" s="14">
        <f t="array" ref="C131">IF(C42=0,"-",_xlfn.TEXTJOIN(", ",TRUE,IF(Summary!$B$30:$AB$30="Passed on test",Summary!$B$1:$AB$1,"")))</f>
        <v/>
      </c>
      <c r="D131" s="2">
        <f>C42</f>
        <v/>
      </c>
      <c r="E131" s="2">
        <f>B42</f>
        <v/>
      </c>
      <c r="F131" s="2" t="n">
        <v>3</v>
      </c>
    </row>
    <row r="132">
      <c r="A132" s="2">
        <f>Summary!A31</f>
        <v/>
      </c>
      <c r="B132" s="2">
        <f>IF(C43&gt;0,"YES","NO")</f>
        <v/>
      </c>
      <c r="C132" s="14">
        <f t="array" ref="C132">IF(C43=0,"-",_xlfn.TEXTJOIN(", ",TRUE,IF(Summary!$B$31:$AB$31="Passed on test",Summary!$B$1:$AB$1,"")))</f>
        <v/>
      </c>
      <c r="D132" s="2">
        <f>C43</f>
        <v/>
      </c>
      <c r="E132" s="2">
        <f>B43</f>
        <v/>
      </c>
      <c r="F132" s="2" t="n">
        <v>3</v>
      </c>
    </row>
    <row r="133">
      <c r="A133" s="2">
        <f>Summary!A32</f>
        <v/>
      </c>
      <c r="B133" s="2">
        <f>IF(C44&gt;0,"YES","NO")</f>
        <v/>
      </c>
      <c r="C133" s="14">
        <f t="array" ref="C133">IF(C44=0,"-",_xlfn.TEXTJOIN(", ",TRUE,IF(Summary!$B$32:$AB$32="Passed on test",Summary!$B$1:$AB$1,"")))</f>
        <v/>
      </c>
      <c r="D133" s="2">
        <f>C44</f>
        <v/>
      </c>
      <c r="E133" s="2">
        <f>B44</f>
        <v/>
      </c>
      <c r="F133" s="2" t="n">
        <v>4</v>
      </c>
    </row>
    <row r="134">
      <c r="A134" s="2">
        <f>Summary!A33</f>
        <v/>
      </c>
      <c r="B134" s="2">
        <f>IF(C45&gt;0,"YES","NO")</f>
        <v/>
      </c>
      <c r="C134" s="14">
        <f t="array" ref="C134">IF(C45=0,"-",_xlfn.TEXTJOIN(", ",TRUE,IF(Summary!$B$33:$AB$33="Passed on test",Summary!$B$1:$AB$1,"")))</f>
        <v/>
      </c>
      <c r="D134" s="2">
        <f>C45</f>
        <v/>
      </c>
      <c r="E134" s="2">
        <f>B45</f>
        <v/>
      </c>
      <c r="F134" s="2" t="n">
        <v>4</v>
      </c>
    </row>
    <row r="135">
      <c r="A135" s="2">
        <f>Summary!A34</f>
        <v/>
      </c>
      <c r="B135" s="2">
        <f>IF(C46&gt;0,"YES","NO")</f>
        <v/>
      </c>
      <c r="C135" s="14">
        <f t="array" ref="C135">IF(C46=0,"-",_xlfn.TEXTJOIN(", ",TRUE,IF(Summary!$B$34:$AB$34="Passed on test",Summary!$B$1:$AB$1,"")))</f>
        <v/>
      </c>
      <c r="D135" s="2">
        <f>C46</f>
        <v/>
      </c>
      <c r="E135" s="2">
        <f>B46</f>
        <v/>
      </c>
      <c r="F135" s="2" t="n">
        <v>4</v>
      </c>
    </row>
    <row r="136">
      <c r="A136" s="2">
        <f>Summary!A35</f>
        <v/>
      </c>
      <c r="B136" s="2">
        <f>IF(C47&gt;0,"YES","NO")</f>
        <v/>
      </c>
      <c r="C136" s="14">
        <f t="array" ref="C136">IF(C47=0,"-",_xlfn.TEXTJOIN(", ",TRUE,IF(Summary!$B$35:$AB$35="Passed on test",Summary!$B$1:$AB$1,"")))</f>
        <v/>
      </c>
      <c r="D136" s="2">
        <f>C47</f>
        <v/>
      </c>
      <c r="E136" s="2">
        <f>B47</f>
        <v/>
      </c>
      <c r="F136" s="2" t="n">
        <v>4</v>
      </c>
    </row>
    <row r="137">
      <c r="A137" s="2">
        <f>Summary!A36</f>
        <v/>
      </c>
      <c r="B137" s="2">
        <f>IF(C48&gt;0,"YES","NO")</f>
        <v/>
      </c>
      <c r="C137" s="14">
        <f t="array" ref="C137">IF(C48=0,"-",_xlfn.TEXTJOIN(", ",TRUE,IF(Summary!$B$36:$AB$36="Passed on test",Summary!$B$1:$AB$1,"")))</f>
        <v/>
      </c>
      <c r="D137" s="2">
        <f>C48</f>
        <v/>
      </c>
      <c r="E137" s="2">
        <f>B48</f>
        <v/>
      </c>
      <c r="F137" s="2" t="n">
        <v>4</v>
      </c>
    </row>
    <row r="138">
      <c r="A138" s="2">
        <f>Summary!A37</f>
        <v/>
      </c>
      <c r="B138" s="2">
        <f>IF(C49&gt;0,"YES","NO")</f>
        <v/>
      </c>
      <c r="C138" s="14">
        <f t="array" ref="C138">IF(C49=0,"-",_xlfn.TEXTJOIN(", ",TRUE,IF(Summary!$B$37:$AB$37="Passed on test",Summary!$B$1:$AB$1,"")))</f>
        <v/>
      </c>
      <c r="D138" s="2">
        <f>C49</f>
        <v/>
      </c>
      <c r="E138" s="2">
        <f>B49</f>
        <v/>
      </c>
      <c r="F138" s="2" t="n">
        <v>4</v>
      </c>
    </row>
    <row r="139">
      <c r="A139" s="2">
        <f>Summary!A38</f>
        <v/>
      </c>
      <c r="B139" s="2">
        <f>IF(C50&gt;0,"YES","NO")</f>
        <v/>
      </c>
      <c r="C139" s="14">
        <f t="array" ref="C139">IF(C50=0,"-",_xlfn.TEXTJOIN(", ",TRUE,IF(Summary!$B$38:$AB$38="Passed on test",Summary!$B$1:$AB$1,"")))</f>
        <v/>
      </c>
      <c r="D139" s="2">
        <f>C50</f>
        <v/>
      </c>
      <c r="E139" s="2">
        <f>B50</f>
        <v/>
      </c>
      <c r="F139" s="2" t="n">
        <v>4</v>
      </c>
    </row>
    <row r="140">
      <c r="A140" s="2">
        <f>Summary!A39</f>
        <v/>
      </c>
      <c r="B140" s="2">
        <f>IF(C51&gt;0,"YES","NO")</f>
        <v/>
      </c>
      <c r="C140" s="14">
        <f t="array" ref="C140">IF(C51=0,"-",_xlfn.TEXTJOIN(", ",TRUE,IF(Summary!$B$39:$AB$39="Passed on test",Summary!$B$1:$AB$1,"")))</f>
        <v/>
      </c>
      <c r="D140" s="2">
        <f>C51</f>
        <v/>
      </c>
      <c r="E140" s="2">
        <f>B51</f>
        <v/>
      </c>
      <c r="F140" s="2" t="n">
        <v>4</v>
      </c>
    </row>
    <row r="141">
      <c r="A141" s="2">
        <f>Summary!A40</f>
        <v/>
      </c>
      <c r="B141" s="2">
        <f>IF(C52&gt;0,"YES","NO")</f>
        <v/>
      </c>
      <c r="C141" s="14">
        <f t="array" ref="C141">IF(C52=0,"-",_xlfn.TEXTJOIN(", ",TRUE,IF(Summary!$B$40:$AB$40="Passed on test",Summary!$B$1:$AB$1,"")))</f>
        <v/>
      </c>
      <c r="D141" s="2">
        <f>C52</f>
        <v/>
      </c>
      <c r="E141" s="2">
        <f>B52</f>
        <v/>
      </c>
      <c r="F141" s="2" t="n">
        <v>4</v>
      </c>
    </row>
    <row r="142">
      <c r="A142" s="2">
        <f>Summary!A41</f>
        <v/>
      </c>
      <c r="B142" s="2">
        <f>IF(C53&gt;0,"YES","NO")</f>
        <v/>
      </c>
      <c r="C142" s="14">
        <f t="array" ref="C142">IF(C53=0,"-",_xlfn.TEXTJOIN(", ",TRUE,IF(Summary!$B$41:$AB$41="Passed on test",Summary!$B$1:$AB$1,"")))</f>
        <v/>
      </c>
      <c r="D142" s="2">
        <f>C53</f>
        <v/>
      </c>
      <c r="E142" s="2">
        <f>B53</f>
        <v/>
      </c>
      <c r="F142" s="2" t="n">
        <v>4</v>
      </c>
    </row>
    <row r="143">
      <c r="A143" s="2">
        <f>Summary!A42</f>
        <v/>
      </c>
      <c r="B143" s="2">
        <f>IF(C54&gt;0,"YES","NO")</f>
        <v/>
      </c>
      <c r="C143" s="14">
        <f t="array" ref="C143">IF(C54=0,"-",_xlfn.TEXTJOIN(", ",TRUE,IF(Summary!$B$42:$AB$42="Passed on test",Summary!$B$1:$AB$1,"")))</f>
        <v/>
      </c>
      <c r="D143" s="2">
        <f>C54</f>
        <v/>
      </c>
      <c r="E143" s="2">
        <f>B54</f>
        <v/>
      </c>
      <c r="F143" s="2" t="n">
        <v>5</v>
      </c>
    </row>
    <row r="144">
      <c r="A144" s="2">
        <f>Summary!A43</f>
        <v/>
      </c>
      <c r="B144" s="2">
        <f>IF(C55&gt;0,"YES","NO")</f>
        <v/>
      </c>
      <c r="C144" s="14">
        <f t="array" ref="C144">IF(C55=0,"-",_xlfn.TEXTJOIN(", ",TRUE,IF(Summary!$B$43:$AB$43="Passed on test",Summary!$B$1:$AB$1,"")))</f>
        <v/>
      </c>
      <c r="D144" s="2">
        <f>C55</f>
        <v/>
      </c>
      <c r="E144" s="2">
        <f>B55</f>
        <v/>
      </c>
      <c r="F144" s="2" t="n">
        <v>5</v>
      </c>
    </row>
    <row r="145">
      <c r="A145" s="2">
        <f>Summary!A44</f>
        <v/>
      </c>
      <c r="B145" s="2">
        <f>IF(C56&gt;0,"YES","NO")</f>
        <v/>
      </c>
      <c r="C145" s="14">
        <f t="array" ref="C145">IF(C56=0,"-",_xlfn.TEXTJOIN(", ",TRUE,IF(Summary!$B$44:$AB$44="Passed on test",Summary!$B$1:$AB$1,"")))</f>
        <v/>
      </c>
      <c r="D145" s="2">
        <f>C56</f>
        <v/>
      </c>
      <c r="E145" s="2">
        <f>B56</f>
        <v/>
      </c>
      <c r="F145" s="2" t="n">
        <v>5</v>
      </c>
    </row>
    <row r="146">
      <c r="A146" s="2">
        <f>Summary!A45</f>
        <v/>
      </c>
      <c r="B146" s="2">
        <f>IF(C57&gt;0,"YES","NO")</f>
        <v/>
      </c>
      <c r="C146" s="14">
        <f t="array" ref="C146">IF(C57=0,"-",_xlfn.TEXTJOIN(", ",TRUE,IF(Summary!$B$45:$AB$45="Passed on test",Summary!$B$1:$AB$1,"")))</f>
        <v/>
      </c>
      <c r="D146" s="2">
        <f>C57</f>
        <v/>
      </c>
      <c r="E146" s="2">
        <f>B57</f>
        <v/>
      </c>
      <c r="F146" s="2" t="n">
        <v>5</v>
      </c>
    </row>
    <row r="147">
      <c r="A147" s="2">
        <f>Summary!A46</f>
        <v/>
      </c>
      <c r="B147" s="2">
        <f>IF(C58&gt;0,"YES","NO")</f>
        <v/>
      </c>
      <c r="C147" s="14">
        <f t="array" ref="C147">IF(C58=0,"-",_xlfn.TEXTJOIN(", ",TRUE,IF(Summary!$B$46:$AB$46="Passed on test",Summary!$B$1:$AB$1,"")))</f>
        <v/>
      </c>
      <c r="D147" s="2">
        <f>C58</f>
        <v/>
      </c>
      <c r="E147" s="2">
        <f>B58</f>
        <v/>
      </c>
      <c r="F147" s="2" t="n">
        <v>5</v>
      </c>
    </row>
    <row r="148">
      <c r="A148" s="2">
        <f>Summary!A47</f>
        <v/>
      </c>
      <c r="B148" s="2">
        <f>IF(C59&gt;0,"YES","NO")</f>
        <v/>
      </c>
      <c r="C148" s="14">
        <f t="array" ref="C148">IF(C59=0,"-",_xlfn.TEXTJOIN(", ",TRUE,IF(Summary!$B$47:$AB$47="Passed on test",Summary!$B$1:$AB$1,"")))</f>
        <v/>
      </c>
      <c r="D148" s="2">
        <f>C59</f>
        <v/>
      </c>
      <c r="E148" s="2">
        <f>B59</f>
        <v/>
      </c>
      <c r="F148" s="2" t="n">
        <v>5</v>
      </c>
    </row>
    <row r="149">
      <c r="A149" s="2">
        <f>Summary!A48</f>
        <v/>
      </c>
      <c r="B149" s="2">
        <f>IF(C60&gt;0,"YES","NO")</f>
        <v/>
      </c>
      <c r="C149" s="14">
        <f t="array" ref="C149">IF(C60=0,"-",_xlfn.TEXTJOIN(", ",TRUE,IF(Summary!$B$48:$AB$48="Passed on test",Summary!$B$1:$AB$1,"")))</f>
        <v/>
      </c>
      <c r="D149" s="2">
        <f>C60</f>
        <v/>
      </c>
      <c r="E149" s="2">
        <f>B60</f>
        <v/>
      </c>
      <c r="F149" s="2" t="n">
        <v>5</v>
      </c>
    </row>
    <row r="150">
      <c r="A150" s="2">
        <f>Summary!A49</f>
        <v/>
      </c>
      <c r="B150" s="2">
        <f>IF(C61&gt;0,"YES","NO")</f>
        <v/>
      </c>
      <c r="C150" s="14">
        <f t="array" ref="C150">IF(C61=0,"-",_xlfn.TEXTJOIN(", ",TRUE,IF(Summary!$B$49:$AB$49="Passed on test",Summary!$B$1:$AB$1,"")))</f>
        <v/>
      </c>
      <c r="D150" s="2">
        <f>C61</f>
        <v/>
      </c>
      <c r="E150" s="2">
        <f>B61</f>
        <v/>
      </c>
      <c r="F150" s="2" t="n">
        <v>5</v>
      </c>
    </row>
    <row r="151">
      <c r="A151" s="2">
        <f>Summary!A50</f>
        <v/>
      </c>
      <c r="B151" s="2">
        <f>IF(C62&gt;0,"YES","NO")</f>
        <v/>
      </c>
      <c r="C151" s="14">
        <f t="array" ref="C151">IF(C62=0,"-",_xlfn.TEXTJOIN(", ",TRUE,IF(Summary!$B$50:$AB$50="Passed on test",Summary!$B$1:$AB$1,"")))</f>
        <v/>
      </c>
      <c r="D151" s="2">
        <f>C62</f>
        <v/>
      </c>
      <c r="E151" s="2">
        <f>B62</f>
        <v/>
      </c>
      <c r="F151" s="2" t="n">
        <v>5</v>
      </c>
    </row>
    <row r="152">
      <c r="A152" s="2">
        <f>Summary!A51</f>
        <v/>
      </c>
      <c r="B152" s="2">
        <f>IF(C63&gt;0,"YES","NO")</f>
        <v/>
      </c>
      <c r="C152" s="14">
        <f t="array" ref="C152">IF(C63=0,"-",_xlfn.TEXTJOIN(", ",TRUE,IF(Summary!$B$51:$AB$51="Passed on test",Summary!$B$1:$AB$1,"")))</f>
        <v/>
      </c>
      <c r="D152" s="2">
        <f>C63</f>
        <v/>
      </c>
      <c r="E152" s="2">
        <f>B63</f>
        <v/>
      </c>
      <c r="F152" s="2" t="n">
        <v>5</v>
      </c>
    </row>
    <row r="153">
      <c r="A153" s="2">
        <f>Summary!A52</f>
        <v/>
      </c>
      <c r="B153" s="2">
        <f>IF(C64&gt;0,"YES","NO")</f>
        <v/>
      </c>
      <c r="C153" s="14">
        <f t="array" ref="C153">IF(C64=0,"-",_xlfn.TEXTJOIN(", ",TRUE,IF(Summary!$B$52:$AB$52="Passed on test",Summary!$B$1:$AB$1,"")))</f>
        <v/>
      </c>
      <c r="D153" s="2">
        <f>C64</f>
        <v/>
      </c>
      <c r="E153" s="2">
        <f>B64</f>
        <v/>
      </c>
      <c r="F153" s="2" t="n">
        <v>6</v>
      </c>
    </row>
    <row r="154">
      <c r="A154" s="2">
        <f>Summary!A53</f>
        <v/>
      </c>
      <c r="B154" s="2">
        <f>IF(C65&gt;0,"YES","NO")</f>
        <v/>
      </c>
      <c r="C154" s="14">
        <f t="array" ref="C154">IF(C65=0,"-",_xlfn.TEXTJOIN(", ",TRUE,IF(Summary!$B$53:$AB$53="Passed on test",Summary!$B$1:$AB$1,"")))</f>
        <v/>
      </c>
      <c r="D154" s="2">
        <f>C65</f>
        <v/>
      </c>
      <c r="E154" s="2">
        <f>B65</f>
        <v/>
      </c>
      <c r="F154" s="2" t="n">
        <v>6</v>
      </c>
    </row>
    <row r="155">
      <c r="A155" s="2">
        <f>Summary!A54</f>
        <v/>
      </c>
      <c r="B155" s="2">
        <f>IF(C66&gt;0,"YES","NO")</f>
        <v/>
      </c>
      <c r="C155" s="14">
        <f t="array" ref="C155">IF(C66=0,"-",_xlfn.TEXTJOIN(", ",TRUE,IF(Summary!$B$54:$AB$54="Passed on test",Summary!$B$1:$AB$1,"")))</f>
        <v/>
      </c>
      <c r="D155" s="2">
        <f>C66</f>
        <v/>
      </c>
      <c r="E155" s="2">
        <f>B66</f>
        <v/>
      </c>
      <c r="F155" s="2" t="n">
        <v>6</v>
      </c>
    </row>
    <row r="156">
      <c r="A156" s="2">
        <f>Summary!A55</f>
        <v/>
      </c>
      <c r="B156" s="2">
        <f>IF(C67&gt;0,"YES","NO")</f>
        <v/>
      </c>
      <c r="C156" s="14">
        <f t="array" ref="C156">IF(C67=0,"-",_xlfn.TEXTJOIN(", ",TRUE,IF(Summary!$B$55:$AB$55="Passed on test",Summary!$B$1:$AB$1,"")))</f>
        <v/>
      </c>
      <c r="D156" s="2">
        <f>C67</f>
        <v/>
      </c>
      <c r="E156" s="2">
        <f>B67</f>
        <v/>
      </c>
      <c r="F156" s="2" t="n">
        <v>6</v>
      </c>
    </row>
    <row r="157">
      <c r="A157" s="2">
        <f>Summary!A56</f>
        <v/>
      </c>
      <c r="B157" s="2">
        <f>IF(C68&gt;0,"YES","NO")</f>
        <v/>
      </c>
      <c r="C157" s="14">
        <f t="array" ref="C157">IF(C68=0,"-",_xlfn.TEXTJOIN(", ",TRUE,IF(Summary!$B$56:$AB$56="Passed on test",Summary!$B$1:$AB$1,"")))</f>
        <v/>
      </c>
      <c r="D157" s="2">
        <f>C68</f>
        <v/>
      </c>
      <c r="E157" s="2">
        <f>B68</f>
        <v/>
      </c>
      <c r="F157" s="2" t="n">
        <v>6</v>
      </c>
    </row>
    <row r="158">
      <c r="A158" s="2">
        <f>Summary!A57</f>
        <v/>
      </c>
      <c r="B158" s="2">
        <f>IF(C69&gt;0,"YES","NO")</f>
        <v/>
      </c>
      <c r="C158" s="14">
        <f t="array" ref="C158">IF(C69=0,"-",_xlfn.TEXTJOIN(", ",TRUE,IF(Summary!$B$57:$AB$57="Passed on test",Summary!$B$1:$AB$1,"")))</f>
        <v/>
      </c>
      <c r="D158" s="2">
        <f>C69</f>
        <v/>
      </c>
      <c r="E158" s="2">
        <f>B69</f>
        <v/>
      </c>
      <c r="F158" s="2" t="n">
        <v>6</v>
      </c>
    </row>
    <row r="159">
      <c r="A159" s="2">
        <f>Summary!A58</f>
        <v/>
      </c>
      <c r="B159" s="2">
        <f>IF(C70&gt;0,"YES","NO")</f>
        <v/>
      </c>
      <c r="C159" s="14">
        <f t="array" ref="C159">IF(C70=0,"-",_xlfn.TEXTJOIN(", ",TRUE,IF(Summary!$B$58:$AB$58="Passed on test",Summary!$B$1:$AB$1,"")))</f>
        <v/>
      </c>
      <c r="D159" s="2">
        <f>C70</f>
        <v/>
      </c>
      <c r="E159" s="2">
        <f>B70</f>
        <v/>
      </c>
      <c r="F159" s="2" t="n">
        <v>6</v>
      </c>
    </row>
    <row r="160">
      <c r="A160" s="2">
        <f>Summary!A59</f>
        <v/>
      </c>
      <c r="B160" s="2">
        <f>IF(C71&gt;0,"YES","NO")</f>
        <v/>
      </c>
      <c r="C160" s="14">
        <f t="array" ref="C160">IF(C71=0,"-",_xlfn.TEXTJOIN(", ",TRUE,IF(Summary!$B$59:$AB$59="Passed on test",Summary!$B$1:$AB$1,"")))</f>
        <v/>
      </c>
      <c r="D160" s="2">
        <f>C71</f>
        <v/>
      </c>
      <c r="E160" s="2">
        <f>B71</f>
        <v/>
      </c>
      <c r="F160" s="2" t="n">
        <v>6</v>
      </c>
    </row>
    <row r="161">
      <c r="A161" s="2">
        <f>Summary!A60</f>
        <v/>
      </c>
      <c r="B161" s="2">
        <f>IF(C72&gt;0,"YES","NO")</f>
        <v/>
      </c>
      <c r="C161" s="14">
        <f t="array" ref="C161">IF(C72=0,"-",_xlfn.TEXTJOIN(", ",TRUE,IF(Summary!$B$60:$AB$60="Passed on test",Summary!$B$1:$AB$1,"")))</f>
        <v/>
      </c>
      <c r="D161" s="2">
        <f>C72</f>
        <v/>
      </c>
      <c r="E161" s="2">
        <f>B72</f>
        <v/>
      </c>
      <c r="F161" s="2" t="n">
        <v>6</v>
      </c>
    </row>
    <row r="162">
      <c r="A162" s="2">
        <f>Summary!A61</f>
        <v/>
      </c>
      <c r="B162" s="2">
        <f>IF(C73&gt;0,"YES","NO")</f>
        <v/>
      </c>
      <c r="C162" s="14">
        <f t="array" ref="C162">IF(C73=0,"-",_xlfn.TEXTJOIN(", ",TRUE,IF(Summary!$B$61:$AB$61="Passed on test",Summary!$B$1:$AB$1,"")))</f>
        <v/>
      </c>
      <c r="D162" s="2">
        <f>C73</f>
        <v/>
      </c>
      <c r="E162" s="2">
        <f>B73</f>
        <v/>
      </c>
      <c r="F162" s="2" t="n">
        <v>6</v>
      </c>
    </row>
    <row r="163">
      <c r="A163" s="2">
        <f>Summary!A62</f>
        <v/>
      </c>
      <c r="B163" s="2">
        <f>IF(C74&gt;0,"YES","NO")</f>
        <v/>
      </c>
      <c r="C163" s="14">
        <f t="array" ref="C163">IF(C74=0,"-",_xlfn.TEXTJOIN(", ",TRUE,IF(Summary!$B$62:$AB$62="Passed on test",Summary!$B$1:$AB$1,"")))</f>
        <v/>
      </c>
      <c r="D163" s="2">
        <f>C74</f>
        <v/>
      </c>
      <c r="E163" s="2">
        <f>B74</f>
        <v/>
      </c>
      <c r="F163" s="2" t="n">
        <v>7</v>
      </c>
    </row>
    <row r="164">
      <c r="A164" s="2">
        <f>Summary!A63</f>
        <v/>
      </c>
      <c r="B164" s="2">
        <f>IF(C75&gt;0,"YES","NO")</f>
        <v/>
      </c>
      <c r="C164" s="14">
        <f t="array" ref="C164">IF(C75=0,"-",_xlfn.TEXTJOIN(", ",TRUE,IF(Summary!$B$63:$AB$63="Passed on test",Summary!$B$1:$AB$1,"")))</f>
        <v/>
      </c>
      <c r="D164" s="2">
        <f>C75</f>
        <v/>
      </c>
      <c r="E164" s="2">
        <f>B75</f>
        <v/>
      </c>
      <c r="F164" s="2" t="n">
        <v>7</v>
      </c>
    </row>
    <row r="165">
      <c r="A165" s="2">
        <f>Summary!A64</f>
        <v/>
      </c>
      <c r="B165" s="2">
        <f>IF(C76&gt;0,"YES","NO")</f>
        <v/>
      </c>
      <c r="C165" s="14">
        <f t="array" ref="C165">IF(C76=0,"-",_xlfn.TEXTJOIN(", ",TRUE,IF(Summary!$B$64:$AB$64="Passed on test",Summary!$B$1:$AB$1,"")))</f>
        <v/>
      </c>
      <c r="D165" s="2">
        <f>C76</f>
        <v/>
      </c>
      <c r="E165" s="2">
        <f>B76</f>
        <v/>
      </c>
      <c r="F165" s="2" t="n">
        <v>7</v>
      </c>
    </row>
    <row r="166">
      <c r="A166" s="2">
        <f>Summary!A65</f>
        <v/>
      </c>
      <c r="B166" s="2">
        <f>IF(C77&gt;0,"YES","NO")</f>
        <v/>
      </c>
      <c r="C166" s="14">
        <f t="array" ref="C166">IF(C77=0,"-",_xlfn.TEXTJOIN(", ",TRUE,IF(Summary!$B$65:$AB$65="Passed on test",Summary!$B$1:$AB$1,"")))</f>
        <v/>
      </c>
      <c r="D166" s="2">
        <f>C77</f>
        <v/>
      </c>
      <c r="E166" s="2">
        <f>B77</f>
        <v/>
      </c>
      <c r="F166" s="2" t="n">
        <v>7</v>
      </c>
    </row>
    <row r="167">
      <c r="A167" s="2">
        <f>Summary!A66</f>
        <v/>
      </c>
      <c r="B167" s="2">
        <f>IF(C78&gt;0,"YES","NO")</f>
        <v/>
      </c>
      <c r="C167" s="14">
        <f t="array" ref="C167">IF(C78=0,"-",_xlfn.TEXTJOIN(", ",TRUE,IF(Summary!$B$66:$AB$66="Passed on test",Summary!$B$1:$AB$1,"")))</f>
        <v/>
      </c>
      <c r="D167" s="2">
        <f>C78</f>
        <v/>
      </c>
      <c r="E167" s="2">
        <f>B78</f>
        <v/>
      </c>
      <c r="F167" s="2" t="n">
        <v>7</v>
      </c>
    </row>
    <row r="168">
      <c r="A168" s="2">
        <f>Summary!A67</f>
        <v/>
      </c>
      <c r="B168" s="2">
        <f>IF(C79&gt;0,"YES","NO")</f>
        <v/>
      </c>
      <c r="C168" s="14">
        <f t="array" ref="C168">IF(C79=0,"-",_xlfn.TEXTJOIN(", ",TRUE,IF(Summary!$B$67:$AB$67="Passed on test",Summary!$B$1:$AB$1,"")))</f>
        <v/>
      </c>
      <c r="D168" s="2">
        <f>C79</f>
        <v/>
      </c>
      <c r="E168" s="2">
        <f>B79</f>
        <v/>
      </c>
      <c r="F168" s="2" t="n">
        <v>7</v>
      </c>
    </row>
    <row r="169">
      <c r="A169" s="2">
        <f>Summary!A68</f>
        <v/>
      </c>
      <c r="B169" s="2">
        <f>IF(C80&gt;0,"YES","NO")</f>
        <v/>
      </c>
      <c r="C169" s="14">
        <f t="array" ref="C169">IF(C80=0,"-",_xlfn.TEXTJOIN(", ",TRUE,IF(Summary!$B$68:$AB$68="Passed on test",Summary!$B$1:$AB$1,"")))</f>
        <v/>
      </c>
      <c r="D169" s="2">
        <f>C80</f>
        <v/>
      </c>
      <c r="E169" s="2">
        <f>B80</f>
        <v/>
      </c>
      <c r="F169" s="2" t="n">
        <v>7</v>
      </c>
    </row>
    <row r="170">
      <c r="A170" s="2">
        <f>Summary!A69</f>
        <v/>
      </c>
      <c r="B170" s="2">
        <f>IF(C81&gt;0,"YES","NO")</f>
        <v/>
      </c>
      <c r="C170" s="14">
        <f t="array" ref="C170">IF(C81=0,"-",_xlfn.TEXTJOIN(", ",TRUE,IF(Summary!$B$69:$AB$69="Passed on test",Summary!$B$1:$AB$1,"")))</f>
        <v/>
      </c>
      <c r="D170" s="2">
        <f>C81</f>
        <v/>
      </c>
      <c r="E170" s="2">
        <f>B81</f>
        <v/>
      </c>
      <c r="F170" s="2" t="n">
        <v>8</v>
      </c>
    </row>
    <row r="171">
      <c r="A171" s="2">
        <f>Summary!A70</f>
        <v/>
      </c>
      <c r="B171" s="2">
        <f>IF(C82&gt;0,"YES","NO")</f>
        <v/>
      </c>
      <c r="C171" s="14">
        <f t="array" ref="C171">IF(C82=0,"-",_xlfn.TEXTJOIN(", ",TRUE,IF(Summary!$B$70:$AB$70="Passed on test",Summary!$B$1:$AB$1,"")))</f>
        <v/>
      </c>
      <c r="D171" s="2">
        <f>C82</f>
        <v/>
      </c>
      <c r="E171" s="2">
        <f>B82</f>
        <v/>
      </c>
      <c r="F171" s="2" t="n">
        <v>8</v>
      </c>
    </row>
    <row r="172">
      <c r="A172" s="2">
        <f>Summary!A71</f>
        <v/>
      </c>
      <c r="B172" s="2">
        <f>IF(C83&gt;0,"YES","NO")</f>
        <v/>
      </c>
      <c r="C172" s="14">
        <f t="array" ref="C172">IF(C83=0,"-",_xlfn.TEXTJOIN(", ",TRUE,IF(Summary!$B$71:$AB$71="Passed on test",Summary!$B$1:$AB$1,"")))</f>
        <v/>
      </c>
      <c r="D172" s="2">
        <f>C83</f>
        <v/>
      </c>
      <c r="E172" s="2">
        <f>B83</f>
        <v/>
      </c>
      <c r="F172" s="2" t="n">
        <v>8</v>
      </c>
    </row>
    <row r="173">
      <c r="A173" s="2">
        <f>Summary!A72</f>
        <v/>
      </c>
      <c r="B173" s="2">
        <f>IF(C84&gt;0,"YES","NO")</f>
        <v/>
      </c>
      <c r="C173" s="14">
        <f t="array" ref="C173">IF(C84=0,"-",_xlfn.TEXTJOIN(", ",TRUE,IF(Summary!$B$72:$AB$72="Passed on test",Summary!$B$1:$AB$1,"")))</f>
        <v/>
      </c>
      <c r="D173" s="2">
        <f>C84</f>
        <v/>
      </c>
      <c r="E173" s="2">
        <f>B84</f>
        <v/>
      </c>
      <c r="F173" s="2" t="n">
        <v>8</v>
      </c>
    </row>
    <row r="174">
      <c r="A174" s="2">
        <f>Summary!A73</f>
        <v/>
      </c>
      <c r="B174" s="2">
        <f>IF(C85&gt;0,"YES","NO")</f>
        <v/>
      </c>
      <c r="C174" s="14">
        <f t="array" ref="C174">IF(C85=0,"-",_xlfn.TEXTJOIN(", ",TRUE,IF(Summary!$B$73:$AB$73="Passed on test",Summary!$B$1:$AB$1,"")))</f>
        <v/>
      </c>
      <c r="D174" s="2">
        <f>C85</f>
        <v/>
      </c>
      <c r="E174" s="2">
        <f>B85</f>
        <v/>
      </c>
      <c r="F174" s="2" t="n">
        <v>8</v>
      </c>
    </row>
    <row r="175">
      <c r="A175" s="2">
        <f>Summary!A74</f>
        <v/>
      </c>
      <c r="B175" s="2">
        <f>IF(C86&gt;0,"YES","NO")</f>
        <v/>
      </c>
      <c r="C175" s="14">
        <f t="array" ref="C175">IF(C86=0,"-",_xlfn.TEXTJOIN(", ",TRUE,IF(Summary!$B$74:$AB$74="Passed on test",Summary!$B$1:$AB$1,"")))</f>
        <v/>
      </c>
      <c r="D175" s="2">
        <f>C86</f>
        <v/>
      </c>
      <c r="E175" s="2">
        <f>B86</f>
        <v/>
      </c>
      <c r="F175" s="2" t="n">
        <v>8</v>
      </c>
    </row>
    <row r="176">
      <c r="A176">
        <f>IF(B100=0,"Every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removed the invalid layout_method='csp_layout' argument and kept optimization_level=3, which already tries a perfect layout first (same code as gpt-6-luna; claude-opus-5-5 made the same change).</t>
        </is>
      </c>
      <c r="H180" s="14" t="n">
        <v>1</v>
      </c>
    </row>
    <row r="181">
      <c r="A181" s="16" t="inlineStr">
        <is>
          <t>Failed on test</t>
        </is>
      </c>
      <c r="B181" s="14" t="inlineStr">
        <is>
          <t>issue_018_se</t>
        </is>
      </c>
      <c r="C181" s="14" t="inlineStr">
        <is>
          <t>1.0.0, 1.0.1, 1.0.2, 1.1.0, 1.1.1, 1.1.2, 1.2.0, 1.2.1, 1.2.2, 1.2.4, 2.0.0, 2.2.0, 2.3.0, 2.4.0, 2.5.0</t>
        </is>
      </c>
      <c r="D181" s="14" t="n">
        <v>15</v>
      </c>
      <c r="E181" s="14" t="inlineStr">
        <is>
          <t>AssertionError</t>
        </is>
      </c>
      <c r="F181" s="14" t="inlineStr">
        <is>
          <t>RuntimeError: SIMULATOR_PROCESS_ERROR: exit=3221226356 (0xC0000374); AssertionError:</t>
        </is>
      </c>
      <c r="G181" s="14" t="inlineStr">
        <is>
          <t>The LLM reversed the order in which it reads the four bits of each outcome string, assuming the bug is Qiskit's little-endian bit order. The real bug is which qubits the players measure, so the loss probabilities stay at 0.5 on six of the nine (x, y) inputs and test_exact_perfect_strategy_for_all_nine_inputs fails. The simulator check also hits the known Windows Aer native crash. Every model so far fails this case.</t>
        </is>
      </c>
      <c r="H181" s="14" t="n">
        <v>1</v>
      </c>
    </row>
    <row r="182">
      <c r="A182" s="15" t="inlineStr">
        <is>
          <t>Passed on test</t>
        </is>
      </c>
      <c r="B182" s="14" t="inlineStr">
        <is>
          <t>issue_021_se</t>
        </is>
      </c>
      <c r="C182" s="14" t="inlineStr">
        <is>
          <t>0.25.0, 0.25.1, 0.25.2, 0.25.3, 0.45.0, 0.45.1, 0.45.2, 0.45.3, 0.46.0, 0.46.1, 0.46.2, 0.46.3</t>
        </is>
      </c>
      <c r="D182" s="14" t="n">
        <v>12</v>
      </c>
      <c r="E182" s="14" t="n"/>
      <c r="F182" s="14" t="n"/>
      <c r="G182" s="14" t="inlineStr">
        <is>
          <t>The LLM imported transpile and transpiled the circuit for the statevector simulator before assemble(), which fully unrolls the custom CNOTNOT gate and initialize into instructions Aer supports (the same fix as claude-opus-5-5, gpt-6.1-sol and gpt-6-astra, written as a separate line). Both luna models used a one-level decompose() and crashed.</t>
        </is>
      </c>
      <c r="H182" s="14" t="n">
        <v>1</v>
      </c>
    </row>
    <row r="183">
      <c r="A183" s="15" t="inlineStr">
        <is>
          <t>Passed on test</t>
        </is>
      </c>
      <c r="B183" s="14" t="inlineStr">
        <is>
          <t>issue_032_se</t>
        </is>
      </c>
      <c r="C183" s="14" t="inlineStr">
        <is>
          <t>0.25.0, 0.25.1, 0.25.2, 0.25.3</t>
        </is>
      </c>
      <c r="D183" s="14" t="n">
        <v>4</v>
      </c>
      <c r="E183" s="14" t="n"/>
      <c r="F183" s="14" t="n"/>
      <c r="G183" s="14" t="inlineStr">
        <is>
          <t>The LLM imported iSwapGate and passed iSwapGate() as entanglement_blocks instead of the unrecognised string 'iswap' (the same fix as all other models).</t>
        </is>
      </c>
      <c r="H183" s="14" t="n">
        <v>1</v>
      </c>
    </row>
    <row r="184">
      <c r="A184" s="15" t="inlineStr">
        <is>
          <t>Passed on test</t>
        </is>
      </c>
      <c r="B184" s="14" t="inlineStr">
        <is>
          <t>issue_034</t>
        </is>
      </c>
      <c r="C184" s="14" t="inlineStr">
        <is>
          <t>1.0.0, 1.0.1, 1.0.2, 1.1.0, 1.1.1, 1.1.2, 1.2.0, 1.2.1, 1.2.2, 1.2.4, 2.0.0, 2.2.0, 2.3.0, 2.4.0, 2.5.0</t>
        </is>
      </c>
      <c r="D184" s="14" t="n">
        <v>15</v>
      </c>
      <c r="E184" s="14" t="n"/>
      <c r="F184" s="14" t="n"/>
      <c r="G184" s="14" t="inlineStr">
        <is>
          <t>The LLM imported Aer from qiskit_aer instead of qiskit, where it no longer exists (same code as claude-opus-5-5; the same fix as all four GPT models).</t>
        </is>
      </c>
      <c r="H184" s="14" t="n">
        <v>1</v>
      </c>
    </row>
    <row r="185">
      <c r="A185" s="15" t="inlineStr">
        <is>
          <t>Passed on test</t>
        </is>
      </c>
      <c r="B185" s="14" t="inlineStr">
        <is>
          <t>issue_036</t>
        </is>
      </c>
      <c r="C185" s="14" t="inlineStr">
        <is>
          <t>1.0.0, 1.0.1, 1.0.2, 1.1.0, 1.1.1, 1.1.2, 1.2.0, 1.2.1, 1.2.2, 1.2.4, 2.0.0, 2.2.0, 2.3.0, 2.4.0, 2.5.0</t>
        </is>
      </c>
      <c r="D185" s="14" t="n">
        <v>15</v>
      </c>
      <c r="E185" s="14" t="n"/>
      <c r="F185" s="14" t="n"/>
      <c r="G185" s="14" t="inlineStr">
        <is>
          <t>The LLM replaced the removed QuantumCircuit.qasm() with qasm2.dumps(c) (same code as claude-opus-5-5 and both luna models).</t>
        </is>
      </c>
      <c r="H185" s="14" t="n">
        <v>1</v>
      </c>
    </row>
    <row r="186">
      <c r="A186" s="15" t="inlineStr">
        <is>
          <t>Passed on test</t>
        </is>
      </c>
      <c r="B186" s="14" t="inlineStr">
        <is>
          <t>issue_058_se</t>
        </is>
      </c>
      <c r="C186" s="14" t="inlineStr">
        <is>
          <t>0.25.0, 0.25.1, 0.25.2, 0.25.3, 0.45.0, 0.45.1, 0.45.2, 0.45.3, 0.46.0, 0.46.1, 0.46.2, 0.46.3</t>
        </is>
      </c>
      <c r="D186" s="14" t="n">
        <v>12</v>
      </c>
      <c r="E186" s="14" t="n"/>
      <c r="F186" s="14" t="n"/>
      <c r="G186" s="14" t="inlineStr">
        <is>
          <t>The LLM imported transpile and transpiled the circuit for the backend before backend.run(), so the custom diffuser gate is decomposed into gates Aer supports (same code as claude-opus-5-5).</t>
        </is>
      </c>
      <c r="H186" s="14" t="n">
        <v>1</v>
      </c>
    </row>
    <row r="187">
      <c r="A187" s="15" t="inlineStr">
        <is>
          <t>Passed on test</t>
        </is>
      </c>
      <c r="B187" s="14" t="inlineStr">
        <is>
          <t>issue_061</t>
        </is>
      </c>
      <c r="C187" s="14" t="inlineStr">
        <is>
          <t>1.0.0, 1.0.1, 1.0.2, 1.1.0, 1.1.1, 1.1.2, 1.2.0, 1.2.1, 1.2.2, 1.2.4, 2.0.0, 2.2.0, 2.3.0, 2.4.0, 2.5.0</t>
        </is>
      </c>
      <c r="D187" s="14" t="n">
        <v>15</v>
      </c>
      <c r="E187" s="14" t="n"/>
      <c r="F187" s="14" t="n"/>
      <c r="G187" s="14" t="inlineStr">
        <is>
          <t>The LLM read the register and the register-local index through qc.find_bit(qbit) instead of the removed Bit.register / Bit.index attributes (same code as gpt-6.1-sol, gpt-6-astra and gpt-5.6-luna). claude-opus-5-5 printed the circuit-wide index and failed.</t>
        </is>
      </c>
      <c r="H187" s="14" t="n">
        <v>1</v>
      </c>
    </row>
    <row r="188">
      <c r="A188" s="15" t="inlineStr">
        <is>
          <t>Passed on test</t>
        </is>
      </c>
      <c r="B188" s="14" t="inlineStr">
        <is>
          <t>issue_072</t>
        </is>
      </c>
      <c r="C188" s="14" t="inlineStr">
        <is>
          <t>0.25.0, 0.25.1, 0.25.2, 0.25.3</t>
        </is>
      </c>
      <c r="D188" s="14" t="n">
        <v>4</v>
      </c>
      <c r="E188" s="14" t="n"/>
      <c r="F188" s="14" t="n"/>
      <c r="G188" s="14" t="inlineStr">
        <is>
          <t>Qreg[0] and qreg[5] were both mapped to physical qubit 12; the LLM mapped qreg[5] to the unused qubit 15, so the initial layout is valid (same code as every other model).</t>
        </is>
      </c>
      <c r="H188" s="14" t="n">
        <v>1</v>
      </c>
    </row>
    <row r="189">
      <c r="A189" s="16" t="inlineStr">
        <is>
          <t>Failed on test</t>
        </is>
      </c>
      <c r="B189" s="14" t="inlineStr">
        <is>
          <t>issue_096</t>
        </is>
      </c>
      <c r="C189" s="14" t="inlineStr">
        <is>
          <t>0.25.0, 0.25.1, 0.25.2, 0.25.3, 0.45.0, 0.45.1, 0.45.2, 0.45.3, 0.46.0, 0.46.1, 0.46.2, 0.46.3, 1.0.0, 1.0.1, 1.0.2, 1.1.0, 1.1.1, 1.1.2, 1.2.0, 1.2.1, 1.2.2, 1.2.4, 2.0.0, 2.2.0, 2.3.0, 2.4.0, 2.5.0</t>
        </is>
      </c>
      <c r="D189" s="14" t="n">
        <v>27</v>
      </c>
      <c r="E189" s="14" t="inlineStr">
        <is>
          <t>AssertionError</t>
        </is>
      </c>
      <c r="F189" s="14" t="inlineStr">
        <is>
          <t>AssertionError: '' != '[default]\n'; AssertionError: False is not true : Missing ipython_kernel_config.py (even when the profile directory already exists)</t>
        </is>
      </c>
      <c r="G189" s="14" t="inlineStr">
        <is>
          <t>The LLM creates ~/.qiskit and an empty settings.conf when they are missing, which stops the crash, but the test expects the file to contain a [default] section and the IPython profile's ipython_kernel_config.py to be created, which the fix does not do. Every model so far fails this case.</t>
        </is>
      </c>
      <c r="H189" s="14" t="n">
        <v>1</v>
      </c>
    </row>
    <row r="190">
      <c r="A190" s="15" t="inlineStr">
        <is>
          <t>Passed on test</t>
        </is>
      </c>
      <c r="B190" s="14" t="inlineStr">
        <is>
          <t>issue_155</t>
        </is>
      </c>
      <c r="C190" s="14" t="inlineStr">
        <is>
          <t>0.45.0, 0.45.1, 0.45.2, 0.45.3, 0.46.0, 0.46.1, 0.46.2, 0.46.3</t>
        </is>
      </c>
      <c r="D190" s="14" t="n">
        <v>8</v>
      </c>
      <c r="E190" s="14" t="n"/>
      <c r="F190" s="14" t="n"/>
      <c r="G190" s="14"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H190" s="14" t="n">
        <v>2</v>
      </c>
    </row>
    <row r="191">
      <c r="A191" s="17" t="inlineStr">
        <is>
          <t>Runtime error</t>
        </is>
      </c>
      <c r="B191" s="14" t="inlineStr">
        <is>
          <t>issue_155</t>
        </is>
      </c>
      <c r="C191" s="14" t="inlineStr">
        <is>
          <t>0.25.0, 0.25.1, 0.25.2, 0.25.3</t>
        </is>
      </c>
      <c r="D191" s="14" t="n">
        <v>4</v>
      </c>
      <c r="E191" s="14" t="inlineStr">
        <is>
          <t>AttributeError</t>
        </is>
      </c>
      <c r="F191" s="14" t="inlineStr">
        <is>
          <t>AttributeError: 'QuantumCircuit' object has no attribute 'find_bit'</t>
        </is>
      </c>
      <c r="G191" s="14" t="inlineStr">
        <is>
          <t>Error on 0.25.x, passed on 0.45.x / 0.46.x: the LLM turned the traced-out registers into qubit indices with qc.find_bit(q).index, which is correct, but QuantumCircuit.find_bit() doesn't exist yet in Qiskit 0.25 (AttributeError). The same approach as gpt-6.1-sol, gpt-6-astra and gpt-6-luna; claude-opus-5-5 and gpt-5.6-luna used qc.qubits.index() and passed on all 12 versions.</t>
        </is>
      </c>
      <c r="H191" s="14" t="n">
        <v>2</v>
      </c>
    </row>
    <row r="192">
      <c r="A192" s="15" t="inlineStr">
        <is>
          <t>Passed on test</t>
        </is>
      </c>
      <c r="B192" s="14" t="inlineStr">
        <is>
          <t>issue_157</t>
        </is>
      </c>
      <c r="C192" s="14" t="inlineStr">
        <is>
          <t>0.45.0, 0.45.1, 0.45.2, 0.45.3, 0.46.0, 0.46.1, 0.46.2, 0.46.3</t>
        </is>
      </c>
      <c r="D192" s="14" t="n">
        <v>8</v>
      </c>
      <c r="E192" s="14" t="n"/>
      <c r="F192" s="14" t="n"/>
      <c r="G192" s="14"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H192" s="14" t="n">
        <v>2</v>
      </c>
    </row>
    <row r="193">
      <c r="A193" s="17" t="inlineStr">
        <is>
          <t>Runtime error</t>
        </is>
      </c>
      <c r="B193" s="14" t="inlineStr">
        <is>
          <t>issue_157</t>
        </is>
      </c>
      <c r="C193" s="14" t="inlineStr">
        <is>
          <t>0.25.0, 0.25.1, 0.25.2, 0.25.3</t>
        </is>
      </c>
      <c r="D193" s="14" t="n">
        <v>4</v>
      </c>
      <c r="E193" s="14" t="inlineStr">
        <is>
          <t>ImportError</t>
        </is>
      </c>
      <c r="F193" s="14" t="inlineStr">
        <is>
          <t>ImportError: cannot import name 'StatePreparation' from 'qiskit.circuit.library' (C:\qiskit_envs\q0250\lib\site-packages\qiskit\circuit\library\__init__.py)</t>
        </is>
      </c>
      <c r="G193" s="14" t="inlineStr">
        <is>
          <t>Error on 0.25.x, passed on 0.45.x / 0.46.x: the LLM replaced initialize() (which contains a non-unitary reset and can't be controlled) with a StatePreparation gate, which is correct, but StatePreparation doesn't exist yet in Qiskit 0.25 (ImportError). Every other model used prepare_state(), with the same result.</t>
        </is>
      </c>
      <c r="H193" s="14" t="n">
        <v>2</v>
      </c>
    </row>
    <row r="194">
      <c r="A194" s="15" t="inlineStr">
        <is>
          <t>Passed on test</t>
        </is>
      </c>
      <c r="B194" s="14" t="inlineStr">
        <is>
          <t>issue_174</t>
        </is>
      </c>
      <c r="C194" s="14" t="inlineStr">
        <is>
          <t>0.25.0, 0.25.1, 0.25.2, 0.25.3, 0.45.0, 0.45.1, 0.45.2, 0.45.3, 0.46.0, 0.46.1, 0.46.2, 0.46.3</t>
        </is>
      </c>
      <c r="D194" s="14" t="n">
        <v>12</v>
      </c>
      <c r="E194" s="14" t="n"/>
      <c r="F194" s="14" t="n"/>
      <c r="G194" s="14" t="inlineStr">
        <is>
          <t>The LLM changed all six conditions to if (c==1), like the reference, and put a '// FIX:' line above each one inside the QASM string. '//' is a valid OpenQASM 2 comment, so the program parses; both luna models used '#' there and crashed.</t>
        </is>
      </c>
      <c r="H194" s="14" t="n">
        <v>2</v>
      </c>
    </row>
    <row r="195">
      <c r="A195" s="15" t="inlineStr">
        <is>
          <t>Passed on test</t>
        </is>
      </c>
      <c r="B195" s="14" t="inlineStr">
        <is>
          <t>issue_189</t>
        </is>
      </c>
      <c r="C195" s="14" t="inlineStr">
        <is>
          <t>0.45.0, 0.45.1, 0.45.2, 0.45.3, 0.46.0, 0.46.1, 0.46.2, 0.46.3, 1.0.0, 1.0.1, 1.0.2, 1.1.0, 1.1.1, 1.1.2, 1.2.0, 1.2.1, 1.2.2, 1.2.4, 2.0.0, 2.2.0, 2.3.0, 2.4.0, 2.5.0</t>
        </is>
      </c>
      <c r="D195" s="14" t="n">
        <v>23</v>
      </c>
      <c r="E195" s="14" t="n"/>
      <c r="F195" s="14" t="n"/>
      <c r="G195" s="14" t="inlineStr">
        <is>
          <t>The LLM rebuilt the qubit list as one control qubit plus the system qubits, with the control order reversed relative to the reference. The updated test accepts either control order (same code as every other model).</t>
        </is>
      </c>
      <c r="H195" s="14" t="n">
        <v>2</v>
      </c>
    </row>
    <row r="196">
      <c r="A196" s="15" t="inlineStr">
        <is>
          <t>Passed on test</t>
        </is>
      </c>
      <c r="B196" s="14" t="inlineStr">
        <is>
          <t>issue_225</t>
        </is>
      </c>
      <c r="C196" s="14" t="inlineStr">
        <is>
          <t>0.45.0, 0.45.1, 0.45.2, 0.45.3, 0.46.0, 0.46.1, 0.46.2, 0.46.3</t>
        </is>
      </c>
      <c r="D196" s="14" t="n">
        <v>8</v>
      </c>
      <c r="E196" s="14" t="n"/>
      <c r="F196" s="14" t="n"/>
      <c r="G196" s="14" t="inlineStr">
        <is>
          <t>The LLM wrapped the Statevector in np.asarray() before reshape(), so it reshapes the amplitude array instead of calling reshape() on the Statevector object (same code as claude-opus-5-5).</t>
        </is>
      </c>
      <c r="H196" s="14" t="n">
        <v>2</v>
      </c>
    </row>
    <row r="197">
      <c r="A197" s="17" t="inlineStr">
        <is>
          <t>Runtime error</t>
        </is>
      </c>
      <c r="B197" s="14" t="inlineStr">
        <is>
          <t>issue_233</t>
        </is>
      </c>
      <c r="C197" s="14" t="inlineStr">
        <is>
          <t>0.25.0, 0.25.1, 0.25.2, 0.25.3, 0.45.0, 0.45.1, 0.45.2, 0.45.3, 0.46.0, 0.46.1, 0.46.2, 0.46.3, 1.0.0, 1.0.1, 1.0.2, 1.1.0, 1.1.1, 1.1.2, 1.2.0, 1.2.1, 1.2.2, 1.2.4, 2.0.0, 2.2.0, 2.3.0, 2.4.0, 2.5.0</t>
        </is>
      </c>
      <c r="D197" s="14" t="n">
        <v>27</v>
      </c>
      <c r="E197" s="14" t="inlineStr">
        <is>
          <t>TypeError</t>
        </is>
      </c>
      <c r="F197" s="14" t="inlineStr">
        <is>
          <t>TypeError: 'int' object is not callable</t>
        </is>
      </c>
      <c r="G197" s="14" t="inlineStr">
        <is>
          <t>The LLM decided the bug was composing into a TwoLocal blueprint circuit and copied rot into a plain QuantumCircuit first, but it kept the rot.num_parameters_settable() calls, and num_parameters_settable is an int property, so calling it raises TypeError on every version. Both luna models kept one of those calls and crashed the same way; claude-opus-5-5, gpt-6.1-sol and gpt-6-astra replaced both with num_parameters and passed.</t>
        </is>
      </c>
      <c r="H197" s="14" t="n">
        <v>2</v>
      </c>
    </row>
    <row r="198">
      <c r="A198" s="15" t="inlineStr">
        <is>
          <t>Passed on test</t>
        </is>
      </c>
      <c r="B198" s="14" t="inlineStr">
        <is>
          <t>issue_261</t>
        </is>
      </c>
      <c r="C198" s="14" t="inlineStr">
        <is>
          <t>0.25.0, 0.25.1, 0.25.2, 0.25.3, 0.45.0, 0.45.1, 0.45.2, 0.45.3, 0.46.0, 0.46.1, 0.46.2, 0.46.3</t>
        </is>
      </c>
      <c r="D198" s="14" t="n">
        <v>12</v>
      </c>
      <c r="E198" s="14" t="n"/>
      <c r="F198" s="14" t="n"/>
      <c r="G198" s="14" t="inlineStr">
        <is>
          <t>The LLM replaced PauliOp(hamiltonian_string) with eval() on the Hamiltonian string, the same fix as the reference (here with an explicit dictionary of I, X, Y and Z).</t>
        </is>
      </c>
      <c r="H198" s="14" t="n">
        <v>2</v>
      </c>
    </row>
    <row r="199">
      <c r="A199" s="15" t="inlineStr">
        <is>
          <t>Passed on test</t>
        </is>
      </c>
      <c r="B199" s="14" t="inlineStr">
        <is>
          <t>issue_280</t>
        </is>
      </c>
      <c r="C199" s="14" t="inlineStr">
        <is>
          <t>0.25.0, 0.25.1, 0.25.2, 0.25.3, 0.45.0, 0.45.1, 0.45.2, 0.45.3, 0.46.0, 0.46.1, 0.46.2, 0.46.3</t>
        </is>
      </c>
      <c r="D199" s="14" t="n">
        <v>12</v>
      </c>
      <c r="E199" s="14" t="n"/>
      <c r="F199" s="14" t="n"/>
      <c r="G199" s="14" t="inlineStr">
        <is>
          <t>The LLM used a two-qubit depolarizing_error(0.05, 2) for the cx gate and kept the original qiskit.providers.aer import, so it passes on all 12 versions (claude-opus-5-5 moved the import to qiskit_aer and lost the four 0.25.x versions).</t>
        </is>
      </c>
      <c r="H199" s="14" t="n">
        <v>2</v>
      </c>
    </row>
    <row r="200">
      <c r="A200" s="17" t="inlineStr">
        <is>
          <t>Runtime error</t>
        </is>
      </c>
      <c r="B200" s="14" t="inlineStr">
        <is>
          <t>issue_295</t>
        </is>
      </c>
      <c r="C200" s="14" t="inlineStr">
        <is>
          <t>0.45.0, 0.45.1, 0.45.2, 0.45.3, 0.46.0, 0.46.1, 0.46.2, 0.46.3</t>
        </is>
      </c>
      <c r="D200" s="14" t="n">
        <v>8</v>
      </c>
      <c r="E200" s="14" t="inlineStr">
        <is>
          <t>TypeError</t>
        </is>
      </c>
      <c r="F200" s="14" t="inlineStr">
        <is>
          <t>TypeError: unsupported operand type(s) for +=: 'QuantumCircuit' and 'QuantumCircuit'</t>
        </is>
      </c>
      <c r="G200" s="14" t="inlineStr">
        <is>
          <t>The LLM changed the wrong lines: it moved Aer to qiskit_aer and replaced execute() with backend.run(), but kept circuit += oracle, which is the actual bug, so the script still raises TypeError: unsupported operand type(s) for +=: 'QuantumCircuit' and 'QuantumCircuit'. Every other model replaced it with compose() and passed.</t>
        </is>
      </c>
      <c r="H200" s="14" t="n">
        <v>2</v>
      </c>
    </row>
    <row r="201">
      <c r="A201" s="17" t="inlineStr">
        <is>
          <t>Runtime error</t>
        </is>
      </c>
      <c r="B201" s="14" t="inlineStr">
        <is>
          <t>issue_315</t>
        </is>
      </c>
      <c r="C201" s="14" t="inlineStr">
        <is>
          <t>0.45.0, 0.45.1, 0.45.2, 0.45.3, 0.46.0, 0.46.1, 0.46.2, 0.46.3, 1.0.0, 1.0.1, 1.0.2, 1.1.0, 1.1.1, 1.1.2, 1.2.0, 1.2.1, 1.2.2, 1.2.4, 2.0.0, 2.2.0, 2.3.0, 2.4.0, 2.5.0</t>
        </is>
      </c>
      <c r="D201" s="14" t="n">
        <v>23</v>
      </c>
      <c r="E201" s="14" t="inlineStr">
        <is>
          <t>ModuleNotFoundError, KeyError</t>
        </is>
      </c>
      <c r="F201" s="14" t="inlineStr">
        <is>
          <t>KeyError: 'max_parallel_threads'; AttributeError: Option max_parallel_threads is not defined</t>
        </is>
      </c>
      <c r="G201" s="14"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claude-opus-5-5, gpt-6.1-sol, gpt-6-astra and gpt-5.6-luna.</t>
        </is>
      </c>
      <c r="H201" s="14" t="n">
        <v>2</v>
      </c>
    </row>
    <row r="202">
      <c r="A202" s="15" t="inlineStr">
        <is>
          <t>Passed on test</t>
        </is>
      </c>
      <c r="B202" s="14" t="inlineStr">
        <is>
          <t>issue_344</t>
        </is>
      </c>
      <c r="C202" s="14" t="inlineStr">
        <is>
          <t>0.25.0, 0.25.1, 0.25.2, 0.25.3, 0.45.0, 0.45.1, 0.45.2, 0.45.3, 0.46.0, 0.46.1, 0.46.2, 0.46.3</t>
        </is>
      </c>
      <c r="D202" s="14" t="n">
        <v>12</v>
      </c>
      <c r="E202" s="14" t="n"/>
      <c r="F202" s="14" t="n"/>
      <c r="G202" s="14" t="inlineStr">
        <is>
          <t>The LLM dropped decimals=3 from get_statevector(), so the rounded amplitudes no longer break the normalization check in entropy() (same code as claude-opus-5-5, gpt-6.1-sol, gpt-6-astra and gpt-6-luna).</t>
        </is>
      </c>
      <c r="H202" s="14" t="n">
        <v>3</v>
      </c>
    </row>
    <row r="203">
      <c r="A203" s="15" t="inlineStr">
        <is>
          <t>Passed on test</t>
        </is>
      </c>
      <c r="B203" s="14" t="inlineStr">
        <is>
          <t>issue_362</t>
        </is>
      </c>
      <c r="C203" s="14" t="inlineStr">
        <is>
          <t>0.45.0, 0.45.1, 0.45.2, 0.45.3, 0.46.0, 0.46.1, 0.46.2, 0.46.3, 1.0.0, 1.0.1, 1.0.2, 1.1.0, 1.1.1, 1.1.2, 1.2.0, 1.2.1, 1.2.2, 1.2.4, 2.0.0, 2.2.0, 2.3.0, 2.4.0, 2.5.0</t>
        </is>
      </c>
      <c r="D203" s="14" t="n">
        <v>23</v>
      </c>
      <c r="E203" s="14" t="n"/>
      <c r="F203" s="14" t="n"/>
      <c r="G203" s="14" t="inlineStr">
        <is>
          <t>The LLM added circuit.save_unitary(), so AerSimulator returns the unitary (same code as claude-opus-5-5, gpt-6.1-sol, gpt-6-astra and gpt-5.6-luna).</t>
        </is>
      </c>
      <c r="H203" s="14" t="n">
        <v>3</v>
      </c>
    </row>
    <row r="204">
      <c r="A204" s="15" t="inlineStr">
        <is>
          <t>Passed on test</t>
        </is>
      </c>
      <c r="B204" s="14" t="inlineStr">
        <is>
          <t>issue_369</t>
        </is>
      </c>
      <c r="C204" s="14" t="inlineStr">
        <is>
          <t>0.25.0, 0.25.1, 0.25.2, 0.25.3, 0.45.0, 0.45.1, 0.45.2, 0.45.3, 0.46.0, 0.46.1, 0.46.2, 0.46.3, 1.0.0, 1.0.1, 1.0.2, 1.1.0, 1.1.1, 1.1.2, 1.2.0, 1.2.1, 1.2.2, 1.2.4, 2.0.0, 2.2.0, 2.3.0, 2.4.0, 2.5.0</t>
        </is>
      </c>
      <c r="D204" s="14" t="n">
        <v>27</v>
      </c>
      <c r="E204" s="14" t="n"/>
      <c r="F204" s="14" t="n"/>
      <c r="G204" s="14" t="inlineStr">
        <is>
          <t>The LLM appended the controlled subcircuit on the control qubit plus all 16 other qubits ([i] + [q for q in range(17) if q != i]) instead of only the control wire, using append() instead of compose().</t>
        </is>
      </c>
      <c r="H204" s="14" t="n">
        <v>3</v>
      </c>
    </row>
    <row r="205">
      <c r="A205" s="16" t="inlineStr">
        <is>
          <t>Failed on test</t>
        </is>
      </c>
      <c r="B205" s="14" t="inlineStr">
        <is>
          <t>issue_396</t>
        </is>
      </c>
      <c r="C205" s="14" t="inlineStr">
        <is>
          <t>0.25.0, 0.25.1, 0.25.2, 0.25.3, 0.45.0, 0.45.1, 0.45.2, 0.45.3, 0.46.0, 0.46.1, 0.46.2, 0.46.3, 1.0.0, 1.0.1, 1.0.2, 1.1.0, 1.1.1, 1.1.2, 1.2.0, 1.2.1, 1.2.2, 1.2.4, 2.0.0, 2.2.0, 2.3.0, 2.4.0, 2.5.0</t>
        </is>
      </c>
      <c r="D205" s="14" t="n">
        <v>27</v>
      </c>
      <c r="E205" s="14" t="inlineStr">
        <is>
          <t>AssertionError</t>
        </is>
      </c>
      <c r="F205" s="14" t="inlineStr">
        <is>
          <t>AssertionError:</t>
        </is>
      </c>
      <c r="G205" s="14" t="inlineStr">
        <is>
          <t>The LLM built the oracle as the sum of the two target Statevectors, which GroverOperator accepts as a description of the good states, so the script runs; but the oracle variable is then an unnormalized state, not the phase-flip operator the question is about, and the test's exact check of the oracle's matrix fails (10 of 64 entries differ). gpt-6-astra's Diagonal oracle passes on 23 versions and both luna models' diagonal() on 12.</t>
        </is>
      </c>
      <c r="H205" s="14" t="n">
        <v>3</v>
      </c>
    </row>
    <row r="206">
      <c r="A206" s="15" t="inlineStr">
        <is>
          <t>Passed on test</t>
        </is>
      </c>
      <c r="B206" s="14" t="inlineStr">
        <is>
          <t>issue_415</t>
        </is>
      </c>
      <c r="C206" s="14" t="inlineStr">
        <is>
          <t>0.25.0, 0.25.1, 0.25.2, 0.25.3</t>
        </is>
      </c>
      <c r="D206" s="14" t="n">
        <v>4</v>
      </c>
      <c r="E206" s="14" t="n"/>
      <c r="F206" s="14" t="n"/>
      <c r="G206" s="14" t="inlineStr">
        <is>
          <t>The LLM computed real U3 angles, theta from the magnitude of the |0&gt; amplitude and phi as the phase of the |1&gt; amplitude minus the phase of the |0&gt; amplitude (the same idea as claude-opus-5-5 and gpt-6-luna).</t>
        </is>
      </c>
      <c r="H206" s="14" t="n">
        <v>3</v>
      </c>
    </row>
    <row r="207">
      <c r="A207" s="15" t="inlineStr">
        <is>
          <t>Passed on test</t>
        </is>
      </c>
      <c r="B207" s="14" t="inlineStr">
        <is>
          <t>issue_436</t>
        </is>
      </c>
      <c r="C207" s="14" t="inlineStr">
        <is>
          <t>0.25.0, 0.25.1, 0.25.2, 0.25.3</t>
        </is>
      </c>
      <c r="D207" s="14" t="n">
        <v>4</v>
      </c>
      <c r="E207" s="14" t="n"/>
      <c r="F207" s="14" t="n"/>
      <c r="G207" s="14" t="inlineStr">
        <is>
          <t>The LLM removed set_frequency(), which PulseSimulator doesn't support, and played a Waveform modulated by exp(2*pi*i*(f - LO)*t) instead (the same idea as claude-opus-5-5, gpt-6.1-sol and gpt-6-astra).</t>
        </is>
      </c>
      <c r="H207" s="14" t="n">
        <v>3</v>
      </c>
    </row>
    <row r="208">
      <c r="A208" s="16" t="inlineStr">
        <is>
          <t>Failed on test</t>
        </is>
      </c>
      <c r="B208" s="14" t="inlineStr">
        <is>
          <t>issue_443</t>
        </is>
      </c>
      <c r="C208" s="14" t="inlineStr">
        <is>
          <t>0.25.0, 0.25.1, 0.25.2, 0.25.3, 0.45.0, 0.45.1, 0.45.2, 0.45.3, 0.46.0, 0.46.1, 0.46.2, 0.46.3, 1.0.0, 1.0.1, 1.0.2, 1.1.0, 1.1.1, 1.1.2, 1.2.0, 1.2.1, 1.2.2, 1.2.4, 2.0.0, 2.2.0, 2.3.0, 2.4.0, 2.5.0</t>
        </is>
      </c>
      <c r="D208" s="14" t="n">
        <v>27</v>
      </c>
      <c r="E208" s="14" t="inlineStr">
        <is>
          <t>AssertionError</t>
        </is>
      </c>
      <c r="F208" s="14" t="inlineStr">
        <is>
          <t>AssertionError:</t>
        </is>
      </c>
      <c r="G208" s="14" t="inlineStr">
        <is>
          <t>The LLM flattened both registers into one qubit list for append(), which is the fix the question asks for, but it also swapped the register unpacking to [train_register, control] = circ.qregs. That moves the H gates and the oracle's X to other qubits, so the circuit's operator no longer matches; the test deliberately keeps the snippet's register roles. Same code as gpt-6.1-sol; claude-opus-5-5 made the same swap.</t>
        </is>
      </c>
      <c r="H208" s="14" t="n">
        <v>3</v>
      </c>
    </row>
    <row r="209">
      <c r="A209" s="17" t="inlineStr">
        <is>
          <t>Runtime error</t>
        </is>
      </c>
      <c r="B209" s="14" t="inlineStr">
        <is>
          <t>issue_453</t>
        </is>
      </c>
      <c r="C209" s="14" t="inlineStr">
        <is>
          <t>0.45.0, 0.45.1, 0.45.2, 0.45.3, 0.46.0, 0.46.1, 0.46.2, 0.46.3, 1.0.0, 1.0.1, 1.0.2, 1.1.0, 1.1.1, 1.1.2, 1.2.0, 1.2.1, 1.2.2, 1.2.4, 2.0.0, 2.2.0, 2.3.0, 2.4.0, 2.5.0</t>
        </is>
      </c>
      <c r="D209" s="14" t="n">
        <v>23</v>
      </c>
      <c r="E209" s="14" t="inlineStr">
        <is>
          <t>AttributeError</t>
        </is>
      </c>
      <c r="F209" s="14" t="inlineStr">
        <is>
          <t>AttributeError: 'QuantumCircuit' object has no attribute 'compose_with_auto_ancillas'</t>
        </is>
      </c>
      <c r="G209" s="14" t="inlineStr">
        <is>
          <t>The LLM added a 2-qubit AncillaRegister to the target circuit by hand and mapped all six qubits, instead of adding ancillas automatically as the user asked; the test also calls the reference answer's helper compose_with_auto_ancillas() by name (AttributeError). Same code as gpt-6-luna; over-specific test, and every model so far fails it.</t>
        </is>
      </c>
      <c r="H209" s="14" t="n">
        <v>3</v>
      </c>
    </row>
    <row r="210">
      <c r="A210" s="16" t="inlineStr">
        <is>
          <t>Failed on test</t>
        </is>
      </c>
      <c r="B210" s="14" t="inlineStr">
        <is>
          <t>issue_468</t>
        </is>
      </c>
      <c r="C210" s="14" t="inlineStr">
        <is>
          <t>0.25.0, 0.25.1, 0.25.2, 0.25.3</t>
        </is>
      </c>
      <c r="D210" s="14" t="n">
        <v>4</v>
      </c>
      <c r="E210" s="14" t="inlineStr">
        <is>
          <t>AssertionError</t>
        </is>
      </c>
      <c r="F210" s="14" t="inlineStr">
        <is>
          <t>AssertionError: Expected one actual commutator call</t>
        </is>
      </c>
      <c r="G210" s="14" t="inlineStr">
        <is>
          <t>The LLM dropped Aqua's legacy commutator() and computed AB - BA directly on the density matrices' data, so the script computes the commutator, but the test checks that Qiskit's commutator() is actually called ('Expected one actual commutator call'). claude-opus-5-5 did the same with its own function; every model so far fails this case.</t>
        </is>
      </c>
      <c r="H210" s="14" t="n">
        <v>3</v>
      </c>
    </row>
    <row r="211">
      <c r="A211" s="16" t="inlineStr">
        <is>
          <t>Failed on test</t>
        </is>
      </c>
      <c r="B211" s="14" t="inlineStr">
        <is>
          <t>issue_497</t>
        </is>
      </c>
      <c r="C211" s="14" t="inlineStr">
        <is>
          <t>0.25.0, 0.25.1, 0.25.2, 0.25.3</t>
        </is>
      </c>
      <c r="D211" s="14" t="n">
        <v>4</v>
      </c>
      <c r="E211" s="14" t="inlineStr">
        <is>
          <t>AssertionError</t>
        </is>
      </c>
      <c r="F211" s="14" t="inlineStr">
        <is>
          <t>AssertionError: 2 != 1 : The local expectation batch should use one backend submission</t>
        </is>
      </c>
      <c r="G211" s="14" t="inlineStr">
        <is>
          <t>The LLM only removed the stray IBMQJobManager() call and kept the two expectation values as separate evaluations, so the test sees two backend submissions instead of one batched job (2 != 1). gpt-5.6-luna batched them into one CircuitSampler call and passed.</t>
        </is>
      </c>
      <c r="H211" s="14" t="n">
        <v>3</v>
      </c>
    </row>
    <row r="212">
      <c r="A212" s="15" t="inlineStr">
        <is>
          <t>Passed on test</t>
        </is>
      </c>
      <c r="B212" s="14" t="inlineStr">
        <is>
          <t>issue_504</t>
        </is>
      </c>
      <c r="C212" s="14" t="inlineStr">
        <is>
          <t>0.45.0, 0.45.1, 0.45.2, 0.45.3, 0.46.0, 0.46.1, 0.46.2, 0.46.3, 1.0.0, 1.0.1, 1.0.2, 1.1.0, 1.1.1, 1.1.2, 1.2.0, 1.2.1, 1.2.2, 1.2.4, 2.0.0, 2.2.0, 2.3.0, 2.4.0, 2.5.0</t>
        </is>
      </c>
      <c r="D212" s="14" t="n">
        <v>23</v>
      </c>
      <c r="E212" s="14" t="n"/>
      <c r="F212" s="14" t="n"/>
      <c r="G212" s="14" t="inlineStr">
        <is>
          <t>The LLM created the register once as qr and used it everywhere instead of a new QuantumRegister(n) on each call, and ran the transpiled circuit with backend.run() (same code as claude-opus-5-5).</t>
        </is>
      </c>
      <c r="H212" s="14" t="n">
        <v>4</v>
      </c>
    </row>
    <row r="213">
      <c r="A213" s="15" t="inlineStr">
        <is>
          <t>Passed on test</t>
        </is>
      </c>
      <c r="B213" s="14" t="inlineStr">
        <is>
          <t>issue_505</t>
        </is>
      </c>
      <c r="C213" s="14" t="inlineStr">
        <is>
          <t>0.45.0, 0.45.1, 0.45.2, 0.45.3, 0.46.0, 0.46.1, 0.46.2, 0.46.3</t>
        </is>
      </c>
      <c r="D213" s="14" t="n">
        <v>8</v>
      </c>
      <c r="E213" s="14" t="n"/>
      <c r="F213" s="14" t="n"/>
      <c r="G213" s="14" t="inlineStr">
        <is>
          <t>The LLM cast x to a Python float, so the operator handles the scalar multiplication instead of NumPy, the same cast as the reference (same code as claude-opus-5-5 and gpt-5.6-luna).</t>
        </is>
      </c>
      <c r="H213" s="14" t="n">
        <v>4</v>
      </c>
    </row>
    <row r="214">
      <c r="A214" s="17" t="inlineStr">
        <is>
          <t>Runtime error</t>
        </is>
      </c>
      <c r="B214" s="14" t="inlineStr">
        <is>
          <t>issue_565</t>
        </is>
      </c>
      <c r="C214" s="14" t="inlineStr">
        <is>
          <t>0.25.0, 0.25.1, 0.25.2, 0.25.3</t>
        </is>
      </c>
      <c r="D214" s="14" t="n">
        <v>4</v>
      </c>
      <c r="E214" s="14" t="inlineStr">
        <is>
          <t>Timeout</t>
        </is>
      </c>
      <c r="F214" s="14" t="inlineStr">
        <is>
          <t>120 second timeout</t>
        </is>
      </c>
      <c r="G214" s="14" t="inlineStr">
        <is>
          <t>Error (timeout): the LLM returned Aqua PauliOps instead of quantum_info Operators and built the mixer products with @= starting from an identity PauliOp, which removes the crash both luna models hit, but building the QAOA circuits doesn't finish within 120 seconds on any version (2 runs, the second with a single worker). claude-opus-5-5, gpt-6.1-sol and gpt-6-astra timed out the same way.</t>
        </is>
      </c>
      <c r="H214" s="14" t="n">
        <v>4</v>
      </c>
    </row>
    <row r="215">
      <c r="A215" s="15" t="inlineStr">
        <is>
          <t>Passed on test</t>
        </is>
      </c>
      <c r="B215" s="14" t="inlineStr">
        <is>
          <t>issue_595</t>
        </is>
      </c>
      <c r="C215" s="14" t="inlineStr">
        <is>
          <t>0.45.0, 0.45.1, 0.45.2, 0.45.3, 0.46.0, 0.46.1, 0.46.2, 0.46.3, 1.0.0, 1.0.1, 1.0.2, 1.1.0, 1.1.1, 1.1.2, 1.2.0, 1.2.1, 1.2.2, 1.2.4, 2.0.0, 2.2.0, 2.3.0, 2.4.0, 2.5.0</t>
        </is>
      </c>
      <c r="D215" s="14" t="n">
        <v>23</v>
      </c>
      <c r="E215" s="14" t="n"/>
      <c r="F215" s="14" t="n"/>
      <c r="G215" s="14" t="inlineStr">
        <is>
          <t>The LLM selected AerSimulator(method='unitary') and added circ.save_unitary() (same code as claude-opus-5-5).</t>
        </is>
      </c>
      <c r="H215" s="14" t="n">
        <v>4</v>
      </c>
    </row>
    <row r="216">
      <c r="A216" s="15" t="inlineStr">
        <is>
          <t>Passed on test</t>
        </is>
      </c>
      <c r="B216" s="14" t="inlineStr">
        <is>
          <t>issue_596</t>
        </is>
      </c>
      <c r="C216" s="14" t="inlineStr">
        <is>
          <t>0.25.0, 0.25.1, 0.25.2, 0.25.3, 0.45.0, 0.45.1, 0.45.2, 0.45.3, 0.46.0, 0.46.1, 0.46.2, 0.46.3</t>
        </is>
      </c>
      <c r="D216" s="14" t="n">
        <v>12</v>
      </c>
      <c r="E216" s="14" t="n"/>
      <c r="F216" s="14" t="n"/>
      <c r="G216" s="14" t="inlineStr">
        <is>
          <t>The LLM mapped p[j] to inp[0][j] and th[j] to theta[j] in one loop instead of the endless while loop, and kept the bound circuit with qc = qc.assign_parameters(bind_dict), so no parameters are left unbound.</t>
        </is>
      </c>
      <c r="H216" s="14" t="n">
        <v>4</v>
      </c>
    </row>
    <row r="217">
      <c r="A217" s="15" t="inlineStr">
        <is>
          <t>Passed on test</t>
        </is>
      </c>
      <c r="B217" s="14" t="inlineStr">
        <is>
          <t>issue_600</t>
        </is>
      </c>
      <c r="C217" s="14" t="inlineStr">
        <is>
          <t>0.45.0, 0.45.1, 0.45.2, 0.45.3, 0.46.0, 0.46.1, 0.46.2, 0.46.3</t>
        </is>
      </c>
      <c r="D217" s="14" t="n">
        <v>8</v>
      </c>
      <c r="E217" s="14" t="n"/>
      <c r="F217" s="14" t="n"/>
      <c r="G217" s="14"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H217" s="14" t="n">
        <v>4</v>
      </c>
    </row>
    <row r="218">
      <c r="A218" s="17" t="inlineStr">
        <is>
          <t>Runtime error</t>
        </is>
      </c>
      <c r="B218" s="14" t="inlineStr">
        <is>
          <t>issue_600</t>
        </is>
      </c>
      <c r="C218" s="14" t="inlineStr">
        <is>
          <t>0.25.0, 0.25.1, 0.25.2, 0.25.3</t>
        </is>
      </c>
      <c r="D218" s="14" t="n">
        <v>4</v>
      </c>
      <c r="E218" s="14" t="inlineStr">
        <is>
          <t>ImportError</t>
        </is>
      </c>
      <c r="F218" s="14" t="inlineStr">
        <is>
          <t>ImportError: cannot import name 'PauliGate' from 'qiskit.circuit.library' (C:\qiskit_envs\q0250\lib\site-packages\qiskit\circuit\library\__init__.py)</t>
        </is>
      </c>
      <c r="G218" s="14" t="inlineStr">
        <is>
          <t>Error on 0.25.x, passed on 0.45.x / 0.46.x: the LLM replaced PauliGate(...).power(param) with RXXGate / RYYGate / RZZGate(pi * param), which is correct up to a global phase, but kept the PauliGate import, which doesn't exist in Qiskit 0.25 (ImportError). Same code as claude-opus-5-5 and gpt-6-luna; gpt-6.1-sol and gpt-6-astra removed the import and passed on all 12 versions.</t>
        </is>
      </c>
      <c r="H218" s="14" t="n">
        <v>4</v>
      </c>
    </row>
    <row r="219">
      <c r="A219" s="15" t="inlineStr">
        <is>
          <t>Passed on test</t>
        </is>
      </c>
      <c r="B219" s="14" t="inlineStr">
        <is>
          <t>issue_622</t>
        </is>
      </c>
      <c r="C219" s="14" t="inlineStr">
        <is>
          <t>0.25.0, 0.25.1, 0.25.2, 0.25.3, 0.45.0, 0.45.1, 0.45.2, 0.45.3, 0.46.0, 0.46.1, 0.46.2, 0.46.3</t>
        </is>
      </c>
      <c r="D219" s="14" t="n">
        <v>12</v>
      </c>
      <c r="E219" s="14" t="n"/>
      <c r="F219" s="14" t="n"/>
      <c r="G219" s="14" t="inlineStr">
        <is>
          <t>The LLM swapped the 1-qubit FakeArmonk for the 5-qubit FakeAthens, so the Bell circuit runs. The updated test allows the fake device's noise (claude-opus-5-5, gpt-6.1-sol and gpt-6-astra used FakeVigo, gpt-5.6-luna FakeYorktown).</t>
        </is>
      </c>
      <c r="H219" s="14" t="n">
        <v>4</v>
      </c>
    </row>
    <row r="220">
      <c r="A220" s="15" t="inlineStr">
        <is>
          <t>Passed on test</t>
        </is>
      </c>
      <c r="B220" s="14" t="inlineStr">
        <is>
          <t>issue_624</t>
        </is>
      </c>
      <c r="C220" s="14" t="inlineStr">
        <is>
          <t>0.25.0, 0.25.1, 0.25.2, 0.25.3, 0.45.0, 0.45.1, 0.45.2, 0.45.3, 0.46.0, 0.46.1, 0.46.2, 0.46.3</t>
        </is>
      </c>
      <c r="D220" s="14" t="n">
        <v>12</v>
      </c>
      <c r="E220" s="14" t="n"/>
      <c r="F220" s="14" t="n"/>
      <c r="G220" s="14" t="inlineStr">
        <is>
          <t>The LLM replaced the circuit H with the equivalent Pauli operator Z ^ Z ^ Z ^ Z from opflow before compute_minimum_eigenvalue(), which needs an operator, not a circuit.</t>
        </is>
      </c>
      <c r="H220" s="14" t="n">
        <v>4</v>
      </c>
    </row>
    <row r="221">
      <c r="A221" s="16" t="inlineStr">
        <is>
          <t>Failed on test</t>
        </is>
      </c>
      <c r="B221" s="14" t="inlineStr">
        <is>
          <t>issue_635</t>
        </is>
      </c>
      <c r="C221" s="14" t="inlineStr">
        <is>
          <t>0.25.0, 0.25.1, 0.25.2, 0.25.3</t>
        </is>
      </c>
      <c r="D221" s="14" t="n">
        <v>4</v>
      </c>
      <c r="E221" s="14" t="inlineStr">
        <is>
          <t>AssertionError</t>
        </is>
      </c>
      <c r="F221" s="14" t="inlineStr">
        <is>
          <t>AssertionError: Items in the first set but not the second:</t>
        </is>
      </c>
      <c r="G221" s="14" t="inlineStr">
        <is>
          <t>The LLM conditioned both X gates on the whole register with c_if(c, 3), so they fire only when the register reads exactly 011. With the third bit set (register value 7) neither gate fires, although the question only asks for c[0] = c[1] = 1, so the test's full truth table doesn't match. gpt-6.1-sol added c_if(c, 7) as well and is the only model to pass; c_if exists in Qiskit 0.25, the only versions this case runs on.</t>
        </is>
      </c>
      <c r="H221" s="14" t="n">
        <v>4</v>
      </c>
    </row>
    <row r="222">
      <c r="A222" s="15" t="inlineStr">
        <is>
          <t>Passed on test</t>
        </is>
      </c>
      <c r="B222" s="14" t="inlineStr">
        <is>
          <t>issue_662</t>
        </is>
      </c>
      <c r="C222" s="14" t="inlineStr">
        <is>
          <t>0.45.0, 0.45.1, 0.45.2, 0.45.3, 0.46.0, 0.46.1, 0.46.2, 0.46.3, 1.0.0, 1.0.1, 1.0.2, 1.1.0, 1.1.1, 1.1.2, 1.2.0, 1.2.1, 1.2.2, 1.2.4, 2.0.0, 2.2.0, 2.3.0, 2.4.0, 2.5.0</t>
        </is>
      </c>
      <c r="D222" s="14" t="n">
        <v>23</v>
      </c>
      <c r="E222" s="14" t="n"/>
      <c r="F222" s="14" t="n"/>
      <c r="G222" s="14" t="inlineStr">
        <is>
          <t>The LLM counted gates over dag.op_nodes() and removed the node.type check (same code as gpt-6.1-sol and gpt-6-astra). Both luna models kept node.type and crashed.</t>
        </is>
      </c>
      <c r="H222" s="14" t="n">
        <v>4</v>
      </c>
    </row>
    <row r="223">
      <c r="A223" s="15" t="inlineStr">
        <is>
          <t>Passed on test</t>
        </is>
      </c>
      <c r="B223" s="14" t="inlineStr">
        <is>
          <t>issue_663</t>
        </is>
      </c>
      <c r="C223" s="14" t="inlineStr">
        <is>
          <t>0.45.0, 0.45.1, 0.45.2, 0.45.3, 0.46.0, 0.46.1, 0.46.2, 0.46.3</t>
        </is>
      </c>
      <c r="D223" s="14" t="n">
        <v>8</v>
      </c>
      <c r="E223" s="14" t="n"/>
      <c r="F223" s="14" t="n"/>
      <c r="G223" s="14" t="inlineStr">
        <is>
          <t>The LLM measured each qubit into its classical bit, so the counts are no longer always 000 (same code as gpt-6.1-sol, gpt-6-astra and gpt-6-luna).</t>
        </is>
      </c>
      <c r="H223" s="14" t="n">
        <v>5</v>
      </c>
    </row>
    <row r="224">
      <c r="A224" s="15" t="inlineStr">
        <is>
          <t>Passed on test</t>
        </is>
      </c>
      <c r="B224" s="14" t="inlineStr">
        <is>
          <t>issue_671</t>
        </is>
      </c>
      <c r="C224" s="14" t="inlineStr">
        <is>
          <t>0.25.0, 0.25.1, 0.25.2, 0.25.3, 0.45.0, 0.45.1, 0.45.2, 0.45.3, 0.46.0, 0.46.1, 0.46.2, 0.46.3, 1.0.0, 1.0.1, 1.0.2, 1.1.0, 1.1.1, 1.1.2, 1.2.0, 1.2.1, 1.2.2, 1.2.4, 2.0.0, 2.2.0, 2.3.0, 2.4.0, 2.5.0</t>
        </is>
      </c>
      <c r="D224" s="14" t="n">
        <v>27</v>
      </c>
      <c r="E224" s="14" t="n"/>
      <c r="F224" s="14" t="n"/>
      <c r="G224" s="14" t="inlineStr">
        <is>
          <t>QuantumCircuit(a, *v, b) unpacks the list of registers, which builds exactly the registers the question asks for. The updated test checks the registers, not the answer's example gates (same code as every other model).</t>
        </is>
      </c>
      <c r="H224" s="14" t="n">
        <v>5</v>
      </c>
    </row>
    <row r="225">
      <c r="A225" s="15" t="inlineStr">
        <is>
          <t>Passed on test</t>
        </is>
      </c>
      <c r="B225" s="14" t="inlineStr">
        <is>
          <t>issue_727</t>
        </is>
      </c>
      <c r="C225" s="14" t="inlineStr">
        <is>
          <t>0.25.0, 0.25.1, 0.25.2, 0.25.3, 0.45.0, 0.45.1, 0.45.2, 0.45.3, 0.46.0, 0.46.1, 0.46.2, 0.46.3</t>
        </is>
      </c>
      <c r="D225" s="14" t="n">
        <v>12</v>
      </c>
      <c r="E225" s="14" t="n"/>
      <c r="F225" s="14" t="n"/>
      <c r="G225" s="14" t="inlineStr">
        <is>
          <t>The LLM wrote 2 ** k as (k * numpy.log(2)).exp(), which works with a symbolic Parameter (the same idea as gpt-6.1-sol and gpt-6-astra).</t>
        </is>
      </c>
      <c r="H225" s="14" t="n">
        <v>5</v>
      </c>
    </row>
    <row r="226">
      <c r="A226" s="15" t="inlineStr">
        <is>
          <t>Passed on test</t>
        </is>
      </c>
      <c r="B226" s="14" t="inlineStr">
        <is>
          <t>issue_742</t>
        </is>
      </c>
      <c r="C226" s="14" t="inlineStr">
        <is>
          <t>1.1.0, 1.1.1, 1.1.2, 1.2.0, 1.2.1, 1.2.2, 1.2.4, 2.0.0, 2.2.0, 2.3.0, 2.4.0, 2.5.0</t>
        </is>
      </c>
      <c r="D226" s="14" t="n">
        <v>12</v>
      </c>
      <c r="E226" s="14" t="n"/>
      <c r="F226" s="14" t="n"/>
      <c r="G226" s="14" t="inlineStr">
        <is>
          <t>The LLM converted the Operator observable with SparsePauliOp.from_operator(O) (same code as every other model).</t>
        </is>
      </c>
      <c r="H226" s="14" t="n">
        <v>5</v>
      </c>
    </row>
    <row r="227">
      <c r="A227" s="15" t="inlineStr">
        <is>
          <t>Passed on test</t>
        </is>
      </c>
      <c r="B227" s="14" t="inlineStr">
        <is>
          <t>issue_747</t>
        </is>
      </c>
      <c r="C227" s="14" t="inlineStr">
        <is>
          <t>0.45.0, 0.45.1, 0.45.2, 0.45.3, 0.46.0, 0.46.1, 0.46.2, 0.46.3</t>
        </is>
      </c>
      <c r="D227" s="14" t="n">
        <v>8</v>
      </c>
      <c r="E227" s="14" t="n"/>
      <c r="F227" s="14" t="n"/>
      <c r="G227" s="14" t="inlineStr">
        <is>
          <t>The LLM measured the three qubits into the existing classical register, so the count keys are 000 / 111 (same code as claude-opus-5-5 and gpt-6-astra).</t>
        </is>
      </c>
      <c r="H227" s="14" t="n">
        <v>5</v>
      </c>
    </row>
    <row r="228">
      <c r="A228" s="17" t="inlineStr">
        <is>
          <t>Runtime error</t>
        </is>
      </c>
      <c r="B228" s="14" t="inlineStr">
        <is>
          <t>issue_750</t>
        </is>
      </c>
      <c r="C228" s="14" t="inlineStr">
        <is>
          <t>0.45.0, 0.45.1, 0.45.2, 0.45.3, 0.46.0, 0.46.1, 0.46.2, 0.46.3, 1.0.0, 1.0.1, 1.0.2, 1.1.0, 1.1.1, 1.1.2, 1.2.0, 1.2.1, 1.2.2, 1.2.4, 2.0.0, 2.2.0, 2.3.0, 2.4.0, 2.5.0</t>
        </is>
      </c>
      <c r="D228" s="14" t="n">
        <v>23</v>
      </c>
      <c r="E228" s="14" t="inlineStr">
        <is>
          <t>TypeError</t>
        </is>
      </c>
      <c r="F228" s="14" t="inlineStr">
        <is>
          <t>TypeError: Pauli.__init__() got an unexpected keyword argument 'label'</t>
        </is>
      </c>
      <c r="G228" s="14" t="inlineStr">
        <is>
          <t>The LLM answered NO BUG and returned the code unchanged, saying it matches the tutorial, but Pauli(label=...) no longer exists (TypeError: Pauli.__init__() got an unexpected keyword argument 'label'). Same answer as both luna models; claude-opus-5-5, gpt-6.1-sol and gpt-6-astra passed the label positionally and passed.</t>
        </is>
      </c>
      <c r="H228" s="14" t="n">
        <v>5</v>
      </c>
    </row>
    <row r="229">
      <c r="A229" s="17" t="inlineStr">
        <is>
          <t>Runtime error</t>
        </is>
      </c>
      <c r="B229" s="14" t="inlineStr">
        <is>
          <t>issue_769</t>
        </is>
      </c>
      <c r="C229" s="14" t="inlineStr">
        <is>
          <t>1.0.0, 1.0.1, 1.0.2, 1.1.0, 1.1.1, 1.1.2, 1.2.0, 1.2.1, 1.2.2, 1.2.4, 2.0.0, 2.2.0, 2.3.0, 2.4.0, 2.5.0</t>
        </is>
      </c>
      <c r="D229" s="14" t="n">
        <v>15</v>
      </c>
      <c r="E229" s="14" t="inlineStr">
        <is>
          <t>KeyError</t>
        </is>
      </c>
      <c r="F229" s="14" t="inlineStr">
        <is>
          <t>KeyError: 'get_qiskit_gate'</t>
        </is>
      </c>
      <c r="G229" s="14" t="inlineStr">
        <is>
          <t>The LLM imported UnitaryGate from its current location and searched Qiskit's parameter-free standard gates (get_standard_gate_name_mapping()) for one whose matrix equals the unitary, then printed its name, which is what the user asked for, and the script runs; but the test calls the reference answer's function get_qiskit_gate() by name (KeyError). The same approach as gpt-6.1-sol; over-specific test, and every model so far fails it.</t>
        </is>
      </c>
      <c r="H229" s="14" t="n">
        <v>5</v>
      </c>
    </row>
    <row r="230">
      <c r="A230" s="15" t="inlineStr">
        <is>
          <t>Passed on test</t>
        </is>
      </c>
      <c r="B230" s="14" t="inlineStr">
        <is>
          <t>issue_773</t>
        </is>
      </c>
      <c r="C230" s="14" t="inlineStr">
        <is>
          <t>0.45.0, 0.45.1, 0.45.2, 0.45.3, 0.46.0, 0.46.1, 0.46.2, 0.46.3</t>
        </is>
      </c>
      <c r="D230" s="14" t="n">
        <v>8</v>
      </c>
      <c r="E230" s="14" t="n"/>
      <c r="F230" s="14" t="n"/>
      <c r="G230" s="14" t="inlineStr">
        <is>
          <t>The LLM removed the IBMQ job_monitor import that shadowed the general one (same code as every other model).</t>
        </is>
      </c>
      <c r="H230" s="14" t="n">
        <v>5</v>
      </c>
    </row>
    <row r="231">
      <c r="A231" s="15" t="inlineStr">
        <is>
          <t>Passed on test</t>
        </is>
      </c>
      <c r="B231" s="14" t="inlineStr">
        <is>
          <t>issue_775</t>
        </is>
      </c>
      <c r="C231" s="14" t="inlineStr">
        <is>
          <t>0.25.0, 0.25.1, 0.25.2, 0.25.3, 0.45.0, 0.45.1, 0.45.2, 0.45.3, 0.46.0, 0.46.1, 0.46.2, 0.46.3</t>
        </is>
      </c>
      <c r="D231" s="14" t="n">
        <v>12</v>
      </c>
      <c r="E231" s="14" t="n"/>
      <c r="F231" s="14" t="n"/>
      <c r="G231" s="14" t="inlineStr">
        <is>
          <t>The LLM imported QuantumCircuit, parsed the OpenQASM string with QuantumCircuit.from_qasm_str() and passed the circuit to execute(), keeping Aer from qiskit, so it runs on all 12 versions. The updated test checks the executed result instead of a variable named qc. claude-opus-5-5 moved Aer to qiskit_aer and lost the four 0.25.x versions.</t>
        </is>
      </c>
      <c r="H231" s="14" t="n">
        <v>5</v>
      </c>
    </row>
    <row r="232">
      <c r="A232" s="15" t="inlineStr">
        <is>
          <t>Passed on test</t>
        </is>
      </c>
      <c r="B232" s="14" t="inlineStr">
        <is>
          <t>issue_795</t>
        </is>
      </c>
      <c r="C232" s="14" t="inlineStr">
        <is>
          <t>0.25.0, 0.25.1, 0.25.2, 0.25.3, 0.45.0, 0.45.1, 0.45.2, 0.45.3, 0.46.0, 0.46.1, 0.46.2, 0.46.3</t>
        </is>
      </c>
      <c r="D232" s="14" t="n">
        <v>12</v>
      </c>
      <c r="E232" s="14" t="n"/>
      <c r="F232" s="14" t="n"/>
      <c r="G232" s="14" t="inlineStr">
        <is>
          <t>The LLM appended the operator's matrix with circuit.unitary(...to_matrix(), [0]), so to_gate() succeeds (same code as all four GPT models).</t>
        </is>
      </c>
      <c r="H232" s="14" t="n">
        <v>5</v>
      </c>
    </row>
    <row r="233">
      <c r="A233" s="16" t="inlineStr">
        <is>
          <t>Failed on test</t>
        </is>
      </c>
      <c r="B233" s="14" t="inlineStr">
        <is>
          <t>issue_803</t>
        </is>
      </c>
      <c r="C233" s="14" t="inlineStr">
        <is>
          <t>0.25.0, 0.25.1, 0.25.2, 0.25.3</t>
        </is>
      </c>
      <c r="D233" s="14" t="n">
        <v>4</v>
      </c>
      <c r="E233" s="14" t="inlineStr">
        <is>
          <t>AssertionError</t>
        </is>
      </c>
      <c r="F233" s="14" t="inlineStr">
        <is>
          <t>ValueError: The truth value of an array with more than one element is ambiguous. Use a.any() or a.all(); AssertionError: array([list([55, 45]), list([100]), list([100])], dtype=object) is not an instance of &lt;class 'list'&gt;</t>
        </is>
      </c>
      <c r="G233" s="14"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H233" s="14" t="n">
        <v>6</v>
      </c>
    </row>
    <row r="234">
      <c r="A234" s="17" t="inlineStr">
        <is>
          <t>Runtime error</t>
        </is>
      </c>
      <c r="B234" s="14" t="inlineStr">
        <is>
          <t>issue_803</t>
        </is>
      </c>
      <c r="C234" s="14" t="inlineStr">
        <is>
          <t>0.45.0, 0.45.1, 0.45.2, 0.45.3, 0.46.0, 0.46.1, 0.46.2, 0.46.3</t>
        </is>
      </c>
      <c r="D234" s="14" t="n">
        <v>8</v>
      </c>
      <c r="E234" s="14" t="inlineStr">
        <is>
          <t>ValueError</t>
        </is>
      </c>
      <c r="F234"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4" s="14" t="inlineStr">
        <is>
          <t>Error on 0.45.x / 0.46.x, failed on 0.25.x: the LLM turned the list of count dictionaries into a NumPy array of value lists, which loses the outcome keys; the test wants one counts dictionary per circuit, and newer NumPy refuses the ragged array (ValueError). Same code as gpt-6.1-sol and gpt-6-astra; every model so far fails this case.</t>
        </is>
      </c>
      <c r="H234" s="14" t="n">
        <v>6</v>
      </c>
    </row>
    <row r="235">
      <c r="A235" s="15" t="inlineStr">
        <is>
          <t>Passed on test</t>
        </is>
      </c>
      <c r="B235" s="14" t="inlineStr">
        <is>
          <t>issue_810</t>
        </is>
      </c>
      <c r="C235" s="14" t="inlineStr">
        <is>
          <t>0.45.1, 0.46.2</t>
        </is>
      </c>
      <c r="D235" s="14" t="n">
        <v>2</v>
      </c>
      <c r="E235" s="14" t="n"/>
      <c r="F235" s="14" t="n"/>
      <c r="G235" s="14" t="inlineStr">
        <is>
          <t>The LLM replaced job.result(job) with job.result().get_counts(), which returns the raw counts dictionary. The updated test accepts any variable name and the script's own shot count (same code as both luna models; claude-opus-5-5, gpt-6.1-sol and gpt-6-astra returned per-shot memory and failed).</t>
        </is>
      </c>
      <c r="H235" s="14" t="n">
        <v>6</v>
      </c>
    </row>
    <row r="236">
      <c r="A236" s="15" t="inlineStr">
        <is>
          <t>Passed on test</t>
        </is>
      </c>
      <c r="B236" s="14" t="inlineStr">
        <is>
          <t>issue_816</t>
        </is>
      </c>
      <c r="C236" s="14" t="inlineStr">
        <is>
          <t>0.45.0, 0.45.1, 0.45.2, 0.45.3, 0.46.0, 0.46.1, 0.46.2, 0.46.3, 1.0.0, 1.0.1, 1.0.2, 1.1.0, 1.1.1, 1.1.2, 1.2.0, 1.2.1, 1.2.2, 1.2.4, 2.0.0, 2.2.0, 2.3.0, 2.4.0, 2.5.0</t>
        </is>
      </c>
      <c r="D236" s="14" t="n">
        <v>23</v>
      </c>
      <c r="E236" s="14" t="n"/>
      <c r="F236" s="14" t="n"/>
      <c r="G236" s="14" t="inlineStr">
        <is>
          <t>The LLM passed memory=True to simulator.run() (same code as every other model).</t>
        </is>
      </c>
      <c r="H236" s="14" t="n">
        <v>6</v>
      </c>
    </row>
    <row r="237">
      <c r="A237" s="17" t="inlineStr">
        <is>
          <t>Runtime error</t>
        </is>
      </c>
      <c r="B237" s="14" t="inlineStr">
        <is>
          <t>issue_876</t>
        </is>
      </c>
      <c r="C237" s="14" t="inlineStr">
        <is>
          <t>1.0.0, 1.0.1, 1.0.2, 1.1.0, 1.1.1, 1.1.2, 1.2.0, 1.2.1, 1.2.2, 1.2.4, 2.0.0, 2.2.0, 2.3.0, 2.4.0, 2.5.0</t>
        </is>
      </c>
      <c r="D237" s="14" t="n">
        <v>15</v>
      </c>
      <c r="E237" s="14" t="inlineStr">
        <is>
          <t>QiskitError</t>
        </is>
      </c>
      <c r="F237" s="14"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G237" s="14" t="inlineStr">
        <is>
          <t>The LLM added save_statevector() to the transpiled circuit, which addresses the 'no statevector' error message, but the circuit was transpiled for the 127-qubit FakeBrisbane, so Aer would need a 127-qubit statevector and refuses ('Insufficient memory to run circuit QFT'). It also ignores the noise the question is about, and the test reads the reference's variable rho_real. Every model so far fails this case.</t>
        </is>
      </c>
      <c r="H237" s="14" t="n">
        <v>6</v>
      </c>
    </row>
    <row r="238">
      <c r="A238" s="17" t="inlineStr">
        <is>
          <t>Runtime error</t>
        </is>
      </c>
      <c r="B238" s="14" t="inlineStr">
        <is>
          <t>issue_877</t>
        </is>
      </c>
      <c r="C238" s="14" t="inlineStr">
        <is>
          <t>0.45.0, 0.45.1, 0.45.2, 0.45.3, 0.46.0, 0.46.1, 0.46.2, 0.46.3</t>
        </is>
      </c>
      <c r="D238" s="14" t="n">
        <v>8</v>
      </c>
      <c r="E238" s="14" t="inlineStr">
        <is>
          <t>ModuleNotFoundError</t>
        </is>
      </c>
      <c r="F238" s="14" t="inlineStr">
        <is>
          <t>ModuleNotFoundError: No module named 'qiskit_ibm_runtime'</t>
        </is>
      </c>
      <c r="G238" s="14" t="inlineStr">
        <is>
          <t>The LLM defined the missing backend as a 127-qubit fake device from qiskit_ibm_runtime.fake_provider, but qiskit_ibm_runtime isn't installed for Qiskit 0.45 / 0.46 (ModuleNotFoundError). Same code as claude-opus-5-5; gpt-6-luna's bundled FakeMontreal passed.</t>
        </is>
      </c>
      <c r="H238" s="14" t="n">
        <v>6</v>
      </c>
    </row>
    <row r="239">
      <c r="A239" s="15" t="inlineStr">
        <is>
          <t>Passed on test</t>
        </is>
      </c>
      <c r="B239" s="14" t="inlineStr">
        <is>
          <t>issue_886</t>
        </is>
      </c>
      <c r="C239" s="14" t="inlineStr">
        <is>
          <t>0.45.0, 0.45.1</t>
        </is>
      </c>
      <c r="D239" s="14" t="n">
        <v>2</v>
      </c>
      <c r="E239" s="14" t="n"/>
      <c r="F239" s="14" t="n"/>
      <c r="G239" s="14" t="inlineStr">
        <is>
          <t>The LLM transpiled the circuit for the qasm_simulator before running it, which decomposes the crx gate Aer can't run. The updated test checks the job result regardless of the unused classical register and the variable name (the same fix as claude-opus-5-5, gpt-6.1-sol and both luna models).</t>
        </is>
      </c>
      <c r="H239" s="14" t="n">
        <v>6</v>
      </c>
    </row>
    <row r="240">
      <c r="A240" s="16" t="inlineStr">
        <is>
          <t>Failed on test</t>
        </is>
      </c>
      <c r="B240" s="14" t="inlineStr">
        <is>
          <t>issue_889</t>
        </is>
      </c>
      <c r="C240" s="14" t="inlineStr">
        <is>
          <t>0.45.0, 0.45.1, 0.45.2, 0.45.3, 0.46.0, 0.46.1, 0.46.2, 0.46.3</t>
        </is>
      </c>
      <c r="D240" s="14" t="n">
        <v>8</v>
      </c>
      <c r="E240" s="14" t="inlineStr">
        <is>
          <t>AssertionError</t>
        </is>
      </c>
      <c r="F240" s="14" t="inlineStr">
        <is>
          <t>AssertionError:</t>
        </is>
      </c>
      <c r="G240" s="14"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H240" s="14" t="n">
        <v>6</v>
      </c>
    </row>
    <row r="241">
      <c r="A241" s="17" t="inlineStr">
        <is>
          <t>Runtime error</t>
        </is>
      </c>
      <c r="B241" s="14" t="inlineStr">
        <is>
          <t>issue_889</t>
        </is>
      </c>
      <c r="C241" s="14" t="inlineStr">
        <is>
          <t>0.25.0, 0.25.1, 0.25.2, 0.25.3</t>
        </is>
      </c>
      <c r="D241" s="14" t="n">
        <v>4</v>
      </c>
      <c r="E241" s="14" t="inlineStr">
        <is>
          <t>ImportError</t>
        </is>
      </c>
      <c r="F241" s="14" t="inlineStr">
        <is>
          <t>ImportError: cannot import name 'PauliEvolutionGate' from 'qiskit.circuit.library' (C:\qiskit_envs\q0250\lib\site-packages\qiskit\circuit\library\__init__.py)</t>
        </is>
      </c>
      <c r="G241" s="14" t="inlineStr">
        <is>
          <t>Error on 0.25.x, failed on 0.45.x / 0.46.x: the LLM kept the PauliSumOp Hamiltonian and appended PauliEvolutionGate(H, time=time_). PauliEvolutionGate doesn't exist in Qiskit 0.25 (ImportError), and on 0.45 / 0.46 its default single Lie-Trotter step only approximates exp(-iHt) for the non-commuting terms, so the circuit's unitary differs from the exact evolution the test checks (the same idea as claude-opus-5-5). Every model so far fails this case.</t>
        </is>
      </c>
      <c r="H241" s="14" t="n">
        <v>6</v>
      </c>
    </row>
    <row r="242">
      <c r="A242" s="15" t="inlineStr">
        <is>
          <t>Passed on test</t>
        </is>
      </c>
      <c r="B242" s="14" t="inlineStr">
        <is>
          <t>issue_911</t>
        </is>
      </c>
      <c r="C242" s="14" t="inlineStr">
        <is>
          <t>0.45.0, 0.45.1, 0.45.2, 0.45.3, 0.46.0, 0.46.1, 0.46.2, 0.46.3, 1.0.0, 1.0.1, 1.0.2, 1.1.0, 1.1.1, 1.1.2, 1.2.0, 1.2.1, 1.2.2, 1.2.4, 2.0.0, 2.2.0, 2.3.0, 2.4.0, 2.5.0</t>
        </is>
      </c>
      <c r="D242" s="14" t="n">
        <v>23</v>
      </c>
      <c r="E242" s="14" t="n"/>
      <c r="F242" s="14" t="n"/>
      <c r="G242" s="14" t="inlineStr">
        <is>
          <t>The LLM looped over every qubit of each instruction and printed qc.find_bit(qubit).registers and .index, which also avoids the IndexError on single-qubit gates. The updated test reads the printed indices in any format. Only gpt-5.6-luna also passed; claude-opus-5-5, gpt-6.1-sol and gpt-6-astra printed only one qubit per gate.</t>
        </is>
      </c>
      <c r="H242" s="14" t="n">
        <v>6</v>
      </c>
    </row>
    <row r="243">
      <c r="A243" s="15" t="inlineStr">
        <is>
          <t>Passed on test</t>
        </is>
      </c>
      <c r="B243" s="14" t="inlineStr">
        <is>
          <t>issue_925</t>
        </is>
      </c>
      <c r="C243" s="14" t="inlineStr">
        <is>
          <t>0.25.0, 0.25.1, 0.25.2, 0.25.3</t>
        </is>
      </c>
      <c r="D243" s="14" t="n">
        <v>4</v>
      </c>
      <c r="E243" s="14" t="n"/>
      <c r="F243" s="14" t="n"/>
      <c r="G243" s="14" t="inlineStr">
        <is>
          <t>The LLM replaced the 15-qubit FakeMelbourne with Aer's qasm_simulator, so the 18-qubit Shor circuit runs, the same fix as the reference. claude-opus-5-5 also passed with BasicAer; gpt-6.1-sol and gpt-6-astra answered NO BUG, gpt-5.6-luna only added a comment, and gpt-6-luna's noisy FakeTokyo simulation timed out.</t>
        </is>
      </c>
      <c r="H243" s="14" t="n">
        <v>6</v>
      </c>
    </row>
    <row r="244">
      <c r="A244" s="15" t="inlineStr">
        <is>
          <t>Passed on test</t>
        </is>
      </c>
      <c r="B244" s="14" t="inlineStr">
        <is>
          <t>issue_944</t>
        </is>
      </c>
      <c r="C244" s="14" t="inlineStr">
        <is>
          <t>0.25.0, 0.25.1, 0.25.2, 0.25.3, 0.45.0, 0.45.1, 0.45.2, 0.45.3, 0.46.0, 0.46.1, 0.46.2, 0.46.3</t>
        </is>
      </c>
      <c r="D244" s="14" t="n">
        <v>12</v>
      </c>
      <c r="E244" s="14" t="n"/>
      <c r="F244" s="14" t="n"/>
      <c r="G244" s="14" t="inlineStr">
        <is>
          <t>The LLM built the projector |+&gt;&lt;+| as MatrixOp(Plus.to_density_matrix()) and wrapped the eigensolver's operator in MatrixOp. The updated test accepts any operator type (the same idea as claude-opus-5-5, gpt-6.1-sol and gpt-6-astra).</t>
        </is>
      </c>
      <c r="H244" s="14" t="n">
        <v>6</v>
      </c>
    </row>
    <row r="245">
      <c r="A245" s="16" t="inlineStr">
        <is>
          <t>Failed on test</t>
        </is>
      </c>
      <c r="B245" s="14" t="inlineStr">
        <is>
          <t>issue_950</t>
        </is>
      </c>
      <c r="C245" s="14" t="inlineStr">
        <is>
          <t>0.25.0, 0.25.1, 0.25.2, 0.25.3, 0.45.0, 0.45.1, 0.45.2, 0.45.3, 0.46.0, 0.46.1, 0.46.2, 0.46.3, 1.0.0, 1.0.1, 1.0.2, 1.1.0, 1.1.1, 1.1.2, 1.2.0, 1.2.1, 1.2.2, 1.2.4, 2.0.0, 2.2.0, 2.3.0, 2.4.0, 2.5.0</t>
        </is>
      </c>
      <c r="D245" s="14" t="n">
        <v>27</v>
      </c>
      <c r="E245" s="14" t="inlineStr">
        <is>
          <t>AssertionError</t>
        </is>
      </c>
      <c r="F245" s="14" t="inlineStr">
        <is>
          <t>AssertionError:</t>
        </is>
      </c>
      <c r="G245" s="14" t="inlineStr">
        <is>
          <t>The LLM widened the identity to N qubits but kept _add(), which adds the Z operator to the identity instead of placing Z on the requested qubits (same code as both luna models). claude-opus-5-5, gpt-6.1-sol and gpt-6-astra used compose() and passed.</t>
        </is>
      </c>
      <c r="H245" s="14" t="n">
        <v>7</v>
      </c>
    </row>
    <row r="246">
      <c r="A246" s="16" t="inlineStr">
        <is>
          <t>Failed on test</t>
        </is>
      </c>
      <c r="B246" s="14" t="inlineStr">
        <is>
          <t>issue_958</t>
        </is>
      </c>
      <c r="C246" s="14" t="inlineStr">
        <is>
          <t>0.45.0, 0.45.1, 0.45.2, 0.45.3, 0.46.0, 0.46.1, 0.46.2, 0.46.3, 1.0.0, 1.0.1, 1.0.2, 1.1.0, 1.1.1, 1.1.2, 1.2.0, 1.2.1, 1.2.2, 1.2.4, 2.0.0, 2.2.0, 2.3.0, 2.4.0, 2.5.0</t>
        </is>
      </c>
      <c r="D246" s="14" t="n">
        <v>23</v>
      </c>
      <c r="E246" s="14" t="inlineStr">
        <is>
          <t>AssertionError</t>
        </is>
      </c>
      <c r="F246" s="14" t="inlineStr">
        <is>
          <t>KeyError: 'qc2'; AssertionError:</t>
        </is>
      </c>
      <c r="G246" s="14" t="inlineStr">
        <is>
          <t>The LLM built an H gate with a global phase of pi and appended it to qubit 1 only, so the circuit is not -(H x H), the operator the test checks; the test also requires the reference answer's second circuit qc2 (KeyError). gpt-6.1-sol, gpt-6-astra and gpt-6-luna set the whole circuit's global phase to pi, which matches qc but also lacks qc2; every model fails this case.</t>
        </is>
      </c>
      <c r="H246" s="14" t="n">
        <v>7</v>
      </c>
    </row>
    <row r="247">
      <c r="A247" s="16" t="inlineStr">
        <is>
          <t>Failed on test</t>
        </is>
      </c>
      <c r="B247" s="14" t="inlineStr">
        <is>
          <t>issue_977</t>
        </is>
      </c>
      <c r="C247" s="14" t="inlineStr">
        <is>
          <t>0.45.0, 0.45.1, 0.45.2, 0.45.3, 0.46.0, 0.46.1, 0.46.2, 0.46.3, 1.0.0, 1.0.1, 1.0.2, 1.1.0, 1.1.1, 1.1.2, 1.2.0, 1.2.1, 1.2.2, 1.2.4, 2.0.0, 2.2.0, 2.3.0, 2.4.0, 2.5.0</t>
        </is>
      </c>
      <c r="D247" s="14" t="n">
        <v>23</v>
      </c>
      <c r="E247" s="14" t="inlineStr">
        <is>
          <t>AssertionError</t>
        </is>
      </c>
      <c r="F247" s="14" t="inlineStr">
        <is>
          <t>AssertionError: [] is not true : no SparsePauliOp in the program</t>
        </is>
      </c>
      <c r="G247" s="14" t="inlineStr">
        <is>
          <t>The LLM built the operator with SparsePauliOp.from_operator(Operator(Hamiltonian)), the same call as the reference, but kept the buggy code's .to_operator() at the end, so H_op is converted back to a dense Operator and the program holds no SparsePauliOp ('no SparsePauliOp in the program'). claude-opus-5-5, gpt-6.1-sol, gpt-6-astra and gpt-5.6-luna dropped .to_operator() and passed.</t>
        </is>
      </c>
      <c r="H247" s="14" t="n">
        <v>7</v>
      </c>
    </row>
    <row r="248">
      <c r="A248" s="16" t="inlineStr">
        <is>
          <t>Failed on test</t>
        </is>
      </c>
      <c r="B248" s="14" t="inlineStr">
        <is>
          <t>issue_985</t>
        </is>
      </c>
      <c r="C248" s="14" t="inlineStr">
        <is>
          <t>0.45.0, 0.45.1, 0.45.2, 0.45.3, 0.46.0, 0.46.1, 0.46.2, 0.46.3, 1.0.0, 1.0.1, 1.0.2, 1.1.0, 1.1.1, 1.1.2, 1.2.0, 1.2.1, 1.2.2, 1.2.4, 2.0.0, 2.2.0, 2.3.0, 2.4.0, 2.5.0</t>
        </is>
      </c>
      <c r="D248" s="14" t="n">
        <v>23</v>
      </c>
      <c r="E248" s="14" t="inlineStr">
        <is>
          <t>AssertionError</t>
        </is>
      </c>
      <c r="F248" s="14" t="inlineStr">
        <is>
          <t>AssertionError:</t>
        </is>
      </c>
      <c r="G248" s="14" t="inlineStr">
        <is>
          <t>The LLM replaced u1 with p(lam), the identical phase gate, which keeps the U1 phase exactly; the current test requires the phase to be dropped (determinant 1), as in the reference. The team's earlier test_before.py, which requires the exact U1 phase, passes this fix (debatable test; same code as claude-opus-5-5, gpt-6.1-sol and gpt-6-astra, and every model fails it).</t>
        </is>
      </c>
      <c r="H248" s="14" t="n">
        <v>7</v>
      </c>
    </row>
    <row r="249">
      <c r="A249" s="15" t="inlineStr">
        <is>
          <t>Passed on test</t>
        </is>
      </c>
      <c r="B249" s="14" t="inlineStr">
        <is>
          <t>issue_989</t>
        </is>
      </c>
      <c r="C249" s="14" t="inlineStr">
        <is>
          <t>1.0.0, 1.0.1, 1.0.2, 1.1.0, 1.1.1, 1.1.2, 1.2.0, 1.2.1, 1.2.2, 1.2.4, 2.0.0, 2.2.0, 2.3.0, 2.4.0, 2.5.0</t>
        </is>
      </c>
      <c r="D249" s="14" t="n">
        <v>15</v>
      </c>
      <c r="E249" s="14" t="n"/>
      <c r="F249" s="14" t="n"/>
      <c r="G249" s="14" t="inlineStr">
        <is>
          <t>The LLM imported Aer from qiskit_aer (same code as every other model).</t>
        </is>
      </c>
      <c r="H249" s="14" t="n">
        <v>7</v>
      </c>
    </row>
    <row r="250">
      <c r="A250" s="15" t="inlineStr">
        <is>
          <t>Passed on test</t>
        </is>
      </c>
      <c r="B250" s="14" t="inlineStr">
        <is>
          <t>issue_994</t>
        </is>
      </c>
      <c r="C250" s="14" t="inlineStr">
        <is>
          <t>0.25.0, 0.25.1, 0.25.2, 0.25.3</t>
        </is>
      </c>
      <c r="D250" s="14" t="n">
        <v>4</v>
      </c>
      <c r="E250" s="14" t="n"/>
      <c r="F250" s="14" t="n"/>
      <c r="G250" s="14" t="inlineStr">
        <is>
          <t>Adding qc.save_statevector() makes get_statevector() work on the QasmSimulator. The updated test takes the statevector from either a variable or get_statevector() (same code as all four GPT models).</t>
        </is>
      </c>
      <c r="H250" s="14" t="n">
        <v>7</v>
      </c>
    </row>
    <row r="251">
      <c r="A251" s="16" t="inlineStr">
        <is>
          <t>Failed on test</t>
        </is>
      </c>
      <c r="B251" s="14" t="inlineStr">
        <is>
          <t>issue_1035</t>
        </is>
      </c>
      <c r="C251" s="14" t="inlineStr">
        <is>
          <t>0.45.0, 0.45.1, 0.45.2, 0.45.3, 0.46.0, 0.46.1, 0.46.2, 0.46.3</t>
        </is>
      </c>
      <c r="D251" s="14" t="n">
        <v>8</v>
      </c>
      <c r="E251" s="14" t="inlineStr">
        <is>
          <t>AssertionError</t>
        </is>
      </c>
      <c r="F251" s="14" t="inlineStr">
        <is>
          <t>AssertionError: OFFLINE_CONTRACT: Runtime account/session is not a local fake backend</t>
        </is>
      </c>
      <c r="G251" s="14" t="inlineStr">
        <is>
          <t>The LLM replaced the cloud Runtime Session with a FakeManila backend passed directly to qiskit_ibm_runtime's Estimator (Runtime local testing mode), but the offline test rejects any Runtime account or session ('Runtime account/session is not a local fake backend'). claude-opus-5-5 used the same local testing mode and failed the same way; both luna models switched to a local Aer Estimator and passed.</t>
        </is>
      </c>
      <c r="H251" s="14" t="n">
        <v>7</v>
      </c>
    </row>
    <row r="252">
      <c r="A252" s="15" t="inlineStr">
        <is>
          <t>Passed on test</t>
        </is>
      </c>
      <c r="B252" s="14" t="inlineStr">
        <is>
          <t>issue_772</t>
        </is>
      </c>
      <c r="C252" s="14" t="inlineStr">
        <is>
          <t>0.25.0, 0.25.1, 0.25.2, 0.25.3, 0.45.0, 0.45.1, 0.45.2, 0.45.3, 0.46.0, 0.46.1, 0.46.2, 0.46.3</t>
        </is>
      </c>
      <c r="D252" s="14" t="n">
        <v>12</v>
      </c>
      <c r="E252" s="14" t="n"/>
      <c r="F252" s="14" t="n"/>
      <c r="G252" s="14" t="inlineStr">
        <is>
          <t>The LLM passed both register slices as one qubit list (qr1[1:2] + qr2[0:3]) to append() and kept the original UnitaryGate import, so it passes on all 12 versions (same code as all four GPT models; claude-opus-5-5 moved the import and lost the four 0.25.x versions).</t>
        </is>
      </c>
      <c r="H252" s="14" t="n">
        <v>8</v>
      </c>
    </row>
    <row r="253">
      <c r="A253" s="16" t="inlineStr">
        <is>
          <t>Failed on test</t>
        </is>
      </c>
      <c r="B253" s="14" t="inlineStr">
        <is>
          <t>issue_790</t>
        </is>
      </c>
      <c r="C253" s="14" t="inlineStr">
        <is>
          <t>0.45.0, 0.45.1, 0.45.2, 0.45.3, 0.46.0, 0.46.1, 0.46.2, 0.46.3, 1.0.0, 1.0.1, 1.0.2, 1.1.0, 1.1.1, 1.1.2, 1.2.0, 1.2.1, 1.2.2, 1.2.4, 2.0.0, 2.2.0, 2.3.0, 2.4.0, 2.5.0</t>
        </is>
      </c>
      <c r="D253" s="14" t="n">
        <v>23</v>
      </c>
      <c r="E253" s="14" t="inlineStr">
        <is>
          <t>AssertionError</t>
        </is>
      </c>
      <c r="F253" s="14" t="inlineStr">
        <is>
          <t>AssertionError: 1.630715739004526 not less than or equal to 0.7083783495810843 : circuit does not approximate exp(-i H) within the six-step second-order bound</t>
        </is>
      </c>
      <c r="G253" s="14" t="inlineStr">
        <is>
          <t>The LLM turned X, Y and Z into SparsePauliOps, which removes the Pauli - Pauli subtraction crash, passed SuzukiTrotter(order=2, reps=6) as each PauliEvolutionGate's synthesis and called decompose(). Each bond is then split into six steps on its own, but the bonds are still applied one after another only once, a single coarse Trotter step of the full Hamiltonian, so the distance from exp(-iH) is 1.63, above the test's bound of 0.71 (the same approach as gpt-6.1-sol). Every model so far fails this case.</t>
        </is>
      </c>
      <c r="H253" s="14" t="n">
        <v>8</v>
      </c>
    </row>
    <row r="254">
      <c r="A254" s="15" t="inlineStr">
        <is>
          <t>Passed on test</t>
        </is>
      </c>
      <c r="B254" s="14" t="inlineStr">
        <is>
          <t>issue_827</t>
        </is>
      </c>
      <c r="C254" s="14" t="inlineStr">
        <is>
          <t>0.25.0, 0.25.1, 0.25.2, 0.25.3, 0.45.0, 0.45.1, 0.45.2, 0.45.3, 0.46.0, 0.46.1, 0.46.2, 0.46.3</t>
        </is>
      </c>
      <c r="D254" s="14" t="n">
        <v>12</v>
      </c>
      <c r="E254" s="14" t="n"/>
      <c r="F254" s="14" t="n"/>
      <c r="G254" s="14" t="inlineStr">
        <is>
          <t>The LLM replaced compile() with assemble(transpile(...)) and the removed qiskit.backends.jobstatus import with qiskit.providers.jobstatus, and kept Aer from qiskit, so the fix passes on all 12 versions. It is the first model to pass this case on every version; claude-opus-5-5 passed on 8 (its qiskit_aer import fails on 0.25.x) and all four GPT models kept the qiskit.backends import.</t>
        </is>
      </c>
      <c r="H254" s="14" t="n">
        <v>8</v>
      </c>
    </row>
    <row r="255">
      <c r="A255" s="17" t="inlineStr">
        <is>
          <t>Runtime error</t>
        </is>
      </c>
      <c r="B255" s="14" t="inlineStr">
        <is>
          <t>issue_858</t>
        </is>
      </c>
      <c r="C255" s="14" t="inlineStr">
        <is>
          <t>0.45.0, 0.45.1, 0.45.2, 0.45.3, 0.46.0, 0.46.1, 0.46.2, 0.46.3</t>
        </is>
      </c>
      <c r="D255" s="14" t="n">
        <v>8</v>
      </c>
      <c r="E255" s="14" t="inlineStr">
        <is>
          <t>ModuleNotFoundError</t>
        </is>
      </c>
      <c r="F255" s="14" t="inlineStr">
        <is>
          <t>ModuleNotFoundError: No module named 'qiskit_ibm_runtime'</t>
        </is>
      </c>
      <c r="G255" s="14" t="inlineStr">
        <is>
          <t>The LLM replaced the IBMQ account and the retired ibm_oslo with the FakeOslo snapshot, but imported it from qiskit_ibm_runtime.fake_provider, which isn't installed for Qiskit 0.45 / 0.46 (ModuleNotFoundError). Same code as claude-opus-5-5; every model so far fails this case.</t>
        </is>
      </c>
      <c r="H255" s="14" t="n">
        <v>8</v>
      </c>
    </row>
    <row r="256">
      <c r="A256" s="16" t="inlineStr">
        <is>
          <t>Failed on test</t>
        </is>
      </c>
      <c r="B256" s="14" t="inlineStr">
        <is>
          <t>issue_901</t>
        </is>
      </c>
      <c r="C256" s="14" t="inlineStr">
        <is>
          <t>0.45.0, 0.45.1, 0.45.2, 0.45.3, 0.46.0, 0.46.1, 0.46.2, 0.46.3, 1.0.0, 1.0.1, 1.0.2, 1.1.0, 1.1.1, 1.1.2, 1.2.0, 1.2.1, 1.2.2, 1.2.4, 2.0.0</t>
        </is>
      </c>
      <c r="D256" s="14" t="n">
        <v>19</v>
      </c>
      <c r="E256" s="14" t="inlineStr">
        <is>
          <t>AssertionError</t>
        </is>
      </c>
      <c r="F256" s="14" t="inlineStr">
        <is>
          <t>AssertionError: {'s'} is not false : Output still contains gates outside {H, T, CNOT, I}: s</t>
        </is>
      </c>
      <c r="G256" s="14" t="inlineStr">
        <is>
          <t>Instead of teaching the transpiler to express S in the {H, T, CNOT} basis, the LLM added 's' to basis_gates, so the transpiled circuit keeps the S gate, and the test, which requires only H, T, CNOT and I in the output, fails ('Output still contains gates outside {H, T, CNOT, I}: s'). Every other model passed with the basis left as {H, T, CNOT, I} (claude-opus-5-5, gpt-6.1-sol and gpt-6-astra registered the decomposition S = T T).</t>
        </is>
      </c>
      <c r="H256" s="14" t="n">
        <v>8</v>
      </c>
    </row>
    <row r="257">
      <c r="A257" s="17" t="inlineStr">
        <is>
          <t>Runtime error</t>
        </is>
      </c>
      <c r="B257" s="14" t="inlineStr">
        <is>
          <t>issue_921</t>
        </is>
      </c>
      <c r="C257" s="14" t="inlineStr">
        <is>
          <t>0.25.0, 0.25.1, 0.25.2, 0.25.3</t>
        </is>
      </c>
      <c r="D257" s="14" t="n">
        <v>4</v>
      </c>
      <c r="E257" s="14" t="inlineStr">
        <is>
          <t>ImportError</t>
        </is>
      </c>
      <c r="F257" s="14" t="inlineStr">
        <is>
          <t>ImportError: cannot import name 'run_algorithm' from 'qiskit.aqua' (C:\qiskit_envs\q0250\lib\site-packages\qiskit\aqua\__init__.py)</t>
        </is>
      </c>
      <c r="G257" s="14" t="inlineStr">
        <is>
          <t>The LLM answered NO BUG, saying the code already uses the valid Aqua 0.6 API, and returned it unchanged, but run_algorithm can't be imported from qiskit.aqua (ImportError). Same answer as both luna models; claude-opus-5-5 rewrote it with SparsePauliOp and NumPy and passed.</t>
        </is>
      </c>
      <c r="H257"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2026-10-13T21:17:48Z</dcterms:created>
  <dcterms:modified xsi:type="dcterms:W3CDTF">2026-10-13T21:17:49Z</dcterms:modified>
</cp:coreProperties>
</file>