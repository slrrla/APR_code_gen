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ts &amp; Note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F4E78"/>
      </patternFill>
    </fill>
    <fill>
      <patternFill patternType="solid">
        <fgColor rgb="00EDEDED"/>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2" fillId="0" borderId="0" pivotButton="0" quotePrefix="0" xfId="0"/>
    <xf numFmtId="0" fontId="0" fillId="4" borderId="1" pivotButton="0" quotePrefix="0" xfId="0"/>
    <xf numFmtId="164" fontId="0" fillId="0" borderId="1" pivotButton="0" quotePrefix="0" xfId="0"/>
    <xf numFmtId="0" fontId="0" fillId="5" borderId="1" pivotButton="0" quotePrefix="0" xfId="0"/>
    <xf numFmtId="0" fontId="0" fillId="6" borderId="1" pivotButton="0" quotePrefix="0" xfId="0"/>
    <xf numFmtId="0" fontId="2" fillId="0" borderId="1" pivotButton="0" quotePrefix="0" xfId="0"/>
    <xf numFmtId="164" fontId="2"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7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8" customWidth="1" min="76" max="76"/>
    <col width="28" customWidth="1" min="77" max="77"/>
    <col width="28" customWidth="1" min="78" max="78"/>
    <col width="28" customWidth="1" min="79" max="79"/>
    <col width="28" customWidth="1" min="80" max="80"/>
    <col width="28" customWidth="1" min="81" max="81"/>
    <col width="28" customWidth="1" min="82" max="82"/>
    <col width="28" customWidth="1" min="83" max="83"/>
    <col width="28" customWidth="1" min="84" max="84"/>
    <col width="28" customWidth="1" min="85" max="85"/>
    <col width="28" customWidth="1" min="86" max="86"/>
    <col width="28" customWidth="1" min="87" max="87"/>
    <col width="28" customWidth="1" min="88" max="88"/>
    <col width="28" customWidth="1" min="89" max="89"/>
    <col width="28" customWidth="1" min="90" max="90"/>
    <col width="28" customWidth="1" min="91" max="91"/>
    <col width="28" customWidth="1" min="92" max="92"/>
    <col width="28" customWidth="1" min="93" max="93"/>
    <col width="28" customWidth="1" min="94" max="94"/>
    <col width="28" customWidth="1" min="95" max="95"/>
    <col width="28" customWidth="1" min="96" max="96"/>
    <col width="28" customWidth="1" min="97" max="97"/>
    <col width="28" customWidth="1" min="98" max="98"/>
    <col width="28" customWidth="1" min="99" max="99"/>
    <col width="28" customWidth="1" min="100" max="100"/>
    <col width="28" customWidth="1" min="101" max="101"/>
    <col width="28" customWidth="1" min="102" max="102"/>
    <col width="28" customWidth="1" min="103" max="103"/>
    <col width="28" customWidth="1" min="104" max="104"/>
    <col width="28" customWidth="1" min="105" max="105"/>
    <col width="28" customWidth="1" min="106" max="106"/>
    <col width="28" customWidth="1" min="107" max="107"/>
    <col width="28" customWidth="1" min="108" max="108"/>
    <col width="28" customWidth="1" min="109" max="109"/>
  </cols>
  <sheetData>
    <row r="1">
      <c r="A1" s="1" t="inlineStr">
        <is>
          <t>case_id</t>
        </is>
      </c>
      <c r="B1" s="1" t="inlineStr">
        <is>
          <t>0.25.0</t>
        </is>
      </c>
      <c r="C1" s="1" t="inlineStr">
        <is>
          <t>0.25.1</t>
        </is>
      </c>
      <c r="D1" s="1" t="inlineStr">
        <is>
          <t>0.25.2</t>
        </is>
      </c>
      <c r="E1" s="1" t="inlineStr">
        <is>
          <t>0.25.3</t>
        </is>
      </c>
      <c r="F1" s="1" t="inlineStr">
        <is>
          <t>0.45.0</t>
        </is>
      </c>
      <c r="G1" s="1" t="inlineStr">
        <is>
          <t>0.45.1</t>
        </is>
      </c>
      <c r="H1" s="1" t="inlineStr">
        <is>
          <t>0.45.2</t>
        </is>
      </c>
      <c r="I1" s="1" t="inlineStr">
        <is>
          <t>0.45.3</t>
        </is>
      </c>
      <c r="J1" s="1" t="inlineStr">
        <is>
          <t>0.46.0</t>
        </is>
      </c>
      <c r="K1" s="1" t="inlineStr">
        <is>
          <t>0.46.1</t>
        </is>
      </c>
      <c r="L1" s="1" t="inlineStr">
        <is>
          <t>0.46.2</t>
        </is>
      </c>
      <c r="M1" s="1" t="inlineStr">
        <is>
          <t>0.46.3</t>
        </is>
      </c>
      <c r="N1" s="1" t="inlineStr">
        <is>
          <t>1.0.0</t>
        </is>
      </c>
      <c r="O1" s="1" t="inlineStr">
        <is>
          <t>1.0.1</t>
        </is>
      </c>
      <c r="P1" s="1" t="inlineStr">
        <is>
          <t>1.0.2</t>
        </is>
      </c>
      <c r="Q1" s="1" t="inlineStr">
        <is>
          <t>1.1.0</t>
        </is>
      </c>
      <c r="R1" s="1" t="inlineStr">
        <is>
          <t>1.1.1</t>
        </is>
      </c>
      <c r="S1" s="1" t="inlineStr">
        <is>
          <t>1.1.2</t>
        </is>
      </c>
      <c r="T1" s="1" t="inlineStr">
        <is>
          <t>1.2.0</t>
        </is>
      </c>
      <c r="U1" s="1" t="inlineStr">
        <is>
          <t>1.2.1</t>
        </is>
      </c>
      <c r="V1" s="1" t="inlineStr">
        <is>
          <t>1.2.2</t>
        </is>
      </c>
      <c r="W1" s="1" t="inlineStr">
        <is>
          <t>1.2.4</t>
        </is>
      </c>
      <c r="X1" s="1" t="inlineStr">
        <is>
          <t>2.0.0</t>
        </is>
      </c>
      <c r="Y1" s="1" t="inlineStr">
        <is>
          <t>2.2.0</t>
        </is>
      </c>
      <c r="Z1" s="1" t="inlineStr">
        <is>
          <t>2.3.0</t>
        </is>
      </c>
      <c r="AA1" s="1" t="inlineStr">
        <is>
          <t>2.4.0</t>
        </is>
      </c>
      <c r="AB1" s="1" t="inlineStr">
        <is>
          <t>2.5.0</t>
        </is>
      </c>
      <c r="AC1" s="1" t="inlineStr">
        <is>
          <t>error_type_0.25.0</t>
        </is>
      </c>
      <c r="AD1" s="1" t="inlineStr">
        <is>
          <t>error_message_0.25.0</t>
        </is>
      </c>
      <c r="AE1" s="1" t="inlineStr">
        <is>
          <t>error_description_0.25.0</t>
        </is>
      </c>
      <c r="AF1" s="1" t="inlineStr">
        <is>
          <t>error_type_0.25.1</t>
        </is>
      </c>
      <c r="AG1" s="1" t="inlineStr">
        <is>
          <t>error_message_0.25.1</t>
        </is>
      </c>
      <c r="AH1" s="1" t="inlineStr">
        <is>
          <t>error_description_0.25.1</t>
        </is>
      </c>
      <c r="AI1" s="1" t="inlineStr">
        <is>
          <t>error_type_0.25.2</t>
        </is>
      </c>
      <c r="AJ1" s="1" t="inlineStr">
        <is>
          <t>error_message_0.25.2</t>
        </is>
      </c>
      <c r="AK1" s="1" t="inlineStr">
        <is>
          <t>error_description_0.25.2</t>
        </is>
      </c>
      <c r="AL1" s="1" t="inlineStr">
        <is>
          <t>error_type_0.25.3</t>
        </is>
      </c>
      <c r="AM1" s="1" t="inlineStr">
        <is>
          <t>error_message_0.25.3</t>
        </is>
      </c>
      <c r="AN1" s="1" t="inlineStr">
        <is>
          <t>error_description_0.25.3</t>
        </is>
      </c>
      <c r="AO1" s="1" t="inlineStr">
        <is>
          <t>error_type_0.45.0</t>
        </is>
      </c>
      <c r="AP1" s="1" t="inlineStr">
        <is>
          <t>error_message_0.45.0</t>
        </is>
      </c>
      <c r="AQ1" s="1" t="inlineStr">
        <is>
          <t>error_description_0.45.0</t>
        </is>
      </c>
      <c r="AR1" s="1" t="inlineStr">
        <is>
          <t>error_type_0.45.1</t>
        </is>
      </c>
      <c r="AS1" s="1" t="inlineStr">
        <is>
          <t>error_message_0.45.1</t>
        </is>
      </c>
      <c r="AT1" s="1" t="inlineStr">
        <is>
          <t>error_description_0.45.1</t>
        </is>
      </c>
      <c r="AU1" s="1" t="inlineStr">
        <is>
          <t>error_type_0.45.2</t>
        </is>
      </c>
      <c r="AV1" s="1" t="inlineStr">
        <is>
          <t>error_message_0.45.2</t>
        </is>
      </c>
      <c r="AW1" s="1" t="inlineStr">
        <is>
          <t>error_description_0.45.2</t>
        </is>
      </c>
      <c r="AX1" s="1" t="inlineStr">
        <is>
          <t>error_type_0.45.3</t>
        </is>
      </c>
      <c r="AY1" s="1" t="inlineStr">
        <is>
          <t>error_message_0.45.3</t>
        </is>
      </c>
      <c r="AZ1" s="1" t="inlineStr">
        <is>
          <t>error_description_0.45.3</t>
        </is>
      </c>
      <c r="BA1" s="1" t="inlineStr">
        <is>
          <t>error_type_0.46.0</t>
        </is>
      </c>
      <c r="BB1" s="1" t="inlineStr">
        <is>
          <t>error_message_0.46.0</t>
        </is>
      </c>
      <c r="BC1" s="1" t="inlineStr">
        <is>
          <t>error_description_0.46.0</t>
        </is>
      </c>
      <c r="BD1" s="1" t="inlineStr">
        <is>
          <t>error_type_0.46.1</t>
        </is>
      </c>
      <c r="BE1" s="1" t="inlineStr">
        <is>
          <t>error_message_0.46.1</t>
        </is>
      </c>
      <c r="BF1" s="1" t="inlineStr">
        <is>
          <t>error_description_0.46.1</t>
        </is>
      </c>
      <c r="BG1" s="1" t="inlineStr">
        <is>
          <t>error_type_0.46.2</t>
        </is>
      </c>
      <c r="BH1" s="1" t="inlineStr">
        <is>
          <t>error_message_0.46.2</t>
        </is>
      </c>
      <c r="BI1" s="1" t="inlineStr">
        <is>
          <t>error_description_0.46.2</t>
        </is>
      </c>
      <c r="BJ1" s="1" t="inlineStr">
        <is>
          <t>error_type_0.46.3</t>
        </is>
      </c>
      <c r="BK1" s="1" t="inlineStr">
        <is>
          <t>error_message_0.46.3</t>
        </is>
      </c>
      <c r="BL1" s="1" t="inlineStr">
        <is>
          <t>error_description_0.46.3</t>
        </is>
      </c>
      <c r="BM1" s="1" t="inlineStr">
        <is>
          <t>error_type_1.0.0</t>
        </is>
      </c>
      <c r="BN1" s="1" t="inlineStr">
        <is>
          <t>error_message_1.0.0</t>
        </is>
      </c>
      <c r="BO1" s="1" t="inlineStr">
        <is>
          <t>error_description_1.0.0</t>
        </is>
      </c>
      <c r="BP1" s="1" t="inlineStr">
        <is>
          <t>error_type_1.0.1</t>
        </is>
      </c>
      <c r="BQ1" s="1" t="inlineStr">
        <is>
          <t>error_message_1.0.1</t>
        </is>
      </c>
      <c r="BR1" s="1" t="inlineStr">
        <is>
          <t>error_description_1.0.1</t>
        </is>
      </c>
      <c r="BS1" s="1" t="inlineStr">
        <is>
          <t>error_type_1.0.2</t>
        </is>
      </c>
      <c r="BT1" s="1" t="inlineStr">
        <is>
          <t>error_message_1.0.2</t>
        </is>
      </c>
      <c r="BU1" s="1" t="inlineStr">
        <is>
          <t>error_description_1.0.2</t>
        </is>
      </c>
      <c r="BV1" s="1" t="inlineStr">
        <is>
          <t>error_type_1.1.0</t>
        </is>
      </c>
      <c r="BW1" s="1" t="inlineStr">
        <is>
          <t>error_message_1.1.0</t>
        </is>
      </c>
      <c r="BX1" s="1" t="inlineStr">
        <is>
          <t>error_description_1.1.0</t>
        </is>
      </c>
      <c r="BY1" s="1" t="inlineStr">
        <is>
          <t>error_type_1.1.1</t>
        </is>
      </c>
      <c r="BZ1" s="1" t="inlineStr">
        <is>
          <t>error_message_1.1.1</t>
        </is>
      </c>
      <c r="CA1" s="1" t="inlineStr">
        <is>
          <t>error_description_1.1.1</t>
        </is>
      </c>
      <c r="CB1" s="1" t="inlineStr">
        <is>
          <t>error_type_1.1.2</t>
        </is>
      </c>
      <c r="CC1" s="1" t="inlineStr">
        <is>
          <t>error_message_1.1.2</t>
        </is>
      </c>
      <c r="CD1" s="1" t="inlineStr">
        <is>
          <t>error_description_1.1.2</t>
        </is>
      </c>
      <c r="CE1" s="1" t="inlineStr">
        <is>
          <t>error_type_1.2.0</t>
        </is>
      </c>
      <c r="CF1" s="1" t="inlineStr">
        <is>
          <t>error_message_1.2.0</t>
        </is>
      </c>
      <c r="CG1" s="1" t="inlineStr">
        <is>
          <t>error_description_1.2.0</t>
        </is>
      </c>
      <c r="CH1" s="1" t="inlineStr">
        <is>
          <t>error_type_1.2.1</t>
        </is>
      </c>
      <c r="CI1" s="1" t="inlineStr">
        <is>
          <t>error_message_1.2.1</t>
        </is>
      </c>
      <c r="CJ1" s="1" t="inlineStr">
        <is>
          <t>error_description_1.2.1</t>
        </is>
      </c>
      <c r="CK1" s="1" t="inlineStr">
        <is>
          <t>error_type_1.2.2</t>
        </is>
      </c>
      <c r="CL1" s="1" t="inlineStr">
        <is>
          <t>error_message_1.2.2</t>
        </is>
      </c>
      <c r="CM1" s="1" t="inlineStr">
        <is>
          <t>error_description_1.2.2</t>
        </is>
      </c>
      <c r="CN1" s="1" t="inlineStr">
        <is>
          <t>error_type_1.2.4</t>
        </is>
      </c>
      <c r="CO1" s="1" t="inlineStr">
        <is>
          <t>error_message_1.2.4</t>
        </is>
      </c>
      <c r="CP1" s="1" t="inlineStr">
        <is>
          <t>error_description_1.2.4</t>
        </is>
      </c>
      <c r="CQ1" s="1" t="inlineStr">
        <is>
          <t>error_type_2.0.0</t>
        </is>
      </c>
      <c r="CR1" s="1" t="inlineStr">
        <is>
          <t>error_message_2.0.0</t>
        </is>
      </c>
      <c r="CS1" s="1" t="inlineStr">
        <is>
          <t>error_description_2.0.0</t>
        </is>
      </c>
      <c r="CT1" s="1" t="inlineStr">
        <is>
          <t>error_type_2.2.0</t>
        </is>
      </c>
      <c r="CU1" s="1" t="inlineStr">
        <is>
          <t>error_message_2.2.0</t>
        </is>
      </c>
      <c r="CV1" s="1" t="inlineStr">
        <is>
          <t>error_description_2.2.0</t>
        </is>
      </c>
      <c r="CW1" s="1" t="inlineStr">
        <is>
          <t>error_type_2.3.0</t>
        </is>
      </c>
      <c r="CX1" s="1" t="inlineStr">
        <is>
          <t>error_message_2.3.0</t>
        </is>
      </c>
      <c r="CY1" s="1" t="inlineStr">
        <is>
          <t>error_description_2.3.0</t>
        </is>
      </c>
      <c r="CZ1" s="1" t="inlineStr">
        <is>
          <t>error_type_2.4.0</t>
        </is>
      </c>
      <c r="DA1" s="1" t="inlineStr">
        <is>
          <t>error_message_2.4.0</t>
        </is>
      </c>
      <c r="DB1" s="1" t="inlineStr">
        <is>
          <t>error_description_2.4.0</t>
        </is>
      </c>
      <c r="DC1" s="1" t="inlineStr">
        <is>
          <t>error_type_2.5.0</t>
        </is>
      </c>
      <c r="DD1" s="1" t="inlineStr">
        <is>
          <t>error_message_2.5.0</t>
        </is>
      </c>
      <c r="DE1" s="1" t="inlineStr">
        <is>
          <t>error_description_2.5.0</t>
        </is>
      </c>
    </row>
    <row r="2">
      <c r="A2" s="2" t="inlineStr">
        <is>
          <t>issue_009</t>
        </is>
      </c>
      <c r="B2" s="3" t="inlineStr">
        <is>
          <t>NOT_TESTED</t>
        </is>
      </c>
      <c r="C2" s="3" t="inlineStr">
        <is>
          <t>NOT_TESTED</t>
        </is>
      </c>
      <c r="D2" s="3" t="inlineStr">
        <is>
          <t>NOT_TESTED</t>
        </is>
      </c>
      <c r="E2" s="3" t="inlineStr">
        <is>
          <t>NOT_TESTED</t>
        </is>
      </c>
      <c r="F2" s="4" t="inlineStr">
        <is>
          <t>Passed on test</t>
        </is>
      </c>
      <c r="G2" s="4" t="inlineStr">
        <is>
          <t>Passed on test</t>
        </is>
      </c>
      <c r="H2" s="4" t="inlineStr">
        <is>
          <t>Passed on test</t>
        </is>
      </c>
      <c r="I2" s="4" t="inlineStr">
        <is>
          <t>Passed on test</t>
        </is>
      </c>
      <c r="J2" s="4" t="inlineStr">
        <is>
          <t>Passed on test</t>
        </is>
      </c>
      <c r="K2" s="4" t="inlineStr">
        <is>
          <t>Passed on test</t>
        </is>
      </c>
      <c r="L2" s="4" t="inlineStr">
        <is>
          <t>Passed on test</t>
        </is>
      </c>
      <c r="M2" s="4" t="inlineStr">
        <is>
          <t>Passed on test</t>
        </is>
      </c>
      <c r="N2" s="3" t="inlineStr">
        <is>
          <t>NOT_TESTED</t>
        </is>
      </c>
      <c r="O2" s="3" t="inlineStr">
        <is>
          <t>NOT_TESTED</t>
        </is>
      </c>
      <c r="P2" s="3" t="inlineStr">
        <is>
          <t>NOT_TESTED</t>
        </is>
      </c>
      <c r="Q2" s="3" t="inlineStr">
        <is>
          <t>NOT_TESTED</t>
        </is>
      </c>
      <c r="R2" s="3" t="inlineStr">
        <is>
          <t>NOT_TESTED</t>
        </is>
      </c>
      <c r="S2" s="3" t="inlineStr">
        <is>
          <t>NOT_TESTED</t>
        </is>
      </c>
      <c r="T2" s="3" t="inlineStr">
        <is>
          <t>NOT_TESTED</t>
        </is>
      </c>
      <c r="U2" s="3" t="inlineStr">
        <is>
          <t>NOT_TESTED</t>
        </is>
      </c>
      <c r="V2" s="3" t="inlineStr">
        <is>
          <t>NOT_TESTED</t>
        </is>
      </c>
      <c r="W2" s="3" t="inlineStr">
        <is>
          <t>NOT_TESTED</t>
        </is>
      </c>
      <c r="X2" s="3" t="inlineStr">
        <is>
          <t>NOT_TESTED</t>
        </is>
      </c>
      <c r="Y2" s="3" t="inlineStr">
        <is>
          <t>NOT_TESTED</t>
        </is>
      </c>
      <c r="Z2" s="3" t="inlineStr">
        <is>
          <t>NOT_TESTED</t>
        </is>
      </c>
      <c r="AA2" s="3" t="inlineStr">
        <is>
          <t>NOT_TESTED</t>
        </is>
      </c>
      <c r="AB2" s="3" t="inlineStr">
        <is>
          <t>NOT_TESTED</t>
        </is>
      </c>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row>
    <row r="3">
      <c r="A3" s="2" t="inlineStr">
        <is>
          <t>issue_021_se</t>
        </is>
      </c>
      <c r="B3" s="4" t="inlineStr">
        <is>
          <t>Passed on test</t>
        </is>
      </c>
      <c r="C3" s="4" t="inlineStr">
        <is>
          <t>Passed on test</t>
        </is>
      </c>
      <c r="D3" s="4" t="inlineStr">
        <is>
          <t>Passed on test</t>
        </is>
      </c>
      <c r="E3" s="4" t="inlineStr">
        <is>
          <t>Passed on test</t>
        </is>
      </c>
      <c r="F3" s="4" t="inlineStr">
        <is>
          <t>Passed on test</t>
        </is>
      </c>
      <c r="G3" s="4" t="inlineStr">
        <is>
          <t>Passed on test</t>
        </is>
      </c>
      <c r="H3" s="4" t="inlineStr">
        <is>
          <t>Passed on test</t>
        </is>
      </c>
      <c r="I3" s="4" t="inlineStr">
        <is>
          <t>Passed on test</t>
        </is>
      </c>
      <c r="J3" s="4" t="inlineStr">
        <is>
          <t>Passed on test</t>
        </is>
      </c>
      <c r="K3" s="4" t="inlineStr">
        <is>
          <t>Passed on test</t>
        </is>
      </c>
      <c r="L3" s="4" t="inlineStr">
        <is>
          <t>Passed on test</t>
        </is>
      </c>
      <c r="M3" s="4" t="inlineStr">
        <is>
          <t>Passed on test</t>
        </is>
      </c>
      <c r="N3" s="3" t="inlineStr">
        <is>
          <t>NOT_TESTED</t>
        </is>
      </c>
      <c r="O3" s="3" t="inlineStr">
        <is>
          <t>NOT_TESTED</t>
        </is>
      </c>
      <c r="P3" s="3" t="inlineStr">
        <is>
          <t>NOT_TESTED</t>
        </is>
      </c>
      <c r="Q3" s="3" t="inlineStr">
        <is>
          <t>NOT_TESTED</t>
        </is>
      </c>
      <c r="R3" s="3" t="inlineStr">
        <is>
          <t>NOT_TESTED</t>
        </is>
      </c>
      <c r="S3" s="3" t="inlineStr">
        <is>
          <t>NOT_TESTED</t>
        </is>
      </c>
      <c r="T3" s="3" t="inlineStr">
        <is>
          <t>NOT_TESTED</t>
        </is>
      </c>
      <c r="U3" s="3" t="inlineStr">
        <is>
          <t>NOT_TESTED</t>
        </is>
      </c>
      <c r="V3" s="3" t="inlineStr">
        <is>
          <t>NOT_TESTED</t>
        </is>
      </c>
      <c r="W3" s="3" t="inlineStr">
        <is>
          <t>NOT_TESTED</t>
        </is>
      </c>
      <c r="X3" s="3" t="inlineStr">
        <is>
          <t>NOT_TESTED</t>
        </is>
      </c>
      <c r="Y3" s="3" t="inlineStr">
        <is>
          <t>NOT_TESTED</t>
        </is>
      </c>
      <c r="Z3" s="3" t="inlineStr">
        <is>
          <t>NOT_TESTED</t>
        </is>
      </c>
      <c r="AA3" s="3" t="inlineStr">
        <is>
          <t>NOT_TESTED</t>
        </is>
      </c>
      <c r="AB3" s="3" t="inlineStr">
        <is>
          <t>NOT_TESTED</t>
        </is>
      </c>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2" t="n"/>
      <c r="BM3" s="2" t="n"/>
      <c r="BN3" s="2" t="n"/>
      <c r="BO3" s="2" t="n"/>
      <c r="BP3" s="2" t="n"/>
      <c r="BQ3" s="2" t="n"/>
      <c r="BR3" s="2" t="n"/>
      <c r="BS3" s="2" t="n"/>
      <c r="BT3" s="2" t="n"/>
      <c r="BU3" s="2" t="n"/>
      <c r="BV3" s="2" t="n"/>
      <c r="BW3" s="2" t="n"/>
      <c r="BX3" s="2" t="n"/>
      <c r="BY3" s="2" t="n"/>
      <c r="BZ3" s="2" t="n"/>
      <c r="CA3" s="2" t="n"/>
      <c r="CB3" s="2" t="n"/>
      <c r="CC3" s="2" t="n"/>
      <c r="CD3" s="2" t="n"/>
      <c r="CE3" s="2" t="n"/>
      <c r="CF3" s="2" t="n"/>
      <c r="CG3" s="2" t="n"/>
      <c r="CH3" s="2" t="n"/>
      <c r="CI3" s="2" t="n"/>
      <c r="CJ3" s="2" t="n"/>
      <c r="CK3" s="2" t="n"/>
      <c r="CL3" s="2" t="n"/>
      <c r="CM3" s="2" t="n"/>
      <c r="CN3" s="2" t="n"/>
      <c r="CO3" s="2" t="n"/>
      <c r="CP3" s="2" t="n"/>
      <c r="CQ3" s="2" t="n"/>
      <c r="CR3" s="2" t="n"/>
      <c r="CS3" s="2" t="n"/>
      <c r="CT3" s="2" t="n"/>
      <c r="CU3" s="2" t="n"/>
      <c r="CV3" s="2" t="n"/>
      <c r="CW3" s="2" t="n"/>
      <c r="CX3" s="2" t="n"/>
      <c r="CY3" s="2" t="n"/>
      <c r="CZ3" s="2" t="n"/>
      <c r="DA3" s="2" t="n"/>
      <c r="DB3" s="2" t="n"/>
      <c r="DC3" s="2" t="n"/>
      <c r="DD3" s="2" t="n"/>
      <c r="DE3" s="2" t="n"/>
    </row>
    <row r="4">
      <c r="A4" s="2" t="inlineStr">
        <is>
          <t>issue_032_se</t>
        </is>
      </c>
      <c r="B4" s="4" t="inlineStr">
        <is>
          <t>Passed on test</t>
        </is>
      </c>
      <c r="C4" s="4" t="inlineStr">
        <is>
          <t>Passed on test</t>
        </is>
      </c>
      <c r="D4" s="4" t="inlineStr">
        <is>
          <t>Passed on test</t>
        </is>
      </c>
      <c r="E4" s="4" t="inlineStr">
        <is>
          <t>Passed on test</t>
        </is>
      </c>
      <c r="F4" s="3" t="inlineStr">
        <is>
          <t>NOT_TESTED</t>
        </is>
      </c>
      <c r="G4" s="3" t="inlineStr">
        <is>
          <t>NOT_TESTED</t>
        </is>
      </c>
      <c r="H4" s="3" t="inlineStr">
        <is>
          <t>NOT_TESTED</t>
        </is>
      </c>
      <c r="I4" s="3" t="inlineStr">
        <is>
          <t>NOT_TESTED</t>
        </is>
      </c>
      <c r="J4" s="3" t="inlineStr">
        <is>
          <t>NOT_TESTED</t>
        </is>
      </c>
      <c r="K4" s="3" t="inlineStr">
        <is>
          <t>NOT_TESTED</t>
        </is>
      </c>
      <c r="L4" s="3" t="inlineStr">
        <is>
          <t>NOT_TESTED</t>
        </is>
      </c>
      <c r="M4" s="3" t="inlineStr">
        <is>
          <t>NOT_TESTED</t>
        </is>
      </c>
      <c r="N4" s="3" t="inlineStr">
        <is>
          <t>NOT_TESTED</t>
        </is>
      </c>
      <c r="O4" s="3" t="inlineStr">
        <is>
          <t>NOT_TESTED</t>
        </is>
      </c>
      <c r="P4" s="3" t="inlineStr">
        <is>
          <t>NOT_TESTED</t>
        </is>
      </c>
      <c r="Q4" s="3" t="inlineStr">
        <is>
          <t>NOT_TESTED</t>
        </is>
      </c>
      <c r="R4" s="3" t="inlineStr">
        <is>
          <t>NOT_TESTED</t>
        </is>
      </c>
      <c r="S4" s="3" t="inlineStr">
        <is>
          <t>NOT_TESTED</t>
        </is>
      </c>
      <c r="T4" s="3" t="inlineStr">
        <is>
          <t>NOT_TESTED</t>
        </is>
      </c>
      <c r="U4" s="3" t="inlineStr">
        <is>
          <t>NOT_TESTED</t>
        </is>
      </c>
      <c r="V4" s="3" t="inlineStr">
        <is>
          <t>NOT_TESTED</t>
        </is>
      </c>
      <c r="W4" s="3" t="inlineStr">
        <is>
          <t>NOT_TESTED</t>
        </is>
      </c>
      <c r="X4" s="3" t="inlineStr">
        <is>
          <t>NOT_TESTED</t>
        </is>
      </c>
      <c r="Y4" s="3" t="inlineStr">
        <is>
          <t>NOT_TESTED</t>
        </is>
      </c>
      <c r="Z4" s="3" t="inlineStr">
        <is>
          <t>NOT_TESTED</t>
        </is>
      </c>
      <c r="AA4" s="3" t="inlineStr">
        <is>
          <t>NOT_TESTED</t>
        </is>
      </c>
      <c r="AB4" s="3" t="inlineStr">
        <is>
          <t>NOT_TESTED</t>
        </is>
      </c>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c r="BW4" s="2" t="n"/>
      <c r="BX4" s="2" t="n"/>
      <c r="BY4" s="2" t="n"/>
      <c r="BZ4" s="2" t="n"/>
      <c r="CA4" s="2" t="n"/>
      <c r="CB4" s="2" t="n"/>
      <c r="CC4" s="2" t="n"/>
      <c r="CD4" s="2" t="n"/>
      <c r="CE4" s="2" t="n"/>
      <c r="CF4" s="2" t="n"/>
      <c r="CG4" s="2" t="n"/>
      <c r="CH4" s="2" t="n"/>
      <c r="CI4" s="2" t="n"/>
      <c r="CJ4" s="2" t="n"/>
      <c r="CK4" s="2" t="n"/>
      <c r="CL4" s="2" t="n"/>
      <c r="CM4" s="2" t="n"/>
      <c r="CN4" s="2" t="n"/>
      <c r="CO4" s="2" t="n"/>
      <c r="CP4" s="2" t="n"/>
      <c r="CQ4" s="2" t="n"/>
      <c r="CR4" s="2" t="n"/>
      <c r="CS4" s="2" t="n"/>
      <c r="CT4" s="2" t="n"/>
      <c r="CU4" s="2" t="n"/>
      <c r="CV4" s="2" t="n"/>
      <c r="CW4" s="2" t="n"/>
      <c r="CX4" s="2" t="n"/>
      <c r="CY4" s="2" t="n"/>
      <c r="CZ4" s="2" t="n"/>
      <c r="DA4" s="2" t="n"/>
      <c r="DB4" s="2" t="n"/>
      <c r="DC4" s="2" t="n"/>
      <c r="DD4" s="2" t="n"/>
      <c r="DE4" s="2" t="n"/>
    </row>
    <row r="5">
      <c r="A5" s="2" t="inlineStr">
        <is>
          <t>issue_034</t>
        </is>
      </c>
      <c r="B5" s="3" t="inlineStr">
        <is>
          <t>NOT_TESTED</t>
        </is>
      </c>
      <c r="C5" s="3" t="inlineStr">
        <is>
          <t>NOT_TESTED</t>
        </is>
      </c>
      <c r="D5" s="3" t="inlineStr">
        <is>
          <t>NOT_TESTED</t>
        </is>
      </c>
      <c r="E5" s="3" t="inlineStr">
        <is>
          <t>NOT_TESTED</t>
        </is>
      </c>
      <c r="F5" s="3" t="inlineStr">
        <is>
          <t>NOT_TESTED</t>
        </is>
      </c>
      <c r="G5" s="3" t="inlineStr">
        <is>
          <t>NOT_TESTED</t>
        </is>
      </c>
      <c r="H5" s="3" t="inlineStr">
        <is>
          <t>NOT_TESTED</t>
        </is>
      </c>
      <c r="I5" s="3" t="inlineStr">
        <is>
          <t>NOT_TESTED</t>
        </is>
      </c>
      <c r="J5" s="3" t="inlineStr">
        <is>
          <t>NOT_TESTED</t>
        </is>
      </c>
      <c r="K5" s="3" t="inlineStr">
        <is>
          <t>NOT_TESTED</t>
        </is>
      </c>
      <c r="L5" s="3" t="inlineStr">
        <is>
          <t>NOT_TESTED</t>
        </is>
      </c>
      <c r="M5" s="3" t="inlineStr">
        <is>
          <t>NOT_TESTED</t>
        </is>
      </c>
      <c r="N5" s="4" t="inlineStr">
        <is>
          <t>Passed on test</t>
        </is>
      </c>
      <c r="O5" s="4" t="inlineStr">
        <is>
          <t>Passed on test</t>
        </is>
      </c>
      <c r="P5" s="4" t="inlineStr">
        <is>
          <t>Passed on test</t>
        </is>
      </c>
      <c r="Q5" s="4" t="inlineStr">
        <is>
          <t>Passed on test</t>
        </is>
      </c>
      <c r="R5" s="4" t="inlineStr">
        <is>
          <t>Passed on test</t>
        </is>
      </c>
      <c r="S5" s="4" t="inlineStr">
        <is>
          <t>Passed on test</t>
        </is>
      </c>
      <c r="T5" s="4" t="inlineStr">
        <is>
          <t>Passed on test</t>
        </is>
      </c>
      <c r="U5" s="4" t="inlineStr">
        <is>
          <t>Passed on test</t>
        </is>
      </c>
      <c r="V5" s="4" t="inlineStr">
        <is>
          <t>Passed on test</t>
        </is>
      </c>
      <c r="W5" s="4" t="inlineStr">
        <is>
          <t>Passed on test</t>
        </is>
      </c>
      <c r="X5" s="4" t="inlineStr">
        <is>
          <t>Passed on test</t>
        </is>
      </c>
      <c r="Y5" s="4" t="inlineStr">
        <is>
          <t>Passed on test</t>
        </is>
      </c>
      <c r="Z5" s="4" t="inlineStr">
        <is>
          <t>Passed on test</t>
        </is>
      </c>
      <c r="AA5" s="4" t="inlineStr">
        <is>
          <t>Passed on test</t>
        </is>
      </c>
      <c r="AB5" s="4" t="inlineStr">
        <is>
          <t>Passed on test</t>
        </is>
      </c>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2" t="n"/>
      <c r="BM5" s="2" t="n"/>
      <c r="BN5" s="2" t="n"/>
      <c r="BO5" s="2" t="n"/>
      <c r="BP5" s="2" t="n"/>
      <c r="BQ5" s="2" t="n"/>
      <c r="BR5" s="2" t="n"/>
      <c r="BS5" s="2" t="n"/>
      <c r="BT5" s="2" t="n"/>
      <c r="BU5" s="2" t="n"/>
      <c r="BV5" s="2" t="n"/>
      <c r="BW5" s="2" t="n"/>
      <c r="BX5" s="2" t="n"/>
      <c r="BY5" s="2" t="n"/>
      <c r="BZ5" s="2" t="n"/>
      <c r="CA5" s="2" t="n"/>
      <c r="CB5" s="2" t="n"/>
      <c r="CC5" s="2" t="n"/>
      <c r="CD5" s="2" t="n"/>
      <c r="CE5" s="2" t="n"/>
      <c r="CF5" s="2" t="n"/>
      <c r="CG5" s="2" t="n"/>
      <c r="CH5" s="2" t="n"/>
      <c r="CI5" s="2" t="n"/>
      <c r="CJ5" s="2" t="n"/>
      <c r="CK5" s="2" t="n"/>
      <c r="CL5" s="2" t="n"/>
      <c r="CM5" s="2" t="n"/>
      <c r="CN5" s="2" t="n"/>
      <c r="CO5" s="2" t="n"/>
      <c r="CP5" s="2" t="n"/>
      <c r="CQ5" s="2" t="n"/>
      <c r="CR5" s="2" t="n"/>
      <c r="CS5" s="2" t="n"/>
      <c r="CT5" s="2" t="n"/>
      <c r="CU5" s="2" t="n"/>
      <c r="CV5" s="2" t="n"/>
      <c r="CW5" s="2" t="n"/>
      <c r="CX5" s="2" t="n"/>
      <c r="CY5" s="2" t="n"/>
      <c r="CZ5" s="2" t="n"/>
      <c r="DA5" s="2" t="n"/>
      <c r="DB5" s="2" t="n"/>
      <c r="DC5" s="2" t="n"/>
      <c r="DD5" s="2" t="n"/>
      <c r="DE5" s="2" t="n"/>
    </row>
    <row r="6">
      <c r="A6" s="2" t="inlineStr">
        <is>
          <t>issue_036</t>
        </is>
      </c>
      <c r="B6" s="3" t="inlineStr">
        <is>
          <t>NOT_TESTED</t>
        </is>
      </c>
      <c r="C6" s="3" t="inlineStr">
        <is>
          <t>NOT_TESTED</t>
        </is>
      </c>
      <c r="D6" s="3" t="inlineStr">
        <is>
          <t>NOT_TESTED</t>
        </is>
      </c>
      <c r="E6" s="3" t="inlineStr">
        <is>
          <t>NOT_TESTED</t>
        </is>
      </c>
      <c r="F6" s="3" t="inlineStr">
        <is>
          <t>NOT_TESTED</t>
        </is>
      </c>
      <c r="G6" s="3" t="inlineStr">
        <is>
          <t>NOT_TESTED</t>
        </is>
      </c>
      <c r="H6" s="3" t="inlineStr">
        <is>
          <t>NOT_TESTED</t>
        </is>
      </c>
      <c r="I6" s="3" t="inlineStr">
        <is>
          <t>NOT_TESTED</t>
        </is>
      </c>
      <c r="J6" s="3" t="inlineStr">
        <is>
          <t>NOT_TESTED</t>
        </is>
      </c>
      <c r="K6" s="3" t="inlineStr">
        <is>
          <t>NOT_TESTED</t>
        </is>
      </c>
      <c r="L6" s="3" t="inlineStr">
        <is>
          <t>NOT_TESTED</t>
        </is>
      </c>
      <c r="M6" s="3" t="inlineStr">
        <is>
          <t>NOT_TESTED</t>
        </is>
      </c>
      <c r="N6" s="4" t="inlineStr">
        <is>
          <t>Passed on test</t>
        </is>
      </c>
      <c r="O6" s="4" t="inlineStr">
        <is>
          <t>Passed on test</t>
        </is>
      </c>
      <c r="P6" s="4" t="inlineStr">
        <is>
          <t>Passed on test</t>
        </is>
      </c>
      <c r="Q6" s="4" t="inlineStr">
        <is>
          <t>Passed on test</t>
        </is>
      </c>
      <c r="R6" s="4" t="inlineStr">
        <is>
          <t>Passed on test</t>
        </is>
      </c>
      <c r="S6" s="4" t="inlineStr">
        <is>
          <t>Passed on test</t>
        </is>
      </c>
      <c r="T6" s="4" t="inlineStr">
        <is>
          <t>Passed on test</t>
        </is>
      </c>
      <c r="U6" s="4" t="inlineStr">
        <is>
          <t>Passed on test</t>
        </is>
      </c>
      <c r="V6" s="4" t="inlineStr">
        <is>
          <t>Passed on test</t>
        </is>
      </c>
      <c r="W6" s="4" t="inlineStr">
        <is>
          <t>Passed on test</t>
        </is>
      </c>
      <c r="X6" s="4" t="inlineStr">
        <is>
          <t>Passed on test</t>
        </is>
      </c>
      <c r="Y6" s="4" t="inlineStr">
        <is>
          <t>Passed on test</t>
        </is>
      </c>
      <c r="Z6" s="4" t="inlineStr">
        <is>
          <t>Passed on test</t>
        </is>
      </c>
      <c r="AA6" s="4" t="inlineStr">
        <is>
          <t>Passed on test</t>
        </is>
      </c>
      <c r="AB6" s="4" t="inlineStr">
        <is>
          <t>Passed on test</t>
        </is>
      </c>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2" t="n"/>
      <c r="BM6" s="2" t="n"/>
      <c r="BN6" s="2" t="n"/>
      <c r="BO6" s="2" t="n"/>
      <c r="BP6" s="2" t="n"/>
      <c r="BQ6" s="2" t="n"/>
      <c r="BR6" s="2" t="n"/>
      <c r="BS6" s="2" t="n"/>
      <c r="BT6" s="2" t="n"/>
      <c r="BU6" s="2" t="n"/>
      <c r="BV6" s="2" t="n"/>
      <c r="BW6" s="2" t="n"/>
      <c r="BX6" s="2" t="n"/>
      <c r="BY6" s="2" t="n"/>
      <c r="BZ6" s="2" t="n"/>
      <c r="CA6" s="2" t="n"/>
      <c r="CB6" s="2" t="n"/>
      <c r="CC6" s="2" t="n"/>
      <c r="CD6" s="2" t="n"/>
      <c r="CE6" s="2" t="n"/>
      <c r="CF6" s="2" t="n"/>
      <c r="CG6" s="2" t="n"/>
      <c r="CH6" s="2" t="n"/>
      <c r="CI6" s="2" t="n"/>
      <c r="CJ6" s="2" t="n"/>
      <c r="CK6" s="2" t="n"/>
      <c r="CL6" s="2" t="n"/>
      <c r="CM6" s="2" t="n"/>
      <c r="CN6" s="2" t="n"/>
      <c r="CO6" s="2" t="n"/>
      <c r="CP6" s="2" t="n"/>
      <c r="CQ6" s="2" t="n"/>
      <c r="CR6" s="2" t="n"/>
      <c r="CS6" s="2" t="n"/>
      <c r="CT6" s="2" t="n"/>
      <c r="CU6" s="2" t="n"/>
      <c r="CV6" s="2" t="n"/>
      <c r="CW6" s="2" t="n"/>
      <c r="CX6" s="2" t="n"/>
      <c r="CY6" s="2" t="n"/>
      <c r="CZ6" s="2" t="n"/>
      <c r="DA6" s="2" t="n"/>
      <c r="DB6" s="2" t="n"/>
      <c r="DC6" s="2" t="n"/>
      <c r="DD6" s="2" t="n"/>
      <c r="DE6" s="2" t="n"/>
    </row>
    <row r="7">
      <c r="A7" s="2" t="inlineStr">
        <is>
          <t>issue_058_se</t>
        </is>
      </c>
      <c r="B7" s="4" t="inlineStr">
        <is>
          <t>Passed on test</t>
        </is>
      </c>
      <c r="C7" s="4" t="inlineStr">
        <is>
          <t>Passed on test</t>
        </is>
      </c>
      <c r="D7" s="4" t="inlineStr">
        <is>
          <t>Passed on test</t>
        </is>
      </c>
      <c r="E7" s="4" t="inlineStr">
        <is>
          <t>Passed on test</t>
        </is>
      </c>
      <c r="F7" s="4" t="inlineStr">
        <is>
          <t>Passed on test</t>
        </is>
      </c>
      <c r="G7" s="4" t="inlineStr">
        <is>
          <t>Passed on test</t>
        </is>
      </c>
      <c r="H7" s="4" t="inlineStr">
        <is>
          <t>Passed on test</t>
        </is>
      </c>
      <c r="I7" s="4" t="inlineStr">
        <is>
          <t>Passed on test</t>
        </is>
      </c>
      <c r="J7" s="4" t="inlineStr">
        <is>
          <t>Passed on test</t>
        </is>
      </c>
      <c r="K7" s="4" t="inlineStr">
        <is>
          <t>Passed on test</t>
        </is>
      </c>
      <c r="L7" s="4" t="inlineStr">
        <is>
          <t>Passed on test</t>
        </is>
      </c>
      <c r="M7" s="4" t="inlineStr">
        <is>
          <t>Passed on test</t>
        </is>
      </c>
      <c r="N7" s="3" t="inlineStr">
        <is>
          <t>NOT_TESTED</t>
        </is>
      </c>
      <c r="O7" s="3" t="inlineStr">
        <is>
          <t>NOT_TESTED</t>
        </is>
      </c>
      <c r="P7" s="3" t="inlineStr">
        <is>
          <t>NOT_TESTED</t>
        </is>
      </c>
      <c r="Q7" s="3" t="inlineStr">
        <is>
          <t>NOT_TESTED</t>
        </is>
      </c>
      <c r="R7" s="3" t="inlineStr">
        <is>
          <t>NOT_TESTED</t>
        </is>
      </c>
      <c r="S7" s="3" t="inlineStr">
        <is>
          <t>NOT_TESTED</t>
        </is>
      </c>
      <c r="T7" s="3" t="inlineStr">
        <is>
          <t>NOT_TESTED</t>
        </is>
      </c>
      <c r="U7" s="3" t="inlineStr">
        <is>
          <t>NOT_TESTED</t>
        </is>
      </c>
      <c r="V7" s="3" t="inlineStr">
        <is>
          <t>NOT_TESTED</t>
        </is>
      </c>
      <c r="W7" s="3" t="inlineStr">
        <is>
          <t>NOT_TESTED</t>
        </is>
      </c>
      <c r="X7" s="3" t="inlineStr">
        <is>
          <t>NOT_TESTED</t>
        </is>
      </c>
      <c r="Y7" s="3" t="inlineStr">
        <is>
          <t>NOT_TESTED</t>
        </is>
      </c>
      <c r="Z7" s="3" t="inlineStr">
        <is>
          <t>NOT_TESTED</t>
        </is>
      </c>
      <c r="AA7" s="3" t="inlineStr">
        <is>
          <t>NOT_TESTED</t>
        </is>
      </c>
      <c r="AB7" s="3" t="inlineStr">
        <is>
          <t>NOT_TESTED</t>
        </is>
      </c>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2" t="n"/>
      <c r="CX7" s="2" t="n"/>
      <c r="CY7" s="2" t="n"/>
      <c r="CZ7" s="2" t="n"/>
      <c r="DA7" s="2" t="n"/>
      <c r="DB7" s="2" t="n"/>
      <c r="DC7" s="2" t="n"/>
      <c r="DD7" s="2" t="n"/>
      <c r="DE7" s="2" t="n"/>
    </row>
    <row r="8">
      <c r="A8" s="2" t="inlineStr">
        <is>
          <t>issue_061</t>
        </is>
      </c>
      <c r="B8" s="3" t="inlineStr">
        <is>
          <t>NOT_TESTED</t>
        </is>
      </c>
      <c r="C8" s="3" t="inlineStr">
        <is>
          <t>NOT_TESTED</t>
        </is>
      </c>
      <c r="D8" s="3" t="inlineStr">
        <is>
          <t>NOT_TESTED</t>
        </is>
      </c>
      <c r="E8" s="3" t="inlineStr">
        <is>
          <t>NOT_TESTED</t>
        </is>
      </c>
      <c r="F8" s="3" t="inlineStr">
        <is>
          <t>NOT_TESTED</t>
        </is>
      </c>
      <c r="G8" s="3" t="inlineStr">
        <is>
          <t>NOT_TESTED</t>
        </is>
      </c>
      <c r="H8" s="3" t="inlineStr">
        <is>
          <t>NOT_TESTED</t>
        </is>
      </c>
      <c r="I8" s="3" t="inlineStr">
        <is>
          <t>NOT_TESTED</t>
        </is>
      </c>
      <c r="J8" s="3" t="inlineStr">
        <is>
          <t>NOT_TESTED</t>
        </is>
      </c>
      <c r="K8" s="3" t="inlineStr">
        <is>
          <t>NOT_TESTED</t>
        </is>
      </c>
      <c r="L8" s="3" t="inlineStr">
        <is>
          <t>NOT_TESTED</t>
        </is>
      </c>
      <c r="M8" s="3" t="inlineStr">
        <is>
          <t>NOT_TESTED</t>
        </is>
      </c>
      <c r="N8" s="4" t="inlineStr">
        <is>
          <t>Passed on test</t>
        </is>
      </c>
      <c r="O8" s="4" t="inlineStr">
        <is>
          <t>Passed on test</t>
        </is>
      </c>
      <c r="P8" s="4" t="inlineStr">
        <is>
          <t>Passed on test</t>
        </is>
      </c>
      <c r="Q8" s="4" t="inlineStr">
        <is>
          <t>Passed on test</t>
        </is>
      </c>
      <c r="R8" s="4" t="inlineStr">
        <is>
          <t>Passed on test</t>
        </is>
      </c>
      <c r="S8" s="4" t="inlineStr">
        <is>
          <t>Passed on test</t>
        </is>
      </c>
      <c r="T8" s="4" t="inlineStr">
        <is>
          <t>Passed on test</t>
        </is>
      </c>
      <c r="U8" s="4" t="inlineStr">
        <is>
          <t>Passed on test</t>
        </is>
      </c>
      <c r="V8" s="4" t="inlineStr">
        <is>
          <t>Passed on test</t>
        </is>
      </c>
      <c r="W8" s="4" t="inlineStr">
        <is>
          <t>Passed on test</t>
        </is>
      </c>
      <c r="X8" s="4" t="inlineStr">
        <is>
          <t>Passed on test</t>
        </is>
      </c>
      <c r="Y8" s="4" t="inlineStr">
        <is>
          <t>Passed on test</t>
        </is>
      </c>
      <c r="Z8" s="4" t="inlineStr">
        <is>
          <t>Passed on test</t>
        </is>
      </c>
      <c r="AA8" s="4" t="inlineStr">
        <is>
          <t>Passed on test</t>
        </is>
      </c>
      <c r="AB8" s="4" t="inlineStr">
        <is>
          <t>Passed on test</t>
        </is>
      </c>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2" t="n"/>
      <c r="CH8" s="2" t="n"/>
      <c r="CI8" s="2" t="n"/>
      <c r="CJ8" s="2" t="n"/>
      <c r="CK8" s="2" t="n"/>
      <c r="CL8" s="2" t="n"/>
      <c r="CM8" s="2" t="n"/>
      <c r="CN8" s="2" t="n"/>
      <c r="CO8" s="2" t="n"/>
      <c r="CP8" s="2" t="n"/>
      <c r="CQ8" s="2" t="n"/>
      <c r="CR8" s="2" t="n"/>
      <c r="CS8" s="2" t="n"/>
      <c r="CT8" s="2" t="n"/>
      <c r="CU8" s="2" t="n"/>
      <c r="CV8" s="2" t="n"/>
      <c r="CW8" s="2" t="n"/>
      <c r="CX8" s="2" t="n"/>
      <c r="CY8" s="2" t="n"/>
      <c r="CZ8" s="2" t="n"/>
      <c r="DA8" s="2" t="n"/>
      <c r="DB8" s="2" t="n"/>
      <c r="DC8" s="2" t="n"/>
      <c r="DD8" s="2" t="n"/>
      <c r="DE8" s="2" t="n"/>
    </row>
    <row r="9">
      <c r="A9" s="2" t="inlineStr">
        <is>
          <t>issue_072</t>
        </is>
      </c>
      <c r="B9" s="4" t="inlineStr">
        <is>
          <t>Passed on test</t>
        </is>
      </c>
      <c r="C9" s="4" t="inlineStr">
        <is>
          <t>Passed on test</t>
        </is>
      </c>
      <c r="D9" s="4" t="inlineStr">
        <is>
          <t>Passed on test</t>
        </is>
      </c>
      <c r="E9" s="4" t="inlineStr">
        <is>
          <t>Passed on test</t>
        </is>
      </c>
      <c r="F9" s="3" t="inlineStr">
        <is>
          <t>NOT_TESTED</t>
        </is>
      </c>
      <c r="G9" s="3" t="inlineStr">
        <is>
          <t>NOT_TESTED</t>
        </is>
      </c>
      <c r="H9" s="3" t="inlineStr">
        <is>
          <t>NOT_TESTED</t>
        </is>
      </c>
      <c r="I9" s="3" t="inlineStr">
        <is>
          <t>NOT_TESTED</t>
        </is>
      </c>
      <c r="J9" s="3" t="inlineStr">
        <is>
          <t>NOT_TESTED</t>
        </is>
      </c>
      <c r="K9" s="3" t="inlineStr">
        <is>
          <t>NOT_TESTED</t>
        </is>
      </c>
      <c r="L9" s="3" t="inlineStr">
        <is>
          <t>NOT_TESTED</t>
        </is>
      </c>
      <c r="M9" s="3" t="inlineStr">
        <is>
          <t>NOT_TESTED</t>
        </is>
      </c>
      <c r="N9" s="3" t="inlineStr">
        <is>
          <t>NOT_TESTED</t>
        </is>
      </c>
      <c r="O9" s="3" t="inlineStr">
        <is>
          <t>NOT_TESTED</t>
        </is>
      </c>
      <c r="P9" s="3" t="inlineStr">
        <is>
          <t>NOT_TESTED</t>
        </is>
      </c>
      <c r="Q9" s="3" t="inlineStr">
        <is>
          <t>NOT_TESTED</t>
        </is>
      </c>
      <c r="R9" s="3" t="inlineStr">
        <is>
          <t>NOT_TESTED</t>
        </is>
      </c>
      <c r="S9" s="3" t="inlineStr">
        <is>
          <t>NOT_TESTED</t>
        </is>
      </c>
      <c r="T9" s="3" t="inlineStr">
        <is>
          <t>NOT_TESTED</t>
        </is>
      </c>
      <c r="U9" s="3" t="inlineStr">
        <is>
          <t>NOT_TESTED</t>
        </is>
      </c>
      <c r="V9" s="3" t="inlineStr">
        <is>
          <t>NOT_TESTED</t>
        </is>
      </c>
      <c r="W9" s="3" t="inlineStr">
        <is>
          <t>NOT_TESTED</t>
        </is>
      </c>
      <c r="X9" s="3" t="inlineStr">
        <is>
          <t>NOT_TESTED</t>
        </is>
      </c>
      <c r="Y9" s="3" t="inlineStr">
        <is>
          <t>NOT_TESTED</t>
        </is>
      </c>
      <c r="Z9" s="3" t="inlineStr">
        <is>
          <t>NOT_TESTED</t>
        </is>
      </c>
      <c r="AA9" s="3" t="inlineStr">
        <is>
          <t>NOT_TESTED</t>
        </is>
      </c>
      <c r="AB9" s="3" t="inlineStr">
        <is>
          <t>NOT_TESTED</t>
        </is>
      </c>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2" t="n"/>
      <c r="CH9" s="2" t="n"/>
      <c r="CI9" s="2" t="n"/>
      <c r="CJ9" s="2" t="n"/>
      <c r="CK9" s="2" t="n"/>
      <c r="CL9" s="2" t="n"/>
      <c r="CM9" s="2" t="n"/>
      <c r="CN9" s="2" t="n"/>
      <c r="CO9" s="2" t="n"/>
      <c r="CP9" s="2" t="n"/>
      <c r="CQ9" s="2" t="n"/>
      <c r="CR9" s="2" t="n"/>
      <c r="CS9" s="2" t="n"/>
      <c r="CT9" s="2" t="n"/>
      <c r="CU9" s="2" t="n"/>
      <c r="CV9" s="2" t="n"/>
      <c r="CW9" s="2" t="n"/>
      <c r="CX9" s="2" t="n"/>
      <c r="CY9" s="2" t="n"/>
      <c r="CZ9" s="2" t="n"/>
      <c r="DA9" s="2" t="n"/>
      <c r="DB9" s="2" t="n"/>
      <c r="DC9" s="2" t="n"/>
      <c r="DD9" s="2" t="n"/>
      <c r="DE9" s="2" t="n"/>
    </row>
    <row r="10">
      <c r="A10" s="2" t="inlineStr">
        <is>
          <t>issue_096</t>
        </is>
      </c>
      <c r="B10" s="5" t="inlineStr">
        <is>
          <t>Failed on test</t>
        </is>
      </c>
      <c r="C10" s="5" t="inlineStr">
        <is>
          <t>Failed on test</t>
        </is>
      </c>
      <c r="D10" s="5" t="inlineStr">
        <is>
          <t>Failed on test</t>
        </is>
      </c>
      <c r="E10" s="5" t="inlineStr">
        <is>
          <t>Failed on test</t>
        </is>
      </c>
      <c r="F10" s="5" t="inlineStr">
        <is>
          <t>Failed on test</t>
        </is>
      </c>
      <c r="G10" s="5" t="inlineStr">
        <is>
          <t>Failed on test</t>
        </is>
      </c>
      <c r="H10" s="5" t="inlineStr">
        <is>
          <t>Failed on test</t>
        </is>
      </c>
      <c r="I10" s="5" t="inlineStr">
        <is>
          <t>Failed on test</t>
        </is>
      </c>
      <c r="J10" s="5" t="inlineStr">
        <is>
          <t>Failed on test</t>
        </is>
      </c>
      <c r="K10" s="5" t="inlineStr">
        <is>
          <t>Failed on test</t>
        </is>
      </c>
      <c r="L10" s="5" t="inlineStr">
        <is>
          <t>Failed on test</t>
        </is>
      </c>
      <c r="M10" s="5" t="inlineStr">
        <is>
          <t>Failed on test</t>
        </is>
      </c>
      <c r="N10" s="5" t="inlineStr">
        <is>
          <t>Failed on test</t>
        </is>
      </c>
      <c r="O10" s="5" t="inlineStr">
        <is>
          <t>Failed on test</t>
        </is>
      </c>
      <c r="P10" s="5" t="inlineStr">
        <is>
          <t>Failed on test</t>
        </is>
      </c>
      <c r="Q10" s="5" t="inlineStr">
        <is>
          <t>Failed on test</t>
        </is>
      </c>
      <c r="R10" s="5" t="inlineStr">
        <is>
          <t>Failed on test</t>
        </is>
      </c>
      <c r="S10" s="5" t="inlineStr">
        <is>
          <t>Failed on test</t>
        </is>
      </c>
      <c r="T10" s="5" t="inlineStr">
        <is>
          <t>Failed on test</t>
        </is>
      </c>
      <c r="U10" s="5" t="inlineStr">
        <is>
          <t>Failed on test</t>
        </is>
      </c>
      <c r="V10" s="5" t="inlineStr">
        <is>
          <t>Failed on test</t>
        </is>
      </c>
      <c r="W10" s="5" t="inlineStr">
        <is>
          <t>Failed on test</t>
        </is>
      </c>
      <c r="X10" s="5" t="inlineStr">
        <is>
          <t>Failed on test</t>
        </is>
      </c>
      <c r="Y10" s="5" t="inlineStr">
        <is>
          <t>Failed on test</t>
        </is>
      </c>
      <c r="Z10" s="5" t="inlineStr">
        <is>
          <t>Failed on test</t>
        </is>
      </c>
      <c r="AA10" s="5" t="inlineStr">
        <is>
          <t>Failed on test</t>
        </is>
      </c>
      <c r="AB10" s="5" t="inlineStr">
        <is>
          <t>Failed on test</t>
        </is>
      </c>
      <c r="AC10" s="2" t="inlineStr">
        <is>
          <t>AssertionError</t>
        </is>
      </c>
      <c r="AD10" s="2" t="inlineStr">
        <is>
          <t>AssertionError: False is not true : Missing ipython_kernel_config.py</t>
        </is>
      </c>
      <c r="AE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AF10" s="2" t="inlineStr">
        <is>
          <t>AssertionError</t>
        </is>
      </c>
      <c r="AG10" s="2" t="inlineStr">
        <is>
          <t>AssertionError: False is not true : Missing ipython_kernel_config.py</t>
        </is>
      </c>
      <c r="AH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AI10" s="2" t="inlineStr">
        <is>
          <t>AssertionError</t>
        </is>
      </c>
      <c r="AJ10" s="2" t="inlineStr">
        <is>
          <t>AssertionError: False is not true : Missing ipython_kernel_config.py</t>
        </is>
      </c>
      <c r="AK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AL10" s="2" t="inlineStr">
        <is>
          <t>AssertionError</t>
        </is>
      </c>
      <c r="AM10" s="2" t="inlineStr">
        <is>
          <t>AssertionError: False is not true : Missing ipython_kernel_config.py</t>
        </is>
      </c>
      <c r="AN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AO10" s="2" t="inlineStr">
        <is>
          <t>AssertionError</t>
        </is>
      </c>
      <c r="AP10" s="2" t="inlineStr">
        <is>
          <t>AssertionError: False is not true : Missing ipython_kernel_config.py</t>
        </is>
      </c>
      <c r="AQ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AR10" s="2" t="inlineStr">
        <is>
          <t>AssertionError</t>
        </is>
      </c>
      <c r="AS10" s="2" t="inlineStr">
        <is>
          <t>AssertionError: False is not true : Missing ipython_kernel_config.py</t>
        </is>
      </c>
      <c r="AT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AU10" s="2" t="inlineStr">
        <is>
          <t>AssertionError</t>
        </is>
      </c>
      <c r="AV10" s="2" t="inlineStr">
        <is>
          <t>AssertionError: False is not true : Missing ipython_kernel_config.py</t>
        </is>
      </c>
      <c r="AW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AX10" s="2" t="inlineStr">
        <is>
          <t>AssertionError</t>
        </is>
      </c>
      <c r="AY10" s="2" t="inlineStr">
        <is>
          <t>AssertionError: False is not true : Missing ipython_kernel_config.py</t>
        </is>
      </c>
      <c r="AZ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BA10" s="2" t="inlineStr">
        <is>
          <t>AssertionError</t>
        </is>
      </c>
      <c r="BB10" s="2" t="inlineStr">
        <is>
          <t>AssertionError: False is not true : Missing ipython_kernel_config.py</t>
        </is>
      </c>
      <c r="BC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BD10" s="2" t="inlineStr">
        <is>
          <t>AssertionError</t>
        </is>
      </c>
      <c r="BE10" s="2" t="inlineStr">
        <is>
          <t>AssertionError: False is not true : Missing ipython_kernel_config.py</t>
        </is>
      </c>
      <c r="BF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BG10" s="2" t="inlineStr">
        <is>
          <t>AssertionError</t>
        </is>
      </c>
      <c r="BH10" s="2" t="inlineStr">
        <is>
          <t>AssertionError: False is not true : Missing ipython_kernel_config.py</t>
        </is>
      </c>
      <c r="BI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BJ10" s="2" t="inlineStr">
        <is>
          <t>AssertionError</t>
        </is>
      </c>
      <c r="BK10" s="2" t="inlineStr">
        <is>
          <t>AssertionError: False is not true : Missing ipython_kernel_config.py</t>
        </is>
      </c>
      <c r="BL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BM10" s="2" t="inlineStr">
        <is>
          <t>AssertionError</t>
        </is>
      </c>
      <c r="BN10" s="2" t="inlineStr">
        <is>
          <t>AssertionError: False is not true : Missing ipython_kernel_config.py</t>
        </is>
      </c>
      <c r="BO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BP10" s="2" t="inlineStr">
        <is>
          <t>AssertionError</t>
        </is>
      </c>
      <c r="BQ10" s="2" t="inlineStr">
        <is>
          <t>AssertionError: False is not true : Missing ipython_kernel_config.py</t>
        </is>
      </c>
      <c r="BR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BS10" s="2" t="inlineStr">
        <is>
          <t>AssertionError</t>
        </is>
      </c>
      <c r="BT10" s="2" t="inlineStr">
        <is>
          <t>AssertionError: False is not true : Missing ipython_kernel_config.py</t>
        </is>
      </c>
      <c r="BU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BV10" s="2" t="inlineStr">
        <is>
          <t>AssertionError</t>
        </is>
      </c>
      <c r="BW10" s="2" t="inlineStr">
        <is>
          <t>AssertionError: False is not true : Missing ipython_kernel_config.py</t>
        </is>
      </c>
      <c r="BX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BY10" s="2" t="inlineStr">
        <is>
          <t>AssertionError</t>
        </is>
      </c>
      <c r="BZ10" s="2" t="inlineStr">
        <is>
          <t>AssertionError: False is not true : Missing ipython_kernel_config.py</t>
        </is>
      </c>
      <c r="CA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CB10" s="2" t="inlineStr">
        <is>
          <t>AssertionError</t>
        </is>
      </c>
      <c r="CC10" s="2" t="inlineStr">
        <is>
          <t>AssertionError: False is not true : Missing ipython_kernel_config.py</t>
        </is>
      </c>
      <c r="CD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CE10" s="2" t="inlineStr">
        <is>
          <t>AssertionError</t>
        </is>
      </c>
      <c r="CF10" s="2" t="inlineStr">
        <is>
          <t>AssertionError: False is not true : Missing ipython_kernel_config.py</t>
        </is>
      </c>
      <c r="CG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CH10" s="2" t="inlineStr">
        <is>
          <t>AssertionError</t>
        </is>
      </c>
      <c r="CI10" s="2" t="inlineStr">
        <is>
          <t>AssertionError: False is not true : Missing ipython_kernel_config.py</t>
        </is>
      </c>
      <c r="CJ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CK10" s="2" t="inlineStr">
        <is>
          <t>AssertionError</t>
        </is>
      </c>
      <c r="CL10" s="2" t="inlineStr">
        <is>
          <t>AssertionError: False is not true : Missing ipython_kernel_config.py</t>
        </is>
      </c>
      <c r="CM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CN10" s="2" t="inlineStr">
        <is>
          <t>AssertionError</t>
        </is>
      </c>
      <c r="CO10" s="2" t="inlineStr">
        <is>
          <t>AssertionError: False is not true : Missing ipython_kernel_config.py</t>
        </is>
      </c>
      <c r="CP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CQ10" s="2" t="inlineStr">
        <is>
          <t>AssertionError</t>
        </is>
      </c>
      <c r="CR10" s="2" t="inlineStr">
        <is>
          <t>AssertionError: False is not true : Missing ipython_kernel_config.py</t>
        </is>
      </c>
      <c r="CS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CT10" s="2" t="inlineStr">
        <is>
          <t>AssertionError</t>
        </is>
      </c>
      <c r="CU10" s="2" t="inlineStr">
        <is>
          <t>AssertionError: False is not true : Missing ipython_kernel_config.py</t>
        </is>
      </c>
      <c r="CV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CW10" s="2" t="inlineStr">
        <is>
          <t>AssertionError</t>
        </is>
      </c>
      <c r="CX10" s="2" t="inlineStr">
        <is>
          <t>AssertionError: False is not true : Missing ipython_kernel_config.py</t>
        </is>
      </c>
      <c r="CY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CZ10" s="2" t="inlineStr">
        <is>
          <t>AssertionError</t>
        </is>
      </c>
      <c r="DA10" s="2" t="inlineStr">
        <is>
          <t>AssertionError: False is not true : Missing ipython_kernel_config.py</t>
        </is>
      </c>
      <c r="DB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DC10" s="2" t="inlineStr">
        <is>
          <t>AssertionError</t>
        </is>
      </c>
      <c r="DD10" s="2" t="inlineStr">
        <is>
          <t>AssertionError: False is not true : Missing ipython_kernel_config.py</t>
        </is>
      </c>
      <c r="DE10" s="2"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row>
    <row r="11">
      <c r="A11" s="2" t="inlineStr">
        <is>
          <t>issue_155</t>
        </is>
      </c>
      <c r="B11" s="6" t="inlineStr">
        <is>
          <t>Runtime error</t>
        </is>
      </c>
      <c r="C11" s="6" t="inlineStr">
        <is>
          <t>Runtime error</t>
        </is>
      </c>
      <c r="D11" s="6" t="inlineStr">
        <is>
          <t>Runtime error</t>
        </is>
      </c>
      <c r="E11" s="6" t="inlineStr">
        <is>
          <t>Runtime error</t>
        </is>
      </c>
      <c r="F11" s="4" t="inlineStr">
        <is>
          <t>Passed on test</t>
        </is>
      </c>
      <c r="G11" s="4" t="inlineStr">
        <is>
          <t>Passed on test</t>
        </is>
      </c>
      <c r="H11" s="4" t="inlineStr">
        <is>
          <t>Passed on test</t>
        </is>
      </c>
      <c r="I11" s="4" t="inlineStr">
        <is>
          <t>Passed on test</t>
        </is>
      </c>
      <c r="J11" s="4" t="inlineStr">
        <is>
          <t>Passed on test</t>
        </is>
      </c>
      <c r="K11" s="4" t="inlineStr">
        <is>
          <t>Passed on test</t>
        </is>
      </c>
      <c r="L11" s="4" t="inlineStr">
        <is>
          <t>Passed on test</t>
        </is>
      </c>
      <c r="M11" s="4" t="inlineStr">
        <is>
          <t>Passed on test</t>
        </is>
      </c>
      <c r="N11" s="3" t="inlineStr">
        <is>
          <t>NOT_TESTED</t>
        </is>
      </c>
      <c r="O11" s="3" t="inlineStr">
        <is>
          <t>NOT_TESTED</t>
        </is>
      </c>
      <c r="P11" s="3" t="inlineStr">
        <is>
          <t>NOT_TESTED</t>
        </is>
      </c>
      <c r="Q11" s="3" t="inlineStr">
        <is>
          <t>NOT_TESTED</t>
        </is>
      </c>
      <c r="R11" s="3" t="inlineStr">
        <is>
          <t>NOT_TESTED</t>
        </is>
      </c>
      <c r="S11" s="3" t="inlineStr">
        <is>
          <t>NOT_TESTED</t>
        </is>
      </c>
      <c r="T11" s="3" t="inlineStr">
        <is>
          <t>NOT_TESTED</t>
        </is>
      </c>
      <c r="U11" s="3" t="inlineStr">
        <is>
          <t>NOT_TESTED</t>
        </is>
      </c>
      <c r="V11" s="3" t="inlineStr">
        <is>
          <t>NOT_TESTED</t>
        </is>
      </c>
      <c r="W11" s="3" t="inlineStr">
        <is>
          <t>NOT_TESTED</t>
        </is>
      </c>
      <c r="X11" s="3" t="inlineStr">
        <is>
          <t>NOT_TESTED</t>
        </is>
      </c>
      <c r="Y11" s="3" t="inlineStr">
        <is>
          <t>NOT_TESTED</t>
        </is>
      </c>
      <c r="Z11" s="3" t="inlineStr">
        <is>
          <t>NOT_TESTED</t>
        </is>
      </c>
      <c r="AA11" s="3" t="inlineStr">
        <is>
          <t>NOT_TESTED</t>
        </is>
      </c>
      <c r="AB11" s="3" t="inlineStr">
        <is>
          <t>NOT_TESTED</t>
        </is>
      </c>
      <c r="AC11" s="2" t="inlineStr">
        <is>
          <t>AttributeError</t>
        </is>
      </c>
      <c r="AD11" s="2" t="inlineStr">
        <is>
          <t>AttributeError: 'QuantumCircuit' object has no attribute 'find_bit'</t>
        </is>
      </c>
      <c r="AE11" s="2" t="inlineStr">
        <is>
          <t>Error on 0.25.x, passed on 0.45.x / 0.46.x: the LLM turned the traced-out registers into qubit indices with qc.find_bit(qubit).index, which is correct but QuantumCircuit.find_bit() doesn't exist yet in Qiskit 0.25 (AttributeError). Same code as gpt-6-astra and the same approach as gpt-6-luna; gpt-5.6-luna used qc.qubits.index() and passed on all 12 versions.</t>
        </is>
      </c>
      <c r="AF11" s="2" t="inlineStr">
        <is>
          <t>AttributeError</t>
        </is>
      </c>
      <c r="AG11" s="2" t="inlineStr">
        <is>
          <t>AttributeError: 'QuantumCircuit' object has no attribute 'find_bit'</t>
        </is>
      </c>
      <c r="AH11" s="2" t="inlineStr">
        <is>
          <t>Error on 0.25.x, passed on 0.45.x / 0.46.x: the LLM turned the traced-out registers into qubit indices with qc.find_bit(qubit).index, which is correct but QuantumCircuit.find_bit() doesn't exist yet in Qiskit 0.25 (AttributeError). Same code as gpt-6-astra and the same approach as gpt-6-luna; gpt-5.6-luna used qc.qubits.index() and passed on all 12 versions.</t>
        </is>
      </c>
      <c r="AI11" s="2" t="inlineStr">
        <is>
          <t>AttributeError</t>
        </is>
      </c>
      <c r="AJ11" s="2" t="inlineStr">
        <is>
          <t>AttributeError: 'QuantumCircuit' object has no attribute 'find_bit'</t>
        </is>
      </c>
      <c r="AK11" s="2" t="inlineStr">
        <is>
          <t>Error on 0.25.x, passed on 0.45.x / 0.46.x: the LLM turned the traced-out registers into qubit indices with qc.find_bit(qubit).index, which is correct but QuantumCircuit.find_bit() doesn't exist yet in Qiskit 0.25 (AttributeError). Same code as gpt-6-astra and the same approach as gpt-6-luna; gpt-5.6-luna used qc.qubits.index() and passed on all 12 versions.</t>
        </is>
      </c>
      <c r="AL11" s="2" t="inlineStr">
        <is>
          <t>AttributeError</t>
        </is>
      </c>
      <c r="AM11" s="2" t="inlineStr">
        <is>
          <t>AttributeError: 'QuantumCircuit' object has no attribute 'find_bit'</t>
        </is>
      </c>
      <c r="AN11" s="2" t="inlineStr">
        <is>
          <t>Error on 0.25.x, passed on 0.45.x / 0.46.x: the LLM turned the traced-out registers into qubit indices with qc.find_bit(qubit).index, which is correct but QuantumCircuit.find_bit() doesn't exist yet in Qiskit 0.25 (AttributeError). Same code as gpt-6-astra and the same approach as gpt-6-luna; gpt-5.6-luna used qc.qubits.index() and passed on all 12 versions.</t>
        </is>
      </c>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2" t="n"/>
      <c r="CH11" s="2" t="n"/>
      <c r="CI11" s="2" t="n"/>
      <c r="CJ11" s="2" t="n"/>
      <c r="CK11" s="2" t="n"/>
      <c r="CL11" s="2" t="n"/>
      <c r="CM11" s="2" t="n"/>
      <c r="CN11" s="2" t="n"/>
      <c r="CO11" s="2" t="n"/>
      <c r="CP11" s="2" t="n"/>
      <c r="CQ11" s="2" t="n"/>
      <c r="CR11" s="2" t="n"/>
      <c r="CS11" s="2" t="n"/>
      <c r="CT11" s="2" t="n"/>
      <c r="CU11" s="2" t="n"/>
      <c r="CV11" s="2" t="n"/>
      <c r="CW11" s="2" t="n"/>
      <c r="CX11" s="2" t="n"/>
      <c r="CY11" s="2" t="n"/>
      <c r="CZ11" s="2" t="n"/>
      <c r="DA11" s="2" t="n"/>
      <c r="DB11" s="2" t="n"/>
      <c r="DC11" s="2" t="n"/>
      <c r="DD11" s="2" t="n"/>
      <c r="DE11" s="2" t="n"/>
    </row>
    <row r="12">
      <c r="A12" s="2" t="inlineStr">
        <is>
          <t>issue_157</t>
        </is>
      </c>
      <c r="B12" s="6" t="inlineStr">
        <is>
          <t>Runtime error</t>
        </is>
      </c>
      <c r="C12" s="6" t="inlineStr">
        <is>
          <t>Runtime error</t>
        </is>
      </c>
      <c r="D12" s="6" t="inlineStr">
        <is>
          <t>Runtime error</t>
        </is>
      </c>
      <c r="E12" s="6" t="inlineStr">
        <is>
          <t>Runtime error</t>
        </is>
      </c>
      <c r="F12" s="4" t="inlineStr">
        <is>
          <t>Passed on test</t>
        </is>
      </c>
      <c r="G12" s="4" t="inlineStr">
        <is>
          <t>Passed on test</t>
        </is>
      </c>
      <c r="H12" s="4" t="inlineStr">
        <is>
          <t>Passed on test</t>
        </is>
      </c>
      <c r="I12" s="4" t="inlineStr">
        <is>
          <t>Passed on test</t>
        </is>
      </c>
      <c r="J12" s="4" t="inlineStr">
        <is>
          <t>Passed on test</t>
        </is>
      </c>
      <c r="K12" s="4" t="inlineStr">
        <is>
          <t>Passed on test</t>
        </is>
      </c>
      <c r="L12" s="4" t="inlineStr">
        <is>
          <t>Passed on test</t>
        </is>
      </c>
      <c r="M12" s="4" t="inlineStr">
        <is>
          <t>Passed on test</t>
        </is>
      </c>
      <c r="N12" s="3" t="inlineStr">
        <is>
          <t>NOT_TESTED</t>
        </is>
      </c>
      <c r="O12" s="3" t="inlineStr">
        <is>
          <t>NOT_TESTED</t>
        </is>
      </c>
      <c r="P12" s="3" t="inlineStr">
        <is>
          <t>NOT_TESTED</t>
        </is>
      </c>
      <c r="Q12" s="3" t="inlineStr">
        <is>
          <t>NOT_TESTED</t>
        </is>
      </c>
      <c r="R12" s="3" t="inlineStr">
        <is>
          <t>NOT_TESTED</t>
        </is>
      </c>
      <c r="S12" s="3" t="inlineStr">
        <is>
          <t>NOT_TESTED</t>
        </is>
      </c>
      <c r="T12" s="3" t="inlineStr">
        <is>
          <t>NOT_TESTED</t>
        </is>
      </c>
      <c r="U12" s="3" t="inlineStr">
        <is>
          <t>NOT_TESTED</t>
        </is>
      </c>
      <c r="V12" s="3" t="inlineStr">
        <is>
          <t>NOT_TESTED</t>
        </is>
      </c>
      <c r="W12" s="3" t="inlineStr">
        <is>
          <t>NOT_TESTED</t>
        </is>
      </c>
      <c r="X12" s="3" t="inlineStr">
        <is>
          <t>NOT_TESTED</t>
        </is>
      </c>
      <c r="Y12" s="3" t="inlineStr">
        <is>
          <t>NOT_TESTED</t>
        </is>
      </c>
      <c r="Z12" s="3" t="inlineStr">
        <is>
          <t>NOT_TESTED</t>
        </is>
      </c>
      <c r="AA12" s="3" t="inlineStr">
        <is>
          <t>NOT_TESTED</t>
        </is>
      </c>
      <c r="AB12" s="3" t="inlineStr">
        <is>
          <t>NOT_TESTED</t>
        </is>
      </c>
      <c r="AC12" s="2" t="inlineStr">
        <is>
          <t>AttributeError</t>
        </is>
      </c>
      <c r="AD12" s="2" t="inlineStr">
        <is>
          <t>AttributeError: 'QuantumCircuit' object has no attribute 'prepare_state'</t>
        </is>
      </c>
      <c r="AE12" s="2" t="inlineStr">
        <is>
          <t>Error on 0.25.x, passed on 0.45.x / 0.46.x: the LLM replaced initialize() (which contains a non-unitary reset and can't be controlled) with prepare_state(), which is correct but doesn't exist yet in Qiskit 0.25 (AttributeError). Same code as the other three models.</t>
        </is>
      </c>
      <c r="AF12" s="2" t="inlineStr">
        <is>
          <t>AttributeError</t>
        </is>
      </c>
      <c r="AG12" s="2" t="inlineStr">
        <is>
          <t>AttributeError: 'QuantumCircuit' object has no attribute 'prepare_state'</t>
        </is>
      </c>
      <c r="AH12" s="2" t="inlineStr">
        <is>
          <t>Error on 0.25.x, passed on 0.45.x / 0.46.x: the LLM replaced initialize() (which contains a non-unitary reset and can't be controlled) with prepare_state(), which is correct but doesn't exist yet in Qiskit 0.25 (AttributeError). Same code as the other three models.</t>
        </is>
      </c>
      <c r="AI12" s="2" t="inlineStr">
        <is>
          <t>AttributeError</t>
        </is>
      </c>
      <c r="AJ12" s="2" t="inlineStr">
        <is>
          <t>AttributeError: 'QuantumCircuit' object has no attribute 'prepare_state'</t>
        </is>
      </c>
      <c r="AK12" s="2" t="inlineStr">
        <is>
          <t>Error on 0.25.x, passed on 0.45.x / 0.46.x: the LLM replaced initialize() (which contains a non-unitary reset and can't be controlled) with prepare_state(), which is correct but doesn't exist yet in Qiskit 0.25 (AttributeError). Same code as the other three models.</t>
        </is>
      </c>
      <c r="AL12" s="2" t="inlineStr">
        <is>
          <t>AttributeError</t>
        </is>
      </c>
      <c r="AM12" s="2" t="inlineStr">
        <is>
          <t>AttributeError: 'QuantumCircuit' object has no attribute 'prepare_state'</t>
        </is>
      </c>
      <c r="AN12" s="2" t="inlineStr">
        <is>
          <t>Error on 0.25.x, passed on 0.45.x / 0.46.x: the LLM replaced initialize() (which contains a non-unitary reset and can't be controlled) with prepare_state(), which is correct but doesn't exist yet in Qiskit 0.25 (AttributeError). Same code as the other three models.</t>
        </is>
      </c>
      <c r="AO12" s="2" t="n"/>
      <c r="AP12" s="2" t="n"/>
      <c r="AQ12" s="2"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2" t="n"/>
      <c r="CN12" s="2" t="n"/>
      <c r="CO12" s="2" t="n"/>
      <c r="CP12" s="2" t="n"/>
      <c r="CQ12" s="2" t="n"/>
      <c r="CR12" s="2" t="n"/>
      <c r="CS12" s="2" t="n"/>
      <c r="CT12" s="2" t="n"/>
      <c r="CU12" s="2" t="n"/>
      <c r="CV12" s="2" t="n"/>
      <c r="CW12" s="2" t="n"/>
      <c r="CX12" s="2" t="n"/>
      <c r="CY12" s="2" t="n"/>
      <c r="CZ12" s="2" t="n"/>
      <c r="DA12" s="2" t="n"/>
      <c r="DB12" s="2" t="n"/>
      <c r="DC12" s="2" t="n"/>
      <c r="DD12" s="2" t="n"/>
      <c r="DE12" s="2" t="n"/>
    </row>
    <row r="13">
      <c r="A13" s="2" t="inlineStr">
        <is>
          <t>issue_174</t>
        </is>
      </c>
      <c r="B13" s="4" t="inlineStr">
        <is>
          <t>Passed on test</t>
        </is>
      </c>
      <c r="C13" s="4" t="inlineStr">
        <is>
          <t>Passed on test</t>
        </is>
      </c>
      <c r="D13" s="4" t="inlineStr">
        <is>
          <t>Passed on test</t>
        </is>
      </c>
      <c r="E13" s="4" t="inlineStr">
        <is>
          <t>Passed on test</t>
        </is>
      </c>
      <c r="F13" s="4" t="inlineStr">
        <is>
          <t>Passed on test</t>
        </is>
      </c>
      <c r="G13" s="4" t="inlineStr">
        <is>
          <t>Passed on test</t>
        </is>
      </c>
      <c r="H13" s="4" t="inlineStr">
        <is>
          <t>Passed on test</t>
        </is>
      </c>
      <c r="I13" s="4" t="inlineStr">
        <is>
          <t>Passed on test</t>
        </is>
      </c>
      <c r="J13" s="4" t="inlineStr">
        <is>
          <t>Passed on test</t>
        </is>
      </c>
      <c r="K13" s="4" t="inlineStr">
        <is>
          <t>Passed on test</t>
        </is>
      </c>
      <c r="L13" s="4" t="inlineStr">
        <is>
          <t>Passed on test</t>
        </is>
      </c>
      <c r="M13" s="4" t="inlineStr">
        <is>
          <t>Passed on test</t>
        </is>
      </c>
      <c r="N13" s="3" t="inlineStr">
        <is>
          <t>NOT_TESTED</t>
        </is>
      </c>
      <c r="O13" s="3" t="inlineStr">
        <is>
          <t>NOT_TESTED</t>
        </is>
      </c>
      <c r="P13" s="3" t="inlineStr">
        <is>
          <t>NOT_TESTED</t>
        </is>
      </c>
      <c r="Q13" s="3" t="inlineStr">
        <is>
          <t>NOT_TESTED</t>
        </is>
      </c>
      <c r="R13" s="3" t="inlineStr">
        <is>
          <t>NOT_TESTED</t>
        </is>
      </c>
      <c r="S13" s="3" t="inlineStr">
        <is>
          <t>NOT_TESTED</t>
        </is>
      </c>
      <c r="T13" s="3" t="inlineStr">
        <is>
          <t>NOT_TESTED</t>
        </is>
      </c>
      <c r="U13" s="3" t="inlineStr">
        <is>
          <t>NOT_TESTED</t>
        </is>
      </c>
      <c r="V13" s="3" t="inlineStr">
        <is>
          <t>NOT_TESTED</t>
        </is>
      </c>
      <c r="W13" s="3" t="inlineStr">
        <is>
          <t>NOT_TESTED</t>
        </is>
      </c>
      <c r="X13" s="3" t="inlineStr">
        <is>
          <t>NOT_TESTED</t>
        </is>
      </c>
      <c r="Y13" s="3" t="inlineStr">
        <is>
          <t>NOT_TESTED</t>
        </is>
      </c>
      <c r="Z13" s="3" t="inlineStr">
        <is>
          <t>NOT_TESTED</t>
        </is>
      </c>
      <c r="AA13" s="3" t="inlineStr">
        <is>
          <t>NOT_TESTED</t>
        </is>
      </c>
      <c r="AB13" s="3" t="inlineStr">
        <is>
          <t>NOT_TESTED</t>
        </is>
      </c>
      <c r="AC13" s="2" t="n"/>
      <c r="AD13" s="2" t="n"/>
      <c r="AE13" s="2" t="n"/>
      <c r="AF13" s="2" t="n"/>
      <c r="AG13" s="2" t="n"/>
      <c r="AH13" s="2" t="n"/>
      <c r="AI13" s="2" t="n"/>
      <c r="AJ13" s="2" t="n"/>
      <c r="AK13" s="2" t="n"/>
      <c r="AL13" s="2" t="n"/>
      <c r="AM13" s="2" t="n"/>
      <c r="AN13" s="2" t="n"/>
      <c r="AO13" s="2" t="n"/>
      <c r="AP13" s="2" t="n"/>
      <c r="AQ13" s="2" t="n"/>
      <c r="AR13" s="2" t="n"/>
      <c r="AS13" s="2" t="n"/>
      <c r="AT13" s="2" t="n"/>
      <c r="AU13" s="2" t="n"/>
      <c r="AV13" s="2"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2" t="n"/>
      <c r="CS13" s="2" t="n"/>
      <c r="CT13" s="2" t="n"/>
      <c r="CU13" s="2" t="n"/>
      <c r="CV13" s="2" t="n"/>
      <c r="CW13" s="2" t="n"/>
      <c r="CX13" s="2" t="n"/>
      <c r="CY13" s="2" t="n"/>
      <c r="CZ13" s="2" t="n"/>
      <c r="DA13" s="2" t="n"/>
      <c r="DB13" s="2" t="n"/>
      <c r="DC13" s="2" t="n"/>
      <c r="DD13" s="2" t="n"/>
      <c r="DE13" s="2" t="n"/>
    </row>
    <row r="14">
      <c r="A14" s="2" t="inlineStr">
        <is>
          <t>issue_189</t>
        </is>
      </c>
      <c r="B14" s="3" t="inlineStr">
        <is>
          <t>NOT_TESTED</t>
        </is>
      </c>
      <c r="C14" s="3" t="inlineStr">
        <is>
          <t>NOT_TESTED</t>
        </is>
      </c>
      <c r="D14" s="3" t="inlineStr">
        <is>
          <t>NOT_TESTED</t>
        </is>
      </c>
      <c r="E14" s="3" t="inlineStr">
        <is>
          <t>NOT_TESTED</t>
        </is>
      </c>
      <c r="F14" s="4" t="inlineStr">
        <is>
          <t>Failed on test</t>
        </is>
      </c>
      <c r="G14" s="4" t="inlineStr">
        <is>
          <t>Failed on test</t>
        </is>
      </c>
      <c r="H14" s="4" t="inlineStr">
        <is>
          <t>Failed on test</t>
        </is>
      </c>
      <c r="I14" s="4" t="inlineStr">
        <is>
          <t>Failed on test</t>
        </is>
      </c>
      <c r="J14" s="4" t="inlineStr">
        <is>
          <t>Failed on test</t>
        </is>
      </c>
      <c r="K14" s="4" t="inlineStr">
        <is>
          <t>Failed on test</t>
        </is>
      </c>
      <c r="L14" s="4" t="inlineStr">
        <is>
          <t>Failed on test</t>
        </is>
      </c>
      <c r="M14" s="4" t="inlineStr">
        <is>
          <t>Failed on test</t>
        </is>
      </c>
      <c r="N14" s="4" t="inlineStr">
        <is>
          <t>Failed on test</t>
        </is>
      </c>
      <c r="O14" s="4" t="inlineStr">
        <is>
          <t>Failed on test</t>
        </is>
      </c>
      <c r="P14" s="4" t="inlineStr">
        <is>
          <t>Failed on test</t>
        </is>
      </c>
      <c r="Q14" s="4" t="inlineStr">
        <is>
          <t>Failed on test</t>
        </is>
      </c>
      <c r="R14" s="4" t="inlineStr">
        <is>
          <t>Failed on test</t>
        </is>
      </c>
      <c r="S14" s="4" t="inlineStr">
        <is>
          <t>Failed on test</t>
        </is>
      </c>
      <c r="T14" s="4" t="inlineStr">
        <is>
          <t>Failed on test</t>
        </is>
      </c>
      <c r="U14" s="4" t="inlineStr">
        <is>
          <t>Failed on test</t>
        </is>
      </c>
      <c r="V14" s="4" t="inlineStr">
        <is>
          <t>Failed on test</t>
        </is>
      </c>
      <c r="W14" s="4" t="inlineStr">
        <is>
          <t>Failed on test</t>
        </is>
      </c>
      <c r="X14" s="4" t="inlineStr">
        <is>
          <t>Failed on test</t>
        </is>
      </c>
      <c r="Y14" s="4" t="inlineStr">
        <is>
          <t>Failed on test</t>
        </is>
      </c>
      <c r="Z14" s="4" t="inlineStr">
        <is>
          <t>Failed on test</t>
        </is>
      </c>
      <c r="AA14" s="4" t="inlineStr">
        <is>
          <t>Failed on test</t>
        </is>
      </c>
      <c r="AB14" s="4" t="inlineStr">
        <is>
          <t>Failed on test</t>
        </is>
      </c>
      <c r="AC14" s="2" t="n"/>
      <c r="AD14" s="2" t="n"/>
      <c r="AE14" s="2" t="n"/>
      <c r="AF14" s="2" t="n"/>
      <c r="AG14" s="2" t="n"/>
      <c r="AH14" s="2" t="n"/>
      <c r="AI14" s="2" t="n"/>
      <c r="AJ14" s="2" t="n"/>
      <c r="AK14" s="2" t="n"/>
      <c r="AL14" s="2" t="n"/>
      <c r="AM14" s="2" t="n"/>
      <c r="AN14" s="2" t="n"/>
      <c r="AO14" s="2" t="inlineStr">
        <is>
          <t>AssertionError</t>
        </is>
      </c>
      <c r="AP14" s="2" t="inlineStr">
        <is>
          <t>AssertionError: Lists differ: [2, 3, 4, 5, 6, 7, 8] != [0, 3, 4, 5, 6, 7, 8]</t>
        </is>
      </c>
      <c r="AQ14" s="2" t="n"/>
      <c r="AR14" s="2" t="inlineStr">
        <is>
          <t>AssertionError</t>
        </is>
      </c>
      <c r="AS14" s="2" t="inlineStr">
        <is>
          <t>AssertionError: Lists differ: [2, 3, 4, 5, 6, 7, 8] != [0, 3, 4, 5, 6, 7, 8]</t>
        </is>
      </c>
      <c r="AT14" s="2" t="n"/>
      <c r="AU14" s="2" t="inlineStr">
        <is>
          <t>AssertionError</t>
        </is>
      </c>
      <c r="AV14" s="2" t="inlineStr">
        <is>
          <t>AssertionError: Lists differ: [2, 3, 4, 5, 6, 7, 8] != [0, 3, 4, 5, 6, 7, 8]</t>
        </is>
      </c>
      <c r="AW14" s="2" t="n"/>
      <c r="AX14" s="2" t="inlineStr">
        <is>
          <t>AssertionError</t>
        </is>
      </c>
      <c r="AY14" s="2" t="inlineStr">
        <is>
          <t>AssertionError: Lists differ: [2, 3, 4, 5, 6, 7, 8] != [0, 3, 4, 5, 6, 7, 8]</t>
        </is>
      </c>
      <c r="AZ14" s="2" t="n"/>
      <c r="BA14" s="2" t="inlineStr">
        <is>
          <t>AssertionError</t>
        </is>
      </c>
      <c r="BB14" s="2" t="inlineStr">
        <is>
          <t>AssertionError: Lists differ: [2, 3, 4, 5, 6, 7, 8] != [0, 3, 4, 5, 6, 7, 8]</t>
        </is>
      </c>
      <c r="BC14" s="2" t="n"/>
      <c r="BD14" s="2" t="inlineStr">
        <is>
          <t>AssertionError</t>
        </is>
      </c>
      <c r="BE14" s="2" t="inlineStr">
        <is>
          <t>AssertionError: Lists differ: [2, 3, 4, 5, 6, 7, 8] != [0, 3, 4, 5, 6, 7, 8]</t>
        </is>
      </c>
      <c r="BF14" s="2" t="n"/>
      <c r="BG14" s="2" t="inlineStr">
        <is>
          <t>AssertionError</t>
        </is>
      </c>
      <c r="BH14" s="2" t="inlineStr">
        <is>
          <t>AssertionError: Lists differ: [2, 3, 4, 5, 6, 7, 8] != [0, 3, 4, 5, 6, 7, 8]</t>
        </is>
      </c>
      <c r="BI14" s="2" t="n"/>
      <c r="BJ14" s="2" t="inlineStr">
        <is>
          <t>AssertionError</t>
        </is>
      </c>
      <c r="BK14" s="2" t="inlineStr">
        <is>
          <t>AssertionError: Lists differ: [2, 3, 4, 5, 6, 7, 8] != [0, 3, 4, 5, 6, 7, 8]</t>
        </is>
      </c>
      <c r="BL14" s="2" t="n"/>
      <c r="BM14" s="2" t="inlineStr">
        <is>
          <t>AssertionError</t>
        </is>
      </c>
      <c r="BN14" s="2" t="inlineStr">
        <is>
          <t>AssertionError: Lists differ: [2, 3, 4, 5, 6, 7, 8] != [0, 3, 4, 5, 6, 7, 8]</t>
        </is>
      </c>
      <c r="BO14" s="2" t="n"/>
      <c r="BP14" s="2" t="inlineStr">
        <is>
          <t>AssertionError</t>
        </is>
      </c>
      <c r="BQ14" s="2" t="inlineStr">
        <is>
          <t>AssertionError: Lists differ: [2, 3, 4, 5, 6, 7, 8] != [0, 3, 4, 5, 6, 7, 8]</t>
        </is>
      </c>
      <c r="BR14" s="2" t="n"/>
      <c r="BS14" s="2" t="inlineStr">
        <is>
          <t>AssertionError</t>
        </is>
      </c>
      <c r="BT14" s="2" t="inlineStr">
        <is>
          <t>AssertionError: Lists differ: [2, 3, 4, 5, 6, 7, 8] != [0, 3, 4, 5, 6, 7, 8]</t>
        </is>
      </c>
      <c r="BU14" s="2" t="n"/>
      <c r="BV14" s="2" t="inlineStr">
        <is>
          <t>AssertionError</t>
        </is>
      </c>
      <c r="BW14" s="2" t="inlineStr">
        <is>
          <t>AssertionError: Lists differ: [2, 3, 4, 5, 6, 7, 8] != [0, 3, 4, 5, 6, 7, 8]</t>
        </is>
      </c>
      <c r="BX14" s="2" t="n"/>
      <c r="BY14" s="2" t="inlineStr">
        <is>
          <t>AssertionError</t>
        </is>
      </c>
      <c r="BZ14" s="2" t="inlineStr">
        <is>
          <t>AssertionError: Lists differ: [2, 3, 4, 5, 6, 7, 8] != [0, 3, 4, 5, 6, 7, 8]</t>
        </is>
      </c>
      <c r="CA14" s="2" t="n"/>
      <c r="CB14" s="2" t="inlineStr">
        <is>
          <t>AssertionError</t>
        </is>
      </c>
      <c r="CC14" s="2" t="inlineStr">
        <is>
          <t>AssertionError: Lists differ: [2, 3, 4, 5, 6, 7, 8] != [0, 3, 4, 5, 6, 7, 8]</t>
        </is>
      </c>
      <c r="CD14" s="2" t="n"/>
      <c r="CE14" s="2" t="inlineStr">
        <is>
          <t>AssertionError</t>
        </is>
      </c>
      <c r="CF14" s="2" t="inlineStr">
        <is>
          <t>AssertionError: Lists differ: [2, 3, 4, 5, 6, 7, 8] != [0, 3, 4, 5, 6, 7, 8]</t>
        </is>
      </c>
      <c r="CG14" s="2" t="n"/>
      <c r="CH14" s="2" t="inlineStr">
        <is>
          <t>AssertionError</t>
        </is>
      </c>
      <c r="CI14" s="2" t="inlineStr">
        <is>
          <t>AssertionError: Lists differ: [2, 3, 4, 5, 6, 7, 8] != [0, 3, 4, 5, 6, 7, 8]</t>
        </is>
      </c>
      <c r="CJ14" s="2" t="n"/>
      <c r="CK14" s="2" t="inlineStr">
        <is>
          <t>AssertionError</t>
        </is>
      </c>
      <c r="CL14" s="2" t="inlineStr">
        <is>
          <t>AssertionError: Lists differ: [2, 3, 4, 5, 6, 7, 8] != [0, 3, 4, 5, 6, 7, 8]</t>
        </is>
      </c>
      <c r="CM14" s="2" t="n"/>
      <c r="CN14" s="2" t="inlineStr">
        <is>
          <t>AssertionError</t>
        </is>
      </c>
      <c r="CO14" s="2" t="inlineStr">
        <is>
          <t>AssertionError: Lists differ: [2, 3, 4, 5, 6, 7, 8] != [0, 3, 4, 5, 6, 7, 8]</t>
        </is>
      </c>
      <c r="CP14" s="2" t="n"/>
      <c r="CQ14" s="2" t="inlineStr">
        <is>
          <t>AssertionError</t>
        </is>
      </c>
      <c r="CR14" s="2" t="inlineStr">
        <is>
          <t>AssertionError: Lists differ: [2, 3, 4, 5, 6, 7, 8] != [0, 3, 4, 5, 6, 7, 8]</t>
        </is>
      </c>
      <c r="CS14" s="2" t="n"/>
      <c r="CT14" s="2" t="inlineStr">
        <is>
          <t>AssertionError</t>
        </is>
      </c>
      <c r="CU14" s="2" t="inlineStr">
        <is>
          <t>AssertionError: Lists differ: [2, 3, 4, 5, 6, 7, 8] != [0, 3, 4, 5, 6, 7, 8]</t>
        </is>
      </c>
      <c r="CV14" s="2" t="n"/>
      <c r="CW14" s="2" t="inlineStr">
        <is>
          <t>AssertionError</t>
        </is>
      </c>
      <c r="CX14" s="2" t="inlineStr">
        <is>
          <t>AssertionError: Lists differ: [2, 3, 4, 5, 6, 7, 8] != [0, 3, 4, 5, 6, 7, 8]</t>
        </is>
      </c>
      <c r="CY14" s="2" t="n"/>
      <c r="CZ14" s="2" t="inlineStr">
        <is>
          <t>AssertionError</t>
        </is>
      </c>
      <c r="DA14" s="2" t="inlineStr">
        <is>
          <t>AssertionError: Lists differ: [2, 3, 4, 5, 6, 7, 8] != [0, 3, 4, 5, 6, 7, 8]</t>
        </is>
      </c>
      <c r="DB14" s="2" t="n"/>
      <c r="DC14" s="2" t="inlineStr">
        <is>
          <t>AssertionError</t>
        </is>
      </c>
      <c r="DD14" s="2" t="inlineStr">
        <is>
          <t>AssertionError: Lists differ: [2, 3, 4, 5, 6, 7, 8] != [0, 3, 4, 5, 6, 7, 8]</t>
        </is>
      </c>
      <c r="DE14" s="2" t="n"/>
    </row>
    <row r="15">
      <c r="A15" s="2" t="inlineStr">
        <is>
          <t>issue_225</t>
        </is>
      </c>
      <c r="B15" s="3" t="inlineStr">
        <is>
          <t>NOT_TESTED</t>
        </is>
      </c>
      <c r="C15" s="3" t="inlineStr">
        <is>
          <t>NOT_TESTED</t>
        </is>
      </c>
      <c r="D15" s="3" t="inlineStr">
        <is>
          <t>NOT_TESTED</t>
        </is>
      </c>
      <c r="E15" s="3" t="inlineStr">
        <is>
          <t>NOT_TESTED</t>
        </is>
      </c>
      <c r="F15" s="4" t="inlineStr">
        <is>
          <t>Passed on test</t>
        </is>
      </c>
      <c r="G15" s="4" t="inlineStr">
        <is>
          <t>Passed on test</t>
        </is>
      </c>
      <c r="H15" s="4" t="inlineStr">
        <is>
          <t>Passed on test</t>
        </is>
      </c>
      <c r="I15" s="4" t="inlineStr">
        <is>
          <t>Passed on test</t>
        </is>
      </c>
      <c r="J15" s="4" t="inlineStr">
        <is>
          <t>Passed on test</t>
        </is>
      </c>
      <c r="K15" s="4" t="inlineStr">
        <is>
          <t>Passed on test</t>
        </is>
      </c>
      <c r="L15" s="4" t="inlineStr">
        <is>
          <t>Passed on test</t>
        </is>
      </c>
      <c r="M15" s="4" t="inlineStr">
        <is>
          <t>Passed on test</t>
        </is>
      </c>
      <c r="N15" s="3" t="inlineStr">
        <is>
          <t>NOT_TESTED</t>
        </is>
      </c>
      <c r="O15" s="3" t="inlineStr">
        <is>
          <t>NOT_TESTED</t>
        </is>
      </c>
      <c r="P15" s="3" t="inlineStr">
        <is>
          <t>NOT_TESTED</t>
        </is>
      </c>
      <c r="Q15" s="3" t="inlineStr">
        <is>
          <t>NOT_TESTED</t>
        </is>
      </c>
      <c r="R15" s="3" t="inlineStr">
        <is>
          <t>NOT_TESTED</t>
        </is>
      </c>
      <c r="S15" s="3" t="inlineStr">
        <is>
          <t>NOT_TESTED</t>
        </is>
      </c>
      <c r="T15" s="3" t="inlineStr">
        <is>
          <t>NOT_TESTED</t>
        </is>
      </c>
      <c r="U15" s="3" t="inlineStr">
        <is>
          <t>NOT_TESTED</t>
        </is>
      </c>
      <c r="V15" s="3" t="inlineStr">
        <is>
          <t>NOT_TESTED</t>
        </is>
      </c>
      <c r="W15" s="3" t="inlineStr">
        <is>
          <t>NOT_TESTED</t>
        </is>
      </c>
      <c r="X15" s="3" t="inlineStr">
        <is>
          <t>NOT_TESTED</t>
        </is>
      </c>
      <c r="Y15" s="3" t="inlineStr">
        <is>
          <t>NOT_TESTED</t>
        </is>
      </c>
      <c r="Z15" s="3" t="inlineStr">
        <is>
          <t>NOT_TESTED</t>
        </is>
      </c>
      <c r="AA15" s="3" t="inlineStr">
        <is>
          <t>NOT_TESTED</t>
        </is>
      </c>
      <c r="AB15" s="3" t="inlineStr">
        <is>
          <t>NOT_TESTED</t>
        </is>
      </c>
      <c r="AC15" s="2" t="n"/>
      <c r="AD15" s="2" t="n"/>
      <c r="AE15" s="2" t="n"/>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2" t="n"/>
      <c r="CS15" s="2" t="n"/>
      <c r="CT15" s="2" t="n"/>
      <c r="CU15" s="2" t="n"/>
      <c r="CV15" s="2" t="n"/>
      <c r="CW15" s="2" t="n"/>
      <c r="CX15" s="2" t="n"/>
      <c r="CY15" s="2" t="n"/>
      <c r="CZ15" s="2" t="n"/>
      <c r="DA15" s="2" t="n"/>
      <c r="DB15" s="2" t="n"/>
      <c r="DC15" s="2" t="n"/>
      <c r="DD15" s="2" t="n"/>
      <c r="DE15" s="2" t="n"/>
    </row>
    <row r="16">
      <c r="A16" s="2" t="inlineStr">
        <is>
          <t>issue_233</t>
        </is>
      </c>
      <c r="B16" s="4" t="inlineStr">
        <is>
          <t>Passed on test</t>
        </is>
      </c>
      <c r="C16" s="4" t="inlineStr">
        <is>
          <t>Passed on test</t>
        </is>
      </c>
      <c r="D16" s="4" t="inlineStr">
        <is>
          <t>Passed on test</t>
        </is>
      </c>
      <c r="E16" s="4" t="inlineStr">
        <is>
          <t>Passed on test</t>
        </is>
      </c>
      <c r="F16" s="4" t="inlineStr">
        <is>
          <t>Passed on test</t>
        </is>
      </c>
      <c r="G16" s="4" t="inlineStr">
        <is>
          <t>Passed on test</t>
        </is>
      </c>
      <c r="H16" s="4" t="inlineStr">
        <is>
          <t>Passed on test</t>
        </is>
      </c>
      <c r="I16" s="4" t="inlineStr">
        <is>
          <t>Passed on test</t>
        </is>
      </c>
      <c r="J16" s="4" t="inlineStr">
        <is>
          <t>Passed on test</t>
        </is>
      </c>
      <c r="K16" s="4" t="inlineStr">
        <is>
          <t>Passed on test</t>
        </is>
      </c>
      <c r="L16" s="4" t="inlineStr">
        <is>
          <t>Passed on test</t>
        </is>
      </c>
      <c r="M16" s="4" t="inlineStr">
        <is>
          <t>Passed on test</t>
        </is>
      </c>
      <c r="N16" s="4" t="inlineStr">
        <is>
          <t>Passed on test</t>
        </is>
      </c>
      <c r="O16" s="4" t="inlineStr">
        <is>
          <t>Passed on test</t>
        </is>
      </c>
      <c r="P16" s="4" t="inlineStr">
        <is>
          <t>Passed on test</t>
        </is>
      </c>
      <c r="Q16" s="4" t="inlineStr">
        <is>
          <t>Passed on test</t>
        </is>
      </c>
      <c r="R16" s="4" t="inlineStr">
        <is>
          <t>Passed on test</t>
        </is>
      </c>
      <c r="S16" s="4" t="inlineStr">
        <is>
          <t>Passed on test</t>
        </is>
      </c>
      <c r="T16" s="4" t="inlineStr">
        <is>
          <t>Passed on test</t>
        </is>
      </c>
      <c r="U16" s="4" t="inlineStr">
        <is>
          <t>Passed on test</t>
        </is>
      </c>
      <c r="V16" s="4" t="inlineStr">
        <is>
          <t>Passed on test</t>
        </is>
      </c>
      <c r="W16" s="4" t="inlineStr">
        <is>
          <t>Passed on test</t>
        </is>
      </c>
      <c r="X16" s="4" t="inlineStr">
        <is>
          <t>Passed on test</t>
        </is>
      </c>
      <c r="Y16" s="4" t="inlineStr">
        <is>
          <t>Passed on test</t>
        </is>
      </c>
      <c r="Z16" s="4" t="inlineStr">
        <is>
          <t>Passed on test</t>
        </is>
      </c>
      <c r="AA16" s="4" t="inlineStr">
        <is>
          <t>Passed on test</t>
        </is>
      </c>
      <c r="AB16" s="4" t="inlineStr">
        <is>
          <t>Passed on test</t>
        </is>
      </c>
      <c r="AC16" s="2" t="n"/>
      <c r="AD16" s="2"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2" t="n"/>
      <c r="CS16" s="2" t="n"/>
      <c r="CT16" s="2" t="n"/>
      <c r="CU16" s="2" t="n"/>
      <c r="CV16" s="2" t="n"/>
      <c r="CW16" s="2" t="n"/>
      <c r="CX16" s="2" t="n"/>
      <c r="CY16" s="2" t="n"/>
      <c r="CZ16" s="2" t="n"/>
      <c r="DA16" s="2" t="n"/>
      <c r="DB16" s="2" t="n"/>
      <c r="DC16" s="2" t="n"/>
      <c r="DD16" s="2" t="n"/>
      <c r="DE16" s="2" t="n"/>
    </row>
    <row r="17">
      <c r="A17" s="2" t="inlineStr">
        <is>
          <t>issue_261</t>
        </is>
      </c>
      <c r="B17" s="4" t="inlineStr">
        <is>
          <t>Passed on test</t>
        </is>
      </c>
      <c r="C17" s="4" t="inlineStr">
        <is>
          <t>Passed on test</t>
        </is>
      </c>
      <c r="D17" s="4" t="inlineStr">
        <is>
          <t>Passed on test</t>
        </is>
      </c>
      <c r="E17" s="4" t="inlineStr">
        <is>
          <t>Passed on test</t>
        </is>
      </c>
      <c r="F17" s="4" t="inlineStr">
        <is>
          <t>Passed on test</t>
        </is>
      </c>
      <c r="G17" s="4" t="inlineStr">
        <is>
          <t>Passed on test</t>
        </is>
      </c>
      <c r="H17" s="4" t="inlineStr">
        <is>
          <t>Passed on test</t>
        </is>
      </c>
      <c r="I17" s="4" t="inlineStr">
        <is>
          <t>Passed on test</t>
        </is>
      </c>
      <c r="J17" s="4" t="inlineStr">
        <is>
          <t>Passed on test</t>
        </is>
      </c>
      <c r="K17" s="4" t="inlineStr">
        <is>
          <t>Passed on test</t>
        </is>
      </c>
      <c r="L17" s="4" t="inlineStr">
        <is>
          <t>Passed on test</t>
        </is>
      </c>
      <c r="M17" s="4" t="inlineStr">
        <is>
          <t>Passed on test</t>
        </is>
      </c>
      <c r="N17" s="3" t="inlineStr">
        <is>
          <t>NOT_TESTED</t>
        </is>
      </c>
      <c r="O17" s="3" t="inlineStr">
        <is>
          <t>NOT_TESTED</t>
        </is>
      </c>
      <c r="P17" s="3" t="inlineStr">
        <is>
          <t>NOT_TESTED</t>
        </is>
      </c>
      <c r="Q17" s="3" t="inlineStr">
        <is>
          <t>NOT_TESTED</t>
        </is>
      </c>
      <c r="R17" s="3" t="inlineStr">
        <is>
          <t>NOT_TESTED</t>
        </is>
      </c>
      <c r="S17" s="3" t="inlineStr">
        <is>
          <t>NOT_TESTED</t>
        </is>
      </c>
      <c r="T17" s="3" t="inlineStr">
        <is>
          <t>NOT_TESTED</t>
        </is>
      </c>
      <c r="U17" s="3" t="inlineStr">
        <is>
          <t>NOT_TESTED</t>
        </is>
      </c>
      <c r="V17" s="3" t="inlineStr">
        <is>
          <t>NOT_TESTED</t>
        </is>
      </c>
      <c r="W17" s="3" t="inlineStr">
        <is>
          <t>NOT_TESTED</t>
        </is>
      </c>
      <c r="X17" s="3" t="inlineStr">
        <is>
          <t>NOT_TESTED</t>
        </is>
      </c>
      <c r="Y17" s="3" t="inlineStr">
        <is>
          <t>NOT_TESTED</t>
        </is>
      </c>
      <c r="Z17" s="3" t="inlineStr">
        <is>
          <t>NOT_TESTED</t>
        </is>
      </c>
      <c r="AA17" s="3" t="inlineStr">
        <is>
          <t>NOT_TESTED</t>
        </is>
      </c>
      <c r="AB17" s="3" t="inlineStr">
        <is>
          <t>NOT_TESTED</t>
        </is>
      </c>
      <c r="AC17" s="2" t="n"/>
      <c r="AD17" s="2" t="n"/>
      <c r="AE17" s="2" t="n"/>
      <c r="AF17" s="2" t="n"/>
      <c r="AG17" s="2" t="n"/>
      <c r="AH17" s="2" t="n"/>
      <c r="AI17" s="2" t="n"/>
      <c r="AJ17" s="2" t="n"/>
      <c r="AK17" s="2" t="n"/>
      <c r="AL17" s="2" t="n"/>
      <c r="AM17" s="2" t="n"/>
      <c r="AN17" s="2" t="n"/>
      <c r="AO17" s="2" t="n"/>
      <c r="AP17" s="2" t="n"/>
      <c r="AQ17" s="2" t="n"/>
      <c r="AR17" s="2" t="n"/>
      <c r="AS17" s="2" t="n"/>
      <c r="AT17" s="2" t="n"/>
      <c r="AU17" s="2" t="n"/>
      <c r="AV17" s="2"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2" t="n"/>
      <c r="CS17" s="2" t="n"/>
      <c r="CT17" s="2" t="n"/>
      <c r="CU17" s="2" t="n"/>
      <c r="CV17" s="2" t="n"/>
      <c r="CW17" s="2" t="n"/>
      <c r="CX17" s="2" t="n"/>
      <c r="CY17" s="2" t="n"/>
      <c r="CZ17" s="2" t="n"/>
      <c r="DA17" s="2" t="n"/>
      <c r="DB17" s="2" t="n"/>
      <c r="DC17" s="2" t="n"/>
      <c r="DD17" s="2" t="n"/>
      <c r="DE17" s="2" t="n"/>
    </row>
    <row r="18">
      <c r="A18" s="2" t="inlineStr">
        <is>
          <t>issue_280</t>
        </is>
      </c>
      <c r="B18" s="4" t="inlineStr">
        <is>
          <t>Passed on test</t>
        </is>
      </c>
      <c r="C18" s="4" t="inlineStr">
        <is>
          <t>Passed on test</t>
        </is>
      </c>
      <c r="D18" s="4" t="inlineStr">
        <is>
          <t>Passed on test</t>
        </is>
      </c>
      <c r="E18" s="4" t="inlineStr">
        <is>
          <t>Passed on test</t>
        </is>
      </c>
      <c r="F18" s="4" t="inlineStr">
        <is>
          <t>Passed on test</t>
        </is>
      </c>
      <c r="G18" s="4" t="inlineStr">
        <is>
          <t>Passed on test</t>
        </is>
      </c>
      <c r="H18" s="4" t="inlineStr">
        <is>
          <t>Passed on test</t>
        </is>
      </c>
      <c r="I18" s="4" t="inlineStr">
        <is>
          <t>Passed on test</t>
        </is>
      </c>
      <c r="J18" s="4" t="inlineStr">
        <is>
          <t>Passed on test</t>
        </is>
      </c>
      <c r="K18" s="4" t="inlineStr">
        <is>
          <t>Passed on test</t>
        </is>
      </c>
      <c r="L18" s="4" t="inlineStr">
        <is>
          <t>Passed on test</t>
        </is>
      </c>
      <c r="M18" s="4" t="inlineStr">
        <is>
          <t>Passed on test</t>
        </is>
      </c>
      <c r="N18" s="3" t="inlineStr">
        <is>
          <t>NOT_TESTED</t>
        </is>
      </c>
      <c r="O18" s="3" t="inlineStr">
        <is>
          <t>NOT_TESTED</t>
        </is>
      </c>
      <c r="P18" s="3" t="inlineStr">
        <is>
          <t>NOT_TESTED</t>
        </is>
      </c>
      <c r="Q18" s="3" t="inlineStr">
        <is>
          <t>NOT_TESTED</t>
        </is>
      </c>
      <c r="R18" s="3" t="inlineStr">
        <is>
          <t>NOT_TESTED</t>
        </is>
      </c>
      <c r="S18" s="3" t="inlineStr">
        <is>
          <t>NOT_TESTED</t>
        </is>
      </c>
      <c r="T18" s="3" t="inlineStr">
        <is>
          <t>NOT_TESTED</t>
        </is>
      </c>
      <c r="U18" s="3" t="inlineStr">
        <is>
          <t>NOT_TESTED</t>
        </is>
      </c>
      <c r="V18" s="3" t="inlineStr">
        <is>
          <t>NOT_TESTED</t>
        </is>
      </c>
      <c r="W18" s="3" t="inlineStr">
        <is>
          <t>NOT_TESTED</t>
        </is>
      </c>
      <c r="X18" s="3" t="inlineStr">
        <is>
          <t>NOT_TESTED</t>
        </is>
      </c>
      <c r="Y18" s="3" t="inlineStr">
        <is>
          <t>NOT_TESTED</t>
        </is>
      </c>
      <c r="Z18" s="3" t="inlineStr">
        <is>
          <t>NOT_TESTED</t>
        </is>
      </c>
      <c r="AA18" s="3" t="inlineStr">
        <is>
          <t>NOT_TESTED</t>
        </is>
      </c>
      <c r="AB18" s="3" t="inlineStr">
        <is>
          <t>NOT_TESTED</t>
        </is>
      </c>
      <c r="AC18" s="2" t="n"/>
      <c r="AD18" s="2" t="n"/>
      <c r="AE18" s="2" t="n"/>
      <c r="AF18" s="2" t="n"/>
      <c r="AG18" s="2" t="n"/>
      <c r="AH18" s="2" t="n"/>
      <c r="AI18" s="2" t="n"/>
      <c r="AJ18" s="2" t="n"/>
      <c r="AK18" s="2" t="n"/>
      <c r="AL18" s="2" t="n"/>
      <c r="AM18" s="2" t="n"/>
      <c r="AN18" s="2" t="n"/>
      <c r="AO18" s="2" t="n"/>
      <c r="AP18" s="2" t="n"/>
      <c r="AQ18" s="2" t="n"/>
      <c r="AR18" s="2" t="n"/>
      <c r="AS18" s="2" t="n"/>
      <c r="AT18" s="2" t="n"/>
      <c r="AU18" s="2" t="n"/>
      <c r="AV18" s="2"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2" t="n"/>
      <c r="CS18" s="2" t="n"/>
      <c r="CT18" s="2" t="n"/>
      <c r="CU18" s="2" t="n"/>
      <c r="CV18" s="2" t="n"/>
      <c r="CW18" s="2" t="n"/>
      <c r="CX18" s="2" t="n"/>
      <c r="CY18" s="2" t="n"/>
      <c r="CZ18" s="2" t="n"/>
      <c r="DA18" s="2" t="n"/>
      <c r="DB18" s="2" t="n"/>
      <c r="DC18" s="2" t="n"/>
      <c r="DD18" s="2" t="n"/>
      <c r="DE18" s="2" t="n"/>
    </row>
    <row r="19">
      <c r="A19" s="2" t="inlineStr">
        <is>
          <t>issue_295</t>
        </is>
      </c>
      <c r="B19" s="3" t="inlineStr">
        <is>
          <t>NOT_TESTED</t>
        </is>
      </c>
      <c r="C19" s="3" t="inlineStr">
        <is>
          <t>NOT_TESTED</t>
        </is>
      </c>
      <c r="D19" s="3" t="inlineStr">
        <is>
          <t>NOT_TESTED</t>
        </is>
      </c>
      <c r="E19" s="3" t="inlineStr">
        <is>
          <t>NOT_TESTED</t>
        </is>
      </c>
      <c r="F19" s="4" t="inlineStr">
        <is>
          <t>Passed on test</t>
        </is>
      </c>
      <c r="G19" s="4" t="inlineStr">
        <is>
          <t>Passed on test</t>
        </is>
      </c>
      <c r="H19" s="4" t="inlineStr">
        <is>
          <t>Passed on test</t>
        </is>
      </c>
      <c r="I19" s="4" t="inlineStr">
        <is>
          <t>Passed on test</t>
        </is>
      </c>
      <c r="J19" s="4" t="inlineStr">
        <is>
          <t>Passed on test</t>
        </is>
      </c>
      <c r="K19" s="4" t="inlineStr">
        <is>
          <t>Passed on test</t>
        </is>
      </c>
      <c r="L19" s="4" t="inlineStr">
        <is>
          <t>Passed on test</t>
        </is>
      </c>
      <c r="M19" s="4" t="inlineStr">
        <is>
          <t>Passed on test</t>
        </is>
      </c>
      <c r="N19" s="3" t="inlineStr">
        <is>
          <t>NOT_TESTED</t>
        </is>
      </c>
      <c r="O19" s="3" t="inlineStr">
        <is>
          <t>NOT_TESTED</t>
        </is>
      </c>
      <c r="P19" s="3" t="inlineStr">
        <is>
          <t>NOT_TESTED</t>
        </is>
      </c>
      <c r="Q19" s="3" t="inlineStr">
        <is>
          <t>NOT_TESTED</t>
        </is>
      </c>
      <c r="R19" s="3" t="inlineStr">
        <is>
          <t>NOT_TESTED</t>
        </is>
      </c>
      <c r="S19" s="3" t="inlineStr">
        <is>
          <t>NOT_TESTED</t>
        </is>
      </c>
      <c r="T19" s="3" t="inlineStr">
        <is>
          <t>NOT_TESTED</t>
        </is>
      </c>
      <c r="U19" s="3" t="inlineStr">
        <is>
          <t>NOT_TESTED</t>
        </is>
      </c>
      <c r="V19" s="3" t="inlineStr">
        <is>
          <t>NOT_TESTED</t>
        </is>
      </c>
      <c r="W19" s="3" t="inlineStr">
        <is>
          <t>NOT_TESTED</t>
        </is>
      </c>
      <c r="X19" s="3" t="inlineStr">
        <is>
          <t>NOT_TESTED</t>
        </is>
      </c>
      <c r="Y19" s="3" t="inlineStr">
        <is>
          <t>NOT_TESTED</t>
        </is>
      </c>
      <c r="Z19" s="3" t="inlineStr">
        <is>
          <t>NOT_TESTED</t>
        </is>
      </c>
      <c r="AA19" s="3" t="inlineStr">
        <is>
          <t>NOT_TESTED</t>
        </is>
      </c>
      <c r="AB19" s="3" t="inlineStr">
        <is>
          <t>NOT_TESTED</t>
        </is>
      </c>
      <c r="AC19" s="2" t="n"/>
      <c r="AD19" s="2" t="n"/>
      <c r="AE19" s="2" t="n"/>
      <c r="AF19" s="2" t="n"/>
      <c r="AG19" s="2" t="n"/>
      <c r="AH19" s="2" t="n"/>
      <c r="AI19" s="2" t="n"/>
      <c r="AJ19" s="2" t="n"/>
      <c r="AK19" s="2" t="n"/>
      <c r="AL19" s="2" t="n"/>
      <c r="AM19" s="2" t="n"/>
      <c r="AN19" s="2" t="n"/>
      <c r="AO19" s="2" t="n"/>
      <c r="AP19" s="2" t="n"/>
      <c r="AQ19" s="2"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2" t="n"/>
      <c r="CN19" s="2" t="n"/>
      <c r="CO19" s="2" t="n"/>
      <c r="CP19" s="2" t="n"/>
      <c r="CQ19" s="2" t="n"/>
      <c r="CR19" s="2" t="n"/>
      <c r="CS19" s="2" t="n"/>
      <c r="CT19" s="2" t="n"/>
      <c r="CU19" s="2" t="n"/>
      <c r="CV19" s="2" t="n"/>
      <c r="CW19" s="2" t="n"/>
      <c r="CX19" s="2" t="n"/>
      <c r="CY19" s="2" t="n"/>
      <c r="CZ19" s="2" t="n"/>
      <c r="DA19" s="2" t="n"/>
      <c r="DB19" s="2" t="n"/>
      <c r="DC19" s="2" t="n"/>
      <c r="DD19" s="2" t="n"/>
      <c r="DE19" s="2" t="n"/>
    </row>
    <row r="20">
      <c r="A20" s="2" t="inlineStr">
        <is>
          <t>issue_315</t>
        </is>
      </c>
      <c r="B20" s="3" t="inlineStr">
        <is>
          <t>NOT_TESTED</t>
        </is>
      </c>
      <c r="C20" s="3" t="inlineStr">
        <is>
          <t>NOT_TESTED</t>
        </is>
      </c>
      <c r="D20" s="3" t="inlineStr">
        <is>
          <t>NOT_TESTED</t>
        </is>
      </c>
      <c r="E20" s="3" t="inlineStr">
        <is>
          <t>NOT_TESTED</t>
        </is>
      </c>
      <c r="F20" s="6" t="inlineStr">
        <is>
          <t>Runtime error</t>
        </is>
      </c>
      <c r="G20" s="6" t="inlineStr">
        <is>
          <t>Runtime error</t>
        </is>
      </c>
      <c r="H20" s="6" t="inlineStr">
        <is>
          <t>Runtime error</t>
        </is>
      </c>
      <c r="I20" s="6" t="inlineStr">
        <is>
          <t>Runtime error</t>
        </is>
      </c>
      <c r="J20" s="6" t="inlineStr">
        <is>
          <t>Runtime error</t>
        </is>
      </c>
      <c r="K20" s="6" t="inlineStr">
        <is>
          <t>Runtime error</t>
        </is>
      </c>
      <c r="L20" s="6" t="inlineStr">
        <is>
          <t>Runtime error</t>
        </is>
      </c>
      <c r="M20" s="6" t="inlineStr">
        <is>
          <t>Runtime error</t>
        </is>
      </c>
      <c r="N20" s="6" t="inlineStr">
        <is>
          <t>Runtime error</t>
        </is>
      </c>
      <c r="O20" s="6" t="inlineStr">
        <is>
          <t>Runtime error</t>
        </is>
      </c>
      <c r="P20" s="6" t="inlineStr">
        <is>
          <t>Runtime error</t>
        </is>
      </c>
      <c r="Q20" s="6" t="inlineStr">
        <is>
          <t>Runtime error</t>
        </is>
      </c>
      <c r="R20" s="6" t="inlineStr">
        <is>
          <t>Runtime error</t>
        </is>
      </c>
      <c r="S20" s="6" t="inlineStr">
        <is>
          <t>Runtime error</t>
        </is>
      </c>
      <c r="T20" s="6" t="inlineStr">
        <is>
          <t>Runtime error</t>
        </is>
      </c>
      <c r="U20" s="6" t="inlineStr">
        <is>
          <t>Runtime error</t>
        </is>
      </c>
      <c r="V20" s="6" t="inlineStr">
        <is>
          <t>Runtime error</t>
        </is>
      </c>
      <c r="W20" s="6" t="inlineStr">
        <is>
          <t>Runtime error</t>
        </is>
      </c>
      <c r="X20" s="6" t="inlineStr">
        <is>
          <t>Runtime error</t>
        </is>
      </c>
      <c r="Y20" s="6" t="inlineStr">
        <is>
          <t>Runtime error</t>
        </is>
      </c>
      <c r="Z20" s="6" t="inlineStr">
        <is>
          <t>Runtime error</t>
        </is>
      </c>
      <c r="AA20" s="6" t="inlineStr">
        <is>
          <t>Runtime error</t>
        </is>
      </c>
      <c r="AB20" s="6" t="inlineStr">
        <is>
          <t>Runtime error</t>
        </is>
      </c>
      <c r="AC20" s="2" t="n"/>
      <c r="AD20" s="2" t="n"/>
      <c r="AE20" s="2" t="n"/>
      <c r="AF20" s="2" t="n"/>
      <c r="AG20" s="2" t="n"/>
      <c r="AH20" s="2" t="n"/>
      <c r="AI20" s="2" t="n"/>
      <c r="AJ20" s="2" t="n"/>
      <c r="AK20" s="2" t="n"/>
      <c r="AL20" s="2" t="n"/>
      <c r="AM20" s="2" t="n"/>
      <c r="AN20" s="2" t="n"/>
      <c r="AO20" s="2" t="inlineStr">
        <is>
          <t>ModuleNotFoundError</t>
        </is>
      </c>
      <c r="AP20" s="2" t="inlineStr">
        <is>
          <t>ModuleNotFoundError: No module named 'qiskit.providers.basic_provider'</t>
        </is>
      </c>
      <c r="AQ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AR20" s="2" t="inlineStr">
        <is>
          <t>ModuleNotFoundError</t>
        </is>
      </c>
      <c r="AS20" s="2" t="inlineStr">
        <is>
          <t>ModuleNotFoundError: No module named 'qiskit.providers.basic_provider'</t>
        </is>
      </c>
      <c r="AT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AU20" s="2" t="inlineStr">
        <is>
          <t>ModuleNotFoundError</t>
        </is>
      </c>
      <c r="AV20" s="2" t="inlineStr">
        <is>
          <t>ModuleNotFoundError: No module named 'qiskit.providers.basic_provider'</t>
        </is>
      </c>
      <c r="AW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AX20" s="2" t="inlineStr">
        <is>
          <t>ModuleNotFoundError</t>
        </is>
      </c>
      <c r="AY20" s="2" t="inlineStr">
        <is>
          <t>ModuleNotFoundError: No module named 'qiskit.providers.basic_provider'</t>
        </is>
      </c>
      <c r="AZ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BA20" s="2" t="inlineStr">
        <is>
          <t>KeyError</t>
        </is>
      </c>
      <c r="BB20" s="2" t="inlineStr">
        <is>
          <t>KeyError: 'max_parallel_threads'; AttributeError: Option max_parallel_threads is not defined</t>
        </is>
      </c>
      <c r="BC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BD20" s="2" t="inlineStr">
        <is>
          <t>KeyError</t>
        </is>
      </c>
      <c r="BE20" s="2" t="inlineStr">
        <is>
          <t>KeyError: 'max_parallel_threads'; AttributeError: Option max_parallel_threads is not defined</t>
        </is>
      </c>
      <c r="BF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BG20" s="2" t="inlineStr">
        <is>
          <t>KeyError</t>
        </is>
      </c>
      <c r="BH20" s="2" t="inlineStr">
        <is>
          <t>KeyError: 'max_parallel_threads'; AttributeError: Option max_parallel_threads is not defined</t>
        </is>
      </c>
      <c r="BI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BJ20" s="2" t="inlineStr">
        <is>
          <t>KeyError</t>
        </is>
      </c>
      <c r="BK20" s="2" t="inlineStr">
        <is>
          <t>KeyError: 'max_parallel_threads'; AttributeError: Option max_parallel_threads is not defined</t>
        </is>
      </c>
      <c r="BL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BM20" s="2" t="inlineStr">
        <is>
          <t>KeyError</t>
        </is>
      </c>
      <c r="BN20" s="2" t="inlineStr">
        <is>
          <t>KeyError: 'max_parallel_threads'; AttributeError: Option max_parallel_threads is not defined</t>
        </is>
      </c>
      <c r="BO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BP20" s="2" t="inlineStr">
        <is>
          <t>KeyError</t>
        </is>
      </c>
      <c r="BQ20" s="2" t="inlineStr">
        <is>
          <t>KeyError: 'max_parallel_threads'; AttributeError: Option max_parallel_threads is not defined</t>
        </is>
      </c>
      <c r="BR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BS20" s="2" t="inlineStr">
        <is>
          <t>KeyError</t>
        </is>
      </c>
      <c r="BT20" s="2" t="inlineStr">
        <is>
          <t>KeyError: 'max_parallel_threads'; AttributeError: Option max_parallel_threads is not defined</t>
        </is>
      </c>
      <c r="BU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BV20" s="2" t="inlineStr">
        <is>
          <t>KeyError</t>
        </is>
      </c>
      <c r="BW20" s="2" t="inlineStr">
        <is>
          <t>KeyError: 'max_parallel_threads'; AttributeError: Option max_parallel_threads is not defined</t>
        </is>
      </c>
      <c r="BX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BY20" s="2" t="inlineStr">
        <is>
          <t>KeyError</t>
        </is>
      </c>
      <c r="BZ20" s="2" t="inlineStr">
        <is>
          <t>KeyError: 'max_parallel_threads'; AttributeError: Option max_parallel_threads is not defined</t>
        </is>
      </c>
      <c r="CA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CB20" s="2" t="inlineStr">
        <is>
          <t>KeyError</t>
        </is>
      </c>
      <c r="CC20" s="2" t="inlineStr">
        <is>
          <t>KeyError: 'max_parallel_threads'; AttributeError: Option max_parallel_threads is not defined</t>
        </is>
      </c>
      <c r="CD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CE20" s="2" t="inlineStr">
        <is>
          <t>KeyError</t>
        </is>
      </c>
      <c r="CF20" s="2" t="inlineStr">
        <is>
          <t>KeyError: 'max_parallel_threads'; AttributeError: Option max_parallel_threads is not defined</t>
        </is>
      </c>
      <c r="CG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CH20" s="2" t="inlineStr">
        <is>
          <t>KeyError</t>
        </is>
      </c>
      <c r="CI20" s="2" t="inlineStr">
        <is>
          <t>KeyError: 'max_parallel_threads'; AttributeError: Option max_parallel_threads is not defined</t>
        </is>
      </c>
      <c r="CJ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CK20" s="2" t="inlineStr">
        <is>
          <t>KeyError</t>
        </is>
      </c>
      <c r="CL20" s="2" t="inlineStr">
        <is>
          <t>KeyError: 'max_parallel_threads'; AttributeError: Option max_parallel_threads is not defined</t>
        </is>
      </c>
      <c r="CM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CN20" s="2" t="inlineStr">
        <is>
          <t>KeyError</t>
        </is>
      </c>
      <c r="CO20" s="2" t="inlineStr">
        <is>
          <t>KeyError: 'max_parallel_threads'; AttributeError: Option max_parallel_threads is not defined</t>
        </is>
      </c>
      <c r="CP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CQ20" s="2" t="inlineStr">
        <is>
          <t>KeyError</t>
        </is>
      </c>
      <c r="CR20" s="2" t="inlineStr">
        <is>
          <t>KeyError: 'max_parallel_threads'; AttributeError: Option max_parallel_threads is not defined</t>
        </is>
      </c>
      <c r="CS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CT20" s="2" t="inlineStr">
        <is>
          <t>KeyError</t>
        </is>
      </c>
      <c r="CU20" s="2" t="inlineStr">
        <is>
          <t>KeyError: 'max_parallel_threads'; AttributeError: Option max_parallel_threads is not defined</t>
        </is>
      </c>
      <c r="CV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CW20" s="2" t="inlineStr">
        <is>
          <t>KeyError</t>
        </is>
      </c>
      <c r="CX20" s="2" t="inlineStr">
        <is>
          <t>KeyError: 'max_parallel_threads'; AttributeError: Option max_parallel_threads is not defined</t>
        </is>
      </c>
      <c r="CY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CZ20" s="2" t="inlineStr">
        <is>
          <t>KeyError</t>
        </is>
      </c>
      <c r="DA20" s="2" t="inlineStr">
        <is>
          <t>KeyError: 'max_parallel_threads'; AttributeError: Option max_parallel_threads is not defined</t>
        </is>
      </c>
      <c r="DB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DC20" s="2" t="inlineStr">
        <is>
          <t>KeyError</t>
        </is>
      </c>
      <c r="DD20" s="2" t="inlineStr">
        <is>
          <t>KeyError: 'max_parallel_threads'; AttributeError: Option max_parallel_threads is not defined</t>
        </is>
      </c>
      <c r="DE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row>
    <row r="21">
      <c r="A21" s="2" t="inlineStr">
        <is>
          <t>issue_344</t>
        </is>
      </c>
      <c r="B21" s="4" t="inlineStr">
        <is>
          <t>Passed on test</t>
        </is>
      </c>
      <c r="C21" s="4" t="inlineStr">
        <is>
          <t>Passed on test</t>
        </is>
      </c>
      <c r="D21" s="4" t="inlineStr">
        <is>
          <t>Passed on test</t>
        </is>
      </c>
      <c r="E21" s="4" t="inlineStr">
        <is>
          <t>Passed on test</t>
        </is>
      </c>
      <c r="F21" s="4" t="inlineStr">
        <is>
          <t>Passed on test</t>
        </is>
      </c>
      <c r="G21" s="4" t="inlineStr">
        <is>
          <t>Passed on test</t>
        </is>
      </c>
      <c r="H21" s="4" t="inlineStr">
        <is>
          <t>Passed on test</t>
        </is>
      </c>
      <c r="I21" s="4" t="inlineStr">
        <is>
          <t>Passed on test</t>
        </is>
      </c>
      <c r="J21" s="4" t="inlineStr">
        <is>
          <t>Passed on test</t>
        </is>
      </c>
      <c r="K21" s="4" t="inlineStr">
        <is>
          <t>Passed on test</t>
        </is>
      </c>
      <c r="L21" s="4" t="inlineStr">
        <is>
          <t>Passed on test</t>
        </is>
      </c>
      <c r="M21" s="4" t="inlineStr">
        <is>
          <t>Passed on test</t>
        </is>
      </c>
      <c r="N21" s="3" t="inlineStr">
        <is>
          <t>NOT_TESTED</t>
        </is>
      </c>
      <c r="O21" s="3" t="inlineStr">
        <is>
          <t>NOT_TESTED</t>
        </is>
      </c>
      <c r="P21" s="3" t="inlineStr">
        <is>
          <t>NOT_TESTED</t>
        </is>
      </c>
      <c r="Q21" s="3" t="inlineStr">
        <is>
          <t>NOT_TESTED</t>
        </is>
      </c>
      <c r="R21" s="3" t="inlineStr">
        <is>
          <t>NOT_TESTED</t>
        </is>
      </c>
      <c r="S21" s="3" t="inlineStr">
        <is>
          <t>NOT_TESTED</t>
        </is>
      </c>
      <c r="T21" s="3" t="inlineStr">
        <is>
          <t>NOT_TESTED</t>
        </is>
      </c>
      <c r="U21" s="3" t="inlineStr">
        <is>
          <t>NOT_TESTED</t>
        </is>
      </c>
      <c r="V21" s="3" t="inlineStr">
        <is>
          <t>NOT_TESTED</t>
        </is>
      </c>
      <c r="W21" s="3" t="inlineStr">
        <is>
          <t>NOT_TESTED</t>
        </is>
      </c>
      <c r="X21" s="3" t="inlineStr">
        <is>
          <t>NOT_TESTED</t>
        </is>
      </c>
      <c r="Y21" s="3" t="inlineStr">
        <is>
          <t>NOT_TESTED</t>
        </is>
      </c>
      <c r="Z21" s="3" t="inlineStr">
        <is>
          <t>NOT_TESTED</t>
        </is>
      </c>
      <c r="AA21" s="3" t="inlineStr">
        <is>
          <t>NOT_TESTED</t>
        </is>
      </c>
      <c r="AB21" s="3" t="inlineStr">
        <is>
          <t>NOT_TESTED</t>
        </is>
      </c>
      <c r="AC21" s="2" t="n"/>
      <c r="AD21" s="2" t="n"/>
      <c r="AE21" s="2" t="n"/>
      <c r="AF21" s="2" t="n"/>
      <c r="AG21" s="2" t="n"/>
      <c r="AH21" s="2" t="n"/>
      <c r="AI21" s="2" t="n"/>
      <c r="AJ21" s="2" t="n"/>
      <c r="AK21" s="2" t="n"/>
      <c r="AL21" s="2" t="n"/>
      <c r="AM21" s="2" t="n"/>
      <c r="AN21" s="2" t="n"/>
      <c r="AO21" s="2" t="n"/>
      <c r="AP21" s="2" t="n"/>
      <c r="AQ21" s="2" t="n"/>
      <c r="AR21" s="2"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2" t="n"/>
      <c r="CO21" s="2" t="n"/>
      <c r="CP21" s="2" t="n"/>
      <c r="CQ21" s="2" t="n"/>
      <c r="CR21" s="2" t="n"/>
      <c r="CS21" s="2" t="n"/>
      <c r="CT21" s="2" t="n"/>
      <c r="CU21" s="2" t="n"/>
      <c r="CV21" s="2" t="n"/>
      <c r="CW21" s="2" t="n"/>
      <c r="CX21" s="2" t="n"/>
      <c r="CY21" s="2" t="n"/>
      <c r="CZ21" s="2" t="n"/>
      <c r="DA21" s="2" t="n"/>
      <c r="DB21" s="2" t="n"/>
      <c r="DC21" s="2" t="n"/>
      <c r="DD21" s="2" t="n"/>
      <c r="DE21" s="2" t="n"/>
    </row>
    <row r="22">
      <c r="A22" s="2" t="inlineStr">
        <is>
          <t>issue_362</t>
        </is>
      </c>
      <c r="B22" s="3" t="inlineStr">
        <is>
          <t>NOT_TESTED</t>
        </is>
      </c>
      <c r="C22" s="3" t="inlineStr">
        <is>
          <t>NOT_TESTED</t>
        </is>
      </c>
      <c r="D22" s="3" t="inlineStr">
        <is>
          <t>NOT_TESTED</t>
        </is>
      </c>
      <c r="E22" s="3" t="inlineStr">
        <is>
          <t>NOT_TESTED</t>
        </is>
      </c>
      <c r="F22" s="4" t="inlineStr">
        <is>
          <t>Passed on test</t>
        </is>
      </c>
      <c r="G22" s="4" t="inlineStr">
        <is>
          <t>Passed on test</t>
        </is>
      </c>
      <c r="H22" s="4" t="inlineStr">
        <is>
          <t>Passed on test</t>
        </is>
      </c>
      <c r="I22" s="4" t="inlineStr">
        <is>
          <t>Passed on test</t>
        </is>
      </c>
      <c r="J22" s="4" t="inlineStr">
        <is>
          <t>Passed on test</t>
        </is>
      </c>
      <c r="K22" s="4" t="inlineStr">
        <is>
          <t>Passed on test</t>
        </is>
      </c>
      <c r="L22" s="4" t="inlineStr">
        <is>
          <t>Passed on test</t>
        </is>
      </c>
      <c r="M22" s="4" t="inlineStr">
        <is>
          <t>Passed on test</t>
        </is>
      </c>
      <c r="N22" s="4" t="inlineStr">
        <is>
          <t>Passed on test</t>
        </is>
      </c>
      <c r="O22" s="4" t="inlineStr">
        <is>
          <t>Passed on test</t>
        </is>
      </c>
      <c r="P22" s="4" t="inlineStr">
        <is>
          <t>Passed on test</t>
        </is>
      </c>
      <c r="Q22" s="4" t="inlineStr">
        <is>
          <t>Passed on test</t>
        </is>
      </c>
      <c r="R22" s="4" t="inlineStr">
        <is>
          <t>Passed on test</t>
        </is>
      </c>
      <c r="S22" s="4" t="inlineStr">
        <is>
          <t>Passed on test</t>
        </is>
      </c>
      <c r="T22" s="4" t="inlineStr">
        <is>
          <t>Passed on test</t>
        </is>
      </c>
      <c r="U22" s="4" t="inlineStr">
        <is>
          <t>Passed on test</t>
        </is>
      </c>
      <c r="V22" s="4" t="inlineStr">
        <is>
          <t>Passed on test</t>
        </is>
      </c>
      <c r="W22" s="4" t="inlineStr">
        <is>
          <t>Passed on test</t>
        </is>
      </c>
      <c r="X22" s="4" t="inlineStr">
        <is>
          <t>Passed on test</t>
        </is>
      </c>
      <c r="Y22" s="4" t="inlineStr">
        <is>
          <t>Passed on test</t>
        </is>
      </c>
      <c r="Z22" s="4" t="inlineStr">
        <is>
          <t>Passed on test</t>
        </is>
      </c>
      <c r="AA22" s="4" t="inlineStr">
        <is>
          <t>Passed on test</t>
        </is>
      </c>
      <c r="AB22" s="4" t="inlineStr">
        <is>
          <t>Passed on test</t>
        </is>
      </c>
      <c r="AC22" s="2" t="n"/>
      <c r="AD22" s="2"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2" t="n"/>
      <c r="CO22" s="2" t="n"/>
      <c r="CP22" s="2" t="n"/>
      <c r="CQ22" s="2" t="n"/>
      <c r="CR22" s="2" t="n"/>
      <c r="CS22" s="2" t="n"/>
      <c r="CT22" s="2" t="n"/>
      <c r="CU22" s="2" t="n"/>
      <c r="CV22" s="2" t="n"/>
      <c r="CW22" s="2" t="n"/>
      <c r="CX22" s="2" t="n"/>
      <c r="CY22" s="2" t="n"/>
      <c r="CZ22" s="2" t="n"/>
      <c r="DA22" s="2" t="n"/>
      <c r="DB22" s="2" t="n"/>
      <c r="DC22" s="2" t="n"/>
      <c r="DD22" s="2" t="n"/>
      <c r="DE22" s="2" t="n"/>
    </row>
    <row r="23">
      <c r="A23" s="2" t="inlineStr">
        <is>
          <t>issue_369</t>
        </is>
      </c>
      <c r="B23" s="4" t="inlineStr">
        <is>
          <t>Passed on test</t>
        </is>
      </c>
      <c r="C23" s="4" t="inlineStr">
        <is>
          <t>Passed on test</t>
        </is>
      </c>
      <c r="D23" s="4" t="inlineStr">
        <is>
          <t>Passed on test</t>
        </is>
      </c>
      <c r="E23" s="4" t="inlineStr">
        <is>
          <t>Passed on test</t>
        </is>
      </c>
      <c r="F23" s="4" t="inlineStr">
        <is>
          <t>Passed on test</t>
        </is>
      </c>
      <c r="G23" s="4" t="inlineStr">
        <is>
          <t>Passed on test</t>
        </is>
      </c>
      <c r="H23" s="4" t="inlineStr">
        <is>
          <t>Passed on test</t>
        </is>
      </c>
      <c r="I23" s="4" t="inlineStr">
        <is>
          <t>Passed on test</t>
        </is>
      </c>
      <c r="J23" s="4" t="inlineStr">
        <is>
          <t>Passed on test</t>
        </is>
      </c>
      <c r="K23" s="4" t="inlineStr">
        <is>
          <t>Passed on test</t>
        </is>
      </c>
      <c r="L23" s="4" t="inlineStr">
        <is>
          <t>Passed on test</t>
        </is>
      </c>
      <c r="M23" s="4" t="inlineStr">
        <is>
          <t>Passed on test</t>
        </is>
      </c>
      <c r="N23" s="4" t="inlineStr">
        <is>
          <t>Passed on test</t>
        </is>
      </c>
      <c r="O23" s="4" t="inlineStr">
        <is>
          <t>Passed on test</t>
        </is>
      </c>
      <c r="P23" s="4" t="inlineStr">
        <is>
          <t>Passed on test</t>
        </is>
      </c>
      <c r="Q23" s="4" t="inlineStr">
        <is>
          <t>Passed on test</t>
        </is>
      </c>
      <c r="R23" s="4" t="inlineStr">
        <is>
          <t>Passed on test</t>
        </is>
      </c>
      <c r="S23" s="4" t="inlineStr">
        <is>
          <t>Passed on test</t>
        </is>
      </c>
      <c r="T23" s="4" t="inlineStr">
        <is>
          <t>Passed on test</t>
        </is>
      </c>
      <c r="U23" s="4" t="inlineStr">
        <is>
          <t>Passed on test</t>
        </is>
      </c>
      <c r="V23" s="4" t="inlineStr">
        <is>
          <t>Passed on test</t>
        </is>
      </c>
      <c r="W23" s="4" t="inlineStr">
        <is>
          <t>Passed on test</t>
        </is>
      </c>
      <c r="X23" s="4" t="inlineStr">
        <is>
          <t>Passed on test</t>
        </is>
      </c>
      <c r="Y23" s="4" t="inlineStr">
        <is>
          <t>Passed on test</t>
        </is>
      </c>
      <c r="Z23" s="4" t="inlineStr">
        <is>
          <t>Passed on test</t>
        </is>
      </c>
      <c r="AA23" s="4" t="inlineStr">
        <is>
          <t>Passed on test</t>
        </is>
      </c>
      <c r="AB23" s="4" t="inlineStr">
        <is>
          <t>Passed on test</t>
        </is>
      </c>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c r="CW23" s="2" t="n"/>
      <c r="CX23" s="2" t="n"/>
      <c r="CY23" s="2" t="n"/>
      <c r="CZ23" s="2" t="n"/>
      <c r="DA23" s="2" t="n"/>
      <c r="DB23" s="2" t="n"/>
      <c r="DC23" s="2" t="n"/>
      <c r="DD23" s="2" t="n"/>
      <c r="DE23" s="2" t="n"/>
    </row>
    <row r="24">
      <c r="A24" s="2" t="inlineStr">
        <is>
          <t>issue_396</t>
        </is>
      </c>
      <c r="B24" s="6" t="inlineStr">
        <is>
          <t>Runtime error</t>
        </is>
      </c>
      <c r="C24" s="6" t="inlineStr">
        <is>
          <t>Runtime error</t>
        </is>
      </c>
      <c r="D24" s="6" t="inlineStr">
        <is>
          <t>Runtime error</t>
        </is>
      </c>
      <c r="E24" s="6" t="inlineStr">
        <is>
          <t>Runtime error</t>
        </is>
      </c>
      <c r="F24" s="5" t="inlineStr">
        <is>
          <t>Failed on test</t>
        </is>
      </c>
      <c r="G24" s="5" t="inlineStr">
        <is>
          <t>Failed on test</t>
        </is>
      </c>
      <c r="H24" s="5" t="inlineStr">
        <is>
          <t>Failed on test</t>
        </is>
      </c>
      <c r="I24" s="5" t="inlineStr">
        <is>
          <t>Failed on test</t>
        </is>
      </c>
      <c r="J24" s="5" t="inlineStr">
        <is>
          <t>Failed on test</t>
        </is>
      </c>
      <c r="K24" s="5" t="inlineStr">
        <is>
          <t>Failed on test</t>
        </is>
      </c>
      <c r="L24" s="5" t="inlineStr">
        <is>
          <t>Failed on test</t>
        </is>
      </c>
      <c r="M24" s="5" t="inlineStr">
        <is>
          <t>Failed on test</t>
        </is>
      </c>
      <c r="N24" s="5" t="inlineStr">
        <is>
          <t>Failed on test</t>
        </is>
      </c>
      <c r="O24" s="5" t="inlineStr">
        <is>
          <t>Failed on test</t>
        </is>
      </c>
      <c r="P24" s="5" t="inlineStr">
        <is>
          <t>Failed on test</t>
        </is>
      </c>
      <c r="Q24" s="5" t="inlineStr">
        <is>
          <t>Failed on test</t>
        </is>
      </c>
      <c r="R24" s="5" t="inlineStr">
        <is>
          <t>Failed on test</t>
        </is>
      </c>
      <c r="S24" s="5" t="inlineStr">
        <is>
          <t>Failed on test</t>
        </is>
      </c>
      <c r="T24" s="5" t="inlineStr">
        <is>
          <t>Failed on test</t>
        </is>
      </c>
      <c r="U24" s="5" t="inlineStr">
        <is>
          <t>Failed on test</t>
        </is>
      </c>
      <c r="V24" s="5" t="inlineStr">
        <is>
          <t>Failed on test</t>
        </is>
      </c>
      <c r="W24" s="5" t="inlineStr">
        <is>
          <t>Failed on test</t>
        </is>
      </c>
      <c r="X24" s="5" t="inlineStr">
        <is>
          <t>Failed on test</t>
        </is>
      </c>
      <c r="Y24" s="5" t="inlineStr">
        <is>
          <t>Failed on test</t>
        </is>
      </c>
      <c r="Z24" s="5" t="inlineStr">
        <is>
          <t>Failed on test</t>
        </is>
      </c>
      <c r="AA24" s="5" t="inlineStr">
        <is>
          <t>Failed on test</t>
        </is>
      </c>
      <c r="AB24" s="5" t="inlineStr">
        <is>
          <t>Failed on test</t>
        </is>
      </c>
      <c r="AC24" s="2" t="inlineStr">
        <is>
          <t>ImportError</t>
        </is>
      </c>
      <c r="AD24" s="2" t="inlineStr">
        <is>
          <t>ImportError: cannot import name 'DiagonalGate' from 'qiskit.circuit.library' (C:\qiskit_envs\q0250\lib\site-packages\qiskit\circuit\library\__init__.py)</t>
        </is>
      </c>
      <c r="AE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AF24" s="2" t="inlineStr">
        <is>
          <t>ImportError</t>
        </is>
      </c>
      <c r="AG24" s="2" t="inlineStr">
        <is>
          <t>ImportError: cannot import name 'DiagonalGate' from 'qiskit.circuit.library' (C:\qiskit_envs\q0251\lib\site-packages\qiskit\circuit\library\__init__.py)</t>
        </is>
      </c>
      <c r="AH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AI24" s="2" t="inlineStr">
        <is>
          <t>ImportError</t>
        </is>
      </c>
      <c r="AJ24" s="2" t="inlineStr">
        <is>
          <t>ImportError: cannot import name 'DiagonalGate' from 'qiskit.circuit.library' (C:\qiskit_envs\q0252\lib\site-packages\qiskit\circuit\library\__init__.py)</t>
        </is>
      </c>
      <c r="AK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AL24" s="2" t="inlineStr">
        <is>
          <t>ImportError</t>
        </is>
      </c>
      <c r="AM24" s="2" t="inlineStr">
        <is>
          <t>ImportError: cannot import name 'DiagonalGate' from 'qiskit.circuit.library' (C:\qiskit_envs\q0253\lib\site-packages\qiskit\circuit\library\__init__.py)</t>
        </is>
      </c>
      <c r="AN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AO24" s="2" t="inlineStr">
        <is>
          <t>AssertionError</t>
        </is>
      </c>
      <c r="AP24" s="2" t="inlineStr">
        <is>
          <t>AssertionError:</t>
        </is>
      </c>
      <c r="AQ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AR24" s="2" t="inlineStr">
        <is>
          <t>AssertionError</t>
        </is>
      </c>
      <c r="AS24" s="2" t="inlineStr">
        <is>
          <t>AssertionError:</t>
        </is>
      </c>
      <c r="AT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AU24" s="2" t="inlineStr">
        <is>
          <t>AssertionError</t>
        </is>
      </c>
      <c r="AV24" s="2" t="inlineStr">
        <is>
          <t>AssertionError:</t>
        </is>
      </c>
      <c r="AW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AX24" s="2" t="inlineStr">
        <is>
          <t>AssertionError</t>
        </is>
      </c>
      <c r="AY24" s="2" t="inlineStr">
        <is>
          <t>AssertionError:</t>
        </is>
      </c>
      <c r="AZ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BA24" s="2" t="inlineStr">
        <is>
          <t>AssertionError</t>
        </is>
      </c>
      <c r="BB24" s="2" t="inlineStr">
        <is>
          <t>AssertionError:</t>
        </is>
      </c>
      <c r="BC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BD24" s="2" t="inlineStr">
        <is>
          <t>AssertionError</t>
        </is>
      </c>
      <c r="BE24" s="2" t="inlineStr">
        <is>
          <t>AssertionError:</t>
        </is>
      </c>
      <c r="BF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BG24" s="2" t="inlineStr">
        <is>
          <t>AssertionError</t>
        </is>
      </c>
      <c r="BH24" s="2" t="inlineStr">
        <is>
          <t>AssertionError:</t>
        </is>
      </c>
      <c r="BI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BJ24" s="2" t="inlineStr">
        <is>
          <t>AssertionError</t>
        </is>
      </c>
      <c r="BK24" s="2" t="inlineStr">
        <is>
          <t>AssertionError:</t>
        </is>
      </c>
      <c r="BL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BM24" s="2" t="inlineStr">
        <is>
          <t>AssertionError</t>
        </is>
      </c>
      <c r="BN24" s="2" t="inlineStr">
        <is>
          <t>AssertionError:</t>
        </is>
      </c>
      <c r="BO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BP24" s="2" t="inlineStr">
        <is>
          <t>AssertionError</t>
        </is>
      </c>
      <c r="BQ24" s="2" t="inlineStr">
        <is>
          <t>AssertionError:</t>
        </is>
      </c>
      <c r="BR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BS24" s="2" t="inlineStr">
        <is>
          <t>AssertionError</t>
        </is>
      </c>
      <c r="BT24" s="2" t="inlineStr">
        <is>
          <t>AssertionError:</t>
        </is>
      </c>
      <c r="BU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BV24" s="2" t="inlineStr">
        <is>
          <t>AssertionError</t>
        </is>
      </c>
      <c r="BW24" s="2" t="inlineStr">
        <is>
          <t>AssertionError:</t>
        </is>
      </c>
      <c r="BX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BY24" s="2" t="inlineStr">
        <is>
          <t>AssertionError</t>
        </is>
      </c>
      <c r="BZ24" s="2" t="inlineStr">
        <is>
          <t>AssertionError:</t>
        </is>
      </c>
      <c r="CA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CB24" s="2" t="inlineStr">
        <is>
          <t>AssertionError</t>
        </is>
      </c>
      <c r="CC24" s="2" t="inlineStr">
        <is>
          <t>AssertionError:</t>
        </is>
      </c>
      <c r="CD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CE24" s="2" t="inlineStr">
        <is>
          <t>AssertionError</t>
        </is>
      </c>
      <c r="CF24" s="2" t="inlineStr">
        <is>
          <t>AssertionError:</t>
        </is>
      </c>
      <c r="CG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CH24" s="2" t="inlineStr">
        <is>
          <t>AssertionError</t>
        </is>
      </c>
      <c r="CI24" s="2" t="inlineStr">
        <is>
          <t>AssertionError:</t>
        </is>
      </c>
      <c r="CJ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CK24" s="2" t="inlineStr">
        <is>
          <t>AssertionError</t>
        </is>
      </c>
      <c r="CL24" s="2" t="inlineStr">
        <is>
          <t>AssertionError:</t>
        </is>
      </c>
      <c r="CM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CN24" s="2" t="inlineStr">
        <is>
          <t>AssertionError</t>
        </is>
      </c>
      <c r="CO24" s="2" t="inlineStr">
        <is>
          <t>AssertionError:</t>
        </is>
      </c>
      <c r="CP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CQ24" s="2" t="inlineStr">
        <is>
          <t>AssertionError</t>
        </is>
      </c>
      <c r="CR24" s="2" t="inlineStr">
        <is>
          <t>AssertionError:</t>
        </is>
      </c>
      <c r="CS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CT24" s="2" t="inlineStr">
        <is>
          <t>AssertionError</t>
        </is>
      </c>
      <c r="CU24" s="2" t="inlineStr">
        <is>
          <t>AssertionError:</t>
        </is>
      </c>
      <c r="CV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CW24" s="2" t="inlineStr">
        <is>
          <t>AssertionError</t>
        </is>
      </c>
      <c r="CX24" s="2" t="inlineStr">
        <is>
          <t>AssertionError:</t>
        </is>
      </c>
      <c r="CY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CZ24" s="2" t="inlineStr">
        <is>
          <t>AssertionError</t>
        </is>
      </c>
      <c r="DA24" s="2" t="inlineStr">
        <is>
          <t>AssertionError:</t>
        </is>
      </c>
      <c r="DB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DC24" s="2" t="inlineStr">
        <is>
          <t>AssertionError</t>
        </is>
      </c>
      <c r="DD24" s="2" t="inlineStr">
        <is>
          <t>AssertionError:</t>
        </is>
      </c>
      <c r="DE24" s="2"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row>
    <row r="25">
      <c r="A25" s="2" t="inlineStr">
        <is>
          <t>issue_415</t>
        </is>
      </c>
      <c r="B25" s="5" t="inlineStr">
        <is>
          <t>Failed on test</t>
        </is>
      </c>
      <c r="C25" s="5" t="inlineStr">
        <is>
          <t>Failed on test</t>
        </is>
      </c>
      <c r="D25" s="5" t="inlineStr">
        <is>
          <t>Failed on test</t>
        </is>
      </c>
      <c r="E25" s="5" t="inlineStr">
        <is>
          <t>Failed on test</t>
        </is>
      </c>
      <c r="F25" s="3" t="inlineStr">
        <is>
          <t>NOT_TESTED</t>
        </is>
      </c>
      <c r="G25" s="3" t="inlineStr">
        <is>
          <t>NOT_TESTED</t>
        </is>
      </c>
      <c r="H25" s="3" t="inlineStr">
        <is>
          <t>NOT_TESTED</t>
        </is>
      </c>
      <c r="I25" s="3" t="inlineStr">
        <is>
          <t>NOT_TESTED</t>
        </is>
      </c>
      <c r="J25" s="3" t="inlineStr">
        <is>
          <t>NOT_TESTED</t>
        </is>
      </c>
      <c r="K25" s="3" t="inlineStr">
        <is>
          <t>NOT_TESTED</t>
        </is>
      </c>
      <c r="L25" s="3" t="inlineStr">
        <is>
          <t>NOT_TESTED</t>
        </is>
      </c>
      <c r="M25" s="3" t="inlineStr">
        <is>
          <t>NOT_TESTED</t>
        </is>
      </c>
      <c r="N25" s="3" t="inlineStr">
        <is>
          <t>NOT_TESTED</t>
        </is>
      </c>
      <c r="O25" s="3" t="inlineStr">
        <is>
          <t>NOT_TESTED</t>
        </is>
      </c>
      <c r="P25" s="3" t="inlineStr">
        <is>
          <t>NOT_TESTED</t>
        </is>
      </c>
      <c r="Q25" s="3" t="inlineStr">
        <is>
          <t>NOT_TESTED</t>
        </is>
      </c>
      <c r="R25" s="3" t="inlineStr">
        <is>
          <t>NOT_TESTED</t>
        </is>
      </c>
      <c r="S25" s="3" t="inlineStr">
        <is>
          <t>NOT_TESTED</t>
        </is>
      </c>
      <c r="T25" s="3" t="inlineStr">
        <is>
          <t>NOT_TESTED</t>
        </is>
      </c>
      <c r="U25" s="3" t="inlineStr">
        <is>
          <t>NOT_TESTED</t>
        </is>
      </c>
      <c r="V25" s="3" t="inlineStr">
        <is>
          <t>NOT_TESTED</t>
        </is>
      </c>
      <c r="W25" s="3" t="inlineStr">
        <is>
          <t>NOT_TESTED</t>
        </is>
      </c>
      <c r="X25" s="3" t="inlineStr">
        <is>
          <t>NOT_TESTED</t>
        </is>
      </c>
      <c r="Y25" s="3" t="inlineStr">
        <is>
          <t>NOT_TESTED</t>
        </is>
      </c>
      <c r="Z25" s="3" t="inlineStr">
        <is>
          <t>NOT_TESTED</t>
        </is>
      </c>
      <c r="AA25" s="3" t="inlineStr">
        <is>
          <t>NOT_TESTED</t>
        </is>
      </c>
      <c r="AB25" s="3" t="inlineStr">
        <is>
          <t>NOT_TESTED</t>
        </is>
      </c>
      <c r="AC25" s="2" t="inlineStr">
        <is>
          <t>AssertionError</t>
        </is>
      </c>
      <c r="AD25" s="2" t="inlineStr">
        <is>
          <t>AssertionError: -1.2374811137735784 != 0 within 7 places (1.2374811137735784 difference)</t>
        </is>
      </c>
      <c r="AE25" s="2" t="inlineStr">
        <is>
          <t>The LLM left theta and phi complex and replaced circ.u3(theta, phi, 0, 0) with circ.initialize(arb_quantum_state, [0]) (same code as gpt-6-astra). That prepares the right state, but the question is about getting real U3 angles, and the test checks that theta and phi are real (theta's imaginary part is -1.24). gpt-6-luna computed real angles and passed.</t>
        </is>
      </c>
      <c r="AF25" s="2" t="inlineStr">
        <is>
          <t>AssertionError</t>
        </is>
      </c>
      <c r="AG25" s="2" t="inlineStr">
        <is>
          <t>AssertionError: -1.2374811137735784 != 0 within 7 places (1.2374811137735784 difference)</t>
        </is>
      </c>
      <c r="AH25" s="2" t="inlineStr">
        <is>
          <t>The LLM left theta and phi complex and replaced circ.u3(theta, phi, 0, 0) with circ.initialize(arb_quantum_state, [0]) (same code as gpt-6-astra). That prepares the right state, but the question is about getting real U3 angles, and the test checks that theta and phi are real (theta's imaginary part is -1.24). gpt-6-luna computed real angles and passed.</t>
        </is>
      </c>
      <c r="AI25" s="2" t="inlineStr">
        <is>
          <t>AssertionError</t>
        </is>
      </c>
      <c r="AJ25" s="2" t="inlineStr">
        <is>
          <t>AssertionError: -1.2374811137735784 != 0 within 7 places (1.2374811137735784 difference)</t>
        </is>
      </c>
      <c r="AK25" s="2" t="inlineStr">
        <is>
          <t>The LLM left theta and phi complex and replaced circ.u3(theta, phi, 0, 0) with circ.initialize(arb_quantum_state, [0]) (same code as gpt-6-astra). That prepares the right state, but the question is about getting real U3 angles, and the test checks that theta and phi are real (theta's imaginary part is -1.24). gpt-6-luna computed real angles and passed.</t>
        </is>
      </c>
      <c r="AL25" s="2" t="inlineStr">
        <is>
          <t>AssertionError</t>
        </is>
      </c>
      <c r="AM25" s="2" t="inlineStr">
        <is>
          <t>AssertionError: -1.2374811137735784 != 0 within 7 places (1.2374811137735784 difference)</t>
        </is>
      </c>
      <c r="AN25" s="2" t="inlineStr">
        <is>
          <t>The LLM left theta and phi complex and replaced circ.u3(theta, phi, 0, 0) with circ.initialize(arb_quantum_state, [0]) (same code as gpt-6-astra). That prepares the right state, but the question is about getting real U3 angles, and the test checks that theta and phi are real (theta's imaginary part is -1.24). gpt-6-luna computed real angles and passed.</t>
        </is>
      </c>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2" t="n"/>
      <c r="CJ25" s="2" t="n"/>
      <c r="CK25" s="2" t="n"/>
      <c r="CL25" s="2" t="n"/>
      <c r="CM25" s="2" t="n"/>
      <c r="CN25" s="2" t="n"/>
      <c r="CO25" s="2" t="n"/>
      <c r="CP25" s="2" t="n"/>
      <c r="CQ25" s="2" t="n"/>
      <c r="CR25" s="2" t="n"/>
      <c r="CS25" s="2" t="n"/>
      <c r="CT25" s="2" t="n"/>
      <c r="CU25" s="2" t="n"/>
      <c r="CV25" s="2" t="n"/>
      <c r="CW25" s="2" t="n"/>
      <c r="CX25" s="2" t="n"/>
      <c r="CY25" s="2" t="n"/>
      <c r="CZ25" s="2" t="n"/>
      <c r="DA25" s="2" t="n"/>
      <c r="DB25" s="2" t="n"/>
      <c r="DC25" s="2" t="n"/>
      <c r="DD25" s="2" t="n"/>
      <c r="DE25" s="2" t="n"/>
    </row>
    <row r="26">
      <c r="A26" s="2" t="inlineStr">
        <is>
          <t>issue_436</t>
        </is>
      </c>
      <c r="B26" s="4" t="inlineStr">
        <is>
          <t>Passed on test</t>
        </is>
      </c>
      <c r="C26" s="4" t="inlineStr">
        <is>
          <t>Passed on test</t>
        </is>
      </c>
      <c r="D26" s="4" t="inlineStr">
        <is>
          <t>Passed on test</t>
        </is>
      </c>
      <c r="E26" s="4" t="inlineStr">
        <is>
          <t>Passed on test</t>
        </is>
      </c>
      <c r="F26" s="3" t="inlineStr">
        <is>
          <t>NOT_TESTED</t>
        </is>
      </c>
      <c r="G26" s="3" t="inlineStr">
        <is>
          <t>NOT_TESTED</t>
        </is>
      </c>
      <c r="H26" s="3" t="inlineStr">
        <is>
          <t>NOT_TESTED</t>
        </is>
      </c>
      <c r="I26" s="3" t="inlineStr">
        <is>
          <t>NOT_TESTED</t>
        </is>
      </c>
      <c r="J26" s="3" t="inlineStr">
        <is>
          <t>NOT_TESTED</t>
        </is>
      </c>
      <c r="K26" s="3" t="inlineStr">
        <is>
          <t>NOT_TESTED</t>
        </is>
      </c>
      <c r="L26" s="3" t="inlineStr">
        <is>
          <t>NOT_TESTED</t>
        </is>
      </c>
      <c r="M26" s="3" t="inlineStr">
        <is>
          <t>NOT_TESTED</t>
        </is>
      </c>
      <c r="N26" s="3" t="inlineStr">
        <is>
          <t>NOT_TESTED</t>
        </is>
      </c>
      <c r="O26" s="3" t="inlineStr">
        <is>
          <t>NOT_TESTED</t>
        </is>
      </c>
      <c r="P26" s="3" t="inlineStr">
        <is>
          <t>NOT_TESTED</t>
        </is>
      </c>
      <c r="Q26" s="3" t="inlineStr">
        <is>
          <t>NOT_TESTED</t>
        </is>
      </c>
      <c r="R26" s="3" t="inlineStr">
        <is>
          <t>NOT_TESTED</t>
        </is>
      </c>
      <c r="S26" s="3" t="inlineStr">
        <is>
          <t>NOT_TESTED</t>
        </is>
      </c>
      <c r="T26" s="3" t="inlineStr">
        <is>
          <t>NOT_TESTED</t>
        </is>
      </c>
      <c r="U26" s="3" t="inlineStr">
        <is>
          <t>NOT_TESTED</t>
        </is>
      </c>
      <c r="V26" s="3" t="inlineStr">
        <is>
          <t>NOT_TESTED</t>
        </is>
      </c>
      <c r="W26" s="3" t="inlineStr">
        <is>
          <t>NOT_TESTED</t>
        </is>
      </c>
      <c r="X26" s="3" t="inlineStr">
        <is>
          <t>NOT_TESTED</t>
        </is>
      </c>
      <c r="Y26" s="3" t="inlineStr">
        <is>
          <t>NOT_TESTED</t>
        </is>
      </c>
      <c r="Z26" s="3" t="inlineStr">
        <is>
          <t>NOT_TESTED</t>
        </is>
      </c>
      <c r="AA26" s="3" t="inlineStr">
        <is>
          <t>NOT_TESTED</t>
        </is>
      </c>
      <c r="AB26" s="3" t="inlineStr">
        <is>
          <t>NOT_TESTED</t>
        </is>
      </c>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2" t="n"/>
      <c r="CJ26" s="2" t="n"/>
      <c r="CK26" s="2" t="n"/>
      <c r="CL26" s="2" t="n"/>
      <c r="CM26" s="2" t="n"/>
      <c r="CN26" s="2" t="n"/>
      <c r="CO26" s="2" t="n"/>
      <c r="CP26" s="2" t="n"/>
      <c r="CQ26" s="2" t="n"/>
      <c r="CR26" s="2" t="n"/>
      <c r="CS26" s="2" t="n"/>
      <c r="CT26" s="2" t="n"/>
      <c r="CU26" s="2" t="n"/>
      <c r="CV26" s="2" t="n"/>
      <c r="CW26" s="2" t="n"/>
      <c r="CX26" s="2" t="n"/>
      <c r="CY26" s="2" t="n"/>
      <c r="CZ26" s="2" t="n"/>
      <c r="DA26" s="2" t="n"/>
      <c r="DB26" s="2" t="n"/>
      <c r="DC26" s="2" t="n"/>
      <c r="DD26" s="2" t="n"/>
      <c r="DE26" s="2" t="n"/>
    </row>
    <row r="27">
      <c r="A27" s="2" t="inlineStr">
        <is>
          <t>issue_443</t>
        </is>
      </c>
      <c r="B27" s="5" t="inlineStr">
        <is>
          <t>Failed on test</t>
        </is>
      </c>
      <c r="C27" s="5" t="inlineStr">
        <is>
          <t>Failed on test</t>
        </is>
      </c>
      <c r="D27" s="5" t="inlineStr">
        <is>
          <t>Failed on test</t>
        </is>
      </c>
      <c r="E27" s="5" t="inlineStr">
        <is>
          <t>Failed on test</t>
        </is>
      </c>
      <c r="F27" s="5" t="inlineStr">
        <is>
          <t>Failed on test</t>
        </is>
      </c>
      <c r="G27" s="5" t="inlineStr">
        <is>
          <t>Failed on test</t>
        </is>
      </c>
      <c r="H27" s="5" t="inlineStr">
        <is>
          <t>Failed on test</t>
        </is>
      </c>
      <c r="I27" s="5" t="inlineStr">
        <is>
          <t>Failed on test</t>
        </is>
      </c>
      <c r="J27" s="5" t="inlineStr">
        <is>
          <t>Failed on test</t>
        </is>
      </c>
      <c r="K27" s="5" t="inlineStr">
        <is>
          <t>Failed on test</t>
        </is>
      </c>
      <c r="L27" s="5" t="inlineStr">
        <is>
          <t>Failed on test</t>
        </is>
      </c>
      <c r="M27" s="5" t="inlineStr">
        <is>
          <t>Failed on test</t>
        </is>
      </c>
      <c r="N27" s="5" t="inlineStr">
        <is>
          <t>Failed on test</t>
        </is>
      </c>
      <c r="O27" s="5" t="inlineStr">
        <is>
          <t>Failed on test</t>
        </is>
      </c>
      <c r="P27" s="5" t="inlineStr">
        <is>
          <t>Failed on test</t>
        </is>
      </c>
      <c r="Q27" s="5" t="inlineStr">
        <is>
          <t>Failed on test</t>
        </is>
      </c>
      <c r="R27" s="5" t="inlineStr">
        <is>
          <t>Failed on test</t>
        </is>
      </c>
      <c r="S27" s="5" t="inlineStr">
        <is>
          <t>Failed on test</t>
        </is>
      </c>
      <c r="T27" s="5" t="inlineStr">
        <is>
          <t>Failed on test</t>
        </is>
      </c>
      <c r="U27" s="5" t="inlineStr">
        <is>
          <t>Failed on test</t>
        </is>
      </c>
      <c r="V27" s="5" t="inlineStr">
        <is>
          <t>Failed on test</t>
        </is>
      </c>
      <c r="W27" s="5" t="inlineStr">
        <is>
          <t>Failed on test</t>
        </is>
      </c>
      <c r="X27" s="5" t="inlineStr">
        <is>
          <t>Failed on test</t>
        </is>
      </c>
      <c r="Y27" s="5" t="inlineStr">
        <is>
          <t>Failed on test</t>
        </is>
      </c>
      <c r="Z27" s="5" t="inlineStr">
        <is>
          <t>Failed on test</t>
        </is>
      </c>
      <c r="AA27" s="5" t="inlineStr">
        <is>
          <t>Failed on test</t>
        </is>
      </c>
      <c r="AB27" s="5" t="inlineStr">
        <is>
          <t>Failed on test</t>
        </is>
      </c>
      <c r="AC27" s="2" t="inlineStr">
        <is>
          <t>AssertionError</t>
        </is>
      </c>
      <c r="AD27" s="2" t="inlineStr">
        <is>
          <t>AssertionError:</t>
        </is>
      </c>
      <c r="AE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AF27" s="2" t="inlineStr">
        <is>
          <t>AssertionError</t>
        </is>
      </c>
      <c r="AG27" s="2" t="inlineStr">
        <is>
          <t>AssertionError:</t>
        </is>
      </c>
      <c r="AH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AI27" s="2" t="inlineStr">
        <is>
          <t>AssertionError</t>
        </is>
      </c>
      <c r="AJ27" s="2" t="inlineStr">
        <is>
          <t>AssertionError:</t>
        </is>
      </c>
      <c r="AK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AL27" s="2" t="inlineStr">
        <is>
          <t>AssertionError</t>
        </is>
      </c>
      <c r="AM27" s="2" t="inlineStr">
        <is>
          <t>AssertionError:</t>
        </is>
      </c>
      <c r="AN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AO27" s="2" t="inlineStr">
        <is>
          <t>AssertionError</t>
        </is>
      </c>
      <c r="AP27" s="2" t="inlineStr">
        <is>
          <t>AssertionError:</t>
        </is>
      </c>
      <c r="AQ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AR27" s="2" t="inlineStr">
        <is>
          <t>AssertionError</t>
        </is>
      </c>
      <c r="AS27" s="2" t="inlineStr">
        <is>
          <t>AssertionError:</t>
        </is>
      </c>
      <c r="AT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AU27" s="2" t="inlineStr">
        <is>
          <t>AssertionError</t>
        </is>
      </c>
      <c r="AV27" s="2" t="inlineStr">
        <is>
          <t>AssertionError:</t>
        </is>
      </c>
      <c r="AW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AX27" s="2" t="inlineStr">
        <is>
          <t>AssertionError</t>
        </is>
      </c>
      <c r="AY27" s="2" t="inlineStr">
        <is>
          <t>AssertionError:</t>
        </is>
      </c>
      <c r="AZ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BA27" s="2" t="inlineStr">
        <is>
          <t>AssertionError</t>
        </is>
      </c>
      <c r="BB27" s="2" t="inlineStr">
        <is>
          <t>AssertionError:</t>
        </is>
      </c>
      <c r="BC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BD27" s="2" t="inlineStr">
        <is>
          <t>AssertionError</t>
        </is>
      </c>
      <c r="BE27" s="2" t="inlineStr">
        <is>
          <t>AssertionError:</t>
        </is>
      </c>
      <c r="BF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BG27" s="2" t="inlineStr">
        <is>
          <t>AssertionError</t>
        </is>
      </c>
      <c r="BH27" s="2" t="inlineStr">
        <is>
          <t>AssertionError:</t>
        </is>
      </c>
      <c r="BI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BJ27" s="2" t="inlineStr">
        <is>
          <t>AssertionError</t>
        </is>
      </c>
      <c r="BK27" s="2" t="inlineStr">
        <is>
          <t>AssertionError:</t>
        </is>
      </c>
      <c r="BL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BM27" s="2" t="inlineStr">
        <is>
          <t>AssertionError</t>
        </is>
      </c>
      <c r="BN27" s="2" t="inlineStr">
        <is>
          <t>AssertionError:</t>
        </is>
      </c>
      <c r="BO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BP27" s="2" t="inlineStr">
        <is>
          <t>AssertionError</t>
        </is>
      </c>
      <c r="BQ27" s="2" t="inlineStr">
        <is>
          <t>AssertionError:</t>
        </is>
      </c>
      <c r="BR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BS27" s="2" t="inlineStr">
        <is>
          <t>AssertionError</t>
        </is>
      </c>
      <c r="BT27" s="2" t="inlineStr">
        <is>
          <t>AssertionError:</t>
        </is>
      </c>
      <c r="BU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BV27" s="2" t="inlineStr">
        <is>
          <t>AssertionError</t>
        </is>
      </c>
      <c r="BW27" s="2" t="inlineStr">
        <is>
          <t>AssertionError:</t>
        </is>
      </c>
      <c r="BX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BY27" s="2" t="inlineStr">
        <is>
          <t>AssertionError</t>
        </is>
      </c>
      <c r="BZ27" s="2" t="inlineStr">
        <is>
          <t>AssertionError:</t>
        </is>
      </c>
      <c r="CA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CB27" s="2" t="inlineStr">
        <is>
          <t>AssertionError</t>
        </is>
      </c>
      <c r="CC27" s="2" t="inlineStr">
        <is>
          <t>AssertionError:</t>
        </is>
      </c>
      <c r="CD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CE27" s="2" t="inlineStr">
        <is>
          <t>AssertionError</t>
        </is>
      </c>
      <c r="CF27" s="2" t="inlineStr">
        <is>
          <t>AssertionError:</t>
        </is>
      </c>
      <c r="CG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CH27" s="2" t="inlineStr">
        <is>
          <t>AssertionError</t>
        </is>
      </c>
      <c r="CI27" s="2" t="inlineStr">
        <is>
          <t>AssertionError:</t>
        </is>
      </c>
      <c r="CJ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CK27" s="2" t="inlineStr">
        <is>
          <t>AssertionError</t>
        </is>
      </c>
      <c r="CL27" s="2" t="inlineStr">
        <is>
          <t>AssertionError:</t>
        </is>
      </c>
      <c r="CM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CN27" s="2" t="inlineStr">
        <is>
          <t>AssertionError</t>
        </is>
      </c>
      <c r="CO27" s="2" t="inlineStr">
        <is>
          <t>AssertionError:</t>
        </is>
      </c>
      <c r="CP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CQ27" s="2" t="inlineStr">
        <is>
          <t>AssertionError</t>
        </is>
      </c>
      <c r="CR27" s="2" t="inlineStr">
        <is>
          <t>AssertionError:</t>
        </is>
      </c>
      <c r="CS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CT27" s="2" t="inlineStr">
        <is>
          <t>AssertionError</t>
        </is>
      </c>
      <c r="CU27" s="2" t="inlineStr">
        <is>
          <t>AssertionError:</t>
        </is>
      </c>
      <c r="CV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CW27" s="2" t="inlineStr">
        <is>
          <t>AssertionError</t>
        </is>
      </c>
      <c r="CX27" s="2" t="inlineStr">
        <is>
          <t>AssertionError:</t>
        </is>
      </c>
      <c r="CY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CZ27" s="2" t="inlineStr">
        <is>
          <t>AssertionError</t>
        </is>
      </c>
      <c r="DA27" s="2" t="inlineStr">
        <is>
          <t>AssertionError:</t>
        </is>
      </c>
      <c r="DB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DC27" s="2" t="inlineStr">
        <is>
          <t>AssertionError</t>
        </is>
      </c>
      <c r="DD27" s="2" t="inlineStr">
        <is>
          <t>AssertionError:</t>
        </is>
      </c>
      <c r="DE27" s="2"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row>
    <row r="28">
      <c r="A28" s="2" t="inlineStr">
        <is>
          <t>issue_453</t>
        </is>
      </c>
      <c r="B28" s="3" t="inlineStr">
        <is>
          <t>NOT_TESTED</t>
        </is>
      </c>
      <c r="C28" s="3" t="inlineStr">
        <is>
          <t>NOT_TESTED</t>
        </is>
      </c>
      <c r="D28" s="3" t="inlineStr">
        <is>
          <t>NOT_TESTED</t>
        </is>
      </c>
      <c r="E28" s="3" t="inlineStr">
        <is>
          <t>NOT_TESTED</t>
        </is>
      </c>
      <c r="F28" s="6" t="inlineStr">
        <is>
          <t>Passed on test</t>
        </is>
      </c>
      <c r="G28" s="6" t="inlineStr">
        <is>
          <t>Passed on test</t>
        </is>
      </c>
      <c r="H28" s="6" t="inlineStr">
        <is>
          <t>Passed on test</t>
        </is>
      </c>
      <c r="I28" s="6" t="inlineStr">
        <is>
          <t>Passed on test</t>
        </is>
      </c>
      <c r="J28" s="6" t="inlineStr">
        <is>
          <t>Passed on test</t>
        </is>
      </c>
      <c r="K28" s="6" t="inlineStr">
        <is>
          <t>Passed on test</t>
        </is>
      </c>
      <c r="L28" s="6" t="inlineStr">
        <is>
          <t>Passed on test</t>
        </is>
      </c>
      <c r="M28" s="6" t="inlineStr">
        <is>
          <t>Passed on test</t>
        </is>
      </c>
      <c r="N28" s="6" t="inlineStr">
        <is>
          <t>Passed on test</t>
        </is>
      </c>
      <c r="O28" s="6" t="inlineStr">
        <is>
          <t>Passed on test</t>
        </is>
      </c>
      <c r="P28" s="6" t="inlineStr">
        <is>
          <t>Passed on test</t>
        </is>
      </c>
      <c r="Q28" s="6" t="inlineStr">
        <is>
          <t>Passed on test</t>
        </is>
      </c>
      <c r="R28" s="6" t="inlineStr">
        <is>
          <t>Passed on test</t>
        </is>
      </c>
      <c r="S28" s="6" t="inlineStr">
        <is>
          <t>Passed on test</t>
        </is>
      </c>
      <c r="T28" s="6" t="inlineStr">
        <is>
          <t>Passed on test</t>
        </is>
      </c>
      <c r="U28" s="6" t="inlineStr">
        <is>
          <t>Passed on test</t>
        </is>
      </c>
      <c r="V28" s="6" t="inlineStr">
        <is>
          <t>Passed on test</t>
        </is>
      </c>
      <c r="W28" s="6" t="inlineStr">
        <is>
          <t>Passed on test</t>
        </is>
      </c>
      <c r="X28" s="6" t="inlineStr">
        <is>
          <t>Passed on test</t>
        </is>
      </c>
      <c r="Y28" s="6" t="inlineStr">
        <is>
          <t>Passed on test</t>
        </is>
      </c>
      <c r="Z28" s="6" t="inlineStr">
        <is>
          <t>Passed on test</t>
        </is>
      </c>
      <c r="AA28" s="6" t="inlineStr">
        <is>
          <t>Passed on test</t>
        </is>
      </c>
      <c r="AB28" s="6" t="inlineStr">
        <is>
          <t>Passed on test</t>
        </is>
      </c>
      <c r="AC28" s="2" t="n"/>
      <c r="AD28" s="2" t="n"/>
      <c r="AE28" s="2" t="n"/>
      <c r="AF28" s="2" t="n"/>
      <c r="AG28" s="2" t="n"/>
      <c r="AH28" s="2" t="n"/>
      <c r="AI28" s="2" t="n"/>
      <c r="AJ28" s="2" t="n"/>
      <c r="AK28" s="2" t="n"/>
      <c r="AL28" s="2" t="n"/>
      <c r="AM28" s="2" t="n"/>
      <c r="AN28" s="2" t="n"/>
      <c r="AO28" s="2" t="n"/>
      <c r="AP28" s="2" t="n"/>
      <c r="AQ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AR28" s="2" t="n"/>
      <c r="AS28" s="2" t="n"/>
      <c r="AT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AU28" s="2" t="n"/>
      <c r="AV28" s="2" t="n"/>
      <c r="AW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AX28" s="2" t="n"/>
      <c r="AY28" s="2" t="n"/>
      <c r="AZ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BA28" s="2" t="n"/>
      <c r="BB28" s="2" t="n"/>
      <c r="BC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BD28" s="2" t="n"/>
      <c r="BE28" s="2" t="n"/>
      <c r="BF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BG28" s="2" t="n"/>
      <c r="BH28" s="2" t="n"/>
      <c r="BI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BJ28" s="2" t="n"/>
      <c r="BK28" s="2" t="n"/>
      <c r="BL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BM28" s="2" t="n"/>
      <c r="BN28" s="2" t="n"/>
      <c r="BO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BP28" s="2" t="n"/>
      <c r="BQ28" s="2" t="n"/>
      <c r="BR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BS28" s="2" t="n"/>
      <c r="BT28" s="2" t="n"/>
      <c r="BU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BV28" s="2" t="n"/>
      <c r="BW28" s="2" t="n"/>
      <c r="BX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BY28" s="2" t="n"/>
      <c r="BZ28" s="2" t="n"/>
      <c r="CA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CB28" s="2" t="n"/>
      <c r="CC28" s="2" t="n"/>
      <c r="CD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CE28" s="2" t="n"/>
      <c r="CF28" s="2" t="n"/>
      <c r="CG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CH28" s="2" t="n"/>
      <c r="CI28" s="2" t="n"/>
      <c r="CJ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CK28" s="2" t="n"/>
      <c r="CL28" s="2" t="n"/>
      <c r="CM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CN28" s="2" t="n"/>
      <c r="CO28" s="2" t="n"/>
      <c r="CP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CQ28" s="2" t="n"/>
      <c r="CR28" s="2" t="n"/>
      <c r="CS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CT28" s="2" t="n"/>
      <c r="CU28" s="2" t="n"/>
      <c r="CV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CW28" s="2" t="n"/>
      <c r="CX28" s="2" t="n"/>
      <c r="CY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CZ28" s="2" t="n"/>
      <c r="DA28" s="2" t="n"/>
      <c r="DB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DC28" s="2" t="n"/>
      <c r="DD28" s="2" t="n"/>
      <c r="DE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row>
    <row r="29">
      <c r="A29" s="2" t="inlineStr">
        <is>
          <t>issue_468</t>
        </is>
      </c>
      <c r="B29" s="6" t="inlineStr">
        <is>
          <t>Runtime error</t>
        </is>
      </c>
      <c r="C29" s="6" t="inlineStr">
        <is>
          <t>Runtime error</t>
        </is>
      </c>
      <c r="D29" s="6" t="inlineStr">
        <is>
          <t>Runtime error</t>
        </is>
      </c>
      <c r="E29" s="6" t="inlineStr">
        <is>
          <t>Runtime error</t>
        </is>
      </c>
      <c r="F29" s="3" t="inlineStr">
        <is>
          <t>NOT_TESTED</t>
        </is>
      </c>
      <c r="G29" s="3" t="inlineStr">
        <is>
          <t>NOT_TESTED</t>
        </is>
      </c>
      <c r="H29" s="3" t="inlineStr">
        <is>
          <t>NOT_TESTED</t>
        </is>
      </c>
      <c r="I29" s="3" t="inlineStr">
        <is>
          <t>NOT_TESTED</t>
        </is>
      </c>
      <c r="J29" s="3" t="inlineStr">
        <is>
          <t>NOT_TESTED</t>
        </is>
      </c>
      <c r="K29" s="3" t="inlineStr">
        <is>
          <t>NOT_TESTED</t>
        </is>
      </c>
      <c r="L29" s="3" t="inlineStr">
        <is>
          <t>NOT_TESTED</t>
        </is>
      </c>
      <c r="M29" s="3" t="inlineStr">
        <is>
          <t>NOT_TESTED</t>
        </is>
      </c>
      <c r="N29" s="3" t="inlineStr">
        <is>
          <t>NOT_TESTED</t>
        </is>
      </c>
      <c r="O29" s="3" t="inlineStr">
        <is>
          <t>NOT_TESTED</t>
        </is>
      </c>
      <c r="P29" s="3" t="inlineStr">
        <is>
          <t>NOT_TESTED</t>
        </is>
      </c>
      <c r="Q29" s="3" t="inlineStr">
        <is>
          <t>NOT_TESTED</t>
        </is>
      </c>
      <c r="R29" s="3" t="inlineStr">
        <is>
          <t>NOT_TESTED</t>
        </is>
      </c>
      <c r="S29" s="3" t="inlineStr">
        <is>
          <t>NOT_TESTED</t>
        </is>
      </c>
      <c r="T29" s="3" t="inlineStr">
        <is>
          <t>NOT_TESTED</t>
        </is>
      </c>
      <c r="U29" s="3" t="inlineStr">
        <is>
          <t>NOT_TESTED</t>
        </is>
      </c>
      <c r="V29" s="3" t="inlineStr">
        <is>
          <t>NOT_TESTED</t>
        </is>
      </c>
      <c r="W29" s="3" t="inlineStr">
        <is>
          <t>NOT_TESTED</t>
        </is>
      </c>
      <c r="X29" s="3" t="inlineStr">
        <is>
          <t>NOT_TESTED</t>
        </is>
      </c>
      <c r="Y29" s="3" t="inlineStr">
        <is>
          <t>NOT_TESTED</t>
        </is>
      </c>
      <c r="Z29" s="3" t="inlineStr">
        <is>
          <t>NOT_TESTED</t>
        </is>
      </c>
      <c r="AA29" s="3" t="inlineStr">
        <is>
          <t>NOT_TESTED</t>
        </is>
      </c>
      <c r="AB29" s="3" t="inlineStr">
        <is>
          <t>NOT_TESTED</t>
        </is>
      </c>
      <c r="AC29" s="2" t="inlineStr">
        <is>
          <t>AttributeError</t>
        </is>
      </c>
      <c r="AD29" s="2" t="inlineStr">
        <is>
          <t>AttributeError: 'MatrixOperator' object has no attribute 'simplify'</t>
        </is>
      </c>
      <c r="AE29" s="2" t="inlineStr">
        <is>
          <t>The LLM wrapped the density matrices in Aqua's legacy MatrixOperator before calling commutator(), but commutator() calls simplify(), which MatrixOperator doesn't have (AttributeError). Same code as gpt-6-astra; both luna models crashed too.</t>
        </is>
      </c>
      <c r="AF29" s="2" t="inlineStr">
        <is>
          <t>AttributeError</t>
        </is>
      </c>
      <c r="AG29" s="2" t="inlineStr">
        <is>
          <t>AttributeError: 'MatrixOperator' object has no attribute 'simplify'</t>
        </is>
      </c>
      <c r="AH29" s="2" t="inlineStr">
        <is>
          <t>The LLM wrapped the density matrices in Aqua's legacy MatrixOperator before calling commutator(), but commutator() calls simplify(), which MatrixOperator doesn't have (AttributeError). Same code as gpt-6-astra; both luna models crashed too.</t>
        </is>
      </c>
      <c r="AI29" s="2" t="inlineStr">
        <is>
          <t>AttributeError</t>
        </is>
      </c>
      <c r="AJ29" s="2" t="inlineStr">
        <is>
          <t>AttributeError: 'MatrixOperator' object has no attribute 'simplify'</t>
        </is>
      </c>
      <c r="AK29" s="2" t="inlineStr">
        <is>
          <t>The LLM wrapped the density matrices in Aqua's legacy MatrixOperator before calling commutator(), but commutator() calls simplify(), which MatrixOperator doesn't have (AttributeError). Same code as gpt-6-astra; both luna models crashed too.</t>
        </is>
      </c>
      <c r="AL29" s="2" t="inlineStr">
        <is>
          <t>AttributeError</t>
        </is>
      </c>
      <c r="AM29" s="2" t="inlineStr">
        <is>
          <t>AttributeError: 'MatrixOperator' object has no attribute 'simplify'</t>
        </is>
      </c>
      <c r="AN29" s="2" t="inlineStr">
        <is>
          <t>The LLM wrapped the density matrices in Aqua's legacy MatrixOperator before calling commutator(), but commutator() calls simplify(), which MatrixOperator doesn't have (AttributeError). Same code as gpt-6-astra; both luna models crashed too.</t>
        </is>
      </c>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2" t="n"/>
      <c r="CO29" s="2" t="n"/>
      <c r="CP29" s="2" t="n"/>
      <c r="CQ29" s="2" t="n"/>
      <c r="CR29" s="2" t="n"/>
      <c r="CS29" s="2" t="n"/>
      <c r="CT29" s="2" t="n"/>
      <c r="CU29" s="2" t="n"/>
      <c r="CV29" s="2" t="n"/>
      <c r="CW29" s="2" t="n"/>
      <c r="CX29" s="2" t="n"/>
      <c r="CY29" s="2" t="n"/>
      <c r="CZ29" s="2" t="n"/>
      <c r="DA29" s="2" t="n"/>
      <c r="DB29" s="2" t="n"/>
      <c r="DC29" s="2" t="n"/>
      <c r="DD29" s="2" t="n"/>
      <c r="DE29" s="2" t="n"/>
    </row>
    <row r="30">
      <c r="A30" s="2" t="inlineStr">
        <is>
          <t>issue_497</t>
        </is>
      </c>
      <c r="B30" s="6" t="inlineStr">
        <is>
          <t>Passed on test</t>
        </is>
      </c>
      <c r="C30" s="6" t="inlineStr">
        <is>
          <t>Passed on test</t>
        </is>
      </c>
      <c r="D30" s="6" t="inlineStr">
        <is>
          <t>Passed on test</t>
        </is>
      </c>
      <c r="E30" s="6" t="inlineStr">
        <is>
          <t>Passed on test</t>
        </is>
      </c>
      <c r="F30" s="3" t="inlineStr">
        <is>
          <t>NOT_TESTED</t>
        </is>
      </c>
      <c r="G30" s="3" t="inlineStr">
        <is>
          <t>NOT_TESTED</t>
        </is>
      </c>
      <c r="H30" s="3" t="inlineStr">
        <is>
          <t>NOT_TESTED</t>
        </is>
      </c>
      <c r="I30" s="3" t="inlineStr">
        <is>
          <t>NOT_TESTED</t>
        </is>
      </c>
      <c r="J30" s="3" t="inlineStr">
        <is>
          <t>NOT_TESTED</t>
        </is>
      </c>
      <c r="K30" s="3" t="inlineStr">
        <is>
          <t>NOT_TESTED</t>
        </is>
      </c>
      <c r="L30" s="3" t="inlineStr">
        <is>
          <t>NOT_TESTED</t>
        </is>
      </c>
      <c r="M30" s="3" t="inlineStr">
        <is>
          <t>NOT_TESTED</t>
        </is>
      </c>
      <c r="N30" s="3" t="inlineStr">
        <is>
          <t>NOT_TESTED</t>
        </is>
      </c>
      <c r="O30" s="3" t="inlineStr">
        <is>
          <t>NOT_TESTED</t>
        </is>
      </c>
      <c r="P30" s="3" t="inlineStr">
        <is>
          <t>NOT_TESTED</t>
        </is>
      </c>
      <c r="Q30" s="3" t="inlineStr">
        <is>
          <t>NOT_TESTED</t>
        </is>
      </c>
      <c r="R30" s="3" t="inlineStr">
        <is>
          <t>NOT_TESTED</t>
        </is>
      </c>
      <c r="S30" s="3" t="inlineStr">
        <is>
          <t>NOT_TESTED</t>
        </is>
      </c>
      <c r="T30" s="3" t="inlineStr">
        <is>
          <t>NOT_TESTED</t>
        </is>
      </c>
      <c r="U30" s="3" t="inlineStr">
        <is>
          <t>NOT_TESTED</t>
        </is>
      </c>
      <c r="V30" s="3" t="inlineStr">
        <is>
          <t>NOT_TESTED</t>
        </is>
      </c>
      <c r="W30" s="3" t="inlineStr">
        <is>
          <t>NOT_TESTED</t>
        </is>
      </c>
      <c r="X30" s="3" t="inlineStr">
        <is>
          <t>NOT_TESTED</t>
        </is>
      </c>
      <c r="Y30" s="3" t="inlineStr">
        <is>
          <t>NOT_TESTED</t>
        </is>
      </c>
      <c r="Z30" s="3" t="inlineStr">
        <is>
          <t>NOT_TESTED</t>
        </is>
      </c>
      <c r="AA30" s="3" t="inlineStr">
        <is>
          <t>NOT_TESTED</t>
        </is>
      </c>
      <c r="AB30" s="3" t="inlineStr">
        <is>
          <t>NOT_TESTED</t>
        </is>
      </c>
      <c r="AC30" s="2" t="n"/>
      <c r="AD30" s="2" t="n"/>
      <c r="AE30" s="2" t="inlineStr">
        <is>
          <t>Like gpt-6-astra, the LLM batched both expectation values into one ListOp converted by a single CircuitSampler call and removed the undefined IBMQJobManager(); it also widened the state to two qubits, as the reference does. The script runs, but the result is unpacked into sampler1 and sampler2, and the test reads the reference's variable sampler (KeyError: 'sampler'), so it never checks the values. Over-specific variable name, and no updated test exists for this case; gpt-5.6-luna kept the name and passed.</t>
        </is>
      </c>
      <c r="AF30" s="2" t="n"/>
      <c r="AG30" s="2" t="n"/>
      <c r="AH30" s="2" t="inlineStr">
        <is>
          <t>Like gpt-6-astra, the LLM batched both expectation values into one ListOp converted by a single CircuitSampler call and removed the undefined IBMQJobManager(); it also widened the state to two qubits, as the reference does. The script runs, but the result is unpacked into sampler1 and sampler2, and the test reads the reference's variable sampler (KeyError: 'sampler'), so it never checks the values. Over-specific variable name, and no updated test exists for this case; gpt-5.6-luna kept the name and passed.</t>
        </is>
      </c>
      <c r="AI30" s="2" t="n"/>
      <c r="AJ30" s="2" t="n"/>
      <c r="AK30" s="2" t="inlineStr">
        <is>
          <t>Like gpt-6-astra, the LLM batched both expectation values into one ListOp converted by a single CircuitSampler call and removed the undefined IBMQJobManager(); it also widened the state to two qubits, as the reference does. The script runs, but the result is unpacked into sampler1 and sampler2, and the test reads the reference's variable sampler (KeyError: 'sampler'), so it never checks the values. Over-specific variable name, and no updated test exists for this case; gpt-5.6-luna kept the name and passed.</t>
        </is>
      </c>
      <c r="AL30" s="2" t="n"/>
      <c r="AM30" s="2" t="n"/>
      <c r="AN30" s="2" t="inlineStr">
        <is>
          <t>Like gpt-6-astra, the LLM batched both expectation values into one ListOp converted by a single CircuitSampler call and removed the undefined IBMQJobManager(); it also widened the state to two qubits, as the reference does. The script runs, but the result is unpacked into sampler1 and sampler2, and the test reads the reference's variable sampler (KeyError: 'sampler'), so it never checks the values. Over-specific variable name, and no updated test exists for this case; gpt-5.6-luna kept the name and passed.</t>
        </is>
      </c>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2" t="n"/>
      <c r="CO30" s="2" t="n"/>
      <c r="CP30" s="2" t="n"/>
      <c r="CQ30" s="2" t="n"/>
      <c r="CR30" s="2" t="n"/>
      <c r="CS30" s="2" t="n"/>
      <c r="CT30" s="2" t="n"/>
      <c r="CU30" s="2" t="n"/>
      <c r="CV30" s="2" t="n"/>
      <c r="CW30" s="2" t="n"/>
      <c r="CX30" s="2" t="n"/>
      <c r="CY30" s="2" t="n"/>
      <c r="CZ30" s="2" t="n"/>
      <c r="DA30" s="2" t="n"/>
      <c r="DB30" s="2" t="n"/>
      <c r="DC30" s="2" t="n"/>
      <c r="DD30" s="2" t="n"/>
      <c r="DE30" s="2" t="n"/>
    </row>
    <row r="31">
      <c r="A31" s="2" t="inlineStr">
        <is>
          <t>issue_504</t>
        </is>
      </c>
      <c r="B31" s="3" t="inlineStr">
        <is>
          <t>NOT_TESTED</t>
        </is>
      </c>
      <c r="C31" s="3" t="inlineStr">
        <is>
          <t>NOT_TESTED</t>
        </is>
      </c>
      <c r="D31" s="3" t="inlineStr">
        <is>
          <t>NOT_TESTED</t>
        </is>
      </c>
      <c r="E31" s="3" t="inlineStr">
        <is>
          <t>NOT_TESTED</t>
        </is>
      </c>
      <c r="F31" s="4" t="inlineStr">
        <is>
          <t>Passed on test</t>
        </is>
      </c>
      <c r="G31" s="4" t="inlineStr">
        <is>
          <t>Passed on test</t>
        </is>
      </c>
      <c r="H31" s="4" t="inlineStr">
        <is>
          <t>Passed on test</t>
        </is>
      </c>
      <c r="I31" s="4" t="inlineStr">
        <is>
          <t>Passed on test</t>
        </is>
      </c>
      <c r="J31" s="4" t="inlineStr">
        <is>
          <t>Passed on test</t>
        </is>
      </c>
      <c r="K31" s="4" t="inlineStr">
        <is>
          <t>Passed on test</t>
        </is>
      </c>
      <c r="L31" s="4" t="inlineStr">
        <is>
          <t>Passed on test</t>
        </is>
      </c>
      <c r="M31" s="4" t="inlineStr">
        <is>
          <t>Passed on test</t>
        </is>
      </c>
      <c r="N31" s="4" t="inlineStr">
        <is>
          <t>Passed on test</t>
        </is>
      </c>
      <c r="O31" s="4" t="inlineStr">
        <is>
          <t>Passed on test</t>
        </is>
      </c>
      <c r="P31" s="4" t="inlineStr">
        <is>
          <t>Passed on test</t>
        </is>
      </c>
      <c r="Q31" s="4" t="inlineStr">
        <is>
          <t>Passed on test</t>
        </is>
      </c>
      <c r="R31" s="4" t="inlineStr">
        <is>
          <t>Passed on test</t>
        </is>
      </c>
      <c r="S31" s="4" t="inlineStr">
        <is>
          <t>Passed on test</t>
        </is>
      </c>
      <c r="T31" s="4" t="inlineStr">
        <is>
          <t>Passed on test</t>
        </is>
      </c>
      <c r="U31" s="4" t="inlineStr">
        <is>
          <t>Passed on test</t>
        </is>
      </c>
      <c r="V31" s="4" t="inlineStr">
        <is>
          <t>Passed on test</t>
        </is>
      </c>
      <c r="W31" s="4" t="inlineStr">
        <is>
          <t>Passed on test</t>
        </is>
      </c>
      <c r="X31" s="4" t="inlineStr">
        <is>
          <t>Passed on test</t>
        </is>
      </c>
      <c r="Y31" s="4" t="inlineStr">
        <is>
          <t>Passed on test</t>
        </is>
      </c>
      <c r="Z31" s="4" t="inlineStr">
        <is>
          <t>Passed on test</t>
        </is>
      </c>
      <c r="AA31" s="4" t="inlineStr">
        <is>
          <t>Passed on test</t>
        </is>
      </c>
      <c r="AB31" s="4" t="inlineStr">
        <is>
          <t>Passed on test</t>
        </is>
      </c>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2" t="n"/>
      <c r="CO31" s="2" t="n"/>
      <c r="CP31" s="2" t="n"/>
      <c r="CQ31" s="2" t="n"/>
      <c r="CR31" s="2" t="n"/>
      <c r="CS31" s="2" t="n"/>
      <c r="CT31" s="2" t="n"/>
      <c r="CU31" s="2" t="n"/>
      <c r="CV31" s="2" t="n"/>
      <c r="CW31" s="2" t="n"/>
      <c r="CX31" s="2" t="n"/>
      <c r="CY31" s="2" t="n"/>
      <c r="CZ31" s="2" t="n"/>
      <c r="DA31" s="2" t="n"/>
      <c r="DB31" s="2" t="n"/>
      <c r="DC31" s="2" t="n"/>
      <c r="DD31" s="2" t="n"/>
      <c r="DE31" s="2" t="n"/>
    </row>
    <row r="32">
      <c r="A32" s="2" t="inlineStr">
        <is>
          <t>issue_505</t>
        </is>
      </c>
      <c r="B32" s="3" t="inlineStr">
        <is>
          <t>NOT_TESTED</t>
        </is>
      </c>
      <c r="C32" s="3" t="inlineStr">
        <is>
          <t>NOT_TESTED</t>
        </is>
      </c>
      <c r="D32" s="3" t="inlineStr">
        <is>
          <t>NOT_TESTED</t>
        </is>
      </c>
      <c r="E32" s="3" t="inlineStr">
        <is>
          <t>NOT_TESTED</t>
        </is>
      </c>
      <c r="F32" s="4" t="inlineStr">
        <is>
          <t>Passed on test</t>
        </is>
      </c>
      <c r="G32" s="4" t="inlineStr">
        <is>
          <t>Passed on test</t>
        </is>
      </c>
      <c r="H32" s="4" t="inlineStr">
        <is>
          <t>Passed on test</t>
        </is>
      </c>
      <c r="I32" s="4" t="inlineStr">
        <is>
          <t>Passed on test</t>
        </is>
      </c>
      <c r="J32" s="4" t="inlineStr">
        <is>
          <t>Passed on test</t>
        </is>
      </c>
      <c r="K32" s="4" t="inlineStr">
        <is>
          <t>Passed on test</t>
        </is>
      </c>
      <c r="L32" s="4" t="inlineStr">
        <is>
          <t>Passed on test</t>
        </is>
      </c>
      <c r="M32" s="4" t="inlineStr">
        <is>
          <t>Passed on test</t>
        </is>
      </c>
      <c r="N32" s="3" t="inlineStr">
        <is>
          <t>NOT_TESTED</t>
        </is>
      </c>
      <c r="O32" s="3" t="inlineStr">
        <is>
          <t>NOT_TESTED</t>
        </is>
      </c>
      <c r="P32" s="3" t="inlineStr">
        <is>
          <t>NOT_TESTED</t>
        </is>
      </c>
      <c r="Q32" s="3" t="inlineStr">
        <is>
          <t>NOT_TESTED</t>
        </is>
      </c>
      <c r="R32" s="3" t="inlineStr">
        <is>
          <t>NOT_TESTED</t>
        </is>
      </c>
      <c r="S32" s="3" t="inlineStr">
        <is>
          <t>NOT_TESTED</t>
        </is>
      </c>
      <c r="T32" s="3" t="inlineStr">
        <is>
          <t>NOT_TESTED</t>
        </is>
      </c>
      <c r="U32" s="3" t="inlineStr">
        <is>
          <t>NOT_TESTED</t>
        </is>
      </c>
      <c r="V32" s="3" t="inlineStr">
        <is>
          <t>NOT_TESTED</t>
        </is>
      </c>
      <c r="W32" s="3" t="inlineStr">
        <is>
          <t>NOT_TESTED</t>
        </is>
      </c>
      <c r="X32" s="3" t="inlineStr">
        <is>
          <t>NOT_TESTED</t>
        </is>
      </c>
      <c r="Y32" s="3" t="inlineStr">
        <is>
          <t>NOT_TESTED</t>
        </is>
      </c>
      <c r="Z32" s="3" t="inlineStr">
        <is>
          <t>NOT_TESTED</t>
        </is>
      </c>
      <c r="AA32" s="3" t="inlineStr">
        <is>
          <t>NOT_TESTED</t>
        </is>
      </c>
      <c r="AB32" s="3" t="inlineStr">
        <is>
          <t>NOT_TESTED</t>
        </is>
      </c>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2" t="n"/>
      <c r="CS32" s="2" t="n"/>
      <c r="CT32" s="2" t="n"/>
      <c r="CU32" s="2" t="n"/>
      <c r="CV32" s="2" t="n"/>
      <c r="CW32" s="2" t="n"/>
      <c r="CX32" s="2" t="n"/>
      <c r="CY32" s="2" t="n"/>
      <c r="CZ32" s="2" t="n"/>
      <c r="DA32" s="2" t="n"/>
      <c r="DB32" s="2" t="n"/>
      <c r="DC32" s="2" t="n"/>
      <c r="DD32" s="2" t="n"/>
      <c r="DE32" s="2" t="n"/>
    </row>
    <row r="33">
      <c r="A33" s="2" t="inlineStr">
        <is>
          <t>issue_565</t>
        </is>
      </c>
      <c r="B33" s="6" t="inlineStr">
        <is>
          <t>Runtime error</t>
        </is>
      </c>
      <c r="C33" s="6" t="inlineStr">
        <is>
          <t>Runtime error</t>
        </is>
      </c>
      <c r="D33" s="6" t="inlineStr">
        <is>
          <t>Runtime error</t>
        </is>
      </c>
      <c r="E33" s="6" t="inlineStr">
        <is>
          <t>Runtime error</t>
        </is>
      </c>
      <c r="F33" s="3" t="inlineStr">
        <is>
          <t>NOT_TESTED</t>
        </is>
      </c>
      <c r="G33" s="3" t="inlineStr">
        <is>
          <t>NOT_TESTED</t>
        </is>
      </c>
      <c r="H33" s="3" t="inlineStr">
        <is>
          <t>NOT_TESTED</t>
        </is>
      </c>
      <c r="I33" s="3" t="inlineStr">
        <is>
          <t>NOT_TESTED</t>
        </is>
      </c>
      <c r="J33" s="3" t="inlineStr">
        <is>
          <t>NOT_TESTED</t>
        </is>
      </c>
      <c r="K33" s="3" t="inlineStr">
        <is>
          <t>NOT_TESTED</t>
        </is>
      </c>
      <c r="L33" s="3" t="inlineStr">
        <is>
          <t>NOT_TESTED</t>
        </is>
      </c>
      <c r="M33" s="3" t="inlineStr">
        <is>
          <t>NOT_TESTED</t>
        </is>
      </c>
      <c r="N33" s="3" t="inlineStr">
        <is>
          <t>NOT_TESTED</t>
        </is>
      </c>
      <c r="O33" s="3" t="inlineStr">
        <is>
          <t>NOT_TESTED</t>
        </is>
      </c>
      <c r="P33" s="3" t="inlineStr">
        <is>
          <t>NOT_TESTED</t>
        </is>
      </c>
      <c r="Q33" s="3" t="inlineStr">
        <is>
          <t>NOT_TESTED</t>
        </is>
      </c>
      <c r="R33" s="3" t="inlineStr">
        <is>
          <t>NOT_TESTED</t>
        </is>
      </c>
      <c r="S33" s="3" t="inlineStr">
        <is>
          <t>NOT_TESTED</t>
        </is>
      </c>
      <c r="T33" s="3" t="inlineStr">
        <is>
          <t>NOT_TESTED</t>
        </is>
      </c>
      <c r="U33" s="3" t="inlineStr">
        <is>
          <t>NOT_TESTED</t>
        </is>
      </c>
      <c r="V33" s="3" t="inlineStr">
        <is>
          <t>NOT_TESTED</t>
        </is>
      </c>
      <c r="W33" s="3" t="inlineStr">
        <is>
          <t>NOT_TESTED</t>
        </is>
      </c>
      <c r="X33" s="3" t="inlineStr">
        <is>
          <t>NOT_TESTED</t>
        </is>
      </c>
      <c r="Y33" s="3" t="inlineStr">
        <is>
          <t>NOT_TESTED</t>
        </is>
      </c>
      <c r="Z33" s="3" t="inlineStr">
        <is>
          <t>NOT_TESTED</t>
        </is>
      </c>
      <c r="AA33" s="3" t="inlineStr">
        <is>
          <t>NOT_TESTED</t>
        </is>
      </c>
      <c r="AB33" s="3" t="inlineStr">
        <is>
          <t>NOT_TESTED</t>
        </is>
      </c>
      <c r="AC33" s="2" t="inlineStr">
        <is>
          <t>TIMEOUT</t>
        </is>
      </c>
      <c r="AD33" s="2" t="inlineStr">
        <is>
          <t>120 second timeout</t>
        </is>
      </c>
      <c r="AE33" s="2" t="inlineStr">
        <is>
          <t>Error (timeout): the LLM wrapped each mixer Operator in Aqua's MatrixOp before building the SummedOp, which removes the crash both luna models hit, but building the QAOA circuits doesn't finish within 120 seconds on any version (2 runs, the second with a single worker). Same code as gpt-6-astra, which timed out the same way.</t>
        </is>
      </c>
      <c r="AF33" s="2" t="inlineStr">
        <is>
          <t>TIMEOUT</t>
        </is>
      </c>
      <c r="AG33" s="2" t="inlineStr">
        <is>
          <t>120 second timeout</t>
        </is>
      </c>
      <c r="AH33" s="2" t="inlineStr">
        <is>
          <t>Error (timeout): the LLM wrapped each mixer Operator in Aqua's MatrixOp before building the SummedOp, which removes the crash both luna models hit, but building the QAOA circuits doesn't finish within 120 seconds on any version (2 runs, the second with a single worker). Same code as gpt-6-astra, which timed out the same way.</t>
        </is>
      </c>
      <c r="AI33" s="2" t="inlineStr">
        <is>
          <t>TIMEOUT</t>
        </is>
      </c>
      <c r="AJ33" s="2" t="inlineStr">
        <is>
          <t>120 second timeout</t>
        </is>
      </c>
      <c r="AK33" s="2" t="inlineStr">
        <is>
          <t>Error (timeout): the LLM wrapped each mixer Operator in Aqua's MatrixOp before building the SummedOp, which removes the crash both luna models hit, but building the QAOA circuits doesn't finish within 120 seconds on any version (2 runs, the second with a single worker). Same code as gpt-6-astra, which timed out the same way.</t>
        </is>
      </c>
      <c r="AL33" s="2" t="inlineStr">
        <is>
          <t>TIMEOUT</t>
        </is>
      </c>
      <c r="AM33" s="2" t="inlineStr">
        <is>
          <t>120 second timeout</t>
        </is>
      </c>
      <c r="AN33" s="2" t="inlineStr">
        <is>
          <t>Error (timeout): the LLM wrapped each mixer Operator in Aqua's MatrixOp before building the SummedOp, which removes the crash both luna models hit, but building the QAOA circuits doesn't finish within 120 seconds on any version (2 runs, the second with a single worker). Same code as gpt-6-astra, which timed out the same way.</t>
        </is>
      </c>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row>
    <row r="34">
      <c r="A34" s="2" t="inlineStr">
        <is>
          <t>issue_595</t>
        </is>
      </c>
      <c r="B34" s="3" t="inlineStr">
        <is>
          <t>NOT_TESTED</t>
        </is>
      </c>
      <c r="C34" s="3" t="inlineStr">
        <is>
          <t>NOT_TESTED</t>
        </is>
      </c>
      <c r="D34" s="3" t="inlineStr">
        <is>
          <t>NOT_TESTED</t>
        </is>
      </c>
      <c r="E34" s="3" t="inlineStr">
        <is>
          <t>NOT_TESTED</t>
        </is>
      </c>
      <c r="F34" s="4" t="inlineStr">
        <is>
          <t>Passed on test</t>
        </is>
      </c>
      <c r="G34" s="4" t="inlineStr">
        <is>
          <t>Passed on test</t>
        </is>
      </c>
      <c r="H34" s="4" t="inlineStr">
        <is>
          <t>Passed on test</t>
        </is>
      </c>
      <c r="I34" s="4" t="inlineStr">
        <is>
          <t>Passed on test</t>
        </is>
      </c>
      <c r="J34" s="4" t="inlineStr">
        <is>
          <t>Passed on test</t>
        </is>
      </c>
      <c r="K34" s="4" t="inlineStr">
        <is>
          <t>Passed on test</t>
        </is>
      </c>
      <c r="L34" s="4" t="inlineStr">
        <is>
          <t>Passed on test</t>
        </is>
      </c>
      <c r="M34" s="4" t="inlineStr">
        <is>
          <t>Passed on test</t>
        </is>
      </c>
      <c r="N34" s="4" t="inlineStr">
        <is>
          <t>Passed on test</t>
        </is>
      </c>
      <c r="O34" s="4" t="inlineStr">
        <is>
          <t>Passed on test</t>
        </is>
      </c>
      <c r="P34" s="4" t="inlineStr">
        <is>
          <t>Passed on test</t>
        </is>
      </c>
      <c r="Q34" s="4" t="inlineStr">
        <is>
          <t>Passed on test</t>
        </is>
      </c>
      <c r="R34" s="4" t="inlineStr">
        <is>
          <t>Passed on test</t>
        </is>
      </c>
      <c r="S34" s="4" t="inlineStr">
        <is>
          <t>Passed on test</t>
        </is>
      </c>
      <c r="T34" s="4" t="inlineStr">
        <is>
          <t>Passed on test</t>
        </is>
      </c>
      <c r="U34" s="4" t="inlineStr">
        <is>
          <t>Passed on test</t>
        </is>
      </c>
      <c r="V34" s="4" t="inlineStr">
        <is>
          <t>Passed on test</t>
        </is>
      </c>
      <c r="W34" s="4" t="inlineStr">
        <is>
          <t>Passed on test</t>
        </is>
      </c>
      <c r="X34" s="4" t="inlineStr">
        <is>
          <t>Passed on test</t>
        </is>
      </c>
      <c r="Y34" s="4" t="inlineStr">
        <is>
          <t>Passed on test</t>
        </is>
      </c>
      <c r="Z34" s="4" t="inlineStr">
        <is>
          <t>Passed on test</t>
        </is>
      </c>
      <c r="AA34" s="4" t="inlineStr">
        <is>
          <t>Passed on test</t>
        </is>
      </c>
      <c r="AB34" s="4" t="inlineStr">
        <is>
          <t>Passed on test</t>
        </is>
      </c>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2" t="n"/>
      <c r="CS34" s="2" t="n"/>
      <c r="CT34" s="2" t="n"/>
      <c r="CU34" s="2" t="n"/>
      <c r="CV34" s="2" t="n"/>
      <c r="CW34" s="2" t="n"/>
      <c r="CX34" s="2" t="n"/>
      <c r="CY34" s="2" t="n"/>
      <c r="CZ34" s="2" t="n"/>
      <c r="DA34" s="2" t="n"/>
      <c r="DB34" s="2" t="n"/>
      <c r="DC34" s="2" t="n"/>
      <c r="DD34" s="2" t="n"/>
      <c r="DE34" s="2" t="n"/>
    </row>
    <row r="35">
      <c r="A35" s="2" t="inlineStr">
        <is>
          <t>issue_596</t>
        </is>
      </c>
      <c r="B35" s="4" t="inlineStr">
        <is>
          <t>Passed on test</t>
        </is>
      </c>
      <c r="C35" s="4" t="inlineStr">
        <is>
          <t>Passed on test</t>
        </is>
      </c>
      <c r="D35" s="4" t="inlineStr">
        <is>
          <t>Passed on test</t>
        </is>
      </c>
      <c r="E35" s="4" t="inlineStr">
        <is>
          <t>Passed on test</t>
        </is>
      </c>
      <c r="F35" s="4" t="inlineStr">
        <is>
          <t>Passed on test</t>
        </is>
      </c>
      <c r="G35" s="4" t="inlineStr">
        <is>
          <t>Passed on test</t>
        </is>
      </c>
      <c r="H35" s="4" t="inlineStr">
        <is>
          <t>Passed on test</t>
        </is>
      </c>
      <c r="I35" s="4" t="inlineStr">
        <is>
          <t>Passed on test</t>
        </is>
      </c>
      <c r="J35" s="4" t="inlineStr">
        <is>
          <t>Passed on test</t>
        </is>
      </c>
      <c r="K35" s="4" t="inlineStr">
        <is>
          <t>Passed on test</t>
        </is>
      </c>
      <c r="L35" s="4" t="inlineStr">
        <is>
          <t>Passed on test</t>
        </is>
      </c>
      <c r="M35" s="4" t="inlineStr">
        <is>
          <t>Passed on test</t>
        </is>
      </c>
      <c r="N35" s="3" t="inlineStr">
        <is>
          <t>NOT_TESTED</t>
        </is>
      </c>
      <c r="O35" s="3" t="inlineStr">
        <is>
          <t>NOT_TESTED</t>
        </is>
      </c>
      <c r="P35" s="3" t="inlineStr">
        <is>
          <t>NOT_TESTED</t>
        </is>
      </c>
      <c r="Q35" s="3" t="inlineStr">
        <is>
          <t>NOT_TESTED</t>
        </is>
      </c>
      <c r="R35" s="3" t="inlineStr">
        <is>
          <t>NOT_TESTED</t>
        </is>
      </c>
      <c r="S35" s="3" t="inlineStr">
        <is>
          <t>NOT_TESTED</t>
        </is>
      </c>
      <c r="T35" s="3" t="inlineStr">
        <is>
          <t>NOT_TESTED</t>
        </is>
      </c>
      <c r="U35" s="3" t="inlineStr">
        <is>
          <t>NOT_TESTED</t>
        </is>
      </c>
      <c r="V35" s="3" t="inlineStr">
        <is>
          <t>NOT_TESTED</t>
        </is>
      </c>
      <c r="W35" s="3" t="inlineStr">
        <is>
          <t>NOT_TESTED</t>
        </is>
      </c>
      <c r="X35" s="3" t="inlineStr">
        <is>
          <t>NOT_TESTED</t>
        </is>
      </c>
      <c r="Y35" s="3" t="inlineStr">
        <is>
          <t>NOT_TESTED</t>
        </is>
      </c>
      <c r="Z35" s="3" t="inlineStr">
        <is>
          <t>NOT_TESTED</t>
        </is>
      </c>
      <c r="AA35" s="3" t="inlineStr">
        <is>
          <t>NOT_TESTED</t>
        </is>
      </c>
      <c r="AB35" s="3" t="inlineStr">
        <is>
          <t>NOT_TESTED</t>
        </is>
      </c>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2" t="n"/>
      <c r="CS35" s="2" t="n"/>
      <c r="CT35" s="2" t="n"/>
      <c r="CU35" s="2" t="n"/>
      <c r="CV35" s="2" t="n"/>
      <c r="CW35" s="2" t="n"/>
      <c r="CX35" s="2" t="n"/>
      <c r="CY35" s="2" t="n"/>
      <c r="CZ35" s="2" t="n"/>
      <c r="DA35" s="2" t="n"/>
      <c r="DB35" s="2" t="n"/>
      <c r="DC35" s="2" t="n"/>
      <c r="DD35" s="2" t="n"/>
      <c r="DE35" s="2" t="n"/>
    </row>
    <row r="36">
      <c r="A36" s="2" t="inlineStr">
        <is>
          <t>issue_600</t>
        </is>
      </c>
      <c r="B36" s="4" t="inlineStr">
        <is>
          <t>Passed on test</t>
        </is>
      </c>
      <c r="C36" s="4" t="inlineStr">
        <is>
          <t>Passed on test</t>
        </is>
      </c>
      <c r="D36" s="4" t="inlineStr">
        <is>
          <t>Passed on test</t>
        </is>
      </c>
      <c r="E36" s="4" t="inlineStr">
        <is>
          <t>Passed on test</t>
        </is>
      </c>
      <c r="F36" s="4" t="inlineStr">
        <is>
          <t>Passed on test</t>
        </is>
      </c>
      <c r="G36" s="4" t="inlineStr">
        <is>
          <t>Passed on test</t>
        </is>
      </c>
      <c r="H36" s="4" t="inlineStr">
        <is>
          <t>Passed on test</t>
        </is>
      </c>
      <c r="I36" s="4" t="inlineStr">
        <is>
          <t>Passed on test</t>
        </is>
      </c>
      <c r="J36" s="4" t="inlineStr">
        <is>
          <t>Passed on test</t>
        </is>
      </c>
      <c r="K36" s="4" t="inlineStr">
        <is>
          <t>Passed on test</t>
        </is>
      </c>
      <c r="L36" s="4" t="inlineStr">
        <is>
          <t>Passed on test</t>
        </is>
      </c>
      <c r="M36" s="4" t="inlineStr">
        <is>
          <t>Passed on test</t>
        </is>
      </c>
      <c r="N36" s="3" t="inlineStr">
        <is>
          <t>NOT_TESTED</t>
        </is>
      </c>
      <c r="O36" s="3" t="inlineStr">
        <is>
          <t>NOT_TESTED</t>
        </is>
      </c>
      <c r="P36" s="3" t="inlineStr">
        <is>
          <t>NOT_TESTED</t>
        </is>
      </c>
      <c r="Q36" s="3" t="inlineStr">
        <is>
          <t>NOT_TESTED</t>
        </is>
      </c>
      <c r="R36" s="3" t="inlineStr">
        <is>
          <t>NOT_TESTED</t>
        </is>
      </c>
      <c r="S36" s="3" t="inlineStr">
        <is>
          <t>NOT_TESTED</t>
        </is>
      </c>
      <c r="T36" s="3" t="inlineStr">
        <is>
          <t>NOT_TESTED</t>
        </is>
      </c>
      <c r="U36" s="3" t="inlineStr">
        <is>
          <t>NOT_TESTED</t>
        </is>
      </c>
      <c r="V36" s="3" t="inlineStr">
        <is>
          <t>NOT_TESTED</t>
        </is>
      </c>
      <c r="W36" s="3" t="inlineStr">
        <is>
          <t>NOT_TESTED</t>
        </is>
      </c>
      <c r="X36" s="3" t="inlineStr">
        <is>
          <t>NOT_TESTED</t>
        </is>
      </c>
      <c r="Y36" s="3" t="inlineStr">
        <is>
          <t>NOT_TESTED</t>
        </is>
      </c>
      <c r="Z36" s="3" t="inlineStr">
        <is>
          <t>NOT_TESTED</t>
        </is>
      </c>
      <c r="AA36" s="3" t="inlineStr">
        <is>
          <t>NOT_TESTED</t>
        </is>
      </c>
      <c r="AB36" s="3" t="inlineStr">
        <is>
          <t>NOT_TESTED</t>
        </is>
      </c>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2" t="n"/>
      <c r="CV36" s="2" t="n"/>
      <c r="CW36" s="2" t="n"/>
      <c r="CX36" s="2" t="n"/>
      <c r="CY36" s="2" t="n"/>
      <c r="CZ36" s="2" t="n"/>
      <c r="DA36" s="2" t="n"/>
      <c r="DB36" s="2" t="n"/>
      <c r="DC36" s="2" t="n"/>
      <c r="DD36" s="2" t="n"/>
      <c r="DE36" s="2" t="n"/>
    </row>
    <row r="37">
      <c r="A37" s="2" t="inlineStr">
        <is>
          <t>issue_622</t>
        </is>
      </c>
      <c r="B37" s="4" t="inlineStr">
        <is>
          <t>Passed on test</t>
        </is>
      </c>
      <c r="C37" s="4" t="inlineStr">
        <is>
          <t>Passed on test</t>
        </is>
      </c>
      <c r="D37" s="4" t="inlineStr">
        <is>
          <t>Passed on test</t>
        </is>
      </c>
      <c r="E37" s="4" t="inlineStr">
        <is>
          <t>Passed on test</t>
        </is>
      </c>
      <c r="F37" s="4" t="inlineStr">
        <is>
          <t>Passed on test</t>
        </is>
      </c>
      <c r="G37" s="4" t="inlineStr">
        <is>
          <t>Passed on test</t>
        </is>
      </c>
      <c r="H37" s="4" t="inlineStr">
        <is>
          <t>Passed on test</t>
        </is>
      </c>
      <c r="I37" s="4" t="inlineStr">
        <is>
          <t>Passed on test</t>
        </is>
      </c>
      <c r="J37" s="4" t="inlineStr">
        <is>
          <t>Passed on test</t>
        </is>
      </c>
      <c r="K37" s="4" t="inlineStr">
        <is>
          <t>Passed on test</t>
        </is>
      </c>
      <c r="L37" s="4" t="inlineStr">
        <is>
          <t>Passed on test</t>
        </is>
      </c>
      <c r="M37" s="4" t="inlineStr">
        <is>
          <t>Passed on test</t>
        </is>
      </c>
      <c r="N37" s="3" t="inlineStr">
        <is>
          <t>NOT_TESTED</t>
        </is>
      </c>
      <c r="O37" s="3" t="inlineStr">
        <is>
          <t>NOT_TESTED</t>
        </is>
      </c>
      <c r="P37" s="3" t="inlineStr">
        <is>
          <t>NOT_TESTED</t>
        </is>
      </c>
      <c r="Q37" s="3" t="inlineStr">
        <is>
          <t>NOT_TESTED</t>
        </is>
      </c>
      <c r="R37" s="3" t="inlineStr">
        <is>
          <t>NOT_TESTED</t>
        </is>
      </c>
      <c r="S37" s="3" t="inlineStr">
        <is>
          <t>NOT_TESTED</t>
        </is>
      </c>
      <c r="T37" s="3" t="inlineStr">
        <is>
          <t>NOT_TESTED</t>
        </is>
      </c>
      <c r="U37" s="3" t="inlineStr">
        <is>
          <t>NOT_TESTED</t>
        </is>
      </c>
      <c r="V37" s="3" t="inlineStr">
        <is>
          <t>NOT_TESTED</t>
        </is>
      </c>
      <c r="W37" s="3" t="inlineStr">
        <is>
          <t>NOT_TESTED</t>
        </is>
      </c>
      <c r="X37" s="3" t="inlineStr">
        <is>
          <t>NOT_TESTED</t>
        </is>
      </c>
      <c r="Y37" s="3" t="inlineStr">
        <is>
          <t>NOT_TESTED</t>
        </is>
      </c>
      <c r="Z37" s="3" t="inlineStr">
        <is>
          <t>NOT_TESTED</t>
        </is>
      </c>
      <c r="AA37" s="3" t="inlineStr">
        <is>
          <t>NOT_TESTED</t>
        </is>
      </c>
      <c r="AB37" s="3" t="inlineStr">
        <is>
          <t>NOT_TESTED</t>
        </is>
      </c>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2" t="n"/>
      <c r="CV37" s="2" t="n"/>
      <c r="CW37" s="2" t="n"/>
      <c r="CX37" s="2" t="n"/>
      <c r="CY37" s="2" t="n"/>
      <c r="CZ37" s="2" t="n"/>
      <c r="DA37" s="2" t="n"/>
      <c r="DB37" s="2" t="n"/>
      <c r="DC37" s="2" t="n"/>
      <c r="DD37" s="2" t="n"/>
      <c r="DE37" s="2" t="n"/>
    </row>
    <row r="38">
      <c r="A38" s="2" t="inlineStr">
        <is>
          <t>issue_624</t>
        </is>
      </c>
      <c r="B38" s="4" t="inlineStr">
        <is>
          <t>Passed on test</t>
        </is>
      </c>
      <c r="C38" s="4" t="inlineStr">
        <is>
          <t>Passed on test</t>
        </is>
      </c>
      <c r="D38" s="4" t="inlineStr">
        <is>
          <t>Passed on test</t>
        </is>
      </c>
      <c r="E38" s="4" t="inlineStr">
        <is>
          <t>Passed on test</t>
        </is>
      </c>
      <c r="F38" s="4" t="inlineStr">
        <is>
          <t>Passed on test</t>
        </is>
      </c>
      <c r="G38" s="4" t="inlineStr">
        <is>
          <t>Passed on test</t>
        </is>
      </c>
      <c r="H38" s="4" t="inlineStr">
        <is>
          <t>Passed on test</t>
        </is>
      </c>
      <c r="I38" s="4" t="inlineStr">
        <is>
          <t>Passed on test</t>
        </is>
      </c>
      <c r="J38" s="4" t="inlineStr">
        <is>
          <t>Passed on test</t>
        </is>
      </c>
      <c r="K38" s="4" t="inlineStr">
        <is>
          <t>Passed on test</t>
        </is>
      </c>
      <c r="L38" s="4" t="inlineStr">
        <is>
          <t>Passed on test</t>
        </is>
      </c>
      <c r="M38" s="4" t="inlineStr">
        <is>
          <t>Passed on test</t>
        </is>
      </c>
      <c r="N38" s="3" t="inlineStr">
        <is>
          <t>NOT_TESTED</t>
        </is>
      </c>
      <c r="O38" s="3" t="inlineStr">
        <is>
          <t>NOT_TESTED</t>
        </is>
      </c>
      <c r="P38" s="3" t="inlineStr">
        <is>
          <t>NOT_TESTED</t>
        </is>
      </c>
      <c r="Q38" s="3" t="inlineStr">
        <is>
          <t>NOT_TESTED</t>
        </is>
      </c>
      <c r="R38" s="3" t="inlineStr">
        <is>
          <t>NOT_TESTED</t>
        </is>
      </c>
      <c r="S38" s="3" t="inlineStr">
        <is>
          <t>NOT_TESTED</t>
        </is>
      </c>
      <c r="T38" s="3" t="inlineStr">
        <is>
          <t>NOT_TESTED</t>
        </is>
      </c>
      <c r="U38" s="3" t="inlineStr">
        <is>
          <t>NOT_TESTED</t>
        </is>
      </c>
      <c r="V38" s="3" t="inlineStr">
        <is>
          <t>NOT_TESTED</t>
        </is>
      </c>
      <c r="W38" s="3" t="inlineStr">
        <is>
          <t>NOT_TESTED</t>
        </is>
      </c>
      <c r="X38" s="3" t="inlineStr">
        <is>
          <t>NOT_TESTED</t>
        </is>
      </c>
      <c r="Y38" s="3" t="inlineStr">
        <is>
          <t>NOT_TESTED</t>
        </is>
      </c>
      <c r="Z38" s="3" t="inlineStr">
        <is>
          <t>NOT_TESTED</t>
        </is>
      </c>
      <c r="AA38" s="3" t="inlineStr">
        <is>
          <t>NOT_TESTED</t>
        </is>
      </c>
      <c r="AB38" s="3" t="inlineStr">
        <is>
          <t>NOT_TESTED</t>
        </is>
      </c>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2" t="n"/>
      <c r="CV38" s="2" t="n"/>
      <c r="CW38" s="2" t="n"/>
      <c r="CX38" s="2" t="n"/>
      <c r="CY38" s="2" t="n"/>
      <c r="CZ38" s="2" t="n"/>
      <c r="DA38" s="2" t="n"/>
      <c r="DB38" s="2" t="n"/>
      <c r="DC38" s="2" t="n"/>
      <c r="DD38" s="2" t="n"/>
      <c r="DE38" s="2" t="n"/>
    </row>
    <row r="39">
      <c r="A39" s="2" t="inlineStr">
        <is>
          <t>issue_635</t>
        </is>
      </c>
      <c r="B39" s="4" t="inlineStr">
        <is>
          <t>Passed on test</t>
        </is>
      </c>
      <c r="C39" s="4" t="inlineStr">
        <is>
          <t>Passed on test</t>
        </is>
      </c>
      <c r="D39" s="4" t="inlineStr">
        <is>
          <t>Passed on test</t>
        </is>
      </c>
      <c r="E39" s="4" t="inlineStr">
        <is>
          <t>Passed on test</t>
        </is>
      </c>
      <c r="F39" s="3" t="inlineStr">
        <is>
          <t>NOT_TESTED</t>
        </is>
      </c>
      <c r="G39" s="3" t="inlineStr">
        <is>
          <t>NOT_TESTED</t>
        </is>
      </c>
      <c r="H39" s="3" t="inlineStr">
        <is>
          <t>NOT_TESTED</t>
        </is>
      </c>
      <c r="I39" s="3" t="inlineStr">
        <is>
          <t>NOT_TESTED</t>
        </is>
      </c>
      <c r="J39" s="3" t="inlineStr">
        <is>
          <t>NOT_TESTED</t>
        </is>
      </c>
      <c r="K39" s="3" t="inlineStr">
        <is>
          <t>NOT_TESTED</t>
        </is>
      </c>
      <c r="L39" s="3" t="inlineStr">
        <is>
          <t>NOT_TESTED</t>
        </is>
      </c>
      <c r="M39" s="3" t="inlineStr">
        <is>
          <t>NOT_TESTED</t>
        </is>
      </c>
      <c r="N39" s="3" t="inlineStr">
        <is>
          <t>NOT_TESTED</t>
        </is>
      </c>
      <c r="O39" s="3" t="inlineStr">
        <is>
          <t>NOT_TESTED</t>
        </is>
      </c>
      <c r="P39" s="3" t="inlineStr">
        <is>
          <t>NOT_TESTED</t>
        </is>
      </c>
      <c r="Q39" s="3" t="inlineStr">
        <is>
          <t>NOT_TESTED</t>
        </is>
      </c>
      <c r="R39" s="3" t="inlineStr">
        <is>
          <t>NOT_TESTED</t>
        </is>
      </c>
      <c r="S39" s="3" t="inlineStr">
        <is>
          <t>NOT_TESTED</t>
        </is>
      </c>
      <c r="T39" s="3" t="inlineStr">
        <is>
          <t>NOT_TESTED</t>
        </is>
      </c>
      <c r="U39" s="3" t="inlineStr">
        <is>
          <t>NOT_TESTED</t>
        </is>
      </c>
      <c r="V39" s="3" t="inlineStr">
        <is>
          <t>NOT_TESTED</t>
        </is>
      </c>
      <c r="W39" s="3" t="inlineStr">
        <is>
          <t>NOT_TESTED</t>
        </is>
      </c>
      <c r="X39" s="3" t="inlineStr">
        <is>
          <t>NOT_TESTED</t>
        </is>
      </c>
      <c r="Y39" s="3" t="inlineStr">
        <is>
          <t>NOT_TESTED</t>
        </is>
      </c>
      <c r="Z39" s="3" t="inlineStr">
        <is>
          <t>NOT_TESTED</t>
        </is>
      </c>
      <c r="AA39" s="3" t="inlineStr">
        <is>
          <t>NOT_TESTED</t>
        </is>
      </c>
      <c r="AB39" s="3" t="inlineStr">
        <is>
          <t>NOT_TESTED</t>
        </is>
      </c>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2" t="n"/>
      <c r="CV39" s="2" t="n"/>
      <c r="CW39" s="2" t="n"/>
      <c r="CX39" s="2" t="n"/>
      <c r="CY39" s="2" t="n"/>
      <c r="CZ39" s="2" t="n"/>
      <c r="DA39" s="2" t="n"/>
      <c r="DB39" s="2" t="n"/>
      <c r="DC39" s="2" t="n"/>
      <c r="DD39" s="2" t="n"/>
      <c r="DE39" s="2" t="n"/>
    </row>
    <row r="40">
      <c r="A40" s="2" t="inlineStr">
        <is>
          <t>issue_662</t>
        </is>
      </c>
      <c r="B40" s="3" t="inlineStr">
        <is>
          <t>NOT_TESTED</t>
        </is>
      </c>
      <c r="C40" s="3" t="inlineStr">
        <is>
          <t>NOT_TESTED</t>
        </is>
      </c>
      <c r="D40" s="3" t="inlineStr">
        <is>
          <t>NOT_TESTED</t>
        </is>
      </c>
      <c r="E40" s="3" t="inlineStr">
        <is>
          <t>NOT_TESTED</t>
        </is>
      </c>
      <c r="F40" s="4" t="inlineStr">
        <is>
          <t>Passed on test</t>
        </is>
      </c>
      <c r="G40" s="4" t="inlineStr">
        <is>
          <t>Passed on test</t>
        </is>
      </c>
      <c r="H40" s="4" t="inlineStr">
        <is>
          <t>Passed on test</t>
        </is>
      </c>
      <c r="I40" s="4" t="inlineStr">
        <is>
          <t>Passed on test</t>
        </is>
      </c>
      <c r="J40" s="4" t="inlineStr">
        <is>
          <t>Passed on test</t>
        </is>
      </c>
      <c r="K40" s="4" t="inlineStr">
        <is>
          <t>Passed on test</t>
        </is>
      </c>
      <c r="L40" s="4" t="inlineStr">
        <is>
          <t>Passed on test</t>
        </is>
      </c>
      <c r="M40" s="4" t="inlineStr">
        <is>
          <t>Passed on test</t>
        </is>
      </c>
      <c r="N40" s="4" t="inlineStr">
        <is>
          <t>Passed on test</t>
        </is>
      </c>
      <c r="O40" s="4" t="inlineStr">
        <is>
          <t>Passed on test</t>
        </is>
      </c>
      <c r="P40" s="4" t="inlineStr">
        <is>
          <t>Passed on test</t>
        </is>
      </c>
      <c r="Q40" s="4" t="inlineStr">
        <is>
          <t>Passed on test</t>
        </is>
      </c>
      <c r="R40" s="4" t="inlineStr">
        <is>
          <t>Passed on test</t>
        </is>
      </c>
      <c r="S40" s="4" t="inlineStr">
        <is>
          <t>Passed on test</t>
        </is>
      </c>
      <c r="T40" s="4" t="inlineStr">
        <is>
          <t>Passed on test</t>
        </is>
      </c>
      <c r="U40" s="4" t="inlineStr">
        <is>
          <t>Passed on test</t>
        </is>
      </c>
      <c r="V40" s="4" t="inlineStr">
        <is>
          <t>Passed on test</t>
        </is>
      </c>
      <c r="W40" s="4" t="inlineStr">
        <is>
          <t>Passed on test</t>
        </is>
      </c>
      <c r="X40" s="4" t="inlineStr">
        <is>
          <t>Passed on test</t>
        </is>
      </c>
      <c r="Y40" s="4" t="inlineStr">
        <is>
          <t>Passed on test</t>
        </is>
      </c>
      <c r="Z40" s="4" t="inlineStr">
        <is>
          <t>Passed on test</t>
        </is>
      </c>
      <c r="AA40" s="4" t="inlineStr">
        <is>
          <t>Passed on test</t>
        </is>
      </c>
      <c r="AB40" s="4" t="inlineStr">
        <is>
          <t>Passed on test</t>
        </is>
      </c>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2" t="n"/>
      <c r="CV40" s="2" t="n"/>
      <c r="CW40" s="2" t="n"/>
      <c r="CX40" s="2" t="n"/>
      <c r="CY40" s="2" t="n"/>
      <c r="CZ40" s="2" t="n"/>
      <c r="DA40" s="2" t="n"/>
      <c r="DB40" s="2" t="n"/>
      <c r="DC40" s="2" t="n"/>
      <c r="DD40" s="2" t="n"/>
      <c r="DE40" s="2" t="n"/>
    </row>
    <row r="41">
      <c r="A41" s="2" t="inlineStr">
        <is>
          <t>issue_663</t>
        </is>
      </c>
      <c r="B41" s="3" t="inlineStr">
        <is>
          <t>NOT_TESTED</t>
        </is>
      </c>
      <c r="C41" s="3" t="inlineStr">
        <is>
          <t>NOT_TESTED</t>
        </is>
      </c>
      <c r="D41" s="3" t="inlineStr">
        <is>
          <t>NOT_TESTED</t>
        </is>
      </c>
      <c r="E41" s="3" t="inlineStr">
        <is>
          <t>NOT_TESTED</t>
        </is>
      </c>
      <c r="F41" s="4" t="inlineStr">
        <is>
          <t>Passed on test</t>
        </is>
      </c>
      <c r="G41" s="4" t="inlineStr">
        <is>
          <t>Passed on test</t>
        </is>
      </c>
      <c r="H41" s="4" t="inlineStr">
        <is>
          <t>Passed on test</t>
        </is>
      </c>
      <c r="I41" s="4" t="inlineStr">
        <is>
          <t>Passed on test</t>
        </is>
      </c>
      <c r="J41" s="4" t="inlineStr">
        <is>
          <t>Passed on test</t>
        </is>
      </c>
      <c r="K41" s="4" t="inlineStr">
        <is>
          <t>Passed on test</t>
        </is>
      </c>
      <c r="L41" s="4" t="inlineStr">
        <is>
          <t>Passed on test</t>
        </is>
      </c>
      <c r="M41" s="4" t="inlineStr">
        <is>
          <t>Passed on test</t>
        </is>
      </c>
      <c r="N41" s="3" t="inlineStr">
        <is>
          <t>NOT_TESTED</t>
        </is>
      </c>
      <c r="O41" s="3" t="inlineStr">
        <is>
          <t>NOT_TESTED</t>
        </is>
      </c>
      <c r="P41" s="3" t="inlineStr">
        <is>
          <t>NOT_TESTED</t>
        </is>
      </c>
      <c r="Q41" s="3" t="inlineStr">
        <is>
          <t>NOT_TESTED</t>
        </is>
      </c>
      <c r="R41" s="3" t="inlineStr">
        <is>
          <t>NOT_TESTED</t>
        </is>
      </c>
      <c r="S41" s="3" t="inlineStr">
        <is>
          <t>NOT_TESTED</t>
        </is>
      </c>
      <c r="T41" s="3" t="inlineStr">
        <is>
          <t>NOT_TESTED</t>
        </is>
      </c>
      <c r="U41" s="3" t="inlineStr">
        <is>
          <t>NOT_TESTED</t>
        </is>
      </c>
      <c r="V41" s="3" t="inlineStr">
        <is>
          <t>NOT_TESTED</t>
        </is>
      </c>
      <c r="W41" s="3" t="inlineStr">
        <is>
          <t>NOT_TESTED</t>
        </is>
      </c>
      <c r="X41" s="3" t="inlineStr">
        <is>
          <t>NOT_TESTED</t>
        </is>
      </c>
      <c r="Y41" s="3" t="inlineStr">
        <is>
          <t>NOT_TESTED</t>
        </is>
      </c>
      <c r="Z41" s="3" t="inlineStr">
        <is>
          <t>NOT_TESTED</t>
        </is>
      </c>
      <c r="AA41" s="3" t="inlineStr">
        <is>
          <t>NOT_TESTED</t>
        </is>
      </c>
      <c r="AB41" s="3" t="inlineStr">
        <is>
          <t>NOT_TESTED</t>
        </is>
      </c>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2" t="n"/>
      <c r="CV41" s="2" t="n"/>
      <c r="CW41" s="2" t="n"/>
      <c r="CX41" s="2" t="n"/>
      <c r="CY41" s="2" t="n"/>
      <c r="CZ41" s="2" t="n"/>
      <c r="DA41" s="2" t="n"/>
      <c r="DB41" s="2" t="n"/>
      <c r="DC41" s="2" t="n"/>
      <c r="DD41" s="2" t="n"/>
      <c r="DE41" s="2" t="n"/>
    </row>
    <row r="42">
      <c r="A42" s="2" t="inlineStr">
        <is>
          <t>issue_671</t>
        </is>
      </c>
      <c r="B42" s="4" t="inlineStr">
        <is>
          <t>Failed on test</t>
        </is>
      </c>
      <c r="C42" s="4" t="inlineStr">
        <is>
          <t>Failed on test</t>
        </is>
      </c>
      <c r="D42" s="4" t="inlineStr">
        <is>
          <t>Failed on test</t>
        </is>
      </c>
      <c r="E42" s="4" t="inlineStr">
        <is>
          <t>Failed on test</t>
        </is>
      </c>
      <c r="F42" s="4" t="inlineStr">
        <is>
          <t>Failed on test</t>
        </is>
      </c>
      <c r="G42" s="4" t="inlineStr">
        <is>
          <t>Failed on test</t>
        </is>
      </c>
      <c r="H42" s="4" t="inlineStr">
        <is>
          <t>Failed on test</t>
        </is>
      </c>
      <c r="I42" s="4" t="inlineStr">
        <is>
          <t>Failed on test</t>
        </is>
      </c>
      <c r="J42" s="4" t="inlineStr">
        <is>
          <t>Failed on test</t>
        </is>
      </c>
      <c r="K42" s="4" t="inlineStr">
        <is>
          <t>Failed on test</t>
        </is>
      </c>
      <c r="L42" s="4" t="inlineStr">
        <is>
          <t>Failed on test</t>
        </is>
      </c>
      <c r="M42" s="4" t="inlineStr">
        <is>
          <t>Failed on test</t>
        </is>
      </c>
      <c r="N42" s="4" t="inlineStr">
        <is>
          <t>Failed on test</t>
        </is>
      </c>
      <c r="O42" s="4" t="inlineStr">
        <is>
          <t>Failed on test</t>
        </is>
      </c>
      <c r="P42" s="4" t="inlineStr">
        <is>
          <t>Failed on test</t>
        </is>
      </c>
      <c r="Q42" s="4" t="inlineStr">
        <is>
          <t>Failed on test</t>
        </is>
      </c>
      <c r="R42" s="4" t="inlineStr">
        <is>
          <t>Failed on test</t>
        </is>
      </c>
      <c r="S42" s="4" t="inlineStr">
        <is>
          <t>Failed on test</t>
        </is>
      </c>
      <c r="T42" s="4" t="inlineStr">
        <is>
          <t>Failed on test</t>
        </is>
      </c>
      <c r="U42" s="4" t="inlineStr">
        <is>
          <t>Failed on test</t>
        </is>
      </c>
      <c r="V42" s="4" t="inlineStr">
        <is>
          <t>Failed on test</t>
        </is>
      </c>
      <c r="W42" s="4" t="inlineStr">
        <is>
          <t>Failed on test</t>
        </is>
      </c>
      <c r="X42" s="4" t="inlineStr">
        <is>
          <t>Failed on test</t>
        </is>
      </c>
      <c r="Y42" s="4" t="inlineStr">
        <is>
          <t>Failed on test</t>
        </is>
      </c>
      <c r="Z42" s="4" t="inlineStr">
        <is>
          <t>Failed on test</t>
        </is>
      </c>
      <c r="AA42" s="4" t="inlineStr">
        <is>
          <t>Failed on test</t>
        </is>
      </c>
      <c r="AB42" s="4" t="inlineStr">
        <is>
          <t>Failed on test</t>
        </is>
      </c>
      <c r="AC42" s="2" t="inlineStr">
        <is>
          <t>AssertionError</t>
        </is>
      </c>
      <c r="AD42" s="2" t="inlineStr">
        <is>
          <t>AssertionError:</t>
        </is>
      </c>
      <c r="AE42" s="2" t="n"/>
      <c r="AF42" s="2" t="inlineStr">
        <is>
          <t>AssertionError</t>
        </is>
      </c>
      <c r="AG42" s="2" t="inlineStr">
        <is>
          <t>AssertionError:</t>
        </is>
      </c>
      <c r="AH42" s="2" t="n"/>
      <c r="AI42" s="2" t="inlineStr">
        <is>
          <t>AssertionError</t>
        </is>
      </c>
      <c r="AJ42" s="2" t="inlineStr">
        <is>
          <t>AssertionError:</t>
        </is>
      </c>
      <c r="AK42" s="2" t="n"/>
      <c r="AL42" s="2" t="inlineStr">
        <is>
          <t>AssertionError</t>
        </is>
      </c>
      <c r="AM42" s="2" t="inlineStr">
        <is>
          <t>AssertionError:</t>
        </is>
      </c>
      <c r="AN42" s="2" t="n"/>
      <c r="AO42" s="2" t="inlineStr">
        <is>
          <t>AssertionError</t>
        </is>
      </c>
      <c r="AP42" s="2" t="inlineStr">
        <is>
          <t>AssertionError:</t>
        </is>
      </c>
      <c r="AQ42" s="2" t="n"/>
      <c r="AR42" s="2" t="inlineStr">
        <is>
          <t>AssertionError</t>
        </is>
      </c>
      <c r="AS42" s="2" t="inlineStr">
        <is>
          <t>AssertionError:</t>
        </is>
      </c>
      <c r="AT42" s="2" t="n"/>
      <c r="AU42" s="2" t="inlineStr">
        <is>
          <t>AssertionError</t>
        </is>
      </c>
      <c r="AV42" s="2" t="inlineStr">
        <is>
          <t>AssertionError:</t>
        </is>
      </c>
      <c r="AW42" s="2" t="n"/>
      <c r="AX42" s="2" t="inlineStr">
        <is>
          <t>AssertionError</t>
        </is>
      </c>
      <c r="AY42" s="2" t="inlineStr">
        <is>
          <t>AssertionError:</t>
        </is>
      </c>
      <c r="AZ42" s="2" t="n"/>
      <c r="BA42" s="2" t="inlineStr">
        <is>
          <t>AssertionError</t>
        </is>
      </c>
      <c r="BB42" s="2" t="inlineStr">
        <is>
          <t>AssertionError:</t>
        </is>
      </c>
      <c r="BC42" s="2" t="n"/>
      <c r="BD42" s="2" t="inlineStr">
        <is>
          <t>AssertionError</t>
        </is>
      </c>
      <c r="BE42" s="2" t="inlineStr">
        <is>
          <t>AssertionError:</t>
        </is>
      </c>
      <c r="BF42" s="2" t="n"/>
      <c r="BG42" s="2" t="inlineStr">
        <is>
          <t>AssertionError</t>
        </is>
      </c>
      <c r="BH42" s="2" t="inlineStr">
        <is>
          <t>AssertionError:</t>
        </is>
      </c>
      <c r="BI42" s="2" t="n"/>
      <c r="BJ42" s="2" t="inlineStr">
        <is>
          <t>AssertionError</t>
        </is>
      </c>
      <c r="BK42" s="2" t="inlineStr">
        <is>
          <t>AssertionError:</t>
        </is>
      </c>
      <c r="BL42" s="2" t="n"/>
      <c r="BM42" s="2" t="inlineStr">
        <is>
          <t>AssertionError</t>
        </is>
      </c>
      <c r="BN42" s="2" t="inlineStr">
        <is>
          <t>AssertionError:</t>
        </is>
      </c>
      <c r="BO42" s="2" t="n"/>
      <c r="BP42" s="2" t="inlineStr">
        <is>
          <t>AssertionError</t>
        </is>
      </c>
      <c r="BQ42" s="2" t="inlineStr">
        <is>
          <t>AssertionError:</t>
        </is>
      </c>
      <c r="BR42" s="2" t="n"/>
      <c r="BS42" s="2" t="inlineStr">
        <is>
          <t>AssertionError</t>
        </is>
      </c>
      <c r="BT42" s="2" t="inlineStr">
        <is>
          <t>AssertionError:</t>
        </is>
      </c>
      <c r="BU42" s="2" t="n"/>
      <c r="BV42" s="2" t="inlineStr">
        <is>
          <t>AssertionError</t>
        </is>
      </c>
      <c r="BW42" s="2" t="inlineStr">
        <is>
          <t>AssertionError:</t>
        </is>
      </c>
      <c r="BX42" s="2" t="n"/>
      <c r="BY42" s="2" t="inlineStr">
        <is>
          <t>AssertionError</t>
        </is>
      </c>
      <c r="BZ42" s="2" t="inlineStr">
        <is>
          <t>AssertionError:</t>
        </is>
      </c>
      <c r="CA42" s="2" t="n"/>
      <c r="CB42" s="2" t="inlineStr">
        <is>
          <t>AssertionError</t>
        </is>
      </c>
      <c r="CC42" s="2" t="inlineStr">
        <is>
          <t>AssertionError:</t>
        </is>
      </c>
      <c r="CD42" s="2" t="n"/>
      <c r="CE42" s="2" t="inlineStr">
        <is>
          <t>AssertionError</t>
        </is>
      </c>
      <c r="CF42" s="2" t="inlineStr">
        <is>
          <t>AssertionError:</t>
        </is>
      </c>
      <c r="CG42" s="2" t="n"/>
      <c r="CH42" s="2" t="inlineStr">
        <is>
          <t>AssertionError</t>
        </is>
      </c>
      <c r="CI42" s="2" t="inlineStr">
        <is>
          <t>AssertionError:</t>
        </is>
      </c>
      <c r="CJ42" s="2" t="n"/>
      <c r="CK42" s="2" t="inlineStr">
        <is>
          <t>AssertionError</t>
        </is>
      </c>
      <c r="CL42" s="2" t="inlineStr">
        <is>
          <t>AssertionError:</t>
        </is>
      </c>
      <c r="CM42" s="2" t="n"/>
      <c r="CN42" s="2" t="inlineStr">
        <is>
          <t>AssertionError</t>
        </is>
      </c>
      <c r="CO42" s="2" t="inlineStr">
        <is>
          <t>AssertionError:</t>
        </is>
      </c>
      <c r="CP42" s="2" t="n"/>
      <c r="CQ42" s="2" t="inlineStr">
        <is>
          <t>AssertionError</t>
        </is>
      </c>
      <c r="CR42" s="2" t="inlineStr">
        <is>
          <t>AssertionError:</t>
        </is>
      </c>
      <c r="CS42" s="2" t="n"/>
      <c r="CT42" s="2" t="inlineStr">
        <is>
          <t>AssertionError</t>
        </is>
      </c>
      <c r="CU42" s="2" t="inlineStr">
        <is>
          <t>AssertionError:</t>
        </is>
      </c>
      <c r="CV42" s="2" t="n"/>
      <c r="CW42" s="2" t="inlineStr">
        <is>
          <t>AssertionError</t>
        </is>
      </c>
      <c r="CX42" s="2" t="inlineStr">
        <is>
          <t>AssertionError:</t>
        </is>
      </c>
      <c r="CY42" s="2" t="n"/>
      <c r="CZ42" s="2" t="inlineStr">
        <is>
          <t>AssertionError</t>
        </is>
      </c>
      <c r="DA42" s="2" t="inlineStr">
        <is>
          <t>AssertionError:</t>
        </is>
      </c>
      <c r="DB42" s="2" t="n"/>
      <c r="DC42" s="2" t="inlineStr">
        <is>
          <t>AssertionError</t>
        </is>
      </c>
      <c r="DD42" s="2" t="inlineStr">
        <is>
          <t>AssertionError:</t>
        </is>
      </c>
      <c r="DE42" s="2" t="n"/>
    </row>
    <row r="43">
      <c r="A43" s="2" t="inlineStr">
        <is>
          <t>issue_727</t>
        </is>
      </c>
      <c r="B43" s="4" t="inlineStr">
        <is>
          <t>Passed on test</t>
        </is>
      </c>
      <c r="C43" s="4" t="inlineStr">
        <is>
          <t>Passed on test</t>
        </is>
      </c>
      <c r="D43" s="4" t="inlineStr">
        <is>
          <t>Passed on test</t>
        </is>
      </c>
      <c r="E43" s="4" t="inlineStr">
        <is>
          <t>Passed on test</t>
        </is>
      </c>
      <c r="F43" s="4" t="inlineStr">
        <is>
          <t>Passed on test</t>
        </is>
      </c>
      <c r="G43" s="4" t="inlineStr">
        <is>
          <t>Passed on test</t>
        </is>
      </c>
      <c r="H43" s="4" t="inlineStr">
        <is>
          <t>Passed on test</t>
        </is>
      </c>
      <c r="I43" s="4" t="inlineStr">
        <is>
          <t>Passed on test</t>
        </is>
      </c>
      <c r="J43" s="4" t="inlineStr">
        <is>
          <t>Passed on test</t>
        </is>
      </c>
      <c r="K43" s="4" t="inlineStr">
        <is>
          <t>Passed on test</t>
        </is>
      </c>
      <c r="L43" s="4" t="inlineStr">
        <is>
          <t>Passed on test</t>
        </is>
      </c>
      <c r="M43" s="4" t="inlineStr">
        <is>
          <t>Passed on test</t>
        </is>
      </c>
      <c r="N43" s="3" t="inlineStr">
        <is>
          <t>NOT_TESTED</t>
        </is>
      </c>
      <c r="O43" s="3" t="inlineStr">
        <is>
          <t>NOT_TESTED</t>
        </is>
      </c>
      <c r="P43" s="3" t="inlineStr">
        <is>
          <t>NOT_TESTED</t>
        </is>
      </c>
      <c r="Q43" s="3" t="inlineStr">
        <is>
          <t>NOT_TESTED</t>
        </is>
      </c>
      <c r="R43" s="3" t="inlineStr">
        <is>
          <t>NOT_TESTED</t>
        </is>
      </c>
      <c r="S43" s="3" t="inlineStr">
        <is>
          <t>NOT_TESTED</t>
        </is>
      </c>
      <c r="T43" s="3" t="inlineStr">
        <is>
          <t>NOT_TESTED</t>
        </is>
      </c>
      <c r="U43" s="3" t="inlineStr">
        <is>
          <t>NOT_TESTED</t>
        </is>
      </c>
      <c r="V43" s="3" t="inlineStr">
        <is>
          <t>NOT_TESTED</t>
        </is>
      </c>
      <c r="W43" s="3" t="inlineStr">
        <is>
          <t>NOT_TESTED</t>
        </is>
      </c>
      <c r="X43" s="3" t="inlineStr">
        <is>
          <t>NOT_TESTED</t>
        </is>
      </c>
      <c r="Y43" s="3" t="inlineStr">
        <is>
          <t>NOT_TESTED</t>
        </is>
      </c>
      <c r="Z43" s="3" t="inlineStr">
        <is>
          <t>NOT_TESTED</t>
        </is>
      </c>
      <c r="AA43" s="3" t="inlineStr">
        <is>
          <t>NOT_TESTED</t>
        </is>
      </c>
      <c r="AB43" s="3" t="inlineStr">
        <is>
          <t>NOT_TESTED</t>
        </is>
      </c>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2" t="n"/>
      <c r="CW43" s="2" t="n"/>
      <c r="CX43" s="2" t="n"/>
      <c r="CY43" s="2" t="n"/>
      <c r="CZ43" s="2" t="n"/>
      <c r="DA43" s="2" t="n"/>
      <c r="DB43" s="2" t="n"/>
      <c r="DC43" s="2" t="n"/>
      <c r="DD43" s="2" t="n"/>
      <c r="DE43" s="2" t="n"/>
    </row>
    <row r="44">
      <c r="A44" s="2" t="inlineStr">
        <is>
          <t>issue_742</t>
        </is>
      </c>
      <c r="B44" s="3" t="inlineStr">
        <is>
          <t>NOT_TESTED</t>
        </is>
      </c>
      <c r="C44" s="3" t="inlineStr">
        <is>
          <t>NOT_TESTED</t>
        </is>
      </c>
      <c r="D44" s="3" t="inlineStr">
        <is>
          <t>NOT_TESTED</t>
        </is>
      </c>
      <c r="E44" s="3" t="inlineStr">
        <is>
          <t>NOT_TESTED</t>
        </is>
      </c>
      <c r="F44" s="3" t="inlineStr">
        <is>
          <t>NOT_TESTED</t>
        </is>
      </c>
      <c r="G44" s="3" t="inlineStr">
        <is>
          <t>NOT_TESTED</t>
        </is>
      </c>
      <c r="H44" s="3" t="inlineStr">
        <is>
          <t>NOT_TESTED</t>
        </is>
      </c>
      <c r="I44" s="3" t="inlineStr">
        <is>
          <t>NOT_TESTED</t>
        </is>
      </c>
      <c r="J44" s="3" t="inlineStr">
        <is>
          <t>NOT_TESTED</t>
        </is>
      </c>
      <c r="K44" s="3" t="inlineStr">
        <is>
          <t>NOT_TESTED</t>
        </is>
      </c>
      <c r="L44" s="3" t="inlineStr">
        <is>
          <t>NOT_TESTED</t>
        </is>
      </c>
      <c r="M44" s="3" t="inlineStr">
        <is>
          <t>NOT_TESTED</t>
        </is>
      </c>
      <c r="N44" s="3" t="inlineStr">
        <is>
          <t>NOT_TESTED</t>
        </is>
      </c>
      <c r="O44" s="3" t="inlineStr">
        <is>
          <t>NOT_TESTED</t>
        </is>
      </c>
      <c r="P44" s="3" t="inlineStr">
        <is>
          <t>NOT_TESTED</t>
        </is>
      </c>
      <c r="Q44" s="4" t="inlineStr">
        <is>
          <t>Passed on test</t>
        </is>
      </c>
      <c r="R44" s="4" t="inlineStr">
        <is>
          <t>Passed on test</t>
        </is>
      </c>
      <c r="S44" s="4" t="inlineStr">
        <is>
          <t>Passed on test</t>
        </is>
      </c>
      <c r="T44" s="4" t="inlineStr">
        <is>
          <t>Passed on test</t>
        </is>
      </c>
      <c r="U44" s="4" t="inlineStr">
        <is>
          <t>Passed on test</t>
        </is>
      </c>
      <c r="V44" s="4" t="inlineStr">
        <is>
          <t>Passed on test</t>
        </is>
      </c>
      <c r="W44" s="4" t="inlineStr">
        <is>
          <t>Passed on test</t>
        </is>
      </c>
      <c r="X44" s="4" t="inlineStr">
        <is>
          <t>Passed on test</t>
        </is>
      </c>
      <c r="Y44" s="4" t="inlineStr">
        <is>
          <t>Passed on test</t>
        </is>
      </c>
      <c r="Z44" s="4" t="inlineStr">
        <is>
          <t>Passed on test</t>
        </is>
      </c>
      <c r="AA44" s="4" t="inlineStr">
        <is>
          <t>Passed on test</t>
        </is>
      </c>
      <c r="AB44" s="4" t="inlineStr">
        <is>
          <t>Passed on test</t>
        </is>
      </c>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2" t="n"/>
      <c r="CW44" s="2" t="n"/>
      <c r="CX44" s="2" t="n"/>
      <c r="CY44" s="2" t="n"/>
      <c r="CZ44" s="2" t="n"/>
      <c r="DA44" s="2" t="n"/>
      <c r="DB44" s="2" t="n"/>
      <c r="DC44" s="2" t="n"/>
      <c r="DD44" s="2" t="n"/>
      <c r="DE44" s="2" t="n"/>
    </row>
    <row r="45">
      <c r="A45" s="2" t="inlineStr">
        <is>
          <t>issue_747</t>
        </is>
      </c>
      <c r="B45" s="3" t="inlineStr">
        <is>
          <t>NOT_TESTED</t>
        </is>
      </c>
      <c r="C45" s="3" t="inlineStr">
        <is>
          <t>NOT_TESTED</t>
        </is>
      </c>
      <c r="D45" s="3" t="inlineStr">
        <is>
          <t>NOT_TESTED</t>
        </is>
      </c>
      <c r="E45" s="3" t="inlineStr">
        <is>
          <t>NOT_TESTED</t>
        </is>
      </c>
      <c r="F45" s="4" t="inlineStr">
        <is>
          <t>Passed on test</t>
        </is>
      </c>
      <c r="G45" s="4" t="inlineStr">
        <is>
          <t>Passed on test</t>
        </is>
      </c>
      <c r="H45" s="4" t="inlineStr">
        <is>
          <t>Passed on test</t>
        </is>
      </c>
      <c r="I45" s="4" t="inlineStr">
        <is>
          <t>Passed on test</t>
        </is>
      </c>
      <c r="J45" s="4" t="inlineStr">
        <is>
          <t>Passed on test</t>
        </is>
      </c>
      <c r="K45" s="4" t="inlineStr">
        <is>
          <t>Passed on test</t>
        </is>
      </c>
      <c r="L45" s="4" t="inlineStr">
        <is>
          <t>Passed on test</t>
        </is>
      </c>
      <c r="M45" s="4" t="inlineStr">
        <is>
          <t>Passed on test</t>
        </is>
      </c>
      <c r="N45" s="3" t="inlineStr">
        <is>
          <t>NOT_TESTED</t>
        </is>
      </c>
      <c r="O45" s="3" t="inlineStr">
        <is>
          <t>NOT_TESTED</t>
        </is>
      </c>
      <c r="P45" s="3" t="inlineStr">
        <is>
          <t>NOT_TESTED</t>
        </is>
      </c>
      <c r="Q45" s="3" t="inlineStr">
        <is>
          <t>NOT_TESTED</t>
        </is>
      </c>
      <c r="R45" s="3" t="inlineStr">
        <is>
          <t>NOT_TESTED</t>
        </is>
      </c>
      <c r="S45" s="3" t="inlineStr">
        <is>
          <t>NOT_TESTED</t>
        </is>
      </c>
      <c r="T45" s="3" t="inlineStr">
        <is>
          <t>NOT_TESTED</t>
        </is>
      </c>
      <c r="U45" s="3" t="inlineStr">
        <is>
          <t>NOT_TESTED</t>
        </is>
      </c>
      <c r="V45" s="3" t="inlineStr">
        <is>
          <t>NOT_TESTED</t>
        </is>
      </c>
      <c r="W45" s="3" t="inlineStr">
        <is>
          <t>NOT_TESTED</t>
        </is>
      </c>
      <c r="X45" s="3" t="inlineStr">
        <is>
          <t>NOT_TESTED</t>
        </is>
      </c>
      <c r="Y45" s="3" t="inlineStr">
        <is>
          <t>NOT_TESTED</t>
        </is>
      </c>
      <c r="Z45" s="3" t="inlineStr">
        <is>
          <t>NOT_TESTED</t>
        </is>
      </c>
      <c r="AA45" s="3" t="inlineStr">
        <is>
          <t>NOT_TESTED</t>
        </is>
      </c>
      <c r="AB45" s="3" t="inlineStr">
        <is>
          <t>NOT_TESTED</t>
        </is>
      </c>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2" t="n"/>
      <c r="CW45" s="2" t="n"/>
      <c r="CX45" s="2" t="n"/>
      <c r="CY45" s="2" t="n"/>
      <c r="CZ45" s="2" t="n"/>
      <c r="DA45" s="2" t="n"/>
      <c r="DB45" s="2" t="n"/>
      <c r="DC45" s="2" t="n"/>
      <c r="DD45" s="2" t="n"/>
      <c r="DE45" s="2" t="n"/>
    </row>
    <row r="46">
      <c r="A46" s="2" t="inlineStr">
        <is>
          <t>issue_750</t>
        </is>
      </c>
      <c r="B46" s="3" t="inlineStr">
        <is>
          <t>NOT_TESTED</t>
        </is>
      </c>
      <c r="C46" s="3" t="inlineStr">
        <is>
          <t>NOT_TESTED</t>
        </is>
      </c>
      <c r="D46" s="3" t="inlineStr">
        <is>
          <t>NOT_TESTED</t>
        </is>
      </c>
      <c r="E46" s="3" t="inlineStr">
        <is>
          <t>NOT_TESTED</t>
        </is>
      </c>
      <c r="F46" s="4" t="inlineStr">
        <is>
          <t>Passed on test</t>
        </is>
      </c>
      <c r="G46" s="4" t="inlineStr">
        <is>
          <t>Passed on test</t>
        </is>
      </c>
      <c r="H46" s="4" t="inlineStr">
        <is>
          <t>Passed on test</t>
        </is>
      </c>
      <c r="I46" s="4" t="inlineStr">
        <is>
          <t>Passed on test</t>
        </is>
      </c>
      <c r="J46" s="4" t="inlineStr">
        <is>
          <t>Passed on test</t>
        </is>
      </c>
      <c r="K46" s="4" t="inlineStr">
        <is>
          <t>Passed on test</t>
        </is>
      </c>
      <c r="L46" s="4" t="inlineStr">
        <is>
          <t>Passed on test</t>
        </is>
      </c>
      <c r="M46" s="4" t="inlineStr">
        <is>
          <t>Passed on test</t>
        </is>
      </c>
      <c r="N46" s="4" t="inlineStr">
        <is>
          <t>Passed on test</t>
        </is>
      </c>
      <c r="O46" s="4" t="inlineStr">
        <is>
          <t>Passed on test</t>
        </is>
      </c>
      <c r="P46" s="4" t="inlineStr">
        <is>
          <t>Passed on test</t>
        </is>
      </c>
      <c r="Q46" s="4" t="inlineStr">
        <is>
          <t>Passed on test</t>
        </is>
      </c>
      <c r="R46" s="4" t="inlineStr">
        <is>
          <t>Passed on test</t>
        </is>
      </c>
      <c r="S46" s="4" t="inlineStr">
        <is>
          <t>Passed on test</t>
        </is>
      </c>
      <c r="T46" s="4" t="inlineStr">
        <is>
          <t>Passed on test</t>
        </is>
      </c>
      <c r="U46" s="4" t="inlineStr">
        <is>
          <t>Passed on test</t>
        </is>
      </c>
      <c r="V46" s="4" t="inlineStr">
        <is>
          <t>Passed on test</t>
        </is>
      </c>
      <c r="W46" s="4" t="inlineStr">
        <is>
          <t>Passed on test</t>
        </is>
      </c>
      <c r="X46" s="4" t="inlineStr">
        <is>
          <t>Passed on test</t>
        </is>
      </c>
      <c r="Y46" s="4" t="inlineStr">
        <is>
          <t>Passed on test</t>
        </is>
      </c>
      <c r="Z46" s="4" t="inlineStr">
        <is>
          <t>Passed on test</t>
        </is>
      </c>
      <c r="AA46" s="4" t="inlineStr">
        <is>
          <t>Passed on test</t>
        </is>
      </c>
      <c r="AB46" s="4" t="inlineStr">
        <is>
          <t>Passed on test</t>
        </is>
      </c>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2" t="n"/>
      <c r="CW46" s="2" t="n"/>
      <c r="CX46" s="2" t="n"/>
      <c r="CY46" s="2" t="n"/>
      <c r="CZ46" s="2" t="n"/>
      <c r="DA46" s="2" t="n"/>
      <c r="DB46" s="2" t="n"/>
      <c r="DC46" s="2" t="n"/>
      <c r="DD46" s="2" t="n"/>
      <c r="DE46" s="2" t="n"/>
    </row>
    <row r="47">
      <c r="A47" s="2" t="inlineStr">
        <is>
          <t>issue_769</t>
        </is>
      </c>
      <c r="B47" s="3" t="inlineStr">
        <is>
          <t>NOT_TESTED</t>
        </is>
      </c>
      <c r="C47" s="3" t="inlineStr">
        <is>
          <t>NOT_TESTED</t>
        </is>
      </c>
      <c r="D47" s="3" t="inlineStr">
        <is>
          <t>NOT_TESTED</t>
        </is>
      </c>
      <c r="E47" s="3" t="inlineStr">
        <is>
          <t>NOT_TESTED</t>
        </is>
      </c>
      <c r="F47" s="3" t="inlineStr">
        <is>
          <t>NOT_TESTED</t>
        </is>
      </c>
      <c r="G47" s="3" t="inlineStr">
        <is>
          <t>NOT_TESTED</t>
        </is>
      </c>
      <c r="H47" s="3" t="inlineStr">
        <is>
          <t>NOT_TESTED</t>
        </is>
      </c>
      <c r="I47" s="3" t="inlineStr">
        <is>
          <t>NOT_TESTED</t>
        </is>
      </c>
      <c r="J47" s="3" t="inlineStr">
        <is>
          <t>NOT_TESTED</t>
        </is>
      </c>
      <c r="K47" s="3" t="inlineStr">
        <is>
          <t>NOT_TESTED</t>
        </is>
      </c>
      <c r="L47" s="3" t="inlineStr">
        <is>
          <t>NOT_TESTED</t>
        </is>
      </c>
      <c r="M47" s="3" t="inlineStr">
        <is>
          <t>NOT_TESTED</t>
        </is>
      </c>
      <c r="N47" s="6" t="inlineStr">
        <is>
          <t>Runtime error</t>
        </is>
      </c>
      <c r="O47" s="6" t="inlineStr">
        <is>
          <t>Runtime error</t>
        </is>
      </c>
      <c r="P47" s="6" t="inlineStr">
        <is>
          <t>Runtime error</t>
        </is>
      </c>
      <c r="Q47" s="6" t="inlineStr">
        <is>
          <t>Runtime error</t>
        </is>
      </c>
      <c r="R47" s="6" t="inlineStr">
        <is>
          <t>Runtime error</t>
        </is>
      </c>
      <c r="S47" s="6" t="inlineStr">
        <is>
          <t>Runtime error</t>
        </is>
      </c>
      <c r="T47" s="6" t="inlineStr">
        <is>
          <t>Runtime error</t>
        </is>
      </c>
      <c r="U47" s="6" t="inlineStr">
        <is>
          <t>Runtime error</t>
        </is>
      </c>
      <c r="V47" s="6" t="inlineStr">
        <is>
          <t>Runtime error</t>
        </is>
      </c>
      <c r="W47" s="6" t="inlineStr">
        <is>
          <t>Runtime error</t>
        </is>
      </c>
      <c r="X47" s="6" t="inlineStr">
        <is>
          <t>Runtime error</t>
        </is>
      </c>
      <c r="Y47" s="6" t="inlineStr">
        <is>
          <t>Runtime error</t>
        </is>
      </c>
      <c r="Z47" s="6" t="inlineStr">
        <is>
          <t>Runtime error</t>
        </is>
      </c>
      <c r="AA47" s="6" t="inlineStr">
        <is>
          <t>Runtime error</t>
        </is>
      </c>
      <c r="AB47" s="6" t="inlineStr">
        <is>
          <t>Runtime error</t>
        </is>
      </c>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inlineStr">
        <is>
          <t>KeyError</t>
        </is>
      </c>
      <c r="BN47" s="2" t="inlineStr">
        <is>
          <t>KeyError: 'get_qiskit_gate'</t>
        </is>
      </c>
      <c r="BO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BP47" s="2" t="inlineStr">
        <is>
          <t>KeyError</t>
        </is>
      </c>
      <c r="BQ47" s="2" t="inlineStr">
        <is>
          <t>KeyError: 'get_qiskit_gate'</t>
        </is>
      </c>
      <c r="BR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BS47" s="2" t="inlineStr">
        <is>
          <t>KeyError</t>
        </is>
      </c>
      <c r="BT47" s="2" t="inlineStr">
        <is>
          <t>KeyError: 'get_qiskit_gate'</t>
        </is>
      </c>
      <c r="BU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BV47" s="2" t="inlineStr">
        <is>
          <t>KeyError</t>
        </is>
      </c>
      <c r="BW47" s="2" t="inlineStr">
        <is>
          <t>KeyError: 'get_qiskit_gate'</t>
        </is>
      </c>
      <c r="BX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BY47" s="2" t="inlineStr">
        <is>
          <t>KeyError</t>
        </is>
      </c>
      <c r="BZ47" s="2" t="inlineStr">
        <is>
          <t>KeyError: 'get_qiskit_gate'</t>
        </is>
      </c>
      <c r="CA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CB47" s="2" t="inlineStr">
        <is>
          <t>KeyError</t>
        </is>
      </c>
      <c r="CC47" s="2" t="inlineStr">
        <is>
          <t>KeyError: 'get_qiskit_gate'</t>
        </is>
      </c>
      <c r="CD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CE47" s="2" t="inlineStr">
        <is>
          <t>KeyError</t>
        </is>
      </c>
      <c r="CF47" s="2" t="inlineStr">
        <is>
          <t>KeyError: 'get_qiskit_gate'</t>
        </is>
      </c>
      <c r="CG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CH47" s="2" t="inlineStr">
        <is>
          <t>KeyError</t>
        </is>
      </c>
      <c r="CI47" s="2" t="inlineStr">
        <is>
          <t>KeyError: 'get_qiskit_gate'</t>
        </is>
      </c>
      <c r="CJ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CK47" s="2" t="inlineStr">
        <is>
          <t>KeyError</t>
        </is>
      </c>
      <c r="CL47" s="2" t="inlineStr">
        <is>
          <t>KeyError: 'get_qiskit_gate'</t>
        </is>
      </c>
      <c r="CM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CN47" s="2" t="inlineStr">
        <is>
          <t>KeyError</t>
        </is>
      </c>
      <c r="CO47" s="2" t="inlineStr">
        <is>
          <t>KeyError: 'get_qiskit_gate'</t>
        </is>
      </c>
      <c r="CP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CQ47" s="2" t="inlineStr">
        <is>
          <t>KeyError</t>
        </is>
      </c>
      <c r="CR47" s="2" t="inlineStr">
        <is>
          <t>KeyError: 'get_qiskit_gate'</t>
        </is>
      </c>
      <c r="CS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CT47" s="2" t="inlineStr">
        <is>
          <t>KeyError</t>
        </is>
      </c>
      <c r="CU47" s="2" t="inlineStr">
        <is>
          <t>KeyError: 'get_qiskit_gate'</t>
        </is>
      </c>
      <c r="CV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CW47" s="2" t="inlineStr">
        <is>
          <t>KeyError</t>
        </is>
      </c>
      <c r="CX47" s="2" t="inlineStr">
        <is>
          <t>KeyError: 'get_qiskit_gate'</t>
        </is>
      </c>
      <c r="CY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CZ47" s="2" t="inlineStr">
        <is>
          <t>KeyError</t>
        </is>
      </c>
      <c r="DA47" s="2" t="inlineStr">
        <is>
          <t>KeyError: 'get_qiskit_gate'</t>
        </is>
      </c>
      <c r="DB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DC47" s="2" t="inlineStr">
        <is>
          <t>KeyError</t>
        </is>
      </c>
      <c r="DD47" s="2" t="inlineStr">
        <is>
          <t>KeyError: 'get_qiskit_gate'</t>
        </is>
      </c>
      <c r="DE47"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row>
    <row r="48">
      <c r="A48" s="2" t="inlineStr">
        <is>
          <t>issue_773</t>
        </is>
      </c>
      <c r="B48" s="3" t="inlineStr">
        <is>
          <t>NOT_TESTED</t>
        </is>
      </c>
      <c r="C48" s="3" t="inlineStr">
        <is>
          <t>NOT_TESTED</t>
        </is>
      </c>
      <c r="D48" s="3" t="inlineStr">
        <is>
          <t>NOT_TESTED</t>
        </is>
      </c>
      <c r="E48" s="3" t="inlineStr">
        <is>
          <t>NOT_TESTED</t>
        </is>
      </c>
      <c r="F48" s="4" t="inlineStr">
        <is>
          <t>Passed on test</t>
        </is>
      </c>
      <c r="G48" s="4" t="inlineStr">
        <is>
          <t>Passed on test</t>
        </is>
      </c>
      <c r="H48" s="4" t="inlineStr">
        <is>
          <t>Passed on test</t>
        </is>
      </c>
      <c r="I48" s="4" t="inlineStr">
        <is>
          <t>Passed on test</t>
        </is>
      </c>
      <c r="J48" s="4" t="inlineStr">
        <is>
          <t>Passed on test</t>
        </is>
      </c>
      <c r="K48" s="4" t="inlineStr">
        <is>
          <t>Passed on test</t>
        </is>
      </c>
      <c r="L48" s="4" t="inlineStr">
        <is>
          <t>Passed on test</t>
        </is>
      </c>
      <c r="M48" s="4" t="inlineStr">
        <is>
          <t>Passed on test</t>
        </is>
      </c>
      <c r="N48" s="3" t="inlineStr">
        <is>
          <t>NOT_TESTED</t>
        </is>
      </c>
      <c r="O48" s="3" t="inlineStr">
        <is>
          <t>NOT_TESTED</t>
        </is>
      </c>
      <c r="P48" s="3" t="inlineStr">
        <is>
          <t>NOT_TESTED</t>
        </is>
      </c>
      <c r="Q48" s="3" t="inlineStr">
        <is>
          <t>NOT_TESTED</t>
        </is>
      </c>
      <c r="R48" s="3" t="inlineStr">
        <is>
          <t>NOT_TESTED</t>
        </is>
      </c>
      <c r="S48" s="3" t="inlineStr">
        <is>
          <t>NOT_TESTED</t>
        </is>
      </c>
      <c r="T48" s="3" t="inlineStr">
        <is>
          <t>NOT_TESTED</t>
        </is>
      </c>
      <c r="U48" s="3" t="inlineStr">
        <is>
          <t>NOT_TESTED</t>
        </is>
      </c>
      <c r="V48" s="3" t="inlineStr">
        <is>
          <t>NOT_TESTED</t>
        </is>
      </c>
      <c r="W48" s="3" t="inlineStr">
        <is>
          <t>NOT_TESTED</t>
        </is>
      </c>
      <c r="X48" s="3" t="inlineStr">
        <is>
          <t>NOT_TESTED</t>
        </is>
      </c>
      <c r="Y48" s="3" t="inlineStr">
        <is>
          <t>NOT_TESTED</t>
        </is>
      </c>
      <c r="Z48" s="3" t="inlineStr">
        <is>
          <t>NOT_TESTED</t>
        </is>
      </c>
      <c r="AA48" s="3" t="inlineStr">
        <is>
          <t>NOT_TESTED</t>
        </is>
      </c>
      <c r="AB48" s="3" t="inlineStr">
        <is>
          <t>NOT_TESTED</t>
        </is>
      </c>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2" t="n"/>
      <c r="CW48" s="2" t="n"/>
      <c r="CX48" s="2" t="n"/>
      <c r="CY48" s="2" t="n"/>
      <c r="CZ48" s="2" t="n"/>
      <c r="DA48" s="2" t="n"/>
      <c r="DB48" s="2" t="n"/>
      <c r="DC48" s="2" t="n"/>
      <c r="DD48" s="2" t="n"/>
      <c r="DE48" s="2" t="n"/>
    </row>
    <row r="49">
      <c r="A49" s="2" t="inlineStr">
        <is>
          <t>issue_775</t>
        </is>
      </c>
      <c r="B49" s="4" t="inlineStr">
        <is>
          <t>Runtime error</t>
        </is>
      </c>
      <c r="C49" s="4" t="inlineStr">
        <is>
          <t>Runtime error</t>
        </is>
      </c>
      <c r="D49" s="4" t="inlineStr">
        <is>
          <t>Runtime error</t>
        </is>
      </c>
      <c r="E49" s="4" t="inlineStr">
        <is>
          <t>Runtime error</t>
        </is>
      </c>
      <c r="F49" s="4" t="inlineStr">
        <is>
          <t>Runtime error</t>
        </is>
      </c>
      <c r="G49" s="4" t="inlineStr">
        <is>
          <t>Runtime error</t>
        </is>
      </c>
      <c r="H49" s="4" t="inlineStr">
        <is>
          <t>Runtime error</t>
        </is>
      </c>
      <c r="I49" s="4" t="inlineStr">
        <is>
          <t>Runtime error</t>
        </is>
      </c>
      <c r="J49" s="4" t="inlineStr">
        <is>
          <t>Runtime error</t>
        </is>
      </c>
      <c r="K49" s="4" t="inlineStr">
        <is>
          <t>Runtime error</t>
        </is>
      </c>
      <c r="L49" s="4" t="inlineStr">
        <is>
          <t>Runtime error</t>
        </is>
      </c>
      <c r="M49" s="4" t="inlineStr">
        <is>
          <t>Runtime error</t>
        </is>
      </c>
      <c r="N49" s="3" t="inlineStr">
        <is>
          <t>NOT_TESTED</t>
        </is>
      </c>
      <c r="O49" s="3" t="inlineStr">
        <is>
          <t>NOT_TESTED</t>
        </is>
      </c>
      <c r="P49" s="3" t="inlineStr">
        <is>
          <t>NOT_TESTED</t>
        </is>
      </c>
      <c r="Q49" s="3" t="inlineStr">
        <is>
          <t>NOT_TESTED</t>
        </is>
      </c>
      <c r="R49" s="3" t="inlineStr">
        <is>
          <t>NOT_TESTED</t>
        </is>
      </c>
      <c r="S49" s="3" t="inlineStr">
        <is>
          <t>NOT_TESTED</t>
        </is>
      </c>
      <c r="T49" s="3" t="inlineStr">
        <is>
          <t>NOT_TESTED</t>
        </is>
      </c>
      <c r="U49" s="3" t="inlineStr">
        <is>
          <t>NOT_TESTED</t>
        </is>
      </c>
      <c r="V49" s="3" t="inlineStr">
        <is>
          <t>NOT_TESTED</t>
        </is>
      </c>
      <c r="W49" s="3" t="inlineStr">
        <is>
          <t>NOT_TESTED</t>
        </is>
      </c>
      <c r="X49" s="3" t="inlineStr">
        <is>
          <t>NOT_TESTED</t>
        </is>
      </c>
      <c r="Y49" s="3" t="inlineStr">
        <is>
          <t>NOT_TESTED</t>
        </is>
      </c>
      <c r="Z49" s="3" t="inlineStr">
        <is>
          <t>NOT_TESTED</t>
        </is>
      </c>
      <c r="AA49" s="3" t="inlineStr">
        <is>
          <t>NOT_TESTED</t>
        </is>
      </c>
      <c r="AB49" s="3" t="inlineStr">
        <is>
          <t>NOT_TESTED</t>
        </is>
      </c>
      <c r="AC49" s="2" t="inlineStr">
        <is>
          <t>KeyError</t>
        </is>
      </c>
      <c r="AD49" s="2" t="inlineStr">
        <is>
          <t>KeyError: 'qc'</t>
        </is>
      </c>
      <c r="AE49" s="2" t="n"/>
      <c r="AF49" s="2" t="inlineStr">
        <is>
          <t>KeyError</t>
        </is>
      </c>
      <c r="AG49" s="2" t="inlineStr">
        <is>
          <t>KeyError: 'qc'</t>
        </is>
      </c>
      <c r="AH49" s="2" t="n"/>
      <c r="AI49" s="2" t="inlineStr">
        <is>
          <t>KeyError</t>
        </is>
      </c>
      <c r="AJ49" s="2" t="inlineStr">
        <is>
          <t>KeyError: 'qc'</t>
        </is>
      </c>
      <c r="AK49" s="2" t="n"/>
      <c r="AL49" s="2" t="inlineStr">
        <is>
          <t>KeyError</t>
        </is>
      </c>
      <c r="AM49" s="2" t="inlineStr">
        <is>
          <t>KeyError: 'qc'</t>
        </is>
      </c>
      <c r="AN49" s="2" t="n"/>
      <c r="AO49" s="2" t="inlineStr">
        <is>
          <t>KeyError</t>
        </is>
      </c>
      <c r="AP49" s="2" t="inlineStr">
        <is>
          <t>KeyError: 'qc'</t>
        </is>
      </c>
      <c r="AQ49" s="2" t="n"/>
      <c r="AR49" s="2" t="inlineStr">
        <is>
          <t>KeyError</t>
        </is>
      </c>
      <c r="AS49" s="2" t="inlineStr">
        <is>
          <t>KeyError: 'qc'</t>
        </is>
      </c>
      <c r="AT49" s="2" t="n"/>
      <c r="AU49" s="2" t="inlineStr">
        <is>
          <t>KeyError</t>
        </is>
      </c>
      <c r="AV49" s="2" t="inlineStr">
        <is>
          <t>KeyError: 'qc'</t>
        </is>
      </c>
      <c r="AW49" s="2" t="n"/>
      <c r="AX49" s="2" t="inlineStr">
        <is>
          <t>KeyError</t>
        </is>
      </c>
      <c r="AY49" s="2" t="inlineStr">
        <is>
          <t>KeyError: 'qc'</t>
        </is>
      </c>
      <c r="AZ49" s="2" t="n"/>
      <c r="BA49" s="2" t="inlineStr">
        <is>
          <t>KeyError</t>
        </is>
      </c>
      <c r="BB49" s="2" t="inlineStr">
        <is>
          <t>KeyError: 'qc'</t>
        </is>
      </c>
      <c r="BC49" s="2" t="n"/>
      <c r="BD49" s="2" t="inlineStr">
        <is>
          <t>KeyError</t>
        </is>
      </c>
      <c r="BE49" s="2" t="inlineStr">
        <is>
          <t>KeyError: 'qc'</t>
        </is>
      </c>
      <c r="BF49" s="2" t="n"/>
      <c r="BG49" s="2" t="inlineStr">
        <is>
          <t>KeyError</t>
        </is>
      </c>
      <c r="BH49" s="2" t="inlineStr">
        <is>
          <t>KeyError: 'qc'</t>
        </is>
      </c>
      <c r="BI49" s="2" t="n"/>
      <c r="BJ49" s="2" t="inlineStr">
        <is>
          <t>KeyError</t>
        </is>
      </c>
      <c r="BK49" s="2" t="inlineStr">
        <is>
          <t>KeyError: 'qc'</t>
        </is>
      </c>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2" t="n"/>
      <c r="CW49" s="2" t="n"/>
      <c r="CX49" s="2" t="n"/>
      <c r="CY49" s="2" t="n"/>
      <c r="CZ49" s="2" t="n"/>
      <c r="DA49" s="2" t="n"/>
      <c r="DB49" s="2" t="n"/>
      <c r="DC49" s="2" t="n"/>
      <c r="DD49" s="2" t="n"/>
      <c r="DE49" s="2" t="n"/>
    </row>
    <row r="50">
      <c r="A50" s="2" t="inlineStr">
        <is>
          <t>issue_795</t>
        </is>
      </c>
      <c r="B50" s="4" t="inlineStr">
        <is>
          <t>Passed on test</t>
        </is>
      </c>
      <c r="C50" s="4" t="inlineStr">
        <is>
          <t>Passed on test</t>
        </is>
      </c>
      <c r="D50" s="4" t="inlineStr">
        <is>
          <t>Passed on test</t>
        </is>
      </c>
      <c r="E50" s="4" t="inlineStr">
        <is>
          <t>Passed on test</t>
        </is>
      </c>
      <c r="F50" s="4" t="inlineStr">
        <is>
          <t>Passed on test</t>
        </is>
      </c>
      <c r="G50" s="4" t="inlineStr">
        <is>
          <t>Passed on test</t>
        </is>
      </c>
      <c r="H50" s="4" t="inlineStr">
        <is>
          <t>Passed on test</t>
        </is>
      </c>
      <c r="I50" s="4" t="inlineStr">
        <is>
          <t>Passed on test</t>
        </is>
      </c>
      <c r="J50" s="4" t="inlineStr">
        <is>
          <t>Passed on test</t>
        </is>
      </c>
      <c r="K50" s="4" t="inlineStr">
        <is>
          <t>Passed on test</t>
        </is>
      </c>
      <c r="L50" s="4" t="inlineStr">
        <is>
          <t>Passed on test</t>
        </is>
      </c>
      <c r="M50" s="4" t="inlineStr">
        <is>
          <t>Passed on test</t>
        </is>
      </c>
      <c r="N50" s="3" t="inlineStr">
        <is>
          <t>NOT_TESTED</t>
        </is>
      </c>
      <c r="O50" s="3" t="inlineStr">
        <is>
          <t>NOT_TESTED</t>
        </is>
      </c>
      <c r="P50" s="3" t="inlineStr">
        <is>
          <t>NOT_TESTED</t>
        </is>
      </c>
      <c r="Q50" s="3" t="inlineStr">
        <is>
          <t>NOT_TESTED</t>
        </is>
      </c>
      <c r="R50" s="3" t="inlineStr">
        <is>
          <t>NOT_TESTED</t>
        </is>
      </c>
      <c r="S50" s="3" t="inlineStr">
        <is>
          <t>NOT_TESTED</t>
        </is>
      </c>
      <c r="T50" s="3" t="inlineStr">
        <is>
          <t>NOT_TESTED</t>
        </is>
      </c>
      <c r="U50" s="3" t="inlineStr">
        <is>
          <t>NOT_TESTED</t>
        </is>
      </c>
      <c r="V50" s="3" t="inlineStr">
        <is>
          <t>NOT_TESTED</t>
        </is>
      </c>
      <c r="W50" s="3" t="inlineStr">
        <is>
          <t>NOT_TESTED</t>
        </is>
      </c>
      <c r="X50" s="3" t="inlineStr">
        <is>
          <t>NOT_TESTED</t>
        </is>
      </c>
      <c r="Y50" s="3" t="inlineStr">
        <is>
          <t>NOT_TESTED</t>
        </is>
      </c>
      <c r="Z50" s="3" t="inlineStr">
        <is>
          <t>NOT_TESTED</t>
        </is>
      </c>
      <c r="AA50" s="3" t="inlineStr">
        <is>
          <t>NOT_TESTED</t>
        </is>
      </c>
      <c r="AB50" s="3" t="inlineStr">
        <is>
          <t>NOT_TESTED</t>
        </is>
      </c>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2" t="n"/>
      <c r="CW50" s="2" t="n"/>
      <c r="CX50" s="2" t="n"/>
      <c r="CY50" s="2" t="n"/>
      <c r="CZ50" s="2" t="n"/>
      <c r="DA50" s="2" t="n"/>
      <c r="DB50" s="2" t="n"/>
      <c r="DC50" s="2" t="n"/>
      <c r="DD50" s="2" t="n"/>
      <c r="DE50" s="2" t="n"/>
    </row>
    <row r="51">
      <c r="A51" s="2" t="inlineStr">
        <is>
          <t>issue_803</t>
        </is>
      </c>
      <c r="B51" s="5" t="inlineStr">
        <is>
          <t>Failed on test</t>
        </is>
      </c>
      <c r="C51" s="5" t="inlineStr">
        <is>
          <t>Failed on test</t>
        </is>
      </c>
      <c r="D51" s="5" t="inlineStr">
        <is>
          <t>Failed on test</t>
        </is>
      </c>
      <c r="E51" s="5" t="inlineStr">
        <is>
          <t>Failed on test</t>
        </is>
      </c>
      <c r="F51" s="6" t="inlineStr">
        <is>
          <t>Runtime error</t>
        </is>
      </c>
      <c r="G51" s="6" t="inlineStr">
        <is>
          <t>Runtime error</t>
        </is>
      </c>
      <c r="H51" s="6" t="inlineStr">
        <is>
          <t>Runtime error</t>
        </is>
      </c>
      <c r="I51" s="6" t="inlineStr">
        <is>
          <t>Runtime error</t>
        </is>
      </c>
      <c r="J51" s="6" t="inlineStr">
        <is>
          <t>Runtime error</t>
        </is>
      </c>
      <c r="K51" s="6" t="inlineStr">
        <is>
          <t>Runtime error</t>
        </is>
      </c>
      <c r="L51" s="6" t="inlineStr">
        <is>
          <t>Runtime error</t>
        </is>
      </c>
      <c r="M51" s="6" t="inlineStr">
        <is>
          <t>Runtime error</t>
        </is>
      </c>
      <c r="N51" s="3" t="inlineStr">
        <is>
          <t>NOT_TESTED</t>
        </is>
      </c>
      <c r="O51" s="3" t="inlineStr">
        <is>
          <t>NOT_TESTED</t>
        </is>
      </c>
      <c r="P51" s="3" t="inlineStr">
        <is>
          <t>NOT_TESTED</t>
        </is>
      </c>
      <c r="Q51" s="3" t="inlineStr">
        <is>
          <t>NOT_TESTED</t>
        </is>
      </c>
      <c r="R51" s="3" t="inlineStr">
        <is>
          <t>NOT_TESTED</t>
        </is>
      </c>
      <c r="S51" s="3" t="inlineStr">
        <is>
          <t>NOT_TESTED</t>
        </is>
      </c>
      <c r="T51" s="3" t="inlineStr">
        <is>
          <t>NOT_TESTED</t>
        </is>
      </c>
      <c r="U51" s="3" t="inlineStr">
        <is>
          <t>NOT_TESTED</t>
        </is>
      </c>
      <c r="V51" s="3" t="inlineStr">
        <is>
          <t>NOT_TESTED</t>
        </is>
      </c>
      <c r="W51" s="3" t="inlineStr">
        <is>
          <t>NOT_TESTED</t>
        </is>
      </c>
      <c r="X51" s="3" t="inlineStr">
        <is>
          <t>NOT_TESTED</t>
        </is>
      </c>
      <c r="Y51" s="3" t="inlineStr">
        <is>
          <t>NOT_TESTED</t>
        </is>
      </c>
      <c r="Z51" s="3" t="inlineStr">
        <is>
          <t>NOT_TESTED</t>
        </is>
      </c>
      <c r="AA51" s="3" t="inlineStr">
        <is>
          <t>NOT_TESTED</t>
        </is>
      </c>
      <c r="AB51" s="3" t="inlineStr">
        <is>
          <t>NOT_TESTED</t>
        </is>
      </c>
      <c r="AC51" s="2" t="inlineStr">
        <is>
          <t>ValueError</t>
        </is>
      </c>
      <c r="AD51" s="2" t="inlineStr">
        <is>
          <t>ValueError: The truth value of an array with more than one element is ambiguous. Use a.any() or a.all(); AssertionError: array([list([50, 50]), list([100]), list([100])], dtype=object) is not an instance of &lt;class 'list'&gt;</t>
        </is>
      </c>
      <c r="AE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AF51" s="2" t="inlineStr">
        <is>
          <t>ValueError</t>
        </is>
      </c>
      <c r="AG51" s="2" t="inlineStr">
        <is>
          <t>ValueError: The truth value of an array with more than one element is ambiguous. Use a.any() or a.all(); AssertionError: array([list([47, 53]), list([100]), list([100])], dtype=object) is not an instance of &lt;class 'list'&gt;</t>
        </is>
      </c>
      <c r="AH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AI51" s="2" t="inlineStr">
        <is>
          <t>ValueError</t>
        </is>
      </c>
      <c r="AJ51" s="2" t="inlineStr">
        <is>
          <t>ValueError: The truth value of an array with more than one element is ambiguous. Use a.any() or a.all(); AssertionError: array([list([53, 47]), list([100]), list([100])], dtype=object) is not an instance of &lt;class 'list'&gt;</t>
        </is>
      </c>
      <c r="AK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AL51" s="2" t="inlineStr">
        <is>
          <t>ValueError</t>
        </is>
      </c>
      <c r="AM51" s="2" t="inlineStr">
        <is>
          <t>ValueError: The truth value of an array with more than one element is ambiguous. Use a.any() or a.all(); AssertionError: array([list([47, 53]), list([100]), list([100])], dtype=object) is not an instance of &lt;class 'list'&gt;</t>
        </is>
      </c>
      <c r="AN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AO51" s="2" t="inlineStr">
        <is>
          <t>ValueError</t>
        </is>
      </c>
      <c r="AP51" s="2" t="inlineStr">
        <is>
          <t>ValueError: The truth value of an array with more than one element is ambiguous. Use a.any() or a.all(); ValueError: setting an array element with a sequence. The requested array has an inhomogeneous shape after 1 dimensions. The detected s</t>
        </is>
      </c>
      <c r="AQ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AR51" s="2" t="inlineStr">
        <is>
          <t>ValueError</t>
        </is>
      </c>
      <c r="AS51" s="2" t="inlineStr">
        <is>
          <t>ValueError: The truth value of an array with more than one element is ambiguous. Use a.any() or a.all(); ValueError: setting an array element with a sequence. The requested array has an inhomogeneous shape after 1 dimensions. The detected s</t>
        </is>
      </c>
      <c r="AT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AU51" s="2" t="inlineStr">
        <is>
          <t>ValueError</t>
        </is>
      </c>
      <c r="AV51" s="2" t="inlineStr">
        <is>
          <t>ValueError: The truth value of an array with more than one element is ambiguous. Use a.any() or a.all(); ValueError: setting an array element with a sequence. The requested array has an inhomogeneous shape after 1 dimensions. The detected s</t>
        </is>
      </c>
      <c r="AW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AX51" s="2" t="inlineStr">
        <is>
          <t>ValueError</t>
        </is>
      </c>
      <c r="AY51" s="2" t="inlineStr">
        <is>
          <t>ValueError: The truth value of an array with more than one element is ambiguous. Use a.any() or a.all(); ValueError: setting an array element with a sequence. The requested array has an inhomogeneous shape after 1 dimensions. The detected s</t>
        </is>
      </c>
      <c r="AZ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BA51" s="2" t="inlineStr">
        <is>
          <t>ValueError</t>
        </is>
      </c>
      <c r="BB51" s="2" t="inlineStr">
        <is>
          <t>ValueError: The truth value of an array with more than one element is ambiguous. Use a.any() or a.all(); ValueError: setting an array element with a sequence. The requested array has an inhomogeneous shape after 1 dimensions. The detected s</t>
        </is>
      </c>
      <c r="BC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BD51" s="2" t="inlineStr">
        <is>
          <t>ValueError</t>
        </is>
      </c>
      <c r="BE51" s="2" t="inlineStr">
        <is>
          <t>ValueError: The truth value of an array with more than one element is ambiguous. Use a.any() or a.all(); ValueError: setting an array element with a sequence. The requested array has an inhomogeneous shape after 1 dimensions. The detected s</t>
        </is>
      </c>
      <c r="BF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BG51" s="2" t="inlineStr">
        <is>
          <t>ValueError</t>
        </is>
      </c>
      <c r="BH51" s="2" t="inlineStr">
        <is>
          <t>ValueError: The truth value of an array with more than one element is ambiguous. Use a.any() or a.all(); ValueError: setting an array element with a sequence. The requested array has an inhomogeneous shape after 1 dimensions. The detected s</t>
        </is>
      </c>
      <c r="BI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BJ51" s="2" t="inlineStr">
        <is>
          <t>ValueError</t>
        </is>
      </c>
      <c r="BK51" s="2" t="inlineStr">
        <is>
          <t>ValueError: The truth value of an array with more than one element is ambiguous. Use a.any() or a.all(); ValueError: setting an array element with a sequence. The requested array has an inhomogeneous shape after 1 dimensions. The detected s</t>
        </is>
      </c>
      <c r="BL51"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2" t="n"/>
      <c r="CW51" s="2" t="n"/>
      <c r="CX51" s="2" t="n"/>
      <c r="CY51" s="2" t="n"/>
      <c r="CZ51" s="2" t="n"/>
      <c r="DA51" s="2" t="n"/>
      <c r="DB51" s="2" t="n"/>
      <c r="DC51" s="2" t="n"/>
      <c r="DD51" s="2" t="n"/>
      <c r="DE51" s="2" t="n"/>
    </row>
    <row r="52">
      <c r="A52" s="2" t="inlineStr">
        <is>
          <t>issue_810</t>
        </is>
      </c>
      <c r="B52" s="3" t="inlineStr">
        <is>
          <t>NOT_TESTED</t>
        </is>
      </c>
      <c r="C52" s="3" t="inlineStr">
        <is>
          <t>NOT_TESTED</t>
        </is>
      </c>
      <c r="D52" s="3" t="inlineStr">
        <is>
          <t>NOT_TESTED</t>
        </is>
      </c>
      <c r="E52" s="3" t="inlineStr">
        <is>
          <t>NOT_TESTED</t>
        </is>
      </c>
      <c r="F52" s="3" t="inlineStr">
        <is>
          <t>NOT_TESTED</t>
        </is>
      </c>
      <c r="G52" s="5" t="inlineStr">
        <is>
          <t>Failed on test</t>
        </is>
      </c>
      <c r="H52" s="3" t="inlineStr">
        <is>
          <t>NOT_TESTED</t>
        </is>
      </c>
      <c r="I52" s="3" t="inlineStr">
        <is>
          <t>NOT_TESTED</t>
        </is>
      </c>
      <c r="J52" s="3" t="inlineStr">
        <is>
          <t>NOT_TESTED</t>
        </is>
      </c>
      <c r="K52" s="3" t="inlineStr">
        <is>
          <t>NOT_TESTED</t>
        </is>
      </c>
      <c r="L52" s="5" t="inlineStr">
        <is>
          <t>Failed on test</t>
        </is>
      </c>
      <c r="M52" s="3" t="inlineStr">
        <is>
          <t>NOT_TESTED</t>
        </is>
      </c>
      <c r="N52" s="3" t="inlineStr">
        <is>
          <t>NOT_TESTED</t>
        </is>
      </c>
      <c r="O52" s="3" t="inlineStr">
        <is>
          <t>NOT_TESTED</t>
        </is>
      </c>
      <c r="P52" s="3" t="inlineStr">
        <is>
          <t>NOT_TESTED</t>
        </is>
      </c>
      <c r="Q52" s="3" t="inlineStr">
        <is>
          <t>NOT_TESTED</t>
        </is>
      </c>
      <c r="R52" s="3" t="inlineStr">
        <is>
          <t>NOT_TESTED</t>
        </is>
      </c>
      <c r="S52" s="3" t="inlineStr">
        <is>
          <t>NOT_TESTED</t>
        </is>
      </c>
      <c r="T52" s="3" t="inlineStr">
        <is>
          <t>NOT_TESTED</t>
        </is>
      </c>
      <c r="U52" s="3" t="inlineStr">
        <is>
          <t>NOT_TESTED</t>
        </is>
      </c>
      <c r="V52" s="3" t="inlineStr">
        <is>
          <t>NOT_TESTED</t>
        </is>
      </c>
      <c r="W52" s="3" t="inlineStr">
        <is>
          <t>NOT_TESTED</t>
        </is>
      </c>
      <c r="X52" s="3" t="inlineStr">
        <is>
          <t>NOT_TESTED</t>
        </is>
      </c>
      <c r="Y52" s="3" t="inlineStr">
        <is>
          <t>NOT_TESTED</t>
        </is>
      </c>
      <c r="Z52" s="3" t="inlineStr">
        <is>
          <t>NOT_TESTED</t>
        </is>
      </c>
      <c r="AA52" s="3" t="inlineStr">
        <is>
          <t>NOT_TESTED</t>
        </is>
      </c>
      <c r="AB52" s="3" t="inlineStr">
        <is>
          <t>NOT_TESTED</t>
        </is>
      </c>
      <c r="AC52" s="2" t="n"/>
      <c r="AD52" s="2" t="n"/>
      <c r="AE52" s="2" t="n"/>
      <c r="AF52" s="2" t="n"/>
      <c r="AG52" s="2" t="n"/>
      <c r="AH52" s="2" t="n"/>
      <c r="AI52" s="2" t="n"/>
      <c r="AJ52" s="2" t="n"/>
      <c r="AK52" s="2" t="n"/>
      <c r="AL52" s="2" t="n"/>
      <c r="AM52" s="2" t="n"/>
      <c r="AN52" s="2" t="n"/>
      <c r="AO52" s="2" t="n"/>
      <c r="AP52" s="2" t="n"/>
      <c r="AQ52" s="2" t="n"/>
      <c r="AR52" s="2" t="inlineStr">
        <is>
          <t>AssertionError</t>
        </is>
      </c>
      <c r="AS52" s="2" t="inlineStr">
        <is>
          <t>AssertionError: None is not an instance of &lt;class 'dict'&gt; : Expose a raw counts dictionary, not the Result object</t>
        </is>
      </c>
      <c r="AT52" s="2" t="inlineStr">
        <is>
          <t>The LLM enabled memory=True and returned the per-shot list job.result().get_memory(circuit) instead of a counts dictionary; the updated test, which accepts any variable name and shot count, finds no raw counts dictionary. Same code as gpt-6-astra; both luna models used get_counts() and passed.</t>
        </is>
      </c>
      <c r="AU52" s="2" t="n"/>
      <c r="AV52" s="2" t="n"/>
      <c r="AW52" s="2" t="n"/>
      <c r="AX52" s="2" t="n"/>
      <c r="AY52" s="2" t="n"/>
      <c r="AZ52" s="2" t="n"/>
      <c r="BA52" s="2" t="n"/>
      <c r="BB52" s="2" t="n"/>
      <c r="BC52" s="2" t="n"/>
      <c r="BD52" s="2" t="n"/>
      <c r="BE52" s="2" t="n"/>
      <c r="BF52" s="2" t="n"/>
      <c r="BG52" s="2" t="inlineStr">
        <is>
          <t>AssertionError</t>
        </is>
      </c>
      <c r="BH52" s="2" t="inlineStr">
        <is>
          <t>AssertionError: None is not an instance of &lt;class 'dict'&gt; : Expose a raw counts dictionary, not the Result object</t>
        </is>
      </c>
      <c r="BI52" s="2" t="inlineStr">
        <is>
          <t>The LLM enabled memory=True and returned the per-shot list job.result().get_memory(circuit) instead of a counts dictionary; the updated test, which accepts any variable name and shot count, finds no raw counts dictionary. Same code as gpt-6-astra; both luna models used get_counts() and passed.</t>
        </is>
      </c>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2" t="n"/>
      <c r="CW52" s="2" t="n"/>
      <c r="CX52" s="2" t="n"/>
      <c r="CY52" s="2" t="n"/>
      <c r="CZ52" s="2" t="n"/>
      <c r="DA52" s="2" t="n"/>
      <c r="DB52" s="2" t="n"/>
      <c r="DC52" s="2" t="n"/>
      <c r="DD52" s="2" t="n"/>
      <c r="DE52" s="2" t="n"/>
    </row>
    <row r="53">
      <c r="A53" s="2" t="inlineStr">
        <is>
          <t>issue_816</t>
        </is>
      </c>
      <c r="B53" s="3" t="inlineStr">
        <is>
          <t>NOT_TESTED</t>
        </is>
      </c>
      <c r="C53" s="3" t="inlineStr">
        <is>
          <t>NOT_TESTED</t>
        </is>
      </c>
      <c r="D53" s="3" t="inlineStr">
        <is>
          <t>NOT_TESTED</t>
        </is>
      </c>
      <c r="E53" s="3" t="inlineStr">
        <is>
          <t>NOT_TESTED</t>
        </is>
      </c>
      <c r="F53" s="4" t="inlineStr">
        <is>
          <t>Passed on test</t>
        </is>
      </c>
      <c r="G53" s="4" t="inlineStr">
        <is>
          <t>Passed on test</t>
        </is>
      </c>
      <c r="H53" s="4" t="inlineStr">
        <is>
          <t>Passed on test</t>
        </is>
      </c>
      <c r="I53" s="4" t="inlineStr">
        <is>
          <t>Passed on test</t>
        </is>
      </c>
      <c r="J53" s="4" t="inlineStr">
        <is>
          <t>Passed on test</t>
        </is>
      </c>
      <c r="K53" s="4" t="inlineStr">
        <is>
          <t>Passed on test</t>
        </is>
      </c>
      <c r="L53" s="4" t="inlineStr">
        <is>
          <t>Passed on test</t>
        </is>
      </c>
      <c r="M53" s="4" t="inlineStr">
        <is>
          <t>Passed on test</t>
        </is>
      </c>
      <c r="N53" s="4" t="inlineStr">
        <is>
          <t>Passed on test</t>
        </is>
      </c>
      <c r="O53" s="4" t="inlineStr">
        <is>
          <t>Passed on test</t>
        </is>
      </c>
      <c r="P53" s="4" t="inlineStr">
        <is>
          <t>Passed on test</t>
        </is>
      </c>
      <c r="Q53" s="4" t="inlineStr">
        <is>
          <t>Passed on test</t>
        </is>
      </c>
      <c r="R53" s="4" t="inlineStr">
        <is>
          <t>Passed on test</t>
        </is>
      </c>
      <c r="S53" s="4" t="inlineStr">
        <is>
          <t>Passed on test</t>
        </is>
      </c>
      <c r="T53" s="4" t="inlineStr">
        <is>
          <t>Passed on test</t>
        </is>
      </c>
      <c r="U53" s="4" t="inlineStr">
        <is>
          <t>Passed on test</t>
        </is>
      </c>
      <c r="V53" s="4" t="inlineStr">
        <is>
          <t>Passed on test</t>
        </is>
      </c>
      <c r="W53" s="4" t="inlineStr">
        <is>
          <t>Passed on test</t>
        </is>
      </c>
      <c r="X53" s="4" t="inlineStr">
        <is>
          <t>Passed on test</t>
        </is>
      </c>
      <c r="Y53" s="4" t="inlineStr">
        <is>
          <t>Passed on test</t>
        </is>
      </c>
      <c r="Z53" s="4" t="inlineStr">
        <is>
          <t>Passed on test</t>
        </is>
      </c>
      <c r="AA53" s="4" t="inlineStr">
        <is>
          <t>Passed on test</t>
        </is>
      </c>
      <c r="AB53" s="4" t="inlineStr">
        <is>
          <t>Passed on test</t>
        </is>
      </c>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2" t="n"/>
      <c r="CW53" s="2" t="n"/>
      <c r="CX53" s="2" t="n"/>
      <c r="CY53" s="2" t="n"/>
      <c r="CZ53" s="2" t="n"/>
      <c r="DA53" s="2" t="n"/>
      <c r="DB53" s="2" t="n"/>
      <c r="DC53" s="2" t="n"/>
      <c r="DD53" s="2" t="n"/>
      <c r="DE53" s="2" t="n"/>
    </row>
    <row r="54">
      <c r="A54" s="2" t="inlineStr">
        <is>
          <t>issue_876</t>
        </is>
      </c>
      <c r="B54" s="3" t="inlineStr">
        <is>
          <t>NOT_TESTED</t>
        </is>
      </c>
      <c r="C54" s="3" t="inlineStr">
        <is>
          <t>NOT_TESTED</t>
        </is>
      </c>
      <c r="D54" s="3" t="inlineStr">
        <is>
          <t>NOT_TESTED</t>
        </is>
      </c>
      <c r="E54" s="3" t="inlineStr">
        <is>
          <t>NOT_TESTED</t>
        </is>
      </c>
      <c r="F54" s="3" t="inlineStr">
        <is>
          <t>NOT_TESTED</t>
        </is>
      </c>
      <c r="G54" s="3" t="inlineStr">
        <is>
          <t>NOT_TESTED</t>
        </is>
      </c>
      <c r="H54" s="3" t="inlineStr">
        <is>
          <t>NOT_TESTED</t>
        </is>
      </c>
      <c r="I54" s="3" t="inlineStr">
        <is>
          <t>NOT_TESTED</t>
        </is>
      </c>
      <c r="J54" s="3" t="inlineStr">
        <is>
          <t>NOT_TESTED</t>
        </is>
      </c>
      <c r="K54" s="3" t="inlineStr">
        <is>
          <t>NOT_TESTED</t>
        </is>
      </c>
      <c r="L54" s="3" t="inlineStr">
        <is>
          <t>NOT_TESTED</t>
        </is>
      </c>
      <c r="M54" s="3" t="inlineStr">
        <is>
          <t>NOT_TESTED</t>
        </is>
      </c>
      <c r="N54" s="6" t="inlineStr">
        <is>
          <t>Passed on test</t>
        </is>
      </c>
      <c r="O54" s="6" t="inlineStr">
        <is>
          <t>Passed on test</t>
        </is>
      </c>
      <c r="P54" s="6" t="inlineStr">
        <is>
          <t>Passed on test</t>
        </is>
      </c>
      <c r="Q54" s="6" t="inlineStr">
        <is>
          <t>Passed on test</t>
        </is>
      </c>
      <c r="R54" s="6" t="inlineStr">
        <is>
          <t>Passed on test</t>
        </is>
      </c>
      <c r="S54" s="6" t="inlineStr">
        <is>
          <t>Passed on test</t>
        </is>
      </c>
      <c r="T54" s="6" t="inlineStr">
        <is>
          <t>Passed on test</t>
        </is>
      </c>
      <c r="U54" s="6" t="inlineStr">
        <is>
          <t>Passed on test</t>
        </is>
      </c>
      <c r="V54" s="6" t="inlineStr">
        <is>
          <t>Passed on test</t>
        </is>
      </c>
      <c r="W54" s="6" t="inlineStr">
        <is>
          <t>Passed on test</t>
        </is>
      </c>
      <c r="X54" s="6" t="inlineStr">
        <is>
          <t>Passed on test</t>
        </is>
      </c>
      <c r="Y54" s="6" t="inlineStr">
        <is>
          <t>Passed on test</t>
        </is>
      </c>
      <c r="Z54" s="6" t="inlineStr">
        <is>
          <t>Passed on test</t>
        </is>
      </c>
      <c r="AA54" s="6" t="inlineStr">
        <is>
          <t>Passed on test</t>
        </is>
      </c>
      <c r="AB54" s="6" t="inlineStr">
        <is>
          <t>Passed on test</t>
        </is>
      </c>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BP54" s="2" t="n"/>
      <c r="BQ54" s="2" t="n"/>
      <c r="BR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BS54" s="2" t="n"/>
      <c r="BT54" s="2" t="n"/>
      <c r="BU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BV54" s="2" t="n"/>
      <c r="BW54" s="2" t="n"/>
      <c r="BX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BY54" s="2" t="n"/>
      <c r="BZ54" s="2" t="n"/>
      <c r="CA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CB54" s="2" t="n"/>
      <c r="CC54" s="2" t="n"/>
      <c r="CD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CE54" s="2" t="n"/>
      <c r="CF54" s="2" t="n"/>
      <c r="CG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CH54" s="2" t="n"/>
      <c r="CI54" s="2" t="n"/>
      <c r="CJ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CK54" s="2" t="n"/>
      <c r="CL54" s="2" t="n"/>
      <c r="CM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CN54" s="2" t="n"/>
      <c r="CO54" s="2" t="n"/>
      <c r="CP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CQ54" s="2" t="n"/>
      <c r="CR54" s="2" t="n"/>
      <c r="CS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CT54" s="2" t="n"/>
      <c r="CU54" s="2" t="n"/>
      <c r="CV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CW54" s="2" t="n"/>
      <c r="CX54" s="2" t="n"/>
      <c r="CY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CZ54" s="2" t="n"/>
      <c r="DA54" s="2" t="n"/>
      <c r="DB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DC54" s="2" t="n"/>
      <c r="DD54" s="2" t="n"/>
      <c r="DE54" s="2"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row>
    <row r="55">
      <c r="A55" s="2" t="inlineStr">
        <is>
          <t>issue_877</t>
        </is>
      </c>
      <c r="B55" s="3" t="inlineStr">
        <is>
          <t>NOT_TESTED</t>
        </is>
      </c>
      <c r="C55" s="3" t="inlineStr">
        <is>
          <t>NOT_TESTED</t>
        </is>
      </c>
      <c r="D55" s="3" t="inlineStr">
        <is>
          <t>NOT_TESTED</t>
        </is>
      </c>
      <c r="E55" s="3" t="inlineStr">
        <is>
          <t>NOT_TESTED</t>
        </is>
      </c>
      <c r="F55" s="5" t="inlineStr">
        <is>
          <t>Passed on test</t>
        </is>
      </c>
      <c r="G55" s="5" t="inlineStr">
        <is>
          <t>Passed on test</t>
        </is>
      </c>
      <c r="H55" s="5" t="inlineStr">
        <is>
          <t>Passed on test</t>
        </is>
      </c>
      <c r="I55" s="5" t="inlineStr">
        <is>
          <t>Passed on test</t>
        </is>
      </c>
      <c r="J55" s="5" t="inlineStr">
        <is>
          <t>Passed on test</t>
        </is>
      </c>
      <c r="K55" s="5" t="inlineStr">
        <is>
          <t>Passed on test</t>
        </is>
      </c>
      <c r="L55" s="5" t="inlineStr">
        <is>
          <t>Passed on test</t>
        </is>
      </c>
      <c r="M55" s="5" t="inlineStr">
        <is>
          <t>Passed on test</t>
        </is>
      </c>
      <c r="N55" s="3" t="inlineStr">
        <is>
          <t>NOT_TESTED</t>
        </is>
      </c>
      <c r="O55" s="3" t="inlineStr">
        <is>
          <t>NOT_TESTED</t>
        </is>
      </c>
      <c r="P55" s="3" t="inlineStr">
        <is>
          <t>NOT_TESTED</t>
        </is>
      </c>
      <c r="Q55" s="3" t="inlineStr">
        <is>
          <t>NOT_TESTED</t>
        </is>
      </c>
      <c r="R55" s="3" t="inlineStr">
        <is>
          <t>NOT_TESTED</t>
        </is>
      </c>
      <c r="S55" s="3" t="inlineStr">
        <is>
          <t>NOT_TESTED</t>
        </is>
      </c>
      <c r="T55" s="3" t="inlineStr">
        <is>
          <t>NOT_TESTED</t>
        </is>
      </c>
      <c r="U55" s="3" t="inlineStr">
        <is>
          <t>NOT_TESTED</t>
        </is>
      </c>
      <c r="V55" s="3" t="inlineStr">
        <is>
          <t>NOT_TESTED</t>
        </is>
      </c>
      <c r="W55" s="3" t="inlineStr">
        <is>
          <t>NOT_TESTED</t>
        </is>
      </c>
      <c r="X55" s="3" t="inlineStr">
        <is>
          <t>NOT_TESTED</t>
        </is>
      </c>
      <c r="Y55" s="3" t="inlineStr">
        <is>
          <t>NOT_TESTED</t>
        </is>
      </c>
      <c r="Z55" s="3" t="inlineStr">
        <is>
          <t>NOT_TESTED</t>
        </is>
      </c>
      <c r="AA55" s="3" t="inlineStr">
        <is>
          <t>NOT_TESTED</t>
        </is>
      </c>
      <c r="AB55" s="3" t="inlineStr">
        <is>
          <t>NOT_TESTED</t>
        </is>
      </c>
      <c r="AC55" s="2" t="n"/>
      <c r="AD55" s="2" t="n"/>
      <c r="AE55" s="2" t="n"/>
      <c r="AF55" s="2" t="n"/>
      <c r="AG55" s="2" t="n"/>
      <c r="AH55" s="2" t="n"/>
      <c r="AI55" s="2" t="n"/>
      <c r="AJ55" s="2" t="n"/>
      <c r="AK55" s="2" t="n"/>
      <c r="AL55" s="2" t="n"/>
      <c r="AM55" s="2" t="n"/>
      <c r="AN55" s="2" t="n"/>
      <c r="AO55" s="2" t="n"/>
      <c r="AP55" s="2" t="n"/>
      <c r="AQ55" s="2" t="inlineStr">
        <is>
          <t>The LLM defined the missing backend as the bundled 127-qubit FakeWashington snapshot from qiskit.providers.fake_provider, and NoiseModel.from_backend() builds the noise model offline, which is what the question asks (the noise model of a large IBM device without access to it). The test first checks that the backend has 27 qubits, the size of the reference answer's FakeKolkata, so it fails there (127 != 27). Over-specific check, and no updated test exists for this case. gpt-6-astra picked FakeWashingtonV2 from qiskit_ibm_runtime, which isn't installed, and crashed; gpt-6-luna's 27-qubit FakeMontreal passed.</t>
        </is>
      </c>
      <c r="AR55" s="2" t="n"/>
      <c r="AS55" s="2" t="n"/>
      <c r="AT55" s="2" t="inlineStr">
        <is>
          <t>The LLM defined the missing backend as the bundled 127-qubit FakeWashington snapshot from qiskit.providers.fake_provider, and NoiseModel.from_backend() builds the noise model offline, which is what the question asks (the noise model of a large IBM device without access to it). The test first checks that the backend has 27 qubits, the size of the reference answer's FakeKolkata, so it fails there (127 != 27). Over-specific check, and no updated test exists for this case. gpt-6-astra picked FakeWashingtonV2 from qiskit_ibm_runtime, which isn't installed, and crashed; gpt-6-luna's 27-qubit FakeMontreal passed.</t>
        </is>
      </c>
      <c r="AU55" s="2" t="n"/>
      <c r="AV55" s="2" t="n"/>
      <c r="AW55" s="2" t="inlineStr">
        <is>
          <t>The LLM defined the missing backend as the bundled 127-qubit FakeWashington snapshot from qiskit.providers.fake_provider, and NoiseModel.from_backend() builds the noise model offline, which is what the question asks (the noise model of a large IBM device without access to it). The test first checks that the backend has 27 qubits, the size of the reference answer's FakeKolkata, so it fails there (127 != 27). Over-specific check, and no updated test exists for this case. gpt-6-astra picked FakeWashingtonV2 from qiskit_ibm_runtime, which isn't installed, and crashed; gpt-6-luna's 27-qubit FakeMontreal passed.</t>
        </is>
      </c>
      <c r="AX55" s="2" t="n"/>
      <c r="AY55" s="2" t="n"/>
      <c r="AZ55" s="2" t="inlineStr">
        <is>
          <t>The LLM defined the missing backend as the bundled 127-qubit FakeWashington snapshot from qiskit.providers.fake_provider, and NoiseModel.from_backend() builds the noise model offline, which is what the question asks (the noise model of a large IBM device without access to it). The test first checks that the backend has 27 qubits, the size of the reference answer's FakeKolkata, so it fails there (127 != 27). Over-specific check, and no updated test exists for this case. gpt-6-astra picked FakeWashingtonV2 from qiskit_ibm_runtime, which isn't installed, and crashed; gpt-6-luna's 27-qubit FakeMontreal passed.</t>
        </is>
      </c>
      <c r="BA55" s="2" t="n"/>
      <c r="BB55" s="2" t="n"/>
      <c r="BC55" s="2" t="inlineStr">
        <is>
          <t>The LLM defined the missing backend as the bundled 127-qubit FakeWashington snapshot from qiskit.providers.fake_provider, and NoiseModel.from_backend() builds the noise model offline, which is what the question asks (the noise model of a large IBM device without access to it). The test first checks that the backend has 27 qubits, the size of the reference answer's FakeKolkata, so it fails there (127 != 27). Over-specific check, and no updated test exists for this case. gpt-6-astra picked FakeWashingtonV2 from qiskit_ibm_runtime, which isn't installed, and crashed; gpt-6-luna's 27-qubit FakeMontreal passed.</t>
        </is>
      </c>
      <c r="BD55" s="2" t="n"/>
      <c r="BE55" s="2" t="n"/>
      <c r="BF55" s="2" t="inlineStr">
        <is>
          <t>The LLM defined the missing backend as the bundled 127-qubit FakeWashington snapshot from qiskit.providers.fake_provider, and NoiseModel.from_backend() builds the noise model offline, which is what the question asks (the noise model of a large IBM device without access to it). The test first checks that the backend has 27 qubits, the size of the reference answer's FakeKolkata, so it fails there (127 != 27). Over-specific check, and no updated test exists for this case. gpt-6-astra picked FakeWashingtonV2 from qiskit_ibm_runtime, which isn't installed, and crashed; gpt-6-luna's 27-qubit FakeMontreal passed.</t>
        </is>
      </c>
      <c r="BG55" s="2" t="n"/>
      <c r="BH55" s="2" t="n"/>
      <c r="BI55" s="2" t="inlineStr">
        <is>
          <t>The LLM defined the missing backend as the bundled 127-qubit FakeWashington snapshot from qiskit.providers.fake_provider, and NoiseModel.from_backend() builds the noise model offline, which is what the question asks (the noise model of a large IBM device without access to it). The test first checks that the backend has 27 qubits, the size of the reference answer's FakeKolkata, so it fails there (127 != 27). Over-specific check, and no updated test exists for this case. gpt-6-astra picked FakeWashingtonV2 from qiskit_ibm_runtime, which isn't installed, and crashed; gpt-6-luna's 27-qubit FakeMontreal passed.</t>
        </is>
      </c>
      <c r="BJ55" s="2" t="n"/>
      <c r="BK55" s="2" t="n"/>
      <c r="BL55" s="2" t="inlineStr">
        <is>
          <t>The LLM defined the missing backend as the bundled 127-qubit FakeWashington snapshot from qiskit.providers.fake_provider, and NoiseModel.from_backend() builds the noise model offline, which is what the question asks (the noise model of a large IBM device without access to it). The test first checks that the backend has 27 qubits, the size of the reference answer's FakeKolkata, so it fails there (127 != 27). Over-specific check, and no updated test exists for this case. gpt-6-astra picked FakeWashingtonV2 from qiskit_ibm_runtime, which isn't installed, and crashed; gpt-6-luna's 27-qubit FakeMontreal passed.</t>
        </is>
      </c>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2" t="n"/>
      <c r="CW55" s="2" t="n"/>
      <c r="CX55" s="2" t="n"/>
      <c r="CY55" s="2" t="n"/>
      <c r="CZ55" s="2" t="n"/>
      <c r="DA55" s="2" t="n"/>
      <c r="DB55" s="2" t="n"/>
      <c r="DC55" s="2" t="n"/>
      <c r="DD55" s="2" t="n"/>
      <c r="DE55" s="2" t="n"/>
    </row>
    <row r="56">
      <c r="A56" s="2" t="inlineStr">
        <is>
          <t>issue_886</t>
        </is>
      </c>
      <c r="B56" s="3" t="inlineStr">
        <is>
          <t>NOT_TESTED</t>
        </is>
      </c>
      <c r="C56" s="3" t="inlineStr">
        <is>
          <t>NOT_TESTED</t>
        </is>
      </c>
      <c r="D56" s="3" t="inlineStr">
        <is>
          <t>NOT_TESTED</t>
        </is>
      </c>
      <c r="E56" s="3" t="inlineStr">
        <is>
          <t>NOT_TESTED</t>
        </is>
      </c>
      <c r="F56" s="4" t="inlineStr">
        <is>
          <t>Failed on test</t>
        </is>
      </c>
      <c r="G56" s="4" t="inlineStr">
        <is>
          <t>Failed on test</t>
        </is>
      </c>
      <c r="H56" s="3" t="inlineStr">
        <is>
          <t>NOT_TESTED</t>
        </is>
      </c>
      <c r="I56" s="3" t="inlineStr">
        <is>
          <t>NOT_TESTED</t>
        </is>
      </c>
      <c r="J56" s="3" t="inlineStr">
        <is>
          <t>NOT_TESTED</t>
        </is>
      </c>
      <c r="K56" s="3" t="inlineStr">
        <is>
          <t>NOT_TESTED</t>
        </is>
      </c>
      <c r="L56" s="3" t="inlineStr">
        <is>
          <t>NOT_TESTED</t>
        </is>
      </c>
      <c r="M56" s="3" t="inlineStr">
        <is>
          <t>NOT_TESTED</t>
        </is>
      </c>
      <c r="N56" s="3" t="inlineStr">
        <is>
          <t>NOT_TESTED</t>
        </is>
      </c>
      <c r="O56" s="3" t="inlineStr">
        <is>
          <t>NOT_TESTED</t>
        </is>
      </c>
      <c r="P56" s="3" t="inlineStr">
        <is>
          <t>NOT_TESTED</t>
        </is>
      </c>
      <c r="Q56" s="3" t="inlineStr">
        <is>
          <t>NOT_TESTED</t>
        </is>
      </c>
      <c r="R56" s="3" t="inlineStr">
        <is>
          <t>NOT_TESTED</t>
        </is>
      </c>
      <c r="S56" s="3" t="inlineStr">
        <is>
          <t>NOT_TESTED</t>
        </is>
      </c>
      <c r="T56" s="3" t="inlineStr">
        <is>
          <t>NOT_TESTED</t>
        </is>
      </c>
      <c r="U56" s="3" t="inlineStr">
        <is>
          <t>NOT_TESTED</t>
        </is>
      </c>
      <c r="V56" s="3" t="inlineStr">
        <is>
          <t>NOT_TESTED</t>
        </is>
      </c>
      <c r="W56" s="3" t="inlineStr">
        <is>
          <t>NOT_TESTED</t>
        </is>
      </c>
      <c r="X56" s="3" t="inlineStr">
        <is>
          <t>NOT_TESTED</t>
        </is>
      </c>
      <c r="Y56" s="3" t="inlineStr">
        <is>
          <t>NOT_TESTED</t>
        </is>
      </c>
      <c r="Z56" s="3" t="inlineStr">
        <is>
          <t>NOT_TESTED</t>
        </is>
      </c>
      <c r="AA56" s="3" t="inlineStr">
        <is>
          <t>NOT_TESTED</t>
        </is>
      </c>
      <c r="AB56" s="3" t="inlineStr">
        <is>
          <t>NOT_TESTED</t>
        </is>
      </c>
      <c r="AC56" s="2" t="n"/>
      <c r="AD56" s="2" t="n"/>
      <c r="AE56" s="2" t="n"/>
      <c r="AF56" s="2" t="n"/>
      <c r="AG56" s="2" t="n"/>
      <c r="AH56" s="2" t="n"/>
      <c r="AI56" s="2" t="n"/>
      <c r="AJ56" s="2" t="n"/>
      <c r="AK56" s="2" t="n"/>
      <c r="AL56" s="2" t="n"/>
      <c r="AM56" s="2" t="n"/>
      <c r="AN56" s="2" t="n"/>
      <c r="AO56" s="2" t="inlineStr">
        <is>
          <t>KeyError</t>
        </is>
      </c>
      <c r="AP56" s="2" t="inlineStr">
        <is>
          <t>KeyError: 'transpile_circ'; AssertionError: {'00 00': 1024} != {'00': 1024}</t>
        </is>
      </c>
      <c r="AQ56" s="2" t="n"/>
      <c r="AR56" s="2" t="inlineStr">
        <is>
          <t>KeyError</t>
        </is>
      </c>
      <c r="AS56" s="2" t="inlineStr">
        <is>
          <t>KeyError: 'transpile_circ'; AssertionError: {'00 00': 1024} != {'00': 1024}</t>
        </is>
      </c>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2" t="n"/>
      <c r="CU56" s="2" t="n"/>
      <c r="CV56" s="2" t="n"/>
      <c r="CW56" s="2" t="n"/>
      <c r="CX56" s="2" t="n"/>
      <c r="CY56" s="2" t="n"/>
      <c r="CZ56" s="2" t="n"/>
      <c r="DA56" s="2" t="n"/>
      <c r="DB56" s="2" t="n"/>
      <c r="DC56" s="2" t="n"/>
      <c r="DD56" s="2" t="n"/>
      <c r="DE56" s="2" t="n"/>
    </row>
    <row r="57">
      <c r="A57" s="2" t="inlineStr">
        <is>
          <t>issue_889</t>
        </is>
      </c>
      <c r="B57" s="6" t="inlineStr">
        <is>
          <t>Runtime error</t>
        </is>
      </c>
      <c r="C57" s="6" t="inlineStr">
        <is>
          <t>Runtime error</t>
        </is>
      </c>
      <c r="D57" s="6" t="inlineStr">
        <is>
          <t>Runtime error</t>
        </is>
      </c>
      <c r="E57" s="6" t="inlineStr">
        <is>
          <t>Runtime error</t>
        </is>
      </c>
      <c r="F57" s="5" t="inlineStr">
        <is>
          <t>Failed on test</t>
        </is>
      </c>
      <c r="G57" s="5" t="inlineStr">
        <is>
          <t>Failed on test</t>
        </is>
      </c>
      <c r="H57" s="5" t="inlineStr">
        <is>
          <t>Failed on test</t>
        </is>
      </c>
      <c r="I57" s="5" t="inlineStr">
        <is>
          <t>Failed on test</t>
        </is>
      </c>
      <c r="J57" s="5" t="inlineStr">
        <is>
          <t>Failed on test</t>
        </is>
      </c>
      <c r="K57" s="5" t="inlineStr">
        <is>
          <t>Failed on test</t>
        </is>
      </c>
      <c r="L57" s="5" t="inlineStr">
        <is>
          <t>Failed on test</t>
        </is>
      </c>
      <c r="M57" s="5" t="inlineStr">
        <is>
          <t>Failed on test</t>
        </is>
      </c>
      <c r="N57" s="3" t="inlineStr">
        <is>
          <t>NOT_TESTED</t>
        </is>
      </c>
      <c r="O57" s="3" t="inlineStr">
        <is>
          <t>NOT_TESTED</t>
        </is>
      </c>
      <c r="P57" s="3" t="inlineStr">
        <is>
          <t>NOT_TESTED</t>
        </is>
      </c>
      <c r="Q57" s="3" t="inlineStr">
        <is>
          <t>NOT_TESTED</t>
        </is>
      </c>
      <c r="R57" s="3" t="inlineStr">
        <is>
          <t>NOT_TESTED</t>
        </is>
      </c>
      <c r="S57" s="3" t="inlineStr">
        <is>
          <t>NOT_TESTED</t>
        </is>
      </c>
      <c r="T57" s="3" t="inlineStr">
        <is>
          <t>NOT_TESTED</t>
        </is>
      </c>
      <c r="U57" s="3" t="inlineStr">
        <is>
          <t>NOT_TESTED</t>
        </is>
      </c>
      <c r="V57" s="3" t="inlineStr">
        <is>
          <t>NOT_TESTED</t>
        </is>
      </c>
      <c r="W57" s="3" t="inlineStr">
        <is>
          <t>NOT_TESTED</t>
        </is>
      </c>
      <c r="X57" s="3" t="inlineStr">
        <is>
          <t>NOT_TESTED</t>
        </is>
      </c>
      <c r="Y57" s="3" t="inlineStr">
        <is>
          <t>NOT_TESTED</t>
        </is>
      </c>
      <c r="Z57" s="3" t="inlineStr">
        <is>
          <t>NOT_TESTED</t>
        </is>
      </c>
      <c r="AA57" s="3" t="inlineStr">
        <is>
          <t>NOT_TESTED</t>
        </is>
      </c>
      <c r="AB57" s="3" t="inlineStr">
        <is>
          <t>NOT_TESTED</t>
        </is>
      </c>
      <c r="AC57" s="2" t="inlineStr">
        <is>
          <t>ExtensionError</t>
        </is>
      </c>
      <c r="AD57" s="2" t="inlineStr">
        <is>
          <t>qiskit.extensions.exceptions.ExtensionError: 'Input matrix is not unitary.'</t>
        </is>
      </c>
      <c r="AE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AF57" s="2" t="inlineStr">
        <is>
          <t>ExtensionError</t>
        </is>
      </c>
      <c r="AG57" s="2" t="inlineStr">
        <is>
          <t>qiskit.extensions.exceptions.ExtensionError: 'Input matrix is not unitary.'</t>
        </is>
      </c>
      <c r="AH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AI57" s="2" t="inlineStr">
        <is>
          <t>ExtensionError</t>
        </is>
      </c>
      <c r="AJ57" s="2" t="inlineStr">
        <is>
          <t>qiskit.extensions.exceptions.ExtensionError: 'Input matrix is not unitary.'</t>
        </is>
      </c>
      <c r="AK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AL57" s="2" t="inlineStr">
        <is>
          <t>ExtensionError</t>
        </is>
      </c>
      <c r="AM57" s="2" t="inlineStr">
        <is>
          <t>qiskit.extensions.exceptions.ExtensionError: 'Input matrix is not unitary.'</t>
        </is>
      </c>
      <c r="AN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AO57" s="2" t="inlineStr">
        <is>
          <t>AssertionError</t>
        </is>
      </c>
      <c r="AP57" s="2" t="inlineStr">
        <is>
          <t>AssertionError:</t>
        </is>
      </c>
      <c r="AQ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AR57" s="2" t="inlineStr">
        <is>
          <t>AssertionError</t>
        </is>
      </c>
      <c r="AS57" s="2" t="inlineStr">
        <is>
          <t>AssertionError:</t>
        </is>
      </c>
      <c r="AT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AU57" s="2" t="inlineStr">
        <is>
          <t>AssertionError</t>
        </is>
      </c>
      <c r="AV57" s="2" t="inlineStr">
        <is>
          <t>AssertionError:</t>
        </is>
      </c>
      <c r="AW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AX57" s="2" t="inlineStr">
        <is>
          <t>AssertionError</t>
        </is>
      </c>
      <c r="AY57" s="2" t="inlineStr">
        <is>
          <t>AssertionError:</t>
        </is>
      </c>
      <c r="AZ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BA57" s="2" t="inlineStr">
        <is>
          <t>AssertionError</t>
        </is>
      </c>
      <c r="BB57" s="2" t="inlineStr">
        <is>
          <t>AssertionError:</t>
        </is>
      </c>
      <c r="BC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BD57" s="2" t="inlineStr">
        <is>
          <t>AssertionError</t>
        </is>
      </c>
      <c r="BE57" s="2" t="inlineStr">
        <is>
          <t>AssertionError:</t>
        </is>
      </c>
      <c r="BF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BG57" s="2" t="inlineStr">
        <is>
          <t>AssertionError</t>
        </is>
      </c>
      <c r="BH57" s="2" t="inlineStr">
        <is>
          <t>AssertionError:</t>
        </is>
      </c>
      <c r="BI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BJ57" s="2" t="inlineStr">
        <is>
          <t>AssertionError</t>
        </is>
      </c>
      <c r="BK57" s="2" t="inlineStr">
        <is>
          <t>AssertionError:</t>
        </is>
      </c>
      <c r="BL57" s="2"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2" t="n"/>
      <c r="CV57" s="2" t="n"/>
      <c r="CW57" s="2" t="n"/>
      <c r="CX57" s="2" t="n"/>
      <c r="CY57" s="2" t="n"/>
      <c r="CZ57" s="2" t="n"/>
      <c r="DA57" s="2" t="n"/>
      <c r="DB57" s="2" t="n"/>
      <c r="DC57" s="2" t="n"/>
      <c r="DD57" s="2" t="n"/>
      <c r="DE57" s="2" t="n"/>
    </row>
    <row r="58">
      <c r="A58" s="2" t="inlineStr">
        <is>
          <t>issue_911</t>
        </is>
      </c>
      <c r="B58" s="3" t="inlineStr">
        <is>
          <t>NOT_TESTED</t>
        </is>
      </c>
      <c r="C58" s="3" t="inlineStr">
        <is>
          <t>NOT_TESTED</t>
        </is>
      </c>
      <c r="D58" s="3" t="inlineStr">
        <is>
          <t>NOT_TESTED</t>
        </is>
      </c>
      <c r="E58" s="3" t="inlineStr">
        <is>
          <t>NOT_TESTED</t>
        </is>
      </c>
      <c r="F58" s="5" t="inlineStr">
        <is>
          <t>Runtime error</t>
        </is>
      </c>
      <c r="G58" s="5" t="inlineStr">
        <is>
          <t>Runtime error</t>
        </is>
      </c>
      <c r="H58" s="5" t="inlineStr">
        <is>
          <t>Runtime error</t>
        </is>
      </c>
      <c r="I58" s="5" t="inlineStr">
        <is>
          <t>Runtime error</t>
        </is>
      </c>
      <c r="J58" s="5" t="inlineStr">
        <is>
          <t>Runtime error</t>
        </is>
      </c>
      <c r="K58" s="5" t="inlineStr">
        <is>
          <t>Runtime error</t>
        </is>
      </c>
      <c r="L58" s="5" t="inlineStr">
        <is>
          <t>Runtime error</t>
        </is>
      </c>
      <c r="M58" s="5" t="inlineStr">
        <is>
          <t>Runtime error</t>
        </is>
      </c>
      <c r="N58" s="5" t="inlineStr">
        <is>
          <t>Runtime error</t>
        </is>
      </c>
      <c r="O58" s="5" t="inlineStr">
        <is>
          <t>Runtime error</t>
        </is>
      </c>
      <c r="P58" s="5" t="inlineStr">
        <is>
          <t>Runtime error</t>
        </is>
      </c>
      <c r="Q58" s="5" t="inlineStr">
        <is>
          <t>Runtime error</t>
        </is>
      </c>
      <c r="R58" s="5" t="inlineStr">
        <is>
          <t>Runtime error</t>
        </is>
      </c>
      <c r="S58" s="5" t="inlineStr">
        <is>
          <t>Runtime error</t>
        </is>
      </c>
      <c r="T58" s="5" t="inlineStr">
        <is>
          <t>Runtime error</t>
        </is>
      </c>
      <c r="U58" s="5" t="inlineStr">
        <is>
          <t>Runtime error</t>
        </is>
      </c>
      <c r="V58" s="5" t="inlineStr">
        <is>
          <t>Runtime error</t>
        </is>
      </c>
      <c r="W58" s="5" t="inlineStr">
        <is>
          <t>Runtime error</t>
        </is>
      </c>
      <c r="X58" s="5" t="inlineStr">
        <is>
          <t>Runtime error</t>
        </is>
      </c>
      <c r="Y58" s="5" t="inlineStr">
        <is>
          <t>Runtime error</t>
        </is>
      </c>
      <c r="Z58" s="5" t="inlineStr">
        <is>
          <t>Runtime error</t>
        </is>
      </c>
      <c r="AA58" s="5" t="inlineStr">
        <is>
          <t>Runtime error</t>
        </is>
      </c>
      <c r="AB58" s="5" t="inlineStr">
        <is>
          <t>Runtime error</t>
        </is>
      </c>
      <c r="AC58" s="2" t="n"/>
      <c r="AD58" s="2" t="n"/>
      <c r="AE58" s="2" t="n"/>
      <c r="AF58" s="2" t="n"/>
      <c r="AG58" s="2" t="n"/>
      <c r="AH58" s="2" t="n"/>
      <c r="AI58" s="2" t="n"/>
      <c r="AJ58" s="2" t="n"/>
      <c r="AK58" s="2" t="n"/>
      <c r="AL58" s="2" t="n"/>
      <c r="AM58" s="2" t="n"/>
      <c r="AN58" s="2" t="n"/>
      <c r="AO58" s="2" t="inlineStr">
        <is>
          <t>ValueError</t>
        </is>
      </c>
      <c r="AP58" s="2" t="inlineStr">
        <is>
          <t>ValueError: malformed node or string on line 1: &lt;ast.Call object at 0x00000294C7E003D0&gt;</t>
        </is>
      </c>
      <c r="AQ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AR58" s="2" t="inlineStr">
        <is>
          <t>ValueError</t>
        </is>
      </c>
      <c r="AS58" s="2" t="inlineStr">
        <is>
          <t>ValueError: malformed node or string on line 1: &lt;ast.Call object at 0x0000018427E3CFA0&gt;</t>
        </is>
      </c>
      <c r="AT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AU58" s="2" t="inlineStr">
        <is>
          <t>ValueError</t>
        </is>
      </c>
      <c r="AV58" s="2" t="inlineStr">
        <is>
          <t>ValueError: malformed node or string on line 1: &lt;ast.Call object at 0x00000211F793FE50&gt;</t>
        </is>
      </c>
      <c r="AW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AX58" s="2" t="inlineStr">
        <is>
          <t>ValueError</t>
        </is>
      </c>
      <c r="AY58" s="2" t="inlineStr">
        <is>
          <t>ValueError: malformed node or string on line 1: &lt;ast.Call object at 0x00000250F6815FC0&gt;</t>
        </is>
      </c>
      <c r="AZ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BA58" s="2" t="inlineStr">
        <is>
          <t>ValueError</t>
        </is>
      </c>
      <c r="BB58" s="2" t="inlineStr">
        <is>
          <t>ValueError: malformed node or string on line 1: &lt;ast.Call object at 0x00000266114573D0&gt;</t>
        </is>
      </c>
      <c r="BC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BD58" s="2" t="inlineStr">
        <is>
          <t>TIMEOUT</t>
        </is>
      </c>
      <c r="BE58" s="2" t="inlineStr">
        <is>
          <t>120 second timeout</t>
        </is>
      </c>
      <c r="BF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BG58" s="2" t="inlineStr">
        <is>
          <t>ValueError</t>
        </is>
      </c>
      <c r="BH58" s="2" t="inlineStr">
        <is>
          <t>ValueError: malformed node or string on line 1: &lt;ast.Call object at 0x000002C3CC2A20E0&gt;</t>
        </is>
      </c>
      <c r="BI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BJ58" s="2" t="inlineStr">
        <is>
          <t>ValueError</t>
        </is>
      </c>
      <c r="BK58" s="2" t="inlineStr">
        <is>
          <t>ValueError: malformed node or string on line 1: &lt;ast.Call object at 0x0000024FB56D71F0&gt;</t>
        </is>
      </c>
      <c r="BL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BM58" s="2" t="inlineStr">
        <is>
          <t>ValueError</t>
        </is>
      </c>
      <c r="BN58" s="2" t="inlineStr">
        <is>
          <t>ValueError: malformed node or string on line 1: &lt;ast.Call object at 0x000002746F799D20&gt;</t>
        </is>
      </c>
      <c r="BO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BP58" s="2" t="inlineStr">
        <is>
          <t>ValueError</t>
        </is>
      </c>
      <c r="BQ58" s="2" t="inlineStr">
        <is>
          <t>ValueError: malformed node or string on line 1: &lt;ast.Call object at 0x0000020AFF867FA0&gt;</t>
        </is>
      </c>
      <c r="BR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BS58" s="2" t="inlineStr">
        <is>
          <t>ValueError</t>
        </is>
      </c>
      <c r="BT58" s="2" t="inlineStr">
        <is>
          <t>ValueError: malformed node or string on line 1: &lt;ast.Call object at 0x000002920C7C7EE0&gt;</t>
        </is>
      </c>
      <c r="BU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BV58" s="2" t="inlineStr">
        <is>
          <t>ValueError</t>
        </is>
      </c>
      <c r="BW58" s="2" t="inlineStr">
        <is>
          <t>ValueError: malformed node or string on line 1: &lt;ast.Call object at 0x0000028EFCB85240&gt;</t>
        </is>
      </c>
      <c r="BX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BY58" s="2" t="inlineStr">
        <is>
          <t>ValueError</t>
        </is>
      </c>
      <c r="BZ58" s="2" t="inlineStr">
        <is>
          <t>ValueError: malformed node or string on line 1: &lt;ast.Call object at 0x0000016BD9AFFD30&gt;</t>
        </is>
      </c>
      <c r="CA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CB58" s="2" t="inlineStr">
        <is>
          <t>ValueError</t>
        </is>
      </c>
      <c r="CC58" s="2" t="inlineStr">
        <is>
          <t>ValueError: malformed node or string on line 1: &lt;ast.Call object at 0x000002979B739DE0&gt;</t>
        </is>
      </c>
      <c r="CD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CE58" s="2" t="inlineStr">
        <is>
          <t>ValueError</t>
        </is>
      </c>
      <c r="CF58" s="2" t="inlineStr">
        <is>
          <t>ValueError: malformed node or string on line 1: &lt;ast.Call object at 0x000001B4580019F0&gt;</t>
        </is>
      </c>
      <c r="CG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CH58" s="2" t="inlineStr">
        <is>
          <t>ValueError</t>
        </is>
      </c>
      <c r="CI58" s="2" t="inlineStr">
        <is>
          <t>ValueError: malformed node or string on line 1: &lt;ast.Call object at 0x000002D889F9F460&gt;</t>
        </is>
      </c>
      <c r="CJ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CK58" s="2" t="inlineStr">
        <is>
          <t>ValueError</t>
        </is>
      </c>
      <c r="CL58" s="2" t="inlineStr">
        <is>
          <t>ValueError: malformed node or string on line 1: &lt;ast.Call object at 0x000002B1677C0520&gt;</t>
        </is>
      </c>
      <c r="CM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CN58" s="2" t="inlineStr">
        <is>
          <t>ValueError</t>
        </is>
      </c>
      <c r="CO58" s="2" t="inlineStr">
        <is>
          <t>ValueError: malformed node or string on line 1: &lt;ast.Call object at 0x000001F9215190D0&gt;</t>
        </is>
      </c>
      <c r="CP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CQ58" s="2" t="inlineStr">
        <is>
          <t>SyntaxError</t>
        </is>
      </c>
      <c r="CR58" s="2" t="inlineStr">
        <is>
          <t>SyntaxError: invalid syntax</t>
        </is>
      </c>
      <c r="CS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CT58" s="2" t="inlineStr">
        <is>
          <t>SyntaxError</t>
        </is>
      </c>
      <c r="CU58" s="2" t="inlineStr">
        <is>
          <t>SyntaxError: invalid syntax</t>
        </is>
      </c>
      <c r="CV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CW58" s="2" t="inlineStr">
        <is>
          <t>SyntaxError</t>
        </is>
      </c>
      <c r="CX58" s="2" t="inlineStr">
        <is>
          <t>SyntaxError: invalid syntax</t>
        </is>
      </c>
      <c r="CY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CZ58" s="2" t="inlineStr">
        <is>
          <t>SyntaxError</t>
        </is>
      </c>
      <c r="DA58" s="2" t="inlineStr">
        <is>
          <t>SyntaxError: invalid syntax</t>
        </is>
      </c>
      <c r="DB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c r="DC58" s="2" t="inlineStr">
        <is>
          <t>SyntaxError</t>
        </is>
      </c>
      <c r="DD58" s="2" t="inlineStr">
        <is>
          <t>SyntaxError: invalid syntax</t>
        </is>
      </c>
      <c r="DE58" s="2" t="inlineStr">
        <is>
          <t>The LLM printed the register and index with qc.find_bit() only for each gate's last qubit (qargs[-1]), under the buggy code's labels such as 'qargs[1].index :'. The first qubit of every two-qubit gate is missing, and the updated test, which reads printed indices from lines starting with 'qargs :' or 'index :', finds none it can match. gpt-6-astra printed only the second qubit and failed the same way; gpt-5.6-luna passed.</t>
        </is>
      </c>
    </row>
    <row r="59">
      <c r="A59" s="2" t="inlineStr">
        <is>
          <t>issue_925</t>
        </is>
      </c>
      <c r="B59" s="6" t="inlineStr">
        <is>
          <t>Runtime error</t>
        </is>
      </c>
      <c r="C59" s="6" t="inlineStr">
        <is>
          <t>Runtime error</t>
        </is>
      </c>
      <c r="D59" s="6" t="inlineStr">
        <is>
          <t>Runtime error</t>
        </is>
      </c>
      <c r="E59" s="6" t="inlineStr">
        <is>
          <t>Runtime error</t>
        </is>
      </c>
      <c r="F59" s="3" t="inlineStr">
        <is>
          <t>NOT_TESTED</t>
        </is>
      </c>
      <c r="G59" s="3" t="inlineStr">
        <is>
          <t>NOT_TESTED</t>
        </is>
      </c>
      <c r="H59" s="3" t="inlineStr">
        <is>
          <t>NOT_TESTED</t>
        </is>
      </c>
      <c r="I59" s="3" t="inlineStr">
        <is>
          <t>NOT_TESTED</t>
        </is>
      </c>
      <c r="J59" s="3" t="inlineStr">
        <is>
          <t>NOT_TESTED</t>
        </is>
      </c>
      <c r="K59" s="3" t="inlineStr">
        <is>
          <t>NOT_TESTED</t>
        </is>
      </c>
      <c r="L59" s="3" t="inlineStr">
        <is>
          <t>NOT_TESTED</t>
        </is>
      </c>
      <c r="M59" s="3" t="inlineStr">
        <is>
          <t>NOT_TESTED</t>
        </is>
      </c>
      <c r="N59" s="3" t="inlineStr">
        <is>
          <t>NOT_TESTED</t>
        </is>
      </c>
      <c r="O59" s="3" t="inlineStr">
        <is>
          <t>NOT_TESTED</t>
        </is>
      </c>
      <c r="P59" s="3" t="inlineStr">
        <is>
          <t>NOT_TESTED</t>
        </is>
      </c>
      <c r="Q59" s="3" t="inlineStr">
        <is>
          <t>NOT_TESTED</t>
        </is>
      </c>
      <c r="R59" s="3" t="inlineStr">
        <is>
          <t>NOT_TESTED</t>
        </is>
      </c>
      <c r="S59" s="3" t="inlineStr">
        <is>
          <t>NOT_TESTED</t>
        </is>
      </c>
      <c r="T59" s="3" t="inlineStr">
        <is>
          <t>NOT_TESTED</t>
        </is>
      </c>
      <c r="U59" s="3" t="inlineStr">
        <is>
          <t>NOT_TESTED</t>
        </is>
      </c>
      <c r="V59" s="3" t="inlineStr">
        <is>
          <t>NOT_TESTED</t>
        </is>
      </c>
      <c r="W59" s="3" t="inlineStr">
        <is>
          <t>NOT_TESTED</t>
        </is>
      </c>
      <c r="X59" s="3" t="inlineStr">
        <is>
          <t>NOT_TESTED</t>
        </is>
      </c>
      <c r="Y59" s="3" t="inlineStr">
        <is>
          <t>NOT_TESTED</t>
        </is>
      </c>
      <c r="Z59" s="3" t="inlineStr">
        <is>
          <t>NOT_TESTED</t>
        </is>
      </c>
      <c r="AA59" s="3" t="inlineStr">
        <is>
          <t>NOT_TESTED</t>
        </is>
      </c>
      <c r="AB59" s="3" t="inlineStr">
        <is>
          <t>NOT_TESTED</t>
        </is>
      </c>
      <c r="AC59" s="2" t="inlineStr">
        <is>
          <t>TranspilerError</t>
        </is>
      </c>
      <c r="AD59" s="2" t="inlineStr">
        <is>
          <t>qiskit.transpiler.exceptions.TranspilerError: 'Number of qubits (18) in Shor(N=15, a=2) is greater than maximum (14) in the coupling_map'</t>
        </is>
      </c>
      <c r="AE59" s="2" t="inlineStr">
        <is>
          <t>The LLM answered NO BUG: it explained that Aqua's Shor needs 18 qubits for N = 15, more than FakeMelbourne has. The code is unchanged, so it fails exactly like the buggy code (TranspilerError). Same answer as gpt-6-astra and gpt-5.6-luna; the reference switches to Aer's qasm_simulator.</t>
        </is>
      </c>
      <c r="AF59" s="2" t="inlineStr">
        <is>
          <t>TranspilerError</t>
        </is>
      </c>
      <c r="AG59" s="2" t="inlineStr">
        <is>
          <t>qiskit.transpiler.exceptions.TranspilerError: 'Number of qubits (18) in Shor(N=15, a=2) is greater than maximum (14) in the coupling_map'</t>
        </is>
      </c>
      <c r="AH59" s="2" t="inlineStr">
        <is>
          <t>The LLM answered NO BUG: it explained that Aqua's Shor needs 18 qubits for N = 15, more than FakeMelbourne has. The code is unchanged, so it fails exactly like the buggy code (TranspilerError). Same answer as gpt-6-astra and gpt-5.6-luna; the reference switches to Aer's qasm_simulator.</t>
        </is>
      </c>
      <c r="AI59" s="2" t="inlineStr">
        <is>
          <t>TranspilerError</t>
        </is>
      </c>
      <c r="AJ59" s="2" t="inlineStr">
        <is>
          <t>qiskit.transpiler.exceptions.TranspilerError: 'Number of qubits (18) in Shor(N=15, a=2) is greater than maximum (14) in the coupling_map'</t>
        </is>
      </c>
      <c r="AK59" s="2" t="inlineStr">
        <is>
          <t>The LLM answered NO BUG: it explained that Aqua's Shor needs 18 qubits for N = 15, more than FakeMelbourne has. The code is unchanged, so it fails exactly like the buggy code (TranspilerError). Same answer as gpt-6-astra and gpt-5.6-luna; the reference switches to Aer's qasm_simulator.</t>
        </is>
      </c>
      <c r="AL59" s="2" t="inlineStr">
        <is>
          <t>TranspilerError</t>
        </is>
      </c>
      <c r="AM59" s="2" t="inlineStr">
        <is>
          <t>qiskit.transpiler.exceptions.TranspilerError: 'Number of qubits (18) in Shor(N=15, a=2) is greater than maximum (14) in the coupling_map'</t>
        </is>
      </c>
      <c r="AN59" s="2" t="inlineStr">
        <is>
          <t>The LLM answered NO BUG: it explained that Aqua's Shor needs 18 qubits for N = 15, more than FakeMelbourne has. The code is unchanged, so it fails exactly like the buggy code (TranspilerError). Same answer as gpt-6-astra and gpt-5.6-luna; the reference switches to Aer's qasm_simulator.</t>
        </is>
      </c>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2" t="n"/>
      <c r="CV59" s="2" t="n"/>
      <c r="CW59" s="2" t="n"/>
      <c r="CX59" s="2" t="n"/>
      <c r="CY59" s="2" t="n"/>
      <c r="CZ59" s="2" t="n"/>
      <c r="DA59" s="2" t="n"/>
      <c r="DB59" s="2" t="n"/>
      <c r="DC59" s="2" t="n"/>
      <c r="DD59" s="2" t="n"/>
      <c r="DE59" s="2" t="n"/>
    </row>
    <row r="60">
      <c r="A60" s="2" t="inlineStr">
        <is>
          <t>issue_944</t>
        </is>
      </c>
      <c r="B60" s="4" t="inlineStr">
        <is>
          <t>Runtime error</t>
        </is>
      </c>
      <c r="C60" s="4" t="inlineStr">
        <is>
          <t>Runtime error</t>
        </is>
      </c>
      <c r="D60" s="4" t="inlineStr">
        <is>
          <t>Runtime error</t>
        </is>
      </c>
      <c r="E60" s="4" t="inlineStr">
        <is>
          <t>Runtime error</t>
        </is>
      </c>
      <c r="F60" s="4" t="inlineStr">
        <is>
          <t>Runtime error</t>
        </is>
      </c>
      <c r="G60" s="4" t="inlineStr">
        <is>
          <t>Runtime error</t>
        </is>
      </c>
      <c r="H60" s="4" t="inlineStr">
        <is>
          <t>Runtime error</t>
        </is>
      </c>
      <c r="I60" s="4" t="inlineStr">
        <is>
          <t>Runtime error</t>
        </is>
      </c>
      <c r="J60" s="4" t="inlineStr">
        <is>
          <t>Runtime error</t>
        </is>
      </c>
      <c r="K60" s="4" t="inlineStr">
        <is>
          <t>Runtime error</t>
        </is>
      </c>
      <c r="L60" s="4" t="inlineStr">
        <is>
          <t>Runtime error</t>
        </is>
      </c>
      <c r="M60" s="4" t="inlineStr">
        <is>
          <t>Runtime error</t>
        </is>
      </c>
      <c r="N60" s="3" t="inlineStr">
        <is>
          <t>NOT_TESTED</t>
        </is>
      </c>
      <c r="O60" s="3" t="inlineStr">
        <is>
          <t>NOT_TESTED</t>
        </is>
      </c>
      <c r="P60" s="3" t="inlineStr">
        <is>
          <t>NOT_TESTED</t>
        </is>
      </c>
      <c r="Q60" s="3" t="inlineStr">
        <is>
          <t>NOT_TESTED</t>
        </is>
      </c>
      <c r="R60" s="3" t="inlineStr">
        <is>
          <t>NOT_TESTED</t>
        </is>
      </c>
      <c r="S60" s="3" t="inlineStr">
        <is>
          <t>NOT_TESTED</t>
        </is>
      </c>
      <c r="T60" s="3" t="inlineStr">
        <is>
          <t>NOT_TESTED</t>
        </is>
      </c>
      <c r="U60" s="3" t="inlineStr">
        <is>
          <t>NOT_TESTED</t>
        </is>
      </c>
      <c r="V60" s="3" t="inlineStr">
        <is>
          <t>NOT_TESTED</t>
        </is>
      </c>
      <c r="W60" s="3" t="inlineStr">
        <is>
          <t>NOT_TESTED</t>
        </is>
      </c>
      <c r="X60" s="3" t="inlineStr">
        <is>
          <t>NOT_TESTED</t>
        </is>
      </c>
      <c r="Y60" s="3" t="inlineStr">
        <is>
          <t>NOT_TESTED</t>
        </is>
      </c>
      <c r="Z60" s="3" t="inlineStr">
        <is>
          <t>NOT_TESTED</t>
        </is>
      </c>
      <c r="AA60" s="3" t="inlineStr">
        <is>
          <t>NOT_TESTED</t>
        </is>
      </c>
      <c r="AB60" s="3" t="inlineStr">
        <is>
          <t>NOT_TESTED</t>
        </is>
      </c>
      <c r="AC60" s="2" t="inlineStr">
        <is>
          <t>AttributeError</t>
        </is>
      </c>
      <c r="AD60" s="2" t="inlineStr">
        <is>
          <t>AttributeError: 'MatrixOp' object has no attribute 'data'</t>
        </is>
      </c>
      <c r="AE60" s="2" t="n"/>
      <c r="AF60" s="2" t="inlineStr">
        <is>
          <t>AttributeError</t>
        </is>
      </c>
      <c r="AG60" s="2" t="inlineStr">
        <is>
          <t>AttributeError: 'MatrixOp' object has no attribute 'data'</t>
        </is>
      </c>
      <c r="AH60" s="2" t="n"/>
      <c r="AI60" s="2" t="inlineStr">
        <is>
          <t>AttributeError</t>
        </is>
      </c>
      <c r="AJ60" s="2" t="inlineStr">
        <is>
          <t>AttributeError: 'MatrixOp' object has no attribute 'data'</t>
        </is>
      </c>
      <c r="AK60" s="2" t="n"/>
      <c r="AL60" s="2" t="inlineStr">
        <is>
          <t>AttributeError</t>
        </is>
      </c>
      <c r="AM60" s="2" t="inlineStr">
        <is>
          <t>AttributeError: 'MatrixOp' object has no attribute 'data'</t>
        </is>
      </c>
      <c r="AN60" s="2" t="n"/>
      <c r="AO60" s="2" t="inlineStr">
        <is>
          <t>AttributeError</t>
        </is>
      </c>
      <c r="AP60" s="2" t="inlineStr">
        <is>
          <t>AttributeError: 'MatrixOp' object has no attribute 'data'</t>
        </is>
      </c>
      <c r="AQ60" s="2" t="n"/>
      <c r="AR60" s="2" t="inlineStr">
        <is>
          <t>AttributeError</t>
        </is>
      </c>
      <c r="AS60" s="2" t="inlineStr">
        <is>
          <t>AttributeError: 'MatrixOp' object has no attribute 'data'</t>
        </is>
      </c>
      <c r="AT60" s="2" t="n"/>
      <c r="AU60" s="2" t="inlineStr">
        <is>
          <t>AttributeError</t>
        </is>
      </c>
      <c r="AV60" s="2" t="inlineStr">
        <is>
          <t>AttributeError: 'MatrixOp' object has no attribute 'data'</t>
        </is>
      </c>
      <c r="AW60" s="2" t="n"/>
      <c r="AX60" s="2" t="inlineStr">
        <is>
          <t>AttributeError</t>
        </is>
      </c>
      <c r="AY60" s="2" t="inlineStr">
        <is>
          <t>AttributeError: 'MatrixOp' object has no attribute 'data'</t>
        </is>
      </c>
      <c r="AZ60" s="2" t="n"/>
      <c r="BA60" s="2" t="inlineStr">
        <is>
          <t>AttributeError</t>
        </is>
      </c>
      <c r="BB60" s="2" t="inlineStr">
        <is>
          <t>AttributeError: 'MatrixOp' object has no attribute 'data'</t>
        </is>
      </c>
      <c r="BC60" s="2" t="n"/>
      <c r="BD60" s="2" t="inlineStr">
        <is>
          <t>AttributeError</t>
        </is>
      </c>
      <c r="BE60" s="2" t="inlineStr">
        <is>
          <t>AttributeError: 'MatrixOp' object has no attribute 'data'</t>
        </is>
      </c>
      <c r="BF60" s="2" t="n"/>
      <c r="BG60" s="2" t="inlineStr">
        <is>
          <t>AttributeError</t>
        </is>
      </c>
      <c r="BH60" s="2" t="inlineStr">
        <is>
          <t>AttributeError: 'MatrixOp' object has no attribute 'data'</t>
        </is>
      </c>
      <c r="BI60" s="2" t="n"/>
      <c r="BJ60" s="2" t="inlineStr">
        <is>
          <t>AttributeError</t>
        </is>
      </c>
      <c r="BK60" s="2" t="inlineStr">
        <is>
          <t>AttributeError: 'MatrixOp' object has no attribute 'data'</t>
        </is>
      </c>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2" t="n"/>
      <c r="CV60" s="2" t="n"/>
      <c r="CW60" s="2" t="n"/>
      <c r="CX60" s="2" t="n"/>
      <c r="CY60" s="2" t="n"/>
      <c r="CZ60" s="2" t="n"/>
      <c r="DA60" s="2" t="n"/>
      <c r="DB60" s="2" t="n"/>
      <c r="DC60" s="2" t="n"/>
      <c r="DD60" s="2" t="n"/>
      <c r="DE60" s="2" t="n"/>
    </row>
    <row r="61">
      <c r="A61" s="2" t="inlineStr">
        <is>
          <t>issue_950</t>
        </is>
      </c>
      <c r="B61" s="4" t="inlineStr">
        <is>
          <t>Passed on test</t>
        </is>
      </c>
      <c r="C61" s="4" t="inlineStr">
        <is>
          <t>Passed on test</t>
        </is>
      </c>
      <c r="D61" s="4" t="inlineStr">
        <is>
          <t>Passed on test</t>
        </is>
      </c>
      <c r="E61" s="4" t="inlineStr">
        <is>
          <t>Passed on test</t>
        </is>
      </c>
      <c r="F61" s="4" t="inlineStr">
        <is>
          <t>Passed on test</t>
        </is>
      </c>
      <c r="G61" s="4" t="inlineStr">
        <is>
          <t>Passed on test</t>
        </is>
      </c>
      <c r="H61" s="4" t="inlineStr">
        <is>
          <t>Passed on test</t>
        </is>
      </c>
      <c r="I61" s="4" t="inlineStr">
        <is>
          <t>Passed on test</t>
        </is>
      </c>
      <c r="J61" s="4" t="inlineStr">
        <is>
          <t>Passed on test</t>
        </is>
      </c>
      <c r="K61" s="4" t="inlineStr">
        <is>
          <t>Passed on test</t>
        </is>
      </c>
      <c r="L61" s="4" t="inlineStr">
        <is>
          <t>Passed on test</t>
        </is>
      </c>
      <c r="M61" s="4" t="inlineStr">
        <is>
          <t>Passed on test</t>
        </is>
      </c>
      <c r="N61" s="4" t="inlineStr">
        <is>
          <t>Passed on test</t>
        </is>
      </c>
      <c r="O61" s="4" t="inlineStr">
        <is>
          <t>Passed on test</t>
        </is>
      </c>
      <c r="P61" s="4" t="inlineStr">
        <is>
          <t>Passed on test</t>
        </is>
      </c>
      <c r="Q61" s="4" t="inlineStr">
        <is>
          <t>Passed on test</t>
        </is>
      </c>
      <c r="R61" s="4" t="inlineStr">
        <is>
          <t>Passed on test</t>
        </is>
      </c>
      <c r="S61" s="4" t="inlineStr">
        <is>
          <t>Passed on test</t>
        </is>
      </c>
      <c r="T61" s="4" t="inlineStr">
        <is>
          <t>Passed on test</t>
        </is>
      </c>
      <c r="U61" s="4" t="inlineStr">
        <is>
          <t>Passed on test</t>
        </is>
      </c>
      <c r="V61" s="4" t="inlineStr">
        <is>
          <t>Passed on test</t>
        </is>
      </c>
      <c r="W61" s="4" t="inlineStr">
        <is>
          <t>Passed on test</t>
        </is>
      </c>
      <c r="X61" s="4" t="inlineStr">
        <is>
          <t>Passed on test</t>
        </is>
      </c>
      <c r="Y61" s="4" t="inlineStr">
        <is>
          <t>Passed on test</t>
        </is>
      </c>
      <c r="Z61" s="4" t="inlineStr">
        <is>
          <t>Passed on test</t>
        </is>
      </c>
      <c r="AA61" s="4" t="inlineStr">
        <is>
          <t>Passed on test</t>
        </is>
      </c>
      <c r="AB61" s="4" t="inlineStr">
        <is>
          <t>Passed on test</t>
        </is>
      </c>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2" t="n"/>
      <c r="BM61" s="2" t="n"/>
      <c r="BN61" s="2" t="n"/>
      <c r="BO61" s="2" t="n"/>
      <c r="BP61" s="2" t="n"/>
      <c r="BQ61" s="2" t="n"/>
      <c r="BR61" s="2" t="n"/>
      <c r="BS61" s="2" t="n"/>
      <c r="BT61" s="2" t="n"/>
      <c r="BU61" s="2" t="n"/>
      <c r="BV61" s="2" t="n"/>
      <c r="BW61" s="2" t="n"/>
      <c r="BX61" s="2" t="n"/>
      <c r="BY61" s="2" t="n"/>
      <c r="BZ61" s="2" t="n"/>
      <c r="CA61" s="2" t="n"/>
      <c r="CB61" s="2" t="n"/>
      <c r="CC61" s="2" t="n"/>
      <c r="CD61" s="2" t="n"/>
      <c r="CE61" s="2" t="n"/>
      <c r="CF61" s="2" t="n"/>
      <c r="CG61" s="2" t="n"/>
      <c r="CH61" s="2" t="n"/>
      <c r="CI61" s="2" t="n"/>
      <c r="CJ61" s="2" t="n"/>
      <c r="CK61" s="2" t="n"/>
      <c r="CL61" s="2" t="n"/>
      <c r="CM61" s="2" t="n"/>
      <c r="CN61" s="2" t="n"/>
      <c r="CO61" s="2" t="n"/>
      <c r="CP61" s="2" t="n"/>
      <c r="CQ61" s="2" t="n"/>
      <c r="CR61" s="2" t="n"/>
      <c r="CS61" s="2" t="n"/>
      <c r="CT61" s="2" t="n"/>
      <c r="CU61" s="2" t="n"/>
      <c r="CV61" s="2" t="n"/>
      <c r="CW61" s="2" t="n"/>
      <c r="CX61" s="2" t="n"/>
      <c r="CY61" s="2" t="n"/>
      <c r="CZ61" s="2" t="n"/>
      <c r="DA61" s="2" t="n"/>
      <c r="DB61" s="2" t="n"/>
      <c r="DC61" s="2" t="n"/>
      <c r="DD61" s="2" t="n"/>
      <c r="DE61" s="2" t="n"/>
    </row>
    <row r="62">
      <c r="A62" s="2" t="inlineStr">
        <is>
          <t>issue_958</t>
        </is>
      </c>
      <c r="B62" s="3" t="inlineStr">
        <is>
          <t>NOT_TESTED</t>
        </is>
      </c>
      <c r="C62" s="3" t="inlineStr">
        <is>
          <t>NOT_TESTED</t>
        </is>
      </c>
      <c r="D62" s="3" t="inlineStr">
        <is>
          <t>NOT_TESTED</t>
        </is>
      </c>
      <c r="E62" s="3" t="inlineStr">
        <is>
          <t>NOT_TESTED</t>
        </is>
      </c>
      <c r="F62" s="6" t="inlineStr">
        <is>
          <t>Passed on test</t>
        </is>
      </c>
      <c r="G62" s="6" t="inlineStr">
        <is>
          <t>Passed on test</t>
        </is>
      </c>
      <c r="H62" s="6" t="inlineStr">
        <is>
          <t>Passed on test</t>
        </is>
      </c>
      <c r="I62" s="6" t="inlineStr">
        <is>
          <t>Passed on test</t>
        </is>
      </c>
      <c r="J62" s="6" t="inlineStr">
        <is>
          <t>Passed on test</t>
        </is>
      </c>
      <c r="K62" s="6" t="inlineStr">
        <is>
          <t>Passed on test</t>
        </is>
      </c>
      <c r="L62" s="6" t="inlineStr">
        <is>
          <t>Passed on test</t>
        </is>
      </c>
      <c r="M62" s="6" t="inlineStr">
        <is>
          <t>Passed on test</t>
        </is>
      </c>
      <c r="N62" s="6" t="inlineStr">
        <is>
          <t>Passed on test</t>
        </is>
      </c>
      <c r="O62" s="6" t="inlineStr">
        <is>
          <t>Passed on test</t>
        </is>
      </c>
      <c r="P62" s="6" t="inlineStr">
        <is>
          <t>Passed on test</t>
        </is>
      </c>
      <c r="Q62" s="6" t="inlineStr">
        <is>
          <t>Passed on test</t>
        </is>
      </c>
      <c r="R62" s="6" t="inlineStr">
        <is>
          <t>Passed on test</t>
        </is>
      </c>
      <c r="S62" s="6" t="inlineStr">
        <is>
          <t>Passed on test</t>
        </is>
      </c>
      <c r="T62" s="6" t="inlineStr">
        <is>
          <t>Passed on test</t>
        </is>
      </c>
      <c r="U62" s="6" t="inlineStr">
        <is>
          <t>Passed on test</t>
        </is>
      </c>
      <c r="V62" s="6" t="inlineStr">
        <is>
          <t>Passed on test</t>
        </is>
      </c>
      <c r="W62" s="6" t="inlineStr">
        <is>
          <t>Passed on test</t>
        </is>
      </c>
      <c r="X62" s="6" t="inlineStr">
        <is>
          <t>Passed on test</t>
        </is>
      </c>
      <c r="Y62" s="6" t="inlineStr">
        <is>
          <t>Passed on test</t>
        </is>
      </c>
      <c r="Z62" s="6" t="inlineStr">
        <is>
          <t>Passed on test</t>
        </is>
      </c>
      <c r="AA62" s="6" t="inlineStr">
        <is>
          <t>Passed on test</t>
        </is>
      </c>
      <c r="AB62" s="6" t="inlineStr">
        <is>
          <t>Passed on test</t>
        </is>
      </c>
      <c r="AC62" s="2" t="n"/>
      <c r="AD62" s="2" t="n"/>
      <c r="AE62" s="2" t="n"/>
      <c r="AF62" s="2" t="n"/>
      <c r="AG62" s="2" t="n"/>
      <c r="AH62" s="2" t="n"/>
      <c r="AI62" s="2" t="n"/>
      <c r="AJ62" s="2" t="n"/>
      <c r="AK62" s="2" t="n"/>
      <c r="AL62" s="2" t="n"/>
      <c r="AM62" s="2" t="n"/>
      <c r="AN62" s="2" t="n"/>
      <c r="AO62" s="2" t="n"/>
      <c r="AP62" s="2" t="n"/>
      <c r="AQ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AR62" s="2" t="n"/>
      <c r="AS62" s="2" t="n"/>
      <c r="AT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AU62" s="2" t="n"/>
      <c r="AV62" s="2" t="n"/>
      <c r="AW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AX62" s="2" t="n"/>
      <c r="AY62" s="2" t="n"/>
      <c r="AZ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BA62" s="2" t="n"/>
      <c r="BB62" s="2" t="n"/>
      <c r="BC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BD62" s="2" t="n"/>
      <c r="BE62" s="2" t="n"/>
      <c r="BF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BG62" s="2" t="n"/>
      <c r="BH62" s="2" t="n"/>
      <c r="BI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BJ62" s="2" t="n"/>
      <c r="BK62" s="2" t="n"/>
      <c r="BL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BM62" s="2" t="n"/>
      <c r="BN62" s="2" t="n"/>
      <c r="BO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BP62" s="2" t="n"/>
      <c r="BQ62" s="2" t="n"/>
      <c r="BR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BS62" s="2" t="n"/>
      <c r="BT62" s="2" t="n"/>
      <c r="BU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BV62" s="2" t="n"/>
      <c r="BW62" s="2" t="n"/>
      <c r="BX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BY62" s="2" t="n"/>
      <c r="BZ62" s="2" t="n"/>
      <c r="CA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CB62" s="2" t="n"/>
      <c r="CC62" s="2" t="n"/>
      <c r="CD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CE62" s="2" t="n"/>
      <c r="CF62" s="2" t="n"/>
      <c r="CG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CH62" s="2" t="n"/>
      <c r="CI62" s="2" t="n"/>
      <c r="CJ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CK62" s="2" t="n"/>
      <c r="CL62" s="2" t="n"/>
      <c r="CM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CN62" s="2" t="n"/>
      <c r="CO62" s="2" t="n"/>
      <c r="CP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CQ62" s="2" t="n"/>
      <c r="CR62" s="2" t="n"/>
      <c r="CS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CT62" s="2" t="n"/>
      <c r="CU62" s="2" t="n"/>
      <c r="CV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CW62" s="2" t="n"/>
      <c r="CX62" s="2" t="n"/>
      <c r="CY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CZ62" s="2" t="n"/>
      <c r="DA62" s="2" t="n"/>
      <c r="DB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DC62" s="2" t="n"/>
      <c r="DD62" s="2" t="n"/>
      <c r="DE62" s="2"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row>
    <row r="63">
      <c r="A63" s="2" t="inlineStr">
        <is>
          <t>issue_977</t>
        </is>
      </c>
      <c r="B63" s="3" t="inlineStr">
        <is>
          <t>NOT_TESTED</t>
        </is>
      </c>
      <c r="C63" s="3" t="inlineStr">
        <is>
          <t>NOT_TESTED</t>
        </is>
      </c>
      <c r="D63" s="3" t="inlineStr">
        <is>
          <t>NOT_TESTED</t>
        </is>
      </c>
      <c r="E63" s="3" t="inlineStr">
        <is>
          <t>NOT_TESTED</t>
        </is>
      </c>
      <c r="F63" s="4" t="inlineStr">
        <is>
          <t>Runtime error</t>
        </is>
      </c>
      <c r="G63" s="4" t="inlineStr">
        <is>
          <t>Runtime error</t>
        </is>
      </c>
      <c r="H63" s="4" t="inlineStr">
        <is>
          <t>Runtime error</t>
        </is>
      </c>
      <c r="I63" s="4" t="inlineStr">
        <is>
          <t>Runtime error</t>
        </is>
      </c>
      <c r="J63" s="4" t="inlineStr">
        <is>
          <t>Runtime error</t>
        </is>
      </c>
      <c r="K63" s="4" t="inlineStr">
        <is>
          <t>Runtime error</t>
        </is>
      </c>
      <c r="L63" s="4" t="inlineStr">
        <is>
          <t>Runtime error</t>
        </is>
      </c>
      <c r="M63" s="4" t="inlineStr">
        <is>
          <t>Runtime error</t>
        </is>
      </c>
      <c r="N63" s="4" t="inlineStr">
        <is>
          <t>Runtime error</t>
        </is>
      </c>
      <c r="O63" s="4" t="inlineStr">
        <is>
          <t>Runtime error</t>
        </is>
      </c>
      <c r="P63" s="4" t="inlineStr">
        <is>
          <t>Runtime error</t>
        </is>
      </c>
      <c r="Q63" s="4" t="inlineStr">
        <is>
          <t>Runtime error</t>
        </is>
      </c>
      <c r="R63" s="4" t="inlineStr">
        <is>
          <t>Runtime error</t>
        </is>
      </c>
      <c r="S63" s="4" t="inlineStr">
        <is>
          <t>Runtime error</t>
        </is>
      </c>
      <c r="T63" s="4" t="inlineStr">
        <is>
          <t>Runtime error</t>
        </is>
      </c>
      <c r="U63" s="4" t="inlineStr">
        <is>
          <t>Runtime error</t>
        </is>
      </c>
      <c r="V63" s="4" t="inlineStr">
        <is>
          <t>Runtime error</t>
        </is>
      </c>
      <c r="W63" s="4" t="inlineStr">
        <is>
          <t>Runtime error</t>
        </is>
      </c>
      <c r="X63" s="4" t="inlineStr">
        <is>
          <t>Runtime error</t>
        </is>
      </c>
      <c r="Y63" s="4" t="inlineStr">
        <is>
          <t>Runtime error</t>
        </is>
      </c>
      <c r="Z63" s="4" t="inlineStr">
        <is>
          <t>Runtime error</t>
        </is>
      </c>
      <c r="AA63" s="4" t="inlineStr">
        <is>
          <t>Runtime error</t>
        </is>
      </c>
      <c r="AB63" s="4" t="inlineStr">
        <is>
          <t>Runtime error</t>
        </is>
      </c>
      <c r="AC63" s="2" t="n"/>
      <c r="AD63" s="2" t="n"/>
      <c r="AE63" s="2" t="n"/>
      <c r="AF63" s="2" t="n"/>
      <c r="AG63" s="2" t="n"/>
      <c r="AH63" s="2" t="n"/>
      <c r="AI63" s="2" t="n"/>
      <c r="AJ63" s="2" t="n"/>
      <c r="AK63" s="2" t="n"/>
      <c r="AL63" s="2" t="n"/>
      <c r="AM63" s="2" t="n"/>
      <c r="AN63" s="2" t="n"/>
      <c r="AO63" s="2" t="inlineStr">
        <is>
          <t>KeyError</t>
        </is>
      </c>
      <c r="AP63" s="2" t="inlineStr">
        <is>
          <t>KeyError: 'op'</t>
        </is>
      </c>
      <c r="AQ63" s="2" t="n"/>
      <c r="AR63" s="2" t="inlineStr">
        <is>
          <t>KeyError</t>
        </is>
      </c>
      <c r="AS63" s="2" t="inlineStr">
        <is>
          <t>KeyError: 'op'</t>
        </is>
      </c>
      <c r="AT63" s="2" t="n"/>
      <c r="AU63" s="2" t="inlineStr">
        <is>
          <t>KeyError</t>
        </is>
      </c>
      <c r="AV63" s="2" t="inlineStr">
        <is>
          <t>KeyError: 'op'</t>
        </is>
      </c>
      <c r="AW63" s="2" t="n"/>
      <c r="AX63" s="2" t="inlineStr">
        <is>
          <t>KeyError</t>
        </is>
      </c>
      <c r="AY63" s="2" t="inlineStr">
        <is>
          <t>KeyError: 'op'</t>
        </is>
      </c>
      <c r="AZ63" s="2" t="n"/>
      <c r="BA63" s="2" t="inlineStr">
        <is>
          <t>KeyError</t>
        </is>
      </c>
      <c r="BB63" s="2" t="inlineStr">
        <is>
          <t>KeyError: 'op'</t>
        </is>
      </c>
      <c r="BC63" s="2" t="n"/>
      <c r="BD63" s="2" t="inlineStr">
        <is>
          <t>KeyError</t>
        </is>
      </c>
      <c r="BE63" s="2" t="inlineStr">
        <is>
          <t>KeyError: 'op'</t>
        </is>
      </c>
      <c r="BF63" s="2" t="n"/>
      <c r="BG63" s="2" t="inlineStr">
        <is>
          <t>KeyError</t>
        </is>
      </c>
      <c r="BH63" s="2" t="inlineStr">
        <is>
          <t>KeyError: 'op'</t>
        </is>
      </c>
      <c r="BI63" s="2" t="n"/>
      <c r="BJ63" s="2" t="inlineStr">
        <is>
          <t>KeyError</t>
        </is>
      </c>
      <c r="BK63" s="2" t="inlineStr">
        <is>
          <t>KeyError: 'op'</t>
        </is>
      </c>
      <c r="BL63" s="2" t="n"/>
      <c r="BM63" s="2" t="inlineStr">
        <is>
          <t>KeyError</t>
        </is>
      </c>
      <c r="BN63" s="2" t="inlineStr">
        <is>
          <t>KeyError: 'op'</t>
        </is>
      </c>
      <c r="BO63" s="2" t="n"/>
      <c r="BP63" s="2" t="inlineStr">
        <is>
          <t>KeyError</t>
        </is>
      </c>
      <c r="BQ63" s="2" t="inlineStr">
        <is>
          <t>KeyError: 'op'</t>
        </is>
      </c>
      <c r="BR63" s="2" t="n"/>
      <c r="BS63" s="2" t="inlineStr">
        <is>
          <t>KeyError</t>
        </is>
      </c>
      <c r="BT63" s="2" t="inlineStr">
        <is>
          <t>KeyError: 'op'</t>
        </is>
      </c>
      <c r="BU63" s="2" t="n"/>
      <c r="BV63" s="2" t="inlineStr">
        <is>
          <t>KeyError</t>
        </is>
      </c>
      <c r="BW63" s="2" t="inlineStr">
        <is>
          <t>KeyError: 'op'</t>
        </is>
      </c>
      <c r="BX63" s="2" t="n"/>
      <c r="BY63" s="2" t="inlineStr">
        <is>
          <t>KeyError</t>
        </is>
      </c>
      <c r="BZ63" s="2" t="inlineStr">
        <is>
          <t>KeyError: 'op'</t>
        </is>
      </c>
      <c r="CA63" s="2" t="n"/>
      <c r="CB63" s="2" t="inlineStr">
        <is>
          <t>KeyError</t>
        </is>
      </c>
      <c r="CC63" s="2" t="inlineStr">
        <is>
          <t>KeyError: 'op'</t>
        </is>
      </c>
      <c r="CD63" s="2" t="n"/>
      <c r="CE63" s="2" t="inlineStr">
        <is>
          <t>KeyError</t>
        </is>
      </c>
      <c r="CF63" s="2" t="inlineStr">
        <is>
          <t>KeyError: 'op'</t>
        </is>
      </c>
      <c r="CG63" s="2" t="n"/>
      <c r="CH63" s="2" t="inlineStr">
        <is>
          <t>KeyError</t>
        </is>
      </c>
      <c r="CI63" s="2" t="inlineStr">
        <is>
          <t>KeyError: 'op'</t>
        </is>
      </c>
      <c r="CJ63" s="2" t="n"/>
      <c r="CK63" s="2" t="inlineStr">
        <is>
          <t>KeyError</t>
        </is>
      </c>
      <c r="CL63" s="2" t="inlineStr">
        <is>
          <t>KeyError: 'op'</t>
        </is>
      </c>
      <c r="CM63" s="2" t="n"/>
      <c r="CN63" s="2" t="inlineStr">
        <is>
          <t>KeyError</t>
        </is>
      </c>
      <c r="CO63" s="2" t="inlineStr">
        <is>
          <t>KeyError: 'op'</t>
        </is>
      </c>
      <c r="CP63" s="2" t="n"/>
      <c r="CQ63" s="2" t="inlineStr">
        <is>
          <t>KeyError</t>
        </is>
      </c>
      <c r="CR63" s="2" t="inlineStr">
        <is>
          <t>KeyError: 'op'</t>
        </is>
      </c>
      <c r="CS63" s="2" t="n"/>
      <c r="CT63" s="2" t="inlineStr">
        <is>
          <t>KeyError</t>
        </is>
      </c>
      <c r="CU63" s="2" t="inlineStr">
        <is>
          <t>KeyError: 'op'</t>
        </is>
      </c>
      <c r="CV63" s="2" t="n"/>
      <c r="CW63" s="2" t="inlineStr">
        <is>
          <t>KeyError</t>
        </is>
      </c>
      <c r="CX63" s="2" t="inlineStr">
        <is>
          <t>KeyError: 'op'</t>
        </is>
      </c>
      <c r="CY63" s="2" t="n"/>
      <c r="CZ63" s="2" t="inlineStr">
        <is>
          <t>KeyError</t>
        </is>
      </c>
      <c r="DA63" s="2" t="inlineStr">
        <is>
          <t>KeyError: 'op'</t>
        </is>
      </c>
      <c r="DB63" s="2" t="n"/>
      <c r="DC63" s="2" t="inlineStr">
        <is>
          <t>KeyError</t>
        </is>
      </c>
      <c r="DD63" s="2" t="inlineStr">
        <is>
          <t>KeyError: 'op'</t>
        </is>
      </c>
      <c r="DE63" s="2" t="n"/>
    </row>
    <row r="64">
      <c r="A64" s="2" t="inlineStr">
        <is>
          <t>issue_985</t>
        </is>
      </c>
      <c r="B64" s="3" t="inlineStr">
        <is>
          <t>NOT_TESTED</t>
        </is>
      </c>
      <c r="C64" s="3" t="inlineStr">
        <is>
          <t>NOT_TESTED</t>
        </is>
      </c>
      <c r="D64" s="3" t="inlineStr">
        <is>
          <t>NOT_TESTED</t>
        </is>
      </c>
      <c r="E64" s="3" t="inlineStr">
        <is>
          <t>NOT_TESTED</t>
        </is>
      </c>
      <c r="F64" s="5" t="inlineStr">
        <is>
          <t>Passed on test</t>
        </is>
      </c>
      <c r="G64" s="5" t="inlineStr">
        <is>
          <t>Passed on test</t>
        </is>
      </c>
      <c r="H64" s="5" t="inlineStr">
        <is>
          <t>Passed on test</t>
        </is>
      </c>
      <c r="I64" s="5" t="inlineStr">
        <is>
          <t>Passed on test</t>
        </is>
      </c>
      <c r="J64" s="5" t="inlineStr">
        <is>
          <t>Passed on test</t>
        </is>
      </c>
      <c r="K64" s="5" t="inlineStr">
        <is>
          <t>Passed on test</t>
        </is>
      </c>
      <c r="L64" s="5" t="inlineStr">
        <is>
          <t>Passed on test</t>
        </is>
      </c>
      <c r="M64" s="5" t="inlineStr">
        <is>
          <t>Passed on test</t>
        </is>
      </c>
      <c r="N64" s="5" t="inlineStr">
        <is>
          <t>Passed on test</t>
        </is>
      </c>
      <c r="O64" s="5" t="inlineStr">
        <is>
          <t>Passed on test</t>
        </is>
      </c>
      <c r="P64" s="5" t="inlineStr">
        <is>
          <t>Passed on test</t>
        </is>
      </c>
      <c r="Q64" s="5" t="inlineStr">
        <is>
          <t>Passed on test</t>
        </is>
      </c>
      <c r="R64" s="5" t="inlineStr">
        <is>
          <t>Passed on test</t>
        </is>
      </c>
      <c r="S64" s="5" t="inlineStr">
        <is>
          <t>Passed on test</t>
        </is>
      </c>
      <c r="T64" s="5" t="inlineStr">
        <is>
          <t>Passed on test</t>
        </is>
      </c>
      <c r="U64" s="5" t="inlineStr">
        <is>
          <t>Passed on test</t>
        </is>
      </c>
      <c r="V64" s="5" t="inlineStr">
        <is>
          <t>Passed on test</t>
        </is>
      </c>
      <c r="W64" s="5" t="inlineStr">
        <is>
          <t>Passed on test</t>
        </is>
      </c>
      <c r="X64" s="5" t="inlineStr">
        <is>
          <t>Passed on test</t>
        </is>
      </c>
      <c r="Y64" s="5" t="inlineStr">
        <is>
          <t>Passed on test</t>
        </is>
      </c>
      <c r="Z64" s="5" t="inlineStr">
        <is>
          <t>Passed on test</t>
        </is>
      </c>
      <c r="AA64" s="5" t="inlineStr">
        <is>
          <t>Passed on test</t>
        </is>
      </c>
      <c r="AB64" s="5" t="inlineStr">
        <is>
          <t>Passed on test</t>
        </is>
      </c>
      <c r="AC64" s="2" t="n"/>
      <c r="AD64" s="2" t="n"/>
      <c r="AE64" s="2" t="n"/>
      <c r="AF64" s="2" t="n"/>
      <c r="AG64" s="2" t="n"/>
      <c r="AH64" s="2" t="n"/>
      <c r="AI64" s="2" t="n"/>
      <c r="AJ64" s="2" t="n"/>
      <c r="AK64" s="2" t="n"/>
      <c r="AL64" s="2" t="n"/>
      <c r="AM64" s="2" t="n"/>
      <c r="AN64" s="2" t="n"/>
      <c r="AO64" s="2" t="n"/>
      <c r="AP64" s="2" t="n"/>
      <c r="AQ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AR64" s="2" t="n"/>
      <c r="AS64" s="2" t="n"/>
      <c r="AT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AU64" s="2" t="n"/>
      <c r="AV64" s="2" t="n"/>
      <c r="AW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AX64" s="2" t="n"/>
      <c r="AY64" s="2" t="n"/>
      <c r="AZ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BA64" s="2" t="n"/>
      <c r="BB64" s="2" t="n"/>
      <c r="BC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BD64" s="2" t="n"/>
      <c r="BE64" s="2" t="n"/>
      <c r="BF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BG64" s="2" t="n"/>
      <c r="BH64" s="2" t="n"/>
      <c r="BI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BJ64" s="2" t="n"/>
      <c r="BK64" s="2" t="n"/>
      <c r="BL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BM64" s="2" t="n"/>
      <c r="BN64" s="2" t="n"/>
      <c r="BO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BP64" s="2" t="n"/>
      <c r="BQ64" s="2" t="n"/>
      <c r="BR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BS64" s="2" t="n"/>
      <c r="BT64" s="2" t="n"/>
      <c r="BU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BV64" s="2" t="n"/>
      <c r="BW64" s="2" t="n"/>
      <c r="BX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BY64" s="2" t="n"/>
      <c r="BZ64" s="2" t="n"/>
      <c r="CA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CB64" s="2" t="n"/>
      <c r="CC64" s="2" t="n"/>
      <c r="CD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CE64" s="2" t="n"/>
      <c r="CF64" s="2" t="n"/>
      <c r="CG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CH64" s="2" t="n"/>
      <c r="CI64" s="2" t="n"/>
      <c r="CJ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CK64" s="2" t="n"/>
      <c r="CL64" s="2" t="n"/>
      <c r="CM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CN64" s="2" t="n"/>
      <c r="CO64" s="2" t="n"/>
      <c r="CP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CQ64" s="2" t="n"/>
      <c r="CR64" s="2" t="n"/>
      <c r="CS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CT64" s="2" t="n"/>
      <c r="CU64" s="2" t="n"/>
      <c r="CV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CW64" s="2" t="n"/>
      <c r="CX64" s="2" t="n"/>
      <c r="CY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CZ64" s="2" t="n"/>
      <c r="DA64" s="2" t="n"/>
      <c r="DB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DC64" s="2" t="n"/>
      <c r="DD64" s="2" t="n"/>
      <c r="DE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row>
    <row r="65">
      <c r="A65" s="2" t="inlineStr">
        <is>
          <t>issue_989</t>
        </is>
      </c>
      <c r="B65" s="3" t="inlineStr">
        <is>
          <t>NOT_TESTED</t>
        </is>
      </c>
      <c r="C65" s="3" t="inlineStr">
        <is>
          <t>NOT_TESTED</t>
        </is>
      </c>
      <c r="D65" s="3" t="inlineStr">
        <is>
          <t>NOT_TESTED</t>
        </is>
      </c>
      <c r="E65" s="3" t="inlineStr">
        <is>
          <t>NOT_TESTED</t>
        </is>
      </c>
      <c r="F65" s="3" t="inlineStr">
        <is>
          <t>NOT_TESTED</t>
        </is>
      </c>
      <c r="G65" s="3" t="inlineStr">
        <is>
          <t>NOT_TESTED</t>
        </is>
      </c>
      <c r="H65" s="3" t="inlineStr">
        <is>
          <t>NOT_TESTED</t>
        </is>
      </c>
      <c r="I65" s="3" t="inlineStr">
        <is>
          <t>NOT_TESTED</t>
        </is>
      </c>
      <c r="J65" s="3" t="inlineStr">
        <is>
          <t>NOT_TESTED</t>
        </is>
      </c>
      <c r="K65" s="3" t="inlineStr">
        <is>
          <t>NOT_TESTED</t>
        </is>
      </c>
      <c r="L65" s="3" t="inlineStr">
        <is>
          <t>NOT_TESTED</t>
        </is>
      </c>
      <c r="M65" s="3" t="inlineStr">
        <is>
          <t>NOT_TESTED</t>
        </is>
      </c>
      <c r="N65" s="4" t="inlineStr">
        <is>
          <t>Passed on test</t>
        </is>
      </c>
      <c r="O65" s="4" t="inlineStr">
        <is>
          <t>Passed on test</t>
        </is>
      </c>
      <c r="P65" s="4" t="inlineStr">
        <is>
          <t>Passed on test</t>
        </is>
      </c>
      <c r="Q65" s="4" t="inlineStr">
        <is>
          <t>Passed on test</t>
        </is>
      </c>
      <c r="R65" s="4" t="inlineStr">
        <is>
          <t>Passed on test</t>
        </is>
      </c>
      <c r="S65" s="4" t="inlineStr">
        <is>
          <t>Passed on test</t>
        </is>
      </c>
      <c r="T65" s="4" t="inlineStr">
        <is>
          <t>Passed on test</t>
        </is>
      </c>
      <c r="U65" s="4" t="inlineStr">
        <is>
          <t>Passed on test</t>
        </is>
      </c>
      <c r="V65" s="4" t="inlineStr">
        <is>
          <t>Passed on test</t>
        </is>
      </c>
      <c r="W65" s="4" t="inlineStr">
        <is>
          <t>Passed on test</t>
        </is>
      </c>
      <c r="X65" s="4" t="inlineStr">
        <is>
          <t>Passed on test</t>
        </is>
      </c>
      <c r="Y65" s="4" t="inlineStr">
        <is>
          <t>Passed on test</t>
        </is>
      </c>
      <c r="Z65" s="4" t="inlineStr">
        <is>
          <t>Passed on test</t>
        </is>
      </c>
      <c r="AA65" s="4" t="inlineStr">
        <is>
          <t>Passed on test</t>
        </is>
      </c>
      <c r="AB65" s="4" t="inlineStr">
        <is>
          <t>Passed on test</t>
        </is>
      </c>
      <c r="AC65" s="2" t="n"/>
      <c r="AD65" s="2" t="n"/>
      <c r="AE65" s="2" t="n"/>
      <c r="AF65" s="2" t="n"/>
      <c r="AG65" s="2" t="n"/>
      <c r="AH65" s="2" t="n"/>
      <c r="AI65" s="2" t="n"/>
      <c r="AJ65" s="2" t="n"/>
      <c r="AK65" s="2" t="n"/>
      <c r="AL65" s="2" t="n"/>
      <c r="AM65" s="2" t="n"/>
      <c r="AN65" s="2" t="n"/>
      <c r="AO65" s="2" t="n"/>
      <c r="AP65" s="2" t="n"/>
      <c r="AQ65" s="2" t="n"/>
      <c r="AR65" s="2" t="n"/>
      <c r="AS65" s="2" t="n"/>
      <c r="AT65" s="2" t="n"/>
      <c r="AU65" s="2" t="n"/>
      <c r="AV65" s="2" t="n"/>
      <c r="AW65" s="2" t="n"/>
      <c r="AX65" s="2" t="n"/>
      <c r="AY65" s="2" t="n"/>
      <c r="AZ65" s="2" t="n"/>
      <c r="BA65" s="2" t="n"/>
      <c r="BB65" s="2" t="n"/>
      <c r="BC65" s="2" t="n"/>
      <c r="BD65" s="2" t="n"/>
      <c r="BE65" s="2" t="n"/>
      <c r="BF65" s="2" t="n"/>
      <c r="BG65" s="2" t="n"/>
      <c r="BH65" s="2" t="n"/>
      <c r="BI65" s="2" t="n"/>
      <c r="BJ65" s="2" t="n"/>
      <c r="BK65" s="2" t="n"/>
      <c r="BL65" s="2" t="n"/>
      <c r="BM65" s="2" t="n"/>
      <c r="BN65" s="2" t="n"/>
      <c r="BO65" s="2" t="n"/>
      <c r="BP65" s="2" t="n"/>
      <c r="BQ65" s="2" t="n"/>
      <c r="BR65" s="2" t="n"/>
      <c r="BS65" s="2" t="n"/>
      <c r="BT65" s="2" t="n"/>
      <c r="BU65" s="2" t="n"/>
      <c r="BV65" s="2" t="n"/>
      <c r="BW65" s="2" t="n"/>
      <c r="BX65" s="2" t="n"/>
      <c r="BY65" s="2" t="n"/>
      <c r="BZ65" s="2" t="n"/>
      <c r="CA65" s="2" t="n"/>
      <c r="CB65" s="2" t="n"/>
      <c r="CC65" s="2" t="n"/>
      <c r="CD65" s="2" t="n"/>
      <c r="CE65" s="2" t="n"/>
      <c r="CF65" s="2" t="n"/>
      <c r="CG65" s="2" t="n"/>
      <c r="CH65" s="2" t="n"/>
      <c r="CI65" s="2" t="n"/>
      <c r="CJ65" s="2" t="n"/>
      <c r="CK65" s="2" t="n"/>
      <c r="CL65" s="2" t="n"/>
      <c r="CM65" s="2" t="n"/>
      <c r="CN65" s="2" t="n"/>
      <c r="CO65" s="2" t="n"/>
      <c r="CP65" s="2" t="n"/>
      <c r="CQ65" s="2" t="n"/>
      <c r="CR65" s="2" t="n"/>
      <c r="CS65" s="2" t="n"/>
      <c r="CT65" s="2" t="n"/>
      <c r="CU65" s="2" t="n"/>
      <c r="CV65" s="2" t="n"/>
      <c r="CW65" s="2" t="n"/>
      <c r="CX65" s="2" t="n"/>
      <c r="CY65" s="2" t="n"/>
      <c r="CZ65" s="2" t="n"/>
      <c r="DA65" s="2" t="n"/>
      <c r="DB65" s="2" t="n"/>
      <c r="DC65" s="2" t="n"/>
      <c r="DD65" s="2" t="n"/>
      <c r="DE65" s="2" t="n"/>
    </row>
    <row r="66">
      <c r="A66" s="2" t="inlineStr">
        <is>
          <t>issue_994</t>
        </is>
      </c>
      <c r="B66" s="4" t="inlineStr">
        <is>
          <t>Runtime error</t>
        </is>
      </c>
      <c r="C66" s="4" t="inlineStr">
        <is>
          <t>Runtime error</t>
        </is>
      </c>
      <c r="D66" s="4" t="inlineStr">
        <is>
          <t>Runtime error</t>
        </is>
      </c>
      <c r="E66" s="4" t="inlineStr">
        <is>
          <t>Runtime error</t>
        </is>
      </c>
      <c r="F66" s="3" t="inlineStr">
        <is>
          <t>NOT_TESTED</t>
        </is>
      </c>
      <c r="G66" s="3" t="inlineStr">
        <is>
          <t>NOT_TESTED</t>
        </is>
      </c>
      <c r="H66" s="3" t="inlineStr">
        <is>
          <t>NOT_TESTED</t>
        </is>
      </c>
      <c r="I66" s="3" t="inlineStr">
        <is>
          <t>NOT_TESTED</t>
        </is>
      </c>
      <c r="J66" s="3" t="inlineStr">
        <is>
          <t>NOT_TESTED</t>
        </is>
      </c>
      <c r="K66" s="3" t="inlineStr">
        <is>
          <t>NOT_TESTED</t>
        </is>
      </c>
      <c r="L66" s="3" t="inlineStr">
        <is>
          <t>NOT_TESTED</t>
        </is>
      </c>
      <c r="M66" s="3" t="inlineStr">
        <is>
          <t>NOT_TESTED</t>
        </is>
      </c>
      <c r="N66" s="3" t="inlineStr">
        <is>
          <t>NOT_TESTED</t>
        </is>
      </c>
      <c r="O66" s="3" t="inlineStr">
        <is>
          <t>NOT_TESTED</t>
        </is>
      </c>
      <c r="P66" s="3" t="inlineStr">
        <is>
          <t>NOT_TESTED</t>
        </is>
      </c>
      <c r="Q66" s="3" t="inlineStr">
        <is>
          <t>NOT_TESTED</t>
        </is>
      </c>
      <c r="R66" s="3" t="inlineStr">
        <is>
          <t>NOT_TESTED</t>
        </is>
      </c>
      <c r="S66" s="3" t="inlineStr">
        <is>
          <t>NOT_TESTED</t>
        </is>
      </c>
      <c r="T66" s="3" t="inlineStr">
        <is>
          <t>NOT_TESTED</t>
        </is>
      </c>
      <c r="U66" s="3" t="inlineStr">
        <is>
          <t>NOT_TESTED</t>
        </is>
      </c>
      <c r="V66" s="3" t="inlineStr">
        <is>
          <t>NOT_TESTED</t>
        </is>
      </c>
      <c r="W66" s="3" t="inlineStr">
        <is>
          <t>NOT_TESTED</t>
        </is>
      </c>
      <c r="X66" s="3" t="inlineStr">
        <is>
          <t>NOT_TESTED</t>
        </is>
      </c>
      <c r="Y66" s="3" t="inlineStr">
        <is>
          <t>NOT_TESTED</t>
        </is>
      </c>
      <c r="Z66" s="3" t="inlineStr">
        <is>
          <t>NOT_TESTED</t>
        </is>
      </c>
      <c r="AA66" s="3" t="inlineStr">
        <is>
          <t>NOT_TESTED</t>
        </is>
      </c>
      <c r="AB66" s="3" t="inlineStr">
        <is>
          <t>NOT_TESTED</t>
        </is>
      </c>
      <c r="AC66" s="2" t="inlineStr">
        <is>
          <t>KeyError</t>
        </is>
      </c>
      <c r="AD66" s="2" t="inlineStr">
        <is>
          <t>KeyError: 'statevector'</t>
        </is>
      </c>
      <c r="AE66" s="2" t="n"/>
      <c r="AF66" s="2" t="inlineStr">
        <is>
          <t>KeyError</t>
        </is>
      </c>
      <c r="AG66" s="2" t="inlineStr">
        <is>
          <t>KeyError: 'statevector'</t>
        </is>
      </c>
      <c r="AH66" s="2" t="n"/>
      <c r="AI66" s="2" t="inlineStr">
        <is>
          <t>KeyError</t>
        </is>
      </c>
      <c r="AJ66" s="2" t="inlineStr">
        <is>
          <t>KeyError: 'statevector'</t>
        </is>
      </c>
      <c r="AK66" s="2" t="n"/>
      <c r="AL66" s="2" t="inlineStr">
        <is>
          <t>KeyError</t>
        </is>
      </c>
      <c r="AM66" s="2" t="inlineStr">
        <is>
          <t>KeyError: 'statevector'</t>
        </is>
      </c>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2" t="n"/>
      <c r="BJ66" s="2" t="n"/>
      <c r="BK66" s="2" t="n"/>
      <c r="BL66" s="2" t="n"/>
      <c r="BM66" s="2" t="n"/>
      <c r="BN66" s="2" t="n"/>
      <c r="BO66" s="2" t="n"/>
      <c r="BP66" s="2" t="n"/>
      <c r="BQ66" s="2" t="n"/>
      <c r="BR66" s="2" t="n"/>
      <c r="BS66" s="2" t="n"/>
      <c r="BT66" s="2" t="n"/>
      <c r="BU66" s="2" t="n"/>
      <c r="BV66" s="2" t="n"/>
      <c r="BW66" s="2" t="n"/>
      <c r="BX66" s="2" t="n"/>
      <c r="BY66" s="2" t="n"/>
      <c r="BZ66" s="2" t="n"/>
      <c r="CA66" s="2" t="n"/>
      <c r="CB66" s="2" t="n"/>
      <c r="CC66" s="2" t="n"/>
      <c r="CD66" s="2" t="n"/>
      <c r="CE66" s="2" t="n"/>
      <c r="CF66" s="2" t="n"/>
      <c r="CG66" s="2" t="n"/>
      <c r="CH66" s="2" t="n"/>
      <c r="CI66" s="2" t="n"/>
      <c r="CJ66" s="2" t="n"/>
      <c r="CK66" s="2" t="n"/>
      <c r="CL66" s="2" t="n"/>
      <c r="CM66" s="2" t="n"/>
      <c r="CN66" s="2" t="n"/>
      <c r="CO66" s="2" t="n"/>
      <c r="CP66" s="2" t="n"/>
      <c r="CQ66" s="2" t="n"/>
      <c r="CR66" s="2" t="n"/>
      <c r="CS66" s="2" t="n"/>
      <c r="CT66" s="2" t="n"/>
      <c r="CU66" s="2" t="n"/>
      <c r="CV66" s="2" t="n"/>
      <c r="CW66" s="2" t="n"/>
      <c r="CX66" s="2" t="n"/>
      <c r="CY66" s="2" t="n"/>
      <c r="CZ66" s="2" t="n"/>
      <c r="DA66" s="2" t="n"/>
      <c r="DB66" s="2" t="n"/>
      <c r="DC66" s="2" t="n"/>
      <c r="DD66" s="2" t="n"/>
      <c r="DE66" s="2" t="n"/>
    </row>
    <row r="67">
      <c r="A67" s="2" t="inlineStr">
        <is>
          <t>issue_1035</t>
        </is>
      </c>
      <c r="B67" s="3" t="inlineStr">
        <is>
          <t>NOT_TESTED</t>
        </is>
      </c>
      <c r="C67" s="3" t="inlineStr">
        <is>
          <t>NOT_TESTED</t>
        </is>
      </c>
      <c r="D67" s="3" t="inlineStr">
        <is>
          <t>NOT_TESTED</t>
        </is>
      </c>
      <c r="E67" s="3" t="inlineStr">
        <is>
          <t>NOT_TESTED</t>
        </is>
      </c>
      <c r="F67" s="5" t="inlineStr">
        <is>
          <t>Failed on test</t>
        </is>
      </c>
      <c r="G67" s="5" t="inlineStr">
        <is>
          <t>Failed on test</t>
        </is>
      </c>
      <c r="H67" s="5" t="inlineStr">
        <is>
          <t>Failed on test</t>
        </is>
      </c>
      <c r="I67" s="5" t="inlineStr">
        <is>
          <t>Failed on test</t>
        </is>
      </c>
      <c r="J67" s="5" t="inlineStr">
        <is>
          <t>Failed on test</t>
        </is>
      </c>
      <c r="K67" s="5" t="inlineStr">
        <is>
          <t>Failed on test</t>
        </is>
      </c>
      <c r="L67" s="5" t="inlineStr">
        <is>
          <t>Failed on test</t>
        </is>
      </c>
      <c r="M67" s="5" t="inlineStr">
        <is>
          <t>Failed on test</t>
        </is>
      </c>
      <c r="N67" s="3" t="inlineStr">
        <is>
          <t>NOT_TESTED</t>
        </is>
      </c>
      <c r="O67" s="3" t="inlineStr">
        <is>
          <t>NOT_TESTED</t>
        </is>
      </c>
      <c r="P67" s="3" t="inlineStr">
        <is>
          <t>NOT_TESTED</t>
        </is>
      </c>
      <c r="Q67" s="3" t="inlineStr">
        <is>
          <t>NOT_TESTED</t>
        </is>
      </c>
      <c r="R67" s="3" t="inlineStr">
        <is>
          <t>NOT_TESTED</t>
        </is>
      </c>
      <c r="S67" s="3" t="inlineStr">
        <is>
          <t>NOT_TESTED</t>
        </is>
      </c>
      <c r="T67" s="3" t="inlineStr">
        <is>
          <t>NOT_TESTED</t>
        </is>
      </c>
      <c r="U67" s="3" t="inlineStr">
        <is>
          <t>NOT_TESTED</t>
        </is>
      </c>
      <c r="V67" s="3" t="inlineStr">
        <is>
          <t>NOT_TESTED</t>
        </is>
      </c>
      <c r="W67" s="3" t="inlineStr">
        <is>
          <t>NOT_TESTED</t>
        </is>
      </c>
      <c r="X67" s="3" t="inlineStr">
        <is>
          <t>NOT_TESTED</t>
        </is>
      </c>
      <c r="Y67" s="3" t="inlineStr">
        <is>
          <t>NOT_TESTED</t>
        </is>
      </c>
      <c r="Z67" s="3" t="inlineStr">
        <is>
          <t>NOT_TESTED</t>
        </is>
      </c>
      <c r="AA67" s="3" t="inlineStr">
        <is>
          <t>NOT_TESTED</t>
        </is>
      </c>
      <c r="AB67" s="3" t="inlineStr">
        <is>
          <t>NOT_TESTED</t>
        </is>
      </c>
      <c r="AC67" s="2" t="n"/>
      <c r="AD67" s="2" t="n"/>
      <c r="AE67" s="2" t="n"/>
      <c r="AF67" s="2" t="n"/>
      <c r="AG67" s="2" t="n"/>
      <c r="AH67" s="2" t="n"/>
      <c r="AI67" s="2" t="n"/>
      <c r="AJ67" s="2" t="n"/>
      <c r="AK67" s="2" t="n"/>
      <c r="AL67" s="2" t="n"/>
      <c r="AM67" s="2" t="n"/>
      <c r="AN67" s="2" t="n"/>
      <c r="AO67" s="2" t="inlineStr">
        <is>
          <t>AssertionError</t>
        </is>
      </c>
      <c r="AP67" s="2" t="inlineStr">
        <is>
          <t>AssertionError: OFFLINE_CONTRACT: Runtime account/session is not a local fake backend</t>
        </is>
      </c>
      <c r="AQ67" s="2" t="inlineStr">
        <is>
          <t>The LLM answered NO BUG, saying the code uses the Runtime V1 API correctly and simply does not configure a fake backend or noise model, so the code still uses the cloud Runtime service, which the offline test rejects. Same answer as gpt-6-astra; both luna models switched to a local Aer Estimator with FakeManila's noise model and passed.</t>
        </is>
      </c>
      <c r="AR67" s="2" t="inlineStr">
        <is>
          <t>AssertionError</t>
        </is>
      </c>
      <c r="AS67" s="2" t="inlineStr">
        <is>
          <t>AssertionError: OFFLINE_CONTRACT: Runtime account/session is not a local fake backend</t>
        </is>
      </c>
      <c r="AT67" s="2" t="inlineStr">
        <is>
          <t>The LLM answered NO BUG, saying the code uses the Runtime V1 API correctly and simply does not configure a fake backend or noise model, so the code still uses the cloud Runtime service, which the offline test rejects. Same answer as gpt-6-astra; both luna models switched to a local Aer Estimator with FakeManila's noise model and passed.</t>
        </is>
      </c>
      <c r="AU67" s="2" t="inlineStr">
        <is>
          <t>AssertionError</t>
        </is>
      </c>
      <c r="AV67" s="2" t="inlineStr">
        <is>
          <t>AssertionError: OFFLINE_CONTRACT: Runtime account/session is not a local fake backend</t>
        </is>
      </c>
      <c r="AW67" s="2" t="inlineStr">
        <is>
          <t>The LLM answered NO BUG, saying the code uses the Runtime V1 API correctly and simply does not configure a fake backend or noise model, so the code still uses the cloud Runtime service, which the offline test rejects. Same answer as gpt-6-astra; both luna models switched to a local Aer Estimator with FakeManila's noise model and passed.</t>
        </is>
      </c>
      <c r="AX67" s="2" t="inlineStr">
        <is>
          <t>AssertionError</t>
        </is>
      </c>
      <c r="AY67" s="2" t="inlineStr">
        <is>
          <t>AssertionError: OFFLINE_CONTRACT: Runtime account/session is not a local fake backend</t>
        </is>
      </c>
      <c r="AZ67" s="2" t="inlineStr">
        <is>
          <t>The LLM answered NO BUG, saying the code uses the Runtime V1 API correctly and simply does not configure a fake backend or noise model, so the code still uses the cloud Runtime service, which the offline test rejects. Same answer as gpt-6-astra; both luna models switched to a local Aer Estimator with FakeManila's noise model and passed.</t>
        </is>
      </c>
      <c r="BA67" s="2" t="inlineStr">
        <is>
          <t>AssertionError</t>
        </is>
      </c>
      <c r="BB67" s="2" t="inlineStr">
        <is>
          <t>AssertionError: OFFLINE_CONTRACT: Runtime account/session is not a local fake backend</t>
        </is>
      </c>
      <c r="BC67" s="2" t="inlineStr">
        <is>
          <t>The LLM answered NO BUG, saying the code uses the Runtime V1 API correctly and simply does not configure a fake backend or noise model, so the code still uses the cloud Runtime service, which the offline test rejects. Same answer as gpt-6-astra; both luna models switched to a local Aer Estimator with FakeManila's noise model and passed.</t>
        </is>
      </c>
      <c r="BD67" s="2" t="inlineStr">
        <is>
          <t>AssertionError</t>
        </is>
      </c>
      <c r="BE67" s="2" t="inlineStr">
        <is>
          <t>AssertionError: OFFLINE_CONTRACT: Runtime account/session is not a local fake backend</t>
        </is>
      </c>
      <c r="BF67" s="2" t="inlineStr">
        <is>
          <t>The LLM answered NO BUG, saying the code uses the Runtime V1 API correctly and simply does not configure a fake backend or noise model, so the code still uses the cloud Runtime service, which the offline test rejects. Same answer as gpt-6-astra; both luna models switched to a local Aer Estimator with FakeManila's noise model and passed.</t>
        </is>
      </c>
      <c r="BG67" s="2" t="inlineStr">
        <is>
          <t>AssertionError</t>
        </is>
      </c>
      <c r="BH67" s="2" t="inlineStr">
        <is>
          <t>AssertionError: OFFLINE_CONTRACT: Runtime account/session is not a local fake backend</t>
        </is>
      </c>
      <c r="BI67" s="2" t="inlineStr">
        <is>
          <t>The LLM answered NO BUG, saying the code uses the Runtime V1 API correctly and simply does not configure a fake backend or noise model, so the code still uses the cloud Runtime service, which the offline test rejects. Same answer as gpt-6-astra; both luna models switched to a local Aer Estimator with FakeManila's noise model and passed.</t>
        </is>
      </c>
      <c r="BJ67" s="2" t="inlineStr">
        <is>
          <t>AssertionError</t>
        </is>
      </c>
      <c r="BK67" s="2" t="inlineStr">
        <is>
          <t>AssertionError: OFFLINE_CONTRACT: Runtime account/session is not a local fake backend</t>
        </is>
      </c>
      <c r="BL67" s="2" t="inlineStr">
        <is>
          <t>The LLM answered NO BUG, saying the code uses the Runtime V1 API correctly and simply does not configure a fake backend or noise model, so the code still uses the cloud Runtime service, which the offline test rejects. Same answer as gpt-6-astra; both luna models switched to a local Aer Estimator with FakeManila's noise model and passed.</t>
        </is>
      </c>
      <c r="BM67" s="2" t="n"/>
      <c r="BN67" s="2" t="n"/>
      <c r="BO67" s="2" t="n"/>
      <c r="BP67" s="2" t="n"/>
      <c r="BQ67" s="2" t="n"/>
      <c r="BR67" s="2" t="n"/>
      <c r="BS67" s="2" t="n"/>
      <c r="BT67" s="2" t="n"/>
      <c r="BU67" s="2" t="n"/>
      <c r="BV67" s="2" t="n"/>
      <c r="BW67" s="2" t="n"/>
      <c r="BX67" s="2" t="n"/>
      <c r="BY67" s="2" t="n"/>
      <c r="BZ67" s="2" t="n"/>
      <c r="CA67" s="2" t="n"/>
      <c r="CB67" s="2" t="n"/>
      <c r="CC67" s="2" t="n"/>
      <c r="CD67" s="2" t="n"/>
      <c r="CE67" s="2" t="n"/>
      <c r="CF67" s="2" t="n"/>
      <c r="CG67" s="2" t="n"/>
      <c r="CH67" s="2" t="n"/>
      <c r="CI67" s="2" t="n"/>
      <c r="CJ67" s="2" t="n"/>
      <c r="CK67" s="2" t="n"/>
      <c r="CL67" s="2" t="n"/>
      <c r="CM67" s="2" t="n"/>
      <c r="CN67" s="2" t="n"/>
      <c r="CO67" s="2" t="n"/>
      <c r="CP67" s="2" t="n"/>
      <c r="CQ67" s="2" t="n"/>
      <c r="CR67" s="2" t="n"/>
      <c r="CS67" s="2" t="n"/>
      <c r="CT67" s="2" t="n"/>
      <c r="CU67" s="2" t="n"/>
      <c r="CV67" s="2" t="n"/>
      <c r="CW67" s="2" t="n"/>
      <c r="CX67" s="2" t="n"/>
      <c r="CY67" s="2" t="n"/>
      <c r="CZ67" s="2" t="n"/>
      <c r="DA67" s="2" t="n"/>
      <c r="DB67" s="2" t="n"/>
      <c r="DC67" s="2" t="n"/>
      <c r="DD67" s="2" t="n"/>
      <c r="DE67" s="2" t="n"/>
    </row>
    <row r="68">
      <c r="A68" s="2" t="inlineStr">
        <is>
          <t>issue_772</t>
        </is>
      </c>
      <c r="B68" s="4" t="inlineStr">
        <is>
          <t>Passed on test</t>
        </is>
      </c>
      <c r="C68" s="4" t="inlineStr">
        <is>
          <t>Passed on test</t>
        </is>
      </c>
      <c r="D68" s="4" t="inlineStr">
        <is>
          <t>Passed on test</t>
        </is>
      </c>
      <c r="E68" s="4" t="inlineStr">
        <is>
          <t>Passed on test</t>
        </is>
      </c>
      <c r="F68" s="4" t="inlineStr">
        <is>
          <t>Passed on test</t>
        </is>
      </c>
      <c r="G68" s="4" t="inlineStr">
        <is>
          <t>Passed on test</t>
        </is>
      </c>
      <c r="H68" s="4" t="inlineStr">
        <is>
          <t>Passed on test</t>
        </is>
      </c>
      <c r="I68" s="4" t="inlineStr">
        <is>
          <t>Passed on test</t>
        </is>
      </c>
      <c r="J68" s="4" t="inlineStr">
        <is>
          <t>Passed on test</t>
        </is>
      </c>
      <c r="K68" s="4" t="inlineStr">
        <is>
          <t>Passed on test</t>
        </is>
      </c>
      <c r="L68" s="4" t="inlineStr">
        <is>
          <t>Passed on test</t>
        </is>
      </c>
      <c r="M68" s="4" t="inlineStr">
        <is>
          <t>Passed on test</t>
        </is>
      </c>
      <c r="N68" s="3" t="inlineStr">
        <is>
          <t>NOT_TESTED</t>
        </is>
      </c>
      <c r="O68" s="3" t="inlineStr">
        <is>
          <t>NOT_TESTED</t>
        </is>
      </c>
      <c r="P68" s="3" t="inlineStr">
        <is>
          <t>NOT_TESTED</t>
        </is>
      </c>
      <c r="Q68" s="3" t="inlineStr">
        <is>
          <t>NOT_TESTED</t>
        </is>
      </c>
      <c r="R68" s="3" t="inlineStr">
        <is>
          <t>NOT_TESTED</t>
        </is>
      </c>
      <c r="S68" s="3" t="inlineStr">
        <is>
          <t>NOT_TESTED</t>
        </is>
      </c>
      <c r="T68" s="3" t="inlineStr">
        <is>
          <t>NOT_TESTED</t>
        </is>
      </c>
      <c r="U68" s="3" t="inlineStr">
        <is>
          <t>NOT_TESTED</t>
        </is>
      </c>
      <c r="V68" s="3" t="inlineStr">
        <is>
          <t>NOT_TESTED</t>
        </is>
      </c>
      <c r="W68" s="3" t="inlineStr">
        <is>
          <t>NOT_TESTED</t>
        </is>
      </c>
      <c r="X68" s="3" t="inlineStr">
        <is>
          <t>NOT_TESTED</t>
        </is>
      </c>
      <c r="Y68" s="3" t="inlineStr">
        <is>
          <t>NOT_TESTED</t>
        </is>
      </c>
      <c r="Z68" s="3" t="inlineStr">
        <is>
          <t>NOT_TESTED</t>
        </is>
      </c>
      <c r="AA68" s="3" t="inlineStr">
        <is>
          <t>NOT_TESTED</t>
        </is>
      </c>
      <c r="AB68" s="3" t="inlineStr">
        <is>
          <t>NOT_TESTED</t>
        </is>
      </c>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c r="BC68" s="2" t="n"/>
      <c r="BD68" s="2" t="n"/>
      <c r="BE68" s="2" t="n"/>
      <c r="BF68" s="2" t="n"/>
      <c r="BG68" s="2" t="n"/>
      <c r="BH68" s="2" t="n"/>
      <c r="BI68" s="2" t="n"/>
      <c r="BJ68" s="2" t="n"/>
      <c r="BK68" s="2" t="n"/>
      <c r="BL68" s="2" t="n"/>
      <c r="BM68" s="2" t="n"/>
      <c r="BN68" s="2" t="n"/>
      <c r="BO68" s="2" t="n"/>
      <c r="BP68" s="2" t="n"/>
      <c r="BQ68" s="2" t="n"/>
      <c r="BR68" s="2" t="n"/>
      <c r="BS68" s="2" t="n"/>
      <c r="BT68" s="2" t="n"/>
      <c r="BU68" s="2" t="n"/>
      <c r="BV68" s="2" t="n"/>
      <c r="BW68" s="2" t="n"/>
      <c r="BX68" s="2" t="n"/>
      <c r="BY68" s="2" t="n"/>
      <c r="BZ68" s="2" t="n"/>
      <c r="CA68" s="2" t="n"/>
      <c r="CB68" s="2" t="n"/>
      <c r="CC68" s="2" t="n"/>
      <c r="CD68" s="2" t="n"/>
      <c r="CE68" s="2" t="n"/>
      <c r="CF68" s="2" t="n"/>
      <c r="CG68" s="2" t="n"/>
      <c r="CH68" s="2" t="n"/>
      <c r="CI68" s="2" t="n"/>
      <c r="CJ68" s="2" t="n"/>
      <c r="CK68" s="2" t="n"/>
      <c r="CL68" s="2" t="n"/>
      <c r="CM68" s="2" t="n"/>
      <c r="CN68" s="2" t="n"/>
      <c r="CO68" s="2" t="n"/>
      <c r="CP68" s="2" t="n"/>
      <c r="CQ68" s="2" t="n"/>
      <c r="CR68" s="2" t="n"/>
      <c r="CS68" s="2" t="n"/>
      <c r="CT68" s="2" t="n"/>
      <c r="CU68" s="2" t="n"/>
      <c r="CV68" s="2" t="n"/>
      <c r="CW68" s="2" t="n"/>
      <c r="CX68" s="2" t="n"/>
      <c r="CY68" s="2" t="n"/>
      <c r="CZ68" s="2" t="n"/>
      <c r="DA68" s="2" t="n"/>
      <c r="DB68" s="2" t="n"/>
      <c r="DC68" s="2" t="n"/>
      <c r="DD68" s="2" t="n"/>
      <c r="DE68" s="2" t="n"/>
    </row>
    <row r="69">
      <c r="A69" s="2" t="inlineStr">
        <is>
          <t>issue_790</t>
        </is>
      </c>
      <c r="B69" s="3" t="inlineStr">
        <is>
          <t>NOT_TESTED</t>
        </is>
      </c>
      <c r="C69" s="3" t="inlineStr">
        <is>
          <t>NOT_TESTED</t>
        </is>
      </c>
      <c r="D69" s="3" t="inlineStr">
        <is>
          <t>NOT_TESTED</t>
        </is>
      </c>
      <c r="E69" s="3" t="inlineStr">
        <is>
          <t>NOT_TESTED</t>
        </is>
      </c>
      <c r="F69" s="5" t="inlineStr">
        <is>
          <t>Failed on test</t>
        </is>
      </c>
      <c r="G69" s="5" t="inlineStr">
        <is>
          <t>Failed on test</t>
        </is>
      </c>
      <c r="H69" s="5" t="inlineStr">
        <is>
          <t>Failed on test</t>
        </is>
      </c>
      <c r="I69" s="5" t="inlineStr">
        <is>
          <t>Failed on test</t>
        </is>
      </c>
      <c r="J69" s="5" t="inlineStr">
        <is>
          <t>Failed on test</t>
        </is>
      </c>
      <c r="K69" s="5" t="inlineStr">
        <is>
          <t>Failed on test</t>
        </is>
      </c>
      <c r="L69" s="5" t="inlineStr">
        <is>
          <t>Failed on test</t>
        </is>
      </c>
      <c r="M69" s="5" t="inlineStr">
        <is>
          <t>Failed on test</t>
        </is>
      </c>
      <c r="N69" s="5" t="inlineStr">
        <is>
          <t>Failed on test</t>
        </is>
      </c>
      <c r="O69" s="5" t="inlineStr">
        <is>
          <t>Failed on test</t>
        </is>
      </c>
      <c r="P69" s="5" t="inlineStr">
        <is>
          <t>Failed on test</t>
        </is>
      </c>
      <c r="Q69" s="5" t="inlineStr">
        <is>
          <t>Failed on test</t>
        </is>
      </c>
      <c r="R69" s="5" t="inlineStr">
        <is>
          <t>Failed on test</t>
        </is>
      </c>
      <c r="S69" s="5" t="inlineStr">
        <is>
          <t>Failed on test</t>
        </is>
      </c>
      <c r="T69" s="5" t="inlineStr">
        <is>
          <t>Failed on test</t>
        </is>
      </c>
      <c r="U69" s="5" t="inlineStr">
        <is>
          <t>Failed on test</t>
        </is>
      </c>
      <c r="V69" s="5" t="inlineStr">
        <is>
          <t>Failed on test</t>
        </is>
      </c>
      <c r="W69" s="5" t="inlineStr">
        <is>
          <t>Failed on test</t>
        </is>
      </c>
      <c r="X69" s="5" t="inlineStr">
        <is>
          <t>Failed on test</t>
        </is>
      </c>
      <c r="Y69" s="5" t="inlineStr">
        <is>
          <t>Failed on test</t>
        </is>
      </c>
      <c r="Z69" s="5" t="inlineStr">
        <is>
          <t>Failed on test</t>
        </is>
      </c>
      <c r="AA69" s="5" t="inlineStr">
        <is>
          <t>Failed on test</t>
        </is>
      </c>
      <c r="AB69" s="5" t="inlineStr">
        <is>
          <t>Failed on test</t>
        </is>
      </c>
      <c r="AC69" s="2" t="n"/>
      <c r="AD69" s="2" t="n"/>
      <c r="AE69" s="2" t="n"/>
      <c r="AF69" s="2" t="n"/>
      <c r="AG69" s="2" t="n"/>
      <c r="AH69" s="2" t="n"/>
      <c r="AI69" s="2" t="n"/>
      <c r="AJ69" s="2" t="n"/>
      <c r="AK69" s="2" t="n"/>
      <c r="AL69" s="2" t="n"/>
      <c r="AM69" s="2" t="n"/>
      <c r="AN69" s="2" t="n"/>
      <c r="AO69" s="2" t="inlineStr">
        <is>
          <t>AssertionError</t>
        </is>
      </c>
      <c r="AP69" s="2" t="inlineStr">
        <is>
          <t>AssertionError: 1.630715739004526 not less than or equal to 0.7083783495810843 : circuit does not approximate exp(-i H) within the six-step second-order bound</t>
        </is>
      </c>
      <c r="AQ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AR69" s="2" t="inlineStr">
        <is>
          <t>AssertionError</t>
        </is>
      </c>
      <c r="AS69" s="2" t="inlineStr">
        <is>
          <t>AssertionError: 1.630715739004526 not less than or equal to 0.7083783495810843 : circuit does not approximate exp(-i H) within the six-step second-order bound</t>
        </is>
      </c>
      <c r="AT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AU69" s="2" t="inlineStr">
        <is>
          <t>AssertionError</t>
        </is>
      </c>
      <c r="AV69" s="2" t="inlineStr">
        <is>
          <t>AssertionError: 1.630715739004526 not less than or equal to 0.7083783495810843 : circuit does not approximate exp(-i H) within the six-step second-order bound</t>
        </is>
      </c>
      <c r="AW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AX69" s="2" t="inlineStr">
        <is>
          <t>AssertionError</t>
        </is>
      </c>
      <c r="AY69" s="2" t="inlineStr">
        <is>
          <t>AssertionError: 1.630715739004526 not less than or equal to 0.7083783495810843 : circuit does not approximate exp(-i H) within the six-step second-order bound</t>
        </is>
      </c>
      <c r="AZ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BA69" s="2" t="inlineStr">
        <is>
          <t>AssertionError</t>
        </is>
      </c>
      <c r="BB69" s="2" t="inlineStr">
        <is>
          <t>AssertionError: 1.630715739004526 not less than or equal to 0.7083783495810843 : circuit does not approximate exp(-i H) within the six-step second-order bound</t>
        </is>
      </c>
      <c r="BC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BD69" s="2" t="inlineStr">
        <is>
          <t>AssertionError</t>
        </is>
      </c>
      <c r="BE69" s="2" t="inlineStr">
        <is>
          <t>AssertionError: 1.630715739004526 not less than or equal to 0.7083783495810843 : circuit does not approximate exp(-i H) within the six-step second-order bound</t>
        </is>
      </c>
      <c r="BF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BG69" s="2" t="inlineStr">
        <is>
          <t>AssertionError</t>
        </is>
      </c>
      <c r="BH69" s="2" t="inlineStr">
        <is>
          <t>AssertionError: np.float64(1.6307157390045257) not less than or equal to np.float64(0.7083783495810843) : circuit does not approximate exp(-i H) within the six-step second-order bound</t>
        </is>
      </c>
      <c r="BI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BJ69" s="2" t="inlineStr">
        <is>
          <t>AssertionError</t>
        </is>
      </c>
      <c r="BK69" s="2" t="inlineStr">
        <is>
          <t>AssertionError: np.float64(1.6307157390045257) not less than or equal to np.float64(0.7083783495810843) : circuit does not approximate exp(-i H) within the six-step second-order bound</t>
        </is>
      </c>
      <c r="BL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BM69" s="2" t="inlineStr">
        <is>
          <t>AssertionError</t>
        </is>
      </c>
      <c r="BN69" s="2" t="inlineStr">
        <is>
          <t>AssertionError: 1.630715739004526 not less than or equal to 0.7083783495810843 : circuit does not approximate exp(-i H) within the six-step second-order bound</t>
        </is>
      </c>
      <c r="BO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BP69" s="2" t="inlineStr">
        <is>
          <t>AssertionError</t>
        </is>
      </c>
      <c r="BQ69" s="2" t="inlineStr">
        <is>
          <t>AssertionError: 1.630715739004526 not less than or equal to 0.7083783495810843 : circuit does not approximate exp(-i H) within the six-step second-order bound</t>
        </is>
      </c>
      <c r="BR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BS69" s="2" t="inlineStr">
        <is>
          <t>AssertionError</t>
        </is>
      </c>
      <c r="BT69" s="2" t="inlineStr">
        <is>
          <t>AssertionError: 1.630715739004526 not less than or equal to 0.7083783495810843 : circuit does not approximate exp(-i H) within the six-step second-order bound</t>
        </is>
      </c>
      <c r="BU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BV69" s="2" t="inlineStr">
        <is>
          <t>AssertionError</t>
        </is>
      </c>
      <c r="BW69" s="2" t="inlineStr">
        <is>
          <t>AssertionError: np.float64(1.6307157390045257) not less than or equal to np.float64(0.7083783495810843) : circuit does not approximate exp(-i H) within the six-step second-order bound</t>
        </is>
      </c>
      <c r="BX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BY69" s="2" t="inlineStr">
        <is>
          <t>AssertionError</t>
        </is>
      </c>
      <c r="BZ69" s="2" t="inlineStr">
        <is>
          <t>AssertionError: np.float64(1.6307157390045257) not less than or equal to np.float64(0.7083783495810843) : circuit does not approximate exp(-i H) within the six-step second-order bound</t>
        </is>
      </c>
      <c r="CA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CB69" s="2" t="inlineStr">
        <is>
          <t>AssertionError</t>
        </is>
      </c>
      <c r="CC69" s="2" t="inlineStr">
        <is>
          <t>AssertionError: np.float64(1.6307157390045257) not less than or equal to np.float64(0.7083783495810843) : circuit does not approximate exp(-i H) within the six-step second-order bound</t>
        </is>
      </c>
      <c r="CD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CE69" s="2" t="inlineStr">
        <is>
          <t>AssertionError</t>
        </is>
      </c>
      <c r="CF69" s="2" t="inlineStr">
        <is>
          <t>AssertionError: np.float64(1.6307157390045257) not less than or equal to np.float64(0.7083783495810843) : circuit does not approximate exp(-i H) within the six-step second-order bound</t>
        </is>
      </c>
      <c r="CG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CH69" s="2" t="inlineStr">
        <is>
          <t>AssertionError</t>
        </is>
      </c>
      <c r="CI69" s="2" t="inlineStr">
        <is>
          <t>AssertionError: np.float64(1.6307157390045257) not less than or equal to np.float64(0.7083783495810843) : circuit does not approximate exp(-i H) within the six-step second-order bound</t>
        </is>
      </c>
      <c r="CJ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CK69" s="2" t="inlineStr">
        <is>
          <t>AssertionError</t>
        </is>
      </c>
      <c r="CL69" s="2" t="inlineStr">
        <is>
          <t>AssertionError: np.float64(1.6307157390045257) not less than or equal to np.float64(0.7083783495810843) : circuit does not approximate exp(-i H) within the six-step second-order bound</t>
        </is>
      </c>
      <c r="CM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CN69" s="2" t="inlineStr">
        <is>
          <t>AssertionError</t>
        </is>
      </c>
      <c r="CO69" s="2" t="inlineStr">
        <is>
          <t>AssertionError: np.float64(1.630715739004526) not less than or equal to np.float64(0.7083783495810843) : circuit does not approximate exp(-i H) within the six-step second-order bound</t>
        </is>
      </c>
      <c r="CP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CQ69" s="2" t="inlineStr">
        <is>
          <t>AssertionError</t>
        </is>
      </c>
      <c r="CR69" s="2" t="inlineStr">
        <is>
          <t>AssertionError: np.float64(1.630715739004526) not less than or equal to np.float64(0.7083783495810843) : circuit does not approximate exp(-i H) within the six-step second-order bound</t>
        </is>
      </c>
      <c r="CS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CT69" s="2" t="inlineStr">
        <is>
          <t>AssertionError</t>
        </is>
      </c>
      <c r="CU69" s="2" t="inlineStr">
        <is>
          <t>AssertionError: np.float64(1.630715739004526) not less than or equal to np.float64(0.7083783495810843) : circuit does not approximate exp(-i H) within the six-step second-order bound</t>
        </is>
      </c>
      <c r="CV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CW69" s="2" t="inlineStr">
        <is>
          <t>AssertionError</t>
        </is>
      </c>
      <c r="CX69" s="2" t="inlineStr">
        <is>
          <t>AssertionError: np.float64(1.630715739004526) not less than or equal to np.float64(0.7083783495810843) : circuit does not approximate exp(-i H) within the six-step second-order bound</t>
        </is>
      </c>
      <c r="CY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CZ69" s="2" t="inlineStr">
        <is>
          <t>AssertionError</t>
        </is>
      </c>
      <c r="DA69" s="2" t="inlineStr">
        <is>
          <t>AssertionError: np.float64(1.630715739004526) not less than or equal to np.float64(0.7083783495810843) : circuit does not approximate exp(-i H) within the six-step second-order bound</t>
        </is>
      </c>
      <c r="DB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DC69" s="2" t="inlineStr">
        <is>
          <t>AssertionError</t>
        </is>
      </c>
      <c r="DD69" s="2" t="inlineStr">
        <is>
          <t>AssertionError: np.float64(1.630715739004526) not less than or equal to np.float64(0.7083783495810843) : circuit does not approximate exp(-i H) within the six-step second-order bound</t>
        </is>
      </c>
      <c r="DE69" s="2"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row>
    <row r="70">
      <c r="A70" s="2" t="inlineStr">
        <is>
          <t>issue_827</t>
        </is>
      </c>
      <c r="B70" s="6" t="inlineStr">
        <is>
          <t>Runtime error</t>
        </is>
      </c>
      <c r="C70" s="6" t="inlineStr">
        <is>
          <t>Runtime error</t>
        </is>
      </c>
      <c r="D70" s="6" t="inlineStr">
        <is>
          <t>Runtime error</t>
        </is>
      </c>
      <c r="E70" s="6" t="inlineStr">
        <is>
          <t>Runtime error</t>
        </is>
      </c>
      <c r="F70" s="6" t="inlineStr">
        <is>
          <t>Runtime error</t>
        </is>
      </c>
      <c r="G70" s="6" t="inlineStr">
        <is>
          <t>Runtime error</t>
        </is>
      </c>
      <c r="H70" s="6" t="inlineStr">
        <is>
          <t>Runtime error</t>
        </is>
      </c>
      <c r="I70" s="6" t="inlineStr">
        <is>
          <t>Runtime error</t>
        </is>
      </c>
      <c r="J70" s="6" t="inlineStr">
        <is>
          <t>Runtime error</t>
        </is>
      </c>
      <c r="K70" s="6" t="inlineStr">
        <is>
          <t>Runtime error</t>
        </is>
      </c>
      <c r="L70" s="6" t="inlineStr">
        <is>
          <t>Runtime error</t>
        </is>
      </c>
      <c r="M70" s="6" t="inlineStr">
        <is>
          <t>Runtime error</t>
        </is>
      </c>
      <c r="N70" s="3" t="inlineStr">
        <is>
          <t>NOT_TESTED</t>
        </is>
      </c>
      <c r="O70" s="3" t="inlineStr">
        <is>
          <t>NOT_TESTED</t>
        </is>
      </c>
      <c r="P70" s="3" t="inlineStr">
        <is>
          <t>NOT_TESTED</t>
        </is>
      </c>
      <c r="Q70" s="3" t="inlineStr">
        <is>
          <t>NOT_TESTED</t>
        </is>
      </c>
      <c r="R70" s="3" t="inlineStr">
        <is>
          <t>NOT_TESTED</t>
        </is>
      </c>
      <c r="S70" s="3" t="inlineStr">
        <is>
          <t>NOT_TESTED</t>
        </is>
      </c>
      <c r="T70" s="3" t="inlineStr">
        <is>
          <t>NOT_TESTED</t>
        </is>
      </c>
      <c r="U70" s="3" t="inlineStr">
        <is>
          <t>NOT_TESTED</t>
        </is>
      </c>
      <c r="V70" s="3" t="inlineStr">
        <is>
          <t>NOT_TESTED</t>
        </is>
      </c>
      <c r="W70" s="3" t="inlineStr">
        <is>
          <t>NOT_TESTED</t>
        </is>
      </c>
      <c r="X70" s="3" t="inlineStr">
        <is>
          <t>NOT_TESTED</t>
        </is>
      </c>
      <c r="Y70" s="3" t="inlineStr">
        <is>
          <t>NOT_TESTED</t>
        </is>
      </c>
      <c r="Z70" s="3" t="inlineStr">
        <is>
          <t>NOT_TESTED</t>
        </is>
      </c>
      <c r="AA70" s="3" t="inlineStr">
        <is>
          <t>NOT_TESTED</t>
        </is>
      </c>
      <c r="AB70" s="3" t="inlineStr">
        <is>
          <t>NOT_TESTED</t>
        </is>
      </c>
      <c r="AC70" s="2" t="inlineStr">
        <is>
          <t>ModuleNotFoundError</t>
        </is>
      </c>
      <c r="AD70" s="2" t="inlineStr">
        <is>
          <t>ModuleNotFoundError: No module named 'qiskit.backends'</t>
        </is>
      </c>
      <c r="AE70" s="2" t="inlineStr">
        <is>
          <t>The LLM replaced compile() with transpile() + assemble(), but the code still imports qiskit.backends, which no longer exists (ModuleNotFoundError). Same code as gpt-6-astra; all four models fail this case.</t>
        </is>
      </c>
      <c r="AF70" s="2" t="inlineStr">
        <is>
          <t>ModuleNotFoundError</t>
        </is>
      </c>
      <c r="AG70" s="2" t="inlineStr">
        <is>
          <t>ModuleNotFoundError: No module named 'qiskit.backends'</t>
        </is>
      </c>
      <c r="AH70" s="2" t="inlineStr">
        <is>
          <t>The LLM replaced compile() with transpile() + assemble(), but the code still imports qiskit.backends, which no longer exists (ModuleNotFoundError). Same code as gpt-6-astra; all four models fail this case.</t>
        </is>
      </c>
      <c r="AI70" s="2" t="inlineStr">
        <is>
          <t>ModuleNotFoundError</t>
        </is>
      </c>
      <c r="AJ70" s="2" t="inlineStr">
        <is>
          <t>ModuleNotFoundError: No module named 'qiskit.backends'</t>
        </is>
      </c>
      <c r="AK70" s="2" t="inlineStr">
        <is>
          <t>The LLM replaced compile() with transpile() + assemble(), but the code still imports qiskit.backends, which no longer exists (ModuleNotFoundError). Same code as gpt-6-astra; all four models fail this case.</t>
        </is>
      </c>
      <c r="AL70" s="2" t="inlineStr">
        <is>
          <t>ModuleNotFoundError</t>
        </is>
      </c>
      <c r="AM70" s="2" t="inlineStr">
        <is>
          <t>ModuleNotFoundError: No module named 'qiskit.backends'</t>
        </is>
      </c>
      <c r="AN70" s="2" t="inlineStr">
        <is>
          <t>The LLM replaced compile() with transpile() + assemble(), but the code still imports qiskit.backends, which no longer exists (ModuleNotFoundError). Same code as gpt-6-astra; all four models fail this case.</t>
        </is>
      </c>
      <c r="AO70" s="2" t="inlineStr">
        <is>
          <t>ModuleNotFoundError</t>
        </is>
      </c>
      <c r="AP70" s="2" t="inlineStr">
        <is>
          <t>ModuleNotFoundError: No module named 'qiskit.backends'</t>
        </is>
      </c>
      <c r="AQ70" s="2" t="inlineStr">
        <is>
          <t>The LLM replaced compile() with transpile() + assemble(), but the code still imports qiskit.backends, which no longer exists (ModuleNotFoundError). Same code as gpt-6-astra; all four models fail this case.</t>
        </is>
      </c>
      <c r="AR70" s="2" t="inlineStr">
        <is>
          <t>ModuleNotFoundError</t>
        </is>
      </c>
      <c r="AS70" s="2" t="inlineStr">
        <is>
          <t>ModuleNotFoundError: No module named 'qiskit.backends'</t>
        </is>
      </c>
      <c r="AT70" s="2" t="inlineStr">
        <is>
          <t>The LLM replaced compile() with transpile() + assemble(), but the code still imports qiskit.backends, which no longer exists (ModuleNotFoundError). Same code as gpt-6-astra; all four models fail this case.</t>
        </is>
      </c>
      <c r="AU70" s="2" t="inlineStr">
        <is>
          <t>ModuleNotFoundError</t>
        </is>
      </c>
      <c r="AV70" s="2" t="inlineStr">
        <is>
          <t>ModuleNotFoundError: No module named 'qiskit.backends'</t>
        </is>
      </c>
      <c r="AW70" s="2" t="inlineStr">
        <is>
          <t>The LLM replaced compile() with transpile() + assemble(), but the code still imports qiskit.backends, which no longer exists (ModuleNotFoundError). Same code as gpt-6-astra; all four models fail this case.</t>
        </is>
      </c>
      <c r="AX70" s="2" t="inlineStr">
        <is>
          <t>ModuleNotFoundError</t>
        </is>
      </c>
      <c r="AY70" s="2" t="inlineStr">
        <is>
          <t>ModuleNotFoundError: No module named 'qiskit.backends'</t>
        </is>
      </c>
      <c r="AZ70" s="2" t="inlineStr">
        <is>
          <t>The LLM replaced compile() with transpile() + assemble(), but the code still imports qiskit.backends, which no longer exists (ModuleNotFoundError). Same code as gpt-6-astra; all four models fail this case.</t>
        </is>
      </c>
      <c r="BA70" s="2" t="inlineStr">
        <is>
          <t>ModuleNotFoundError</t>
        </is>
      </c>
      <c r="BB70" s="2" t="inlineStr">
        <is>
          <t>ModuleNotFoundError: No module named 'qiskit.backends'</t>
        </is>
      </c>
      <c r="BC70" s="2" t="inlineStr">
        <is>
          <t>The LLM replaced compile() with transpile() + assemble(), but the code still imports qiskit.backends, which no longer exists (ModuleNotFoundError). Same code as gpt-6-astra; all four models fail this case.</t>
        </is>
      </c>
      <c r="BD70" s="2" t="inlineStr">
        <is>
          <t>ModuleNotFoundError</t>
        </is>
      </c>
      <c r="BE70" s="2" t="inlineStr">
        <is>
          <t>ModuleNotFoundError: No module named 'qiskit.backends'</t>
        </is>
      </c>
      <c r="BF70" s="2" t="inlineStr">
        <is>
          <t>The LLM replaced compile() with transpile() + assemble(), but the code still imports qiskit.backends, which no longer exists (ModuleNotFoundError). Same code as gpt-6-astra; all four models fail this case.</t>
        </is>
      </c>
      <c r="BG70" s="2" t="inlineStr">
        <is>
          <t>ModuleNotFoundError</t>
        </is>
      </c>
      <c r="BH70" s="2" t="inlineStr">
        <is>
          <t>ModuleNotFoundError: No module named 'qiskit.backends'</t>
        </is>
      </c>
      <c r="BI70" s="2" t="inlineStr">
        <is>
          <t>The LLM replaced compile() with transpile() + assemble(), but the code still imports qiskit.backends, which no longer exists (ModuleNotFoundError). Same code as gpt-6-astra; all four models fail this case.</t>
        </is>
      </c>
      <c r="BJ70" s="2" t="inlineStr">
        <is>
          <t>ModuleNotFoundError</t>
        </is>
      </c>
      <c r="BK70" s="2" t="inlineStr">
        <is>
          <t>ModuleNotFoundError: No module named 'qiskit.backends'</t>
        </is>
      </c>
      <c r="BL70" s="2" t="inlineStr">
        <is>
          <t>The LLM replaced compile() with transpile() + assemble(), but the code still imports qiskit.backends, which no longer exists (ModuleNotFoundError). Same code as gpt-6-astra; all four models fail this case.</t>
        </is>
      </c>
      <c r="BM70" s="2" t="n"/>
      <c r="BN70" s="2" t="n"/>
      <c r="BO70" s="2" t="n"/>
      <c r="BP70" s="2" t="n"/>
      <c r="BQ70" s="2" t="n"/>
      <c r="BR70" s="2" t="n"/>
      <c r="BS70" s="2" t="n"/>
      <c r="BT70" s="2" t="n"/>
      <c r="BU70" s="2" t="n"/>
      <c r="BV70" s="2" t="n"/>
      <c r="BW70" s="2" t="n"/>
      <c r="BX70" s="2" t="n"/>
      <c r="BY70" s="2" t="n"/>
      <c r="BZ70" s="2" t="n"/>
      <c r="CA70" s="2" t="n"/>
      <c r="CB70" s="2" t="n"/>
      <c r="CC70" s="2" t="n"/>
      <c r="CD70" s="2" t="n"/>
      <c r="CE70" s="2" t="n"/>
      <c r="CF70" s="2" t="n"/>
      <c r="CG70" s="2" t="n"/>
      <c r="CH70" s="2" t="n"/>
      <c r="CI70" s="2" t="n"/>
      <c r="CJ70" s="2" t="n"/>
      <c r="CK70" s="2" t="n"/>
      <c r="CL70" s="2" t="n"/>
      <c r="CM70" s="2" t="n"/>
      <c r="CN70" s="2" t="n"/>
      <c r="CO70" s="2" t="n"/>
      <c r="CP70" s="2" t="n"/>
      <c r="CQ70" s="2" t="n"/>
      <c r="CR70" s="2" t="n"/>
      <c r="CS70" s="2" t="n"/>
      <c r="CT70" s="2" t="n"/>
      <c r="CU70" s="2" t="n"/>
      <c r="CV70" s="2" t="n"/>
      <c r="CW70" s="2" t="n"/>
      <c r="CX70" s="2" t="n"/>
      <c r="CY70" s="2" t="n"/>
      <c r="CZ70" s="2" t="n"/>
      <c r="DA70" s="2" t="n"/>
      <c r="DB70" s="2" t="n"/>
      <c r="DC70" s="2" t="n"/>
      <c r="DD70" s="2" t="n"/>
      <c r="DE70" s="2" t="n"/>
    </row>
    <row r="71">
      <c r="A71" s="2" t="inlineStr">
        <is>
          <t>issue_858</t>
        </is>
      </c>
      <c r="B71" s="3" t="inlineStr">
        <is>
          <t>NOT_TESTED</t>
        </is>
      </c>
      <c r="C71" s="3" t="inlineStr">
        <is>
          <t>NOT_TESTED</t>
        </is>
      </c>
      <c r="D71" s="3" t="inlineStr">
        <is>
          <t>NOT_TESTED</t>
        </is>
      </c>
      <c r="E71" s="3" t="inlineStr">
        <is>
          <t>NOT_TESTED</t>
        </is>
      </c>
      <c r="F71" s="6" t="inlineStr">
        <is>
          <t>Runtime error</t>
        </is>
      </c>
      <c r="G71" s="6" t="inlineStr">
        <is>
          <t>Runtime error</t>
        </is>
      </c>
      <c r="H71" s="6" t="inlineStr">
        <is>
          <t>Runtime error</t>
        </is>
      </c>
      <c r="I71" s="6" t="inlineStr">
        <is>
          <t>Runtime error</t>
        </is>
      </c>
      <c r="J71" s="6" t="inlineStr">
        <is>
          <t>Runtime error</t>
        </is>
      </c>
      <c r="K71" s="6" t="inlineStr">
        <is>
          <t>Runtime error</t>
        </is>
      </c>
      <c r="L71" s="6" t="inlineStr">
        <is>
          <t>Runtime error</t>
        </is>
      </c>
      <c r="M71" s="6" t="inlineStr">
        <is>
          <t>Runtime error</t>
        </is>
      </c>
      <c r="N71" s="3" t="inlineStr">
        <is>
          <t>NOT_TESTED</t>
        </is>
      </c>
      <c r="O71" s="3" t="inlineStr">
        <is>
          <t>NOT_TESTED</t>
        </is>
      </c>
      <c r="P71" s="3" t="inlineStr">
        <is>
          <t>NOT_TESTED</t>
        </is>
      </c>
      <c r="Q71" s="3" t="inlineStr">
        <is>
          <t>NOT_TESTED</t>
        </is>
      </c>
      <c r="R71" s="3" t="inlineStr">
        <is>
          <t>NOT_TESTED</t>
        </is>
      </c>
      <c r="S71" s="3" t="inlineStr">
        <is>
          <t>NOT_TESTED</t>
        </is>
      </c>
      <c r="T71" s="3" t="inlineStr">
        <is>
          <t>NOT_TESTED</t>
        </is>
      </c>
      <c r="U71" s="3" t="inlineStr">
        <is>
          <t>NOT_TESTED</t>
        </is>
      </c>
      <c r="V71" s="3" t="inlineStr">
        <is>
          <t>NOT_TESTED</t>
        </is>
      </c>
      <c r="W71" s="3" t="inlineStr">
        <is>
          <t>NOT_TESTED</t>
        </is>
      </c>
      <c r="X71" s="3" t="inlineStr">
        <is>
          <t>NOT_TESTED</t>
        </is>
      </c>
      <c r="Y71" s="3" t="inlineStr">
        <is>
          <t>NOT_TESTED</t>
        </is>
      </c>
      <c r="Z71" s="3" t="inlineStr">
        <is>
          <t>NOT_TESTED</t>
        </is>
      </c>
      <c r="AA71" s="3" t="inlineStr">
        <is>
          <t>NOT_TESTED</t>
        </is>
      </c>
      <c r="AB71" s="3" t="inlineStr">
        <is>
          <t>NOT_TESTED</t>
        </is>
      </c>
      <c r="AC71" s="2" t="n"/>
      <c r="AD71" s="2" t="n"/>
      <c r="AE71" s="2" t="n"/>
      <c r="AF71" s="2" t="n"/>
      <c r="AG71" s="2" t="n"/>
      <c r="AH71" s="2" t="n"/>
      <c r="AI71" s="2" t="n"/>
      <c r="AJ71" s="2" t="n"/>
      <c r="AK71" s="2" t="n"/>
      <c r="AL71" s="2" t="n"/>
      <c r="AM71" s="2" t="n"/>
      <c r="AN71" s="2" t="n"/>
      <c r="AO71" s="2" t="inlineStr">
        <is>
          <t>AttributeError</t>
        </is>
      </c>
      <c r="AP71" s="2" t="inlineStr">
        <is>
          <t>AttributeError: 'FakeOslo' object has no attribute 'properties'</t>
        </is>
      </c>
      <c r="AQ71" s="2" t="inlineStr">
        <is>
          <t>The LLM switched from IBMQ to the FakeOslo snapshot of the retired backend, but the code still calls properties(), which FakeOslo doesn't have (AttributeError); the reference reads backend.qubit_properties(). Same code as gpt-6-astra.</t>
        </is>
      </c>
      <c r="AR71" s="2" t="inlineStr">
        <is>
          <t>AttributeError</t>
        </is>
      </c>
      <c r="AS71" s="2" t="inlineStr">
        <is>
          <t>AttributeError: 'FakeOslo' object has no attribute 'properties'</t>
        </is>
      </c>
      <c r="AT71" s="2" t="inlineStr">
        <is>
          <t>The LLM switched from IBMQ to the FakeOslo snapshot of the retired backend, but the code still calls properties(), which FakeOslo doesn't have (AttributeError); the reference reads backend.qubit_properties(). Same code as gpt-6-astra.</t>
        </is>
      </c>
      <c r="AU71" s="2" t="inlineStr">
        <is>
          <t>AttributeError</t>
        </is>
      </c>
      <c r="AV71" s="2" t="inlineStr">
        <is>
          <t>AttributeError: 'FakeOslo' object has no attribute 'properties'</t>
        </is>
      </c>
      <c r="AW71" s="2" t="inlineStr">
        <is>
          <t>The LLM switched from IBMQ to the FakeOslo snapshot of the retired backend, but the code still calls properties(), which FakeOslo doesn't have (AttributeError); the reference reads backend.qubit_properties(). Same code as gpt-6-astra.</t>
        </is>
      </c>
      <c r="AX71" s="2" t="inlineStr">
        <is>
          <t>AttributeError</t>
        </is>
      </c>
      <c r="AY71" s="2" t="inlineStr">
        <is>
          <t>AttributeError: 'FakeOslo' object has no attribute 'properties'</t>
        </is>
      </c>
      <c r="AZ71" s="2" t="inlineStr">
        <is>
          <t>The LLM switched from IBMQ to the FakeOslo snapshot of the retired backend, but the code still calls properties(), which FakeOslo doesn't have (AttributeError); the reference reads backend.qubit_properties(). Same code as gpt-6-astra.</t>
        </is>
      </c>
      <c r="BA71" s="2" t="inlineStr">
        <is>
          <t>AttributeError</t>
        </is>
      </c>
      <c r="BB71" s="2" t="inlineStr">
        <is>
          <t>AttributeError: 'FakeOslo' object has no attribute 'properties'</t>
        </is>
      </c>
      <c r="BC71" s="2" t="inlineStr">
        <is>
          <t>The LLM switched from IBMQ to the FakeOslo snapshot of the retired backend, but the code still calls properties(), which FakeOslo doesn't have (AttributeError); the reference reads backend.qubit_properties(). Same code as gpt-6-astra.</t>
        </is>
      </c>
      <c r="BD71" s="2" t="inlineStr">
        <is>
          <t>AttributeError</t>
        </is>
      </c>
      <c r="BE71" s="2" t="inlineStr">
        <is>
          <t>AttributeError: 'FakeOslo' object has no attribute 'properties'</t>
        </is>
      </c>
      <c r="BF71" s="2" t="inlineStr">
        <is>
          <t>The LLM switched from IBMQ to the FakeOslo snapshot of the retired backend, but the code still calls properties(), which FakeOslo doesn't have (AttributeError); the reference reads backend.qubit_properties(). Same code as gpt-6-astra.</t>
        </is>
      </c>
      <c r="BG71" s="2" t="inlineStr">
        <is>
          <t>AttributeError</t>
        </is>
      </c>
      <c r="BH71" s="2" t="inlineStr">
        <is>
          <t>AttributeError: 'FakeOslo' object has no attribute 'properties'</t>
        </is>
      </c>
      <c r="BI71" s="2" t="inlineStr">
        <is>
          <t>The LLM switched from IBMQ to the FakeOslo snapshot of the retired backend, but the code still calls properties(), which FakeOslo doesn't have (AttributeError); the reference reads backend.qubit_properties(). Same code as gpt-6-astra.</t>
        </is>
      </c>
      <c r="BJ71" s="2" t="inlineStr">
        <is>
          <t>AttributeError</t>
        </is>
      </c>
      <c r="BK71" s="2" t="inlineStr">
        <is>
          <t>AttributeError: 'FakeOslo' object has no attribute 'properties'</t>
        </is>
      </c>
      <c r="BL71" s="2" t="inlineStr">
        <is>
          <t>The LLM switched from IBMQ to the FakeOslo snapshot of the retired backend, but the code still calls properties(), which FakeOslo doesn't have (AttributeError); the reference reads backend.qubit_properties(). Same code as gpt-6-astra.</t>
        </is>
      </c>
      <c r="BM71" s="2" t="n"/>
      <c r="BN71" s="2" t="n"/>
      <c r="BO71" s="2" t="n"/>
      <c r="BP71" s="2" t="n"/>
      <c r="BQ71" s="2" t="n"/>
      <c r="BR71" s="2" t="n"/>
      <c r="BS71" s="2" t="n"/>
      <c r="BT71" s="2" t="n"/>
      <c r="BU71" s="2" t="n"/>
      <c r="BV71" s="2" t="n"/>
      <c r="BW71" s="2" t="n"/>
      <c r="BX71" s="2" t="n"/>
      <c r="BY71" s="2" t="n"/>
      <c r="BZ71" s="2" t="n"/>
      <c r="CA71" s="2" t="n"/>
      <c r="CB71" s="2" t="n"/>
      <c r="CC71" s="2" t="n"/>
      <c r="CD71" s="2" t="n"/>
      <c r="CE71" s="2" t="n"/>
      <c r="CF71" s="2" t="n"/>
      <c r="CG71" s="2" t="n"/>
      <c r="CH71" s="2" t="n"/>
      <c r="CI71" s="2" t="n"/>
      <c r="CJ71" s="2" t="n"/>
      <c r="CK71" s="2" t="n"/>
      <c r="CL71" s="2" t="n"/>
      <c r="CM71" s="2" t="n"/>
      <c r="CN71" s="2" t="n"/>
      <c r="CO71" s="2" t="n"/>
      <c r="CP71" s="2" t="n"/>
      <c r="CQ71" s="2" t="n"/>
      <c r="CR71" s="2" t="n"/>
      <c r="CS71" s="2" t="n"/>
      <c r="CT71" s="2" t="n"/>
      <c r="CU71" s="2" t="n"/>
      <c r="CV71" s="2" t="n"/>
      <c r="CW71" s="2" t="n"/>
      <c r="CX71" s="2" t="n"/>
      <c r="CY71" s="2" t="n"/>
      <c r="CZ71" s="2" t="n"/>
      <c r="DA71" s="2" t="n"/>
      <c r="DB71" s="2" t="n"/>
      <c r="DC71" s="2" t="n"/>
      <c r="DD71" s="2" t="n"/>
      <c r="DE71" s="2" t="n"/>
    </row>
    <row r="72">
      <c r="A72" s="2" t="inlineStr">
        <is>
          <t>issue_901</t>
        </is>
      </c>
      <c r="B72" s="3" t="inlineStr">
        <is>
          <t>NOT_TESTED</t>
        </is>
      </c>
      <c r="C72" s="3" t="inlineStr">
        <is>
          <t>NOT_TESTED</t>
        </is>
      </c>
      <c r="D72" s="3" t="inlineStr">
        <is>
          <t>NOT_TESTED</t>
        </is>
      </c>
      <c r="E72" s="3" t="inlineStr">
        <is>
          <t>NOT_TESTED</t>
        </is>
      </c>
      <c r="F72" s="4" t="inlineStr">
        <is>
          <t>Passed on test</t>
        </is>
      </c>
      <c r="G72" s="4" t="inlineStr">
        <is>
          <t>Passed on test</t>
        </is>
      </c>
      <c r="H72" s="4" t="inlineStr">
        <is>
          <t>Passed on test</t>
        </is>
      </c>
      <c r="I72" s="4" t="inlineStr">
        <is>
          <t>Passed on test</t>
        </is>
      </c>
      <c r="J72" s="4" t="inlineStr">
        <is>
          <t>Passed on test</t>
        </is>
      </c>
      <c r="K72" s="4" t="inlineStr">
        <is>
          <t>Passed on test</t>
        </is>
      </c>
      <c r="L72" s="4" t="inlineStr">
        <is>
          <t>Passed on test</t>
        </is>
      </c>
      <c r="M72" s="4" t="inlineStr">
        <is>
          <t>Passed on test</t>
        </is>
      </c>
      <c r="N72" s="4" t="inlineStr">
        <is>
          <t>Passed on test</t>
        </is>
      </c>
      <c r="O72" s="4" t="inlineStr">
        <is>
          <t>Passed on test</t>
        </is>
      </c>
      <c r="P72" s="4" t="inlineStr">
        <is>
          <t>Passed on test</t>
        </is>
      </c>
      <c r="Q72" s="4" t="inlineStr">
        <is>
          <t>Passed on test</t>
        </is>
      </c>
      <c r="R72" s="4" t="inlineStr">
        <is>
          <t>Passed on test</t>
        </is>
      </c>
      <c r="S72" s="4" t="inlineStr">
        <is>
          <t>Passed on test</t>
        </is>
      </c>
      <c r="T72" s="4" t="inlineStr">
        <is>
          <t>Passed on test</t>
        </is>
      </c>
      <c r="U72" s="4" t="inlineStr">
        <is>
          <t>Passed on test</t>
        </is>
      </c>
      <c r="V72" s="4" t="inlineStr">
        <is>
          <t>Passed on test</t>
        </is>
      </c>
      <c r="W72" s="4" t="inlineStr">
        <is>
          <t>Passed on test</t>
        </is>
      </c>
      <c r="X72" s="4" t="inlineStr">
        <is>
          <t>Passed on test</t>
        </is>
      </c>
      <c r="Y72" s="3" t="inlineStr">
        <is>
          <t>NOT_TESTED</t>
        </is>
      </c>
      <c r="Z72" s="3" t="inlineStr">
        <is>
          <t>NOT_TESTED</t>
        </is>
      </c>
      <c r="AA72" s="3" t="inlineStr">
        <is>
          <t>NOT_TESTED</t>
        </is>
      </c>
      <c r="AB72" s="3" t="inlineStr">
        <is>
          <t>NOT_TESTED</t>
        </is>
      </c>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2" t="n"/>
      <c r="BA72" s="2" t="n"/>
      <c r="BB72" s="2" t="n"/>
      <c r="BC72" s="2" t="n"/>
      <c r="BD72" s="2" t="n"/>
      <c r="BE72" s="2" t="n"/>
      <c r="BF72" s="2" t="n"/>
      <c r="BG72" s="2" t="n"/>
      <c r="BH72" s="2" t="n"/>
      <c r="BI72" s="2" t="n"/>
      <c r="BJ72" s="2" t="n"/>
      <c r="BK72" s="2" t="n"/>
      <c r="BL72" s="2" t="n"/>
      <c r="BM72" s="2" t="n"/>
      <c r="BN72" s="2" t="n"/>
      <c r="BO72" s="2" t="n"/>
      <c r="BP72" s="2" t="n"/>
      <c r="BQ72" s="2" t="n"/>
      <c r="BR72" s="2" t="n"/>
      <c r="BS72" s="2" t="n"/>
      <c r="BT72" s="2" t="n"/>
      <c r="BU72" s="2" t="n"/>
      <c r="BV72" s="2" t="n"/>
      <c r="BW72" s="2" t="n"/>
      <c r="BX72" s="2" t="n"/>
      <c r="BY72" s="2" t="n"/>
      <c r="BZ72" s="2" t="n"/>
      <c r="CA72" s="2" t="n"/>
      <c r="CB72" s="2" t="n"/>
      <c r="CC72" s="2" t="n"/>
      <c r="CD72" s="2" t="n"/>
      <c r="CE72" s="2" t="n"/>
      <c r="CF72" s="2" t="n"/>
      <c r="CG72" s="2" t="n"/>
      <c r="CH72" s="2" t="n"/>
      <c r="CI72" s="2" t="n"/>
      <c r="CJ72" s="2" t="n"/>
      <c r="CK72" s="2" t="n"/>
      <c r="CL72" s="2" t="n"/>
      <c r="CM72" s="2" t="n"/>
      <c r="CN72" s="2" t="n"/>
      <c r="CO72" s="2" t="n"/>
      <c r="CP72" s="2" t="n"/>
      <c r="CQ72" s="2" t="n"/>
      <c r="CR72" s="2" t="n"/>
      <c r="CS72" s="2" t="n"/>
      <c r="CT72" s="2" t="n"/>
      <c r="CU72" s="2" t="n"/>
      <c r="CV72" s="2" t="n"/>
      <c r="CW72" s="2" t="n"/>
      <c r="CX72" s="2" t="n"/>
      <c r="CY72" s="2" t="n"/>
      <c r="CZ72" s="2" t="n"/>
      <c r="DA72" s="2" t="n"/>
      <c r="DB72" s="2" t="n"/>
      <c r="DC72" s="2" t="n"/>
      <c r="DD72" s="2" t="n"/>
      <c r="DE72" s="2" t="n"/>
    </row>
    <row r="73">
      <c r="A73" s="2" t="inlineStr">
        <is>
          <t>issue_921</t>
        </is>
      </c>
      <c r="B73" s="6" t="inlineStr">
        <is>
          <t>Runtime error</t>
        </is>
      </c>
      <c r="C73" s="6" t="inlineStr">
        <is>
          <t>Runtime error</t>
        </is>
      </c>
      <c r="D73" s="6" t="inlineStr">
        <is>
          <t>Runtime error</t>
        </is>
      </c>
      <c r="E73" s="6" t="inlineStr">
        <is>
          <t>Runtime error</t>
        </is>
      </c>
      <c r="F73" s="3" t="inlineStr">
        <is>
          <t>NOT_TESTED</t>
        </is>
      </c>
      <c r="G73" s="3" t="inlineStr">
        <is>
          <t>NOT_TESTED</t>
        </is>
      </c>
      <c r="H73" s="3" t="inlineStr">
        <is>
          <t>NOT_TESTED</t>
        </is>
      </c>
      <c r="I73" s="3" t="inlineStr">
        <is>
          <t>NOT_TESTED</t>
        </is>
      </c>
      <c r="J73" s="3" t="inlineStr">
        <is>
          <t>NOT_TESTED</t>
        </is>
      </c>
      <c r="K73" s="3" t="inlineStr">
        <is>
          <t>NOT_TESTED</t>
        </is>
      </c>
      <c r="L73" s="3" t="inlineStr">
        <is>
          <t>NOT_TESTED</t>
        </is>
      </c>
      <c r="M73" s="3" t="inlineStr">
        <is>
          <t>NOT_TESTED</t>
        </is>
      </c>
      <c r="N73" s="3" t="inlineStr">
        <is>
          <t>NOT_TESTED</t>
        </is>
      </c>
      <c r="O73" s="3" t="inlineStr">
        <is>
          <t>NOT_TESTED</t>
        </is>
      </c>
      <c r="P73" s="3" t="inlineStr">
        <is>
          <t>NOT_TESTED</t>
        </is>
      </c>
      <c r="Q73" s="3" t="inlineStr">
        <is>
          <t>NOT_TESTED</t>
        </is>
      </c>
      <c r="R73" s="3" t="inlineStr">
        <is>
          <t>NOT_TESTED</t>
        </is>
      </c>
      <c r="S73" s="3" t="inlineStr">
        <is>
          <t>NOT_TESTED</t>
        </is>
      </c>
      <c r="T73" s="3" t="inlineStr">
        <is>
          <t>NOT_TESTED</t>
        </is>
      </c>
      <c r="U73" s="3" t="inlineStr">
        <is>
          <t>NOT_TESTED</t>
        </is>
      </c>
      <c r="V73" s="3" t="inlineStr">
        <is>
          <t>NOT_TESTED</t>
        </is>
      </c>
      <c r="W73" s="3" t="inlineStr">
        <is>
          <t>NOT_TESTED</t>
        </is>
      </c>
      <c r="X73" s="3" t="inlineStr">
        <is>
          <t>NOT_TESTED</t>
        </is>
      </c>
      <c r="Y73" s="3" t="inlineStr">
        <is>
          <t>NOT_TESTED</t>
        </is>
      </c>
      <c r="Z73" s="3" t="inlineStr">
        <is>
          <t>NOT_TESTED</t>
        </is>
      </c>
      <c r="AA73" s="3" t="inlineStr">
        <is>
          <t>NOT_TESTED</t>
        </is>
      </c>
      <c r="AB73" s="3" t="inlineStr">
        <is>
          <t>NOT_TESTED</t>
        </is>
      </c>
      <c r="AC73" s="2" t="inlineStr">
        <is>
          <t>ImportError</t>
        </is>
      </c>
      <c r="AD73" s="2" t="inlineStr">
        <is>
          <t>ImportError: cannot import name 'run_algorithm' from 'qiskit.aqua' (C:\qiskit_envs\q0250\lib\site-packages\qiskit\aqua\__init__.py)</t>
        </is>
      </c>
      <c r="AE73" s="2" t="inlineStr">
        <is>
          <t>The LLM changed the problem name from 'ising' to 'energy' but kept the run_algorithm import, which no longer exists in qiskit.aqua (ImportError). Same code as gpt-6-astra; all four models fail this case.</t>
        </is>
      </c>
      <c r="AF73" s="2" t="inlineStr">
        <is>
          <t>ImportError</t>
        </is>
      </c>
      <c r="AG73" s="2" t="inlineStr">
        <is>
          <t>ImportError: cannot import name 'run_algorithm' from 'qiskit.aqua' (C:\qiskit_envs\q0251\lib\site-packages\qiskit\aqua\__init__.py)</t>
        </is>
      </c>
      <c r="AH73" s="2" t="inlineStr">
        <is>
          <t>The LLM changed the problem name from 'ising' to 'energy' but kept the run_algorithm import, which no longer exists in qiskit.aqua (ImportError). Same code as gpt-6-astra; all four models fail this case.</t>
        </is>
      </c>
      <c r="AI73" s="2" t="inlineStr">
        <is>
          <t>ImportError</t>
        </is>
      </c>
      <c r="AJ73" s="2" t="inlineStr">
        <is>
          <t>ImportError: cannot import name 'run_algorithm' from 'qiskit.aqua' (C:\qiskit_envs\q0252\lib\site-packages\qiskit\aqua\__init__.py)</t>
        </is>
      </c>
      <c r="AK73" s="2" t="inlineStr">
        <is>
          <t>The LLM changed the problem name from 'ising' to 'energy' but kept the run_algorithm import, which no longer exists in qiskit.aqua (ImportError). Same code as gpt-6-astra; all four models fail this case.</t>
        </is>
      </c>
      <c r="AL73" s="2" t="inlineStr">
        <is>
          <t>ImportError</t>
        </is>
      </c>
      <c r="AM73" s="2" t="inlineStr">
        <is>
          <t>ImportError: cannot import name 'run_algorithm' from 'qiskit.aqua' (C:\qiskit_envs\q0253\lib\site-packages\qiskit\aqua\__init__.py)</t>
        </is>
      </c>
      <c r="AN73" s="2" t="inlineStr">
        <is>
          <t>The LLM changed the problem name from 'ising' to 'energy' but kept the run_algorithm import, which no longer exists in qiskit.aqua (ImportError). Same code as gpt-6-astra; all four models fail this case.</t>
        </is>
      </c>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2" t="n"/>
      <c r="BM73" s="2" t="n"/>
      <c r="BN73" s="2" t="n"/>
      <c r="BO73" s="2" t="n"/>
      <c r="BP73" s="2" t="n"/>
      <c r="BQ73" s="2" t="n"/>
      <c r="BR73" s="2" t="n"/>
      <c r="BS73" s="2" t="n"/>
      <c r="BT73" s="2" t="n"/>
      <c r="BU73" s="2" t="n"/>
      <c r="BV73" s="2" t="n"/>
      <c r="BW73" s="2" t="n"/>
      <c r="BX73" s="2" t="n"/>
      <c r="BY73" s="2" t="n"/>
      <c r="BZ73" s="2" t="n"/>
      <c r="CA73" s="2" t="n"/>
      <c r="CB73" s="2" t="n"/>
      <c r="CC73" s="2" t="n"/>
      <c r="CD73" s="2" t="n"/>
      <c r="CE73" s="2" t="n"/>
      <c r="CF73" s="2" t="n"/>
      <c r="CG73" s="2" t="n"/>
      <c r="CH73" s="2" t="n"/>
      <c r="CI73" s="2" t="n"/>
      <c r="CJ73" s="2" t="n"/>
      <c r="CK73" s="2" t="n"/>
      <c r="CL73" s="2" t="n"/>
      <c r="CM73" s="2" t="n"/>
      <c r="CN73" s="2" t="n"/>
      <c r="CO73" s="2" t="n"/>
      <c r="CP73" s="2" t="n"/>
      <c r="CQ73" s="2" t="n"/>
      <c r="CR73" s="2" t="n"/>
      <c r="CS73" s="2" t="n"/>
      <c r="CT73" s="2" t="n"/>
      <c r="CU73" s="2" t="n"/>
      <c r="CV73" s="2" t="n"/>
      <c r="CW73" s="2" t="n"/>
      <c r="CX73" s="2" t="n"/>
      <c r="CY73" s="2" t="n"/>
      <c r="CZ73" s="2" t="n"/>
      <c r="DA73" s="2" t="n"/>
      <c r="DB73" s="2" t="n"/>
      <c r="DC73" s="2" t="n"/>
      <c r="DD73" s="2" t="n"/>
      <c r="DE7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6"/>
  <sheetViews>
    <sheetView workbookViewId="0">
      <selection activeCell="A1" sqref="A1"/>
    </sheetView>
  </sheetViews>
  <sheetFormatPr baseColWidth="8" defaultRowHeight="15"/>
  <cols>
    <col width="16" customWidth="1" min="1" max="1"/>
    <col width="15" customWidth="1" min="2" max="2"/>
    <col width="34" customWidth="1" min="3" max="3"/>
    <col width="11" customWidth="1" min="4" max="4"/>
    <col width="26" customWidth="1" min="5" max="5"/>
    <col width="48" customWidth="1" min="6" max="6"/>
    <col width="60" customWidth="1" min="7" max="7"/>
    <col width="10" customWidth="1" min="8" max="8"/>
    <col width="14" customWidth="1" min="9" max="9"/>
    <col width="10" customWidth="1" min="10" max="10"/>
    <col width="12" customWidth="1" min="11" max="11"/>
  </cols>
  <sheetData>
    <row r="1">
      <c r="A1" s="7" t="inlineStr">
        <is>
          <t>LLM bug-repair results (gpt-6.1-sol), judged by each case's test (test_new.py / test-new.py for issue_021_se, issue_058_se and issue_061; test.py for the rest) Since 9 Oct 2026, the test.py of 12 over-specific cases holds an updated test that replaced the old one. issue_096, issue_453, issue_497, issue_622, issue_769, issue_876, issue_877, issue_958 and issue_985 were rescored on 19 Oct 2026 using Nick's updated Part 2 test.py files from origin/main. issue_189, issue_671, issue_747, issue_775, issue_810, issue_886, issue_911, issue_944, issue_977, issue_994 and issue_1035 were rescored the same day on Nick's main test.py files. Timeouts (120 s) count as runtime errors.</t>
        </is>
      </c>
    </row>
    <row r="2">
      <c r="A2" t="inlineStr">
        <is>
          <t>All numbers below are formulas over the Summary sheet, so they update if Summary changes. batch 1 = Summary rows 2-10, batch 2 = Summary rows 11-20, batch 3 = Summary rows 21-30, batch 4 = Summary rows 31-40, batch 5 = Summary rows 41-50, batch 6 = Summary rows 51-60, batch 7 = Summary rows 61-67, batch 8 = Summary rows 68-73. The 4 runs that hit the 120-second timeout are counted as Runtime error.</t>
        </is>
      </c>
    </row>
    <row r="3"/>
    <row r="4">
      <c r="A4" s="7" t="inlineStr">
        <is>
          <t>1. Case × version pairs</t>
        </is>
      </c>
    </row>
    <row r="5">
      <c r="A5" s="1" t="inlineStr">
        <is>
          <t>Result</t>
        </is>
      </c>
      <c r="B5" s="1" t="inlineStr">
        <is>
          <t>Count</t>
        </is>
      </c>
      <c r="C5" s="1" t="inlineStr">
        <is>
          <t>% of tested pairs</t>
        </is>
      </c>
      <c r="D5" s="1" t="inlineStr">
        <is>
          <t>Batch 1</t>
        </is>
      </c>
      <c r="E5" s="1" t="inlineStr">
        <is>
          <t>Batch 1 %</t>
        </is>
      </c>
      <c r="F5" s="1" t="inlineStr">
        <is>
          <t>Batch 2</t>
        </is>
      </c>
      <c r="G5" s="1" t="inlineStr">
        <is>
          <t>Batch 2 %</t>
        </is>
      </c>
      <c r="H5" s="1" t="inlineStr">
        <is>
          <t>Batch 3</t>
        </is>
      </c>
      <c r="I5" s="1" t="inlineStr">
        <is>
          <t>Batch 3 %</t>
        </is>
      </c>
      <c r="J5" s="1" t="inlineStr">
        <is>
          <t>Batch 4</t>
        </is>
      </c>
      <c r="K5" s="1" t="inlineStr">
        <is>
          <t>Batch 4 %</t>
        </is>
      </c>
      <c r="L5" s="1" t="inlineStr">
        <is>
          <t>Batch 5</t>
        </is>
      </c>
      <c r="M5" s="1" t="inlineStr">
        <is>
          <t>Batch 5 %</t>
        </is>
      </c>
      <c r="N5" s="1" t="inlineStr">
        <is>
          <t>Batch 6</t>
        </is>
      </c>
      <c r="O5" s="1" t="inlineStr">
        <is>
          <t>Batch 6 %</t>
        </is>
      </c>
      <c r="P5" s="1" t="inlineStr">
        <is>
          <t>Batch 7</t>
        </is>
      </c>
      <c r="Q5" s="1" t="inlineStr">
        <is>
          <t>Batch 7 %</t>
        </is>
      </c>
      <c r="R5" s="1" t="inlineStr">
        <is>
          <t>Batch 8</t>
        </is>
      </c>
      <c r="S5" s="1" t="inlineStr">
        <is>
          <t>Batch 8 %</t>
        </is>
      </c>
    </row>
    <row r="6">
      <c r="A6" s="8" t="inlineStr">
        <is>
          <t>Passed on test</t>
        </is>
      </c>
      <c r="B6" s="2">
        <f>COUNTIF(Summary!$B$2:$AB$73,"Passed on test")</f>
        <v/>
      </c>
      <c r="C6" s="9">
        <f>IF($B$9=0,0,B6/$B$9)</f>
        <v/>
      </c>
      <c r="D6" s="2">
        <f>COUNTIF(Summary!$B$2:$AB$10,"Passed on test")</f>
        <v/>
      </c>
      <c r="E6" s="9">
        <f>IF(D$9=0,0,D6/D$9)</f>
        <v/>
      </c>
      <c r="F6" s="2">
        <f>COUNTIF(Summary!$B$11:$AB$20,"Passed on test")</f>
        <v/>
      </c>
      <c r="G6" s="9">
        <f>IF(F$9=0,0,F6/F$9)</f>
        <v/>
      </c>
      <c r="H6" s="2">
        <f>COUNTIF(Summary!$B$21:$AB$30,"Passed on test")</f>
        <v/>
      </c>
      <c r="I6" s="9">
        <f>IF(H$9=0,0,H6/H$9)</f>
        <v/>
      </c>
      <c r="J6" s="2">
        <f>COUNTIF(Summary!$B$31:$AB$40,"Passed on test")</f>
        <v/>
      </c>
      <c r="K6" s="9">
        <f>IF(J$9=0,0,J6/J$9)</f>
        <v/>
      </c>
      <c r="L6" s="2">
        <f>COUNTIF(Summary!$B$41:$AB$50,"Passed on test")</f>
        <v/>
      </c>
      <c r="M6" s="9">
        <f>IF(L$9=0,0,L6/L$9)</f>
        <v/>
      </c>
      <c r="N6" s="2">
        <f>COUNTIF(Summary!$B$51:$AB$60,"Passed on test")</f>
        <v/>
      </c>
      <c r="O6" s="9">
        <f>IF(N$9=0,0,N6/N$9)</f>
        <v/>
      </c>
      <c r="P6" s="2">
        <f>COUNTIF(Summary!$B$61:$AB$67,"Passed on test")</f>
        <v/>
      </c>
      <c r="Q6" s="9">
        <f>IF(P$9=0,0,P6/P$9)</f>
        <v/>
      </c>
      <c r="R6" s="2">
        <f>COUNTIF(Summary!$B$68:$AB$73,"Passed on test")</f>
        <v/>
      </c>
      <c r="S6" s="9">
        <f>IF(R$9=0,0,R6/R$9)</f>
        <v/>
      </c>
    </row>
    <row r="7">
      <c r="A7" s="10" t="inlineStr">
        <is>
          <t>Failed on test</t>
        </is>
      </c>
      <c r="B7" s="2">
        <f>COUNTIF(Summary!$B$2:$AB$73,"Failed on test")</f>
        <v/>
      </c>
      <c r="C7" s="9">
        <f>IF($B$9=0,0,B7/$B$9)</f>
        <v/>
      </c>
      <c r="D7" s="2">
        <f>COUNTIF(Summary!$B$2:$AB$10,"Failed on test")</f>
        <v/>
      </c>
      <c r="E7" s="9">
        <f>IF(D$9=0,0,D7/D$9)</f>
        <v/>
      </c>
      <c r="F7" s="2">
        <f>COUNTIF(Summary!$B$11:$AB$20,"Failed on test")</f>
        <v/>
      </c>
      <c r="G7" s="9">
        <f>IF(F$9=0,0,F7/F$9)</f>
        <v/>
      </c>
      <c r="H7" s="2">
        <f>COUNTIF(Summary!$B$21:$AB$30,"Failed on test")</f>
        <v/>
      </c>
      <c r="I7" s="9">
        <f>IF(H$9=0,0,H7/H$9)</f>
        <v/>
      </c>
      <c r="J7" s="2">
        <f>COUNTIF(Summary!$B$31:$AB$40,"Failed on test")</f>
        <v/>
      </c>
      <c r="K7" s="9">
        <f>IF(J$9=0,0,J7/J$9)</f>
        <v/>
      </c>
      <c r="L7" s="2">
        <f>COUNTIF(Summary!$B$41:$AB$50,"Failed on test")</f>
        <v/>
      </c>
      <c r="M7" s="9">
        <f>IF(L$9=0,0,L7/L$9)</f>
        <v/>
      </c>
      <c r="N7" s="2">
        <f>COUNTIF(Summary!$B$51:$AB$60,"Failed on test")</f>
        <v/>
      </c>
      <c r="O7" s="9">
        <f>IF(N$9=0,0,N7/N$9)</f>
        <v/>
      </c>
      <c r="P7" s="2">
        <f>COUNTIF(Summary!$B$61:$AB$67,"Failed on test")</f>
        <v/>
      </c>
      <c r="Q7" s="9">
        <f>IF(P$9=0,0,P7/P$9)</f>
        <v/>
      </c>
      <c r="R7" s="2">
        <f>COUNTIF(Summary!$B$68:$AB$73,"Failed on test")</f>
        <v/>
      </c>
      <c r="S7" s="9">
        <f>IF(R$9=0,0,R7/R$9)</f>
        <v/>
      </c>
    </row>
    <row r="8">
      <c r="A8" s="11" t="inlineStr">
        <is>
          <t>Runtime error</t>
        </is>
      </c>
      <c r="B8" s="2">
        <f>COUNTIF(Summary!$B$2:$AB$73,"Runtime error")</f>
        <v/>
      </c>
      <c r="C8" s="9">
        <f>IF($B$9=0,0,B8/$B$9)</f>
        <v/>
      </c>
      <c r="D8" s="2">
        <f>COUNTIF(Summary!$B$2:$AB$10,"Runtime error")</f>
        <v/>
      </c>
      <c r="E8" s="9">
        <f>IF(D$9=0,0,D8/D$9)</f>
        <v/>
      </c>
      <c r="F8" s="2">
        <f>COUNTIF(Summary!$B$11:$AB$20,"Runtime error")</f>
        <v/>
      </c>
      <c r="G8" s="9">
        <f>IF(F$9=0,0,F8/F$9)</f>
        <v/>
      </c>
      <c r="H8" s="2">
        <f>COUNTIF(Summary!$B$21:$AB$30,"Runtime error")</f>
        <v/>
      </c>
      <c r="I8" s="9">
        <f>IF(H$9=0,0,H8/H$9)</f>
        <v/>
      </c>
      <c r="J8" s="2">
        <f>COUNTIF(Summary!$B$31:$AB$40,"Runtime error")</f>
        <v/>
      </c>
      <c r="K8" s="9">
        <f>IF(J$9=0,0,J8/J$9)</f>
        <v/>
      </c>
      <c r="L8" s="2">
        <f>COUNTIF(Summary!$B$41:$AB$50,"Runtime error")</f>
        <v/>
      </c>
      <c r="M8" s="9">
        <f>IF(L$9=0,0,L8/L$9)</f>
        <v/>
      </c>
      <c r="N8" s="2">
        <f>COUNTIF(Summary!$B$51:$AB$60,"Runtime error")</f>
        <v/>
      </c>
      <c r="O8" s="9">
        <f>IF(N$9=0,0,N8/N$9)</f>
        <v/>
      </c>
      <c r="P8" s="2">
        <f>COUNTIF(Summary!$B$61:$AB$67,"Runtime error")</f>
        <v/>
      </c>
      <c r="Q8" s="9">
        <f>IF(P$9=0,0,P8/P$9)</f>
        <v/>
      </c>
      <c r="R8" s="2">
        <f>COUNTIF(Summary!$B$68:$AB$73,"Runtime error")</f>
        <v/>
      </c>
      <c r="S8" s="9">
        <f>IF(R$9=0,0,R8/R$9)</f>
        <v/>
      </c>
    </row>
    <row r="9">
      <c r="A9" s="12" t="inlineStr">
        <is>
          <t>Total tested</t>
        </is>
      </c>
      <c r="B9" s="12">
        <f>SUM(B6:B8)</f>
        <v/>
      </c>
      <c r="C9" s="13">
        <f>SUM(C6:C8)</f>
        <v/>
      </c>
      <c r="D9" s="12">
        <f>SUM(D6:D8)</f>
        <v/>
      </c>
      <c r="E9" s="13">
        <f>SUM(E6:E8)</f>
        <v/>
      </c>
      <c r="F9" s="12">
        <f>SUM(F6:F8)</f>
        <v/>
      </c>
      <c r="G9" s="13">
        <f>SUM(G6:G8)</f>
        <v/>
      </c>
      <c r="H9" s="12">
        <f>SUM(H6:H8)</f>
        <v/>
      </c>
      <c r="I9" s="13">
        <f>SUM(I6:I8)</f>
        <v/>
      </c>
      <c r="J9" s="12">
        <f>SUM(J6:J8)</f>
        <v/>
      </c>
      <c r="K9" s="13">
        <f>SUM(K6:K8)</f>
        <v/>
      </c>
      <c r="L9" s="12">
        <f>SUM(L6:L8)</f>
        <v/>
      </c>
      <c r="M9" s="13">
        <f>SUM(M6:M8)</f>
        <v/>
      </c>
      <c r="N9" s="12">
        <f>SUM(N6:N8)</f>
        <v/>
      </c>
      <c r="O9" s="13">
        <f>SUM(O6:O8)</f>
        <v/>
      </c>
      <c r="P9" s="12">
        <f>SUM(P6:P8)</f>
        <v/>
      </c>
      <c r="Q9" s="13">
        <f>SUM(Q6:Q8)</f>
        <v/>
      </c>
      <c r="R9" s="12">
        <f>SUM(R6:R8)</f>
        <v/>
      </c>
      <c r="S9" s="13">
        <f>SUM(S6:S8)</f>
        <v/>
      </c>
    </row>
    <row r="10">
      <c r="A10" s="2" t="inlineStr">
        <is>
          <t>Not tested (version not listed for that case)</t>
        </is>
      </c>
      <c r="B10" s="2">
        <f>COUNTIF(Summary!$B$2:$AB$73,"NOT_TESTED")</f>
        <v/>
      </c>
      <c r="D10" s="2">
        <f>COUNTIF(Summary!$B$2:$AB$10,"NOT_TESTED")</f>
        <v/>
      </c>
      <c r="F10" s="2">
        <f>COUNTIF(Summary!$B$11:$AB$20,"NOT_TESTED")</f>
        <v/>
      </c>
      <c r="H10" s="2">
        <f>COUNTIF(Summary!$B$21:$AB$30,"NOT_TESTED")</f>
        <v/>
      </c>
      <c r="J10" s="2">
        <f>COUNTIF(Summary!$B$31:$AB$40,"NOT_TESTED")</f>
        <v/>
      </c>
      <c r="L10" s="2">
        <f>COUNTIF(Summary!$B$41:$AB$50,"NOT_TESTED")</f>
        <v/>
      </c>
      <c r="N10" s="2">
        <f>COUNTIF(Summary!$B$51:$AB$60,"NOT_TESTED")</f>
        <v/>
      </c>
      <c r="P10" s="2">
        <f>COUNTIF(Summary!$B$61:$AB$67,"NOT_TESTED")</f>
        <v/>
      </c>
      <c r="R10" s="2">
        <f>COUNTIF(Summary!$B$68:$AB$73,"NOT_TESTED")</f>
        <v/>
      </c>
    </row>
    <row r="11"/>
    <row r="12">
      <c r="A12" s="7" t="inlineStr">
        <is>
          <t>2. Per case</t>
        </is>
      </c>
    </row>
    <row r="13">
      <c r="A13" s="1" t="inlineStr">
        <is>
          <t>Case</t>
        </is>
      </c>
      <c r="B13" s="1" t="inlineStr">
        <is>
          <t>Versions tested</t>
        </is>
      </c>
      <c r="C13" s="1" t="inlineStr">
        <is>
          <t>Passed on test</t>
        </is>
      </c>
      <c r="D13" s="1" t="inlineStr">
        <is>
          <t>Failed on test</t>
        </is>
      </c>
      <c r="E13" s="1" t="inlineStr">
        <is>
          <t>Runtime error</t>
        </is>
      </c>
      <c r="F13" s="1" t="inlineStr">
        <is>
          <t>Passed on test %</t>
        </is>
      </c>
      <c r="G13" s="1" t="inlineStr">
        <is>
          <t>Failed on test %</t>
        </is>
      </c>
      <c r="H13" s="1" t="inlineStr">
        <is>
          <t>Runtime error %</t>
        </is>
      </c>
      <c r="I13" s="1" t="inlineStr">
        <is>
          <t>Case outcome</t>
        </is>
      </c>
      <c r="J13" s="1" t="inlineStr">
        <is>
          <t>Batch</t>
        </is>
      </c>
    </row>
    <row r="14">
      <c r="A14" s="2">
        <f>Summary!A2</f>
        <v/>
      </c>
      <c r="B14" s="2">
        <f>COUNTIF(Summary!$B$2:$AB$2,"Passed on test")+COUNTIF(Summary!$B$2:$AB$2,"Failed on test")+COUNTIF(Summary!$B$2:$AB$2,"Runtime error")</f>
        <v/>
      </c>
      <c r="C14" s="2">
        <f>COUNTIF(Summary!$B$2:$AB$2,"Passed on test")</f>
        <v/>
      </c>
      <c r="D14" s="2">
        <f>COUNTIF(Summary!$B$2:$AB$2,"Failed on test")</f>
        <v/>
      </c>
      <c r="E14" s="2">
        <f>COUNTIF(Summary!$B$2:$AB$2,"Runtime error")</f>
        <v/>
      </c>
      <c r="F14" s="9">
        <f>IF($B14=0,0,C14/$B14)</f>
        <v/>
      </c>
      <c r="G14" s="9">
        <f>IF($B14=0,0,D14/$B14)</f>
        <v/>
      </c>
      <c r="H14" s="9">
        <f>IF($B14=0,0,E14/$B14)</f>
        <v/>
      </c>
      <c r="I14" s="2">
        <f>IF(C14=B14,"Passed on test",IF(E14&gt;0,"Runtime error","Failed on test"))</f>
        <v/>
      </c>
      <c r="J14" s="2" t="n">
        <v>1</v>
      </c>
    </row>
    <row r="15">
      <c r="A15" s="2">
        <f>Summary!A3</f>
        <v/>
      </c>
      <c r="B15" s="2">
        <f>COUNTIF(Summary!$B$3:$AB$3,"Passed on test")+COUNTIF(Summary!$B$3:$AB$3,"Failed on test")+COUNTIF(Summary!$B$3:$AB$3,"Runtime error")</f>
        <v/>
      </c>
      <c r="C15" s="2">
        <f>COUNTIF(Summary!$B$3:$AB$3,"Passed on test")</f>
        <v/>
      </c>
      <c r="D15" s="2">
        <f>COUNTIF(Summary!$B$3:$AB$3,"Failed on test")</f>
        <v/>
      </c>
      <c r="E15" s="2">
        <f>COUNTIF(Summary!$B$3:$AB$3,"Runtime error")</f>
        <v/>
      </c>
      <c r="F15" s="9">
        <f>IF($B16=0,0,C16/$B16)</f>
        <v/>
      </c>
      <c r="G15" s="9">
        <f>IF($B16=0,0,D16/$B16)</f>
        <v/>
      </c>
      <c r="H15" s="9">
        <f>IF($B16=0,0,E16/$B16)</f>
        <v/>
      </c>
      <c r="I15" s="2">
        <f>IF(C16=B16,"Passed on test",IF(E16&gt;0,"Runtime error","Failed on test"))</f>
        <v/>
      </c>
      <c r="J15" s="2" t="n">
        <v>1</v>
      </c>
    </row>
    <row r="16">
      <c r="A16" s="2">
        <f>Summary!A4</f>
        <v/>
      </c>
      <c r="B16" s="2">
        <f>COUNTIF(Summary!$B$4:$AB$4,"Passed on test")+COUNTIF(Summary!$B$4:$AB$4,"Failed on test")+COUNTIF(Summary!$B$4:$AB$4,"Runtime error")</f>
        <v/>
      </c>
      <c r="C16" s="2">
        <f>COUNTIF(Summary!$B$4:$AB$4,"Passed on test")</f>
        <v/>
      </c>
      <c r="D16" s="2">
        <f>COUNTIF(Summary!$B$4:$AB$4,"Failed on test")</f>
        <v/>
      </c>
      <c r="E16" s="2">
        <f>COUNTIF(Summary!$B$4:$AB$4,"Runtime error")</f>
        <v/>
      </c>
      <c r="F16" s="9">
        <f>IF($B17=0,0,C17/$B17)</f>
        <v/>
      </c>
      <c r="G16" s="9">
        <f>IF($B17=0,0,D17/$B17)</f>
        <v/>
      </c>
      <c r="H16" s="9">
        <f>IF($B17=0,0,E17/$B17)</f>
        <v/>
      </c>
      <c r="I16" s="2">
        <f>IF(C17=B17,"Passed on test",IF(E17&gt;0,"Runtime error","Failed on test"))</f>
        <v/>
      </c>
      <c r="J16" s="2" t="n">
        <v>1</v>
      </c>
    </row>
    <row r="17">
      <c r="A17" s="2">
        <f>Summary!A5</f>
        <v/>
      </c>
      <c r="B17" s="2">
        <f>COUNTIF(Summary!$B$5:$AB$5,"Passed on test")+COUNTIF(Summary!$B$5:$AB$5,"Failed on test")+COUNTIF(Summary!$B$5:$AB$5,"Runtime error")</f>
        <v/>
      </c>
      <c r="C17" s="2">
        <f>COUNTIF(Summary!$B$5:$AB$5,"Passed on test")</f>
        <v/>
      </c>
      <c r="D17" s="2">
        <f>COUNTIF(Summary!$B$5:$AB$5,"Failed on test")</f>
        <v/>
      </c>
      <c r="E17" s="2">
        <f>COUNTIF(Summary!$B$5:$AB$5,"Runtime error")</f>
        <v/>
      </c>
      <c r="F17" s="9">
        <f>IF($B18=0,0,C18/$B18)</f>
        <v/>
      </c>
      <c r="G17" s="9">
        <f>IF($B18=0,0,D18/$B18)</f>
        <v/>
      </c>
      <c r="H17" s="9">
        <f>IF($B18=0,0,E18/$B18)</f>
        <v/>
      </c>
      <c r="I17" s="2">
        <f>IF(C18=B18,"Passed on test",IF(E18&gt;0,"Runtime error","Failed on test"))</f>
        <v/>
      </c>
      <c r="J17" s="2" t="n">
        <v>1</v>
      </c>
    </row>
    <row r="18">
      <c r="A18" s="2">
        <f>Summary!A6</f>
        <v/>
      </c>
      <c r="B18" s="2">
        <f>COUNTIF(Summary!$B$6:$AB$6,"Passed on test")+COUNTIF(Summary!$B$6:$AB$6,"Failed on test")+COUNTIF(Summary!$B$6:$AB$6,"Runtime error")</f>
        <v/>
      </c>
      <c r="C18" s="2">
        <f>COUNTIF(Summary!$B$6:$AB$6,"Passed on test")</f>
        <v/>
      </c>
      <c r="D18" s="2">
        <f>COUNTIF(Summary!$B$6:$AB$6,"Failed on test")</f>
        <v/>
      </c>
      <c r="E18" s="2">
        <f>COUNTIF(Summary!$B$6:$AB$6,"Runtime error")</f>
        <v/>
      </c>
      <c r="F18" s="9">
        <f>IF($B19=0,0,C19/$B19)</f>
        <v/>
      </c>
      <c r="G18" s="9">
        <f>IF($B19=0,0,D19/$B19)</f>
        <v/>
      </c>
      <c r="H18" s="9">
        <f>IF($B19=0,0,E19/$B19)</f>
        <v/>
      </c>
      <c r="I18" s="2">
        <f>IF(C19=B19,"Passed on test",IF(E19&gt;0,"Runtime error","Failed on test"))</f>
        <v/>
      </c>
      <c r="J18" s="2" t="n">
        <v>1</v>
      </c>
    </row>
    <row r="19">
      <c r="A19" s="2">
        <f>Summary!A7</f>
        <v/>
      </c>
      <c r="B19" s="2">
        <f>COUNTIF(Summary!$B$7:$AB$7,"Passed on test")+COUNTIF(Summary!$B$7:$AB$7,"Failed on test")+COUNTIF(Summary!$B$7:$AB$7,"Runtime error")</f>
        <v/>
      </c>
      <c r="C19" s="2">
        <f>COUNTIF(Summary!$B$7:$AB$7,"Passed on test")</f>
        <v/>
      </c>
      <c r="D19" s="2">
        <f>COUNTIF(Summary!$B$7:$AB$7,"Failed on test")</f>
        <v/>
      </c>
      <c r="E19" s="2">
        <f>COUNTIF(Summary!$B$7:$AB$7,"Runtime error")</f>
        <v/>
      </c>
      <c r="F19" s="9">
        <f>IF($B20=0,0,C20/$B20)</f>
        <v/>
      </c>
      <c r="G19" s="9">
        <f>IF($B20=0,0,D20/$B20)</f>
        <v/>
      </c>
      <c r="H19" s="9">
        <f>IF($B20=0,0,E20/$B20)</f>
        <v/>
      </c>
      <c r="I19" s="2">
        <f>IF(C20=B20,"Passed on test",IF(E20&gt;0,"Runtime error","Failed on test"))</f>
        <v/>
      </c>
      <c r="J19" s="2" t="n">
        <v>1</v>
      </c>
    </row>
    <row r="20">
      <c r="A20" s="2">
        <f>Summary!A8</f>
        <v/>
      </c>
      <c r="B20" s="2">
        <f>COUNTIF(Summary!$B$8:$AB$8,"Passed on test")+COUNTIF(Summary!$B$8:$AB$8,"Failed on test")+COUNTIF(Summary!$B$8:$AB$8,"Runtime error")</f>
        <v/>
      </c>
      <c r="C20" s="2">
        <f>COUNTIF(Summary!$B$8:$AB$8,"Passed on test")</f>
        <v/>
      </c>
      <c r="D20" s="2">
        <f>COUNTIF(Summary!$B$8:$AB$8,"Failed on test")</f>
        <v/>
      </c>
      <c r="E20" s="2">
        <f>COUNTIF(Summary!$B$8:$AB$8,"Runtime error")</f>
        <v/>
      </c>
      <c r="F20" s="9">
        <f>IF($B21=0,0,C21/$B21)</f>
        <v/>
      </c>
      <c r="G20" s="9">
        <f>IF($B21=0,0,D21/$B21)</f>
        <v/>
      </c>
      <c r="H20" s="9">
        <f>IF($B21=0,0,E21/$B21)</f>
        <v/>
      </c>
      <c r="I20" s="2">
        <f>IF(C21=B21,"Passed on test",IF(E21&gt;0,"Runtime error","Failed on test"))</f>
        <v/>
      </c>
      <c r="J20" s="2" t="n">
        <v>1</v>
      </c>
    </row>
    <row r="21">
      <c r="A21" s="2">
        <f>Summary!A9</f>
        <v/>
      </c>
      <c r="B21" s="2">
        <f>COUNTIF(Summary!$B$9:$AB$9,"Passed on test")+COUNTIF(Summary!$B$9:$AB$9,"Failed on test")+COUNTIF(Summary!$B$9:$AB$9,"Runtime error")</f>
        <v/>
      </c>
      <c r="C21" s="2">
        <f>COUNTIF(Summary!$B$9:$AB$9,"Passed on test")</f>
        <v/>
      </c>
      <c r="D21" s="2">
        <f>COUNTIF(Summary!$B$9:$AB$9,"Failed on test")</f>
        <v/>
      </c>
      <c r="E21" s="2">
        <f>COUNTIF(Summary!$B$9:$AB$9,"Runtime error")</f>
        <v/>
      </c>
      <c r="F21" s="9">
        <f>IF($B22=0,0,C22/$B22)</f>
        <v/>
      </c>
      <c r="G21" s="9">
        <f>IF($B22=0,0,D22/$B22)</f>
        <v/>
      </c>
      <c r="H21" s="9">
        <f>IF($B22=0,0,E22/$B22)</f>
        <v/>
      </c>
      <c r="I21" s="2">
        <f>IF(C22=B22,"Passed on test",IF(E22&gt;0,"Runtime error","Failed on test"))</f>
        <v/>
      </c>
      <c r="J21" s="2" t="n">
        <v>1</v>
      </c>
    </row>
    <row r="22">
      <c r="A22" s="2">
        <f>Summary!A10</f>
        <v/>
      </c>
      <c r="B22" s="2">
        <f>COUNTIF(Summary!$B$10:$AB$10,"Passed on test")+COUNTIF(Summary!$B$10:$AB$10,"Failed on test")+COUNTIF(Summary!$B$10:$AB$10,"Runtime error")</f>
        <v/>
      </c>
      <c r="C22" s="2">
        <f>COUNTIF(Summary!$B$10:$AB$10,"Passed on test")</f>
        <v/>
      </c>
      <c r="D22" s="2">
        <f>COUNTIF(Summary!$B$10:$AB$10,"Failed on test")</f>
        <v/>
      </c>
      <c r="E22" s="2">
        <f>COUNTIF(Summary!$B$10:$AB$10,"Runtime error")</f>
        <v/>
      </c>
      <c r="F22" s="9">
        <f>IF($B23=0,0,C23/$B23)</f>
        <v/>
      </c>
      <c r="G22" s="9">
        <f>IF($B23=0,0,D23/$B23)</f>
        <v/>
      </c>
      <c r="H22" s="9">
        <f>IF($B23=0,0,E23/$B23)</f>
        <v/>
      </c>
      <c r="I22" s="2">
        <f>IF(C23=B23,"Passed on test",IF(E23&gt;0,"Runtime error","Failed on test"))</f>
        <v/>
      </c>
      <c r="J22" s="2" t="n">
        <v>1</v>
      </c>
    </row>
    <row r="23">
      <c r="A23" s="2">
        <f>Summary!A11</f>
        <v/>
      </c>
      <c r="B23" s="2">
        <f>COUNTIF(Summary!$B$11:$AB$11,"Passed on test")+COUNTIF(Summary!$B$11:$AB$11,"Failed on test")+COUNTIF(Summary!$B$11:$AB$11,"Runtime error")</f>
        <v/>
      </c>
      <c r="C23" s="2">
        <f>COUNTIF(Summary!$B$11:$AB$11,"Passed on test")</f>
        <v/>
      </c>
      <c r="D23" s="2">
        <f>COUNTIF(Summary!$B$11:$AB$11,"Failed on test")</f>
        <v/>
      </c>
      <c r="E23" s="2">
        <f>COUNTIF(Summary!$B$11:$AB$11,"Runtime error")</f>
        <v/>
      </c>
      <c r="F23" s="9">
        <f>IF($B24=0,0,C24/$B24)</f>
        <v/>
      </c>
      <c r="G23" s="9">
        <f>IF($B24=0,0,D24/$B24)</f>
        <v/>
      </c>
      <c r="H23" s="9">
        <f>IF($B24=0,0,E24/$B24)</f>
        <v/>
      </c>
      <c r="I23" s="2">
        <f>IF(C24=B24,"Passed on test",IF(E24&gt;0,"Runtime error","Failed on test"))</f>
        <v/>
      </c>
      <c r="J23" s="2" t="n">
        <v>2</v>
      </c>
    </row>
    <row r="24">
      <c r="A24" s="2">
        <f>Summary!A12</f>
        <v/>
      </c>
      <c r="B24" s="2">
        <f>COUNTIF(Summary!$B$12:$AB$12,"Passed on test")+COUNTIF(Summary!$B$12:$AB$12,"Failed on test")+COUNTIF(Summary!$B$12:$AB$12,"Runtime error")</f>
        <v/>
      </c>
      <c r="C24" s="2">
        <f>COUNTIF(Summary!$B$12:$AB$12,"Passed on test")</f>
        <v/>
      </c>
      <c r="D24" s="2">
        <f>COUNTIF(Summary!$B$12:$AB$12,"Failed on test")</f>
        <v/>
      </c>
      <c r="E24" s="2">
        <f>COUNTIF(Summary!$B$12:$AB$12,"Runtime error")</f>
        <v/>
      </c>
      <c r="F24" s="9">
        <f>IF($B25=0,0,C25/$B25)</f>
        <v/>
      </c>
      <c r="G24" s="9">
        <f>IF($B25=0,0,D25/$B25)</f>
        <v/>
      </c>
      <c r="H24" s="9">
        <f>IF($B25=0,0,E25/$B25)</f>
        <v/>
      </c>
      <c r="I24" s="2">
        <f>IF(C25=B25,"Passed on test",IF(E25&gt;0,"Runtime error","Failed on test"))</f>
        <v/>
      </c>
      <c r="J24" s="2" t="n">
        <v>2</v>
      </c>
    </row>
    <row r="25">
      <c r="A25" s="2">
        <f>Summary!A13</f>
        <v/>
      </c>
      <c r="B25" s="2">
        <f>COUNTIF(Summary!$B$13:$AB$13,"Passed on test")+COUNTIF(Summary!$B$13:$AB$13,"Failed on test")+COUNTIF(Summary!$B$13:$AB$13,"Runtime error")</f>
        <v/>
      </c>
      <c r="C25" s="2">
        <f>COUNTIF(Summary!$B$13:$AB$13,"Passed on test")</f>
        <v/>
      </c>
      <c r="D25" s="2">
        <f>COUNTIF(Summary!$B$13:$AB$13,"Failed on test")</f>
        <v/>
      </c>
      <c r="E25" s="2">
        <f>COUNTIF(Summary!$B$13:$AB$13,"Runtime error")</f>
        <v/>
      </c>
      <c r="F25" s="9">
        <f>IF($B26=0,0,C26/$B26)</f>
        <v/>
      </c>
      <c r="G25" s="9">
        <f>IF($B26=0,0,D26/$B26)</f>
        <v/>
      </c>
      <c r="H25" s="9">
        <f>IF($B26=0,0,E26/$B26)</f>
        <v/>
      </c>
      <c r="I25" s="2">
        <f>IF(C26=B26,"Passed on test",IF(E26&gt;0,"Runtime error","Failed on test"))</f>
        <v/>
      </c>
      <c r="J25" s="2" t="n">
        <v>2</v>
      </c>
    </row>
    <row r="26">
      <c r="A26" s="2">
        <f>Summary!A14</f>
        <v/>
      </c>
      <c r="B26" s="2">
        <f>COUNTIF(Summary!$B$14:$AB$14,"Passed on test")+COUNTIF(Summary!$B$14:$AB$14,"Failed on test")+COUNTIF(Summary!$B$14:$AB$14,"Runtime error")</f>
        <v/>
      </c>
      <c r="C26" s="2">
        <f>COUNTIF(Summary!$B$14:$AB$14,"Passed on test")</f>
        <v/>
      </c>
      <c r="D26" s="2">
        <f>COUNTIF(Summary!$B$14:$AB$14,"Failed on test")</f>
        <v/>
      </c>
      <c r="E26" s="2">
        <f>COUNTIF(Summary!$B$14:$AB$14,"Runtime error")</f>
        <v/>
      </c>
      <c r="F26" s="9">
        <f>IF($B27=0,0,C27/$B27)</f>
        <v/>
      </c>
      <c r="G26" s="9">
        <f>IF($B27=0,0,D27/$B27)</f>
        <v/>
      </c>
      <c r="H26" s="9">
        <f>IF($B27=0,0,E27/$B27)</f>
        <v/>
      </c>
      <c r="I26" s="2">
        <f>IF(C27=B27,"Passed on test",IF(E27&gt;0,"Runtime error","Failed on test"))</f>
        <v/>
      </c>
      <c r="J26" s="2" t="n">
        <v>2</v>
      </c>
    </row>
    <row r="27">
      <c r="A27" s="2">
        <f>Summary!A15</f>
        <v/>
      </c>
      <c r="B27" s="2">
        <f>COUNTIF(Summary!$B$15:$AB$15,"Passed on test")+COUNTIF(Summary!$B$15:$AB$15,"Failed on test")+COUNTIF(Summary!$B$15:$AB$15,"Runtime error")</f>
        <v/>
      </c>
      <c r="C27" s="2">
        <f>COUNTIF(Summary!$B$15:$AB$15,"Passed on test")</f>
        <v/>
      </c>
      <c r="D27" s="2">
        <f>COUNTIF(Summary!$B$15:$AB$15,"Failed on test")</f>
        <v/>
      </c>
      <c r="E27" s="2">
        <f>COUNTIF(Summary!$B$15:$AB$15,"Runtime error")</f>
        <v/>
      </c>
      <c r="F27" s="9">
        <f>IF($B28=0,0,C28/$B28)</f>
        <v/>
      </c>
      <c r="G27" s="9">
        <f>IF($B28=0,0,D28/$B28)</f>
        <v/>
      </c>
      <c r="H27" s="9">
        <f>IF($B28=0,0,E28/$B28)</f>
        <v/>
      </c>
      <c r="I27" s="2">
        <f>IF(C28=B28,"Passed on test",IF(E28&gt;0,"Runtime error","Failed on test"))</f>
        <v/>
      </c>
      <c r="J27" s="2" t="n">
        <v>2</v>
      </c>
    </row>
    <row r="28">
      <c r="A28" s="2">
        <f>Summary!A16</f>
        <v/>
      </c>
      <c r="B28" s="2">
        <f>COUNTIF(Summary!$B$16:$AB$16,"Passed on test")+COUNTIF(Summary!$B$16:$AB$16,"Failed on test")+COUNTIF(Summary!$B$16:$AB$16,"Runtime error")</f>
        <v/>
      </c>
      <c r="C28" s="2">
        <f>COUNTIF(Summary!$B$16:$AB$16,"Passed on test")</f>
        <v/>
      </c>
      <c r="D28" s="2">
        <f>COUNTIF(Summary!$B$16:$AB$16,"Failed on test")</f>
        <v/>
      </c>
      <c r="E28" s="2">
        <f>COUNTIF(Summary!$B$16:$AB$16,"Runtime error")</f>
        <v/>
      </c>
      <c r="F28" s="9">
        <f>IF($B29=0,0,C29/$B29)</f>
        <v/>
      </c>
      <c r="G28" s="9">
        <f>IF($B29=0,0,D29/$B29)</f>
        <v/>
      </c>
      <c r="H28" s="9">
        <f>IF($B29=0,0,E29/$B29)</f>
        <v/>
      </c>
      <c r="I28" s="2">
        <f>IF(C29=B29,"Passed on test",IF(E29&gt;0,"Runtime error","Failed on test"))</f>
        <v/>
      </c>
      <c r="J28" s="2" t="n">
        <v>2</v>
      </c>
    </row>
    <row r="29">
      <c r="A29" s="2">
        <f>Summary!A17</f>
        <v/>
      </c>
      <c r="B29" s="2">
        <f>COUNTIF(Summary!$B$17:$AB$17,"Passed on test")+COUNTIF(Summary!$B$17:$AB$17,"Failed on test")+COUNTIF(Summary!$B$17:$AB$17,"Runtime error")</f>
        <v/>
      </c>
      <c r="C29" s="2">
        <f>COUNTIF(Summary!$B$17:$AB$17,"Passed on test")</f>
        <v/>
      </c>
      <c r="D29" s="2">
        <f>COUNTIF(Summary!$B$17:$AB$17,"Failed on test")</f>
        <v/>
      </c>
      <c r="E29" s="2">
        <f>COUNTIF(Summary!$B$17:$AB$17,"Runtime error")</f>
        <v/>
      </c>
      <c r="F29" s="9">
        <f>IF($B30=0,0,C30/$B30)</f>
        <v/>
      </c>
      <c r="G29" s="9">
        <f>IF($B30=0,0,D30/$B30)</f>
        <v/>
      </c>
      <c r="H29" s="9">
        <f>IF($B30=0,0,E30/$B30)</f>
        <v/>
      </c>
      <c r="I29" s="2">
        <f>IF(C30=B30,"Passed on test",IF(E30&gt;0,"Runtime error","Failed on test"))</f>
        <v/>
      </c>
      <c r="J29" s="2" t="n">
        <v>2</v>
      </c>
    </row>
    <row r="30">
      <c r="A30" s="2">
        <f>Summary!A18</f>
        <v/>
      </c>
      <c r="B30" s="2">
        <f>COUNTIF(Summary!$B$18:$AB$18,"Passed on test")+COUNTIF(Summary!$B$18:$AB$18,"Failed on test")+COUNTIF(Summary!$B$18:$AB$18,"Runtime error")</f>
        <v/>
      </c>
      <c r="C30" s="2">
        <f>COUNTIF(Summary!$B$18:$AB$18,"Passed on test")</f>
        <v/>
      </c>
      <c r="D30" s="2">
        <f>COUNTIF(Summary!$B$18:$AB$18,"Failed on test")</f>
        <v/>
      </c>
      <c r="E30" s="2">
        <f>COUNTIF(Summary!$B$18:$AB$18,"Runtime error")</f>
        <v/>
      </c>
      <c r="F30" s="9">
        <f>IF($B31=0,0,C31/$B31)</f>
        <v/>
      </c>
      <c r="G30" s="9">
        <f>IF($B31=0,0,D31/$B31)</f>
        <v/>
      </c>
      <c r="H30" s="9">
        <f>IF($B31=0,0,E31/$B31)</f>
        <v/>
      </c>
      <c r="I30" s="2">
        <f>IF(C31=B31,"Passed on test",IF(E31&gt;0,"Runtime error","Failed on test"))</f>
        <v/>
      </c>
      <c r="J30" s="2" t="n">
        <v>2</v>
      </c>
    </row>
    <row r="31">
      <c r="A31" s="2">
        <f>Summary!A19</f>
        <v/>
      </c>
      <c r="B31" s="2">
        <f>COUNTIF(Summary!$B$19:$AB$19,"Passed on test")+COUNTIF(Summary!$B$19:$AB$19,"Failed on test")+COUNTIF(Summary!$B$19:$AB$19,"Runtime error")</f>
        <v/>
      </c>
      <c r="C31" s="2">
        <f>COUNTIF(Summary!$B$19:$AB$19,"Passed on test")</f>
        <v/>
      </c>
      <c r="D31" s="2">
        <f>COUNTIF(Summary!$B$19:$AB$19,"Failed on test")</f>
        <v/>
      </c>
      <c r="E31" s="2">
        <f>COUNTIF(Summary!$B$19:$AB$19,"Runtime error")</f>
        <v/>
      </c>
      <c r="F31" s="9">
        <f>IF($B32=0,0,C32/$B32)</f>
        <v/>
      </c>
      <c r="G31" s="9">
        <f>IF($B32=0,0,D32/$B32)</f>
        <v/>
      </c>
      <c r="H31" s="9">
        <f>IF($B32=0,0,E32/$B32)</f>
        <v/>
      </c>
      <c r="I31" s="2">
        <f>IF(C32=B32,"Passed on test",IF(E32&gt;0,"Runtime error","Failed on test"))</f>
        <v/>
      </c>
      <c r="J31" s="2" t="n">
        <v>2</v>
      </c>
    </row>
    <row r="32">
      <c r="A32" s="2">
        <f>Summary!A20</f>
        <v/>
      </c>
      <c r="B32" s="2">
        <f>COUNTIF(Summary!$B$20:$AB$20,"Passed on test")+COUNTIF(Summary!$B$20:$AB$20,"Failed on test")+COUNTIF(Summary!$B$20:$AB$20,"Runtime error")</f>
        <v/>
      </c>
      <c r="C32" s="2">
        <f>COUNTIF(Summary!$B$20:$AB$20,"Passed on test")</f>
        <v/>
      </c>
      <c r="D32" s="2">
        <f>COUNTIF(Summary!$B$20:$AB$20,"Failed on test")</f>
        <v/>
      </c>
      <c r="E32" s="2">
        <f>COUNTIF(Summary!$B$20:$AB$20,"Runtime error")</f>
        <v/>
      </c>
      <c r="F32" s="9">
        <f>IF($B33=0,0,C33/$B33)</f>
        <v/>
      </c>
      <c r="G32" s="9">
        <f>IF($B33=0,0,D33/$B33)</f>
        <v/>
      </c>
      <c r="H32" s="9">
        <f>IF($B33=0,0,E33/$B33)</f>
        <v/>
      </c>
      <c r="I32" s="2">
        <f>IF(C33=B33,"Passed on test",IF(E33&gt;0,"Runtime error","Failed on test"))</f>
        <v/>
      </c>
      <c r="J32" s="2" t="n">
        <v>2</v>
      </c>
    </row>
    <row r="33">
      <c r="A33" s="2">
        <f>Summary!A21</f>
        <v/>
      </c>
      <c r="B33" s="2">
        <f>COUNTIF(Summary!$B$21:$AB$21,"Passed on test")+COUNTIF(Summary!$B$21:$AB$21,"Failed on test")+COUNTIF(Summary!$B$21:$AB$21,"Runtime error")</f>
        <v/>
      </c>
      <c r="C33" s="2">
        <f>COUNTIF(Summary!$B$21:$AB$21,"Passed on test")</f>
        <v/>
      </c>
      <c r="D33" s="2">
        <f>COUNTIF(Summary!$B$21:$AB$21,"Failed on test")</f>
        <v/>
      </c>
      <c r="E33" s="2">
        <f>COUNTIF(Summary!$B$21:$AB$21,"Runtime error")</f>
        <v/>
      </c>
      <c r="F33" s="9">
        <f>IF($B34=0,0,C34/$B34)</f>
        <v/>
      </c>
      <c r="G33" s="9">
        <f>IF($B34=0,0,D34/$B34)</f>
        <v/>
      </c>
      <c r="H33" s="9">
        <f>IF($B34=0,0,E34/$B34)</f>
        <v/>
      </c>
      <c r="I33" s="2">
        <f>IF(C34=B34,"Passed on test",IF(E34&gt;0,"Runtime error","Failed on test"))</f>
        <v/>
      </c>
      <c r="J33" s="2" t="n">
        <v>3</v>
      </c>
    </row>
    <row r="34">
      <c r="A34" s="2">
        <f>Summary!A22</f>
        <v/>
      </c>
      <c r="B34" s="2">
        <f>COUNTIF(Summary!$B$22:$AB$22,"Passed on test")+COUNTIF(Summary!$B$22:$AB$22,"Failed on test")+COUNTIF(Summary!$B$22:$AB$22,"Runtime error")</f>
        <v/>
      </c>
      <c r="C34" s="2">
        <f>COUNTIF(Summary!$B$22:$AB$22,"Passed on test")</f>
        <v/>
      </c>
      <c r="D34" s="2">
        <f>COUNTIF(Summary!$B$22:$AB$22,"Failed on test")</f>
        <v/>
      </c>
      <c r="E34" s="2">
        <f>COUNTIF(Summary!$B$22:$AB$22,"Runtime error")</f>
        <v/>
      </c>
      <c r="F34" s="9">
        <f>IF($B35=0,0,C35/$B35)</f>
        <v/>
      </c>
      <c r="G34" s="9">
        <f>IF($B35=0,0,D35/$B35)</f>
        <v/>
      </c>
      <c r="H34" s="9">
        <f>IF($B35=0,0,E35/$B35)</f>
        <v/>
      </c>
      <c r="I34" s="2">
        <f>IF(C35=B35,"Passed on test",IF(E35&gt;0,"Runtime error","Failed on test"))</f>
        <v/>
      </c>
      <c r="J34" s="2" t="n">
        <v>3</v>
      </c>
    </row>
    <row r="35">
      <c r="A35" s="2">
        <f>Summary!A23</f>
        <v/>
      </c>
      <c r="B35" s="2">
        <f>COUNTIF(Summary!$B$23:$AB$23,"Passed on test")+COUNTIF(Summary!$B$23:$AB$23,"Failed on test")+COUNTIF(Summary!$B$23:$AB$23,"Runtime error")</f>
        <v/>
      </c>
      <c r="C35" s="2">
        <f>COUNTIF(Summary!$B$23:$AB$23,"Passed on test")</f>
        <v/>
      </c>
      <c r="D35" s="2">
        <f>COUNTIF(Summary!$B$23:$AB$23,"Failed on test")</f>
        <v/>
      </c>
      <c r="E35" s="2">
        <f>COUNTIF(Summary!$B$23:$AB$23,"Runtime error")</f>
        <v/>
      </c>
      <c r="F35" s="9">
        <f>IF($B36=0,0,C36/$B36)</f>
        <v/>
      </c>
      <c r="G35" s="9">
        <f>IF($B36=0,0,D36/$B36)</f>
        <v/>
      </c>
      <c r="H35" s="9">
        <f>IF($B36=0,0,E36/$B36)</f>
        <v/>
      </c>
      <c r="I35" s="2">
        <f>IF(C36=B36,"Passed on test",IF(E36&gt;0,"Runtime error","Failed on test"))</f>
        <v/>
      </c>
      <c r="J35" s="2" t="n">
        <v>3</v>
      </c>
    </row>
    <row r="36">
      <c r="A36" s="2">
        <f>Summary!A24</f>
        <v/>
      </c>
      <c r="B36" s="2">
        <f>COUNTIF(Summary!$B$24:$AB$24,"Passed on test")+COUNTIF(Summary!$B$24:$AB$24,"Failed on test")+COUNTIF(Summary!$B$24:$AB$24,"Runtime error")</f>
        <v/>
      </c>
      <c r="C36" s="2">
        <f>COUNTIF(Summary!$B$24:$AB$24,"Passed on test")</f>
        <v/>
      </c>
      <c r="D36" s="2">
        <f>COUNTIF(Summary!$B$24:$AB$24,"Failed on test")</f>
        <v/>
      </c>
      <c r="E36" s="2">
        <f>COUNTIF(Summary!$B$24:$AB$24,"Runtime error")</f>
        <v/>
      </c>
      <c r="F36" s="9">
        <f>IF($B37=0,0,C37/$B37)</f>
        <v/>
      </c>
      <c r="G36" s="9">
        <f>IF($B37=0,0,D37/$B37)</f>
        <v/>
      </c>
      <c r="H36" s="9">
        <f>IF($B37=0,0,E37/$B37)</f>
        <v/>
      </c>
      <c r="I36" s="2">
        <f>IF(C37=B37,"Passed on test",IF(E37&gt;0,"Runtime error","Failed on test"))</f>
        <v/>
      </c>
      <c r="J36" s="2" t="n">
        <v>3</v>
      </c>
    </row>
    <row r="37">
      <c r="A37" s="2">
        <f>Summary!A25</f>
        <v/>
      </c>
      <c r="B37" s="2">
        <f>COUNTIF(Summary!$B$25:$AB$25,"Passed on test")+COUNTIF(Summary!$B$25:$AB$25,"Failed on test")+COUNTIF(Summary!$B$25:$AB$25,"Runtime error")</f>
        <v/>
      </c>
      <c r="C37" s="2">
        <f>COUNTIF(Summary!$B$25:$AB$25,"Passed on test")</f>
        <v/>
      </c>
      <c r="D37" s="2">
        <f>COUNTIF(Summary!$B$25:$AB$25,"Failed on test")</f>
        <v/>
      </c>
      <c r="E37" s="2">
        <f>COUNTIF(Summary!$B$25:$AB$25,"Runtime error")</f>
        <v/>
      </c>
      <c r="F37" s="9">
        <f>IF($B38=0,0,C38/$B38)</f>
        <v/>
      </c>
      <c r="G37" s="9">
        <f>IF($B38=0,0,D38/$B38)</f>
        <v/>
      </c>
      <c r="H37" s="9">
        <f>IF($B38=0,0,E38/$B38)</f>
        <v/>
      </c>
      <c r="I37" s="2">
        <f>IF(C38=B38,"Passed on test",IF(E38&gt;0,"Runtime error","Failed on test"))</f>
        <v/>
      </c>
      <c r="J37" s="2" t="n">
        <v>3</v>
      </c>
    </row>
    <row r="38">
      <c r="A38" s="2">
        <f>Summary!A26</f>
        <v/>
      </c>
      <c r="B38" s="2">
        <f>COUNTIF(Summary!$B$26:$AB$26,"Passed on test")+COUNTIF(Summary!$B$26:$AB$26,"Failed on test")+COUNTIF(Summary!$B$26:$AB$26,"Runtime error")</f>
        <v/>
      </c>
      <c r="C38" s="2">
        <f>COUNTIF(Summary!$B$26:$AB$26,"Passed on test")</f>
        <v/>
      </c>
      <c r="D38" s="2">
        <f>COUNTIF(Summary!$B$26:$AB$26,"Failed on test")</f>
        <v/>
      </c>
      <c r="E38" s="2">
        <f>COUNTIF(Summary!$B$26:$AB$26,"Runtime error")</f>
        <v/>
      </c>
      <c r="F38" s="9">
        <f>IF($B39=0,0,C39/$B39)</f>
        <v/>
      </c>
      <c r="G38" s="9">
        <f>IF($B39=0,0,D39/$B39)</f>
        <v/>
      </c>
      <c r="H38" s="9">
        <f>IF($B39=0,0,E39/$B39)</f>
        <v/>
      </c>
      <c r="I38" s="2">
        <f>IF(C39=B39,"Passed on test",IF(E39&gt;0,"Runtime error","Failed on test"))</f>
        <v/>
      </c>
      <c r="J38" s="2" t="n">
        <v>3</v>
      </c>
    </row>
    <row r="39">
      <c r="A39" s="2">
        <f>Summary!A27</f>
        <v/>
      </c>
      <c r="B39" s="2">
        <f>COUNTIF(Summary!$B$27:$AB$27,"Passed on test")+COUNTIF(Summary!$B$27:$AB$27,"Failed on test")+COUNTIF(Summary!$B$27:$AB$27,"Runtime error")</f>
        <v/>
      </c>
      <c r="C39" s="2">
        <f>COUNTIF(Summary!$B$27:$AB$27,"Passed on test")</f>
        <v/>
      </c>
      <c r="D39" s="2">
        <f>COUNTIF(Summary!$B$27:$AB$27,"Failed on test")</f>
        <v/>
      </c>
      <c r="E39" s="2">
        <f>COUNTIF(Summary!$B$27:$AB$27,"Runtime error")</f>
        <v/>
      </c>
      <c r="F39" s="9">
        <f>IF($B40=0,0,C40/$B40)</f>
        <v/>
      </c>
      <c r="G39" s="9">
        <f>IF($B40=0,0,D40/$B40)</f>
        <v/>
      </c>
      <c r="H39" s="9">
        <f>IF($B40=0,0,E40/$B40)</f>
        <v/>
      </c>
      <c r="I39" s="2">
        <f>IF(C40=B40,"Passed on test",IF(E40&gt;0,"Runtime error","Failed on test"))</f>
        <v/>
      </c>
      <c r="J39" s="2" t="n">
        <v>3</v>
      </c>
    </row>
    <row r="40">
      <c r="A40" s="2">
        <f>Summary!A28</f>
        <v/>
      </c>
      <c r="B40" s="2">
        <f>COUNTIF(Summary!$B$28:$AB$28,"Passed on test")+COUNTIF(Summary!$B$28:$AB$28,"Failed on test")+COUNTIF(Summary!$B$28:$AB$28,"Runtime error")</f>
        <v/>
      </c>
      <c r="C40" s="2">
        <f>COUNTIF(Summary!$B$28:$AB$28,"Passed on test")</f>
        <v/>
      </c>
      <c r="D40" s="2">
        <f>COUNTIF(Summary!$B$28:$AB$28,"Failed on test")</f>
        <v/>
      </c>
      <c r="E40" s="2">
        <f>COUNTIF(Summary!$B$28:$AB$28,"Runtime error")</f>
        <v/>
      </c>
      <c r="F40" s="9">
        <f>IF($B41=0,0,C41/$B41)</f>
        <v/>
      </c>
      <c r="G40" s="9">
        <f>IF($B41=0,0,D41/$B41)</f>
        <v/>
      </c>
      <c r="H40" s="9">
        <f>IF($B41=0,0,E41/$B41)</f>
        <v/>
      </c>
      <c r="I40" s="2">
        <f>IF(C41=B41,"Passed on test",IF(E41&gt;0,"Runtime error","Failed on test"))</f>
        <v/>
      </c>
      <c r="J40" s="2" t="n">
        <v>3</v>
      </c>
    </row>
    <row r="41">
      <c r="A41" s="2">
        <f>Summary!A29</f>
        <v/>
      </c>
      <c r="B41" s="2">
        <f>COUNTIF(Summary!$B$29:$AB$29,"Passed on test")+COUNTIF(Summary!$B$29:$AB$29,"Failed on test")+COUNTIF(Summary!$B$29:$AB$29,"Runtime error")</f>
        <v/>
      </c>
      <c r="C41" s="2">
        <f>COUNTIF(Summary!$B$29:$AB$29,"Passed on test")</f>
        <v/>
      </c>
      <c r="D41" s="2">
        <f>COUNTIF(Summary!$B$29:$AB$29,"Failed on test")</f>
        <v/>
      </c>
      <c r="E41" s="2">
        <f>COUNTIF(Summary!$B$29:$AB$29,"Runtime error")</f>
        <v/>
      </c>
      <c r="F41" s="9">
        <f>IF($B42=0,0,C42/$B42)</f>
        <v/>
      </c>
      <c r="G41" s="9">
        <f>IF($B42=0,0,D42/$B42)</f>
        <v/>
      </c>
      <c r="H41" s="9">
        <f>IF($B42=0,0,E42/$B42)</f>
        <v/>
      </c>
      <c r="I41" s="2">
        <f>IF(C42=B42,"Passed on test",IF(E42&gt;0,"Runtime error","Failed on test"))</f>
        <v/>
      </c>
      <c r="J41" s="2" t="n">
        <v>3</v>
      </c>
    </row>
    <row r="42">
      <c r="A42" s="2">
        <f>Summary!A30</f>
        <v/>
      </c>
      <c r="B42" s="2">
        <f>COUNTIF(Summary!$B$30:$AB$30,"Passed on test")+COUNTIF(Summary!$B$30:$AB$30,"Failed on test")+COUNTIF(Summary!$B$30:$AB$30,"Runtime error")</f>
        <v/>
      </c>
      <c r="C42" s="2">
        <f>COUNTIF(Summary!$B$30:$AB$30,"Passed on test")</f>
        <v/>
      </c>
      <c r="D42" s="2">
        <f>COUNTIF(Summary!$B$30:$AB$30,"Failed on test")</f>
        <v/>
      </c>
      <c r="E42" s="2">
        <f>COUNTIF(Summary!$B$30:$AB$30,"Runtime error")</f>
        <v/>
      </c>
      <c r="F42" s="9">
        <f>IF($B43=0,0,C43/$B43)</f>
        <v/>
      </c>
      <c r="G42" s="9">
        <f>IF($B43=0,0,D43/$B43)</f>
        <v/>
      </c>
      <c r="H42" s="9">
        <f>IF($B43=0,0,E43/$B43)</f>
        <v/>
      </c>
      <c r="I42" s="2">
        <f>IF(C43=B43,"Passed on test",IF(E43&gt;0,"Runtime error","Failed on test"))</f>
        <v/>
      </c>
      <c r="J42" s="2" t="n">
        <v>3</v>
      </c>
    </row>
    <row r="43">
      <c r="A43" s="2">
        <f>Summary!A31</f>
        <v/>
      </c>
      <c r="B43" s="2">
        <f>COUNTIF(Summary!$B$31:$AB$31,"Passed on test")+COUNTIF(Summary!$B$31:$AB$31,"Failed on test")+COUNTIF(Summary!$B$31:$AB$31,"Runtime error")</f>
        <v/>
      </c>
      <c r="C43" s="2">
        <f>COUNTIF(Summary!$B$31:$AB$31,"Passed on test")</f>
        <v/>
      </c>
      <c r="D43" s="2">
        <f>COUNTIF(Summary!$B$31:$AB$31,"Failed on test")</f>
        <v/>
      </c>
      <c r="E43" s="2">
        <f>COUNTIF(Summary!$B$31:$AB$31,"Runtime error")</f>
        <v/>
      </c>
      <c r="F43" s="9">
        <f>IF($B44=0,0,C44/$B44)</f>
        <v/>
      </c>
      <c r="G43" s="9">
        <f>IF($B44=0,0,D44/$B44)</f>
        <v/>
      </c>
      <c r="H43" s="9">
        <f>IF($B44=0,0,E44/$B44)</f>
        <v/>
      </c>
      <c r="I43" s="2">
        <f>IF(C44=B44,"Passed on test",IF(E44&gt;0,"Runtime error","Failed on test"))</f>
        <v/>
      </c>
      <c r="J43" s="2" t="n">
        <v>4</v>
      </c>
    </row>
    <row r="44">
      <c r="A44" s="2">
        <f>Summary!A32</f>
        <v/>
      </c>
      <c r="B44" s="2">
        <f>COUNTIF(Summary!$B$32:$AB$32,"Passed on test")+COUNTIF(Summary!$B$32:$AB$32,"Failed on test")+COUNTIF(Summary!$B$32:$AB$32,"Runtime error")</f>
        <v/>
      </c>
      <c r="C44" s="2">
        <f>COUNTIF(Summary!$B$32:$AB$32,"Passed on test")</f>
        <v/>
      </c>
      <c r="D44" s="2">
        <f>COUNTIF(Summary!$B$32:$AB$32,"Failed on test")</f>
        <v/>
      </c>
      <c r="E44" s="2">
        <f>COUNTIF(Summary!$B$32:$AB$32,"Runtime error")</f>
        <v/>
      </c>
      <c r="F44" s="9">
        <f>IF($B45=0,0,C45/$B45)</f>
        <v/>
      </c>
      <c r="G44" s="9">
        <f>IF($B45=0,0,D45/$B45)</f>
        <v/>
      </c>
      <c r="H44" s="9">
        <f>IF($B45=0,0,E45/$B45)</f>
        <v/>
      </c>
      <c r="I44" s="2">
        <f>IF(C45=B45,"Passed on test",IF(E45&gt;0,"Runtime error","Failed on test"))</f>
        <v/>
      </c>
      <c r="J44" s="2" t="n">
        <v>4</v>
      </c>
    </row>
    <row r="45">
      <c r="A45" s="2">
        <f>Summary!A33</f>
        <v/>
      </c>
      <c r="B45" s="2">
        <f>COUNTIF(Summary!$B$33:$AB$33,"Passed on test")+COUNTIF(Summary!$B$33:$AB$33,"Failed on test")+COUNTIF(Summary!$B$33:$AB$33,"Runtime error")</f>
        <v/>
      </c>
      <c r="C45" s="2">
        <f>COUNTIF(Summary!$B$33:$AB$33,"Passed on test")</f>
        <v/>
      </c>
      <c r="D45" s="2">
        <f>COUNTIF(Summary!$B$33:$AB$33,"Failed on test")</f>
        <v/>
      </c>
      <c r="E45" s="2">
        <f>COUNTIF(Summary!$B$33:$AB$33,"Runtime error")</f>
        <v/>
      </c>
      <c r="F45" s="9">
        <f>IF($B46=0,0,C46/$B46)</f>
        <v/>
      </c>
      <c r="G45" s="9">
        <f>IF($B46=0,0,D46/$B46)</f>
        <v/>
      </c>
      <c r="H45" s="9">
        <f>IF($B46=0,0,E46/$B46)</f>
        <v/>
      </c>
      <c r="I45" s="2">
        <f>IF(C46=B46,"Passed on test",IF(E46&gt;0,"Runtime error","Failed on test"))</f>
        <v/>
      </c>
      <c r="J45" s="2" t="n">
        <v>4</v>
      </c>
    </row>
    <row r="46">
      <c r="A46" s="2">
        <f>Summary!A34</f>
        <v/>
      </c>
      <c r="B46" s="2">
        <f>COUNTIF(Summary!$B$34:$AB$34,"Passed on test")+COUNTIF(Summary!$B$34:$AB$34,"Failed on test")+COUNTIF(Summary!$B$34:$AB$34,"Runtime error")</f>
        <v/>
      </c>
      <c r="C46" s="2">
        <f>COUNTIF(Summary!$B$34:$AB$34,"Passed on test")</f>
        <v/>
      </c>
      <c r="D46" s="2">
        <f>COUNTIF(Summary!$B$34:$AB$34,"Failed on test")</f>
        <v/>
      </c>
      <c r="E46" s="2">
        <f>COUNTIF(Summary!$B$34:$AB$34,"Runtime error")</f>
        <v/>
      </c>
      <c r="F46" s="9">
        <f>IF($B47=0,0,C47/$B47)</f>
        <v/>
      </c>
      <c r="G46" s="9">
        <f>IF($B47=0,0,D47/$B47)</f>
        <v/>
      </c>
      <c r="H46" s="9">
        <f>IF($B47=0,0,E47/$B47)</f>
        <v/>
      </c>
      <c r="I46" s="2">
        <f>IF(C47=B47,"Passed on test",IF(E47&gt;0,"Runtime error","Failed on test"))</f>
        <v/>
      </c>
      <c r="J46" s="2" t="n">
        <v>4</v>
      </c>
    </row>
    <row r="47">
      <c r="A47" s="2">
        <f>Summary!A35</f>
        <v/>
      </c>
      <c r="B47" s="2">
        <f>COUNTIF(Summary!$B$35:$AB$35,"Passed on test")+COUNTIF(Summary!$B$35:$AB$35,"Failed on test")+COUNTIF(Summary!$B$35:$AB$35,"Runtime error")</f>
        <v/>
      </c>
      <c r="C47" s="2">
        <f>COUNTIF(Summary!$B$35:$AB$35,"Passed on test")</f>
        <v/>
      </c>
      <c r="D47" s="2">
        <f>COUNTIF(Summary!$B$35:$AB$35,"Failed on test")</f>
        <v/>
      </c>
      <c r="E47" s="2">
        <f>COUNTIF(Summary!$B$35:$AB$35,"Runtime error")</f>
        <v/>
      </c>
      <c r="F47" s="9">
        <f>IF($B48=0,0,C48/$B48)</f>
        <v/>
      </c>
      <c r="G47" s="9">
        <f>IF($B48=0,0,D48/$B48)</f>
        <v/>
      </c>
      <c r="H47" s="9">
        <f>IF($B48=0,0,E48/$B48)</f>
        <v/>
      </c>
      <c r="I47" s="2">
        <f>IF(C48=B48,"Passed on test",IF(E48&gt;0,"Runtime error","Failed on test"))</f>
        <v/>
      </c>
      <c r="J47" s="2" t="n">
        <v>4</v>
      </c>
    </row>
    <row r="48">
      <c r="A48" s="2">
        <f>Summary!A36</f>
        <v/>
      </c>
      <c r="B48" s="2">
        <f>COUNTIF(Summary!$B$36:$AB$36,"Passed on test")+COUNTIF(Summary!$B$36:$AB$36,"Failed on test")+COUNTIF(Summary!$B$36:$AB$36,"Runtime error")</f>
        <v/>
      </c>
      <c r="C48" s="2">
        <f>COUNTIF(Summary!$B$36:$AB$36,"Passed on test")</f>
        <v/>
      </c>
      <c r="D48" s="2">
        <f>COUNTIF(Summary!$B$36:$AB$36,"Failed on test")</f>
        <v/>
      </c>
      <c r="E48" s="2">
        <f>COUNTIF(Summary!$B$36:$AB$36,"Runtime error")</f>
        <v/>
      </c>
      <c r="F48" s="9">
        <f>IF($B49=0,0,C49/$B49)</f>
        <v/>
      </c>
      <c r="G48" s="9">
        <f>IF($B49=0,0,D49/$B49)</f>
        <v/>
      </c>
      <c r="H48" s="9">
        <f>IF($B49=0,0,E49/$B49)</f>
        <v/>
      </c>
      <c r="I48" s="2">
        <f>IF(C49=B49,"Passed on test",IF(E49&gt;0,"Runtime error","Failed on test"))</f>
        <v/>
      </c>
      <c r="J48" s="2" t="n">
        <v>4</v>
      </c>
    </row>
    <row r="49">
      <c r="A49" s="2">
        <f>Summary!A37</f>
        <v/>
      </c>
      <c r="B49" s="2">
        <f>COUNTIF(Summary!$B$37:$AB$37,"Passed on test")+COUNTIF(Summary!$B$37:$AB$37,"Failed on test")+COUNTIF(Summary!$B$37:$AB$37,"Runtime error")</f>
        <v/>
      </c>
      <c r="C49" s="2">
        <f>COUNTIF(Summary!$B$37:$AB$37,"Passed on test")</f>
        <v/>
      </c>
      <c r="D49" s="2">
        <f>COUNTIF(Summary!$B$37:$AB$37,"Failed on test")</f>
        <v/>
      </c>
      <c r="E49" s="2">
        <f>COUNTIF(Summary!$B$37:$AB$37,"Runtime error")</f>
        <v/>
      </c>
      <c r="F49" s="9">
        <f>IF($B50=0,0,C50/$B50)</f>
        <v/>
      </c>
      <c r="G49" s="9">
        <f>IF($B50=0,0,D50/$B50)</f>
        <v/>
      </c>
      <c r="H49" s="9">
        <f>IF($B50=0,0,E50/$B50)</f>
        <v/>
      </c>
      <c r="I49" s="2">
        <f>IF(C50=B50,"Passed on test",IF(E50&gt;0,"Runtime error","Failed on test"))</f>
        <v/>
      </c>
      <c r="J49" s="2" t="n">
        <v>4</v>
      </c>
    </row>
    <row r="50">
      <c r="A50" s="2">
        <f>Summary!A38</f>
        <v/>
      </c>
      <c r="B50" s="2">
        <f>COUNTIF(Summary!$B$38:$AB$38,"Passed on test")+COUNTIF(Summary!$B$38:$AB$38,"Failed on test")+COUNTIF(Summary!$B$38:$AB$38,"Runtime error")</f>
        <v/>
      </c>
      <c r="C50" s="2">
        <f>COUNTIF(Summary!$B$38:$AB$38,"Passed on test")</f>
        <v/>
      </c>
      <c r="D50" s="2">
        <f>COUNTIF(Summary!$B$38:$AB$38,"Failed on test")</f>
        <v/>
      </c>
      <c r="E50" s="2">
        <f>COUNTIF(Summary!$B$38:$AB$38,"Runtime error")</f>
        <v/>
      </c>
      <c r="F50" s="9">
        <f>IF($B51=0,0,C51/$B51)</f>
        <v/>
      </c>
      <c r="G50" s="9">
        <f>IF($B51=0,0,D51/$B51)</f>
        <v/>
      </c>
      <c r="H50" s="9">
        <f>IF($B51=0,0,E51/$B51)</f>
        <v/>
      </c>
      <c r="I50" s="2">
        <f>IF(C51=B51,"Passed on test",IF(E51&gt;0,"Runtime error","Failed on test"))</f>
        <v/>
      </c>
      <c r="J50" s="2" t="n">
        <v>4</v>
      </c>
    </row>
    <row r="51">
      <c r="A51" s="2">
        <f>Summary!A39</f>
        <v/>
      </c>
      <c r="B51" s="2">
        <f>COUNTIF(Summary!$B$39:$AB$39,"Passed on test")+COUNTIF(Summary!$B$39:$AB$39,"Failed on test")+COUNTIF(Summary!$B$39:$AB$39,"Runtime error")</f>
        <v/>
      </c>
      <c r="C51" s="2">
        <f>COUNTIF(Summary!$B$39:$AB$39,"Passed on test")</f>
        <v/>
      </c>
      <c r="D51" s="2">
        <f>COUNTIF(Summary!$B$39:$AB$39,"Failed on test")</f>
        <v/>
      </c>
      <c r="E51" s="2">
        <f>COUNTIF(Summary!$B$39:$AB$39,"Runtime error")</f>
        <v/>
      </c>
      <c r="F51" s="9">
        <f>IF($B52=0,0,C52/$B52)</f>
        <v/>
      </c>
      <c r="G51" s="9">
        <f>IF($B52=0,0,D52/$B52)</f>
        <v/>
      </c>
      <c r="H51" s="9">
        <f>IF($B52=0,0,E52/$B52)</f>
        <v/>
      </c>
      <c r="I51" s="2">
        <f>IF(C52=B52,"Passed on test",IF(E52&gt;0,"Runtime error","Failed on test"))</f>
        <v/>
      </c>
      <c r="J51" s="2" t="n">
        <v>4</v>
      </c>
    </row>
    <row r="52">
      <c r="A52" s="2">
        <f>Summary!A40</f>
        <v/>
      </c>
      <c r="B52" s="2">
        <f>COUNTIF(Summary!$B$40:$AB$40,"Passed on test")+COUNTIF(Summary!$B$40:$AB$40,"Failed on test")+COUNTIF(Summary!$B$40:$AB$40,"Runtime error")</f>
        <v/>
      </c>
      <c r="C52" s="2">
        <f>COUNTIF(Summary!$B$40:$AB$40,"Passed on test")</f>
        <v/>
      </c>
      <c r="D52" s="2">
        <f>COUNTIF(Summary!$B$40:$AB$40,"Failed on test")</f>
        <v/>
      </c>
      <c r="E52" s="2">
        <f>COUNTIF(Summary!$B$40:$AB$40,"Runtime error")</f>
        <v/>
      </c>
      <c r="F52" s="9">
        <f>IF($B53=0,0,C53/$B53)</f>
        <v/>
      </c>
      <c r="G52" s="9">
        <f>IF($B53=0,0,D53/$B53)</f>
        <v/>
      </c>
      <c r="H52" s="9">
        <f>IF($B53=0,0,E53/$B53)</f>
        <v/>
      </c>
      <c r="I52" s="2">
        <f>IF(C53=B53,"Passed on test",IF(E53&gt;0,"Runtime error","Failed on test"))</f>
        <v/>
      </c>
      <c r="J52" s="2" t="n">
        <v>4</v>
      </c>
    </row>
    <row r="53">
      <c r="A53" s="2">
        <f>Summary!A41</f>
        <v/>
      </c>
      <c r="B53" s="2">
        <f>COUNTIF(Summary!$B$41:$AB$41,"Passed on test")+COUNTIF(Summary!$B$41:$AB$41,"Failed on test")+COUNTIF(Summary!$B$41:$AB$41,"Runtime error")</f>
        <v/>
      </c>
      <c r="C53" s="2">
        <f>COUNTIF(Summary!$B$41:$AB$41,"Passed on test")</f>
        <v/>
      </c>
      <c r="D53" s="2">
        <f>COUNTIF(Summary!$B$41:$AB$41,"Failed on test")</f>
        <v/>
      </c>
      <c r="E53" s="2">
        <f>COUNTIF(Summary!$B$41:$AB$41,"Runtime error")</f>
        <v/>
      </c>
      <c r="F53" s="9">
        <f>IF($B54=0,0,C54/$B54)</f>
        <v/>
      </c>
      <c r="G53" s="9">
        <f>IF($B54=0,0,D54/$B54)</f>
        <v/>
      </c>
      <c r="H53" s="9">
        <f>IF($B54=0,0,E54/$B54)</f>
        <v/>
      </c>
      <c r="I53" s="2">
        <f>IF(C54=B54,"Passed on test",IF(E54&gt;0,"Runtime error","Failed on test"))</f>
        <v/>
      </c>
      <c r="J53" s="2" t="n">
        <v>5</v>
      </c>
    </row>
    <row r="54">
      <c r="A54" s="2">
        <f>Summary!A42</f>
        <v/>
      </c>
      <c r="B54" s="2">
        <f>COUNTIF(Summary!$B$42:$AB$42,"Passed on test")+COUNTIF(Summary!$B$42:$AB$42,"Failed on test")+COUNTIF(Summary!$B$42:$AB$42,"Runtime error")</f>
        <v/>
      </c>
      <c r="C54" s="2">
        <f>COUNTIF(Summary!$B$42:$AB$42,"Passed on test")</f>
        <v/>
      </c>
      <c r="D54" s="2">
        <f>COUNTIF(Summary!$B$42:$AB$42,"Failed on test")</f>
        <v/>
      </c>
      <c r="E54" s="2">
        <f>COUNTIF(Summary!$B$42:$AB$42,"Runtime error")</f>
        <v/>
      </c>
      <c r="F54" s="9">
        <f>IF($B55=0,0,C55/$B55)</f>
        <v/>
      </c>
      <c r="G54" s="9">
        <f>IF($B55=0,0,D55/$B55)</f>
        <v/>
      </c>
      <c r="H54" s="9">
        <f>IF($B55=0,0,E55/$B55)</f>
        <v/>
      </c>
      <c r="I54" s="2">
        <f>IF(C55=B55,"Passed on test",IF(E55&gt;0,"Runtime error","Failed on test"))</f>
        <v/>
      </c>
      <c r="J54" s="2" t="n">
        <v>5</v>
      </c>
    </row>
    <row r="55">
      <c r="A55" s="2">
        <f>Summary!A43</f>
        <v/>
      </c>
      <c r="B55" s="2">
        <f>COUNTIF(Summary!$B$43:$AB$43,"Passed on test")+COUNTIF(Summary!$B$43:$AB$43,"Failed on test")+COUNTIF(Summary!$B$43:$AB$43,"Runtime error")</f>
        <v/>
      </c>
      <c r="C55" s="2">
        <f>COUNTIF(Summary!$B$43:$AB$43,"Passed on test")</f>
        <v/>
      </c>
      <c r="D55" s="2">
        <f>COUNTIF(Summary!$B$43:$AB$43,"Failed on test")</f>
        <v/>
      </c>
      <c r="E55" s="2">
        <f>COUNTIF(Summary!$B$43:$AB$43,"Runtime error")</f>
        <v/>
      </c>
      <c r="F55" s="9">
        <f>IF($B56=0,0,C56/$B56)</f>
        <v/>
      </c>
      <c r="G55" s="9">
        <f>IF($B56=0,0,D56/$B56)</f>
        <v/>
      </c>
      <c r="H55" s="9">
        <f>IF($B56=0,0,E56/$B56)</f>
        <v/>
      </c>
      <c r="I55" s="2">
        <f>IF(C56=B56,"Passed on test",IF(E56&gt;0,"Runtime error","Failed on test"))</f>
        <v/>
      </c>
      <c r="J55" s="2" t="n">
        <v>5</v>
      </c>
    </row>
    <row r="56">
      <c r="A56" s="2">
        <f>Summary!A44</f>
        <v/>
      </c>
      <c r="B56" s="2">
        <f>COUNTIF(Summary!$B$44:$AB$44,"Passed on test")+COUNTIF(Summary!$B$44:$AB$44,"Failed on test")+COUNTIF(Summary!$B$44:$AB$44,"Runtime error")</f>
        <v/>
      </c>
      <c r="C56" s="2">
        <f>COUNTIF(Summary!$B$44:$AB$44,"Passed on test")</f>
        <v/>
      </c>
      <c r="D56" s="2">
        <f>COUNTIF(Summary!$B$44:$AB$44,"Failed on test")</f>
        <v/>
      </c>
      <c r="E56" s="2">
        <f>COUNTIF(Summary!$B$44:$AB$44,"Runtime error")</f>
        <v/>
      </c>
      <c r="F56" s="9">
        <f>IF($B57=0,0,C57/$B57)</f>
        <v/>
      </c>
      <c r="G56" s="9">
        <f>IF($B57=0,0,D57/$B57)</f>
        <v/>
      </c>
      <c r="H56" s="9">
        <f>IF($B57=0,0,E57/$B57)</f>
        <v/>
      </c>
      <c r="I56" s="2">
        <f>IF(C57=B57,"Passed on test",IF(E57&gt;0,"Runtime error","Failed on test"))</f>
        <v/>
      </c>
      <c r="J56" s="2" t="n">
        <v>5</v>
      </c>
    </row>
    <row r="57">
      <c r="A57" s="2">
        <f>Summary!A45</f>
        <v/>
      </c>
      <c r="B57" s="2">
        <f>COUNTIF(Summary!$B$45:$AB$45,"Passed on test")+COUNTIF(Summary!$B$45:$AB$45,"Failed on test")+COUNTIF(Summary!$B$45:$AB$45,"Runtime error")</f>
        <v/>
      </c>
      <c r="C57" s="2">
        <f>COUNTIF(Summary!$B$45:$AB$45,"Passed on test")</f>
        <v/>
      </c>
      <c r="D57" s="2">
        <f>COUNTIF(Summary!$B$45:$AB$45,"Failed on test")</f>
        <v/>
      </c>
      <c r="E57" s="2">
        <f>COUNTIF(Summary!$B$45:$AB$45,"Runtime error")</f>
        <v/>
      </c>
      <c r="F57" s="9">
        <f>IF($B58=0,0,C58/$B58)</f>
        <v/>
      </c>
      <c r="G57" s="9">
        <f>IF($B58=0,0,D58/$B58)</f>
        <v/>
      </c>
      <c r="H57" s="9">
        <f>IF($B58=0,0,E58/$B58)</f>
        <v/>
      </c>
      <c r="I57" s="2">
        <f>IF(C58=B58,"Passed on test",IF(E58&gt;0,"Runtime error","Failed on test"))</f>
        <v/>
      </c>
      <c r="J57" s="2" t="n">
        <v>5</v>
      </c>
    </row>
    <row r="58">
      <c r="A58" s="2">
        <f>Summary!A46</f>
        <v/>
      </c>
      <c r="B58" s="2">
        <f>COUNTIF(Summary!$B$46:$AB$46,"Passed on test")+COUNTIF(Summary!$B$46:$AB$46,"Failed on test")+COUNTIF(Summary!$B$46:$AB$46,"Runtime error")</f>
        <v/>
      </c>
      <c r="C58" s="2">
        <f>COUNTIF(Summary!$B$46:$AB$46,"Passed on test")</f>
        <v/>
      </c>
      <c r="D58" s="2">
        <f>COUNTIF(Summary!$B$46:$AB$46,"Failed on test")</f>
        <v/>
      </c>
      <c r="E58" s="2">
        <f>COUNTIF(Summary!$B$46:$AB$46,"Runtime error")</f>
        <v/>
      </c>
      <c r="F58" s="9">
        <f>IF($B59=0,0,C59/$B59)</f>
        <v/>
      </c>
      <c r="G58" s="9">
        <f>IF($B59=0,0,D59/$B59)</f>
        <v/>
      </c>
      <c r="H58" s="9">
        <f>IF($B59=0,0,E59/$B59)</f>
        <v/>
      </c>
      <c r="I58" s="2">
        <f>IF(C59=B59,"Passed on test",IF(E59&gt;0,"Runtime error","Failed on test"))</f>
        <v/>
      </c>
      <c r="J58" s="2" t="n">
        <v>5</v>
      </c>
    </row>
    <row r="59">
      <c r="A59" s="2">
        <f>Summary!A47</f>
        <v/>
      </c>
      <c r="B59" s="2">
        <f>COUNTIF(Summary!$B$47:$AB$47,"Passed on test")+COUNTIF(Summary!$B$47:$AB$47,"Failed on test")+COUNTIF(Summary!$B$47:$AB$47,"Runtime error")</f>
        <v/>
      </c>
      <c r="C59" s="2">
        <f>COUNTIF(Summary!$B$47:$AB$47,"Passed on test")</f>
        <v/>
      </c>
      <c r="D59" s="2">
        <f>COUNTIF(Summary!$B$47:$AB$47,"Failed on test")</f>
        <v/>
      </c>
      <c r="E59" s="2">
        <f>COUNTIF(Summary!$B$47:$AB$47,"Runtime error")</f>
        <v/>
      </c>
      <c r="F59" s="9">
        <f>IF($B60=0,0,C60/$B60)</f>
        <v/>
      </c>
      <c r="G59" s="9">
        <f>IF($B60=0,0,D60/$B60)</f>
        <v/>
      </c>
      <c r="H59" s="9">
        <f>IF($B60=0,0,E60/$B60)</f>
        <v/>
      </c>
      <c r="I59" s="2">
        <f>IF(C60=B60,"Passed on test",IF(E60&gt;0,"Runtime error","Failed on test"))</f>
        <v/>
      </c>
      <c r="J59" s="2" t="n">
        <v>5</v>
      </c>
    </row>
    <row r="60">
      <c r="A60" s="2">
        <f>Summary!A48</f>
        <v/>
      </c>
      <c r="B60" s="2">
        <f>COUNTIF(Summary!$B$48:$AB$48,"Passed on test")+COUNTIF(Summary!$B$48:$AB$48,"Failed on test")+COUNTIF(Summary!$B$48:$AB$48,"Runtime error")</f>
        <v/>
      </c>
      <c r="C60" s="2">
        <f>COUNTIF(Summary!$B$48:$AB$48,"Passed on test")</f>
        <v/>
      </c>
      <c r="D60" s="2">
        <f>COUNTIF(Summary!$B$48:$AB$48,"Failed on test")</f>
        <v/>
      </c>
      <c r="E60" s="2">
        <f>COUNTIF(Summary!$B$48:$AB$48,"Runtime error")</f>
        <v/>
      </c>
      <c r="F60" s="9">
        <f>IF($B61=0,0,C61/$B61)</f>
        <v/>
      </c>
      <c r="G60" s="9">
        <f>IF($B61=0,0,D61/$B61)</f>
        <v/>
      </c>
      <c r="H60" s="9">
        <f>IF($B61=0,0,E61/$B61)</f>
        <v/>
      </c>
      <c r="I60" s="2">
        <f>IF(C61=B61,"Passed on test",IF(E61&gt;0,"Runtime error","Failed on test"))</f>
        <v/>
      </c>
      <c r="J60" s="2" t="n">
        <v>5</v>
      </c>
    </row>
    <row r="61">
      <c r="A61" s="2">
        <f>Summary!A49</f>
        <v/>
      </c>
      <c r="B61" s="2">
        <f>COUNTIF(Summary!$B$49:$AB$49,"Passed on test")+COUNTIF(Summary!$B$49:$AB$49,"Failed on test")+COUNTIF(Summary!$B$49:$AB$49,"Runtime error")</f>
        <v/>
      </c>
      <c r="C61" s="2">
        <f>COUNTIF(Summary!$B$49:$AB$49,"Passed on test")</f>
        <v/>
      </c>
      <c r="D61" s="2">
        <f>COUNTIF(Summary!$B$49:$AB$49,"Failed on test")</f>
        <v/>
      </c>
      <c r="E61" s="2">
        <f>COUNTIF(Summary!$B$49:$AB$49,"Runtime error")</f>
        <v/>
      </c>
      <c r="F61" s="9">
        <f>IF($B62=0,0,C62/$B62)</f>
        <v/>
      </c>
      <c r="G61" s="9">
        <f>IF($B62=0,0,D62/$B62)</f>
        <v/>
      </c>
      <c r="H61" s="9">
        <f>IF($B62=0,0,E62/$B62)</f>
        <v/>
      </c>
      <c r="I61" s="2">
        <f>IF(C62=B62,"Passed on test",IF(E62&gt;0,"Runtime error","Failed on test"))</f>
        <v/>
      </c>
      <c r="J61" s="2" t="n">
        <v>5</v>
      </c>
    </row>
    <row r="62">
      <c r="A62" s="2">
        <f>Summary!A50</f>
        <v/>
      </c>
      <c r="B62" s="2">
        <f>COUNTIF(Summary!$B$50:$AB$50,"Passed on test")+COUNTIF(Summary!$B$50:$AB$50,"Failed on test")+COUNTIF(Summary!$B$50:$AB$50,"Runtime error")</f>
        <v/>
      </c>
      <c r="C62" s="2">
        <f>COUNTIF(Summary!$B$50:$AB$50,"Passed on test")</f>
        <v/>
      </c>
      <c r="D62" s="2">
        <f>COUNTIF(Summary!$B$50:$AB$50,"Failed on test")</f>
        <v/>
      </c>
      <c r="E62" s="2">
        <f>COUNTIF(Summary!$B$50:$AB$50,"Runtime error")</f>
        <v/>
      </c>
      <c r="F62" s="9">
        <f>IF($B63=0,0,C63/$B63)</f>
        <v/>
      </c>
      <c r="G62" s="9">
        <f>IF($B63=0,0,D63/$B63)</f>
        <v/>
      </c>
      <c r="H62" s="9">
        <f>IF($B63=0,0,E63/$B63)</f>
        <v/>
      </c>
      <c r="I62" s="2">
        <f>IF(C63=B63,"Passed on test",IF(E63&gt;0,"Runtime error","Failed on test"))</f>
        <v/>
      </c>
      <c r="J62" s="2" t="n">
        <v>5</v>
      </c>
    </row>
    <row r="63">
      <c r="A63" s="2">
        <f>Summary!A51</f>
        <v/>
      </c>
      <c r="B63" s="2">
        <f>COUNTIF(Summary!$B$51:$AB$51,"Passed on test")+COUNTIF(Summary!$B$51:$AB$51,"Failed on test")+COUNTIF(Summary!$B$51:$AB$51,"Runtime error")</f>
        <v/>
      </c>
      <c r="C63" s="2">
        <f>COUNTIF(Summary!$B$51:$AB$51,"Passed on test")</f>
        <v/>
      </c>
      <c r="D63" s="2">
        <f>COUNTIF(Summary!$B$51:$AB$51,"Failed on test")</f>
        <v/>
      </c>
      <c r="E63" s="2">
        <f>COUNTIF(Summary!$B$51:$AB$51,"Runtime error")</f>
        <v/>
      </c>
      <c r="F63" s="9">
        <f>IF($B64=0,0,C64/$B64)</f>
        <v/>
      </c>
      <c r="G63" s="9">
        <f>IF($B64=0,0,D64/$B64)</f>
        <v/>
      </c>
      <c r="H63" s="9">
        <f>IF($B64=0,0,E64/$B64)</f>
        <v/>
      </c>
      <c r="I63" s="2">
        <f>IF(C64=B64,"Passed on test",IF(E64&gt;0,"Runtime error","Failed on test"))</f>
        <v/>
      </c>
      <c r="J63" s="2" t="n">
        <v>6</v>
      </c>
    </row>
    <row r="64">
      <c r="A64" s="2">
        <f>Summary!A52</f>
        <v/>
      </c>
      <c r="B64" s="2">
        <f>COUNTIF(Summary!$B$52:$AB$52,"Passed on test")+COUNTIF(Summary!$B$52:$AB$52,"Failed on test")+COUNTIF(Summary!$B$52:$AB$52,"Runtime error")</f>
        <v/>
      </c>
      <c r="C64" s="2">
        <f>COUNTIF(Summary!$B$52:$AB$52,"Passed on test")</f>
        <v/>
      </c>
      <c r="D64" s="2">
        <f>COUNTIF(Summary!$B$52:$AB$52,"Failed on test")</f>
        <v/>
      </c>
      <c r="E64" s="2">
        <f>COUNTIF(Summary!$B$52:$AB$52,"Runtime error")</f>
        <v/>
      </c>
      <c r="F64" s="9">
        <f>IF($B65=0,0,C65/$B65)</f>
        <v/>
      </c>
      <c r="G64" s="9">
        <f>IF($B65=0,0,D65/$B65)</f>
        <v/>
      </c>
      <c r="H64" s="9">
        <f>IF($B65=0,0,E65/$B65)</f>
        <v/>
      </c>
      <c r="I64" s="2">
        <f>IF(C65=B65,"Passed on test",IF(E65&gt;0,"Runtime error","Failed on test"))</f>
        <v/>
      </c>
      <c r="J64" s="2" t="n">
        <v>6</v>
      </c>
    </row>
    <row r="65">
      <c r="A65" s="2">
        <f>Summary!A53</f>
        <v/>
      </c>
      <c r="B65" s="2">
        <f>COUNTIF(Summary!$B$53:$AB$53,"Passed on test")+COUNTIF(Summary!$B$53:$AB$53,"Failed on test")+COUNTIF(Summary!$B$53:$AB$53,"Runtime error")</f>
        <v/>
      </c>
      <c r="C65" s="2">
        <f>COUNTIF(Summary!$B$53:$AB$53,"Passed on test")</f>
        <v/>
      </c>
      <c r="D65" s="2">
        <f>COUNTIF(Summary!$B$53:$AB$53,"Failed on test")</f>
        <v/>
      </c>
      <c r="E65" s="2">
        <f>COUNTIF(Summary!$B$53:$AB$53,"Runtime error")</f>
        <v/>
      </c>
      <c r="F65" s="9">
        <f>IF($B66=0,0,C66/$B66)</f>
        <v/>
      </c>
      <c r="G65" s="9">
        <f>IF($B66=0,0,D66/$B66)</f>
        <v/>
      </c>
      <c r="H65" s="9">
        <f>IF($B66=0,0,E66/$B66)</f>
        <v/>
      </c>
      <c r="I65" s="2">
        <f>IF(C66=B66,"Passed on test",IF(E66&gt;0,"Runtime error","Failed on test"))</f>
        <v/>
      </c>
      <c r="J65" s="2" t="n">
        <v>6</v>
      </c>
    </row>
    <row r="66">
      <c r="A66" s="2">
        <f>Summary!A54</f>
        <v/>
      </c>
      <c r="B66" s="2">
        <f>COUNTIF(Summary!$B$54:$AB$54,"Passed on test")+COUNTIF(Summary!$B$54:$AB$54,"Failed on test")+COUNTIF(Summary!$B$54:$AB$54,"Runtime error")</f>
        <v/>
      </c>
      <c r="C66" s="2">
        <f>COUNTIF(Summary!$B$54:$AB$54,"Passed on test")</f>
        <v/>
      </c>
      <c r="D66" s="2">
        <f>COUNTIF(Summary!$B$54:$AB$54,"Failed on test")</f>
        <v/>
      </c>
      <c r="E66" s="2">
        <f>COUNTIF(Summary!$B$54:$AB$54,"Runtime error")</f>
        <v/>
      </c>
      <c r="F66" s="9">
        <f>IF($B67=0,0,C67/$B67)</f>
        <v/>
      </c>
      <c r="G66" s="9">
        <f>IF($B67=0,0,D67/$B67)</f>
        <v/>
      </c>
      <c r="H66" s="9">
        <f>IF($B67=0,0,E67/$B67)</f>
        <v/>
      </c>
      <c r="I66" s="2">
        <f>IF(C67=B67,"Passed on test",IF(E67&gt;0,"Runtime error","Failed on test"))</f>
        <v/>
      </c>
      <c r="J66" s="2" t="n">
        <v>6</v>
      </c>
    </row>
    <row r="67">
      <c r="A67" s="2">
        <f>Summary!A55</f>
        <v/>
      </c>
      <c r="B67" s="2">
        <f>COUNTIF(Summary!$B$55:$AB$55,"Passed on test")+COUNTIF(Summary!$B$55:$AB$55,"Failed on test")+COUNTIF(Summary!$B$55:$AB$55,"Runtime error")</f>
        <v/>
      </c>
      <c r="C67" s="2">
        <f>COUNTIF(Summary!$B$55:$AB$55,"Passed on test")</f>
        <v/>
      </c>
      <c r="D67" s="2">
        <f>COUNTIF(Summary!$B$55:$AB$55,"Failed on test")</f>
        <v/>
      </c>
      <c r="E67" s="2">
        <f>COUNTIF(Summary!$B$55:$AB$55,"Runtime error")</f>
        <v/>
      </c>
      <c r="F67" s="9">
        <f>IF($B68=0,0,C68/$B68)</f>
        <v/>
      </c>
      <c r="G67" s="9">
        <f>IF($B68=0,0,D68/$B68)</f>
        <v/>
      </c>
      <c r="H67" s="9">
        <f>IF($B68=0,0,E68/$B68)</f>
        <v/>
      </c>
      <c r="I67" s="2">
        <f>IF(C68=B68,"Passed on test",IF(E68&gt;0,"Runtime error","Failed on test"))</f>
        <v/>
      </c>
      <c r="J67" s="2" t="n">
        <v>6</v>
      </c>
    </row>
    <row r="68">
      <c r="A68" s="2">
        <f>Summary!A56</f>
        <v/>
      </c>
      <c r="B68" s="2">
        <f>COUNTIF(Summary!$B$56:$AB$56,"Passed on test")+COUNTIF(Summary!$B$56:$AB$56,"Failed on test")+COUNTIF(Summary!$B$56:$AB$56,"Runtime error")</f>
        <v/>
      </c>
      <c r="C68" s="2">
        <f>COUNTIF(Summary!$B$56:$AB$56,"Passed on test")</f>
        <v/>
      </c>
      <c r="D68" s="2">
        <f>COUNTIF(Summary!$B$56:$AB$56,"Failed on test")</f>
        <v/>
      </c>
      <c r="E68" s="2">
        <f>COUNTIF(Summary!$B$56:$AB$56,"Runtime error")</f>
        <v/>
      </c>
      <c r="F68" s="9">
        <f>IF($B69=0,0,C69/$B69)</f>
        <v/>
      </c>
      <c r="G68" s="9">
        <f>IF($B69=0,0,D69/$B69)</f>
        <v/>
      </c>
      <c r="H68" s="9">
        <f>IF($B69=0,0,E69/$B69)</f>
        <v/>
      </c>
      <c r="I68" s="2">
        <f>IF(C69=B69,"Passed on test",IF(E69&gt;0,"Runtime error","Failed on test"))</f>
        <v/>
      </c>
      <c r="J68" s="2" t="n">
        <v>6</v>
      </c>
    </row>
    <row r="69">
      <c r="A69" s="2">
        <f>Summary!A57</f>
        <v/>
      </c>
      <c r="B69" s="2">
        <f>COUNTIF(Summary!$B$57:$AB$57,"Passed on test")+COUNTIF(Summary!$B$57:$AB$57,"Failed on test")+COUNTIF(Summary!$B$57:$AB$57,"Runtime error")</f>
        <v/>
      </c>
      <c r="C69" s="2">
        <f>COUNTIF(Summary!$B$57:$AB$57,"Passed on test")</f>
        <v/>
      </c>
      <c r="D69" s="2">
        <f>COUNTIF(Summary!$B$57:$AB$57,"Failed on test")</f>
        <v/>
      </c>
      <c r="E69" s="2">
        <f>COUNTIF(Summary!$B$57:$AB$57,"Runtime error")</f>
        <v/>
      </c>
      <c r="F69" s="9">
        <f>IF($B70=0,0,C70/$B70)</f>
        <v/>
      </c>
      <c r="G69" s="9">
        <f>IF($B70=0,0,D70/$B70)</f>
        <v/>
      </c>
      <c r="H69" s="9">
        <f>IF($B70=0,0,E70/$B70)</f>
        <v/>
      </c>
      <c r="I69" s="2">
        <f>IF(C70=B70,"Passed on test",IF(E70&gt;0,"Runtime error","Failed on test"))</f>
        <v/>
      </c>
      <c r="J69" s="2" t="n">
        <v>6</v>
      </c>
    </row>
    <row r="70">
      <c r="A70" s="2">
        <f>Summary!A58</f>
        <v/>
      </c>
      <c r="B70" s="2">
        <f>COUNTIF(Summary!$B$58:$AB$58,"Passed on test")+COUNTIF(Summary!$B$58:$AB$58,"Failed on test")+COUNTIF(Summary!$B$58:$AB$58,"Runtime error")</f>
        <v/>
      </c>
      <c r="C70" s="2">
        <f>COUNTIF(Summary!$B$58:$AB$58,"Passed on test")</f>
        <v/>
      </c>
      <c r="D70" s="2">
        <f>COUNTIF(Summary!$B$58:$AB$58,"Failed on test")</f>
        <v/>
      </c>
      <c r="E70" s="2">
        <f>COUNTIF(Summary!$B$58:$AB$58,"Runtime error")</f>
        <v/>
      </c>
      <c r="F70" s="9">
        <f>IF($B71=0,0,C71/$B71)</f>
        <v/>
      </c>
      <c r="G70" s="9">
        <f>IF($B71=0,0,D71/$B71)</f>
        <v/>
      </c>
      <c r="H70" s="9">
        <f>IF($B71=0,0,E71/$B71)</f>
        <v/>
      </c>
      <c r="I70" s="2">
        <f>IF(C71=B71,"Passed on test",IF(E71&gt;0,"Runtime error","Failed on test"))</f>
        <v/>
      </c>
      <c r="J70" s="2" t="n">
        <v>6</v>
      </c>
    </row>
    <row r="71">
      <c r="A71" s="2">
        <f>Summary!A59</f>
        <v/>
      </c>
      <c r="B71" s="2">
        <f>COUNTIF(Summary!$B$59:$AB$59,"Passed on test")+COUNTIF(Summary!$B$59:$AB$59,"Failed on test")+COUNTIF(Summary!$B$59:$AB$59,"Runtime error")</f>
        <v/>
      </c>
      <c r="C71" s="2">
        <f>COUNTIF(Summary!$B$59:$AB$59,"Passed on test")</f>
        <v/>
      </c>
      <c r="D71" s="2">
        <f>COUNTIF(Summary!$B$59:$AB$59,"Failed on test")</f>
        <v/>
      </c>
      <c r="E71" s="2">
        <f>COUNTIF(Summary!$B$59:$AB$59,"Runtime error")</f>
        <v/>
      </c>
      <c r="F71" s="9">
        <f>IF($B72=0,0,C72/$B72)</f>
        <v/>
      </c>
      <c r="G71" s="9">
        <f>IF($B72=0,0,D72/$B72)</f>
        <v/>
      </c>
      <c r="H71" s="9">
        <f>IF($B72=0,0,E72/$B72)</f>
        <v/>
      </c>
      <c r="I71" s="2">
        <f>IF(C72=B72,"Passed on test",IF(E72&gt;0,"Runtime error","Failed on test"))</f>
        <v/>
      </c>
      <c r="J71" s="2" t="n">
        <v>6</v>
      </c>
    </row>
    <row r="72">
      <c r="A72" s="2">
        <f>Summary!A60</f>
        <v/>
      </c>
      <c r="B72" s="2">
        <f>COUNTIF(Summary!$B$60:$AB$60,"Passed on test")+COUNTIF(Summary!$B$60:$AB$60,"Failed on test")+COUNTIF(Summary!$B$60:$AB$60,"Runtime error")</f>
        <v/>
      </c>
      <c r="C72" s="2">
        <f>COUNTIF(Summary!$B$60:$AB$60,"Passed on test")</f>
        <v/>
      </c>
      <c r="D72" s="2">
        <f>COUNTIF(Summary!$B$60:$AB$60,"Failed on test")</f>
        <v/>
      </c>
      <c r="E72" s="2">
        <f>COUNTIF(Summary!$B$60:$AB$60,"Runtime error")</f>
        <v/>
      </c>
      <c r="F72" s="9">
        <f>IF($B73=0,0,C73/$B73)</f>
        <v/>
      </c>
      <c r="G72" s="9">
        <f>IF($B73=0,0,D73/$B73)</f>
        <v/>
      </c>
      <c r="H72" s="9">
        <f>IF($B73=0,0,E73/$B73)</f>
        <v/>
      </c>
      <c r="I72" s="2">
        <f>IF(C73=B73,"Passed on test",IF(E73&gt;0,"Runtime error","Failed on test"))</f>
        <v/>
      </c>
      <c r="J72" s="2" t="n">
        <v>6</v>
      </c>
    </row>
    <row r="73">
      <c r="A73" s="2">
        <f>Summary!A61</f>
        <v/>
      </c>
      <c r="B73" s="2">
        <f>COUNTIF(Summary!$B$61:$AB$61,"Passed on test")+COUNTIF(Summary!$B$61:$AB$61,"Failed on test")+COUNTIF(Summary!$B$61:$AB$61,"Runtime error")</f>
        <v/>
      </c>
      <c r="C73" s="2">
        <f>COUNTIF(Summary!$B$61:$AB$61,"Passed on test")</f>
        <v/>
      </c>
      <c r="D73" s="2">
        <f>COUNTIF(Summary!$B$61:$AB$61,"Failed on test")</f>
        <v/>
      </c>
      <c r="E73" s="2">
        <f>COUNTIF(Summary!$B$61:$AB$61,"Runtime error")</f>
        <v/>
      </c>
      <c r="F73" s="9">
        <f>IF($B74=0,0,C74/$B74)</f>
        <v/>
      </c>
      <c r="G73" s="9">
        <f>IF($B74=0,0,D74/$B74)</f>
        <v/>
      </c>
      <c r="H73" s="9">
        <f>IF($B74=0,0,E74/$B74)</f>
        <v/>
      </c>
      <c r="I73" s="2">
        <f>IF(C74=B74,"Passed on test",IF(E74&gt;0,"Runtime error","Failed on test"))</f>
        <v/>
      </c>
      <c r="J73" s="2" t="n">
        <v>7</v>
      </c>
    </row>
    <row r="74">
      <c r="A74" s="2">
        <f>Summary!A62</f>
        <v/>
      </c>
      <c r="B74" s="2">
        <f>COUNTIF(Summary!$B$62:$AB$62,"Passed on test")+COUNTIF(Summary!$B$62:$AB$62,"Failed on test")+COUNTIF(Summary!$B$62:$AB$62,"Runtime error")</f>
        <v/>
      </c>
      <c r="C74" s="2">
        <f>COUNTIF(Summary!$B$62:$AB$62,"Passed on test")</f>
        <v/>
      </c>
      <c r="D74" s="2">
        <f>COUNTIF(Summary!$B$62:$AB$62,"Failed on test")</f>
        <v/>
      </c>
      <c r="E74" s="2">
        <f>COUNTIF(Summary!$B$62:$AB$62,"Runtime error")</f>
        <v/>
      </c>
      <c r="F74" s="9">
        <f>IF($B75=0,0,C75/$B75)</f>
        <v/>
      </c>
      <c r="G74" s="9">
        <f>IF($B75=0,0,D75/$B75)</f>
        <v/>
      </c>
      <c r="H74" s="9">
        <f>IF($B75=0,0,E75/$B75)</f>
        <v/>
      </c>
      <c r="I74" s="2">
        <f>IF(C75=B75,"Passed on test",IF(E75&gt;0,"Runtime error","Failed on test"))</f>
        <v/>
      </c>
      <c r="J74" s="2" t="n">
        <v>7</v>
      </c>
    </row>
    <row r="75">
      <c r="A75" s="2">
        <f>Summary!A63</f>
        <v/>
      </c>
      <c r="B75" s="2">
        <f>COUNTIF(Summary!$B$63:$AB$63,"Passed on test")+COUNTIF(Summary!$B$63:$AB$63,"Failed on test")+COUNTIF(Summary!$B$63:$AB$63,"Runtime error")</f>
        <v/>
      </c>
      <c r="C75" s="2">
        <f>COUNTIF(Summary!$B$63:$AB$63,"Passed on test")</f>
        <v/>
      </c>
      <c r="D75" s="2">
        <f>COUNTIF(Summary!$B$63:$AB$63,"Failed on test")</f>
        <v/>
      </c>
      <c r="E75" s="2">
        <f>COUNTIF(Summary!$B$63:$AB$63,"Runtime error")</f>
        <v/>
      </c>
      <c r="F75" s="9">
        <f>IF($B76=0,0,C76/$B76)</f>
        <v/>
      </c>
      <c r="G75" s="9">
        <f>IF($B76=0,0,D76/$B76)</f>
        <v/>
      </c>
      <c r="H75" s="9">
        <f>IF($B76=0,0,E76/$B76)</f>
        <v/>
      </c>
      <c r="I75" s="2">
        <f>IF(C76=B76,"Passed on test",IF(E76&gt;0,"Runtime error","Failed on test"))</f>
        <v/>
      </c>
      <c r="J75" s="2" t="n">
        <v>7</v>
      </c>
    </row>
    <row r="76">
      <c r="A76" s="2">
        <f>Summary!A64</f>
        <v/>
      </c>
      <c r="B76" s="2">
        <f>COUNTIF(Summary!$B$64:$AB$64,"Passed on test")+COUNTIF(Summary!$B$64:$AB$64,"Failed on test")+COUNTIF(Summary!$B$64:$AB$64,"Runtime error")</f>
        <v/>
      </c>
      <c r="C76" s="2">
        <f>COUNTIF(Summary!$B$64:$AB$64,"Passed on test")</f>
        <v/>
      </c>
      <c r="D76" s="2">
        <f>COUNTIF(Summary!$B$64:$AB$64,"Failed on test")</f>
        <v/>
      </c>
      <c r="E76" s="2">
        <f>COUNTIF(Summary!$B$64:$AB$64,"Runtime error")</f>
        <v/>
      </c>
      <c r="F76" s="9">
        <f>IF($B77=0,0,C77/$B77)</f>
        <v/>
      </c>
      <c r="G76" s="9">
        <f>IF($B77=0,0,D77/$B77)</f>
        <v/>
      </c>
      <c r="H76" s="9">
        <f>IF($B77=0,0,E77/$B77)</f>
        <v/>
      </c>
      <c r="I76" s="2">
        <f>IF(C77=B77,"Passed on test",IF(E77&gt;0,"Runtime error","Failed on test"))</f>
        <v/>
      </c>
      <c r="J76" s="2" t="n">
        <v>7</v>
      </c>
    </row>
    <row r="77">
      <c r="A77" s="2">
        <f>Summary!A65</f>
        <v/>
      </c>
      <c r="B77" s="2">
        <f>COUNTIF(Summary!$B$65:$AB$65,"Passed on test")+COUNTIF(Summary!$B$65:$AB$65,"Failed on test")+COUNTIF(Summary!$B$65:$AB$65,"Runtime error")</f>
        <v/>
      </c>
      <c r="C77" s="2">
        <f>COUNTIF(Summary!$B$65:$AB$65,"Passed on test")</f>
        <v/>
      </c>
      <c r="D77" s="2">
        <f>COUNTIF(Summary!$B$65:$AB$65,"Failed on test")</f>
        <v/>
      </c>
      <c r="E77" s="2">
        <f>COUNTIF(Summary!$B$65:$AB$65,"Runtime error")</f>
        <v/>
      </c>
      <c r="F77" s="9">
        <f>IF($B78=0,0,C78/$B78)</f>
        <v/>
      </c>
      <c r="G77" s="9">
        <f>IF($B78=0,0,D78/$B78)</f>
        <v/>
      </c>
      <c r="H77" s="9">
        <f>IF($B78=0,0,E78/$B78)</f>
        <v/>
      </c>
      <c r="I77" s="2">
        <f>IF(C78=B78,"Passed on test",IF(E78&gt;0,"Runtime error","Failed on test"))</f>
        <v/>
      </c>
      <c r="J77" s="2" t="n">
        <v>7</v>
      </c>
    </row>
    <row r="78">
      <c r="A78" s="2">
        <f>Summary!A66</f>
        <v/>
      </c>
      <c r="B78" s="2">
        <f>COUNTIF(Summary!$B$66:$AB$66,"Passed on test")+COUNTIF(Summary!$B$66:$AB$66,"Failed on test")+COUNTIF(Summary!$B$66:$AB$66,"Runtime error")</f>
        <v/>
      </c>
      <c r="C78" s="2">
        <f>COUNTIF(Summary!$B$66:$AB$66,"Passed on test")</f>
        <v/>
      </c>
      <c r="D78" s="2">
        <f>COUNTIF(Summary!$B$66:$AB$66,"Failed on test")</f>
        <v/>
      </c>
      <c r="E78" s="2">
        <f>COUNTIF(Summary!$B$66:$AB$66,"Runtime error")</f>
        <v/>
      </c>
      <c r="F78" s="9">
        <f>IF($B79=0,0,C79/$B79)</f>
        <v/>
      </c>
      <c r="G78" s="9">
        <f>IF($B79=0,0,D79/$B79)</f>
        <v/>
      </c>
      <c r="H78" s="9">
        <f>IF($B79=0,0,E79/$B79)</f>
        <v/>
      </c>
      <c r="I78" s="2">
        <f>IF(C79=B79,"Passed on test",IF(E79&gt;0,"Runtime error","Failed on test"))</f>
        <v/>
      </c>
      <c r="J78" s="2" t="n">
        <v>7</v>
      </c>
    </row>
    <row r="79">
      <c r="A79" s="2">
        <f>Summary!A67</f>
        <v/>
      </c>
      <c r="B79" s="2">
        <f>COUNTIF(Summary!$B$67:$AB$67,"Passed on test")+COUNTIF(Summary!$B$67:$AB$67,"Failed on test")+COUNTIF(Summary!$B$67:$AB$67,"Runtime error")</f>
        <v/>
      </c>
      <c r="C79" s="2">
        <f>COUNTIF(Summary!$B$67:$AB$67,"Passed on test")</f>
        <v/>
      </c>
      <c r="D79" s="2">
        <f>COUNTIF(Summary!$B$67:$AB$67,"Failed on test")</f>
        <v/>
      </c>
      <c r="E79" s="2">
        <f>COUNTIF(Summary!$B$67:$AB$67,"Runtime error")</f>
        <v/>
      </c>
      <c r="F79" s="9">
        <f>IF($B80=0,0,C80/$B80)</f>
        <v/>
      </c>
      <c r="G79" s="9">
        <f>IF($B80=0,0,D80/$B80)</f>
        <v/>
      </c>
      <c r="H79" s="9">
        <f>IF($B80=0,0,E80/$B80)</f>
        <v/>
      </c>
      <c r="I79" s="2">
        <f>IF(C80=B80,"Passed on test",IF(E80&gt;0,"Runtime error","Failed on test"))</f>
        <v/>
      </c>
      <c r="J79" s="2" t="n">
        <v>7</v>
      </c>
    </row>
    <row r="80">
      <c r="A80" s="2">
        <f>Summary!A68</f>
        <v/>
      </c>
      <c r="B80" s="2">
        <f>COUNTIF(Summary!$B$68:$AB$68,"Passed on test")+COUNTIF(Summary!$B$68:$AB$68,"Failed on test")+COUNTIF(Summary!$B$68:$AB$68,"Runtime error")</f>
        <v/>
      </c>
      <c r="C80" s="2">
        <f>COUNTIF(Summary!$B$68:$AB$68,"Passed on test")</f>
        <v/>
      </c>
      <c r="D80" s="2">
        <f>COUNTIF(Summary!$B$68:$AB$68,"Failed on test")</f>
        <v/>
      </c>
      <c r="E80" s="2">
        <f>COUNTIF(Summary!$B$68:$AB$68,"Runtime error")</f>
        <v/>
      </c>
      <c r="F80" s="9">
        <f>IF($B81=0,0,C81/$B81)</f>
        <v/>
      </c>
      <c r="G80" s="9">
        <f>IF($B81=0,0,D81/$B81)</f>
        <v/>
      </c>
      <c r="H80" s="9">
        <f>IF($B81=0,0,E81/$B81)</f>
        <v/>
      </c>
      <c r="I80" s="2">
        <f>IF(C81=B81,"Passed on test",IF(E81&gt;0,"Runtime error","Failed on test"))</f>
        <v/>
      </c>
      <c r="J80" s="2" t="n">
        <v>8</v>
      </c>
    </row>
    <row r="81">
      <c r="A81" s="2">
        <f>Summary!A69</f>
        <v/>
      </c>
      <c r="B81" s="2">
        <f>COUNTIF(Summary!$B$69:$AB$69,"Passed on test")+COUNTIF(Summary!$B$69:$AB$69,"Failed on test")+COUNTIF(Summary!$B$69:$AB$69,"Runtime error")</f>
        <v/>
      </c>
      <c r="C81" s="2">
        <f>COUNTIF(Summary!$B$69:$AB$69,"Passed on test")</f>
        <v/>
      </c>
      <c r="D81" s="2">
        <f>COUNTIF(Summary!$B$69:$AB$69,"Failed on test")</f>
        <v/>
      </c>
      <c r="E81" s="2">
        <f>COUNTIF(Summary!$B$69:$AB$69,"Runtime error")</f>
        <v/>
      </c>
      <c r="F81" s="9">
        <f>IF($B82=0,0,C82/$B82)</f>
        <v/>
      </c>
      <c r="G81" s="9">
        <f>IF($B82=0,0,D82/$B82)</f>
        <v/>
      </c>
      <c r="H81" s="9">
        <f>IF($B82=0,0,E82/$B82)</f>
        <v/>
      </c>
      <c r="I81" s="2">
        <f>IF(C82=B82,"Passed on test",IF(E82&gt;0,"Runtime error","Failed on test"))</f>
        <v/>
      </c>
      <c r="J81" s="2" t="n">
        <v>8</v>
      </c>
    </row>
    <row r="82">
      <c r="A82" s="2">
        <f>Summary!A70</f>
        <v/>
      </c>
      <c r="B82" s="2">
        <f>COUNTIF(Summary!$B$70:$AB$70,"Passed on test")+COUNTIF(Summary!$B$70:$AB$70,"Failed on test")+COUNTIF(Summary!$B$70:$AB$70,"Runtime error")</f>
        <v/>
      </c>
      <c r="C82" s="2">
        <f>COUNTIF(Summary!$B$70:$AB$70,"Passed on test")</f>
        <v/>
      </c>
      <c r="D82" s="2">
        <f>COUNTIF(Summary!$B$70:$AB$70,"Failed on test")</f>
        <v/>
      </c>
      <c r="E82" s="2">
        <f>COUNTIF(Summary!$B$70:$AB$70,"Runtime error")</f>
        <v/>
      </c>
      <c r="F82" s="9">
        <f>IF($B83=0,0,C83/$B83)</f>
        <v/>
      </c>
      <c r="G82" s="9">
        <f>IF($B83=0,0,D83/$B83)</f>
        <v/>
      </c>
      <c r="H82" s="9">
        <f>IF($B83=0,0,E83/$B83)</f>
        <v/>
      </c>
      <c r="I82" s="2">
        <f>IF(C83=B83,"Passed on test",IF(E83&gt;0,"Runtime error","Failed on test"))</f>
        <v/>
      </c>
      <c r="J82" s="2" t="n">
        <v>8</v>
      </c>
    </row>
    <row r="83">
      <c r="A83" s="2">
        <f>Summary!A71</f>
        <v/>
      </c>
      <c r="B83" s="2">
        <f>COUNTIF(Summary!$B$71:$AB$71,"Passed on test")+COUNTIF(Summary!$B$71:$AB$71,"Failed on test")+COUNTIF(Summary!$B$71:$AB$71,"Runtime error")</f>
        <v/>
      </c>
      <c r="C83" s="2">
        <f>COUNTIF(Summary!$B$71:$AB$71,"Passed on test")</f>
        <v/>
      </c>
      <c r="D83" s="2">
        <f>COUNTIF(Summary!$B$71:$AB$71,"Failed on test")</f>
        <v/>
      </c>
      <c r="E83" s="2">
        <f>COUNTIF(Summary!$B$71:$AB$71,"Runtime error")</f>
        <v/>
      </c>
      <c r="F83" s="9">
        <f>IF($B84=0,0,C84/$B84)</f>
        <v/>
      </c>
      <c r="G83" s="9">
        <f>IF($B84=0,0,D84/$B84)</f>
        <v/>
      </c>
      <c r="H83" s="9">
        <f>IF($B84=0,0,E84/$B84)</f>
        <v/>
      </c>
      <c r="I83" s="2">
        <f>IF(C84=B84,"Passed on test",IF(E84&gt;0,"Runtime error","Failed on test"))</f>
        <v/>
      </c>
      <c r="J83" s="2" t="n">
        <v>8</v>
      </c>
    </row>
    <row r="84">
      <c r="A84" s="2">
        <f>Summary!A72</f>
        <v/>
      </c>
      <c r="B84" s="2">
        <f>COUNTIF(Summary!$B$72:$AB$72,"Passed on test")+COUNTIF(Summary!$B$72:$AB$72,"Failed on test")+COUNTIF(Summary!$B$72:$AB$72,"Runtime error")</f>
        <v/>
      </c>
      <c r="C84" s="2">
        <f>COUNTIF(Summary!$B$72:$AB$72,"Passed on test")</f>
        <v/>
      </c>
      <c r="D84" s="2">
        <f>COUNTIF(Summary!$B$72:$AB$72,"Failed on test")</f>
        <v/>
      </c>
      <c r="E84" s="2">
        <f>COUNTIF(Summary!$B$72:$AB$72,"Runtime error")</f>
        <v/>
      </c>
      <c r="F84" s="9">
        <f>IF($B85=0,0,C85/$B85)</f>
        <v/>
      </c>
      <c r="G84" s="9">
        <f>IF($B85=0,0,D85/$B85)</f>
        <v/>
      </c>
      <c r="H84" s="9">
        <f>IF($B85=0,0,E85/$B85)</f>
        <v/>
      </c>
      <c r="I84" s="2">
        <f>IF(C85=B85,"Passed on test",IF(E85&gt;0,"Runtime error","Failed on test"))</f>
        <v/>
      </c>
      <c r="J84" s="2" t="n">
        <v>8</v>
      </c>
    </row>
    <row r="85">
      <c r="A85" s="2">
        <f>Summary!A73</f>
        <v/>
      </c>
      <c r="B85" s="2">
        <f>COUNTIF(Summary!$B$73:$AB$73,"Passed on test")+COUNTIF(Summary!$B$73:$AB$73,"Failed on test")+COUNTIF(Summary!$B$73:$AB$73,"Runtime error")</f>
        <v/>
      </c>
      <c r="C85" s="2">
        <f>COUNTIF(Summary!$B$73:$AB$73,"Passed on test")</f>
        <v/>
      </c>
      <c r="D85" s="2">
        <f>COUNTIF(Summary!$B$73:$AB$73,"Failed on test")</f>
        <v/>
      </c>
      <c r="E85" s="2">
        <f>COUNTIF(Summary!$B$73:$AB$73,"Runtime error")</f>
        <v/>
      </c>
      <c r="F85" s="9">
        <f>IF($B86=0,0,C86/$B86)</f>
        <v/>
      </c>
      <c r="G85" s="9">
        <f>IF($B86=0,0,D86/$B86)</f>
        <v/>
      </c>
      <c r="H85" s="9">
        <f>IF($B86=0,0,E86/$B86)</f>
        <v/>
      </c>
      <c r="I85" s="2">
        <f>IF(C86=B86,"Passed on test",IF(E86&gt;0,"Runtime error","Failed on test"))</f>
        <v/>
      </c>
      <c r="J85" s="2" t="n">
        <v>8</v>
      </c>
    </row>
    <row r="86">
      <c r="A86" s="2" t="n"/>
      <c r="B86" s="2" t="n"/>
      <c r="C86" s="2" t="n"/>
      <c r="D86" s="2" t="n"/>
      <c r="E86" s="2" t="n"/>
      <c r="F86" s="9" t="n"/>
      <c r="G86" s="9" t="n"/>
      <c r="H86" s="9" t="n"/>
      <c r="I86" s="2" t="n"/>
      <c r="J86" s="2" t="n"/>
    </row>
    <row r="87">
      <c r="A87" t="inlineStr">
        <is>
          <t>3. Cases by outcome</t>
        </is>
      </c>
    </row>
    <row r="88">
      <c r="A88" s="7" t="inlineStr">
        <is>
          <t>Outcome</t>
        </is>
      </c>
      <c r="B88" t="inlineStr">
        <is>
          <t>Cases</t>
        </is>
      </c>
      <c r="C88" t="inlineStr">
        <is>
          <t>% of cases</t>
        </is>
      </c>
      <c r="D88" t="inlineStr">
        <is>
          <t>Batch 1</t>
        </is>
      </c>
      <c r="E88" t="inlineStr">
        <is>
          <t>Batch 1 %</t>
        </is>
      </c>
      <c r="F88" t="inlineStr">
        <is>
          <t>Batch 2</t>
        </is>
      </c>
      <c r="G88" t="inlineStr">
        <is>
          <t>Batch 2 %</t>
        </is>
      </c>
      <c r="H88" t="inlineStr">
        <is>
          <t>Batch 3</t>
        </is>
      </c>
      <c r="I88" t="inlineStr">
        <is>
          <t>Batch 3 %</t>
        </is>
      </c>
      <c r="J88" t="inlineStr">
        <is>
          <t>Batch 4</t>
        </is>
      </c>
      <c r="K88" t="inlineStr">
        <is>
          <t>Batch 4 %</t>
        </is>
      </c>
      <c r="L88" t="inlineStr">
        <is>
          <t>Batch 5</t>
        </is>
      </c>
      <c r="M88" t="inlineStr">
        <is>
          <t>Batch 5 %</t>
        </is>
      </c>
      <c r="N88" t="inlineStr">
        <is>
          <t>Batch 6</t>
        </is>
      </c>
      <c r="O88" t="inlineStr">
        <is>
          <t>Batch 6 %</t>
        </is>
      </c>
      <c r="P88" t="inlineStr">
        <is>
          <t>Batch 7</t>
        </is>
      </c>
      <c r="Q88" t="inlineStr">
        <is>
          <t>Batch 7 %</t>
        </is>
      </c>
      <c r="R88" t="inlineStr">
        <is>
          <t>Batch 8</t>
        </is>
      </c>
      <c r="S88" t="inlineStr">
        <is>
          <t>Batch 8 %</t>
        </is>
      </c>
    </row>
    <row r="89">
      <c r="A89" s="1" t="inlineStr">
        <is>
          <t>Passed on test</t>
        </is>
      </c>
      <c r="B89" s="1">
        <f>COUNTIF($I$14:$I$85,"Passed on test")</f>
        <v/>
      </c>
      <c r="C89" s="1">
        <f>IF($B$92=0,0,B89/$B$92)</f>
        <v/>
      </c>
      <c r="D89" s="1">
        <f>COUNTIFS($I$14:$I$85,"Passed on test",$J$14:$J$85,1)</f>
        <v/>
      </c>
      <c r="E89" s="1">
        <f>IF(D$92=0,0,D89/D$92)</f>
        <v/>
      </c>
      <c r="F89" s="1">
        <f>COUNTIFS($I$14:$I$85,"Passed on test",$J$14:$J$85,2)</f>
        <v/>
      </c>
      <c r="G89" s="1">
        <f>IF(F$92=0,0,F89/F$92)</f>
        <v/>
      </c>
      <c r="H89" s="1">
        <f>COUNTIFS($I$14:$I$85,"Passed on test",$J$14:$J$85,3)</f>
        <v/>
      </c>
      <c r="I89" s="1">
        <f>IF(H$92=0,0,H89/H$92)</f>
        <v/>
      </c>
      <c r="J89" s="1">
        <f>COUNTIFS($I$14:$I$85,"Passed on test",$J$14:$J$85,4)</f>
        <v/>
      </c>
      <c r="K89" s="1">
        <f>IF(J$92=0,0,J89/J$92)</f>
        <v/>
      </c>
      <c r="L89" s="1">
        <f>COUNTIFS($I$14:$I$85,"Passed on test",$J$14:$J$85,5)</f>
        <v/>
      </c>
      <c r="M89" s="1">
        <f>IF(L$92=0,0,L89/L$92)</f>
        <v/>
      </c>
      <c r="N89" s="1">
        <f>COUNTIFS($I$14:$I$85,"Passed on test",$J$14:$J$85,6)</f>
        <v/>
      </c>
      <c r="O89" s="1">
        <f>IF(N$92=0,0,N89/N$92)</f>
        <v/>
      </c>
      <c r="P89" s="1">
        <f>COUNTIFS($I$14:$I$85,"Passed on test",$J$14:$J$85,7)</f>
        <v/>
      </c>
      <c r="Q89" s="1">
        <f>IF(P$92=0,0,P89/P$92)</f>
        <v/>
      </c>
      <c r="R89" s="1">
        <f>COUNTIFS($I$14:$I$85,"Passed on test",$J$14:$J$85,8)</f>
        <v/>
      </c>
      <c r="S89" s="1">
        <f>IF(R$92=0,0,R89/R$92)</f>
        <v/>
      </c>
    </row>
    <row r="90">
      <c r="A90" s="8" t="inlineStr">
        <is>
          <t>Failed on test</t>
        </is>
      </c>
      <c r="B90" s="2">
        <f>COUNTIF($I$14:$I$85,"Failed on test")</f>
        <v/>
      </c>
      <c r="C90" s="9">
        <f>IF($B$92=0,0,B90/$B$92)</f>
        <v/>
      </c>
      <c r="D90" s="2">
        <f>COUNTIFS($I$14:$I$85,"Failed on test",$J$14:$J$85,1)</f>
        <v/>
      </c>
      <c r="E90" s="9">
        <f>IF(D$92=0,0,D90/D$92)</f>
        <v/>
      </c>
      <c r="F90" s="2">
        <f>COUNTIFS($I$14:$I$85,"Failed on test",$J$14:$J$85,2)</f>
        <v/>
      </c>
      <c r="G90" s="9">
        <f>IF(F$92=0,0,F90/F$92)</f>
        <v/>
      </c>
      <c r="H90" s="2">
        <f>COUNTIFS($I$14:$I$85,"Failed on test",$J$14:$J$85,3)</f>
        <v/>
      </c>
      <c r="I90" s="9">
        <f>IF(H$92=0,0,H90/H$92)</f>
        <v/>
      </c>
      <c r="J90" s="2">
        <f>COUNTIFS($I$14:$I$85,"Failed on test",$J$14:$J$85,4)</f>
        <v/>
      </c>
      <c r="K90" s="9">
        <f>IF(J$92=0,0,J90/J$92)</f>
        <v/>
      </c>
      <c r="L90" s="2">
        <f>COUNTIFS($I$14:$I$85,"Failed on test",$J$14:$J$85,5)</f>
        <v/>
      </c>
      <c r="M90" s="9">
        <f>IF(L$92=0,0,L90/L$92)</f>
        <v/>
      </c>
      <c r="N90" s="2">
        <f>COUNTIFS($I$14:$I$85,"Failed on test",$J$14:$J$85,6)</f>
        <v/>
      </c>
      <c r="O90" s="9">
        <f>IF(N$92=0,0,N90/N$92)</f>
        <v/>
      </c>
      <c r="P90" s="2">
        <f>COUNTIFS($I$14:$I$85,"Failed on test",$J$14:$J$85,7)</f>
        <v/>
      </c>
      <c r="Q90" s="9">
        <f>IF(P$92=0,0,P90/P$92)</f>
        <v/>
      </c>
      <c r="R90" s="2">
        <f>COUNTIFS($I$14:$I$85,"Failed on test",$J$14:$J$85,8)</f>
        <v/>
      </c>
      <c r="S90" s="9">
        <f>IF(R$92=0,0,R90/R$92)</f>
        <v/>
      </c>
    </row>
    <row r="91">
      <c r="A91" s="10" t="inlineStr">
        <is>
          <t>Runtime error</t>
        </is>
      </c>
      <c r="B91" s="2">
        <f>COUNTIF($I$14:$I$85,"Runtime error")</f>
        <v/>
      </c>
      <c r="C91" s="9">
        <f>IF($B$92=0,0,B91/$B$92)</f>
        <v/>
      </c>
      <c r="D91" s="2">
        <f>COUNTIFS($I$14:$I$85,"Runtime error",$J$14:$J$85,1)</f>
        <v/>
      </c>
      <c r="E91" s="9">
        <f>IF(D$92=0,0,D91/D$92)</f>
        <v/>
      </c>
      <c r="F91" s="2">
        <f>COUNTIFS($I$14:$I$85,"Runtime error",$J$14:$J$85,2)</f>
        <v/>
      </c>
      <c r="G91" s="9">
        <f>IF(F$92=0,0,F91/F$92)</f>
        <v/>
      </c>
      <c r="H91" s="2">
        <f>COUNTIFS($I$14:$I$85,"Runtime error",$J$14:$J$85,3)</f>
        <v/>
      </c>
      <c r="I91" s="9">
        <f>IF(H$92=0,0,H91/H$92)</f>
        <v/>
      </c>
      <c r="J91" s="2">
        <f>COUNTIFS($I$14:$I$85,"Runtime error",$J$14:$J$85,4)</f>
        <v/>
      </c>
      <c r="K91" s="9">
        <f>IF(J$92=0,0,J91/J$92)</f>
        <v/>
      </c>
      <c r="L91" s="2">
        <f>COUNTIFS($I$14:$I$85,"Runtime error",$J$14:$J$85,5)</f>
        <v/>
      </c>
      <c r="M91" s="9">
        <f>IF(L$92=0,0,L91/L$92)</f>
        <v/>
      </c>
      <c r="N91" s="2">
        <f>COUNTIFS($I$14:$I$85,"Runtime error",$J$14:$J$85,6)</f>
        <v/>
      </c>
      <c r="O91" s="9">
        <f>IF(N$92=0,0,N91/N$92)</f>
        <v/>
      </c>
      <c r="P91" s="2">
        <f>COUNTIFS($I$14:$I$85,"Runtime error",$J$14:$J$85,7)</f>
        <v/>
      </c>
      <c r="Q91" s="9">
        <f>IF(P$92=0,0,P91/P$92)</f>
        <v/>
      </c>
      <c r="R91" s="2">
        <f>COUNTIFS($I$14:$I$85,"Runtime error",$J$14:$J$85,8)</f>
        <v/>
      </c>
      <c r="S91" s="9">
        <f>IF(R$92=0,0,R91/R$92)</f>
        <v/>
      </c>
    </row>
    <row r="92">
      <c r="A92" s="11" t="inlineStr">
        <is>
          <t>Total cases</t>
        </is>
      </c>
      <c r="B92" s="2">
        <f>SUM(B89:B91)</f>
        <v/>
      </c>
      <c r="C92" s="9">
        <f>SUM(C89:C91)</f>
        <v/>
      </c>
      <c r="D92" s="2">
        <f>SUM(D89:D91)</f>
        <v/>
      </c>
      <c r="E92" s="9">
        <f>SUM(E89:E91)</f>
        <v/>
      </c>
      <c r="F92" s="2">
        <f>SUM(F89:F91)</f>
        <v/>
      </c>
      <c r="G92" s="9">
        <f>SUM(G89:G91)</f>
        <v/>
      </c>
      <c r="H92" s="2">
        <f>SUM(H89:H91)</f>
        <v/>
      </c>
      <c r="I92" s="9">
        <f>SUM(I89:I91)</f>
        <v/>
      </c>
      <c r="J92" s="2">
        <f>SUM(J89:J91)</f>
        <v/>
      </c>
      <c r="K92" s="9">
        <f>SUM(K89:K91)</f>
        <v/>
      </c>
      <c r="L92" s="2">
        <f>SUM(L89:L91)</f>
        <v/>
      </c>
      <c r="M92" s="9">
        <f>SUM(M89:M91)</f>
        <v/>
      </c>
      <c r="N92" s="2">
        <f>SUM(N89:N91)</f>
        <v/>
      </c>
      <c r="O92" s="9">
        <f>SUM(O89:O91)</f>
        <v/>
      </c>
      <c r="P92" s="2">
        <f>SUM(P89:P91)</f>
        <v/>
      </c>
      <c r="Q92" s="9">
        <f>SUM(Q89:Q91)</f>
        <v/>
      </c>
      <c r="R92" s="2">
        <f>SUM(R89:R91)</f>
        <v/>
      </c>
      <c r="S92" s="9">
        <f>SUM(S89:S91)</f>
        <v/>
      </c>
    </row>
    <row r="93">
      <c r="A93" s="12" t="inlineStr">
        <is>
          <t>A case counts as "Passed on test" only if it passed on every version it was tested on, "Runtime error" if any version crashed, otherwise "Failed on test".</t>
        </is>
      </c>
      <c r="B93" s="12" t="n"/>
      <c r="C93" s="13" t="n"/>
      <c r="D93" s="12" t="n"/>
      <c r="E93" s="13" t="n"/>
      <c r="F93" s="12" t="n"/>
      <c r="G93" s="13" t="n"/>
      <c r="H93" s="12" t="n"/>
      <c r="I93" s="13" t="n"/>
      <c r="J93" s="12" t="n"/>
      <c r="K93" s="13" t="n"/>
      <c r="L93" s="12" t="n"/>
      <c r="M93" s="13" t="n"/>
      <c r="N93" s="12" t="n"/>
      <c r="O93" s="13" t="n"/>
      <c r="P93" s="12" t="n"/>
      <c r="Q93" s="13" t="n"/>
      <c r="R93" s="12" t="n"/>
      <c r="S93" s="13" t="n"/>
    </row>
    <row r="94"/>
    <row r="95">
      <c r="A95" t="inlineStr">
        <is>
          <t>4. Cases that passed on at least one version</t>
        </is>
      </c>
    </row>
    <row r="96">
      <c r="A96" s="7" t="inlineStr">
        <is>
          <t>Measure</t>
        </is>
      </c>
      <c r="B96" t="inlineStr">
        <is>
          <t>Cases</t>
        </is>
      </c>
      <c r="C96" t="inlineStr">
        <is>
          <t>% of cases</t>
        </is>
      </c>
      <c r="D96" t="inlineStr">
        <is>
          <t>Batch 1</t>
        </is>
      </c>
      <c r="E96" t="inlineStr">
        <is>
          <t>Batch 1 %</t>
        </is>
      </c>
      <c r="F96" t="inlineStr">
        <is>
          <t>Batch 2</t>
        </is>
      </c>
      <c r="G96" t="inlineStr">
        <is>
          <t>Batch 2 %</t>
        </is>
      </c>
      <c r="H96" t="inlineStr">
        <is>
          <t>Batch 3</t>
        </is>
      </c>
      <c r="I96" t="inlineStr">
        <is>
          <t>Batch 3 %</t>
        </is>
      </c>
      <c r="J96" t="inlineStr">
        <is>
          <t>Batch 4</t>
        </is>
      </c>
      <c r="K96" t="inlineStr">
        <is>
          <t>Batch 4 %</t>
        </is>
      </c>
      <c r="L96" t="inlineStr">
        <is>
          <t>Batch 5</t>
        </is>
      </c>
      <c r="M96" t="inlineStr">
        <is>
          <t>Batch 5 %</t>
        </is>
      </c>
      <c r="N96" t="inlineStr">
        <is>
          <t>Batch 6</t>
        </is>
      </c>
      <c r="O96" t="inlineStr">
        <is>
          <t>Batch 6 %</t>
        </is>
      </c>
      <c r="P96" t="inlineStr">
        <is>
          <t>Batch 7</t>
        </is>
      </c>
      <c r="Q96" t="inlineStr">
        <is>
          <t>Batch 7 %</t>
        </is>
      </c>
      <c r="R96" t="inlineStr">
        <is>
          <t>Batch 8</t>
        </is>
      </c>
      <c r="S96" t="inlineStr">
        <is>
          <t>Batch 8 %</t>
        </is>
      </c>
    </row>
    <row r="97">
      <c r="A97" s="1" t="inlineStr">
        <is>
          <t>Passed on at least one version</t>
        </is>
      </c>
      <c r="B97" s="1">
        <f>COUNTIF($B$102:$B$174,"YES")</f>
        <v/>
      </c>
      <c r="C97" s="1">
        <f>IF(COUNTA($A$102:$A$174)=0,0,B97/COUNTA($A$102:$A$174))</f>
        <v/>
      </c>
      <c r="D97" s="1">
        <f>COUNTIFS($B$102:$B$174,"YES",$F$102:$F$174,1)</f>
        <v/>
      </c>
      <c r="E97" s="1">
        <f>IF(COUNTIF($F$102:$F$174,1)=0,0,D97/COUNTIF($F$102:$F$174,1))</f>
        <v/>
      </c>
      <c r="F97" s="1">
        <f>COUNTIFS($B$102:$B$174,"YES",$F$102:$F$174,2)</f>
        <v/>
      </c>
      <c r="G97" s="1">
        <f>IF(COUNTIF($F$102:$F$174,2)=0,0,F97/COUNTIF($F$102:$F$174,2))</f>
        <v/>
      </c>
      <c r="H97" s="1">
        <f>COUNTIFS($B$102:$B$174,"YES",$F$102:$F$174,3)</f>
        <v/>
      </c>
      <c r="I97" s="1">
        <f>IF(COUNTIF($F$102:$F$174,3)=0,0,H97/COUNTIF($F$102:$F$174,3))</f>
        <v/>
      </c>
      <c r="J97" s="1">
        <f>COUNTIFS($B$102:$B$174,"YES",$F$102:$F$174,4)</f>
        <v/>
      </c>
      <c r="K97" s="1">
        <f>IF(COUNTIF($F$102:$F$174,4)=0,0,J97/COUNTIF($F$102:$F$174,4))</f>
        <v/>
      </c>
      <c r="L97" s="1">
        <f>COUNTIFS($B$102:$B$174,"YES",$F$102:$F$174,5)</f>
        <v/>
      </c>
      <c r="M97" s="1">
        <f>IF(COUNTIF($F$102:$F$174,5)=0,0,L97/COUNTIF($F$102:$F$174,5))</f>
        <v/>
      </c>
      <c r="N97" s="1">
        <f>COUNTIFS($B$102:$B$174,"YES",$F$102:$F$174,6)</f>
        <v/>
      </c>
      <c r="O97" s="1">
        <f>IF(COUNTIF($F$102:$F$174,6)=0,0,N97/COUNTIF($F$102:$F$174,6))</f>
        <v/>
      </c>
      <c r="P97" s="1">
        <f>COUNTIFS($B$102:$B$174,"YES",$F$102:$F$174,7)</f>
        <v/>
      </c>
      <c r="Q97" s="1">
        <f>IF(COUNTIF($F$102:$F$174,7)=0,0,P97/COUNTIF($F$102:$F$174,7))</f>
        <v/>
      </c>
      <c r="R97" s="1">
        <f>COUNTIFS($B$102:$B$174,"YES",$F$102:$F$174,8)</f>
        <v/>
      </c>
      <c r="S97" s="1">
        <f>IF(COUNTIF($F$102:$F$174,8)=0,0,R97/COUNTIF($F$102:$F$174,8))</f>
        <v/>
      </c>
    </row>
    <row r="98">
      <c r="A98" s="2" t="inlineStr">
        <is>
          <t>Passed on every version (strict, as in section 3)</t>
        </is>
      </c>
      <c r="B98" s="2">
        <f>B89</f>
        <v/>
      </c>
      <c r="C98" s="9">
        <f>IF(COUNTA($A$102:$A$174)=0,0,B98/COUNTA($A$102:$A$174))</f>
        <v/>
      </c>
      <c r="D98" s="2">
        <f>D89</f>
        <v/>
      </c>
      <c r="E98" s="9">
        <f>IF(COUNTIF($F$102:$F$174,1)=0,0,D98/COUNTIF($F$102:$F$174,1))</f>
        <v/>
      </c>
      <c r="F98" s="2">
        <f>F89</f>
        <v/>
      </c>
      <c r="G98" s="9">
        <f>IF(COUNTIF($F$102:$F$174,2)=0,0,F98/COUNTIF($F$102:$F$174,2))</f>
        <v/>
      </c>
      <c r="H98" s="2">
        <f>H89</f>
        <v/>
      </c>
      <c r="I98" s="9">
        <f>IF(COUNTIF($F$102:$F$174,3)=0,0,H98/COUNTIF($F$102:$F$174,3))</f>
        <v/>
      </c>
      <c r="J98" s="2">
        <f>J89</f>
        <v/>
      </c>
      <c r="K98" s="9">
        <f>IF(COUNTIF($F$102:$F$174,4)=0,0,J98/COUNTIF($F$102:$F$174,4))</f>
        <v/>
      </c>
      <c r="L98" s="2">
        <f>L89</f>
        <v/>
      </c>
      <c r="M98" s="9">
        <f>IF(COUNTIF($F$102:$F$174,5)=0,0,L98/COUNTIF($F$102:$F$174,5))</f>
        <v/>
      </c>
      <c r="N98" s="2">
        <f>N89</f>
        <v/>
      </c>
      <c r="O98" s="9">
        <f>IF(COUNTIF($F$102:$F$174,6)=0,0,N98/COUNTIF($F$102:$F$174,6))</f>
        <v/>
      </c>
      <c r="P98" s="2">
        <f>P89</f>
        <v/>
      </c>
      <c r="Q98" s="9">
        <f>IF(COUNTIF($F$102:$F$174,7)=0,0,P98/COUNTIF($F$102:$F$174,7))</f>
        <v/>
      </c>
      <c r="R98" s="2">
        <f>R89</f>
        <v/>
      </c>
      <c r="S98" s="9">
        <f>IF(COUNTIF($F$102:$F$174,8)=0,0,R98/COUNTIF($F$102:$F$174,8))</f>
        <v/>
      </c>
    </row>
    <row r="99">
      <c r="A99" s="2" t="inlineStr">
        <is>
          <t>Passed on some but not all versions</t>
        </is>
      </c>
      <c r="B99" s="2">
        <f>B97-B98</f>
        <v/>
      </c>
      <c r="C99" s="9">
        <f>IF(COUNTA($A$102:$A$174)=0,0,B99/COUNTA($A$102:$A$174))</f>
        <v/>
      </c>
      <c r="D99" s="2">
        <f>D97-D98</f>
        <v/>
      </c>
      <c r="E99" s="9">
        <f>IF(COUNTIF($F$102:$F$174,1)=0,0,D99/COUNTIF($F$102:$F$174,1))</f>
        <v/>
      </c>
      <c r="F99" s="2">
        <f>F97-F98</f>
        <v/>
      </c>
      <c r="G99" s="9">
        <f>IF(COUNTIF($F$102:$F$174,2)=0,0,F99/COUNTIF($F$102:$F$174,2))</f>
        <v/>
      </c>
      <c r="H99" s="2">
        <f>H97-H98</f>
        <v/>
      </c>
      <c r="I99" s="9">
        <f>IF(COUNTIF($F$102:$F$174,3)=0,0,H99/COUNTIF($F$102:$F$174,3))</f>
        <v/>
      </c>
      <c r="J99" s="2">
        <f>J97-J98</f>
        <v/>
      </c>
      <c r="K99" s="9">
        <f>IF(COUNTIF($F$102:$F$174,4)=0,0,J99/COUNTIF($F$102:$F$174,4))</f>
        <v/>
      </c>
      <c r="L99" s="2">
        <f>L97-L98</f>
        <v/>
      </c>
      <c r="M99" s="9">
        <f>IF(COUNTIF($F$102:$F$174,5)=0,0,L99/COUNTIF($F$102:$F$174,5))</f>
        <v/>
      </c>
      <c r="N99" s="2">
        <f>N97-N98</f>
        <v/>
      </c>
      <c r="O99" s="9">
        <f>IF(COUNTIF($F$102:$F$174,6)=0,0,N99/COUNTIF($F$102:$F$174,6))</f>
        <v/>
      </c>
      <c r="P99" s="2">
        <f>P97-P98</f>
        <v/>
      </c>
      <c r="Q99" s="9">
        <f>IF(COUNTIF($F$102:$F$174,7)=0,0,P99/COUNTIF($F$102:$F$174,7))</f>
        <v/>
      </c>
      <c r="R99" s="2">
        <f>R97-R98</f>
        <v/>
      </c>
      <c r="S99" s="9">
        <f>IF(COUNTIF($F$102:$F$174,8)=0,0,R99/COUNTIF($F$102:$F$174,8))</f>
        <v/>
      </c>
    </row>
    <row r="100">
      <c r="A100" s="2" t="inlineStr">
        <is>
          <t>Passed on no version</t>
        </is>
      </c>
      <c r="B100" s="2">
        <f>COUNTIF($B$102:$B$174,"NO")</f>
        <v/>
      </c>
      <c r="C100" s="9">
        <f>IF(COUNTA($A$102:$A$174)=0,0,B100/COUNTA($A$102:$A$174))</f>
        <v/>
      </c>
      <c r="D100" s="2">
        <f>COUNTIFS($B$102:$B$174,"NO",$F$102:$F$174,1)</f>
        <v/>
      </c>
      <c r="E100" s="9">
        <f>IF(COUNTIF($F$102:$F$174,1)=0,0,D100/COUNTIF($F$102:$F$174,1))</f>
        <v/>
      </c>
      <c r="F100" s="2">
        <f>COUNTIFS($B$102:$B$174,"NO",$F$102:$F$174,2)</f>
        <v/>
      </c>
      <c r="G100" s="9">
        <f>IF(COUNTIF($F$102:$F$174,2)=0,0,F100/COUNTIF($F$102:$F$174,2))</f>
        <v/>
      </c>
      <c r="H100" s="2">
        <f>COUNTIFS($B$102:$B$174,"NO",$F$102:$F$174,3)</f>
        <v/>
      </c>
      <c r="I100" s="9">
        <f>IF(COUNTIF($F$102:$F$174,3)=0,0,H100/COUNTIF($F$102:$F$174,3))</f>
        <v/>
      </c>
      <c r="J100" s="2">
        <f>COUNTIFS($B$102:$B$174,"NO",$F$102:$F$174,4)</f>
        <v/>
      </c>
      <c r="K100" s="9">
        <f>IF(COUNTIF($F$102:$F$174,4)=0,0,J100/COUNTIF($F$102:$F$174,4))</f>
        <v/>
      </c>
      <c r="L100" s="2">
        <f>COUNTIFS($B$102:$B$174,"NO",$F$102:$F$174,5)</f>
        <v/>
      </c>
      <c r="M100" s="9">
        <f>IF(COUNTIF($F$102:$F$174,5)=0,0,L100/COUNTIF($F$102:$F$174,5))</f>
        <v/>
      </c>
      <c r="N100" s="2">
        <f>COUNTIFS($B$102:$B$174,"NO",$F$102:$F$174,6)</f>
        <v/>
      </c>
      <c r="O100" s="9">
        <f>IF(COUNTIF($F$102:$F$174,6)=0,0,N100/COUNTIF($F$102:$F$174,6))</f>
        <v/>
      </c>
      <c r="P100" s="2">
        <f>COUNTIFS($B$102:$B$174,"NO",$F$102:$F$174,7)</f>
        <v/>
      </c>
      <c r="Q100" s="9">
        <f>IF(COUNTIF($F$102:$F$174,7)=0,0,P100/COUNTIF($F$102:$F$174,7))</f>
        <v/>
      </c>
      <c r="R100" s="2">
        <f>COUNTIFS($B$102:$B$174,"NO",$F$102:$F$174,8)</f>
        <v/>
      </c>
      <c r="S100" s="9">
        <f>IF(COUNTIF($F$102:$F$174,8)=0,0,R100/COUNTIF($F$102:$F$174,8))</f>
        <v/>
      </c>
    </row>
    <row r="101">
      <c r="A101" s="2" t="inlineStr">
        <is>
          <t>Case</t>
        </is>
      </c>
      <c r="B101" s="2" t="inlineStr">
        <is>
          <t>Passed on ≥1 version?</t>
        </is>
      </c>
      <c r="C101" s="9" t="inlineStr">
        <is>
          <t>Versions it passed on</t>
        </is>
      </c>
      <c r="D101" s="2" t="inlineStr">
        <is>
          <t># passed</t>
        </is>
      </c>
      <c r="E101" s="9" t="inlineStr">
        <is>
          <t># tested</t>
        </is>
      </c>
      <c r="F101" s="2" t="inlineStr">
        <is>
          <t>Batch</t>
        </is>
      </c>
      <c r="G101" s="9" t="n"/>
      <c r="H101" s="2" t="n"/>
      <c r="I101" s="9" t="n"/>
      <c r="J101" s="2" t="n"/>
      <c r="K101" s="9" t="n"/>
      <c r="L101" s="2" t="n"/>
      <c r="M101" s="9" t="n"/>
      <c r="N101" s="2" t="n"/>
      <c r="O101" s="9" t="n"/>
      <c r="P101" s="2" t="n"/>
      <c r="Q101" s="9" t="n"/>
      <c r="R101" s="2" t="n"/>
      <c r="S101" s="9" t="n"/>
    </row>
    <row r="102">
      <c r="A102" s="1">
        <f>Summary!A2</f>
        <v/>
      </c>
      <c r="B102" s="1">
        <f>IF(C14&gt;0,"YES","NO")</f>
        <v/>
      </c>
      <c r="C102" s="1">
        <f t="array" ref="C103">IF(C14=0,"-",_xlfn.TEXTJOIN(", ",TRUE,IF(Summary!$B$2:$AB$2="Passed on test",Summary!$B$1:$AB$1,"")))</f>
        <v/>
      </c>
      <c r="D102" s="1">
        <f>C14</f>
        <v/>
      </c>
      <c r="E102" s="1">
        <f>B14</f>
        <v/>
      </c>
      <c r="F102" s="1" t="n">
        <v>1</v>
      </c>
    </row>
    <row r="103">
      <c r="A103" s="2">
        <f>Summary!A3</f>
        <v/>
      </c>
      <c r="B103" s="2">
        <f>IF(C15&gt;0,"YES","NO")</f>
        <v/>
      </c>
      <c r="C103" s="14">
        <f t="array" ref="C104">IF(C15=0,"-",_xlfn.TEXTJOIN(", ",TRUE,IF(Summary!$B$3:$AB$3="Passed on test",Summary!$B$1:$AB$1,"")))</f>
        <v/>
      </c>
      <c r="D103" s="2">
        <f>C15</f>
        <v/>
      </c>
      <c r="E103" s="2">
        <f>B15</f>
        <v/>
      </c>
      <c r="F103" s="2" t="n">
        <v>1</v>
      </c>
    </row>
    <row r="104">
      <c r="A104" s="2">
        <f>Summary!A4</f>
        <v/>
      </c>
      <c r="B104" s="2">
        <f>IF(C16&gt;0,"YES","NO")</f>
        <v/>
      </c>
      <c r="C104" s="14">
        <f t="array" ref="C105">IF(C16=0,"-",_xlfn.TEXTJOIN(", ",TRUE,IF(Summary!$B$4:$AB$4="Passed on test",Summary!$B$1:$AB$1,"")))</f>
        <v/>
      </c>
      <c r="D104" s="2">
        <f>C16</f>
        <v/>
      </c>
      <c r="E104" s="2">
        <f>B16</f>
        <v/>
      </c>
      <c r="F104" s="2" t="n">
        <v>1</v>
      </c>
    </row>
    <row r="105">
      <c r="A105" s="2">
        <f>Summary!A5</f>
        <v/>
      </c>
      <c r="B105" s="2">
        <f>IF(C17&gt;0,"YES","NO")</f>
        <v/>
      </c>
      <c r="C105" s="14">
        <f t="array" ref="C106">IF(C17=0,"-",_xlfn.TEXTJOIN(", ",TRUE,IF(Summary!$B$5:$AB$5="Passed on test",Summary!$B$1:$AB$1,"")))</f>
        <v/>
      </c>
      <c r="D105" s="2">
        <f>C17</f>
        <v/>
      </c>
      <c r="E105" s="2">
        <f>B17</f>
        <v/>
      </c>
      <c r="F105" s="2" t="n">
        <v>1</v>
      </c>
    </row>
    <row r="106">
      <c r="A106" s="2">
        <f>Summary!A6</f>
        <v/>
      </c>
      <c r="B106" s="2">
        <f>IF(C18&gt;0,"YES","NO")</f>
        <v/>
      </c>
      <c r="C106" s="14">
        <f t="array" ref="C107">IF(C18=0,"-",_xlfn.TEXTJOIN(", ",TRUE,IF(Summary!$B$6:$AB$6="Passed on test",Summary!$B$1:$AB$1,"")))</f>
        <v/>
      </c>
      <c r="D106" s="2">
        <f>C18</f>
        <v/>
      </c>
      <c r="E106" s="2">
        <f>B18</f>
        <v/>
      </c>
      <c r="F106" s="2" t="n">
        <v>1</v>
      </c>
    </row>
    <row r="107">
      <c r="A107" s="2">
        <f>Summary!A7</f>
        <v/>
      </c>
      <c r="B107" s="2">
        <f>IF(C19&gt;0,"YES","NO")</f>
        <v/>
      </c>
      <c r="C107" s="14">
        <f t="array" ref="C108">IF(C19=0,"-",_xlfn.TEXTJOIN(", ",TRUE,IF(Summary!$B$7:$AB$7="Passed on test",Summary!$B$1:$AB$1,"")))</f>
        <v/>
      </c>
      <c r="D107" s="2">
        <f>C19</f>
        <v/>
      </c>
      <c r="E107" s="2">
        <f>B19</f>
        <v/>
      </c>
      <c r="F107" s="2" t="n">
        <v>1</v>
      </c>
    </row>
    <row r="108">
      <c r="A108" s="2">
        <f>Summary!A8</f>
        <v/>
      </c>
      <c r="B108" s="2">
        <f>IF(C20&gt;0,"YES","NO")</f>
        <v/>
      </c>
      <c r="C108" s="14">
        <f t="array" ref="C109">IF(C20=0,"-",_xlfn.TEXTJOIN(", ",TRUE,IF(Summary!$B$8:$AB$8="Passed on test",Summary!$B$1:$AB$1,"")))</f>
        <v/>
      </c>
      <c r="D108" s="2">
        <f>C20</f>
        <v/>
      </c>
      <c r="E108" s="2">
        <f>B20</f>
        <v/>
      </c>
      <c r="F108" s="2" t="n">
        <v>1</v>
      </c>
    </row>
    <row r="109">
      <c r="A109" s="2">
        <f>Summary!A9</f>
        <v/>
      </c>
      <c r="B109" s="2">
        <f>IF(C21&gt;0,"YES","NO")</f>
        <v/>
      </c>
      <c r="C109" s="14">
        <f t="array" ref="C110">IF(C21=0,"-",_xlfn.TEXTJOIN(", ",TRUE,IF(Summary!$B$9:$AB$9="Passed on test",Summary!$B$1:$AB$1,"")))</f>
        <v/>
      </c>
      <c r="D109" s="2">
        <f>C21</f>
        <v/>
      </c>
      <c r="E109" s="2">
        <f>B21</f>
        <v/>
      </c>
      <c r="F109" s="2" t="n">
        <v>1</v>
      </c>
    </row>
    <row r="110">
      <c r="A110" s="2">
        <f>Summary!A10</f>
        <v/>
      </c>
      <c r="B110" s="2">
        <f>IF(C22&gt;0,"YES","NO")</f>
        <v/>
      </c>
      <c r="C110" s="14">
        <f t="array" ref="C111">IF(C22=0,"-",_xlfn.TEXTJOIN(", ",TRUE,IF(Summary!$B$10:$AB$10="Passed on test",Summary!$B$1:$AB$1,"")))</f>
        <v/>
      </c>
      <c r="D110" s="2">
        <f>C22</f>
        <v/>
      </c>
      <c r="E110" s="2">
        <f>B22</f>
        <v/>
      </c>
      <c r="F110" s="2" t="n">
        <v>1</v>
      </c>
    </row>
    <row r="111">
      <c r="A111" s="2">
        <f>Summary!A11</f>
        <v/>
      </c>
      <c r="B111" s="2">
        <f>IF(C23&gt;0,"YES","NO")</f>
        <v/>
      </c>
      <c r="C111" s="14">
        <f t="array" ref="C112">IF(C23=0,"-",_xlfn.TEXTJOIN(", ",TRUE,IF(Summary!$B$11:$AB$11="Passed on test",Summary!$B$1:$AB$1,"")))</f>
        <v/>
      </c>
      <c r="D111" s="2">
        <f>C23</f>
        <v/>
      </c>
      <c r="E111" s="2">
        <f>B23</f>
        <v/>
      </c>
      <c r="F111" s="2" t="n">
        <v>1</v>
      </c>
    </row>
    <row r="112">
      <c r="A112" s="2">
        <f>Summary!A12</f>
        <v/>
      </c>
      <c r="B112" s="2">
        <f>IF(C24&gt;0,"YES","NO")</f>
        <v/>
      </c>
      <c r="C112" s="14">
        <f t="array" ref="C113">IF(C24=0,"-",_xlfn.TEXTJOIN(", ",TRUE,IF(Summary!$B$12:$AB$12="Passed on test",Summary!$B$1:$AB$1,"")))</f>
        <v/>
      </c>
      <c r="D112" s="2">
        <f>C24</f>
        <v/>
      </c>
      <c r="E112" s="2">
        <f>B24</f>
        <v/>
      </c>
      <c r="F112" s="2" t="n">
        <v>2</v>
      </c>
    </row>
    <row r="113">
      <c r="A113" s="2">
        <f>Summary!A13</f>
        <v/>
      </c>
      <c r="B113" s="2">
        <f>IF(C25&gt;0,"YES","NO")</f>
        <v/>
      </c>
      <c r="C113" s="14">
        <f t="array" ref="C114">IF(C25=0,"-",_xlfn.TEXTJOIN(", ",TRUE,IF(Summary!$B$13:$AB$13="Passed on test",Summary!$B$1:$AB$1,"")))</f>
        <v/>
      </c>
      <c r="D113" s="2">
        <f>C25</f>
        <v/>
      </c>
      <c r="E113" s="2">
        <f>B25</f>
        <v/>
      </c>
      <c r="F113" s="2" t="n">
        <v>2</v>
      </c>
    </row>
    <row r="114">
      <c r="A114" s="2">
        <f>Summary!A14</f>
        <v/>
      </c>
      <c r="B114" s="2">
        <f>IF(C26&gt;0,"YES","NO")</f>
        <v/>
      </c>
      <c r="C114" s="14">
        <f t="array" ref="C115">IF(C26=0,"-",_xlfn.TEXTJOIN(", ",TRUE,IF(Summary!$B$14:$AB$14="Passed on test",Summary!$B$1:$AB$1,"")))</f>
        <v/>
      </c>
      <c r="D114" s="2">
        <f>C26</f>
        <v/>
      </c>
      <c r="E114" s="2">
        <f>B26</f>
        <v/>
      </c>
      <c r="F114" s="2" t="n">
        <v>2</v>
      </c>
    </row>
    <row r="115">
      <c r="A115" s="2">
        <f>Summary!A15</f>
        <v/>
      </c>
      <c r="B115" s="2">
        <f>IF(C27&gt;0,"YES","NO")</f>
        <v/>
      </c>
      <c r="C115" s="14">
        <f t="array" ref="C116">IF(C27=0,"-",_xlfn.TEXTJOIN(", ",TRUE,IF(Summary!$B$15:$AB$15="Passed on test",Summary!$B$1:$AB$1,"")))</f>
        <v/>
      </c>
      <c r="D115" s="2">
        <f>C27</f>
        <v/>
      </c>
      <c r="E115" s="2">
        <f>B27</f>
        <v/>
      </c>
      <c r="F115" s="2" t="n">
        <v>2</v>
      </c>
    </row>
    <row r="116">
      <c r="A116" s="2">
        <f>Summary!A16</f>
        <v/>
      </c>
      <c r="B116" s="2">
        <f>IF(C28&gt;0,"YES","NO")</f>
        <v/>
      </c>
      <c r="C116" s="14">
        <f t="array" ref="C117">IF(C28=0,"-",_xlfn.TEXTJOIN(", ",TRUE,IF(Summary!$B$16:$AB$16="Passed on test",Summary!$B$1:$AB$1,"")))</f>
        <v/>
      </c>
      <c r="D116" s="2">
        <f>C28</f>
        <v/>
      </c>
      <c r="E116" s="2">
        <f>B28</f>
        <v/>
      </c>
      <c r="F116" s="2" t="n">
        <v>2</v>
      </c>
    </row>
    <row r="117">
      <c r="A117" s="2">
        <f>Summary!A17</f>
        <v/>
      </c>
      <c r="B117" s="2">
        <f>IF(C29&gt;0,"YES","NO")</f>
        <v/>
      </c>
      <c r="C117" s="14">
        <f t="array" ref="C118">IF(C29=0,"-",_xlfn.TEXTJOIN(", ",TRUE,IF(Summary!$B$17:$AB$17="Passed on test",Summary!$B$1:$AB$1,"")))</f>
        <v/>
      </c>
      <c r="D117" s="2">
        <f>C29</f>
        <v/>
      </c>
      <c r="E117" s="2">
        <f>B29</f>
        <v/>
      </c>
      <c r="F117" s="2" t="n">
        <v>2</v>
      </c>
    </row>
    <row r="118">
      <c r="A118" s="2">
        <f>Summary!A18</f>
        <v/>
      </c>
      <c r="B118" s="2">
        <f>IF(C30&gt;0,"YES","NO")</f>
        <v/>
      </c>
      <c r="C118" s="14">
        <f t="array" ref="C119">IF(C30=0,"-",_xlfn.TEXTJOIN(", ",TRUE,IF(Summary!$B$18:$AB$18="Passed on test",Summary!$B$1:$AB$1,"")))</f>
        <v/>
      </c>
      <c r="D118" s="2">
        <f>C30</f>
        <v/>
      </c>
      <c r="E118" s="2">
        <f>B30</f>
        <v/>
      </c>
      <c r="F118" s="2" t="n">
        <v>2</v>
      </c>
    </row>
    <row r="119">
      <c r="A119" s="2">
        <f>Summary!A19</f>
        <v/>
      </c>
      <c r="B119" s="2">
        <f>IF(C31&gt;0,"YES","NO")</f>
        <v/>
      </c>
      <c r="C119" s="14">
        <f t="array" ref="C120">IF(C31=0,"-",_xlfn.TEXTJOIN(", ",TRUE,IF(Summary!$B$19:$AB$19="Passed on test",Summary!$B$1:$AB$1,"")))</f>
        <v/>
      </c>
      <c r="D119" s="2">
        <f>C31</f>
        <v/>
      </c>
      <c r="E119" s="2">
        <f>B31</f>
        <v/>
      </c>
      <c r="F119" s="2" t="n">
        <v>2</v>
      </c>
    </row>
    <row r="120">
      <c r="A120" s="2">
        <f>Summary!A20</f>
        <v/>
      </c>
      <c r="B120" s="2">
        <f>IF(C32&gt;0,"YES","NO")</f>
        <v/>
      </c>
      <c r="C120" s="14">
        <f t="array" ref="C121">IF(C32=0,"-",_xlfn.TEXTJOIN(", ",TRUE,IF(Summary!$B$20:$AB$20="Passed on test",Summary!$B$1:$AB$1,"")))</f>
        <v/>
      </c>
      <c r="D120" s="2">
        <f>C32</f>
        <v/>
      </c>
      <c r="E120" s="2">
        <f>B32</f>
        <v/>
      </c>
      <c r="F120" s="2" t="n">
        <v>2</v>
      </c>
    </row>
    <row r="121">
      <c r="A121" s="2">
        <f>Summary!A21</f>
        <v/>
      </c>
      <c r="B121" s="2">
        <f>IF(C33&gt;0,"YES","NO")</f>
        <v/>
      </c>
      <c r="C121" s="14">
        <f t="array" ref="C122">IF(C33=0,"-",_xlfn.TEXTJOIN(", ",TRUE,IF(Summary!$B$21:$AB$21="Passed on test",Summary!$B$1:$AB$1,"")))</f>
        <v/>
      </c>
      <c r="D121" s="2">
        <f>C33</f>
        <v/>
      </c>
      <c r="E121" s="2">
        <f>B33</f>
        <v/>
      </c>
      <c r="F121" s="2" t="n">
        <v>2</v>
      </c>
    </row>
    <row r="122">
      <c r="A122" s="2">
        <f>Summary!A22</f>
        <v/>
      </c>
      <c r="B122" s="2">
        <f>IF(C34&gt;0,"YES","NO")</f>
        <v/>
      </c>
      <c r="C122" s="14">
        <f t="array" ref="C123">IF(C34=0,"-",_xlfn.TEXTJOIN(", ",TRUE,IF(Summary!$B$22:$AB$22="Passed on test",Summary!$B$1:$AB$1,"")))</f>
        <v/>
      </c>
      <c r="D122" s="2">
        <f>C34</f>
        <v/>
      </c>
      <c r="E122" s="2">
        <f>B34</f>
        <v/>
      </c>
      <c r="F122" s="2" t="n">
        <v>3</v>
      </c>
    </row>
    <row r="123">
      <c r="A123" s="2">
        <f>Summary!A23</f>
        <v/>
      </c>
      <c r="B123" s="2">
        <f>IF(C35&gt;0,"YES","NO")</f>
        <v/>
      </c>
      <c r="C123" s="14">
        <f t="array" ref="C124">IF(C35=0,"-",_xlfn.TEXTJOIN(", ",TRUE,IF(Summary!$B$23:$AB$23="Passed on test",Summary!$B$1:$AB$1,"")))</f>
        <v/>
      </c>
      <c r="D123" s="2">
        <f>C35</f>
        <v/>
      </c>
      <c r="E123" s="2">
        <f>B35</f>
        <v/>
      </c>
      <c r="F123" s="2" t="n">
        <v>3</v>
      </c>
    </row>
    <row r="124">
      <c r="A124" s="2">
        <f>Summary!A24</f>
        <v/>
      </c>
      <c r="B124" s="2">
        <f>IF(C36&gt;0,"YES","NO")</f>
        <v/>
      </c>
      <c r="C124" s="14">
        <f t="array" ref="C125">IF(C36=0,"-",_xlfn.TEXTJOIN(", ",TRUE,IF(Summary!$B$24:$AB$24="Passed on test",Summary!$B$1:$AB$1,"")))</f>
        <v/>
      </c>
      <c r="D124" s="2">
        <f>C36</f>
        <v/>
      </c>
      <c r="E124" s="2">
        <f>B36</f>
        <v/>
      </c>
      <c r="F124" s="2" t="n">
        <v>3</v>
      </c>
    </row>
    <row r="125">
      <c r="A125" s="2">
        <f>Summary!A25</f>
        <v/>
      </c>
      <c r="B125" s="2">
        <f>IF(C37&gt;0,"YES","NO")</f>
        <v/>
      </c>
      <c r="C125" s="14">
        <f t="array" ref="C126">IF(C37=0,"-",_xlfn.TEXTJOIN(", ",TRUE,IF(Summary!$B$25:$AB$25="Passed on test",Summary!$B$1:$AB$1,"")))</f>
        <v/>
      </c>
      <c r="D125" s="2">
        <f>C37</f>
        <v/>
      </c>
      <c r="E125" s="2">
        <f>B37</f>
        <v/>
      </c>
      <c r="F125" s="2" t="n">
        <v>3</v>
      </c>
    </row>
    <row r="126">
      <c r="A126" s="2">
        <f>Summary!A26</f>
        <v/>
      </c>
      <c r="B126" s="2">
        <f>IF(C38&gt;0,"YES","NO")</f>
        <v/>
      </c>
      <c r="C126" s="14">
        <f t="array" ref="C127">IF(C38=0,"-",_xlfn.TEXTJOIN(", ",TRUE,IF(Summary!$B$26:$AB$26="Passed on test",Summary!$B$1:$AB$1,"")))</f>
        <v/>
      </c>
      <c r="D126" s="2">
        <f>C38</f>
        <v/>
      </c>
      <c r="E126" s="2">
        <f>B38</f>
        <v/>
      </c>
      <c r="F126" s="2" t="n">
        <v>3</v>
      </c>
    </row>
    <row r="127">
      <c r="A127" s="2">
        <f>Summary!A27</f>
        <v/>
      </c>
      <c r="B127" s="2">
        <f>IF(C39&gt;0,"YES","NO")</f>
        <v/>
      </c>
      <c r="C127" s="14">
        <f t="array" ref="C128">IF(C39=0,"-",_xlfn.TEXTJOIN(", ",TRUE,IF(Summary!$B$27:$AB$27="Passed on test",Summary!$B$1:$AB$1,"")))</f>
        <v/>
      </c>
      <c r="D127" s="2">
        <f>C39</f>
        <v/>
      </c>
      <c r="E127" s="2">
        <f>B39</f>
        <v/>
      </c>
      <c r="F127" s="2" t="n">
        <v>3</v>
      </c>
    </row>
    <row r="128">
      <c r="A128" s="2">
        <f>Summary!A28</f>
        <v/>
      </c>
      <c r="B128" s="2">
        <f>IF(C40&gt;0,"YES","NO")</f>
        <v/>
      </c>
      <c r="C128" s="14">
        <f t="array" ref="C129">IF(C40=0,"-",_xlfn.TEXTJOIN(", ",TRUE,IF(Summary!$B$28:$AB$28="Passed on test",Summary!$B$1:$AB$1,"")))</f>
        <v/>
      </c>
      <c r="D128" s="2">
        <f>C40</f>
        <v/>
      </c>
      <c r="E128" s="2">
        <f>B40</f>
        <v/>
      </c>
      <c r="F128" s="2" t="n">
        <v>3</v>
      </c>
    </row>
    <row r="129">
      <c r="A129" s="2">
        <f>Summary!A29</f>
        <v/>
      </c>
      <c r="B129" s="2">
        <f>IF(C41&gt;0,"YES","NO")</f>
        <v/>
      </c>
      <c r="C129" s="14">
        <f t="array" ref="C130">IF(C41=0,"-",_xlfn.TEXTJOIN(", ",TRUE,IF(Summary!$B$29:$AB$29="Passed on test",Summary!$B$1:$AB$1,"")))</f>
        <v/>
      </c>
      <c r="D129" s="2">
        <f>C41</f>
        <v/>
      </c>
      <c r="E129" s="2">
        <f>B41</f>
        <v/>
      </c>
      <c r="F129" s="2" t="n">
        <v>3</v>
      </c>
    </row>
    <row r="130">
      <c r="A130" s="2">
        <f>Summary!A30</f>
        <v/>
      </c>
      <c r="B130" s="2">
        <f>IF(C42&gt;0,"YES","NO")</f>
        <v/>
      </c>
      <c r="C130" s="14">
        <f t="array" ref="C131">IF(C42=0,"-",_xlfn.TEXTJOIN(", ",TRUE,IF(Summary!$B$30:$AB$30="Passed on test",Summary!$B$1:$AB$1,"")))</f>
        <v/>
      </c>
      <c r="D130" s="2">
        <f>C42</f>
        <v/>
      </c>
      <c r="E130" s="2">
        <f>B42</f>
        <v/>
      </c>
      <c r="F130" s="2" t="n">
        <v>3</v>
      </c>
    </row>
    <row r="131">
      <c r="A131" s="2">
        <f>Summary!A31</f>
        <v/>
      </c>
      <c r="B131" s="2">
        <f>IF(C43&gt;0,"YES","NO")</f>
        <v/>
      </c>
      <c r="C131" s="14">
        <f t="array" ref="C132">IF(C43=0,"-",_xlfn.TEXTJOIN(", ",TRUE,IF(Summary!$B$31:$AB$31="Passed on test",Summary!$B$1:$AB$1,"")))</f>
        <v/>
      </c>
      <c r="D131" s="2">
        <f>C43</f>
        <v/>
      </c>
      <c r="E131" s="2">
        <f>B43</f>
        <v/>
      </c>
      <c r="F131" s="2" t="n">
        <v>3</v>
      </c>
    </row>
    <row r="132">
      <c r="A132" s="2">
        <f>Summary!A32</f>
        <v/>
      </c>
      <c r="B132" s="2">
        <f>IF(C44&gt;0,"YES","NO")</f>
        <v/>
      </c>
      <c r="C132" s="14">
        <f t="array" ref="C133">IF(C44=0,"-",_xlfn.TEXTJOIN(", ",TRUE,IF(Summary!$B$32:$AB$32="Passed on test",Summary!$B$1:$AB$1,"")))</f>
        <v/>
      </c>
      <c r="D132" s="2">
        <f>C44</f>
        <v/>
      </c>
      <c r="E132" s="2">
        <f>B44</f>
        <v/>
      </c>
      <c r="F132" s="2" t="n">
        <v>4</v>
      </c>
    </row>
    <row r="133">
      <c r="A133" s="2">
        <f>Summary!A33</f>
        <v/>
      </c>
      <c r="B133" s="2">
        <f>IF(C45&gt;0,"YES","NO")</f>
        <v/>
      </c>
      <c r="C133" s="14">
        <f t="array" ref="C134">IF(C45=0,"-",_xlfn.TEXTJOIN(", ",TRUE,IF(Summary!$B$33:$AB$33="Passed on test",Summary!$B$1:$AB$1,"")))</f>
        <v/>
      </c>
      <c r="D133" s="2">
        <f>C45</f>
        <v/>
      </c>
      <c r="E133" s="2">
        <f>B45</f>
        <v/>
      </c>
      <c r="F133" s="2" t="n">
        <v>4</v>
      </c>
    </row>
    <row r="134">
      <c r="A134" s="2">
        <f>Summary!A34</f>
        <v/>
      </c>
      <c r="B134" s="2">
        <f>IF(C46&gt;0,"YES","NO")</f>
        <v/>
      </c>
      <c r="C134" s="14">
        <f t="array" ref="C135">IF(C46=0,"-",_xlfn.TEXTJOIN(", ",TRUE,IF(Summary!$B$34:$AB$34="Passed on test",Summary!$B$1:$AB$1,"")))</f>
        <v/>
      </c>
      <c r="D134" s="2">
        <f>C46</f>
        <v/>
      </c>
      <c r="E134" s="2">
        <f>B46</f>
        <v/>
      </c>
      <c r="F134" s="2" t="n">
        <v>4</v>
      </c>
    </row>
    <row r="135">
      <c r="A135" s="2">
        <f>Summary!A35</f>
        <v/>
      </c>
      <c r="B135" s="2">
        <f>IF(C47&gt;0,"YES","NO")</f>
        <v/>
      </c>
      <c r="C135" s="14">
        <f t="array" ref="C136">IF(C47=0,"-",_xlfn.TEXTJOIN(", ",TRUE,IF(Summary!$B$35:$AB$35="Passed on test",Summary!$B$1:$AB$1,"")))</f>
        <v/>
      </c>
      <c r="D135" s="2">
        <f>C47</f>
        <v/>
      </c>
      <c r="E135" s="2">
        <f>B47</f>
        <v/>
      </c>
      <c r="F135" s="2" t="n">
        <v>4</v>
      </c>
    </row>
    <row r="136">
      <c r="A136" s="2">
        <f>Summary!A36</f>
        <v/>
      </c>
      <c r="B136" s="2">
        <f>IF(C48&gt;0,"YES","NO")</f>
        <v/>
      </c>
      <c r="C136" s="14">
        <f t="array" ref="C137">IF(C48=0,"-",_xlfn.TEXTJOIN(", ",TRUE,IF(Summary!$B$36:$AB$36="Passed on test",Summary!$B$1:$AB$1,"")))</f>
        <v/>
      </c>
      <c r="D136" s="2">
        <f>C48</f>
        <v/>
      </c>
      <c r="E136" s="2">
        <f>B48</f>
        <v/>
      </c>
      <c r="F136" s="2" t="n">
        <v>4</v>
      </c>
    </row>
    <row r="137">
      <c r="A137" s="2">
        <f>Summary!A37</f>
        <v/>
      </c>
      <c r="B137" s="2">
        <f>IF(C49&gt;0,"YES","NO")</f>
        <v/>
      </c>
      <c r="C137" s="14">
        <f t="array" ref="C138">IF(C49=0,"-",_xlfn.TEXTJOIN(", ",TRUE,IF(Summary!$B$37:$AB$37="Passed on test",Summary!$B$1:$AB$1,"")))</f>
        <v/>
      </c>
      <c r="D137" s="2">
        <f>C49</f>
        <v/>
      </c>
      <c r="E137" s="2">
        <f>B49</f>
        <v/>
      </c>
      <c r="F137" s="2" t="n">
        <v>4</v>
      </c>
    </row>
    <row r="138">
      <c r="A138" s="2">
        <f>Summary!A38</f>
        <v/>
      </c>
      <c r="B138" s="2">
        <f>IF(C50&gt;0,"YES","NO")</f>
        <v/>
      </c>
      <c r="C138" s="14">
        <f t="array" ref="C139">IF(C50=0,"-",_xlfn.TEXTJOIN(", ",TRUE,IF(Summary!$B$38:$AB$38="Passed on test",Summary!$B$1:$AB$1,"")))</f>
        <v/>
      </c>
      <c r="D138" s="2">
        <f>C50</f>
        <v/>
      </c>
      <c r="E138" s="2">
        <f>B50</f>
        <v/>
      </c>
      <c r="F138" s="2" t="n">
        <v>4</v>
      </c>
    </row>
    <row r="139">
      <c r="A139" s="2">
        <f>Summary!A39</f>
        <v/>
      </c>
      <c r="B139" s="2">
        <f>IF(C51&gt;0,"YES","NO")</f>
        <v/>
      </c>
      <c r="C139" s="14">
        <f t="array" ref="C140">IF(C51=0,"-",_xlfn.TEXTJOIN(", ",TRUE,IF(Summary!$B$39:$AB$39="Passed on test",Summary!$B$1:$AB$1,"")))</f>
        <v/>
      </c>
      <c r="D139" s="2">
        <f>C51</f>
        <v/>
      </c>
      <c r="E139" s="2">
        <f>B51</f>
        <v/>
      </c>
      <c r="F139" s="2" t="n">
        <v>4</v>
      </c>
    </row>
    <row r="140">
      <c r="A140" s="2">
        <f>Summary!A40</f>
        <v/>
      </c>
      <c r="B140" s="2">
        <f>IF(C52&gt;0,"YES","NO")</f>
        <v/>
      </c>
      <c r="C140" s="14">
        <f t="array" ref="C141">IF(C52=0,"-",_xlfn.TEXTJOIN(", ",TRUE,IF(Summary!$B$40:$AB$40="Passed on test",Summary!$B$1:$AB$1,"")))</f>
        <v/>
      </c>
      <c r="D140" s="2">
        <f>C52</f>
        <v/>
      </c>
      <c r="E140" s="2">
        <f>B52</f>
        <v/>
      </c>
      <c r="F140" s="2" t="n">
        <v>4</v>
      </c>
    </row>
    <row r="141">
      <c r="A141" s="2">
        <f>Summary!A41</f>
        <v/>
      </c>
      <c r="B141" s="2">
        <f>IF(C53&gt;0,"YES","NO")</f>
        <v/>
      </c>
      <c r="C141" s="14">
        <f t="array" ref="C142">IF(C53=0,"-",_xlfn.TEXTJOIN(", ",TRUE,IF(Summary!$B$41:$AB$41="Passed on test",Summary!$B$1:$AB$1,"")))</f>
        <v/>
      </c>
      <c r="D141" s="2">
        <f>C53</f>
        <v/>
      </c>
      <c r="E141" s="2">
        <f>B53</f>
        <v/>
      </c>
      <c r="F141" s="2" t="n">
        <v>4</v>
      </c>
    </row>
    <row r="142">
      <c r="A142" s="2">
        <f>Summary!A42</f>
        <v/>
      </c>
      <c r="B142" s="2">
        <f>IF(C54&gt;0,"YES","NO")</f>
        <v/>
      </c>
      <c r="C142" s="14">
        <f t="array" ref="C143">IF(C54=0,"-",_xlfn.TEXTJOIN(", ",TRUE,IF(Summary!$B$42:$AB$42="Passed on test",Summary!$B$1:$AB$1,"")))</f>
        <v/>
      </c>
      <c r="D142" s="2">
        <f>C54</f>
        <v/>
      </c>
      <c r="E142" s="2">
        <f>B54</f>
        <v/>
      </c>
      <c r="F142" s="2" t="n">
        <v>5</v>
      </c>
    </row>
    <row r="143">
      <c r="A143" s="2">
        <f>Summary!A43</f>
        <v/>
      </c>
      <c r="B143" s="2">
        <f>IF(C55&gt;0,"YES","NO")</f>
        <v/>
      </c>
      <c r="C143" s="14">
        <f t="array" ref="C144">IF(C55=0,"-",_xlfn.TEXTJOIN(", ",TRUE,IF(Summary!$B$43:$AB$43="Passed on test",Summary!$B$1:$AB$1,"")))</f>
        <v/>
      </c>
      <c r="D143" s="2">
        <f>C55</f>
        <v/>
      </c>
      <c r="E143" s="2">
        <f>B55</f>
        <v/>
      </c>
      <c r="F143" s="2" t="n">
        <v>5</v>
      </c>
    </row>
    <row r="144">
      <c r="A144" s="2">
        <f>Summary!A44</f>
        <v/>
      </c>
      <c r="B144" s="2">
        <f>IF(C56&gt;0,"YES","NO")</f>
        <v/>
      </c>
      <c r="C144" s="14">
        <f t="array" ref="C145">IF(C56=0,"-",_xlfn.TEXTJOIN(", ",TRUE,IF(Summary!$B$44:$AB$44="Passed on test",Summary!$B$1:$AB$1,"")))</f>
        <v/>
      </c>
      <c r="D144" s="2">
        <f>C56</f>
        <v/>
      </c>
      <c r="E144" s="2">
        <f>B56</f>
        <v/>
      </c>
      <c r="F144" s="2" t="n">
        <v>5</v>
      </c>
    </row>
    <row r="145">
      <c r="A145" s="2">
        <f>Summary!A45</f>
        <v/>
      </c>
      <c r="B145" s="2">
        <f>IF(C57&gt;0,"YES","NO")</f>
        <v/>
      </c>
      <c r="C145" s="14">
        <f t="array" ref="C146">IF(C57=0,"-",_xlfn.TEXTJOIN(", ",TRUE,IF(Summary!$B$45:$AB$45="Passed on test",Summary!$B$1:$AB$1,"")))</f>
        <v/>
      </c>
      <c r="D145" s="2">
        <f>C57</f>
        <v/>
      </c>
      <c r="E145" s="2">
        <f>B57</f>
        <v/>
      </c>
      <c r="F145" s="2" t="n">
        <v>5</v>
      </c>
    </row>
    <row r="146">
      <c r="A146" s="2">
        <f>Summary!A46</f>
        <v/>
      </c>
      <c r="B146" s="2">
        <f>IF(C58&gt;0,"YES","NO")</f>
        <v/>
      </c>
      <c r="C146" s="14">
        <f t="array" ref="C147">IF(C58=0,"-",_xlfn.TEXTJOIN(", ",TRUE,IF(Summary!$B$46:$AB$46="Passed on test",Summary!$B$1:$AB$1,"")))</f>
        <v/>
      </c>
      <c r="D146" s="2">
        <f>C58</f>
        <v/>
      </c>
      <c r="E146" s="2">
        <f>B58</f>
        <v/>
      </c>
      <c r="F146" s="2" t="n">
        <v>5</v>
      </c>
    </row>
    <row r="147">
      <c r="A147" s="2">
        <f>Summary!A47</f>
        <v/>
      </c>
      <c r="B147" s="2">
        <f>IF(C59&gt;0,"YES","NO")</f>
        <v/>
      </c>
      <c r="C147" s="14">
        <f t="array" ref="C148">IF(C59=0,"-",_xlfn.TEXTJOIN(", ",TRUE,IF(Summary!$B$47:$AB$47="Passed on test",Summary!$B$1:$AB$1,"")))</f>
        <v/>
      </c>
      <c r="D147" s="2">
        <f>C59</f>
        <v/>
      </c>
      <c r="E147" s="2">
        <f>B59</f>
        <v/>
      </c>
      <c r="F147" s="2" t="n">
        <v>5</v>
      </c>
    </row>
    <row r="148">
      <c r="A148" s="2">
        <f>Summary!A48</f>
        <v/>
      </c>
      <c r="B148" s="2">
        <f>IF(C60&gt;0,"YES","NO")</f>
        <v/>
      </c>
      <c r="C148" s="14">
        <f t="array" ref="C149">IF(C60=0,"-",_xlfn.TEXTJOIN(", ",TRUE,IF(Summary!$B$48:$AB$48="Passed on test",Summary!$B$1:$AB$1,"")))</f>
        <v/>
      </c>
      <c r="D148" s="2">
        <f>C60</f>
        <v/>
      </c>
      <c r="E148" s="2">
        <f>B60</f>
        <v/>
      </c>
      <c r="F148" s="2" t="n">
        <v>5</v>
      </c>
    </row>
    <row r="149">
      <c r="A149" s="2">
        <f>Summary!A49</f>
        <v/>
      </c>
      <c r="B149" s="2">
        <f>IF(C61&gt;0,"YES","NO")</f>
        <v/>
      </c>
      <c r="C149" s="14">
        <f t="array" ref="C150">IF(C61=0,"-",_xlfn.TEXTJOIN(", ",TRUE,IF(Summary!$B$49:$AB$49="Passed on test",Summary!$B$1:$AB$1,"")))</f>
        <v/>
      </c>
      <c r="D149" s="2">
        <f>C61</f>
        <v/>
      </c>
      <c r="E149" s="2">
        <f>B61</f>
        <v/>
      </c>
      <c r="F149" s="2" t="n">
        <v>5</v>
      </c>
    </row>
    <row r="150">
      <c r="A150" s="2">
        <f>Summary!A50</f>
        <v/>
      </c>
      <c r="B150" s="2">
        <f>IF(C62&gt;0,"YES","NO")</f>
        <v/>
      </c>
      <c r="C150" s="14">
        <f t="array" ref="C151">IF(C62=0,"-",_xlfn.TEXTJOIN(", ",TRUE,IF(Summary!$B$50:$AB$50="Passed on test",Summary!$B$1:$AB$1,"")))</f>
        <v/>
      </c>
      <c r="D150" s="2">
        <f>C62</f>
        <v/>
      </c>
      <c r="E150" s="2">
        <f>B62</f>
        <v/>
      </c>
      <c r="F150" s="2" t="n">
        <v>5</v>
      </c>
    </row>
    <row r="151">
      <c r="A151" s="2">
        <f>Summary!A51</f>
        <v/>
      </c>
      <c r="B151" s="2">
        <f>IF(C63&gt;0,"YES","NO")</f>
        <v/>
      </c>
      <c r="C151" s="14">
        <f t="array" ref="C152">IF(C63=0,"-",_xlfn.TEXTJOIN(", ",TRUE,IF(Summary!$B$51:$AB$51="Passed on test",Summary!$B$1:$AB$1,"")))</f>
        <v/>
      </c>
      <c r="D151" s="2">
        <f>C63</f>
        <v/>
      </c>
      <c r="E151" s="2">
        <f>B63</f>
        <v/>
      </c>
      <c r="F151" s="2" t="n">
        <v>5</v>
      </c>
    </row>
    <row r="152">
      <c r="A152" s="2">
        <f>Summary!A52</f>
        <v/>
      </c>
      <c r="B152" s="2">
        <f>IF(C64&gt;0,"YES","NO")</f>
        <v/>
      </c>
      <c r="C152" s="14">
        <f t="array" ref="C153">IF(C64=0,"-",_xlfn.TEXTJOIN(", ",TRUE,IF(Summary!$B$52:$AB$52="Passed on test",Summary!$B$1:$AB$1,"")))</f>
        <v/>
      </c>
      <c r="D152" s="2">
        <f>C64</f>
        <v/>
      </c>
      <c r="E152" s="2">
        <f>B64</f>
        <v/>
      </c>
      <c r="F152" s="2" t="n">
        <v>6</v>
      </c>
    </row>
    <row r="153">
      <c r="A153" s="2">
        <f>Summary!A53</f>
        <v/>
      </c>
      <c r="B153" s="2">
        <f>IF(C65&gt;0,"YES","NO")</f>
        <v/>
      </c>
      <c r="C153" s="14">
        <f t="array" ref="C154">IF(C65=0,"-",_xlfn.TEXTJOIN(", ",TRUE,IF(Summary!$B$53:$AB$53="Passed on test",Summary!$B$1:$AB$1,"")))</f>
        <v/>
      </c>
      <c r="D153" s="2">
        <f>C65</f>
        <v/>
      </c>
      <c r="E153" s="2">
        <f>B65</f>
        <v/>
      </c>
      <c r="F153" s="2" t="n">
        <v>6</v>
      </c>
    </row>
    <row r="154">
      <c r="A154" s="2">
        <f>Summary!A54</f>
        <v/>
      </c>
      <c r="B154" s="2">
        <f>IF(C66&gt;0,"YES","NO")</f>
        <v/>
      </c>
      <c r="C154" s="14">
        <f t="array" ref="C155">IF(C66=0,"-",_xlfn.TEXTJOIN(", ",TRUE,IF(Summary!$B$54:$AB$54="Passed on test",Summary!$B$1:$AB$1,"")))</f>
        <v/>
      </c>
      <c r="D154" s="2">
        <f>C66</f>
        <v/>
      </c>
      <c r="E154" s="2">
        <f>B66</f>
        <v/>
      </c>
      <c r="F154" s="2" t="n">
        <v>6</v>
      </c>
    </row>
    <row r="155">
      <c r="A155" s="2">
        <f>Summary!A55</f>
        <v/>
      </c>
      <c r="B155" s="2">
        <f>IF(C67&gt;0,"YES","NO")</f>
        <v/>
      </c>
      <c r="C155" s="14">
        <f t="array" ref="C156">IF(C67=0,"-",_xlfn.TEXTJOIN(", ",TRUE,IF(Summary!$B$55:$AB$55="Passed on test",Summary!$B$1:$AB$1,"")))</f>
        <v/>
      </c>
      <c r="D155" s="2">
        <f>C67</f>
        <v/>
      </c>
      <c r="E155" s="2">
        <f>B67</f>
        <v/>
      </c>
      <c r="F155" s="2" t="n">
        <v>6</v>
      </c>
    </row>
    <row r="156">
      <c r="A156" s="2">
        <f>Summary!A56</f>
        <v/>
      </c>
      <c r="B156" s="2">
        <f>IF(C68&gt;0,"YES","NO")</f>
        <v/>
      </c>
      <c r="C156" s="14">
        <f t="array" ref="C157">IF(C68=0,"-",_xlfn.TEXTJOIN(", ",TRUE,IF(Summary!$B$56:$AB$56="Passed on test",Summary!$B$1:$AB$1,"")))</f>
        <v/>
      </c>
      <c r="D156" s="2">
        <f>C68</f>
        <v/>
      </c>
      <c r="E156" s="2">
        <f>B68</f>
        <v/>
      </c>
      <c r="F156" s="2" t="n">
        <v>6</v>
      </c>
    </row>
    <row r="157">
      <c r="A157" s="2">
        <f>Summary!A57</f>
        <v/>
      </c>
      <c r="B157" s="2">
        <f>IF(C69&gt;0,"YES","NO")</f>
        <v/>
      </c>
      <c r="C157" s="14">
        <f t="array" ref="C158">IF(C69=0,"-",_xlfn.TEXTJOIN(", ",TRUE,IF(Summary!$B$57:$AB$57="Passed on test",Summary!$B$1:$AB$1,"")))</f>
        <v/>
      </c>
      <c r="D157" s="2">
        <f>C69</f>
        <v/>
      </c>
      <c r="E157" s="2">
        <f>B69</f>
        <v/>
      </c>
      <c r="F157" s="2" t="n">
        <v>6</v>
      </c>
    </row>
    <row r="158">
      <c r="A158" s="2">
        <f>Summary!A58</f>
        <v/>
      </c>
      <c r="B158" s="2">
        <f>IF(C70&gt;0,"YES","NO")</f>
        <v/>
      </c>
      <c r="C158" s="14">
        <f t="array" ref="C159">IF(C70=0,"-",_xlfn.TEXTJOIN(", ",TRUE,IF(Summary!$B$58:$AB$58="Passed on test",Summary!$B$1:$AB$1,"")))</f>
        <v/>
      </c>
      <c r="D158" s="2">
        <f>C70</f>
        <v/>
      </c>
      <c r="E158" s="2">
        <f>B70</f>
        <v/>
      </c>
      <c r="F158" s="2" t="n">
        <v>6</v>
      </c>
    </row>
    <row r="159">
      <c r="A159" s="2">
        <f>Summary!A59</f>
        <v/>
      </c>
      <c r="B159" s="2">
        <f>IF(C71&gt;0,"YES","NO")</f>
        <v/>
      </c>
      <c r="C159" s="14">
        <f t="array" ref="C160">IF(C71=0,"-",_xlfn.TEXTJOIN(", ",TRUE,IF(Summary!$B$59:$AB$59="Passed on test",Summary!$B$1:$AB$1,"")))</f>
        <v/>
      </c>
      <c r="D159" s="2">
        <f>C71</f>
        <v/>
      </c>
      <c r="E159" s="2">
        <f>B71</f>
        <v/>
      </c>
      <c r="F159" s="2" t="n">
        <v>6</v>
      </c>
    </row>
    <row r="160">
      <c r="A160" s="2">
        <f>Summary!A60</f>
        <v/>
      </c>
      <c r="B160" s="2">
        <f>IF(C72&gt;0,"YES","NO")</f>
        <v/>
      </c>
      <c r="C160" s="14">
        <f t="array" ref="C161">IF(C72=0,"-",_xlfn.TEXTJOIN(", ",TRUE,IF(Summary!$B$60:$AB$60="Passed on test",Summary!$B$1:$AB$1,"")))</f>
        <v/>
      </c>
      <c r="D160" s="2">
        <f>C72</f>
        <v/>
      </c>
      <c r="E160" s="2">
        <f>B72</f>
        <v/>
      </c>
      <c r="F160" s="2" t="n">
        <v>6</v>
      </c>
    </row>
    <row r="161">
      <c r="A161" s="2">
        <f>Summary!A61</f>
        <v/>
      </c>
      <c r="B161" s="2">
        <f>IF(C73&gt;0,"YES","NO")</f>
        <v/>
      </c>
      <c r="C161" s="14">
        <f t="array" ref="C162">IF(C73=0,"-",_xlfn.TEXTJOIN(", ",TRUE,IF(Summary!$B$61:$AB$61="Passed on test",Summary!$B$1:$AB$1,"")))</f>
        <v/>
      </c>
      <c r="D161" s="2">
        <f>C73</f>
        <v/>
      </c>
      <c r="E161" s="2">
        <f>B73</f>
        <v/>
      </c>
      <c r="F161" s="2" t="n">
        <v>6</v>
      </c>
    </row>
    <row r="162">
      <c r="A162" s="2">
        <f>Summary!A62</f>
        <v/>
      </c>
      <c r="B162" s="2">
        <f>IF(C74&gt;0,"YES","NO")</f>
        <v/>
      </c>
      <c r="C162" s="14">
        <f t="array" ref="C163">IF(C74=0,"-",_xlfn.TEXTJOIN(", ",TRUE,IF(Summary!$B$62:$AB$62="Passed on test",Summary!$B$1:$AB$1,"")))</f>
        <v/>
      </c>
      <c r="D162" s="2">
        <f>C74</f>
        <v/>
      </c>
      <c r="E162" s="2">
        <f>B74</f>
        <v/>
      </c>
      <c r="F162" s="2" t="n">
        <v>7</v>
      </c>
    </row>
    <row r="163">
      <c r="A163" s="2">
        <f>Summary!A63</f>
        <v/>
      </c>
      <c r="B163" s="2">
        <f>IF(C75&gt;0,"YES","NO")</f>
        <v/>
      </c>
      <c r="C163" s="14">
        <f t="array" ref="C164">IF(C75=0,"-",_xlfn.TEXTJOIN(", ",TRUE,IF(Summary!$B$63:$AB$63="Passed on test",Summary!$B$1:$AB$1,"")))</f>
        <v/>
      </c>
      <c r="D163" s="2">
        <f>C75</f>
        <v/>
      </c>
      <c r="E163" s="2">
        <f>B75</f>
        <v/>
      </c>
      <c r="F163" s="2" t="n">
        <v>7</v>
      </c>
    </row>
    <row r="164">
      <c r="A164" s="2">
        <f>Summary!A64</f>
        <v/>
      </c>
      <c r="B164" s="2">
        <f>IF(C76&gt;0,"YES","NO")</f>
        <v/>
      </c>
      <c r="C164" s="14">
        <f t="array" ref="C165">IF(C76=0,"-",_xlfn.TEXTJOIN(", ",TRUE,IF(Summary!$B$64:$AB$64="Passed on test",Summary!$B$1:$AB$1,"")))</f>
        <v/>
      </c>
      <c r="D164" s="2">
        <f>C76</f>
        <v/>
      </c>
      <c r="E164" s="2">
        <f>B76</f>
        <v/>
      </c>
      <c r="F164" s="2" t="n">
        <v>7</v>
      </c>
    </row>
    <row r="165">
      <c r="A165" s="2">
        <f>Summary!A65</f>
        <v/>
      </c>
      <c r="B165" s="2">
        <f>IF(C77&gt;0,"YES","NO")</f>
        <v/>
      </c>
      <c r="C165" s="14">
        <f t="array" ref="C166">IF(C77=0,"-",_xlfn.TEXTJOIN(", ",TRUE,IF(Summary!$B$65:$AB$65="Passed on test",Summary!$B$1:$AB$1,"")))</f>
        <v/>
      </c>
      <c r="D165" s="2">
        <f>C77</f>
        <v/>
      </c>
      <c r="E165" s="2">
        <f>B77</f>
        <v/>
      </c>
      <c r="F165" s="2" t="n">
        <v>7</v>
      </c>
    </row>
    <row r="166">
      <c r="A166" s="2">
        <f>Summary!A66</f>
        <v/>
      </c>
      <c r="B166" s="2">
        <f>IF(C78&gt;0,"YES","NO")</f>
        <v/>
      </c>
      <c r="C166" s="14">
        <f t="array" ref="C167">IF(C78=0,"-",_xlfn.TEXTJOIN(", ",TRUE,IF(Summary!$B$66:$AB$66="Passed on test",Summary!$B$1:$AB$1,"")))</f>
        <v/>
      </c>
      <c r="D166" s="2">
        <f>C78</f>
        <v/>
      </c>
      <c r="E166" s="2">
        <f>B78</f>
        <v/>
      </c>
      <c r="F166" s="2" t="n">
        <v>7</v>
      </c>
    </row>
    <row r="167">
      <c r="A167" s="2">
        <f>Summary!A67</f>
        <v/>
      </c>
      <c r="B167" s="2">
        <f>IF(C79&gt;0,"YES","NO")</f>
        <v/>
      </c>
      <c r="C167" s="14">
        <f t="array" ref="C168">IF(C79=0,"-",_xlfn.TEXTJOIN(", ",TRUE,IF(Summary!$B$67:$AB$67="Passed on test",Summary!$B$1:$AB$1,"")))</f>
        <v/>
      </c>
      <c r="D167" s="2">
        <f>C79</f>
        <v/>
      </c>
      <c r="E167" s="2">
        <f>B79</f>
        <v/>
      </c>
      <c r="F167" s="2" t="n">
        <v>7</v>
      </c>
    </row>
    <row r="168">
      <c r="A168" s="2">
        <f>Summary!A68</f>
        <v/>
      </c>
      <c r="B168" s="2">
        <f>IF(C80&gt;0,"YES","NO")</f>
        <v/>
      </c>
      <c r="C168" s="14">
        <f t="array" ref="C169">IF(C80=0,"-",_xlfn.TEXTJOIN(", ",TRUE,IF(Summary!$B$68:$AB$68="Passed on test",Summary!$B$1:$AB$1,"")))</f>
        <v/>
      </c>
      <c r="D168" s="2">
        <f>C80</f>
        <v/>
      </c>
      <c r="E168" s="2">
        <f>B80</f>
        <v/>
      </c>
      <c r="F168" s="2" t="n">
        <v>7</v>
      </c>
    </row>
    <row r="169">
      <c r="A169" s="2">
        <f>Summary!A69</f>
        <v/>
      </c>
      <c r="B169" s="2">
        <f>IF(C81&gt;0,"YES","NO")</f>
        <v/>
      </c>
      <c r="C169" s="14">
        <f t="array" ref="C170">IF(C81=0,"-",_xlfn.TEXTJOIN(", ",TRUE,IF(Summary!$B$69:$AB$69="Passed on test",Summary!$B$1:$AB$1,"")))</f>
        <v/>
      </c>
      <c r="D169" s="2">
        <f>C81</f>
        <v/>
      </c>
      <c r="E169" s="2">
        <f>B81</f>
        <v/>
      </c>
      <c r="F169" s="2" t="n">
        <v>8</v>
      </c>
    </row>
    <row r="170">
      <c r="A170" s="2">
        <f>Summary!A70</f>
        <v/>
      </c>
      <c r="B170" s="2">
        <f>IF(C82&gt;0,"YES","NO")</f>
        <v/>
      </c>
      <c r="C170" s="14">
        <f t="array" ref="C171">IF(C82=0,"-",_xlfn.TEXTJOIN(", ",TRUE,IF(Summary!$B$70:$AB$70="Passed on test",Summary!$B$1:$AB$1,"")))</f>
        <v/>
      </c>
      <c r="D170" s="2">
        <f>C82</f>
        <v/>
      </c>
      <c r="E170" s="2">
        <f>B82</f>
        <v/>
      </c>
      <c r="F170" s="2" t="n">
        <v>8</v>
      </c>
    </row>
    <row r="171">
      <c r="A171" s="2">
        <f>Summary!A71</f>
        <v/>
      </c>
      <c r="B171" s="2">
        <f>IF(C83&gt;0,"YES","NO")</f>
        <v/>
      </c>
      <c r="C171" s="14">
        <f t="array" ref="C172">IF(C83=0,"-",_xlfn.TEXTJOIN(", ",TRUE,IF(Summary!$B$71:$AB$71="Passed on test",Summary!$B$1:$AB$1,"")))</f>
        <v/>
      </c>
      <c r="D171" s="2">
        <f>C83</f>
        <v/>
      </c>
      <c r="E171" s="2">
        <f>B83</f>
        <v/>
      </c>
      <c r="F171" s="2" t="n">
        <v>8</v>
      </c>
    </row>
    <row r="172">
      <c r="A172" s="2">
        <f>Summary!A72</f>
        <v/>
      </c>
      <c r="B172" s="2">
        <f>IF(C84&gt;0,"YES","NO")</f>
        <v/>
      </c>
      <c r="C172" s="14">
        <f t="array" ref="C173">IF(C84=0,"-",_xlfn.TEXTJOIN(", ",TRUE,IF(Summary!$B$72:$AB$72="Passed on test",Summary!$B$1:$AB$1,"")))</f>
        <v/>
      </c>
      <c r="D172" s="2">
        <f>C84</f>
        <v/>
      </c>
      <c r="E172" s="2">
        <f>B84</f>
        <v/>
      </c>
      <c r="F172" s="2" t="n">
        <v>8</v>
      </c>
    </row>
    <row r="173">
      <c r="A173" s="2">
        <f>Summary!A73</f>
        <v/>
      </c>
      <c r="B173" s="2">
        <f>IF(C85&gt;0,"YES","NO")</f>
        <v/>
      </c>
      <c r="C173" s="14">
        <f t="array" ref="C174">IF(C85=0,"-",_xlfn.TEXTJOIN(", ",TRUE,IF(Summary!$B$73:$AB$73="Passed on test",Summary!$B$1:$AB$1,"")))</f>
        <v/>
      </c>
      <c r="D173" s="2">
        <f>C85</f>
        <v/>
      </c>
      <c r="E173" s="2">
        <f>B85</f>
        <v/>
      </c>
      <c r="F173" s="2" t="n">
        <v>8</v>
      </c>
    </row>
    <row r="174">
      <c r="A174" s="2" t="n"/>
      <c r="B174" s="2" t="n"/>
      <c r="C174" s="14" t="n"/>
      <c r="D174" s="2" t="n"/>
      <c r="E174" s="2" t="n"/>
      <c r="F174" s="2" t="n"/>
    </row>
    <row r="175">
      <c r="A175" s="2" t="n"/>
      <c r="B175" s="2" t="n"/>
      <c r="C175" s="14" t="n"/>
      <c r="D175" s="2" t="n"/>
      <c r="E175" s="2" t="n"/>
      <c r="F175" s="2" t="n"/>
    </row>
    <row r="176">
      <c r="A176">
        <f>IF(B99=0,"Every case passed on either all or none of its versions, so the at-least-one count equals the strict count.","Some cases passed on only part of their versions; see the table above.")</f>
        <v/>
      </c>
    </row>
    <row r="177"/>
    <row r="178">
      <c r="A178" s="7" t="inlineStr">
        <is>
          <t>5. Notes: every case, its versions and what happened</t>
        </is>
      </c>
    </row>
    <row r="179">
      <c r="A179" s="1" t="inlineStr">
        <is>
          <t>Result</t>
        </is>
      </c>
      <c r="B179" s="1" t="inlineStr">
        <is>
          <t>Case</t>
        </is>
      </c>
      <c r="C179" s="1" t="inlineStr">
        <is>
          <t>Versions</t>
        </is>
      </c>
      <c r="D179" s="1" t="inlineStr">
        <is>
          <t># versions</t>
        </is>
      </c>
      <c r="E179" s="1" t="inlineStr">
        <is>
          <t>Error type</t>
        </is>
      </c>
      <c r="F179" s="1" t="inlineStr">
        <is>
          <t>Error message (last traceback line)</t>
        </is>
      </c>
      <c r="G179" s="1" t="inlineStr">
        <is>
          <t>What happened (plain English)</t>
        </is>
      </c>
      <c r="H179" s="1" t="inlineStr">
        <is>
          <t>Batch</t>
        </is>
      </c>
    </row>
    <row r="180">
      <c r="A180" s="15" t="inlineStr">
        <is>
          <t>Passed on test</t>
        </is>
      </c>
      <c r="B180" s="14" t="inlineStr">
        <is>
          <t>issue_009</t>
        </is>
      </c>
      <c r="C180" s="14" t="inlineStr">
        <is>
          <t>0.45.0, 0.45.1, 0.45.2, 0.45.3, 0.46.0, 0.46.1, 0.46.2, 0.46.3</t>
        </is>
      </c>
      <c r="D180" s="14" t="n">
        <v>8</v>
      </c>
      <c r="E180" s="14" t="n"/>
      <c r="F180" s="14" t="n"/>
      <c r="G180" s="14" t="inlineStr">
        <is>
          <t>The LLM ran CSPLayout explicitly through a PassManager on the backend's coupling map and passed the layout it found to transpile() as initial_layout, instead of the invalid layout_method='csp_layout'. Same approach as gpt-6-astra and gpt-6-luna; gpt-5.6-luna applied the layout with ApplyLayout, which rejects a 3-qubit layout on a 5-qubit backend, and crashed.</t>
        </is>
      </c>
      <c r="H180" s="14" t="n">
        <v>1</v>
      </c>
    </row>
    <row r="181">
      <c r="A181" s="15" t="inlineStr">
        <is>
          <t>Passed on test</t>
        </is>
      </c>
      <c r="B181" s="14" t="inlineStr">
        <is>
          <t>issue_021_se</t>
        </is>
      </c>
      <c r="C181" s="14" t="inlineStr">
        <is>
          <t>0.25.0, 0.25.1, 0.25.2, 0.25.3, 0.45.0, 0.45.1, 0.45.2, 0.45.3, 0.46.0, 0.46.1, 0.46.2, 0.46.3</t>
        </is>
      </c>
      <c r="D181" s="14" t="n">
        <v>12</v>
      </c>
      <c r="E181" s="14" t="n"/>
      <c r="F181" s="14" t="n"/>
      <c r="G181" s="14" t="inlineStr">
        <is>
          <t>The LLM called assemble(transpile(circuit, svsim)), which fully unrolls both the custom CNOTNOT gate and initialize into instructions Aer supports (same code as gpt-6-astra). Both luna models used circuit.decompose(), which only expands one level, and crashed.</t>
        </is>
      </c>
      <c r="H181" s="14" t="n">
        <v>1</v>
      </c>
    </row>
    <row r="182">
      <c r="A182" s="15" t="inlineStr">
        <is>
          <t>Passed on test</t>
        </is>
      </c>
      <c r="B182" s="14" t="inlineStr">
        <is>
          <t>issue_032_se</t>
        </is>
      </c>
      <c r="C182" s="14" t="inlineStr">
        <is>
          <t>0.25.0, 0.25.1, 0.25.2, 0.25.3</t>
        </is>
      </c>
      <c r="D182" s="14" t="n">
        <v>4</v>
      </c>
      <c r="E182" s="14" t="n"/>
      <c r="F182" s="14" t="n"/>
      <c r="G182" s="14" t="inlineStr">
        <is>
          <t>The LLM imported iSwapGate and passed iSwapGate() as entanglement_blocks instead of the unrecognised string 'iswap' (same code as the other three models).</t>
        </is>
      </c>
      <c r="H182" s="14" t="n">
        <v>1</v>
      </c>
    </row>
    <row r="183">
      <c r="A183" s="15" t="inlineStr">
        <is>
          <t>Passed on test</t>
        </is>
      </c>
      <c r="B183" s="14" t="inlineStr">
        <is>
          <t>issue_034</t>
        </is>
      </c>
      <c r="C183" s="14" t="inlineStr">
        <is>
          <t>1.0.0, 1.0.1, 1.0.2, 1.1.0, 1.1.1, 1.1.2, 1.2.0, 1.2.1, 1.2.2, 1.2.4, 2.0.0, 2.2.0, 2.3.0, 2.4.0, 2.5.0</t>
        </is>
      </c>
      <c r="D183" s="14" t="n">
        <v>15</v>
      </c>
      <c r="E183" s="14" t="n"/>
      <c r="F183" s="14" t="n"/>
      <c r="G183" s="14" t="inlineStr">
        <is>
          <t>The LLM imported Aer from qiskit_aer instead of qiskit, where it no longer exists (same code as the other three models).</t>
        </is>
      </c>
      <c r="H183" s="14" t="n">
        <v>1</v>
      </c>
    </row>
    <row r="184">
      <c r="A184" s="15" t="inlineStr">
        <is>
          <t>Passed on test</t>
        </is>
      </c>
      <c r="B184" s="14" t="inlineStr">
        <is>
          <t>issue_036</t>
        </is>
      </c>
      <c r="C184" s="14" t="inlineStr">
        <is>
          <t>1.0.0, 1.0.1, 1.0.2, 1.1.0, 1.1.1, 1.1.2, 1.2.0, 1.2.1, 1.2.2, 1.2.4, 2.0.0, 2.2.0, 2.3.0, 2.4.0, 2.5.0</t>
        </is>
      </c>
      <c r="D184" s="14" t="n">
        <v>15</v>
      </c>
      <c r="E184" s="14" t="n"/>
      <c r="F184" s="14" t="n"/>
      <c r="G184" s="14" t="inlineStr">
        <is>
          <t>The LLM imported qiskit.qasm2 and replaced the removed QuantumCircuit.qasm() with qiskit.qasm2.dumps(c) (same code as gpt-6-astra).</t>
        </is>
      </c>
      <c r="H184" s="14" t="n">
        <v>1</v>
      </c>
    </row>
    <row r="185">
      <c r="A185" s="15" t="inlineStr">
        <is>
          <t>Passed on test</t>
        </is>
      </c>
      <c r="B185" s="14" t="inlineStr">
        <is>
          <t>issue_058_se</t>
        </is>
      </c>
      <c r="C185" s="14" t="inlineStr">
        <is>
          <t>0.25.0, 0.25.1, 0.25.2, 0.25.3, 0.45.0, 0.45.1, 0.45.2, 0.45.3, 0.46.0, 0.46.1, 0.46.2, 0.46.3</t>
        </is>
      </c>
      <c r="D185" s="14" t="n">
        <v>12</v>
      </c>
      <c r="E185" s="14" t="n"/>
      <c r="F185" s="14" t="n"/>
      <c r="G185" s="14" t="inlineStr">
        <is>
          <t>The LLM transpiled the circuit for the backend before backend.run(), so the custom diffuser gate is decomposed into gates Aer supports (same code as gpt-6-astra and gpt-6-luna).</t>
        </is>
      </c>
      <c r="H185" s="14" t="n">
        <v>1</v>
      </c>
    </row>
    <row r="186">
      <c r="A186" s="15" t="inlineStr">
        <is>
          <t>Passed on test</t>
        </is>
      </c>
      <c r="B186" s="14" t="inlineStr">
        <is>
          <t>issue_061</t>
        </is>
      </c>
      <c r="C186" s="14" t="inlineStr">
        <is>
          <t>1.0.0, 1.0.1, 1.0.2, 1.1.0, 1.1.1, 1.1.2, 1.2.0, 1.2.1, 1.2.2, 1.2.4, 2.0.0, 2.2.0, 2.3.0, 2.4.0, 2.5.0</t>
        </is>
      </c>
      <c r="D186" s="14" t="n">
        <v>15</v>
      </c>
      <c r="E186" s="14" t="n"/>
      <c r="F186" s="14" t="n"/>
      <c r="G186" s="14" t="inlineStr">
        <is>
          <t>The LLM read the register and register-local index through qc.find_bit(qbit).registers[0] instead of the removed Bit.register / Bit.index attributes (same code as gpt-6-astra and gpt-5.6-luna).</t>
        </is>
      </c>
      <c r="H186" s="14" t="n">
        <v>1</v>
      </c>
    </row>
    <row r="187">
      <c r="A187" s="15" t="inlineStr">
        <is>
          <t>Passed on test</t>
        </is>
      </c>
      <c r="B187" s="14" t="inlineStr">
        <is>
          <t>issue_072</t>
        </is>
      </c>
      <c r="C187" s="14" t="inlineStr">
        <is>
          <t>0.25.0, 0.25.1, 0.25.2, 0.25.3</t>
        </is>
      </c>
      <c r="D187" s="14" t="n">
        <v>4</v>
      </c>
      <c r="E187" s="14" t="n"/>
      <c r="F187" s="14" t="n"/>
      <c r="G187" s="14" t="inlineStr">
        <is>
          <t>Qreg[0] and qreg[5] were both mapped to physical qubit 12; the LLM mapped qreg[5] to the unused qubit 15, so the initial layout is valid (same code as the other three models).</t>
        </is>
      </c>
      <c r="H187" s="14" t="n">
        <v>1</v>
      </c>
    </row>
    <row r="188">
      <c r="A188" s="16" t="inlineStr">
        <is>
          <t>Failed on test</t>
        </is>
      </c>
      <c r="B188" s="14" t="inlineStr">
        <is>
          <t>issue_096</t>
        </is>
      </c>
      <c r="C188" s="14" t="inlineStr">
        <is>
          <t>0.25.0, 0.25.1, 0.25.2, 0.25.3, 0.45.0, 0.45.1, 0.45.2, 0.45.3, 0.46.0, 0.46.1, 0.46.2, 0.46.3, 1.0.0, 1.0.1, 1.0.2, 1.1.0, 1.1.1, 1.1.2, 1.2.0, 1.2.1, 1.2.2, 1.2.4, 2.0.0, 2.2.0, 2.3.0, 2.4.0, 2.5.0</t>
        </is>
      </c>
      <c r="D188" s="14" t="n">
        <v>27</v>
      </c>
      <c r="E188" s="14" t="inlineStr">
        <is>
          <t>AssertionError</t>
        </is>
      </c>
      <c r="F188" s="14" t="inlineStr">
        <is>
          <t>AssertionError: '' != '[default]\n'; AssertionError: False is not true : Missing ipython_kernel_config.py (even when the profile directory already exists)</t>
        </is>
      </c>
      <c r="G188" s="14" t="inlineStr">
        <is>
          <t>The LLM creates ~/.qiskit and an empty settings.conf when they are missing, which stops the crash, but the test expects the file to contain a [default] section and the IPython profile's ipython_kernel_config.py to be created, which the fix does not do. Same code as gpt-6-luna; all four models fail this case.</t>
        </is>
      </c>
      <c r="H188" s="14" t="n">
        <v>1</v>
      </c>
    </row>
    <row r="189">
      <c r="A189" s="15" t="inlineStr">
        <is>
          <t>Passed on test</t>
        </is>
      </c>
      <c r="B189" s="14" t="inlineStr">
        <is>
          <t>issue_155</t>
        </is>
      </c>
      <c r="C189" s="14" t="inlineStr">
        <is>
          <t>0.45.0, 0.45.1, 0.45.2, 0.45.3, 0.46.0, 0.46.1, 0.46.2, 0.46.3</t>
        </is>
      </c>
      <c r="D189" s="14" t="n">
        <v>8</v>
      </c>
      <c r="E189" s="14" t="n"/>
      <c r="F189" s="14" t="n"/>
      <c r="G189" s="14" t="inlineStr">
        <is>
          <t>Error on 0.25.x, passed on 0.45.x / 0.46.x: the LLM turned the traced-out registers into qubit indices with qc.find_bit(qubit).index, which is correct but QuantumCircuit.find_bit() doesn't exist yet in Qiskit 0.25 (AttributeError). Same code as gpt-6-astra and the same approach as gpt-6-luna; gpt-5.6-luna used qc.qubits.index() and passed on all 12 versions.</t>
        </is>
      </c>
      <c r="H189" s="14" t="n">
        <v>2</v>
      </c>
    </row>
    <row r="190">
      <c r="A190" s="17" t="inlineStr">
        <is>
          <t>Runtime error</t>
        </is>
      </c>
      <c r="B190" s="14" t="inlineStr">
        <is>
          <t>issue_155</t>
        </is>
      </c>
      <c r="C190" s="14" t="inlineStr">
        <is>
          <t>0.25.0, 0.25.1, 0.25.2, 0.25.3</t>
        </is>
      </c>
      <c r="D190" s="14" t="n">
        <v>4</v>
      </c>
      <c r="E190" s="14" t="inlineStr">
        <is>
          <t>AttributeError</t>
        </is>
      </c>
      <c r="F190" s="14" t="inlineStr">
        <is>
          <t>AttributeError: 'QuantumCircuit' object has no attribute 'find_bit'</t>
        </is>
      </c>
      <c r="G190" s="14" t="inlineStr">
        <is>
          <t>Error on 0.25.x, passed on 0.45.x / 0.46.x: the LLM turned the traced-out registers into qubit indices with qc.find_bit(qubit).index, which is correct but QuantumCircuit.find_bit() doesn't exist yet in Qiskit 0.25 (AttributeError). Same code as gpt-6-astra and the same approach as gpt-6-luna; gpt-5.6-luna used qc.qubits.index() and passed on all 12 versions.</t>
        </is>
      </c>
      <c r="H190" s="14" t="n">
        <v>2</v>
      </c>
    </row>
    <row r="191">
      <c r="A191" s="15" t="inlineStr">
        <is>
          <t>Passed on test</t>
        </is>
      </c>
      <c r="B191" s="14" t="inlineStr">
        <is>
          <t>issue_157</t>
        </is>
      </c>
      <c r="C191" s="14" t="inlineStr">
        <is>
          <t>0.45.0, 0.45.1, 0.45.2, 0.45.3, 0.46.0, 0.46.1, 0.46.2, 0.46.3</t>
        </is>
      </c>
      <c r="D191" s="14" t="n">
        <v>8</v>
      </c>
      <c r="E191" s="14" t="n"/>
      <c r="F191" s="14" t="n"/>
      <c r="G191" s="14" t="inlineStr">
        <is>
          <t>Error on 0.25.x, passed on 0.45.x / 0.46.x: the LLM replaced initialize() (which contains a non-unitary reset and can't be controlled) with prepare_state(), which is correct but doesn't exist yet in Qiskit 0.25 (AttributeError). Same code as the other three models.</t>
        </is>
      </c>
      <c r="H191" s="14" t="n">
        <v>2</v>
      </c>
    </row>
    <row r="192">
      <c r="A192" s="17" t="inlineStr">
        <is>
          <t>Runtime error</t>
        </is>
      </c>
      <c r="B192" s="14" t="inlineStr">
        <is>
          <t>issue_157</t>
        </is>
      </c>
      <c r="C192" s="14" t="inlineStr">
        <is>
          <t>0.25.0, 0.25.1, 0.25.2, 0.25.3</t>
        </is>
      </c>
      <c r="D192" s="14" t="n">
        <v>4</v>
      </c>
      <c r="E192" s="14" t="inlineStr">
        <is>
          <t>AttributeError</t>
        </is>
      </c>
      <c r="F192" s="14" t="inlineStr">
        <is>
          <t>AttributeError: 'QuantumCircuit' object has no attribute 'prepare_state'</t>
        </is>
      </c>
      <c r="G192" s="14" t="inlineStr">
        <is>
          <t>Error on 0.25.x, passed on 0.45.x / 0.46.x: the LLM replaced initialize() (which contains a non-unitary reset and can't be controlled) with prepare_state(), which is correct but doesn't exist yet in Qiskit 0.25 (AttributeError). Same code as the other three models.</t>
        </is>
      </c>
      <c r="H192" s="14" t="n">
        <v>2</v>
      </c>
    </row>
    <row r="193">
      <c r="A193" s="15" t="inlineStr">
        <is>
          <t>Passed on test</t>
        </is>
      </c>
      <c r="B193" s="14" t="inlineStr">
        <is>
          <t>issue_174</t>
        </is>
      </c>
      <c r="C193" s="14" t="inlineStr">
        <is>
          <t>0.25.0, 0.25.1, 0.25.2, 0.25.3, 0.45.0, 0.45.1, 0.45.2, 0.45.3, 0.46.0, 0.46.1, 0.46.2, 0.46.3</t>
        </is>
      </c>
      <c r="D193" s="14" t="n">
        <v>12</v>
      </c>
      <c r="E193" s="14" t="n"/>
      <c r="F193" s="14" t="n"/>
      <c r="G193" s="14" t="inlineStr">
        <is>
          <t>The LLM changed all six conditions to if (c==1), like the reference, and put its '# FIX:' comment above the QASM string (same code as gpt-6-astra). Both luna models made the same QASM change but put the comment inside the string, where '#' is not valid OpenQASM, so their fixes crashed.</t>
        </is>
      </c>
      <c r="H193" s="14" t="n">
        <v>2</v>
      </c>
    </row>
    <row r="194">
      <c r="A194" s="15" t="inlineStr">
        <is>
          <t>Failed on test</t>
        </is>
      </c>
      <c r="B194" s="14" t="inlineStr">
        <is>
          <t>issue_189</t>
        </is>
      </c>
      <c r="C194" s="14" t="inlineStr">
        <is>
          <t>0.45.0, 0.45.1, 0.45.2, 0.45.3, 0.46.0, 0.46.1, 0.46.2, 0.46.3, 1.0.0, 1.0.1, 1.0.2, 1.1.0, 1.1.1, 1.1.2, 1.2.0, 1.2.1, 1.2.2, 1.2.4, 2.0.0, 2.2.0, 2.3.0, 2.4.0, 2.5.0</t>
        </is>
      </c>
      <c r="D194" s="14" t="n">
        <v>23</v>
      </c>
      <c r="E194" s="14" t="inlineStr">
        <is>
          <t>AssertionError</t>
        </is>
      </c>
      <c r="F194" s="14" t="inlineStr">
        <is>
          <t>AssertionError: Lists differ: [2, 3, 4, 5, 6, 7, 8] != [0, 3, 4, 5, 6, 7, 8]</t>
        </is>
      </c>
      <c r="G194" s="14" t="inlineStr">
        <is>
          <t>Rescored 19 Oct 2026 on Nick's main test. gpt-6.1-sol 0 pass / 23 fail / 0 error.</t>
        </is>
      </c>
      <c r="H194" s="14" t="n">
        <v>2</v>
      </c>
    </row>
    <row r="195">
      <c r="A195" s="15" t="inlineStr">
        <is>
          <t>Passed on test</t>
        </is>
      </c>
      <c r="B195" s="14" t="inlineStr">
        <is>
          <t>issue_225</t>
        </is>
      </c>
      <c r="C195" s="14" t="inlineStr">
        <is>
          <t>0.45.0, 0.45.1, 0.45.2, 0.45.3, 0.46.0, 0.46.1, 0.46.2, 0.46.3</t>
        </is>
      </c>
      <c r="D195" s="14" t="n">
        <v>8</v>
      </c>
      <c r="E195" s="14" t="n"/>
      <c r="F195" s="14" t="n"/>
      <c r="G195" s="14" t="inlineStr">
        <is>
          <t>The LLM reshaped the Statevector's .data array instead of calling reshape() on the Statevector object (same code as the other three models).</t>
        </is>
      </c>
      <c r="H195" s="14" t="n">
        <v>2</v>
      </c>
    </row>
    <row r="196">
      <c r="A196" s="15" t="inlineStr">
        <is>
          <t>Passed on test</t>
        </is>
      </c>
      <c r="B196" s="14" t="inlineStr">
        <is>
          <t>issue_233</t>
        </is>
      </c>
      <c r="C196" s="14" t="inlineStr">
        <is>
          <t>0.25.0, 0.25.1, 0.25.2, 0.25.3, 0.45.0, 0.45.1, 0.45.2, 0.45.3, 0.46.0, 0.46.1, 0.46.2, 0.46.3, 1.0.0, 1.0.1, 1.0.2, 1.1.0, 1.1.1, 1.1.2, 1.2.0, 1.2.1, 1.2.2, 1.2.4, 2.0.0, 2.2.0, 2.3.0, 2.4.0, 2.5.0</t>
        </is>
      </c>
      <c r="D196" s="14" t="n">
        <v>27</v>
      </c>
      <c r="E196" s="14" t="n"/>
      <c r="F196" s="14" t="n"/>
      <c r="G196" s="14" t="inlineStr">
        <is>
          <t>The LLM replaced both rot.num_parameters_settable() calls with rot.num_parameters (same code as gpt-6-astra). Both luna models replaced only the second call and kept the first, which raises TypeError because num_parameters_settable is an int property.</t>
        </is>
      </c>
      <c r="H196" s="14" t="n">
        <v>2</v>
      </c>
    </row>
    <row r="197">
      <c r="A197" s="15" t="inlineStr">
        <is>
          <t>Passed on test</t>
        </is>
      </c>
      <c r="B197" s="14" t="inlineStr">
        <is>
          <t>issue_261</t>
        </is>
      </c>
      <c r="C197" s="14" t="inlineStr">
        <is>
          <t>0.25.0, 0.25.1, 0.25.2, 0.25.3, 0.45.0, 0.45.1, 0.45.2, 0.45.3, 0.46.0, 0.46.1, 0.46.2, 0.46.3</t>
        </is>
      </c>
      <c r="D197" s="14" t="n">
        <v>12</v>
      </c>
      <c r="E197" s="14" t="n"/>
      <c r="F197" s="14" t="n"/>
      <c r="G197" s="14" t="inlineStr">
        <is>
          <t>The LLM replaced PauliOp(hamiltonian_string) with eval(hamiltonian_string), the same fix as the reference (same code as the other three models).</t>
        </is>
      </c>
      <c r="H197" s="14" t="n">
        <v>2</v>
      </c>
    </row>
    <row r="198">
      <c r="A198" s="15" t="inlineStr">
        <is>
          <t>Passed on test</t>
        </is>
      </c>
      <c r="B198" s="14" t="inlineStr">
        <is>
          <t>issue_280</t>
        </is>
      </c>
      <c r="C198" s="14" t="inlineStr">
        <is>
          <t>0.25.0, 0.25.1, 0.25.2, 0.25.3, 0.45.0, 0.45.1, 0.45.2, 0.45.3, 0.46.0, 0.46.1, 0.46.2, 0.46.3</t>
        </is>
      </c>
      <c r="D198" s="14" t="n">
        <v>12</v>
      </c>
      <c r="E198" s="14" t="n"/>
      <c r="F198" s="14" t="n"/>
      <c r="G198" s="14" t="inlineStr">
        <is>
          <t>The LLM used a two-qubit depolarizing_error(0.05, 2) for the cx gate instead of the one-qubit error (same code as gpt-6-astra and gpt-6-luna).</t>
        </is>
      </c>
      <c r="H198" s="14" t="n">
        <v>2</v>
      </c>
    </row>
    <row r="199">
      <c r="A199" s="15" t="inlineStr">
        <is>
          <t>Passed on test</t>
        </is>
      </c>
      <c r="B199" s="14" t="inlineStr">
        <is>
          <t>issue_295</t>
        </is>
      </c>
      <c r="C199" s="14" t="inlineStr">
        <is>
          <t>0.45.0, 0.45.1, 0.45.2, 0.45.3, 0.46.0, 0.46.1, 0.46.2, 0.46.3</t>
        </is>
      </c>
      <c r="D199" s="14" t="n">
        <v>8</v>
      </c>
      <c r="E199" s="14" t="n"/>
      <c r="F199" s="14" t="n"/>
      <c r="G199" s="14" t="inlineStr">
        <is>
          <t>The LLM replaced circuit += oracle with circuit.compose(oracle, inplace=True) (same code as the other three models).</t>
        </is>
      </c>
      <c r="H199" s="14" t="n">
        <v>2</v>
      </c>
    </row>
    <row r="200">
      <c r="A200" s="17" t="inlineStr">
        <is>
          <t>Runtime error</t>
        </is>
      </c>
      <c r="B200" s="14" t="inlineStr">
        <is>
          <t>issue_315</t>
        </is>
      </c>
      <c r="C200" s="14" t="inlineStr">
        <is>
          <t>0.45.0, 0.45.1, 0.45.2, 0.45.3, 0.46.0, 0.46.1, 0.46.2, 0.46.3, 1.0.0, 1.0.1, 1.0.2, 1.1.0, 1.1.1, 1.1.2, 1.2.0, 1.2.1, 1.2.2, 1.2.4, 2.0.0, 2.2.0, 2.3.0, 2.4.0, 2.5.0</t>
        </is>
      </c>
      <c r="D200" s="14" t="n">
        <v>23</v>
      </c>
      <c r="E200" s="14" t="inlineStr">
        <is>
          <t>ModuleNotFoundError, KeyError</t>
        </is>
      </c>
      <c r="F200" s="14" t="inlineStr">
        <is>
          <t>KeyError: 'max_parallel_threads'; AttributeError: Option max_parallel_threads is not defined</t>
        </is>
      </c>
      <c r="G200" s="14"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gpt-6-astra and gpt-5.6-luna.</t>
        </is>
      </c>
      <c r="H200" s="14" t="n">
        <v>2</v>
      </c>
    </row>
    <row r="201">
      <c r="A201" s="15" t="inlineStr">
        <is>
          <t>Passed on test</t>
        </is>
      </c>
      <c r="B201" s="14" t="inlineStr">
        <is>
          <t>issue_344</t>
        </is>
      </c>
      <c r="C201" s="14" t="inlineStr">
        <is>
          <t>0.25.0, 0.25.1, 0.25.2, 0.25.3, 0.45.0, 0.45.1, 0.45.2, 0.45.3, 0.46.0, 0.46.1, 0.46.2, 0.46.3</t>
        </is>
      </c>
      <c r="D201" s="14" t="n">
        <v>12</v>
      </c>
      <c r="E201" s="14" t="n"/>
      <c r="F201" s="14" t="n"/>
      <c r="G201" s="14" t="inlineStr">
        <is>
          <t>The LLM dropped decimals=3 from get_statevector(), so the rounded amplitudes no longer break the normalization check in entropy() (same code as gpt-6-astra and gpt-6-luna).</t>
        </is>
      </c>
      <c r="H201" s="14" t="n">
        <v>3</v>
      </c>
    </row>
    <row r="202">
      <c r="A202" s="15" t="inlineStr">
        <is>
          <t>Passed on test</t>
        </is>
      </c>
      <c r="B202" s="14" t="inlineStr">
        <is>
          <t>issue_362</t>
        </is>
      </c>
      <c r="C202" s="14" t="inlineStr">
        <is>
          <t>0.45.0, 0.45.1, 0.45.2, 0.45.3, 0.46.0, 0.46.1, 0.46.2, 0.46.3, 1.0.0, 1.0.1, 1.0.2, 1.1.0, 1.1.1, 1.1.2, 1.2.0, 1.2.1, 1.2.2, 1.2.4, 2.0.0, 2.2.0, 2.3.0, 2.4.0, 2.5.0</t>
        </is>
      </c>
      <c r="D202" s="14" t="n">
        <v>23</v>
      </c>
      <c r="E202" s="14" t="n"/>
      <c r="F202" s="14" t="n"/>
      <c r="G202" s="14" t="inlineStr">
        <is>
          <t>The LLM added circuit.save_unitary(), so AerSimulator returns the unitary (same code as gpt-6-astra and gpt-5.6-luna).</t>
        </is>
      </c>
      <c r="H202" s="14" t="n">
        <v>3</v>
      </c>
    </row>
    <row r="203">
      <c r="A203" s="15" t="inlineStr">
        <is>
          <t>Passed on test</t>
        </is>
      </c>
      <c r="B203" s="14" t="inlineStr">
        <is>
          <t>issue_369</t>
        </is>
      </c>
      <c r="C203" s="14" t="inlineStr">
        <is>
          <t>0.25.0, 0.25.1, 0.25.2, 0.25.3, 0.45.0, 0.45.1, 0.45.2, 0.45.3, 0.46.0, 0.46.1, 0.46.2, 0.46.3, 1.0.0, 1.0.1, 1.0.2, 1.1.0, 1.1.1, 1.1.2, 1.2.0, 1.2.1, 1.2.2, 1.2.4, 2.0.0, 2.2.0, 2.3.0, 2.4.0, 2.5.0</t>
        </is>
      </c>
      <c r="D203" s="14" t="n">
        <v>27</v>
      </c>
      <c r="E203" s="14" t="n"/>
      <c r="F203" s="14" t="n"/>
      <c r="G203" s="14" t="inlineStr">
        <is>
          <t>The LLM mapped the control and all 16 subcircuit qubits in compose(csub, [i] + list(range(1, 17))) instead of only the control wire (same code as gpt-6-astra).</t>
        </is>
      </c>
      <c r="H203" s="14" t="n">
        <v>3</v>
      </c>
    </row>
    <row r="204">
      <c r="A204" s="16" t="inlineStr">
        <is>
          <t>Failed on test</t>
        </is>
      </c>
      <c r="B204" s="14" t="inlineStr">
        <is>
          <t>issue_396</t>
        </is>
      </c>
      <c r="C204" s="14" t="inlineStr">
        <is>
          <t>0.45.0, 0.45.1, 0.45.2, 0.45.3, 0.46.0, 0.46.1, 0.46.2, 0.46.3, 1.0.0, 1.0.1, 1.0.2, 1.1.0, 1.1.1, 1.1.2, 1.2.0, 1.2.1, 1.2.2, 1.2.4, 2.0.0, 2.2.0, 2.3.0, 2.4.0, 2.5.0</t>
        </is>
      </c>
      <c r="D204" s="14" t="n">
        <v>23</v>
      </c>
      <c r="E204" s="14" t="inlineStr">
        <is>
          <t>AssertionError</t>
        </is>
      </c>
      <c r="F204" s="14" t="inlineStr">
        <is>
          <t>AssertionError:</t>
        </is>
      </c>
      <c r="G204" s="14"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H204" s="14" t="n">
        <v>3</v>
      </c>
    </row>
    <row r="205">
      <c r="A205" s="17" t="inlineStr">
        <is>
          <t>Runtime error</t>
        </is>
      </c>
      <c r="B205" s="14" t="inlineStr">
        <is>
          <t>issue_396</t>
        </is>
      </c>
      <c r="C205" s="14" t="inlineStr">
        <is>
          <t>0.25.0, 0.25.1, 0.25.2, 0.25.3</t>
        </is>
      </c>
      <c r="D205" s="14" t="n">
        <v>4</v>
      </c>
      <c r="E205" s="14" t="inlineStr">
        <is>
          <t>ImportError</t>
        </is>
      </c>
      <c r="F205" s="14" t="inlineStr">
        <is>
          <t>ImportError: cannot import name 'DiagonalGate' from 'qiskit.circuit.library' (C:\qiskit_envs\q0250\lib\site-packages\qiskit\circuit\library\__init__.py)</t>
        </is>
      </c>
      <c r="G205" s="14" t="inlineStr">
        <is>
          <t>Error on 0.25.x, failed on the other 23 versions: the LLM built the oracle as DiagonalGate(...).definition with -1 on the two targets and +1 elsewhere, and the oracle check passes, but that circuit carries a global phase of pi/4, which GroverOperator drops, so the Grover operator is off by a factor e^(-i*pi/4) and the test compares it exactly. DiagonalGate doesn't exist yet in Qiskit 0.25 (ImportError). gpt-6-astra used the Diagonal circuit, which passes on 23 versions.</t>
        </is>
      </c>
      <c r="H205" s="14" t="n">
        <v>3</v>
      </c>
    </row>
    <row r="206">
      <c r="A206" s="16" t="inlineStr">
        <is>
          <t>Failed on test</t>
        </is>
      </c>
      <c r="B206" s="14" t="inlineStr">
        <is>
          <t>issue_415</t>
        </is>
      </c>
      <c r="C206" s="14" t="inlineStr">
        <is>
          <t>0.25.0, 0.25.1, 0.25.2, 0.25.3</t>
        </is>
      </c>
      <c r="D206" s="14" t="n">
        <v>4</v>
      </c>
      <c r="E206" s="14" t="inlineStr">
        <is>
          <t>AssertionError</t>
        </is>
      </c>
      <c r="F206" s="14" t="inlineStr">
        <is>
          <t>AssertionError: -1.2374811137735784 != 0 within 7 places (1.2374811137735784 difference)</t>
        </is>
      </c>
      <c r="G206" s="14" t="inlineStr">
        <is>
          <t>The LLM left theta and phi complex and replaced circ.u3(theta, phi, 0, 0) with circ.initialize(arb_quantum_state, [0]) (same code as gpt-6-astra). That prepares the right state, but the question is about getting real U3 angles, and the test checks that theta and phi are real (theta's imaginary part is -1.24). gpt-6-luna computed real angles and passed.</t>
        </is>
      </c>
      <c r="H206" s="14" t="n">
        <v>3</v>
      </c>
    </row>
    <row r="207">
      <c r="A207" s="15" t="inlineStr">
        <is>
          <t>Passed on test</t>
        </is>
      </c>
      <c r="B207" s="14" t="inlineStr">
        <is>
          <t>issue_436</t>
        </is>
      </c>
      <c r="C207" s="14" t="inlineStr">
        <is>
          <t>0.25.0, 0.25.1, 0.25.2, 0.25.3</t>
        </is>
      </c>
      <c r="D207" s="14" t="n">
        <v>4</v>
      </c>
      <c r="E207" s="14" t="n"/>
      <c r="F207" s="14" t="n"/>
      <c r="G207" s="14" t="inlineStr">
        <is>
          <t>The LLM removed set_frequency(), which PulseSimulator doesn't support, and played a Waveform whose samples are multiplied by exp(2*pi*i*(f - LO)*t) instead (the same idea as gpt-6-astra, written differently).</t>
        </is>
      </c>
      <c r="H207" s="14" t="n">
        <v>3</v>
      </c>
    </row>
    <row r="208">
      <c r="A208" s="16" t="inlineStr">
        <is>
          <t>Failed on test</t>
        </is>
      </c>
      <c r="B208" s="14" t="inlineStr">
        <is>
          <t>issue_443</t>
        </is>
      </c>
      <c r="C208" s="14" t="inlineStr">
        <is>
          <t>0.25.0, 0.25.1, 0.25.2, 0.25.3, 0.45.0, 0.45.1, 0.45.2, 0.45.3, 0.46.0, 0.46.1, 0.46.2, 0.46.3, 1.0.0, 1.0.1, 1.0.2, 1.1.0, 1.1.1, 1.1.2, 1.2.0, 1.2.1, 1.2.2, 1.2.4, 2.0.0, 2.2.0, 2.3.0, 2.4.0, 2.5.0</t>
        </is>
      </c>
      <c r="D208" s="14" t="n">
        <v>27</v>
      </c>
      <c r="E208" s="14" t="inlineStr">
        <is>
          <t>AssertionError</t>
        </is>
      </c>
      <c r="F208" s="14" t="inlineStr">
        <is>
          <t>AssertionError:</t>
        </is>
      </c>
      <c r="G208" s="14" t="inlineStr">
        <is>
          <t>The LLM passed both registers to append() as one flat qubit list (list(train_register) + list(control)), which is the fix the question asks for, but it also swapped the register unpacking to [train_register, control] = circ.qregs. That moves the H gates and the oracle's X to other qubits, so the circuit's operator no longer matches; the test deliberately keeps the snippet's register roles. The other three models only flattened the registers and passed.</t>
        </is>
      </c>
      <c r="H208" s="14" t="n">
        <v>3</v>
      </c>
    </row>
    <row r="209">
      <c r="A209" s="17" t="inlineStr">
        <is>
          <t>Runtime error</t>
        </is>
      </c>
      <c r="B209" s="14" t="inlineStr">
        <is>
          <t>issue_453</t>
        </is>
      </c>
      <c r="C209" s="14" t="inlineStr">
        <is>
          <t>0.45.0, 0.45.1, 0.45.2, 0.45.3, 0.46.0, 0.46.1, 0.46.2, 0.46.3, 1.0.0, 1.0.1, 1.0.2, 1.1.0, 1.1.1, 1.1.2, 1.2.0, 1.2.1, 1.2.2, 1.2.4, 2.0.0, 2.2.0, 2.3.0, 2.4.0, 2.5.0</t>
        </is>
      </c>
      <c r="D209" s="14" t="n">
        <v>23</v>
      </c>
      <c r="E209" s="14" t="inlineStr">
        <is>
          <t>AttributeError</t>
        </is>
      </c>
      <c r="F209" s="14" t="inlineStr">
        <is>
          <t>AttributeError: 'QuantumCircuit' object has no attribute 'compose_with_auto_ancillas'</t>
        </is>
      </c>
      <c r="G209" s="14"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code as gpt-6-astra.</t>
        </is>
      </c>
      <c r="H209" s="14" t="n">
        <v>3</v>
      </c>
    </row>
    <row r="210">
      <c r="A210" s="17" t="inlineStr">
        <is>
          <t>Runtime error</t>
        </is>
      </c>
      <c r="B210" s="14" t="inlineStr">
        <is>
          <t>issue_468</t>
        </is>
      </c>
      <c r="C210" s="14" t="inlineStr">
        <is>
          <t>0.25.0, 0.25.1, 0.25.2, 0.25.3</t>
        </is>
      </c>
      <c r="D210" s="14" t="n">
        <v>4</v>
      </c>
      <c r="E210" s="14" t="inlineStr">
        <is>
          <t>AttributeError</t>
        </is>
      </c>
      <c r="F210" s="14" t="inlineStr">
        <is>
          <t>AttributeError: 'MatrixOperator' object has no attribute 'simplify'</t>
        </is>
      </c>
      <c r="G210" s="14" t="inlineStr">
        <is>
          <t>The LLM wrapped the density matrices in Aqua's legacy MatrixOperator before calling commutator(), but commutator() calls simplify(), which MatrixOperator doesn't have (AttributeError). Same code as gpt-6-astra; both luna models crashed too.</t>
        </is>
      </c>
      <c r="H210" s="14" t="n">
        <v>3</v>
      </c>
    </row>
    <row r="211">
      <c r="A211" s="17" t="inlineStr">
        <is>
          <t>Runtime error</t>
        </is>
      </c>
      <c r="B211" s="14" t="inlineStr">
        <is>
          <t>issue_497</t>
        </is>
      </c>
      <c r="C211" s="14" t="inlineStr">
        <is>
          <t>0.25.0, 0.25.1, 0.25.2, 0.25.3</t>
        </is>
      </c>
      <c r="D211" s="14" t="n">
        <v>4</v>
      </c>
      <c r="E211" s="14" t="inlineStr">
        <is>
          <t>KeyError</t>
        </is>
      </c>
      <c r="F211" s="14" t="inlineStr">
        <is>
          <t>KeyError: 'sampler'</t>
        </is>
      </c>
      <c r="G211" s="14" t="inlineStr">
        <is>
          <t>Like gpt-6-astra, the LLM batched both expectation values into one ListOp converted by a single CircuitSampler call and removed the undefined IBMQJobManager(); it also widened the state to two qubits, as the reference does. The script runs, but the result is unpacked into sampler1 and sampler2, and the test reads the reference's variable sampler (KeyError: 'sampler'), so it never checks the values. Over-specific variable name, and no updated test exists for this case; gpt-5.6-luna kept the name and passed.</t>
        </is>
      </c>
      <c r="H211" s="14" t="n">
        <v>3</v>
      </c>
    </row>
    <row r="212">
      <c r="A212" s="15" t="inlineStr">
        <is>
          <t>Passed on test</t>
        </is>
      </c>
      <c r="B212" s="14" t="inlineStr">
        <is>
          <t>issue_504</t>
        </is>
      </c>
      <c r="C212" s="14" t="inlineStr">
        <is>
          <t>0.45.0, 0.45.1, 0.45.2, 0.45.3, 0.46.0, 0.46.1, 0.46.2, 0.46.3, 1.0.0, 1.0.1, 1.0.2, 1.1.0, 1.1.1, 1.1.2, 1.2.0, 1.2.1, 1.2.2, 1.2.4, 2.0.0, 2.2.0, 2.3.0, 2.4.0, 2.5.0</t>
        </is>
      </c>
      <c r="D212" s="14" t="n">
        <v>23</v>
      </c>
      <c r="E212" s="14" t="n"/>
      <c r="F212" s="14" t="n"/>
      <c r="G212" s="14" t="inlineStr">
        <is>
          <t>The LLM reused the circuit's own register instead of building a new QuantumRegister(n) each time, and ran the transpiled circuit with backend.run() instead of treating transpile()'s output as a job (same code as gpt-6-astra).</t>
        </is>
      </c>
      <c r="H212" s="14" t="n">
        <v>4</v>
      </c>
    </row>
    <row r="213">
      <c r="A213" s="15" t="inlineStr">
        <is>
          <t>Passed on test</t>
        </is>
      </c>
      <c r="B213" s="14" t="inlineStr">
        <is>
          <t>issue_505</t>
        </is>
      </c>
      <c r="C213" s="14" t="inlineStr">
        <is>
          <t>0.45.0, 0.45.1, 0.45.2, 0.45.3, 0.46.0, 0.46.1, 0.46.2, 0.46.3</t>
        </is>
      </c>
      <c r="D213" s="14" t="n">
        <v>8</v>
      </c>
      <c r="E213" s="14" t="n"/>
      <c r="F213" s="14" t="n"/>
      <c r="G213" s="14" t="inlineStr">
        <is>
          <t>The LLM cast x to a Python float, so the Qiskit operator handles the scalar multiplication instead of NumPy, the same cast as the reference (same code as gpt-6-astra).</t>
        </is>
      </c>
      <c r="H213" s="14" t="n">
        <v>4</v>
      </c>
    </row>
    <row r="214">
      <c r="A214" s="17" t="inlineStr">
        <is>
          <t>Runtime error</t>
        </is>
      </c>
      <c r="B214" s="14" t="inlineStr">
        <is>
          <t>issue_565</t>
        </is>
      </c>
      <c r="C214" s="14" t="inlineStr">
        <is>
          <t>0.25.0, 0.25.1, 0.25.2, 0.25.3</t>
        </is>
      </c>
      <c r="D214" s="14" t="n">
        <v>4</v>
      </c>
      <c r="E214" s="14" t="inlineStr">
        <is>
          <t>Timeout</t>
        </is>
      </c>
      <c r="F214" s="14" t="inlineStr">
        <is>
          <t>120 second timeout</t>
        </is>
      </c>
      <c r="G214" s="14" t="inlineStr">
        <is>
          <t>Error (timeout): the LLM wrapped each mixer Operator in Aqua's MatrixOp before building the SummedOp, which removes the crash both luna models hit, but building the QAOA circuits doesn't finish within 120 seconds on any version (2 runs, the second with a single worker). Same code as gpt-6-astra, which timed out the same way.</t>
        </is>
      </c>
      <c r="H214" s="14" t="n">
        <v>4</v>
      </c>
    </row>
    <row r="215">
      <c r="A215" s="15" t="inlineStr">
        <is>
          <t>Passed on test</t>
        </is>
      </c>
      <c r="B215" s="14" t="inlineStr">
        <is>
          <t>issue_595</t>
        </is>
      </c>
      <c r="C215" s="14" t="inlineStr">
        <is>
          <t>0.45.0, 0.45.1, 0.45.2, 0.45.3, 0.46.0, 0.46.1, 0.46.2, 0.46.3, 1.0.0, 1.0.1, 1.0.2, 1.1.0, 1.1.1, 1.1.2, 1.2.0, 1.2.1, 1.2.2, 1.2.4, 2.0.0, 2.2.0, 2.3.0, 2.4.0, 2.5.0</t>
        </is>
      </c>
      <c r="D215" s="14" t="n">
        <v>23</v>
      </c>
      <c r="E215" s="14" t="n"/>
      <c r="F215" s="14" t="n"/>
      <c r="G215" s="14" t="inlineStr">
        <is>
          <t>The LLM selected AerSimulator(method='unitary') and added circ.save_unitary() (same code as gpt-6-astra).</t>
        </is>
      </c>
      <c r="H215" s="14" t="n">
        <v>4</v>
      </c>
    </row>
    <row r="216">
      <c r="A216" s="15" t="inlineStr">
        <is>
          <t>Passed on test</t>
        </is>
      </c>
      <c r="B216" s="14" t="inlineStr">
        <is>
          <t>issue_596</t>
        </is>
      </c>
      <c r="C216" s="14" t="inlineStr">
        <is>
          <t>0.25.0, 0.25.1, 0.25.2, 0.25.3, 0.45.0, 0.45.1, 0.45.2, 0.45.3, 0.46.0, 0.46.1, 0.46.2, 0.46.3</t>
        </is>
      </c>
      <c r="D216" s="14" t="n">
        <v>12</v>
      </c>
      <c r="E216" s="14" t="n"/>
      <c r="F216" s="14" t="n"/>
      <c r="G216" s="14" t="inlineStr">
        <is>
          <t>The LLM bound both parameter vectors in one dictionary ({p: inp[0], th: theta}) and kept the bound circuit with qc = qc.assign_parameters(...), so the circuit used by assemble() has no unbound parameters. gpt-6-astra bound the same dictionary in place.</t>
        </is>
      </c>
      <c r="H216" s="14" t="n">
        <v>4</v>
      </c>
    </row>
    <row r="217">
      <c r="A217" s="15" t="inlineStr">
        <is>
          <t>Passed on test</t>
        </is>
      </c>
      <c r="B217" s="14" t="inlineStr">
        <is>
          <t>issue_600</t>
        </is>
      </c>
      <c r="C217" s="14" t="inlineStr">
        <is>
          <t>0.25.0, 0.25.1, 0.25.2, 0.25.3, 0.45.0, 0.45.1, 0.45.2, 0.45.3, 0.46.0, 0.46.1, 0.46.2, 0.46.3</t>
        </is>
      </c>
      <c r="D217" s="14" t="n">
        <v>12</v>
      </c>
      <c r="E217" s="14" t="n"/>
      <c r="F217" s="14" t="n"/>
      <c r="G217" s="14" t="inlineStr">
        <is>
          <t>The LLM replaced PauliGate(...).power(param) with RXXGate / RYYGate / RZZGate(pi * param), set the circuit's global phase to pi/2 times the sum of the parameters, and removed the PauliGate import, so it also runs on Qiskit 0.25 (the same approach as gpt-6-astra). gpt-6-luna kept the PauliGate import and gpt-5.6-luna used PauliEvolutionGate; neither exists in 0.25, so both crashed there.</t>
        </is>
      </c>
      <c r="H217" s="14" t="n">
        <v>4</v>
      </c>
    </row>
    <row r="218">
      <c r="A218" s="15" t="inlineStr">
        <is>
          <t>Passed on test</t>
        </is>
      </c>
      <c r="B218" s="14" t="inlineStr">
        <is>
          <t>issue_622</t>
        </is>
      </c>
      <c r="C218" s="14" t="inlineStr">
        <is>
          <t>0.25.0, 0.25.1, 0.25.2, 0.25.3, 0.45.0, 0.45.1, 0.45.2, 0.45.3, 0.46.0, 0.46.1, 0.46.2, 0.46.3</t>
        </is>
      </c>
      <c r="D218" s="14" t="n">
        <v>12</v>
      </c>
      <c r="E218" s="14" t="n"/>
      <c r="F218" s="14" t="n"/>
      <c r="G218" s="14" t="inlineStr">
        <is>
          <t>The LLM swapped the 1-qubit FakeArmonk for the 5-qubit FakeVigo and kept import qiskit, so the Bell circuit runs. The updated test allows the fake device's noise (same code as gpt-6-astra).</t>
        </is>
      </c>
      <c r="H218" s="14" t="n">
        <v>4</v>
      </c>
    </row>
    <row r="219">
      <c r="A219" s="15" t="inlineStr">
        <is>
          <t>Passed on test</t>
        </is>
      </c>
      <c r="B219" s="14" t="inlineStr">
        <is>
          <t>issue_624</t>
        </is>
      </c>
      <c r="C219" s="14" t="inlineStr">
        <is>
          <t>0.25.0, 0.25.1, 0.25.2, 0.25.3, 0.45.0, 0.45.1, 0.45.2, 0.45.3, 0.46.0, 0.46.1, 0.46.2, 0.46.3</t>
        </is>
      </c>
      <c r="D219" s="14" t="n">
        <v>12</v>
      </c>
      <c r="E219" s="14" t="n"/>
      <c r="F219" s="14" t="n"/>
      <c r="G219" s="14" t="inlineStr">
        <is>
          <t>The LLM converted the circuit into a Pauli operator with CircuitOp(H).to_pauli_op() before compute_minimum_eigenvalue() (same code as gpt-6-astra). Both luna models crashed.</t>
        </is>
      </c>
      <c r="H219" s="14" t="n">
        <v>4</v>
      </c>
    </row>
    <row r="220">
      <c r="A220" s="15" t="inlineStr">
        <is>
          <t>Passed on test</t>
        </is>
      </c>
      <c r="B220" s="14" t="inlineStr">
        <is>
          <t>issue_635</t>
        </is>
      </c>
      <c r="C220" s="14" t="inlineStr">
        <is>
          <t>0.25.0, 0.25.1, 0.25.2, 0.25.3</t>
        </is>
      </c>
      <c r="D220" s="14" t="n">
        <v>4</v>
      </c>
      <c r="E220" s="14" t="n"/>
      <c r="F220" s="14" t="n"/>
      <c r="G220" s="14" t="inlineStr">
        <is>
          <t>The LLM conditioned both X gates on the whole classical register with c_if(c, 3) and c_if(c, 7), so each flips only when c[0] = c[1] = 1, whatever c[2] is, using only c_if, which exists in Qiskit 0.25. gpt-6-astra wrote the same logic with if_test(), which doesn't exist in 0.25, and both luna models used the wrong conditions; gpt-6.1-sol is the only model that passes this case.</t>
        </is>
      </c>
      <c r="H220" s="14" t="n">
        <v>4</v>
      </c>
    </row>
    <row r="221">
      <c r="A221" s="15" t="inlineStr">
        <is>
          <t>Passed on test</t>
        </is>
      </c>
      <c r="B221" s="14" t="inlineStr">
        <is>
          <t>issue_662</t>
        </is>
      </c>
      <c r="C221" s="14" t="inlineStr">
        <is>
          <t>0.45.0, 0.45.1, 0.45.2, 0.45.3, 0.46.0, 0.46.1, 0.46.2, 0.46.3, 1.0.0, 1.0.1, 1.0.2, 1.1.0, 1.1.1, 1.1.2, 1.2.0, 1.2.1, 1.2.2, 1.2.4, 2.0.0, 2.2.0, 2.3.0, 2.4.0, 2.5.0</t>
        </is>
      </c>
      <c r="D221" s="14" t="n">
        <v>23</v>
      </c>
      <c r="E221" s="14" t="n"/>
      <c r="F221" s="14" t="n"/>
      <c r="G221" s="14" t="inlineStr">
        <is>
          <t>The LLM counted gates over dag.op_nodes() and removed the node.type check (same code as gpt-6-astra). Both luna models kept that check, which raises AttributeError because DAG nodes no longer have a type attribute.</t>
        </is>
      </c>
      <c r="H221" s="14" t="n">
        <v>4</v>
      </c>
    </row>
    <row r="222">
      <c r="A222" s="15" t="inlineStr">
        <is>
          <t>Passed on test</t>
        </is>
      </c>
      <c r="B222" s="14" t="inlineStr">
        <is>
          <t>issue_663</t>
        </is>
      </c>
      <c r="C222" s="14" t="inlineStr">
        <is>
          <t>0.45.0, 0.45.1, 0.45.2, 0.45.3, 0.46.0, 0.46.1, 0.46.2, 0.46.3</t>
        </is>
      </c>
      <c r="D222" s="14" t="n">
        <v>8</v>
      </c>
      <c r="E222" s="14" t="n"/>
      <c r="F222" s="14" t="n"/>
      <c r="G222" s="14" t="inlineStr">
        <is>
          <t>The LLM measured each qubit into its classical bit, so the counts are no longer always 000 (same code as gpt-6-astra and gpt-6-luna).</t>
        </is>
      </c>
      <c r="H222" s="14" t="n">
        <v>5</v>
      </c>
    </row>
    <row r="223">
      <c r="A223" s="15" t="inlineStr">
        <is>
          <t>Failed on test</t>
        </is>
      </c>
      <c r="B223" s="14" t="inlineStr">
        <is>
          <t>issue_671</t>
        </is>
      </c>
      <c r="C223" s="14" t="inlineStr">
        <is>
          <t>0.25.0, 0.25.1, 0.25.2, 0.25.3, 0.45.0, 0.45.1, 0.45.2, 0.45.3, 0.46.0, 0.46.1, 0.46.2, 0.46.3, 1.0.0, 1.0.1, 1.0.2, 1.1.0, 1.1.1, 1.1.2, 1.2.0, 1.2.1, 1.2.2, 1.2.4, 2.0.0, 2.2.0, 2.3.0, 2.4.0, 2.5.0</t>
        </is>
      </c>
      <c r="D223" s="14" t="n">
        <v>27</v>
      </c>
      <c r="E223" s="14" t="inlineStr">
        <is>
          <t>AssertionError</t>
        </is>
      </c>
      <c r="F223" s="14" t="inlineStr">
        <is>
          <t>AssertionError:</t>
        </is>
      </c>
      <c r="G223" s="14" t="inlineStr">
        <is>
          <t>Rescored 19 Oct 2026 on Nick's main test. gpt-6.1-sol 0 pass / 27 fail / 0 error.</t>
        </is>
      </c>
      <c r="H223" s="14" t="n">
        <v>5</v>
      </c>
    </row>
    <row r="224">
      <c r="A224" s="15" t="inlineStr">
        <is>
          <t>Passed on test</t>
        </is>
      </c>
      <c r="B224" s="14" t="inlineStr">
        <is>
          <t>issue_727</t>
        </is>
      </c>
      <c r="C224" s="14" t="inlineStr">
        <is>
          <t>0.25.0, 0.25.1, 0.25.2, 0.25.3, 0.45.0, 0.45.1, 0.45.2, 0.45.3, 0.46.0, 0.46.1, 0.46.2, 0.46.3</t>
        </is>
      </c>
      <c r="D224" s="14" t="n">
        <v>12</v>
      </c>
      <c r="E224" s="14" t="n"/>
      <c r="F224" s="14" t="n"/>
      <c r="G224" s="14" t="inlineStr">
        <is>
          <t>The LLM wrote 2 ** k as (k * numpy.log(2)).exp(), which works with a symbolic Parameter (same code as gpt-6-astra).</t>
        </is>
      </c>
      <c r="H224" s="14" t="n">
        <v>5</v>
      </c>
    </row>
    <row r="225">
      <c r="A225" s="15" t="inlineStr">
        <is>
          <t>Passed on test</t>
        </is>
      </c>
      <c r="B225" s="14" t="inlineStr">
        <is>
          <t>issue_742</t>
        </is>
      </c>
      <c r="C225" s="14" t="inlineStr">
        <is>
          <t>1.1.0, 1.1.1, 1.1.2, 1.2.0, 1.2.1, 1.2.2, 1.2.4, 2.0.0, 2.2.0, 2.3.0, 2.4.0, 2.5.0</t>
        </is>
      </c>
      <c r="D225" s="14" t="n">
        <v>12</v>
      </c>
      <c r="E225" s="14" t="n"/>
      <c r="F225" s="14" t="n"/>
      <c r="G225" s="14" t="inlineStr">
        <is>
          <t>The LLM converted the Operator observable with SparsePauliOp.from_operator(O) (same code as the other three models).</t>
        </is>
      </c>
      <c r="H225" s="14" t="n">
        <v>5</v>
      </c>
    </row>
    <row r="226">
      <c r="A226" s="15" t="inlineStr">
        <is>
          <t>Passed on test</t>
        </is>
      </c>
      <c r="B226" s="14" t="inlineStr">
        <is>
          <t>issue_747</t>
        </is>
      </c>
      <c r="C226" s="14" t="inlineStr">
        <is>
          <t>0.45.0, 0.45.1, 0.45.2, 0.45.3, 0.46.0, 0.46.1, 0.46.2, 0.46.3</t>
        </is>
      </c>
      <c r="D226" s="14" t="n">
        <v>8</v>
      </c>
      <c r="E226" s="14" t="n"/>
      <c r="F226" s="14" t="n"/>
      <c r="G226" s="14" t="inlineStr">
        <is>
          <t>Rescored 19 Oct 2026 on Nick's main test. gpt-6.1-sol 8 pass / 0 fail / 0 error.</t>
        </is>
      </c>
      <c r="H226" s="14" t="n">
        <v>5</v>
      </c>
    </row>
    <row r="227">
      <c r="A227" s="15" t="inlineStr">
        <is>
          <t>Passed on test</t>
        </is>
      </c>
      <c r="B227" s="14" t="inlineStr">
        <is>
          <t>issue_750</t>
        </is>
      </c>
      <c r="C227" s="14" t="inlineStr">
        <is>
          <t>0.45.0, 0.45.1, 0.45.2, 0.45.3, 0.46.0, 0.46.1, 0.46.2, 0.46.3, 1.0.0, 1.0.1, 1.0.2, 1.1.0, 1.1.1, 1.1.2, 1.2.0, 1.2.1, 1.2.2, 1.2.4, 2.0.0, 2.2.0, 2.3.0, 2.4.0, 2.5.0</t>
        </is>
      </c>
      <c r="D227" s="14" t="n">
        <v>23</v>
      </c>
      <c r="E227" s="14" t="n"/>
      <c r="F227" s="14" t="n"/>
      <c r="G227" s="14" t="inlineStr">
        <is>
          <t>The LLM passed the label positionally, Pauli('XZ'), because the label= keyword no longer exists (same code as gpt-6-astra). Both luna models answered that there is no bug and kept Pauli(label='XZ'), which raises TypeError.</t>
        </is>
      </c>
      <c r="H227" s="14" t="n">
        <v>5</v>
      </c>
    </row>
    <row r="228">
      <c r="A228" s="17" t="inlineStr">
        <is>
          <t>Runtime error</t>
        </is>
      </c>
      <c r="B228" s="14" t="inlineStr">
        <is>
          <t>issue_769</t>
        </is>
      </c>
      <c r="C228" s="14" t="inlineStr">
        <is>
          <t>1.0.0, 1.0.1, 1.0.2, 1.1.0, 1.1.1, 1.1.2, 1.2.0, 1.2.1, 1.2.2, 1.2.4, 2.0.0, 2.2.0, 2.3.0, 2.4.0, 2.5.0</t>
        </is>
      </c>
      <c r="D228" s="14" t="n">
        <v>15</v>
      </c>
      <c r="E228" s="14" t="inlineStr">
        <is>
          <t>KeyError</t>
        </is>
      </c>
      <c r="F228" s="14" t="inlineStr">
        <is>
          <t>KeyError: 'get_qiskit_gate'</t>
        </is>
      </c>
      <c r="G228" s="14"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Over-specific test, and no updated test exists for this case; all four models hit it.</t>
        </is>
      </c>
      <c r="H228" s="14" t="n">
        <v>5</v>
      </c>
    </row>
    <row r="229">
      <c r="A229" s="15" t="inlineStr">
        <is>
          <t>Passed on test</t>
        </is>
      </c>
      <c r="B229" s="14" t="inlineStr">
        <is>
          <t>issue_773</t>
        </is>
      </c>
      <c r="C229" s="14" t="inlineStr">
        <is>
          <t>0.45.0, 0.45.1, 0.45.2, 0.45.3, 0.46.0, 0.46.1, 0.46.2, 0.46.3</t>
        </is>
      </c>
      <c r="D229" s="14" t="n">
        <v>8</v>
      </c>
      <c r="E229" s="14" t="n"/>
      <c r="F229" s="14" t="n"/>
      <c r="G229" s="14" t="inlineStr">
        <is>
          <t>The LLM removed the IBMQ job_monitor import that shadowed the general one (same code as the other three models).</t>
        </is>
      </c>
      <c r="H229" s="14" t="n">
        <v>5</v>
      </c>
    </row>
    <row r="230">
      <c r="A230" s="15" t="inlineStr">
        <is>
          <t>Runtime error</t>
        </is>
      </c>
      <c r="B230" s="14" t="inlineStr">
        <is>
          <t>issue_775</t>
        </is>
      </c>
      <c r="C230" s="14" t="inlineStr">
        <is>
          <t>0.25.0, 0.25.1, 0.25.2, 0.25.3, 0.45.0, 0.45.1, 0.45.2, 0.45.3, 0.46.0, 0.46.1, 0.46.2, 0.46.3</t>
        </is>
      </c>
      <c r="D230" s="14" t="n">
        <v>12</v>
      </c>
      <c r="E230" s="14" t="inlineStr">
        <is>
          <t>KeyError</t>
        </is>
      </c>
      <c r="F230" s="14" t="inlineStr">
        <is>
          <t>KeyError: 'qc'</t>
        </is>
      </c>
      <c r="G230" s="14" t="inlineStr">
        <is>
          <t>Rescored 19 Oct 2026 on Nick's main test. gpt-6.1-sol 0 pass / 0 fail / 12 error.</t>
        </is>
      </c>
      <c r="H230" s="14" t="n">
        <v>5</v>
      </c>
    </row>
    <row r="231">
      <c r="A231" s="15" t="inlineStr">
        <is>
          <t>Passed on test</t>
        </is>
      </c>
      <c r="B231" s="14" t="inlineStr">
        <is>
          <t>issue_795</t>
        </is>
      </c>
      <c r="C231" s="14" t="inlineStr">
        <is>
          <t>0.25.0, 0.25.1, 0.25.2, 0.25.3, 0.45.0, 0.45.1, 0.45.2, 0.45.3, 0.46.0, 0.46.1, 0.46.2, 0.46.3</t>
        </is>
      </c>
      <c r="D231" s="14" t="n">
        <v>12</v>
      </c>
      <c r="E231" s="14" t="n"/>
      <c r="F231" s="14" t="n"/>
      <c r="G231" s="14" t="inlineStr">
        <is>
          <t>The LLM appended the operator's matrix with circuit.unitary(...to_matrix(), [0]) (same code as the other three models).</t>
        </is>
      </c>
      <c r="H231" s="14" t="n">
        <v>5</v>
      </c>
    </row>
    <row r="232">
      <c r="A232" s="16" t="inlineStr">
        <is>
          <t>Failed on test</t>
        </is>
      </c>
      <c r="B232" s="14" t="inlineStr">
        <is>
          <t>issue_803</t>
        </is>
      </c>
      <c r="C232" s="14" t="inlineStr">
        <is>
          <t>0.25.0, 0.25.1, 0.25.2, 0.25.3</t>
        </is>
      </c>
      <c r="D232" s="14" t="n">
        <v>4</v>
      </c>
      <c r="E232" s="14" t="inlineStr">
        <is>
          <t>AssertionError</t>
        </is>
      </c>
      <c r="F232" s="14" t="inlineStr">
        <is>
          <t>ValueError: The truth value of an array with more than one element is ambiguous. Use a.any() or a.all(); AssertionError: array([list([47, 53]), list([100]), list([100])], dtype=object) is not an instance of &lt;class 'list'&gt;</t>
        </is>
      </c>
      <c r="G232" s="14"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H232" s="14" t="n">
        <v>6</v>
      </c>
    </row>
    <row r="233">
      <c r="A233" s="17" t="inlineStr">
        <is>
          <t>Runtime error</t>
        </is>
      </c>
      <c r="B233" s="14" t="inlineStr">
        <is>
          <t>issue_803</t>
        </is>
      </c>
      <c r="C233" s="14" t="inlineStr">
        <is>
          <t>0.45.0, 0.45.1, 0.45.2, 0.45.3, 0.46.0, 0.46.1, 0.46.2, 0.46.3</t>
        </is>
      </c>
      <c r="D233" s="14" t="n">
        <v>8</v>
      </c>
      <c r="E233" s="14" t="inlineStr">
        <is>
          <t>ValueError</t>
        </is>
      </c>
      <c r="F233" s="14"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G233" s="14" t="inlineStr">
        <is>
          <t>Error on 0.45.x / 0.46.x, failed on 0.25.x: the LLM turned the list of count dictionaries into a NumPy array of value lists, which loses the outcome keys; the test wants one counts dictionary per circuit, and newer NumPy refuses the ragged array (ValueError). Same code as gpt-6-astra; all four models fail this case.</t>
        </is>
      </c>
      <c r="H233" s="14" t="n">
        <v>6</v>
      </c>
    </row>
    <row r="234">
      <c r="A234" s="16" t="inlineStr">
        <is>
          <t>Failed on test</t>
        </is>
      </c>
      <c r="B234" s="14" t="inlineStr">
        <is>
          <t>issue_810</t>
        </is>
      </c>
      <c r="C234" s="14" t="inlineStr">
        <is>
          <t>0.45.1, 0.46.2</t>
        </is>
      </c>
      <c r="D234" s="14" t="n">
        <v>2</v>
      </c>
      <c r="E234" s="14" t="inlineStr">
        <is>
          <t>AssertionError</t>
        </is>
      </c>
      <c r="F234" s="14" t="inlineStr">
        <is>
          <t>AssertionError: None is not an instance of &lt;class 'dict'&gt; : Expose a raw counts dictionary, not the Result object</t>
        </is>
      </c>
      <c r="G234" s="14" t="inlineStr">
        <is>
          <t>Rescored 19 Oct 2026 on Nick's main test. gpt-6.1-sol 0 pass / 2 fail / 0 error.</t>
        </is>
      </c>
      <c r="H234" s="14" t="n">
        <v>6</v>
      </c>
    </row>
    <row r="235">
      <c r="A235" s="15" t="inlineStr">
        <is>
          <t>Passed on test</t>
        </is>
      </c>
      <c r="B235" s="14" t="inlineStr">
        <is>
          <t>issue_816</t>
        </is>
      </c>
      <c r="C235" s="14" t="inlineStr">
        <is>
          <t>0.45.0, 0.45.1, 0.45.2, 0.45.3, 0.46.0, 0.46.1, 0.46.2, 0.46.3, 1.0.0, 1.0.1, 1.0.2, 1.1.0, 1.1.1, 1.1.2, 1.2.0, 1.2.1, 1.2.2, 1.2.4, 2.0.0, 2.2.0, 2.3.0, 2.4.0, 2.5.0</t>
        </is>
      </c>
      <c r="D235" s="14" t="n">
        <v>23</v>
      </c>
      <c r="E235" s="14" t="n"/>
      <c r="F235" s="14" t="n"/>
      <c r="G235" s="14" t="inlineStr">
        <is>
          <t>The LLM passed memory=True to simulator.run() (same code as the other three models).</t>
        </is>
      </c>
      <c r="H235" s="14" t="n">
        <v>6</v>
      </c>
    </row>
    <row r="236">
      <c r="A236" s="17" t="inlineStr">
        <is>
          <t>Runtime error</t>
        </is>
      </c>
      <c r="B236" s="14" t="inlineStr">
        <is>
          <t>issue_876</t>
        </is>
      </c>
      <c r="C236" s="14" t="inlineStr">
        <is>
          <t>1.0.0, 1.0.1, 1.0.2, 1.1.0, 1.1.1, 1.1.2, 1.2.0, 1.2.1, 1.2.2, 1.2.4, 2.0.0, 2.2.0, 2.3.0, 2.4.0, 2.5.0</t>
        </is>
      </c>
      <c r="D236" s="14" t="n">
        <v>15</v>
      </c>
      <c r="E236" s="14" t="inlineStr">
        <is>
          <t>KeyError</t>
        </is>
      </c>
      <c r="F236" s="14" t="inlineStr">
        <is>
          <t>KeyError: 'rho_real'</t>
        </is>
      </c>
      <c r="G236" s="14" t="inlineStr">
        <is>
          <t>The LLM switched to AerSimulator.from_backend(FakeBrisbane, method='density_matrix') and saved the density matrix of the logical qubits in their final layout order, which addresses the noise question, and the script runs; but it stores the result in statevector_real, and the test reads the reference's variable rho_real (KeyError). No updated test exists for this case; the same approach as gpt-6-astra.</t>
        </is>
      </c>
      <c r="H236" s="14" t="n">
        <v>6</v>
      </c>
    </row>
    <row r="237">
      <c r="A237" s="16" t="inlineStr">
        <is>
          <t>Failed on test</t>
        </is>
      </c>
      <c r="B237" s="14" t="inlineStr">
        <is>
          <t>issue_877</t>
        </is>
      </c>
      <c r="C237" s="14" t="inlineStr">
        <is>
          <t>0.45.0, 0.45.1, 0.45.2, 0.45.3, 0.46.0, 0.46.1, 0.46.2, 0.46.3</t>
        </is>
      </c>
      <c r="D237" s="14" t="n">
        <v>8</v>
      </c>
      <c r="E237" s="14" t="inlineStr">
        <is>
          <t>AssertionError</t>
        </is>
      </c>
      <c r="F237" s="14" t="inlineStr">
        <is>
          <t>AssertionError: 127 != 27</t>
        </is>
      </c>
      <c r="G237" s="14" t="inlineStr">
        <is>
          <t>The LLM defined the missing backend as the bundled 127-qubit FakeWashington snapshot from qiskit.providers.fake_provider, and NoiseModel.from_backend() builds the noise model offline, which is what the question asks (the noise model of a large IBM device without access to it). The test first checks that the backend has 27 qubits, the size of the reference answer's FakeKolkata, so it fails there (127 != 27). Over-specific check, and no updated test exists for this case. gpt-6-astra picked FakeWashingtonV2 from qiskit_ibm_runtime, which isn't installed, and crashed; gpt-6-luna's 27-qubit FakeMontreal passed.</t>
        </is>
      </c>
      <c r="H237" s="14" t="n">
        <v>6</v>
      </c>
    </row>
    <row r="238">
      <c r="A238" s="15" t="inlineStr">
        <is>
          <t>Failed on test</t>
        </is>
      </c>
      <c r="B238" s="14" t="inlineStr">
        <is>
          <t>issue_886</t>
        </is>
      </c>
      <c r="C238" s="14" t="inlineStr">
        <is>
          <t>0.45.0, 0.45.1</t>
        </is>
      </c>
      <c r="D238" s="14" t="n">
        <v>2</v>
      </c>
      <c r="E238" s="14" t="inlineStr">
        <is>
          <t>AssertionError</t>
        </is>
      </c>
      <c r="F238" s="14" t="inlineStr">
        <is>
          <t>KeyError: 'transpile_circ'; AssertionError: {'00 00': 1024} != {'00': 1024}</t>
        </is>
      </c>
      <c r="G238" s="14" t="inlineStr">
        <is>
          <t>Rescored 19 Oct 2026 on Nick's main test. gpt-6.1-sol 0 pass / 2 fail / 0 error.</t>
        </is>
      </c>
      <c r="H238" s="14" t="n">
        <v>6</v>
      </c>
    </row>
    <row r="239">
      <c r="A239" s="16" t="inlineStr">
        <is>
          <t>Failed on test</t>
        </is>
      </c>
      <c r="B239" s="14" t="inlineStr">
        <is>
          <t>issue_889</t>
        </is>
      </c>
      <c r="C239" s="14" t="inlineStr">
        <is>
          <t>0.45.0, 0.45.1, 0.45.2, 0.45.3, 0.46.0, 0.46.1, 0.46.2, 0.46.3</t>
        </is>
      </c>
      <c r="D239" s="14" t="n">
        <v>8</v>
      </c>
      <c r="E239" s="14" t="inlineStr">
        <is>
          <t>AssertionError</t>
        </is>
      </c>
      <c r="F239" s="14" t="inlineStr">
        <is>
          <t>AssertionError:</t>
        </is>
      </c>
      <c r="G239" s="14"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H239" s="14" t="n">
        <v>6</v>
      </c>
    </row>
    <row r="240">
      <c r="A240" s="17" t="inlineStr">
        <is>
          <t>Runtime error</t>
        </is>
      </c>
      <c r="B240" s="14" t="inlineStr">
        <is>
          <t>issue_889</t>
        </is>
      </c>
      <c r="C240" s="14" t="inlineStr">
        <is>
          <t>0.25.0, 0.25.1, 0.25.2, 0.25.3</t>
        </is>
      </c>
      <c r="D240" s="14" t="n">
        <v>4</v>
      </c>
      <c r="E240" s="14" t="inlineStr">
        <is>
          <t>ExtensionError</t>
        </is>
      </c>
      <c r="F240" s="14" t="inlineStr">
        <is>
          <t>qiskit.extensions.exceptions.ExtensionError: 'Input matrix is not unitary.'</t>
        </is>
      </c>
      <c r="G240" s="14" t="inlineStr">
        <is>
          <t>Error on 0.25.x, failed on 0.45.x / 0.46.x: the LLM rewrote the Hamiltonian (number operator (I - Z) / 2 and XX + YY hopping with a Jordan-Wigner string) and appended (time_ * H).exp_i() as a gate. On 0.45 / 0.46 the changed Hamiltonian no longer matches the one in the question, and on 0.25 the exponentiated matrix fails Qiskit's unitarity check when it becomes a gate (ExtensionError: 'Input matrix is not unitary'). All four models fail this case.</t>
        </is>
      </c>
      <c r="H240" s="14" t="n">
        <v>6</v>
      </c>
    </row>
    <row r="241">
      <c r="A241" s="16" t="inlineStr">
        <is>
          <t>Runtime error</t>
        </is>
      </c>
      <c r="B241" s="14" t="inlineStr">
        <is>
          <t>issue_911</t>
        </is>
      </c>
      <c r="C241" s="14" t="inlineStr">
        <is>
          <t>0.45.0, 0.45.1, 0.45.2, 0.45.3, 0.46.0, 0.46.1, 0.46.2, 0.46.3, 1.0.0, 1.0.1, 1.0.2, 1.1.0, 1.1.1, 1.1.2, 1.2.0, 1.2.1, 1.2.2, 1.2.4, 2.0.0, 2.2.0, 2.3.0, 2.4.0, 2.5.0</t>
        </is>
      </c>
      <c r="D241" s="14" t="n">
        <v>23</v>
      </c>
      <c r="E241" s="14" t="inlineStr">
        <is>
          <t>ValueError</t>
        </is>
      </c>
      <c r="F241" s="14" t="inlineStr">
        <is>
          <t>ValueError: malformed node or string on line 1: &lt;ast.Call object at 0x00000294C7E003D0&gt;</t>
        </is>
      </c>
      <c r="G241" s="14" t="inlineStr">
        <is>
          <t>Rescored 19 Oct 2026 on Nick's main test. gpt-6.1-sol 0 pass / 0 fail / 23 error.</t>
        </is>
      </c>
      <c r="H241" s="14" t="n">
        <v>6</v>
      </c>
    </row>
    <row r="242">
      <c r="A242" s="17" t="inlineStr">
        <is>
          <t>Runtime error</t>
        </is>
      </c>
      <c r="B242" s="14" t="inlineStr">
        <is>
          <t>issue_925</t>
        </is>
      </c>
      <c r="C242" s="14" t="inlineStr">
        <is>
          <t>0.25.0, 0.25.1, 0.25.2, 0.25.3</t>
        </is>
      </c>
      <c r="D242" s="14" t="n">
        <v>4</v>
      </c>
      <c r="E242" s="14" t="inlineStr">
        <is>
          <t>TranspilerError</t>
        </is>
      </c>
      <c r="F242" s="14" t="inlineStr">
        <is>
          <t>qiskit.transpiler.exceptions.TranspilerError: 'Number of qubits (18) in Shor(N=15, a=2) is greater than maximum (14) in the coupling_map'</t>
        </is>
      </c>
      <c r="G242" s="14" t="inlineStr">
        <is>
          <t>The LLM answered NO BUG: it explained that Aqua's Shor needs 18 qubits for N = 15, more than FakeMelbourne has. The code is unchanged, so it fails exactly like the buggy code (TranspilerError). Same answer as gpt-6-astra and gpt-5.6-luna; the reference switches to Aer's qasm_simulator.</t>
        </is>
      </c>
      <c r="H242" s="14" t="n">
        <v>6</v>
      </c>
    </row>
    <row r="243">
      <c r="A243" s="15" t="inlineStr">
        <is>
          <t>Runtime error</t>
        </is>
      </c>
      <c r="B243" s="14" t="inlineStr">
        <is>
          <t>issue_944</t>
        </is>
      </c>
      <c r="C243" s="14" t="inlineStr">
        <is>
          <t>0.25.0, 0.25.1, 0.25.2, 0.25.3, 0.45.0, 0.45.1, 0.45.2, 0.45.3, 0.46.0, 0.46.1, 0.46.2, 0.46.3</t>
        </is>
      </c>
      <c r="D243" s="14" t="n">
        <v>12</v>
      </c>
      <c r="E243" s="14" t="inlineStr">
        <is>
          <t>AttributeError</t>
        </is>
      </c>
      <c r="F243" s="14" t="inlineStr">
        <is>
          <t>AttributeError: 'MatrixOp' object has no attribute 'data'</t>
        </is>
      </c>
      <c r="G243" s="14" t="inlineStr">
        <is>
          <t>Rescored 19 Oct 2026 on Nick's main test. gpt-6.1-sol 0 pass / 0 fail / 12 error.</t>
        </is>
      </c>
      <c r="H243" s="14" t="n">
        <v>6</v>
      </c>
    </row>
    <row r="244">
      <c r="A244" s="15" t="inlineStr">
        <is>
          <t>Passed on test</t>
        </is>
      </c>
      <c r="B244" s="14" t="inlineStr">
        <is>
          <t>issue_950</t>
        </is>
      </c>
      <c r="C244" s="14" t="inlineStr">
        <is>
          <t>0.25.0, 0.25.1, 0.25.2, 0.25.3, 0.45.0, 0.45.1, 0.45.2, 0.45.3, 0.46.0, 0.46.1, 0.46.2, 0.46.3, 1.0.0, 1.0.1, 1.0.2, 1.1.0, 1.1.1, 1.1.2, 1.2.0, 1.2.1, 1.2.2, 1.2.4, 2.0.0, 2.2.0, 2.3.0, 2.4.0, 2.5.0</t>
        </is>
      </c>
      <c r="D244" s="14" t="n">
        <v>27</v>
      </c>
      <c r="E244" s="14" t="n"/>
      <c r="F244" s="14" t="n"/>
      <c r="G244" s="14" t="inlineStr">
        <is>
          <t>The LLM made the identity N qubits wide and used compose() instead of _add(), so Z is placed on qubits i+1 .. j-1 and the identity elsewhere (same code as gpt-6-astra). Both luna models kept _add(), which adds the operators instead, and failed.</t>
        </is>
      </c>
      <c r="H244" s="14" t="n">
        <v>7</v>
      </c>
    </row>
    <row r="245">
      <c r="A245" s="17" t="inlineStr">
        <is>
          <t>Runtime error</t>
        </is>
      </c>
      <c r="B245" s="14" t="inlineStr">
        <is>
          <t>issue_958</t>
        </is>
      </c>
      <c r="C245" s="14" t="inlineStr">
        <is>
          <t>0.45.0, 0.45.1, 0.45.2, 0.45.3, 0.46.0, 0.46.1, 0.46.2, 0.46.3, 1.0.0, 1.0.1, 1.0.2, 1.1.0, 1.1.1, 1.1.2, 1.2.0, 1.2.1, 1.2.2, 1.2.4, 2.0.0, 2.2.0, 2.3.0, 2.4.0, 2.5.0</t>
        </is>
      </c>
      <c r="D245" s="14" t="n">
        <v>23</v>
      </c>
      <c r="E245" s="14" t="inlineStr">
        <is>
          <t>KeyError</t>
        </is>
      </c>
      <c r="F245" s="14" t="inlineStr">
        <is>
          <t>KeyError: 'qc2'</t>
        </is>
      </c>
      <c r="G245" s="14" t="inlineStr">
        <is>
          <t>Setting the circuit's global phase to pi (qc.global_phase += pi) gives exactly -(H x H) and passes the check on qc, but the test also requires the reference answer's second circuit qc2 (KeyError: 'qc2'). Over-specific test, and no updated test exists for this case; same code as gpt-6-astra.</t>
        </is>
      </c>
      <c r="H245" s="14" t="n">
        <v>7</v>
      </c>
    </row>
    <row r="246">
      <c r="A246" s="15" t="inlineStr">
        <is>
          <t>Runtime error</t>
        </is>
      </c>
      <c r="B246" s="14" t="inlineStr">
        <is>
          <t>issue_977</t>
        </is>
      </c>
      <c r="C246" s="14" t="inlineStr">
        <is>
          <t>0.45.0, 0.45.1, 0.45.2, 0.45.3, 0.46.0, 0.46.1, 0.46.2, 0.46.3, 1.0.0, 1.0.1, 1.0.2, 1.1.0, 1.1.1, 1.1.2, 1.2.0, 1.2.1, 1.2.2, 1.2.4, 2.0.0, 2.2.0, 2.3.0, 2.4.0, 2.5.0</t>
        </is>
      </c>
      <c r="D246" s="14" t="n">
        <v>23</v>
      </c>
      <c r="E246" s="14" t="inlineStr">
        <is>
          <t>KeyError</t>
        </is>
      </c>
      <c r="F246" s="14" t="inlineStr">
        <is>
          <t>KeyError: 'op'</t>
        </is>
      </c>
      <c r="G246" s="14" t="inlineStr">
        <is>
          <t>Rescored 19 Oct 2026 on Nick's main test. gpt-6.1-sol 0 pass / 0 fail / 23 error.</t>
        </is>
      </c>
      <c r="H246" s="14" t="n">
        <v>7</v>
      </c>
    </row>
    <row r="247">
      <c r="A247" s="16" t="inlineStr">
        <is>
          <t>Failed on test</t>
        </is>
      </c>
      <c r="B247" s="14" t="inlineStr">
        <is>
          <t>issue_985</t>
        </is>
      </c>
      <c r="C247" s="14" t="inlineStr">
        <is>
          <t>0.45.0, 0.45.1, 0.45.2, 0.45.3, 0.46.0, 0.46.1, 0.46.2, 0.46.3, 1.0.0, 1.0.1, 1.0.2, 1.1.0, 1.1.1, 1.1.2, 1.2.0, 1.2.1, 1.2.2, 1.2.4, 2.0.0, 2.2.0, 2.3.0, 2.4.0, 2.5.0</t>
        </is>
      </c>
      <c r="D247" s="14" t="n">
        <v>23</v>
      </c>
      <c r="E247" s="14" t="inlineStr">
        <is>
          <t>AssertionError</t>
        </is>
      </c>
      <c r="F247" s="14" t="inlineStr">
        <is>
          <t>AssertionError:</t>
        </is>
      </c>
      <c r="G247" s="14"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(debatable test; same code as gpt-6-astra, and all four models fail it).</t>
        </is>
      </c>
      <c r="H247" s="14" t="n">
        <v>7</v>
      </c>
    </row>
    <row r="248">
      <c r="A248" s="15" t="inlineStr">
        <is>
          <t>Passed on test</t>
        </is>
      </c>
      <c r="B248" s="14" t="inlineStr">
        <is>
          <t>issue_989</t>
        </is>
      </c>
      <c r="C248" s="14" t="inlineStr">
        <is>
          <t>1.0.0, 1.0.1, 1.0.2, 1.1.0, 1.1.1, 1.1.2, 1.2.0, 1.2.1, 1.2.2, 1.2.4, 2.0.0, 2.2.0, 2.3.0, 2.4.0, 2.5.0</t>
        </is>
      </c>
      <c r="D248" s="14" t="n">
        <v>15</v>
      </c>
      <c r="E248" s="14" t="n"/>
      <c r="F248" s="14" t="n"/>
      <c r="G248" s="14" t="inlineStr">
        <is>
          <t>The LLM imported Aer from qiskit_aer (same code as the other three models).</t>
        </is>
      </c>
      <c r="H248" s="14" t="n">
        <v>7</v>
      </c>
    </row>
    <row r="249">
      <c r="A249" s="15" t="inlineStr">
        <is>
          <t>Runtime error</t>
        </is>
      </c>
      <c r="B249" s="14" t="inlineStr">
        <is>
          <t>issue_994</t>
        </is>
      </c>
      <c r="C249" s="14" t="inlineStr">
        <is>
          <t>0.25.0, 0.25.1, 0.25.2, 0.25.3</t>
        </is>
      </c>
      <c r="D249" s="14" t="n">
        <v>4</v>
      </c>
      <c r="E249" s="14" t="inlineStr">
        <is>
          <t>KeyError</t>
        </is>
      </c>
      <c r="F249" s="14" t="inlineStr">
        <is>
          <t>KeyError: 'statevector'</t>
        </is>
      </c>
      <c r="G249" s="14" t="inlineStr">
        <is>
          <t>Rescored 19 Oct 2026 on Nick's main test. gpt-6.1-sol 0 pass / 0 fail / 4 error.</t>
        </is>
      </c>
      <c r="H249" s="14" t="n">
        <v>7</v>
      </c>
    </row>
    <row r="250">
      <c r="A250" s="16" t="inlineStr">
        <is>
          <t>Failed on test</t>
        </is>
      </c>
      <c r="B250" s="14" t="inlineStr">
        <is>
          <t>issue_1035</t>
        </is>
      </c>
      <c r="C250" s="14" t="inlineStr">
        <is>
          <t>0.45.0, 0.45.1, 0.45.2, 0.45.3, 0.46.0, 0.46.1, 0.46.2, 0.46.3</t>
        </is>
      </c>
      <c r="D250" s="14" t="n">
        <v>8</v>
      </c>
      <c r="E250" s="14" t="inlineStr">
        <is>
          <t>AssertionError</t>
        </is>
      </c>
      <c r="F250" s="14" t="inlineStr">
        <is>
          <t>AssertionError: OFFLINE_CONTRACT: Runtime account/session is not a local fake backend</t>
        </is>
      </c>
      <c r="G250" s="14" t="inlineStr">
        <is>
          <t>Rescored 19 Oct 2026 on Nick's main test. gpt-6.1-sol 0 pass / 8 fail / 0 error.</t>
        </is>
      </c>
      <c r="H250" s="14" t="n">
        <v>7</v>
      </c>
    </row>
    <row r="251">
      <c r="A251" s="15" t="inlineStr">
        <is>
          <t>Passed on test</t>
        </is>
      </c>
      <c r="B251" s="14" t="inlineStr">
        <is>
          <t>issue_772</t>
        </is>
      </c>
      <c r="C251" s="14" t="inlineStr">
        <is>
          <t>0.25.0, 0.25.1, 0.25.2, 0.25.3, 0.45.0, 0.45.1, 0.45.2, 0.45.3, 0.46.0, 0.46.1, 0.46.2, 0.46.3</t>
        </is>
      </c>
      <c r="D251" s="14" t="n">
        <v>12</v>
      </c>
      <c r="E251" s="14" t="n"/>
      <c r="F251" s="14" t="n"/>
      <c r="G251" s="14" t="inlineStr">
        <is>
          <t>The LLM passed both register slices as one qubit list (qr1[1:2] + qr2[0:3]) to append() (same code as the other three models).</t>
        </is>
      </c>
      <c r="H251" s="14" t="n">
        <v>8</v>
      </c>
    </row>
    <row r="252">
      <c r="A252" s="16" t="inlineStr">
        <is>
          <t>Failed on test</t>
        </is>
      </c>
      <c r="B252" s="14" t="inlineStr">
        <is>
          <t>issue_790</t>
        </is>
      </c>
      <c r="C252" s="14" t="inlineStr">
        <is>
          <t>0.45.0, 0.45.1, 0.45.2, 0.45.3, 0.46.0, 0.46.1, 0.46.2, 0.46.3, 1.0.0, 1.0.1, 1.0.2, 1.1.0, 1.1.1, 1.1.2, 1.2.0, 1.2.1, 1.2.2, 1.2.4, 2.0.0, 2.2.0, 2.3.0, 2.4.0, 2.5.0</t>
        </is>
      </c>
      <c r="D252" s="14" t="n">
        <v>23</v>
      </c>
      <c r="E252" s="14" t="inlineStr">
        <is>
          <t>AssertionError</t>
        </is>
      </c>
      <c r="F252" s="14" t="inlineStr">
        <is>
          <t>AssertionError: 1.630715739004526 not less than or equal to 0.7083783495810843 : circuit does not approximate exp(-i H) within the six-step second-order bound</t>
        </is>
      </c>
      <c r="G252" s="14" t="inlineStr">
        <is>
          <t>The LLM turned X, Y and Z into SparsePauliOps, which removes the Pauli - Pauli subtraction crash both luna models kept,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gpt-6-astra wrote the same idea differently and failed the same way; the reference builds one SparsePauliOp Hamiltonian and synthesizes one gate.</t>
        </is>
      </c>
      <c r="H252" s="14" t="n">
        <v>8</v>
      </c>
    </row>
    <row r="253">
      <c r="A253" s="17" t="inlineStr">
        <is>
          <t>Runtime error</t>
        </is>
      </c>
      <c r="B253" s="14" t="inlineStr">
        <is>
          <t>issue_827</t>
        </is>
      </c>
      <c r="C253" s="14" t="inlineStr">
        <is>
          <t>0.25.0, 0.25.1, 0.25.2, 0.25.3, 0.45.0, 0.45.1, 0.45.2, 0.45.3, 0.46.0, 0.46.1, 0.46.2, 0.46.3</t>
        </is>
      </c>
      <c r="D253" s="14" t="n">
        <v>12</v>
      </c>
      <c r="E253" s="14" t="inlineStr">
        <is>
          <t>ModuleNotFoundError</t>
        </is>
      </c>
      <c r="F253" s="14" t="inlineStr">
        <is>
          <t>ModuleNotFoundError: No module named 'qiskit.backends'</t>
        </is>
      </c>
      <c r="G253" s="14" t="inlineStr">
        <is>
          <t>The LLM replaced compile() with transpile() + assemble(), but the code still imports qiskit.backends, which no longer exists (ModuleNotFoundError). Same code as gpt-6-astra; all four models fail this case.</t>
        </is>
      </c>
      <c r="H253" s="14" t="n">
        <v>8</v>
      </c>
    </row>
    <row r="254">
      <c r="A254" s="17" t="inlineStr">
        <is>
          <t>Runtime error</t>
        </is>
      </c>
      <c r="B254" s="14" t="inlineStr">
        <is>
          <t>issue_858</t>
        </is>
      </c>
      <c r="C254" s="14" t="inlineStr">
        <is>
          <t>0.45.0, 0.45.1, 0.45.2, 0.45.3, 0.46.0, 0.46.1, 0.46.2, 0.46.3</t>
        </is>
      </c>
      <c r="D254" s="14" t="n">
        <v>8</v>
      </c>
      <c r="E254" s="14" t="inlineStr">
        <is>
          <t>AttributeError</t>
        </is>
      </c>
      <c r="F254" s="14" t="inlineStr">
        <is>
          <t>AttributeError: 'FakeOslo' object has no attribute 'properties'</t>
        </is>
      </c>
      <c r="G254" s="14" t="inlineStr">
        <is>
          <t>The LLM switched from IBMQ to the FakeOslo snapshot of the retired backend, but the code still calls properties(), which FakeOslo doesn't have (AttributeError); the reference reads backend.qubit_properties(). Same code as gpt-6-astra.</t>
        </is>
      </c>
      <c r="H254" s="14" t="n">
        <v>8</v>
      </c>
    </row>
    <row r="255">
      <c r="A255" s="15" t="inlineStr">
        <is>
          <t>Passed on test</t>
        </is>
      </c>
      <c r="B255" s="14" t="inlineStr">
        <is>
          <t>issue_901</t>
        </is>
      </c>
      <c r="C255" s="14" t="inlineStr">
        <is>
          <t>0.45.0, 0.45.1, 0.45.2, 0.45.3, 0.46.0, 0.46.1, 0.46.2, 0.46.3, 1.0.0, 1.0.1, 1.0.2, 1.1.0, 1.1.1, 1.1.2, 1.2.0, 1.2.1, 1.2.2, 1.2.4, 2.0.0</t>
        </is>
      </c>
      <c r="D255" s="14" t="n">
        <v>19</v>
      </c>
      <c r="E255" s="14" t="n"/>
      <c r="F255" s="14" t="n"/>
      <c r="G255" s="14" t="inlineStr">
        <is>
          <t>The LLM kept the S gate and registered the exact decomposition S = T T in the SessionEquivalenceLibrary, so the transpiler can translate the circuit into the {H, T, CNOT} basis (gpt-6-astra registered the same rule with SGate().add_decomposition()).</t>
        </is>
      </c>
      <c r="H255" s="14" t="n">
        <v>8</v>
      </c>
    </row>
    <row r="256">
      <c r="A256" s="17" t="inlineStr">
        <is>
          <t>Runtime error</t>
        </is>
      </c>
      <c r="B256" s="14" t="inlineStr">
        <is>
          <t>issue_921</t>
        </is>
      </c>
      <c r="C256" s="14" t="inlineStr">
        <is>
          <t>0.25.0, 0.25.1, 0.25.2, 0.25.3</t>
        </is>
      </c>
      <c r="D256" s="14" t="n">
        <v>4</v>
      </c>
      <c r="E256" s="14" t="inlineStr">
        <is>
          <t>ImportError</t>
        </is>
      </c>
      <c r="F256" s="14" t="inlineStr">
        <is>
          <t>ImportError: cannot import name 'run_algorithm' from 'qiskit.aqua' (C:\qiskit_envs\q0250\lib\site-packages\qiskit\aqua\__init__.py)</t>
        </is>
      </c>
      <c r="G256" s="14" t="inlineStr">
        <is>
          <t>The LLM changed the problem name from 'ising' to 'energy' but kept the run_algorithm import, which no longer exists in qiskit.aqua (ImportError). Same code as gpt-6-astra; all four models fail this case.</t>
        </is>
      </c>
      <c r="H256" s="14" t="n">
        <v>8</v>
      </c>
    </row>
  </sheetData>
  <conditionalFormatting sqref="B103:B175">
    <cfRule type="cellIs" priority="1" operator="equal" dxfId="0">
      <formula>"YES"</formula>
    </cfRule>
    <cfRule type="cellIs" priority="2" operator="equal" dxfId="1">
      <formula>"NO"</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2026-10-13T16:31:31Z</dcterms:created>
  <dcterms:modified xsi:type="dcterms:W3CDTF">2026-10-19T21:01:29Z</dcterms:modified>
</cp:coreProperties>
</file>