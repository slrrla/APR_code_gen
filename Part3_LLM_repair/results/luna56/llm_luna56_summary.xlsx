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 name="Relaxed Tests" sheetId="4" state="visible" r:id="rId4"/>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ERROR</t>
        </is>
      </c>
      <c r="G2" s="57" t="inlineStr">
        <is>
          <t>ERROR</t>
        </is>
      </c>
      <c r="H2" s="58" t="inlineStr">
        <is>
          <t>FAIL</t>
        </is>
      </c>
      <c r="I2" s="58" t="inlineStr">
        <is>
          <t>FAIL</t>
        </is>
      </c>
      <c r="J2" s="57" t="inlineStr">
        <is>
          <t>ERROR</t>
        </is>
      </c>
      <c r="K2" s="57" t="inlineStr">
        <is>
          <t>ERROR</t>
        </is>
      </c>
      <c r="L2" s="57" t="inlineStr">
        <is>
          <t>ERROR</t>
        </is>
      </c>
      <c r="M2" s="57" t="inlineStr">
        <is>
          <t>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issue_018_se</t>
        </is>
      </c>
      <c r="B3" s="56" t="inlineStr">
        <is>
          <t>NOT_TESTED</t>
        </is>
      </c>
      <c r="C3" s="56" t="inlineStr">
        <is>
          <t>NOT_TESTED</t>
        </is>
      </c>
      <c r="D3" s="56" t="inlineStr">
        <is>
          <t>NOT_TESTED</t>
        </is>
      </c>
      <c r="E3" s="56" t="inlineStr">
        <is>
          <t>NOT_TESTED</t>
        </is>
      </c>
      <c r="F3" s="56" t="inlineStr">
        <is>
          <t>NOT_TESTED</t>
        </is>
      </c>
      <c r="G3" s="56" t="inlineStr">
        <is>
          <t>NOT_TESTED</t>
        </is>
      </c>
      <c r="H3" s="56" t="inlineStr">
        <is>
          <t>NOT_TESTED</t>
        </is>
      </c>
      <c r="I3" s="56" t="inlineStr">
        <is>
          <t>NOT_TESTED</t>
        </is>
      </c>
      <c r="J3" s="56" t="inlineStr">
        <is>
          <t>NOT_TESTED</t>
        </is>
      </c>
      <c r="K3" s="56" t="inlineStr">
        <is>
          <t>NOT_TESTED</t>
        </is>
      </c>
      <c r="L3" s="56" t="inlineStr">
        <is>
          <t>NOT_TESTED</t>
        </is>
      </c>
      <c r="M3" s="56" t="inlineStr">
        <is>
          <t>NOT_TESTED</t>
        </is>
      </c>
      <c r="N3" s="58" t="inlineStr">
        <is>
          <t>FAIL</t>
        </is>
      </c>
      <c r="O3" s="58" t="inlineStr">
        <is>
          <t>FAIL</t>
        </is>
      </c>
      <c r="P3" s="58" t="inlineStr">
        <is>
          <t>FAIL</t>
        </is>
      </c>
      <c r="Q3" s="58" t="inlineStr">
        <is>
          <t>FAIL</t>
        </is>
      </c>
      <c r="R3" s="58" t="inlineStr">
        <is>
          <t>FAIL</t>
        </is>
      </c>
      <c r="S3" s="58" t="inlineStr">
        <is>
          <t>FAIL</t>
        </is>
      </c>
      <c r="T3" s="58" t="inlineStr">
        <is>
          <t>FAIL</t>
        </is>
      </c>
      <c r="U3" s="58" t="inlineStr">
        <is>
          <t>FAIL</t>
        </is>
      </c>
      <c r="V3" s="58" t="inlineStr">
        <is>
          <t>FAIL</t>
        </is>
      </c>
      <c r="W3" s="58" t="inlineStr">
        <is>
          <t>FAIL</t>
        </is>
      </c>
      <c r="X3" s="58" t="inlineStr">
        <is>
          <t>FAIL</t>
        </is>
      </c>
      <c r="Y3" s="58" t="inlineStr">
        <is>
          <t>FAIL</t>
        </is>
      </c>
      <c r="Z3" s="58" t="inlineStr">
        <is>
          <t>FAIL</t>
        </is>
      </c>
      <c r="AA3" s="58" t="inlineStr">
        <is>
          <t>FAIL</t>
        </is>
      </c>
      <c r="AB3" s="58" t="inlineStr">
        <is>
          <t>FAIL</t>
        </is>
      </c>
      <c r="AC3" s="55" t="n"/>
      <c r="AD3" s="55" t="n"/>
      <c r="AE3" s="55" t="n"/>
      <c r="AF3" s="55" t="n"/>
      <c r="AG3" s="55" t="n"/>
      <c r="AH3" s="55" t="n"/>
      <c r="AI3" s="55" t="n"/>
      <c r="AJ3" s="55" t="n"/>
      <c r="AK3" s="55" t="n"/>
      <c r="AL3" s="55" t="n"/>
      <c r="AM3" s="55" t="n"/>
      <c r="AN3" s="55" t="n"/>
      <c r="AO3" s="55" t="n"/>
      <c r="AP3" s="55" t="n"/>
      <c r="AQ3" s="55" t="n"/>
      <c r="AR3" s="55" t="n"/>
      <c r="AS3" s="55" t="n"/>
      <c r="AT3" s="55" t="n"/>
      <c r="AU3" s="55" t="n"/>
      <c r="AV3" s="55" t="n"/>
      <c r="AW3" s="55" t="n"/>
      <c r="AX3" s="55" t="n"/>
      <c r="AY3" s="55" t="n"/>
      <c r="AZ3" s="55" t="n"/>
      <c r="BA3" s="55" t="n"/>
      <c r="BB3" s="55" t="n"/>
      <c r="BC3" s="55" t="n"/>
      <c r="BD3" s="55" t="n"/>
      <c r="BE3" s="55" t="n"/>
      <c r="BF3" s="55" t="n"/>
      <c r="BG3" s="55" t="n"/>
      <c r="BH3" s="55" t="n"/>
      <c r="BI3" s="55" t="n"/>
      <c r="BJ3" s="55" t="n"/>
      <c r="BK3" s="55" t="n"/>
      <c r="BL3" s="55" t="n"/>
      <c r="BM3" s="55" t="inlineStr">
        <is>
          <t>AssertionError</t>
        </is>
      </c>
      <c r="BN3" s="55" t="inlineStr">
        <is>
          <t xml:space="preserve">AssertionError: Not equal to tolerance rtol=0, atol=1e-12 The ideal magic-square strategy must win every input pair. Mismatched elements: 6 / 9 (66.7%) Max absolute difference: 0.5 Max relative difference: inf x: array([0. , 0.5, 0.5, 0.5, 0. , 0.5, </t>
        </is>
      </c>
      <c r="BO3" s="55" t="inlineStr">
        <is>
          <t>The LLM swapped which inputs choose Alice's and Bob's answers, so the strategy still loses 6 of the 9 input pairs half the time instead of always winning (the Aer simulator also crashes natively here, as it does for fixed.py).</t>
        </is>
      </c>
      <c r="BP3" s="55" t="inlineStr">
        <is>
          <t>AssertionError</t>
        </is>
      </c>
      <c r="BQ3" s="55" t="inlineStr">
        <is>
          <t xml:space="preserve">AssertionError: Not equal to tolerance rtol=0, atol=1e-12 The ideal magic-square strategy must win every input pair. Mismatched elements: 6 / 9 (66.7%) Max absolute difference: 0.5 Max relative difference: inf x: array([0. , 0.5, 0.5, 0.5, 0. , 0.5, </t>
        </is>
      </c>
      <c r="BR3" s="55" t="inlineStr">
        <is>
          <t>The LLM swapped which inputs choose Alice's and Bob's answers, so the strategy still loses 6 of the 9 input pairs half the time instead of always winning (the Aer simulator also crashes natively here, as it does for fixed.py).</t>
        </is>
      </c>
      <c r="BS3" s="55" t="inlineStr">
        <is>
          <t>AssertionError</t>
        </is>
      </c>
      <c r="BT3" s="55" t="inlineStr">
        <is>
          <t xml:space="preserve">AssertionError: Not equal to tolerance rtol=0, atol=1e-12 The ideal magic-square strategy must win every input pair. Mismatched elements: 6 / 9 (66.7%) Max absolute difference: 0.5 Max relative difference: inf x: array([0. , 0.5, 0.5, 0.5, 0. , 0.5, </t>
        </is>
      </c>
      <c r="BU3" s="55" t="inlineStr">
        <is>
          <t>The LLM swapped which inputs choose Alice's and Bob's answers, so the strategy still loses 6 of the 9 input pairs half the time instead of always winning (the Aer simulator also crashes natively here, as it does for fixed.py).</t>
        </is>
      </c>
      <c r="BV3" s="55" t="inlineStr">
        <is>
          <t>AssertionError</t>
        </is>
      </c>
      <c r="BW3" s="55" t="inlineStr">
        <is>
          <t>AssertionError: Not equal to tolerance rtol=0, atol=1e-12 The ideal magic-square strategy must win every input pair. Mismatched elements: 6 / 9 (66.7%) First 5 mismatches are at indices: [1]: 0.4999999999999999 (ACTUAL), 0.0 (DESIRED) [2]: 0.49999999</t>
        </is>
      </c>
      <c r="BX3" s="55" t="inlineStr">
        <is>
          <t>The LLM swapped which inputs choose Alice's and Bob's answers, so the strategy still loses 6 of the 9 input pairs half the time instead of always winning (the Aer simulator also crashes natively here, as it does for fixed.py).</t>
        </is>
      </c>
      <c r="BY3" s="55" t="inlineStr">
        <is>
          <t>AssertionError</t>
        </is>
      </c>
      <c r="BZ3" s="55" t="inlineStr">
        <is>
          <t>AssertionError: Not equal to tolerance rtol=0, atol=1e-12 The ideal magic-square strategy must win every input pair. Mismatched elements: 6 / 9 (66.7%) First 5 mismatches are at indices: [1]: 0.4999999999999999 (ACTUAL), 0.0 (DESIRED) [2]: 0.49999999</t>
        </is>
      </c>
      <c r="CA3" s="55" t="inlineStr">
        <is>
          <t>The LLM swapped which inputs choose Alice's and Bob's answers, so the strategy still loses 6 of the 9 input pairs half the time instead of always winning (the Aer simulator also crashes natively here, as it does for fixed.py).</t>
        </is>
      </c>
      <c r="CB3" s="55" t="inlineStr">
        <is>
          <t>AssertionError</t>
        </is>
      </c>
      <c r="CC3" s="55" t="inlineStr">
        <is>
          <t>AssertionError: Not equal to tolerance rtol=0, atol=1e-12 The ideal magic-square strategy must win every input pair. Mismatched elements: 6 / 9 (66.7%) First 5 mismatches are at indices: [1]: 0.4999999999999999 (ACTUAL), 0.0 (DESIRED) [2]: 0.49999999</t>
        </is>
      </c>
      <c r="CD3" s="55" t="inlineStr">
        <is>
          <t>The LLM swapped which inputs choose Alice's and Bob's answers, so the strategy still loses 6 of the 9 input pairs half the time instead of always winning (the Aer simulator also crashes natively here, as it does for fixed.py).</t>
        </is>
      </c>
      <c r="CE3" s="55" t="inlineStr">
        <is>
          <t>AssertionError</t>
        </is>
      </c>
      <c r="CF3" s="55" t="inlineStr">
        <is>
          <t>AssertionError: Not equal to tolerance rtol=0, atol=1e-12 The ideal magic-square strategy must win every input pair. Mismatched elements: 6 / 9 (66.7%) First 5 mismatches are at indices: [1]: 0.4999999999999999 (ACTUAL), 0.0 (DESIRED) [2]: 0.49999999</t>
        </is>
      </c>
      <c r="CG3" s="55" t="inlineStr">
        <is>
          <t>The LLM swapped which inputs choose Alice's and Bob's answers, so the strategy still loses 6 of the 9 input pairs half the time instead of always winning (the Aer simulator also crashes natively here, as it does for fixed.py).</t>
        </is>
      </c>
      <c r="CH3" s="55" t="inlineStr">
        <is>
          <t>AssertionError</t>
        </is>
      </c>
      <c r="CI3" s="55" t="inlineStr">
        <is>
          <t>AssertionError: Not equal to tolerance rtol=0, atol=1e-12 The ideal magic-square strategy must win every input pair. Mismatched elements: 6 / 9 (66.7%) First 5 mismatches are at indices: [1]: 0.4999999999999999 (ACTUAL), 0.0 (DESIRED) [2]: 0.49999999</t>
        </is>
      </c>
      <c r="CJ3" s="55" t="inlineStr">
        <is>
          <t>The LLM swapped which inputs choose Alice's and Bob's answers, so the strategy still loses 6 of the 9 input pairs half the time instead of always winning (the Aer simulator also crashes natively here, as it does for fixed.py).</t>
        </is>
      </c>
      <c r="CK3" s="55" t="inlineStr">
        <is>
          <t>AssertionError</t>
        </is>
      </c>
      <c r="CL3" s="55" t="inlineStr">
        <is>
          <t>AssertionError: Not equal to tolerance rtol=0, atol=1e-12 The ideal magic-square strategy must win every input pair. Mismatched elements: 6 / 9 (66.7%) First 5 mismatches are at indices: [1]: 0.4999999999999999 (ACTUAL), 0.0 (DESIRED) [2]: 0.49999999</t>
        </is>
      </c>
      <c r="CM3" s="55" t="inlineStr">
        <is>
          <t>The LLM swapped which inputs choose Alice's and Bob's answers, so the strategy still loses 6 of the 9 input pairs half the time instead of always winning (the Aer simulator also crashes natively here, as it does for fixed.py).</t>
        </is>
      </c>
      <c r="CN3" s="55" t="inlineStr">
        <is>
          <t>AssertionError</t>
        </is>
      </c>
      <c r="CO3" s="55" t="inlineStr">
        <is>
          <t>AssertionError: Not equal to tolerance rtol=0, atol=1e-12 The ideal magic-square strategy must win every input pair. Mismatched elements: 6 / 9 (66.7%) First 5 mismatches are at indices: [1]: 0.4999999999999999 (ACTUAL), 0.0 (DESIRED) [2]: 0.49999999</t>
        </is>
      </c>
      <c r="CP3" s="55" t="inlineStr">
        <is>
          <t>The LLM swapped which inputs choose Alice's and Bob's answers, so the strategy still loses 6 of the 9 input pairs half the time instead of always winning (the Aer simulator also crashes natively here, as it does for fixed.py).</t>
        </is>
      </c>
      <c r="CQ3" s="55" t="inlineStr">
        <is>
          <t>AssertionError</t>
        </is>
      </c>
      <c r="CR3" s="55" t="inlineStr">
        <is>
          <t>AssertionError: Not equal to tolerance rtol=0, atol=1e-12 The ideal magic-square strategy must win every input pair. Mismatched elements: 6 / 9 (66.7%) First 5 mismatches are at indices: [1]: 0.4999999999999999 (ACTUAL), 0.0 (DESIRED) [2]: 0.49999999</t>
        </is>
      </c>
      <c r="CS3" s="55" t="inlineStr">
        <is>
          <t>The LLM swapped which inputs choose Alice's and Bob's answers, so the strategy still loses 6 of the 9 input pairs half the time instead of always winning (the Aer simulator also crashes natively here, as it does for fixed.py).</t>
        </is>
      </c>
      <c r="CT3" s="55" t="inlineStr">
        <is>
          <t>AssertionError</t>
        </is>
      </c>
      <c r="CU3" s="55" t="inlineStr">
        <is>
          <t>AssertionError: Not equal to tolerance rtol=0, atol=1e-12 The ideal magic-square strategy must win every input pair. Mismatched elements: 6 / 9 (66.7%) First 5 mismatches are at indices: [1]: 0.4999999999999999 (ACTUAL), 0.0 (DESIRED) [2]: 0.49999999</t>
        </is>
      </c>
      <c r="CV3" s="55" t="inlineStr">
        <is>
          <t>The LLM swapped which inputs choose Alice's and Bob's answers, so the strategy still loses 6 of the 9 input pairs half the time instead of always winning (the Aer simulator also crashes natively here, as it does for fixed.py).</t>
        </is>
      </c>
      <c r="CW3" s="55" t="inlineStr">
        <is>
          <t>AssertionError</t>
        </is>
      </c>
      <c r="CX3" s="55" t="inlineStr">
        <is>
          <t>AssertionError: Not equal to tolerance rtol=0, atol=1e-12 The ideal magic-square strategy must win every input pair. Mismatched elements: 6 / 9 (66.7%) First 5 mismatches are at indices: [1]: 0.4999999999999999 (ACTUAL), 0.0 (DESIRED) [2]: 0.49999999</t>
        </is>
      </c>
      <c r="CY3" s="55" t="inlineStr">
        <is>
          <t>The LLM swapped which inputs choose Alice's and Bob's answers, so the strategy still loses 6 of the 9 input pairs half the time instead of always winning (the Aer simulator also crashes natively here, as it does for fixed.py).</t>
        </is>
      </c>
      <c r="CZ3" s="55" t="inlineStr">
        <is>
          <t>AssertionError</t>
        </is>
      </c>
      <c r="DA3" s="55" t="inlineStr">
        <is>
          <t>AssertionError: Not equal to tolerance rtol=0, atol=1e-12 The ideal magic-square strategy must win every input pair. Mismatched elements: 6 / 9 (66.7%) First 5 mismatches are at indices: [1]: 0.4999999999999999 (ACTUAL), 0.0 (DESIRED) [2]: 0.49999999</t>
        </is>
      </c>
      <c r="DB3" s="55" t="inlineStr">
        <is>
          <t>The LLM swapped which inputs choose Alice's and Bob's answers, so the strategy still loses 6 of the 9 input pairs half the time instead of always winning (the Aer simulator also crashes natively here, as it does for fixed.py).</t>
        </is>
      </c>
      <c r="DC3" s="55" t="inlineStr">
        <is>
          <t>AssertionError</t>
        </is>
      </c>
      <c r="DD3" s="55" t="inlineStr">
        <is>
          <t>AssertionError: Not equal to tolerance rtol=0, atol=1e-12 The ideal magic-square strategy must win every input pair. Mismatched elements: 6 / 9 (66.7%) First 5 mismatches are at indices: [1]: 0.4999999999999999 (ACTUAL), 0.0 (DESIRED) [2]: 0.49999999</t>
        </is>
      </c>
      <c r="DE3" s="55" t="inlineStr">
        <is>
          <t>The LLM swapped which inputs choose Alice's and Bob's answers, so the strategy still loses 6 of the 9 input pairs half the time instead of always winning (the Aer simulator also crashes natively here, as it does for fixed.py).</t>
        </is>
      </c>
    </row>
    <row r="4">
      <c r="A4" s="55" t="inlineStr">
        <is>
          <t>issue_021_se</t>
        </is>
      </c>
      <c r="B4" s="57" t="inlineStr">
        <is>
          <t>ERROR</t>
        </is>
      </c>
      <c r="C4" s="57" t="inlineStr">
        <is>
          <t>ERROR</t>
        </is>
      </c>
      <c r="D4" s="57" t="inlineStr">
        <is>
          <t>ERROR</t>
        </is>
      </c>
      <c r="E4" s="57" t="inlineStr">
        <is>
          <t>ERROR</t>
        </is>
      </c>
      <c r="F4" s="57" t="inlineStr">
        <is>
          <t>ERROR</t>
        </is>
      </c>
      <c r="G4" s="57" t="inlineStr">
        <is>
          <t>ERROR</t>
        </is>
      </c>
      <c r="H4" s="57" t="inlineStr">
        <is>
          <t>ERROR</t>
        </is>
      </c>
      <c r="I4" s="57" t="inlineStr">
        <is>
          <t>ERROR</t>
        </is>
      </c>
      <c r="J4" s="57" t="inlineStr">
        <is>
          <t>ERROR</t>
        </is>
      </c>
      <c r="K4" s="57" t="inlineStr">
        <is>
          <t>ERROR</t>
        </is>
      </c>
      <c r="L4" s="57" t="inlineStr">
        <is>
          <t>ERROR</t>
        </is>
      </c>
      <c r="M4" s="57" t="inlineStr">
        <is>
          <t>ERROR</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inlineStr">
        <is>
          <t>QiskitError</t>
        </is>
      </c>
      <c r="AD4" s="55" t="inlineStr">
        <is>
          <t>qiskit.exceptions.QiskitError: 'ERROR: [Experiment 0] Circuit contains invalid instructions {"gates": {disentangler_dg}} for "statevector" method , ERROR: Circuit contains invalid instructions {"gates": {disentangler_dg}} for "statevector" method'</t>
        </is>
      </c>
      <c r="AE4" s="55" t="inlineStr">
        <is>
          <t>Calling circuit.decompose() only unrolls one level, leaving a 'disentangler_dg' instruction that the Aer statevector simulator cannot run, so the simulation fails.</t>
        </is>
      </c>
      <c r="AF4" s="55" t="inlineStr">
        <is>
          <t>QiskitError</t>
        </is>
      </c>
      <c r="AG4" s="55" t="inlineStr">
        <is>
          <t>qiskit.exceptions.QiskitError: 'ERROR: [Experiment 0] Circuit contains invalid instructions {"gates": {disentangler_dg}} for "statevector" method , ERROR: Circuit contains invalid instructions {"gates": {disentangler_dg}} for "statevector" method'</t>
        </is>
      </c>
      <c r="AH4" s="55" t="inlineStr">
        <is>
          <t>Calling circuit.decompose() only unrolls one level, leaving a 'disentangler_dg' instruction that the Aer statevector simulator cannot run, so the simulation fails.</t>
        </is>
      </c>
      <c r="AI4" s="55" t="inlineStr">
        <is>
          <t>QiskitError</t>
        </is>
      </c>
      <c r="AJ4" s="55" t="inlineStr">
        <is>
          <t>qiskit.exceptions.QiskitError: 'ERROR: [Experiment 0] Circuit contains invalid instructions {"gates": {disentangler_dg}} for "statevector" method , ERROR: Circuit contains invalid instructions {"gates": {disentangler_dg}} for "statevector" method'</t>
        </is>
      </c>
      <c r="AK4" s="55" t="inlineStr">
        <is>
          <t>Calling circuit.decompose() only unrolls one level, leaving a 'disentangler_dg' instruction that the Aer statevector simulator cannot run, so the simulation fails.</t>
        </is>
      </c>
      <c r="AL4" s="55" t="inlineStr">
        <is>
          <t>QiskitError</t>
        </is>
      </c>
      <c r="AM4" s="55" t="inlineStr">
        <is>
          <t>qiskit.exceptions.QiskitError: 'ERROR: [Experiment 0] Circuit contains invalid instructions {"gates": {disentangler_dg}} for "statevector" method , ERROR: Circuit contains invalid instructions {"gates": {disentangler_dg}} for "statevector" method'</t>
        </is>
      </c>
      <c r="AN4" s="55" t="inlineStr">
        <is>
          <t>Calling circuit.decompose() only unrolls one level, leaving a 'disentangler_dg' instruction that the Aer statevector simulator cannot run, so the simulation fails.</t>
        </is>
      </c>
      <c r="AO4" s="55" t="inlineStr">
        <is>
          <t>QiskitError</t>
        </is>
      </c>
      <c r="AP4" s="55" t="inlineStr">
        <is>
          <t>qiskit.exceptions.QiskitError: 'You have to select a circuit or schedule when there is more than one available'</t>
        </is>
      </c>
      <c r="AQ4" s="55" t="inlineStr">
        <is>
          <t>Calling circuit.decompose() only unrolls one level, leaving a 'state_preparation' instruction that Aer cannot load, so the simulation fails and no statevector is returned.</t>
        </is>
      </c>
      <c r="AR4" s="55" t="inlineStr">
        <is>
          <t>QiskitError</t>
        </is>
      </c>
      <c r="AS4" s="55" t="inlineStr">
        <is>
          <t>qiskit.exceptions.QiskitError: 'You have to select a circuit or schedule when there is more than one available'</t>
        </is>
      </c>
      <c r="AT4" s="55" t="inlineStr">
        <is>
          <t>Calling circuit.decompose() only unrolls one level, leaving a 'state_preparation' instruction that Aer cannot load, so the simulation fails and no statevector is returned.</t>
        </is>
      </c>
      <c r="AU4" s="55" t="inlineStr">
        <is>
          <t>QiskitError</t>
        </is>
      </c>
      <c r="AV4" s="55" t="inlineStr">
        <is>
          <t>qiskit.exceptions.QiskitError: 'You have to select a circuit or schedule when there is more than one available'</t>
        </is>
      </c>
      <c r="AW4" s="55" t="inlineStr">
        <is>
          <t>Calling circuit.decompose() only unrolls one level, leaving a 'state_preparation' instruction that Aer cannot load, so the simulation fails and no statevector is returned.</t>
        </is>
      </c>
      <c r="AX4" s="55" t="inlineStr">
        <is>
          <t>QiskitError</t>
        </is>
      </c>
      <c r="AY4" s="55" t="inlineStr">
        <is>
          <t>qiskit.exceptions.QiskitError: 'You have to select a circuit or schedule when there is more than one available'</t>
        </is>
      </c>
      <c r="AZ4" s="55" t="inlineStr">
        <is>
          <t>Calling circuit.decompose() only unrolls one level, leaving a 'state_preparation' instruction that Aer cannot load, so the simulation fails and no statevector is returned.</t>
        </is>
      </c>
      <c r="BA4" s="55" t="inlineStr">
        <is>
          <t>QiskitError</t>
        </is>
      </c>
      <c r="BB4" s="55" t="inlineStr">
        <is>
          <t>qiskit.exceptions.QiskitError: 'You have to select a circuit or schedule when there is more than one available'</t>
        </is>
      </c>
      <c r="BC4" s="55" t="inlineStr">
        <is>
          <t>Calling circuit.decompose() only unrolls one level, leaving a 'state_preparation' instruction that Aer cannot load, so the simulation fails and no statevector is returned.</t>
        </is>
      </c>
      <c r="BD4" s="55" t="inlineStr">
        <is>
          <t>QiskitError</t>
        </is>
      </c>
      <c r="BE4" s="55" t="inlineStr">
        <is>
          <t>qiskit.exceptions.QiskitError: 'You have to select a circuit or schedule when there is more than one available'</t>
        </is>
      </c>
      <c r="BF4" s="55" t="inlineStr">
        <is>
          <t>Calling circuit.decompose() only unrolls one level, leaving a 'state_preparation' instruction that Aer cannot load, so the simulation fails and no statevector is returned.</t>
        </is>
      </c>
      <c r="BG4" s="55" t="inlineStr">
        <is>
          <t>QiskitError</t>
        </is>
      </c>
      <c r="BH4" s="55" t="inlineStr">
        <is>
          <t>qiskit.exceptions.QiskitError: 'You have to select a circuit or schedule when there is more than one available'</t>
        </is>
      </c>
      <c r="BI4" s="55" t="inlineStr">
        <is>
          <t>Calling circuit.decompose() only unrolls one level, leaving a 'state_preparation' instruction that Aer cannot load, so the simulation fails and no statevector is returned.</t>
        </is>
      </c>
      <c r="BJ4" s="55" t="inlineStr">
        <is>
          <t>QiskitError</t>
        </is>
      </c>
      <c r="BK4" s="55" t="inlineStr">
        <is>
          <t>qiskit.exceptions.QiskitError: 'You have to select a circuit or schedule when there is more than one available'</t>
        </is>
      </c>
      <c r="BL4" s="55" t="inlineStr">
        <is>
          <t>Calling circuit.decompose() only unrolls one level, leaving a 'state_preparation' instruction that Aer cannot load, so the simulation fails and no statevector is returned.</t>
        </is>
      </c>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issue_032_se</t>
        </is>
      </c>
      <c r="B5" s="59" t="inlineStr">
        <is>
          <t>PASS</t>
        </is>
      </c>
      <c r="C5" s="59" t="inlineStr">
        <is>
          <t>PASS</t>
        </is>
      </c>
      <c r="D5" s="59" t="inlineStr">
        <is>
          <t>PASS</t>
        </is>
      </c>
      <c r="E5" s="59" t="inlineStr">
        <is>
          <t>PASS</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6" t="inlineStr">
        <is>
          <t>NOT_TESTED</t>
        </is>
      </c>
      <c r="O5" s="56" t="inlineStr">
        <is>
          <t>NOT_TESTED</t>
        </is>
      </c>
      <c r="P5" s="56" t="inlineStr">
        <is>
          <t>NOT_TESTED</t>
        </is>
      </c>
      <c r="Q5" s="56" t="inlineStr">
        <is>
          <t>NOT_TESTED</t>
        </is>
      </c>
      <c r="R5" s="56" t="inlineStr">
        <is>
          <t>NOT_TESTED</t>
        </is>
      </c>
      <c r="S5" s="56" t="inlineStr">
        <is>
          <t>NOT_TESTED</t>
        </is>
      </c>
      <c r="T5" s="56" t="inlineStr">
        <is>
          <t>NOT_TESTED</t>
        </is>
      </c>
      <c r="U5" s="56" t="inlineStr">
        <is>
          <t>NOT_TESTED</t>
        </is>
      </c>
      <c r="V5" s="56" t="inlineStr">
        <is>
          <t>NOT_TESTED</t>
        </is>
      </c>
      <c r="W5" s="56" t="inlineStr">
        <is>
          <t>NOT_TESTED</t>
        </is>
      </c>
      <c r="X5" s="56" t="inlineStr">
        <is>
          <t>NOT_TESTED</t>
        </is>
      </c>
      <c r="Y5" s="56" t="inlineStr">
        <is>
          <t>NOT_TESTED</t>
        </is>
      </c>
      <c r="Z5" s="56" t="inlineStr">
        <is>
          <t>NOT_TESTED</t>
        </is>
      </c>
      <c r="AA5" s="56" t="inlineStr">
        <is>
          <t>NOT_TESTED</t>
        </is>
      </c>
      <c r="AB5" s="56" t="inlineStr">
        <is>
          <t>NOT_TESTED</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issue_034</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t>
        </is>
      </c>
      <c r="O6" s="59" t="inlineStr">
        <is>
          <t>PASS</t>
        </is>
      </c>
      <c r="P6" s="59" t="inlineStr">
        <is>
          <t>PASS</t>
        </is>
      </c>
      <c r="Q6" s="59" t="inlineStr">
        <is>
          <t>PASS</t>
        </is>
      </c>
      <c r="R6" s="59" t="inlineStr">
        <is>
          <t>PASS</t>
        </is>
      </c>
      <c r="S6" s="59" t="inlineStr">
        <is>
          <t>PASS</t>
        </is>
      </c>
      <c r="T6" s="59" t="inlineStr">
        <is>
          <t>PASS</t>
        </is>
      </c>
      <c r="U6" s="59" t="inlineStr">
        <is>
          <t>PASS</t>
        </is>
      </c>
      <c r="V6" s="59" t="inlineStr">
        <is>
          <t>PASS</t>
        </is>
      </c>
      <c r="W6" s="59" t="inlineStr">
        <is>
          <t>PASS</t>
        </is>
      </c>
      <c r="X6" s="59" t="inlineStr">
        <is>
          <t>PASS</t>
        </is>
      </c>
      <c r="Y6" s="59" t="inlineStr">
        <is>
          <t>PASS</t>
        </is>
      </c>
      <c r="Z6" s="59" t="inlineStr">
        <is>
          <t>PASS</t>
        </is>
      </c>
      <c r="AA6" s="59" t="inlineStr">
        <is>
          <t>PASS</t>
        </is>
      </c>
      <c r="AB6" s="59" t="inlineStr">
        <is>
          <t>PASS</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issue_036</t>
        </is>
      </c>
      <c r="B7" s="56" t="inlineStr">
        <is>
          <t>NOT_TESTED</t>
        </is>
      </c>
      <c r="C7" s="56" t="inlineStr">
        <is>
          <t>NOT_TESTED</t>
        </is>
      </c>
      <c r="D7" s="56" t="inlineStr">
        <is>
          <t>NOT_TESTED</t>
        </is>
      </c>
      <c r="E7" s="56" t="inlineStr">
        <is>
          <t>NOT_TESTED</t>
        </is>
      </c>
      <c r="F7" s="56" t="inlineStr">
        <is>
          <t>NOT_TESTED</t>
        </is>
      </c>
      <c r="G7" s="56" t="inlineStr">
        <is>
          <t>NOT_TESTED</t>
        </is>
      </c>
      <c r="H7" s="56" t="inlineStr">
        <is>
          <t>NOT_TESTED</t>
        </is>
      </c>
      <c r="I7" s="56" t="inlineStr">
        <is>
          <t>NOT_TESTED</t>
        </is>
      </c>
      <c r="J7" s="56" t="inlineStr">
        <is>
          <t>NOT_TESTED</t>
        </is>
      </c>
      <c r="K7" s="56" t="inlineStr">
        <is>
          <t>NOT_TESTED</t>
        </is>
      </c>
      <c r="L7" s="56" t="inlineStr">
        <is>
          <t>NOT_TESTED</t>
        </is>
      </c>
      <c r="M7" s="56" t="inlineStr">
        <is>
          <t>NOT_TESTED</t>
        </is>
      </c>
      <c r="N7" s="59" t="inlineStr">
        <is>
          <t>PASS</t>
        </is>
      </c>
      <c r="O7" s="59" t="inlineStr">
        <is>
          <t>PASS</t>
        </is>
      </c>
      <c r="P7" s="59" t="inlineStr">
        <is>
          <t>PASS</t>
        </is>
      </c>
      <c r="Q7" s="59" t="inlineStr">
        <is>
          <t>PASS</t>
        </is>
      </c>
      <c r="R7" s="59" t="inlineStr">
        <is>
          <t>PASS</t>
        </is>
      </c>
      <c r="S7" s="59" t="inlineStr">
        <is>
          <t>PASS</t>
        </is>
      </c>
      <c r="T7" s="59" t="inlineStr">
        <is>
          <t>PASS</t>
        </is>
      </c>
      <c r="U7" s="59" t="inlineStr">
        <is>
          <t>PASS</t>
        </is>
      </c>
      <c r="V7" s="59" t="inlineStr">
        <is>
          <t>PASS</t>
        </is>
      </c>
      <c r="W7" s="59" t="inlineStr">
        <is>
          <t>PASS</t>
        </is>
      </c>
      <c r="X7" s="59" t="inlineStr">
        <is>
          <t>PASS</t>
        </is>
      </c>
      <c r="Y7" s="59" t="inlineStr">
        <is>
          <t>PASS</t>
        </is>
      </c>
      <c r="Z7" s="59" t="inlineStr">
        <is>
          <t>PASS</t>
        </is>
      </c>
      <c r="AA7" s="59" t="inlineStr">
        <is>
          <t>PASS</t>
        </is>
      </c>
      <c r="AB7" s="59" t="inlineStr">
        <is>
          <t>PASS</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issue_058_se</t>
        </is>
      </c>
      <c r="B8" s="59" t="inlineStr">
        <is>
          <t>PASS</t>
        </is>
      </c>
      <c r="C8" s="59" t="inlineStr">
        <is>
          <t>PASS</t>
        </is>
      </c>
      <c r="D8" s="59" t="inlineStr">
        <is>
          <t>PASS</t>
        </is>
      </c>
      <c r="E8" s="59" t="inlineStr">
        <is>
          <t>PASS</t>
        </is>
      </c>
      <c r="F8" s="59" t="inlineStr">
        <is>
          <t>PASS</t>
        </is>
      </c>
      <c r="G8" s="59" t="inlineStr">
        <is>
          <t>PASS</t>
        </is>
      </c>
      <c r="H8" s="59" t="inlineStr">
        <is>
          <t>PASS</t>
        </is>
      </c>
      <c r="I8" s="59" t="inlineStr">
        <is>
          <t>PASS</t>
        </is>
      </c>
      <c r="J8" s="59" t="inlineStr">
        <is>
          <t>PASS</t>
        </is>
      </c>
      <c r="K8" s="59" t="inlineStr">
        <is>
          <t>PASS</t>
        </is>
      </c>
      <c r="L8" s="59" t="inlineStr">
        <is>
          <t>PASS</t>
        </is>
      </c>
      <c r="M8" s="59" t="inlineStr">
        <is>
          <t>PASS</t>
        </is>
      </c>
      <c r="N8" s="56" t="inlineStr">
        <is>
          <t>NOT_TESTED</t>
        </is>
      </c>
      <c r="O8" s="56" t="inlineStr">
        <is>
          <t>NOT_TESTED</t>
        </is>
      </c>
      <c r="P8" s="56" t="inlineStr">
        <is>
          <t>NOT_TESTED</t>
        </is>
      </c>
      <c r="Q8" s="56" t="inlineStr">
        <is>
          <t>NOT_TESTED</t>
        </is>
      </c>
      <c r="R8" s="56" t="inlineStr">
        <is>
          <t>NOT_TESTED</t>
        </is>
      </c>
      <c r="S8" s="56" t="inlineStr">
        <is>
          <t>NOT_TESTED</t>
        </is>
      </c>
      <c r="T8" s="56" t="inlineStr">
        <is>
          <t>NOT_TESTED</t>
        </is>
      </c>
      <c r="U8" s="56" t="inlineStr">
        <is>
          <t>NOT_TESTED</t>
        </is>
      </c>
      <c r="V8" s="56" t="inlineStr">
        <is>
          <t>NOT_TESTED</t>
        </is>
      </c>
      <c r="W8" s="56" t="inlineStr">
        <is>
          <t>NOT_TESTED</t>
        </is>
      </c>
      <c r="X8" s="56" t="inlineStr">
        <is>
          <t>NOT_TESTED</t>
        </is>
      </c>
      <c r="Y8" s="56" t="inlineStr">
        <is>
          <t>NOT_TESTED</t>
        </is>
      </c>
      <c r="Z8" s="56" t="inlineStr">
        <is>
          <t>NOT_TESTED</t>
        </is>
      </c>
      <c r="AA8" s="56" t="inlineStr">
        <is>
          <t>NOT_TESTED</t>
        </is>
      </c>
      <c r="AB8" s="56" t="inlineStr">
        <is>
          <t>NOT_TESTED</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issue_061</t>
        </is>
      </c>
      <c r="B9" s="56" t="inlineStr">
        <is>
          <t>NOT_TESTED</t>
        </is>
      </c>
      <c r="C9" s="56" t="inlineStr">
        <is>
          <t>NOT_TESTED</t>
        </is>
      </c>
      <c r="D9" s="56" t="inlineStr">
        <is>
          <t>NOT_TESTED</t>
        </is>
      </c>
      <c r="E9" s="56" t="inlineStr">
        <is>
          <t>NOT_TESTED</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9" t="inlineStr">
        <is>
          <t>PASS</t>
        </is>
      </c>
      <c r="O9" s="59" t="inlineStr">
        <is>
          <t>PASS</t>
        </is>
      </c>
      <c r="P9" s="59" t="inlineStr">
        <is>
          <t>PASS</t>
        </is>
      </c>
      <c r="Q9" s="59" t="inlineStr">
        <is>
          <t>PASS</t>
        </is>
      </c>
      <c r="R9" s="59" t="inlineStr">
        <is>
          <t>PASS</t>
        </is>
      </c>
      <c r="S9" s="59" t="inlineStr">
        <is>
          <t>PASS</t>
        </is>
      </c>
      <c r="T9" s="59" t="inlineStr">
        <is>
          <t>PASS</t>
        </is>
      </c>
      <c r="U9" s="59" t="inlineStr">
        <is>
          <t>PASS</t>
        </is>
      </c>
      <c r="V9" s="59" t="inlineStr">
        <is>
          <t>PASS</t>
        </is>
      </c>
      <c r="W9" s="59" t="inlineStr">
        <is>
          <t>PASS</t>
        </is>
      </c>
      <c r="X9" s="59" t="inlineStr">
        <is>
          <t>PASS</t>
        </is>
      </c>
      <c r="Y9" s="59" t="inlineStr">
        <is>
          <t>PASS</t>
        </is>
      </c>
      <c r="Z9" s="59" t="inlineStr">
        <is>
          <t>PASS</t>
        </is>
      </c>
      <c r="AA9" s="59" t="inlineStr">
        <is>
          <t>PASS</t>
        </is>
      </c>
      <c r="AB9" s="59" t="inlineStr">
        <is>
          <t>PASS</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issue_072</t>
        </is>
      </c>
      <c r="B10" s="59" t="inlineStr">
        <is>
          <t>PASS</t>
        </is>
      </c>
      <c r="C10" s="59" t="inlineStr">
        <is>
          <t>PASS</t>
        </is>
      </c>
      <c r="D10" s="59" t="inlineStr">
        <is>
          <t>PASS</t>
        </is>
      </c>
      <c r="E10" s="59" t="inlineStr">
        <is>
          <t>PASS</t>
        </is>
      </c>
      <c r="F10" s="56" t="inlineStr">
        <is>
          <t>NOT_TESTED</t>
        </is>
      </c>
      <c r="G10" s="56" t="inlineStr">
        <is>
          <t>NOT_TESTED</t>
        </is>
      </c>
      <c r="H10" s="56" t="inlineStr">
        <is>
          <t>NOT_TESTED</t>
        </is>
      </c>
      <c r="I10" s="56" t="inlineStr">
        <is>
          <t>NOT_TESTED</t>
        </is>
      </c>
      <c r="J10" s="56" t="inlineStr">
        <is>
          <t>NOT_TESTED</t>
        </is>
      </c>
      <c r="K10" s="56" t="inlineStr">
        <is>
          <t>NOT_TESTED</t>
        </is>
      </c>
      <c r="L10" s="56" t="inlineStr">
        <is>
          <t>NOT_TESTED</t>
        </is>
      </c>
      <c r="M10" s="56" t="inlineStr">
        <is>
          <t>NOT_TESTED</t>
        </is>
      </c>
      <c r="N10" s="56" t="inlineStr">
        <is>
          <t>NOT_TESTED</t>
        </is>
      </c>
      <c r="O10" s="56" t="inlineStr">
        <is>
          <t>NOT_TESTED</t>
        </is>
      </c>
      <c r="P10" s="56" t="inlineStr">
        <is>
          <t>NOT_TESTED</t>
        </is>
      </c>
      <c r="Q10" s="56" t="inlineStr">
        <is>
          <t>NOT_TESTED</t>
        </is>
      </c>
      <c r="R10" s="56" t="inlineStr">
        <is>
          <t>NOT_TESTED</t>
        </is>
      </c>
      <c r="S10" s="56" t="inlineStr">
        <is>
          <t>NOT_TESTED</t>
        </is>
      </c>
      <c r="T10" s="56" t="inlineStr">
        <is>
          <t>NOT_TESTED</t>
        </is>
      </c>
      <c r="U10" s="56" t="inlineStr">
        <is>
          <t>NOT_TESTED</t>
        </is>
      </c>
      <c r="V10" s="56" t="inlineStr">
        <is>
          <t>NOT_TESTED</t>
        </is>
      </c>
      <c r="W10" s="56" t="inlineStr">
        <is>
          <t>NOT_TESTED</t>
        </is>
      </c>
      <c r="X10" s="56" t="inlineStr">
        <is>
          <t>NOT_TESTED</t>
        </is>
      </c>
      <c r="Y10" s="56" t="inlineStr">
        <is>
          <t>NOT_TESTED</t>
        </is>
      </c>
      <c r="Z10" s="56" t="inlineStr">
        <is>
          <t>NOT_TESTED</t>
        </is>
      </c>
      <c r="AA10" s="56" t="inlineStr">
        <is>
          <t>NOT_TESTED</t>
        </is>
      </c>
      <c r="AB10" s="56" t="inlineStr">
        <is>
          <t>NOT_TESTED</t>
        </is>
      </c>
      <c r="AC10" s="55" t="n"/>
      <c r="AD10" s="55" t="n"/>
      <c r="AE10" s="55" t="n"/>
      <c r="AF10" s="55" t="n"/>
      <c r="AG10" s="55" t="n"/>
      <c r="AH10" s="55" t="n"/>
      <c r="AI10" s="55" t="n"/>
      <c r="AJ10" s="55" t="n"/>
      <c r="AK10" s="55" t="n"/>
      <c r="AL10" s="55" t="n"/>
      <c r="AM10" s="55" t="n"/>
      <c r="AN10" s="55" t="n"/>
      <c r="AO10" s="55" t="n"/>
      <c r="AP10" s="55" t="n"/>
      <c r="AQ10" s="55" t="n"/>
      <c r="AR10" s="55" t="n"/>
      <c r="AS10" s="55" t="n"/>
      <c r="AT10" s="55" t="n"/>
      <c r="AU10" s="55" t="n"/>
      <c r="AV10" s="55" t="n"/>
      <c r="AW10" s="55" t="n"/>
      <c r="AX10" s="55" t="n"/>
      <c r="AY10" s="55" t="n"/>
      <c r="AZ10" s="55" t="n"/>
      <c r="BA10" s="55" t="n"/>
      <c r="BB10" s="55" t="n"/>
      <c r="BC10" s="55" t="n"/>
      <c r="BD10" s="55" t="n"/>
      <c r="BE10" s="55" t="n"/>
      <c r="BF10" s="55" t="n"/>
      <c r="BG10" s="55" t="n"/>
      <c r="BH10" s="55" t="n"/>
      <c r="BI10" s="55" t="n"/>
      <c r="BJ10" s="55" t="n"/>
      <c r="BK10" s="55" t="n"/>
      <c r="BL10" s="55" t="n"/>
      <c r="BM10" s="55" t="n"/>
      <c r="BN10" s="55" t="n"/>
      <c r="BO10" s="55" t="n"/>
      <c r="BP10" s="55" t="n"/>
      <c r="BQ10" s="55" t="n"/>
      <c r="BR10" s="55" t="n"/>
      <c r="BS10" s="55" t="n"/>
      <c r="BT10" s="55" t="n"/>
      <c r="BU10" s="55" t="n"/>
      <c r="BV10" s="55" t="n"/>
      <c r="BW10" s="55" t="n"/>
      <c r="BX10" s="55" t="n"/>
      <c r="BY10" s="55" t="n"/>
      <c r="BZ10" s="55" t="n"/>
      <c r="CA10" s="55" t="n"/>
      <c r="CB10" s="55" t="n"/>
      <c r="CC10" s="55" t="n"/>
      <c r="CD10" s="55" t="n"/>
      <c r="CE10" s="55" t="n"/>
      <c r="CF10" s="55" t="n"/>
      <c r="CG10" s="55" t="n"/>
      <c r="CH10" s="55" t="n"/>
      <c r="CI10" s="55" t="n"/>
      <c r="CJ10" s="55" t="n"/>
      <c r="CK10" s="55" t="n"/>
      <c r="CL10" s="55" t="n"/>
      <c r="CM10" s="55" t="n"/>
      <c r="CN10" s="55" t="n"/>
      <c r="CO10" s="55" t="n"/>
      <c r="CP10" s="55" t="n"/>
      <c r="CQ10" s="55" t="n"/>
      <c r="CR10" s="55" t="n"/>
      <c r="CS10" s="55" t="n"/>
      <c r="CT10" s="55" t="n"/>
      <c r="CU10" s="55" t="n"/>
      <c r="CV10" s="55" t="n"/>
      <c r="CW10" s="55" t="n"/>
      <c r="CX10" s="55" t="n"/>
      <c r="CY10" s="55" t="n"/>
      <c r="CZ10" s="55" t="n"/>
      <c r="DA10" s="55" t="n"/>
      <c r="DB10" s="55" t="n"/>
      <c r="DC10" s="55" t="n"/>
      <c r="DD10" s="55" t="n"/>
      <c r="DE10" s="55" t="n"/>
    </row>
    <row r="11">
      <c r="A11" s="55" t="inlineStr">
        <is>
          <t>issue_096</t>
        </is>
      </c>
      <c r="B11" s="58" t="inlineStr">
        <is>
          <t>FAIL</t>
        </is>
      </c>
      <c r="C11" s="58" t="inlineStr">
        <is>
          <t>FAIL</t>
        </is>
      </c>
      <c r="D11" s="58" t="inlineStr">
        <is>
          <t>FAIL</t>
        </is>
      </c>
      <c r="E11" s="58" t="inlineStr">
        <is>
          <t>FAIL</t>
        </is>
      </c>
      <c r="F11" s="58" t="inlineStr">
        <is>
          <t>FAIL</t>
        </is>
      </c>
      <c r="G11" s="58" t="inlineStr">
        <is>
          <t>FAIL</t>
        </is>
      </c>
      <c r="H11" s="58" t="inlineStr">
        <is>
          <t>FAIL</t>
        </is>
      </c>
      <c r="I11" s="58" t="inlineStr">
        <is>
          <t>FAIL</t>
        </is>
      </c>
      <c r="J11" s="58" t="inlineStr">
        <is>
          <t>FAIL</t>
        </is>
      </c>
      <c r="K11" s="58" t="inlineStr">
        <is>
          <t>FAIL</t>
        </is>
      </c>
      <c r="L11" s="58" t="inlineStr">
        <is>
          <t>FAIL</t>
        </is>
      </c>
      <c r="M11" s="58" t="inlineStr">
        <is>
          <t>FAIL</t>
        </is>
      </c>
      <c r="N11" s="58" t="inlineStr">
        <is>
          <t>FAIL</t>
        </is>
      </c>
      <c r="O11" s="58" t="inlineStr">
        <is>
          <t>FAIL</t>
        </is>
      </c>
      <c r="P11" s="58" t="inlineStr">
        <is>
          <t>FAIL</t>
        </is>
      </c>
      <c r="Q11" s="58" t="inlineStr">
        <is>
          <t>FAIL</t>
        </is>
      </c>
      <c r="R11" s="58" t="inlineStr">
        <is>
          <t>FAIL</t>
        </is>
      </c>
      <c r="S11" s="58" t="inlineStr">
        <is>
          <t>FAIL</t>
        </is>
      </c>
      <c r="T11" s="58" t="inlineStr">
        <is>
          <t>FAIL</t>
        </is>
      </c>
      <c r="U11" s="58" t="inlineStr">
        <is>
          <t>FAIL</t>
        </is>
      </c>
      <c r="V11" s="58" t="inlineStr">
        <is>
          <t>FAIL</t>
        </is>
      </c>
      <c r="W11" s="58" t="inlineStr">
        <is>
          <t>FAIL</t>
        </is>
      </c>
      <c r="X11" s="58" t="inlineStr">
        <is>
          <t>FAIL</t>
        </is>
      </c>
      <c r="Y11" s="58" t="inlineStr">
        <is>
          <t>FAIL</t>
        </is>
      </c>
      <c r="Z11" s="58" t="inlineStr">
        <is>
          <t>FAIL</t>
        </is>
      </c>
      <c r="AA11" s="58" t="inlineStr">
        <is>
          <t>FAIL</t>
        </is>
      </c>
      <c r="AB11" s="58" t="inlineStr">
        <is>
          <t>FAIL</t>
        </is>
      </c>
      <c r="AC11" s="55" t="inlineStr">
        <is>
          <t>AssertionError</t>
        </is>
      </c>
      <c r="AD11" s="55" t="inlineStr">
        <is>
          <t>AssertionError: '' != '[default]\n' + [default] | AssertionError: False is not true : Missing ipython_kernel_config.py (even when the profile directory already exists)</t>
        </is>
      </c>
      <c r="AE11" s="55" t="inlineStr">
        <is>
          <t>The LLM creates an empty Qiskit settings file instead of one containing '[default]', and never creates the ipython_kernel_config.py file the user needed.</t>
        </is>
      </c>
      <c r="AF11" s="55" t="inlineStr">
        <is>
          <t>AssertionError</t>
        </is>
      </c>
      <c r="AG11" s="55" t="inlineStr">
        <is>
          <t>AssertionError: '' != '[default]\n' + [default] | AssertionError: False is not true : Missing ipython_kernel_config.py (even when the profile directory already exists)</t>
        </is>
      </c>
      <c r="AH11" s="55" t="inlineStr">
        <is>
          <t>The LLM creates an empty Qiskit settings file instead of one containing '[default]', and never creates the ipython_kernel_config.py file the user needed.</t>
        </is>
      </c>
      <c r="AI11" s="55" t="inlineStr">
        <is>
          <t>AssertionError</t>
        </is>
      </c>
      <c r="AJ11" s="55" t="inlineStr">
        <is>
          <t>AssertionError: '' != '[default]\n' + [default] | AssertionError: False is not true : Missing ipython_kernel_config.py (even when the profile directory already exists)</t>
        </is>
      </c>
      <c r="AK11" s="55" t="inlineStr">
        <is>
          <t>The LLM creates an empty Qiskit settings file instead of one containing '[default]', and never creates the ipython_kernel_config.py file the user needed.</t>
        </is>
      </c>
      <c r="AL11" s="55" t="inlineStr">
        <is>
          <t>AssertionError</t>
        </is>
      </c>
      <c r="AM11" s="55" t="inlineStr">
        <is>
          <t>AssertionError: '' != '[default]\n' + [default] | AssertionError: False is not true : Missing ipython_kernel_config.py (even when the profile directory already exists)</t>
        </is>
      </c>
      <c r="AN11" s="55" t="inlineStr">
        <is>
          <t>The LLM creates an empty Qiskit settings file instead of one containing '[default]', and never creates the ipython_kernel_config.py file the user needed.</t>
        </is>
      </c>
      <c r="AO11" s="55" t="inlineStr">
        <is>
          <t>AssertionError</t>
        </is>
      </c>
      <c r="AP11" s="55" t="inlineStr">
        <is>
          <t>AssertionError: '' != '[default]\n' + [default] | AssertionError: False is not true : Missing ipython_kernel_config.py (even when the profile directory already exists)</t>
        </is>
      </c>
      <c r="AQ11" s="55" t="inlineStr">
        <is>
          <t>The LLM creates an empty Qiskit settings file instead of one containing '[default]', and never creates the ipython_kernel_config.py file the user needed.</t>
        </is>
      </c>
      <c r="AR11" s="55" t="inlineStr">
        <is>
          <t>AssertionError</t>
        </is>
      </c>
      <c r="AS11" s="55" t="inlineStr">
        <is>
          <t>AssertionError: '' != '[default]\n' + [default] | AssertionError: False is not true : Missing ipython_kernel_config.py (even when the profile directory already exists)</t>
        </is>
      </c>
      <c r="AT11" s="55" t="inlineStr">
        <is>
          <t>The LLM creates an empty Qiskit settings file instead of one containing '[default]', and never creates the ipython_kernel_config.py file the user needed.</t>
        </is>
      </c>
      <c r="AU11" s="55" t="inlineStr">
        <is>
          <t>AssertionError</t>
        </is>
      </c>
      <c r="AV11" s="55" t="inlineStr">
        <is>
          <t>AssertionError: '' != '[default]\n' + [default] | AssertionError: False is not true : Missing ipython_kernel_config.py (even when the profile directory already exists)</t>
        </is>
      </c>
      <c r="AW11" s="55" t="inlineStr">
        <is>
          <t>The LLM creates an empty Qiskit settings file instead of one containing '[default]', and never creates the ipython_kernel_config.py file the user needed.</t>
        </is>
      </c>
      <c r="AX11" s="55" t="inlineStr">
        <is>
          <t>AssertionError</t>
        </is>
      </c>
      <c r="AY11" s="55" t="inlineStr">
        <is>
          <t>AssertionError: '' != '[default]\n' + [default] | AssertionError: False is not true : Missing ipython_kernel_config.py (even when the profile directory already exists)</t>
        </is>
      </c>
      <c r="AZ11" s="55" t="inlineStr">
        <is>
          <t>The LLM creates an empty Qiskit settings file instead of one containing '[default]', and never creates the ipython_kernel_config.py file the user needed.</t>
        </is>
      </c>
      <c r="BA11" s="55" t="inlineStr">
        <is>
          <t>AssertionError</t>
        </is>
      </c>
      <c r="BB11" s="55" t="inlineStr">
        <is>
          <t>AssertionError: '' != '[default]\n' + [default] | AssertionError: False is not true : Missing ipython_kernel_config.py (even when the profile directory already exists)</t>
        </is>
      </c>
      <c r="BC11" s="55" t="inlineStr">
        <is>
          <t>The LLM creates an empty Qiskit settings file instead of one containing '[default]', and never creates the ipython_kernel_config.py file the user needed.</t>
        </is>
      </c>
      <c r="BD11" s="55" t="inlineStr">
        <is>
          <t>AssertionError</t>
        </is>
      </c>
      <c r="BE11" s="55" t="inlineStr">
        <is>
          <t>AssertionError: '' != '[default]\n' + [default] | AssertionError: False is not true : Missing ipython_kernel_config.py (even when the profile directory already exists)</t>
        </is>
      </c>
      <c r="BF11" s="55" t="inlineStr">
        <is>
          <t>The LLM creates an empty Qiskit settings file instead of one containing '[default]', and never creates the ipython_kernel_config.py file the user needed.</t>
        </is>
      </c>
      <c r="BG11" s="55" t="inlineStr">
        <is>
          <t>AssertionError</t>
        </is>
      </c>
      <c r="BH11" s="55" t="inlineStr">
        <is>
          <t>AssertionError: '' != '[default]\n' + [default] | AssertionError: False is not true : Missing ipython_kernel_config.py (even when the profile directory already exists)</t>
        </is>
      </c>
      <c r="BI11" s="55" t="inlineStr">
        <is>
          <t>The LLM creates an empty Qiskit settings file instead of one containing '[default]', and never creates the ipython_kernel_config.py file the user needed.</t>
        </is>
      </c>
      <c r="BJ11" s="55" t="inlineStr">
        <is>
          <t>AssertionError</t>
        </is>
      </c>
      <c r="BK11" s="55" t="inlineStr">
        <is>
          <t>AssertionError: '' != '[default]\n' + [default] | AssertionError: False is not true : Missing ipython_kernel_config.py (even when the profile directory already exists)</t>
        </is>
      </c>
      <c r="BL11" s="55" t="inlineStr">
        <is>
          <t>The LLM creates an empty Qiskit settings file instead of one containing '[default]', and never creates the ipython_kernel_config.py file the user needed.</t>
        </is>
      </c>
      <c r="BM11" s="55" t="inlineStr">
        <is>
          <t>AssertionError</t>
        </is>
      </c>
      <c r="BN11" s="55" t="inlineStr">
        <is>
          <t>AssertionError: '' != '[default]\n' + [default] | AssertionError: False is not true : Missing ipython_kernel_config.py (even when the profile directory already exists)</t>
        </is>
      </c>
      <c r="BO11" s="55" t="inlineStr">
        <is>
          <t>The LLM creates an empty Qiskit settings file instead of one containing '[default]', and never creates the ipython_kernel_config.py file the user needed.</t>
        </is>
      </c>
      <c r="BP11" s="55" t="inlineStr">
        <is>
          <t>AssertionError</t>
        </is>
      </c>
      <c r="BQ11" s="55" t="inlineStr">
        <is>
          <t>AssertionError: '' != '[default]\n' + [default] | AssertionError: False is not true : Missing ipython_kernel_config.py (even when the profile directory already exists)</t>
        </is>
      </c>
      <c r="BR11" s="55" t="inlineStr">
        <is>
          <t>The LLM creates an empty Qiskit settings file instead of one containing '[default]', and never creates the ipython_kernel_config.py file the user needed.</t>
        </is>
      </c>
      <c r="BS11" s="55" t="inlineStr">
        <is>
          <t>AssertionError</t>
        </is>
      </c>
      <c r="BT11" s="55" t="inlineStr">
        <is>
          <t>AssertionError: '' != '[default]\n' + [default] | AssertionError: False is not true : Missing ipython_kernel_config.py (even when the profile directory already exists)</t>
        </is>
      </c>
      <c r="BU11" s="55" t="inlineStr">
        <is>
          <t>The LLM creates an empty Qiskit settings file instead of one containing '[default]', and never creates the ipython_kernel_config.py file the user needed.</t>
        </is>
      </c>
      <c r="BV11" s="55" t="inlineStr">
        <is>
          <t>AssertionError</t>
        </is>
      </c>
      <c r="BW11" s="55" t="inlineStr">
        <is>
          <t>AssertionError: '' != '[default]\n' + [default] | AssertionError: False is not true : Missing ipython_kernel_config.py (even when the profile directory already exists)</t>
        </is>
      </c>
      <c r="BX11" s="55" t="inlineStr">
        <is>
          <t>The LLM creates an empty Qiskit settings file instead of one containing '[default]', and never creates the ipython_kernel_config.py file the user needed.</t>
        </is>
      </c>
      <c r="BY11" s="55" t="inlineStr">
        <is>
          <t>AssertionError</t>
        </is>
      </c>
      <c r="BZ11" s="55" t="inlineStr">
        <is>
          <t>AssertionError: '' != '[default]\n' + [default] | AssertionError: False is not true : Missing ipython_kernel_config.py (even when the profile directory already exists)</t>
        </is>
      </c>
      <c r="CA11" s="55" t="inlineStr">
        <is>
          <t>The LLM creates an empty Qiskit settings file instead of one containing '[default]', and never creates the ipython_kernel_config.py file the user needed.</t>
        </is>
      </c>
      <c r="CB11" s="55" t="inlineStr">
        <is>
          <t>AssertionError</t>
        </is>
      </c>
      <c r="CC11" s="55" t="inlineStr">
        <is>
          <t>AssertionError: '' != '[default]\n' + [default] | AssertionError: False is not true : Missing ipython_kernel_config.py (even when the profile directory already exists)</t>
        </is>
      </c>
      <c r="CD11" s="55" t="inlineStr">
        <is>
          <t>The LLM creates an empty Qiskit settings file instead of one containing '[default]', and never creates the ipython_kernel_config.py file the user needed.</t>
        </is>
      </c>
      <c r="CE11" s="55" t="inlineStr">
        <is>
          <t>AssertionError</t>
        </is>
      </c>
      <c r="CF11" s="55" t="inlineStr">
        <is>
          <t>AssertionError: '' != '[default]\n' + [default] | AssertionError: False is not true : Missing ipython_kernel_config.py (even when the profile directory already exists)</t>
        </is>
      </c>
      <c r="CG11" s="55" t="inlineStr">
        <is>
          <t>The LLM creates an empty Qiskit settings file instead of one containing '[default]', and never creates the ipython_kernel_config.py file the user needed.</t>
        </is>
      </c>
      <c r="CH11" s="55" t="inlineStr">
        <is>
          <t>AssertionError</t>
        </is>
      </c>
      <c r="CI11" s="55" t="inlineStr">
        <is>
          <t>AssertionError: '' != '[default]\n' + [default] | AssertionError: False is not true : Missing ipython_kernel_config.py (even when the profile directory already exists)</t>
        </is>
      </c>
      <c r="CJ11" s="55" t="inlineStr">
        <is>
          <t>The LLM creates an empty Qiskit settings file instead of one containing '[default]', and never creates the ipython_kernel_config.py file the user needed.</t>
        </is>
      </c>
      <c r="CK11" s="55" t="inlineStr">
        <is>
          <t>AssertionError</t>
        </is>
      </c>
      <c r="CL11" s="55" t="inlineStr">
        <is>
          <t>AssertionError: '' != '[default]\n' + [default] | AssertionError: False is not true : Missing ipython_kernel_config.py (even when the profile directory already exists)</t>
        </is>
      </c>
      <c r="CM11" s="55" t="inlineStr">
        <is>
          <t>The LLM creates an empty Qiskit settings file instead of one containing '[default]', and never creates the ipython_kernel_config.py file the user needed.</t>
        </is>
      </c>
      <c r="CN11" s="55" t="inlineStr">
        <is>
          <t>AssertionError</t>
        </is>
      </c>
      <c r="CO11" s="55" t="inlineStr">
        <is>
          <t>AssertionError: '' != '[default]\n' + [default] | AssertionError: False is not true : Missing ipython_kernel_config.py (even when the profile directory already exists)</t>
        </is>
      </c>
      <c r="CP11" s="55" t="inlineStr">
        <is>
          <t>The LLM creates an empty Qiskit settings file instead of one containing '[default]', and never creates the ipython_kernel_config.py file the user needed.</t>
        </is>
      </c>
      <c r="CQ11" s="55" t="inlineStr">
        <is>
          <t>AssertionError</t>
        </is>
      </c>
      <c r="CR11" s="55" t="inlineStr">
        <is>
          <t>AssertionError: '' != '[default]\n' + [default] | AssertionError: False is not true : Missing ipython_kernel_config.py (even when the profile directory already exists)</t>
        </is>
      </c>
      <c r="CS11" s="55" t="inlineStr">
        <is>
          <t>The LLM creates an empty Qiskit settings file instead of one containing '[default]', and never creates the ipython_kernel_config.py file the user needed.</t>
        </is>
      </c>
      <c r="CT11" s="55" t="inlineStr">
        <is>
          <t>AssertionError</t>
        </is>
      </c>
      <c r="CU11" s="55" t="inlineStr">
        <is>
          <t>AssertionError: '' != '[default]\n' + [default] | AssertionError: False is not true : Missing ipython_kernel_config.py (even when the profile directory already exists)</t>
        </is>
      </c>
      <c r="CV11" s="55" t="inlineStr">
        <is>
          <t>The LLM creates an empty Qiskit settings file instead of one containing '[default]', and never creates the ipython_kernel_config.py file the user needed.</t>
        </is>
      </c>
      <c r="CW11" s="55" t="inlineStr">
        <is>
          <t>AssertionError</t>
        </is>
      </c>
      <c r="CX11" s="55" t="inlineStr">
        <is>
          <t>AssertionError: '' != '[default]\n' + [default] | AssertionError: False is not true : Missing ipython_kernel_config.py (even when the profile directory already exists)</t>
        </is>
      </c>
      <c r="CY11" s="55" t="inlineStr">
        <is>
          <t>The LLM creates an empty Qiskit settings file instead of one containing '[default]', and never creates the ipython_kernel_config.py file the user needed.</t>
        </is>
      </c>
      <c r="CZ11" s="55" t="inlineStr">
        <is>
          <t>AssertionError</t>
        </is>
      </c>
      <c r="DA11" s="55" t="inlineStr">
        <is>
          <t>AssertionError: '' != '[default]\n' + [default] | AssertionError: False is not true : Missing ipython_kernel_config.py (even when the profile directory already exists)</t>
        </is>
      </c>
      <c r="DB11" s="55" t="inlineStr">
        <is>
          <t>The LLM creates an empty Qiskit settings file instead of one containing '[default]', and never creates the ipython_kernel_config.py file the user needed.</t>
        </is>
      </c>
      <c r="DC11" s="55" t="inlineStr">
        <is>
          <t>AssertionError</t>
        </is>
      </c>
      <c r="DD11" s="55" t="inlineStr">
        <is>
          <t>AssertionError: '' != '[default]\n' + [default] | AssertionError: False is not true : Missing ipython_kernel_config.py (even when the profile directory already exists)</t>
        </is>
      </c>
      <c r="DE11" s="55" t="inlineStr">
        <is>
          <t>The LLM creates an empty Qiskit settings file instead of one containing '[default]', and never creates the ipython_kernel_config.py file the user needed.</t>
        </is>
      </c>
    </row>
    <row r="12">
      <c r="A12" s="55" t="inlineStr">
        <is>
          <t>issue_155</t>
        </is>
      </c>
      <c r="B12" s="59" t="inlineStr">
        <is>
          <t>PASS</t>
        </is>
      </c>
      <c r="C12" s="59" t="inlineStr">
        <is>
          <t>PASS</t>
        </is>
      </c>
      <c r="D12" s="59" t="inlineStr">
        <is>
          <t>PASS</t>
        </is>
      </c>
      <c r="E12" s="59" t="inlineStr">
        <is>
          <t>PASS</t>
        </is>
      </c>
      <c r="F12" s="59" t="inlineStr">
        <is>
          <t>PASS</t>
        </is>
      </c>
      <c r="G12" s="59" t="inlineStr">
        <is>
          <t>PASS</t>
        </is>
      </c>
      <c r="H12" s="59" t="inlineStr">
        <is>
          <t>PASS</t>
        </is>
      </c>
      <c r="I12" s="59" t="inlineStr">
        <is>
          <t>PASS</t>
        </is>
      </c>
      <c r="J12" s="59" t="inlineStr">
        <is>
          <t>PASS</t>
        </is>
      </c>
      <c r="K12" s="59" t="inlineStr">
        <is>
          <t>PASS</t>
        </is>
      </c>
      <c r="L12" s="59" t="inlineStr">
        <is>
          <t>PASS</t>
        </is>
      </c>
      <c r="M12" s="59" t="inlineStr">
        <is>
          <t>PASS</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n"/>
      <c r="AD12" s="55" t="n"/>
      <c r="AE12" s="55" t="n"/>
      <c r="AF12" s="55" t="n"/>
      <c r="AG12" s="55" t="n"/>
      <c r="AH12" s="55" t="n"/>
      <c r="AI12" s="55" t="n"/>
      <c r="AJ12" s="55" t="n"/>
      <c r="AK12" s="55" t="n"/>
      <c r="AL12" s="55" t="n"/>
      <c r="AM12" s="55" t="n"/>
      <c r="AN12" s="55" t="n"/>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issue_157</t>
        </is>
      </c>
      <c r="B13" s="57" t="inlineStr">
        <is>
          <t>ERROR</t>
        </is>
      </c>
      <c r="C13" s="57" t="inlineStr">
        <is>
          <t>ERROR</t>
        </is>
      </c>
      <c r="D13" s="57" t="inlineStr">
        <is>
          <t>ERROR</t>
        </is>
      </c>
      <c r="E13" s="57" t="inlineStr">
        <is>
          <t>ERROR</t>
        </is>
      </c>
      <c r="F13" s="59" t="inlineStr">
        <is>
          <t>PASS</t>
        </is>
      </c>
      <c r="G13" s="59" t="inlineStr">
        <is>
          <t>PASS</t>
        </is>
      </c>
      <c r="H13" s="59" t="inlineStr">
        <is>
          <t>PASS</t>
        </is>
      </c>
      <c r="I13" s="59" t="inlineStr">
        <is>
          <t>PASS</t>
        </is>
      </c>
      <c r="J13" s="59" t="inlineStr">
        <is>
          <t>PASS</t>
        </is>
      </c>
      <c r="K13" s="59" t="inlineStr">
        <is>
          <t>PASS</t>
        </is>
      </c>
      <c r="L13" s="59" t="inlineStr">
        <is>
          <t>PASS</t>
        </is>
      </c>
      <c r="M13" s="59" t="inlineStr">
        <is>
          <t>PASS</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AttributeError</t>
        </is>
      </c>
      <c r="AD13" s="55" t="inlineStr">
        <is>
          <t>AttributeError: 'QuantumCircuit' object has no attribute 'prepare_state'</t>
        </is>
      </c>
      <c r="AE13" s="55" t="inlineStr">
        <is>
          <t>The LLM replaced initialize() with QuantumCircuit.prepare_state(), which does not exist yet in Qiskit 0.25 (Terra 0.17), so the script crashes with AttributeError before the gate is built.</t>
        </is>
      </c>
      <c r="AF13" s="55" t="inlineStr">
        <is>
          <t>AttributeError</t>
        </is>
      </c>
      <c r="AG13" s="55" t="inlineStr">
        <is>
          <t>AttributeError: 'QuantumCircuit' object has no attribute 'prepare_state'</t>
        </is>
      </c>
      <c r="AH13" s="55" t="inlineStr">
        <is>
          <t>The LLM replaced initialize() with QuantumCircuit.prepare_state(), which does not exist yet in Qiskit 0.25 (Terra 0.17), so the script crashes with AttributeError before the gate is built.</t>
        </is>
      </c>
      <c r="AI13" s="55" t="inlineStr">
        <is>
          <t>AttributeError</t>
        </is>
      </c>
      <c r="AJ13" s="55" t="inlineStr">
        <is>
          <t>AttributeError: 'QuantumCircuit' object has no attribute 'prepare_state'</t>
        </is>
      </c>
      <c r="AK13" s="55" t="inlineStr">
        <is>
          <t>The LLM replaced initialize() with QuantumCircuit.prepare_state(), which does not exist yet in Qiskit 0.25 (Terra 0.17), so the script crashes with AttributeError before the gate is built.</t>
        </is>
      </c>
      <c r="AL13" s="55" t="inlineStr">
        <is>
          <t>AttributeError</t>
        </is>
      </c>
      <c r="AM13" s="55" t="inlineStr">
        <is>
          <t>AttributeError: 'QuantumCircuit' object has no attribute 'prepare_state'</t>
        </is>
      </c>
      <c r="AN13" s="55" t="inlineStr">
        <is>
          <t>The LLM replaced initialize() with QuantumCircuit.prepare_state(), which does not exist yet in Qiskit 0.25 (Terra 0.17), so the script crashes with AttributeError before the gate is built.</t>
        </is>
      </c>
      <c r="AO13" s="55" t="n"/>
      <c r="AP13" s="55" t="n"/>
      <c r="AQ13" s="55" t="n"/>
      <c r="AR13" s="55" t="n"/>
      <c r="AS13" s="55" t="n"/>
      <c r="AT13" s="55" t="n"/>
      <c r="AU13" s="55" t="n"/>
      <c r="AV13" s="55" t="n"/>
      <c r="AW13" s="55" t="n"/>
      <c r="AX13" s="55" t="n"/>
      <c r="AY13" s="55" t="n"/>
      <c r="AZ13" s="55" t="n"/>
      <c r="BA13" s="55" t="n"/>
      <c r="BB13" s="55" t="n"/>
      <c r="BC13" s="55" t="n"/>
      <c r="BD13" s="55" t="n"/>
      <c r="BE13" s="55" t="n"/>
      <c r="BF13" s="55" t="n"/>
      <c r="BG13" s="55" t="n"/>
      <c r="BH13" s="55" t="n"/>
      <c r="BI13" s="55" t="n"/>
      <c r="BJ13" s="55" t="n"/>
      <c r="BK13" s="55" t="n"/>
      <c r="BL13" s="55" t="n"/>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issue_174</t>
        </is>
      </c>
      <c r="B14" s="57" t="inlineStr">
        <is>
          <t>ERROR</t>
        </is>
      </c>
      <c r="C14" s="57" t="inlineStr">
        <is>
          <t>ERROR</t>
        </is>
      </c>
      <c r="D14" s="57" t="inlineStr">
        <is>
          <t>ERROR</t>
        </is>
      </c>
      <c r="E14" s="57" t="inlineStr">
        <is>
          <t>ERROR</t>
        </is>
      </c>
      <c r="F14" s="57" t="inlineStr">
        <is>
          <t>ERROR</t>
        </is>
      </c>
      <c r="G14" s="57" t="inlineStr">
        <is>
          <t>ERROR</t>
        </is>
      </c>
      <c r="H14" s="57" t="inlineStr">
        <is>
          <t>ERROR</t>
        </is>
      </c>
      <c r="I14" s="57" t="inlineStr">
        <is>
          <t>ERROR</t>
        </is>
      </c>
      <c r="J14" s="57" t="inlineStr">
        <is>
          <t>ERROR</t>
        </is>
      </c>
      <c r="K14" s="57" t="inlineStr">
        <is>
          <t>ERROR</t>
        </is>
      </c>
      <c r="L14" s="57" t="inlineStr">
        <is>
          <t>ERROR</t>
        </is>
      </c>
      <c r="M14" s="57" t="inlineStr">
        <is>
          <t>ERROR</t>
        </is>
      </c>
      <c r="N14" s="56" t="inlineStr">
        <is>
          <t>NOT_TESTED</t>
        </is>
      </c>
      <c r="O14" s="56" t="inlineStr">
        <is>
          <t>NOT_TESTED</t>
        </is>
      </c>
      <c r="P14" s="56" t="inlineStr">
        <is>
          <t>NOT_TESTED</t>
        </is>
      </c>
      <c r="Q14" s="56" t="inlineStr">
        <is>
          <t>NOT_TESTED</t>
        </is>
      </c>
      <c r="R14" s="56" t="inlineStr">
        <is>
          <t>NOT_TESTED</t>
        </is>
      </c>
      <c r="S14" s="56" t="inlineStr">
        <is>
          <t>NOT_TESTED</t>
        </is>
      </c>
      <c r="T14" s="56" t="inlineStr">
        <is>
          <t>NOT_TESTED</t>
        </is>
      </c>
      <c r="U14" s="56" t="inlineStr">
        <is>
          <t>NOT_TESTED</t>
        </is>
      </c>
      <c r="V14" s="56" t="inlineStr">
        <is>
          <t>NOT_TESTED</t>
        </is>
      </c>
      <c r="W14" s="56" t="inlineStr">
        <is>
          <t>NOT_TESTED</t>
        </is>
      </c>
      <c r="X14" s="56" t="inlineStr">
        <is>
          <t>NOT_TESTED</t>
        </is>
      </c>
      <c r="Y14" s="56" t="inlineStr">
        <is>
          <t>NOT_TESTED</t>
        </is>
      </c>
      <c r="Z14" s="56" t="inlineStr">
        <is>
          <t>NOT_TESTED</t>
        </is>
      </c>
      <c r="AA14" s="56" t="inlineStr">
        <is>
          <t>NOT_TESTED</t>
        </is>
      </c>
      <c r="AB14" s="56" t="inlineStr">
        <is>
          <t>NOT_TESTED</t>
        </is>
      </c>
      <c r="AC14" s="55" t="inlineStr">
        <is>
          <t>QasmError</t>
        </is>
      </c>
      <c r="AD14" s="55" t="inlineStr">
        <is>
          <t>qiskit.qasm.exceptions.QasmError: 'Unable to match any token rule, got --&gt;#&lt;-- Check your OPENQASM source and any include statements.'</t>
        </is>
      </c>
      <c r="AE14" s="55" t="inlineStr">
        <is>
          <t>The LLM's QASM change (if (c==1) instead of if (c[0]==1)) is the same as the reference, but it put its '# FIX:' comment inside the OpenQASM string, where '#' is not valid syntax, so the QASM parser rejects the program. With that one line removed the fix passes.</t>
        </is>
      </c>
      <c r="AF14" s="55" t="inlineStr">
        <is>
          <t>QasmError</t>
        </is>
      </c>
      <c r="AG14" s="55" t="inlineStr">
        <is>
          <t>qiskit.qasm.exceptions.QasmError: 'Unable to match any token rule, got --&gt;#&lt;-- Check your OPENQASM source and any include statements.'</t>
        </is>
      </c>
      <c r="AH14" s="55" t="inlineStr">
        <is>
          <t>The LLM's QASM change (if (c==1) instead of if (c[0]==1)) is the same as the reference, but it put its '# FIX:' comment inside the OpenQASM string, where '#' is not valid syntax, so the QASM parser rejects the program. With that one line removed the fix passes.</t>
        </is>
      </c>
      <c r="AI14" s="55" t="inlineStr">
        <is>
          <t>QasmError</t>
        </is>
      </c>
      <c r="AJ14" s="55" t="inlineStr">
        <is>
          <t>qiskit.qasm.exceptions.QasmError: 'Unable to match any token rule, got --&gt;#&lt;-- Check your OPENQASM source and any include statements.'</t>
        </is>
      </c>
      <c r="AK14" s="55" t="inlineStr">
        <is>
          <t>The LLM's QASM change (if (c==1) instead of if (c[0]==1)) is the same as the reference, but it put its '# FIX:' comment inside the OpenQASM string, where '#' is not valid syntax, so the QASM parser rejects the program. With that one line removed the fix passes.</t>
        </is>
      </c>
      <c r="AL14" s="55" t="inlineStr">
        <is>
          <t>QasmError</t>
        </is>
      </c>
      <c r="AM14" s="55" t="inlineStr">
        <is>
          <t>qiskit.qasm.exceptions.QasmError: 'Unable to match any token rule, got --&gt;#&lt;-- Check your OPENQASM source and any include statements.'</t>
        </is>
      </c>
      <c r="AN14" s="55" t="inlineStr">
        <is>
          <t>The LLM's QASM change (if (c==1) instead of if (c[0]==1)) is the same as the reference, but it put its '# FIX:' comment inside the OpenQASM string, where '#' is not valid syntax, so the QASM parser rejects the program. With that one line removed the fix passes.</t>
        </is>
      </c>
      <c r="AO14" s="55" t="inlineStr">
        <is>
          <t>QASM2ParseError</t>
        </is>
      </c>
      <c r="AP14" s="55" t="inlineStr">
        <is>
          <t>qiskit.qasm2.exceptions.QASM2ParseError: "&lt;input&gt;:10,0: encountered '#', which doesn't match any valid tokens"</t>
        </is>
      </c>
      <c r="AQ14" s="55" t="inlineStr">
        <is>
          <t>The LLM's QASM change (if (c==1) instead of if (c[0]==1)) is the same as the reference, but it put its '# FIX:' comment inside the OpenQASM string, where '#' is not valid syntax, so the QASM parser rejects the program. With that one line removed the fix passes.</t>
        </is>
      </c>
      <c r="AR14" s="55" t="inlineStr">
        <is>
          <t>QASM2ParseError</t>
        </is>
      </c>
      <c r="AS14" s="55" t="inlineStr">
        <is>
          <t>qiskit.qasm2.exceptions.QASM2ParseError: "&lt;input&gt;:10,0: encountered '#', which doesn't match any valid tokens"</t>
        </is>
      </c>
      <c r="AT14" s="55" t="inlineStr">
        <is>
          <t>The LLM's QASM change (if (c==1) instead of if (c[0]==1)) is the same as the reference, but it put its '# FIX:' comment inside the OpenQASM string, where '#' is not valid syntax, so the QASM parser rejects the program. With that one line removed the fix passes.</t>
        </is>
      </c>
      <c r="AU14" s="55" t="inlineStr">
        <is>
          <t>QASM2ParseError</t>
        </is>
      </c>
      <c r="AV14" s="55" t="inlineStr">
        <is>
          <t>qiskit.qasm2.exceptions.QASM2ParseError: "&lt;input&gt;:10,0: encountered '#', which doesn't match any valid tokens"</t>
        </is>
      </c>
      <c r="AW14" s="55" t="inlineStr">
        <is>
          <t>The LLM's QASM change (if (c==1) instead of if (c[0]==1)) is the same as the reference, but it put its '# FIX:' comment inside the OpenQASM string, where '#' is not valid syntax, so the QASM parser rejects the program. With that one line removed the fix passes.</t>
        </is>
      </c>
      <c r="AX14" s="55" t="inlineStr">
        <is>
          <t>QASM2ParseError</t>
        </is>
      </c>
      <c r="AY14" s="55" t="inlineStr">
        <is>
          <t>qiskit.qasm2.exceptions.QASM2ParseError: "&lt;input&gt;:10,0: encountered '#', which doesn't match any valid tokens"</t>
        </is>
      </c>
      <c r="AZ14" s="55" t="inlineStr">
        <is>
          <t>The LLM's QASM change (if (c==1) instead of if (c[0]==1)) is the same as the reference, but it put its '# FIX:' comment inside the OpenQASM string, where '#' is not valid syntax, so the QASM parser rejects the program. With that one line removed the fix passes.</t>
        </is>
      </c>
      <c r="BA14" s="55" t="inlineStr">
        <is>
          <t>QASM2ParseError</t>
        </is>
      </c>
      <c r="BB14" s="55" t="inlineStr">
        <is>
          <t>qiskit.qasm2.exceptions.QASM2ParseError: "&lt;input&gt;:10,0: encountered '#', which doesn't match any valid tokens"</t>
        </is>
      </c>
      <c r="BC14" s="55" t="inlineStr">
        <is>
          <t>The LLM's QASM change (if (c==1) instead of if (c[0]==1)) is the same as the reference, but it put its '# FIX:' comment inside the OpenQASM string, where '#' is not valid syntax, so the QASM parser rejects the program. With that one line removed the fix passes.</t>
        </is>
      </c>
      <c r="BD14" s="55" t="inlineStr">
        <is>
          <t>QASM2ParseError</t>
        </is>
      </c>
      <c r="BE14" s="55" t="inlineStr">
        <is>
          <t>qiskit.qasm2.exceptions.QASM2ParseError: "&lt;input&gt;:10,0: encountered '#', which doesn't match any valid tokens"</t>
        </is>
      </c>
      <c r="BF14" s="55" t="inlineStr">
        <is>
          <t>The LLM's QASM change (if (c==1) instead of if (c[0]==1)) is the same as the reference, but it put its '# FIX:' comment inside the OpenQASM string, where '#' is not valid syntax, so the QASM parser rejects the program. With that one line removed the fix passes.</t>
        </is>
      </c>
      <c r="BG14" s="55" t="inlineStr">
        <is>
          <t>QASM2ParseError</t>
        </is>
      </c>
      <c r="BH14" s="55" t="inlineStr">
        <is>
          <t>qiskit.qasm2.exceptions.QASM2ParseError: "&lt;input&gt;:10,0: encountered '#', which doesn't match any valid tokens"</t>
        </is>
      </c>
      <c r="BI14" s="55" t="inlineStr">
        <is>
          <t>The LLM's QASM change (if (c==1) instead of if (c[0]==1)) is the same as the reference, but it put its '# FIX:' comment inside the OpenQASM string, where '#' is not valid syntax, so the QASM parser rejects the program. With that one line removed the fix passes.</t>
        </is>
      </c>
      <c r="BJ14" s="55" t="inlineStr">
        <is>
          <t>QASM2ParseError</t>
        </is>
      </c>
      <c r="BK14" s="55" t="inlineStr">
        <is>
          <t>qiskit.qasm2.exceptions.QASM2ParseError: "&lt;input&gt;:10,0: encountered '#', which doesn't match any valid tokens"</t>
        </is>
      </c>
      <c r="BL14" s="55" t="inlineStr">
        <is>
          <t>The LLM's QASM change (if (c==1) instead of if (c[0]==1)) is the same as the reference, but it put its '# FIX:' comment inside the OpenQASM string, where '#' is not valid syntax, so the QASM parser rejects the program. With that one line removed the fix passes.</t>
        </is>
      </c>
      <c r="BM14" s="55" t="n"/>
      <c r="BN14" s="55" t="n"/>
      <c r="BO14" s="55" t="n"/>
      <c r="BP14" s="55" t="n"/>
      <c r="BQ14" s="55" t="n"/>
      <c r="BR14" s="55" t="n"/>
      <c r="BS14" s="55" t="n"/>
      <c r="BT14" s="55" t="n"/>
      <c r="BU14" s="55" t="n"/>
      <c r="BV14" s="55" t="n"/>
      <c r="BW14" s="55" t="n"/>
      <c r="BX14" s="55" t="n"/>
      <c r="BY14" s="55" t="n"/>
      <c r="BZ14" s="55" t="n"/>
      <c r="CA14" s="55" t="n"/>
      <c r="CB14" s="55" t="n"/>
      <c r="CC14" s="55" t="n"/>
      <c r="CD14" s="55" t="n"/>
      <c r="CE14" s="55" t="n"/>
      <c r="CF14" s="55" t="n"/>
      <c r="CG14" s="55" t="n"/>
      <c r="CH14" s="55" t="n"/>
      <c r="CI14" s="55" t="n"/>
      <c r="CJ14" s="55" t="n"/>
      <c r="CK14" s="55" t="n"/>
      <c r="CL14" s="55" t="n"/>
      <c r="CM14" s="55" t="n"/>
      <c r="CN14" s="55" t="n"/>
      <c r="CO14" s="55" t="n"/>
      <c r="CP14" s="55" t="n"/>
      <c r="CQ14" s="55" t="n"/>
      <c r="CR14" s="55" t="n"/>
      <c r="CS14" s="55" t="n"/>
      <c r="CT14" s="55" t="n"/>
      <c r="CU14" s="55" t="n"/>
      <c r="CV14" s="55" t="n"/>
      <c r="CW14" s="55" t="n"/>
      <c r="CX14" s="55" t="n"/>
      <c r="CY14" s="55" t="n"/>
      <c r="CZ14" s="55" t="n"/>
      <c r="DA14" s="55" t="n"/>
      <c r="DB14" s="55" t="n"/>
      <c r="DC14" s="55" t="n"/>
      <c r="DD14" s="55" t="n"/>
      <c r="DE14" s="55" t="n"/>
    </row>
    <row r="15">
      <c r="A15" s="55" t="inlineStr">
        <is>
          <t>issue_189</t>
        </is>
      </c>
      <c r="B15" s="56" t="inlineStr">
        <is>
          <t>NOT_TESTED</t>
        </is>
      </c>
      <c r="C15" s="56" t="inlineStr">
        <is>
          <t>NOT_TESTED</t>
        </is>
      </c>
      <c r="D15" s="56" t="inlineStr">
        <is>
          <t>NOT_TESTED</t>
        </is>
      </c>
      <c r="E15" s="56" t="inlineStr">
        <is>
          <t>NOT_TESTED</t>
        </is>
      </c>
      <c r="F15" s="58" t="inlineStr">
        <is>
          <t>FAIL</t>
        </is>
      </c>
      <c r="G15" s="58" t="inlineStr">
        <is>
          <t>FAIL</t>
        </is>
      </c>
      <c r="H15" s="58" t="inlineStr">
        <is>
          <t>FAIL</t>
        </is>
      </c>
      <c r="I15" s="58" t="inlineStr">
        <is>
          <t>FAIL</t>
        </is>
      </c>
      <c r="J15" s="58" t="inlineStr">
        <is>
          <t>FAIL</t>
        </is>
      </c>
      <c r="K15" s="58" t="inlineStr">
        <is>
          <t>FAIL</t>
        </is>
      </c>
      <c r="L15" s="58" t="inlineStr">
        <is>
          <t>FAIL</t>
        </is>
      </c>
      <c r="M15" s="58" t="inlineStr">
        <is>
          <t>FAIL</t>
        </is>
      </c>
      <c r="N15" s="58" t="inlineStr">
        <is>
          <t>FAIL</t>
        </is>
      </c>
      <c r="O15" s="58" t="inlineStr">
        <is>
          <t>FAIL</t>
        </is>
      </c>
      <c r="P15" s="58" t="inlineStr">
        <is>
          <t>FAIL</t>
        </is>
      </c>
      <c r="Q15" s="58" t="inlineStr">
        <is>
          <t>FAIL</t>
        </is>
      </c>
      <c r="R15" s="58" t="inlineStr">
        <is>
          <t>FAIL</t>
        </is>
      </c>
      <c r="S15" s="58" t="inlineStr">
        <is>
          <t>FAIL</t>
        </is>
      </c>
      <c r="T15" s="58" t="inlineStr">
        <is>
          <t>FAIL</t>
        </is>
      </c>
      <c r="U15" s="58" t="inlineStr">
        <is>
          <t>FAIL</t>
        </is>
      </c>
      <c r="V15" s="58" t="inlineStr">
        <is>
          <t>FAIL</t>
        </is>
      </c>
      <c r="W15" s="58" t="inlineStr">
        <is>
          <t>FAIL</t>
        </is>
      </c>
      <c r="X15" s="58" t="inlineStr">
        <is>
          <t>FAIL</t>
        </is>
      </c>
      <c r="Y15" s="58" t="inlineStr">
        <is>
          <t>FAIL</t>
        </is>
      </c>
      <c r="Z15" s="58" t="inlineStr">
        <is>
          <t>FAIL</t>
        </is>
      </c>
      <c r="AA15" s="58" t="inlineStr">
        <is>
          <t>FAIL</t>
        </is>
      </c>
      <c r="AB15" s="58" t="inlineStr">
        <is>
          <t>FAIL</t>
        </is>
      </c>
      <c r="AC15" s="55" t="n"/>
      <c r="AD15" s="55" t="n"/>
      <c r="AE15" s="55" t="n"/>
      <c r="AF15" s="55" t="n"/>
      <c r="AG15" s="55" t="n"/>
      <c r="AH15" s="55" t="n"/>
      <c r="AI15" s="55" t="n"/>
      <c r="AJ15" s="55" t="n"/>
      <c r="AK15" s="55" t="n"/>
      <c r="AL15" s="55" t="n"/>
      <c r="AM15" s="55" t="n"/>
      <c r="AN15" s="55" t="n"/>
      <c r="AO15" s="55" t="inlineStr">
        <is>
          <t>AssertionError</t>
        </is>
      </c>
      <c r="AP15" s="55" t="inlineStr">
        <is>
          <t>AssertionError: Lists differ: [2, 3, 4, 5, 6, 7, 8] != [0, 3, 4, 5, 6, 7, 8]</t>
        </is>
      </c>
      <c r="AQ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55" t="inlineStr">
        <is>
          <t>AssertionError</t>
        </is>
      </c>
      <c r="AS15" s="55" t="inlineStr">
        <is>
          <t>AssertionError: Lists differ: [2, 3, 4, 5, 6, 7, 8] != [0, 3, 4, 5, 6, 7, 8]</t>
        </is>
      </c>
      <c r="AT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55" t="inlineStr">
        <is>
          <t>AssertionError</t>
        </is>
      </c>
      <c r="AV15" s="55" t="inlineStr">
        <is>
          <t>AssertionError: Lists differ: [2, 3, 4, 5, 6, 7, 8] != [0, 3, 4, 5, 6, 7, 8]</t>
        </is>
      </c>
      <c r="AW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55" t="inlineStr">
        <is>
          <t>AssertionError</t>
        </is>
      </c>
      <c r="AY15" s="55" t="inlineStr">
        <is>
          <t>AssertionError: Lists differ: [2, 3, 4, 5, 6, 7, 8] != [0, 3, 4, 5, 6, 7, 8]</t>
        </is>
      </c>
      <c r="AZ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55" t="inlineStr">
        <is>
          <t>AssertionError</t>
        </is>
      </c>
      <c r="BB15" s="55" t="inlineStr">
        <is>
          <t>AssertionError: Lists differ: [2, 3, 4, 5, 6, 7, 8] != [0, 3, 4, 5, 6, 7, 8]</t>
        </is>
      </c>
      <c r="BC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55" t="inlineStr">
        <is>
          <t>AssertionError</t>
        </is>
      </c>
      <c r="BE15" s="55" t="inlineStr">
        <is>
          <t>AssertionError: Lists differ: [2, 3, 4, 5, 6, 7, 8] != [0, 3, 4, 5, 6, 7, 8]</t>
        </is>
      </c>
      <c r="BF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55" t="inlineStr">
        <is>
          <t>AssertionError</t>
        </is>
      </c>
      <c r="BH15" s="55" t="inlineStr">
        <is>
          <t>AssertionError: Lists differ: [2, 3, 4, 5, 6, 7, 8] != [0, 3, 4, 5, 6, 7, 8]</t>
        </is>
      </c>
      <c r="BI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55" t="inlineStr">
        <is>
          <t>AssertionError</t>
        </is>
      </c>
      <c r="BK15" s="55" t="inlineStr">
        <is>
          <t>AssertionError: Lists differ: [2, 3, 4, 5, 6, 7, 8] != [0, 3, 4, 5, 6, 7, 8]</t>
        </is>
      </c>
      <c r="BL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55" t="inlineStr">
        <is>
          <t>AssertionError</t>
        </is>
      </c>
      <c r="BN15" s="55" t="inlineStr">
        <is>
          <t>AssertionError: Lists differ: [2, 3, 4, 5, 6, 7, 8] != [0, 3, 4, 5, 6, 7, 8]</t>
        </is>
      </c>
      <c r="BO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55" t="inlineStr">
        <is>
          <t>AssertionError</t>
        </is>
      </c>
      <c r="BQ15" s="55" t="inlineStr">
        <is>
          <t>AssertionError: Lists differ: [2, 3, 4, 5, 6, 7, 8] != [0, 3, 4, 5, 6, 7, 8]</t>
        </is>
      </c>
      <c r="BR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55" t="inlineStr">
        <is>
          <t>AssertionError</t>
        </is>
      </c>
      <c r="BT15" s="55" t="inlineStr">
        <is>
          <t>AssertionError: Lists differ: [2, 3, 4, 5, 6, 7, 8] != [0, 3, 4, 5, 6, 7, 8]</t>
        </is>
      </c>
      <c r="BU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55" t="inlineStr">
        <is>
          <t>AssertionError</t>
        </is>
      </c>
      <c r="BW15" s="55" t="inlineStr">
        <is>
          <t>AssertionError: Lists differ: [2, 3, 4, 5, 6, 7, 8] != [0, 3, 4, 5, 6, 7, 8]</t>
        </is>
      </c>
      <c r="BX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55" t="inlineStr">
        <is>
          <t>AssertionError</t>
        </is>
      </c>
      <c r="BZ15" s="55" t="inlineStr">
        <is>
          <t>AssertionError: Lists differ: [2, 3, 4, 5, 6, 7, 8] != [0, 3, 4, 5, 6, 7, 8]</t>
        </is>
      </c>
      <c r="CA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55" t="inlineStr">
        <is>
          <t>AssertionError</t>
        </is>
      </c>
      <c r="CC15" s="55" t="inlineStr">
        <is>
          <t>AssertionError: Lists differ: [2, 3, 4, 5, 6, 7, 8] != [0, 3, 4, 5, 6, 7, 8]</t>
        </is>
      </c>
      <c r="CD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55" t="inlineStr">
        <is>
          <t>AssertionError</t>
        </is>
      </c>
      <c r="CF15" s="55" t="inlineStr">
        <is>
          <t>AssertionError: Lists differ: [2, 3, 4, 5, 6, 7, 8] != [0, 3, 4, 5, 6, 7, 8]</t>
        </is>
      </c>
      <c r="CG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55" t="inlineStr">
        <is>
          <t>AssertionError</t>
        </is>
      </c>
      <c r="CI15" s="55" t="inlineStr">
        <is>
          <t>AssertionError: Lists differ: [2, 3, 4, 5, 6, 7, 8] != [0, 3, 4, 5, 6, 7, 8]</t>
        </is>
      </c>
      <c r="CJ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55" t="inlineStr">
        <is>
          <t>AssertionError</t>
        </is>
      </c>
      <c r="CL15" s="55" t="inlineStr">
        <is>
          <t>AssertionError: Lists differ: [2, 3, 4, 5, 6, 7, 8] != [0, 3, 4, 5, 6, 7, 8]</t>
        </is>
      </c>
      <c r="CM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55" t="inlineStr">
        <is>
          <t>AssertionError</t>
        </is>
      </c>
      <c r="CO15" s="55" t="inlineStr">
        <is>
          <t>AssertionError: Lists differ: [2, 3, 4, 5, 6, 7, 8] != [0, 3, 4, 5, 6, 7, 8]</t>
        </is>
      </c>
      <c r="CP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55" t="inlineStr">
        <is>
          <t>AssertionError</t>
        </is>
      </c>
      <c r="CR15" s="55" t="inlineStr">
        <is>
          <t>AssertionError: Lists differ: [2, 3, 4, 5, 6, 7, 8] != [0, 3, 4, 5, 6, 7, 8]</t>
        </is>
      </c>
      <c r="CS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55" t="inlineStr">
        <is>
          <t>AssertionError</t>
        </is>
      </c>
      <c r="CU15" s="55" t="inlineStr">
        <is>
          <t>AssertionError: Lists differ: [2, 3, 4, 5, 6, 7, 8] != [0, 3, 4, 5, 6, 7, 8]</t>
        </is>
      </c>
      <c r="CV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55" t="inlineStr">
        <is>
          <t>AssertionError</t>
        </is>
      </c>
      <c r="CX15" s="55" t="inlineStr">
        <is>
          <t>AssertionError: Lists differ: [2, 3, 4, 5, 6, 7, 8] != [0, 3, 4, 5, 6, 7, 8]</t>
        </is>
      </c>
      <c r="CY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55" t="inlineStr">
        <is>
          <t>AssertionError</t>
        </is>
      </c>
      <c r="DA15" s="55" t="inlineStr">
        <is>
          <t>AssertionError: Lists differ: [2, 3, 4, 5, 6, 7, 8] != [0, 3, 4, 5, 6, 7, 8]</t>
        </is>
      </c>
      <c r="DB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55" t="inlineStr">
        <is>
          <t>AssertionError</t>
        </is>
      </c>
      <c r="DD15" s="55" t="inlineStr">
        <is>
          <t>AssertionError: Lists differ: [2, 3, 4, 5, 6, 7, 8] != [0, 3, 4, 5, 6, 7, 8]</t>
        </is>
      </c>
      <c r="DE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55" t="inlineStr">
        <is>
          <t>issue_225</t>
        </is>
      </c>
      <c r="B16" s="56" t="inlineStr">
        <is>
          <t>NOT_TESTED</t>
        </is>
      </c>
      <c r="C16" s="56" t="inlineStr">
        <is>
          <t>NOT_TESTED</t>
        </is>
      </c>
      <c r="D16" s="56" t="inlineStr">
        <is>
          <t>NOT_TESTED</t>
        </is>
      </c>
      <c r="E16" s="56" t="inlineStr">
        <is>
          <t>NOT_TESTED</t>
        </is>
      </c>
      <c r="F16" s="59" t="inlineStr">
        <is>
          <t>PASS</t>
        </is>
      </c>
      <c r="G16" s="59" t="inlineStr">
        <is>
          <t>PASS</t>
        </is>
      </c>
      <c r="H16" s="59" t="inlineStr">
        <is>
          <t>PASS</t>
        </is>
      </c>
      <c r="I16" s="59" t="inlineStr">
        <is>
          <t>PASS</t>
        </is>
      </c>
      <c r="J16" s="59" t="inlineStr">
        <is>
          <t>PASS</t>
        </is>
      </c>
      <c r="K16" s="59" t="inlineStr">
        <is>
          <t>PASS</t>
        </is>
      </c>
      <c r="L16" s="59" t="inlineStr">
        <is>
          <t>PASS</t>
        </is>
      </c>
      <c r="M16" s="59" t="inlineStr">
        <is>
          <t>PASS</t>
        </is>
      </c>
      <c r="N16" s="56" t="inlineStr">
        <is>
          <t>NOT_TESTED</t>
        </is>
      </c>
      <c r="O16" s="56" t="inlineStr">
        <is>
          <t>NOT_TESTED</t>
        </is>
      </c>
      <c r="P16" s="56" t="inlineStr">
        <is>
          <t>NOT_TESTED</t>
        </is>
      </c>
      <c r="Q16" s="56" t="inlineStr">
        <is>
          <t>NOT_TESTED</t>
        </is>
      </c>
      <c r="R16" s="56" t="inlineStr">
        <is>
          <t>NOT_TESTED</t>
        </is>
      </c>
      <c r="S16" s="56" t="inlineStr">
        <is>
          <t>NOT_TESTED</t>
        </is>
      </c>
      <c r="T16" s="56" t="inlineStr">
        <is>
          <t>NOT_TESTED</t>
        </is>
      </c>
      <c r="U16" s="56" t="inlineStr">
        <is>
          <t>NOT_TESTED</t>
        </is>
      </c>
      <c r="V16" s="56" t="inlineStr">
        <is>
          <t>NOT_TESTED</t>
        </is>
      </c>
      <c r="W16" s="56" t="inlineStr">
        <is>
          <t>NOT_TESTED</t>
        </is>
      </c>
      <c r="X16" s="56" t="inlineStr">
        <is>
          <t>NOT_TESTED</t>
        </is>
      </c>
      <c r="Y16" s="56" t="inlineStr">
        <is>
          <t>NOT_TESTED</t>
        </is>
      </c>
      <c r="Z16" s="56" t="inlineStr">
        <is>
          <t>NOT_TESTED</t>
        </is>
      </c>
      <c r="AA16" s="56" t="inlineStr">
        <is>
          <t>NOT_TESTED</t>
        </is>
      </c>
      <c r="AB16" s="56" t="inlineStr">
        <is>
          <t>NOT_TESTED</t>
        </is>
      </c>
      <c r="AC16" s="55" t="n"/>
      <c r="AD16" s="55" t="n"/>
      <c r="AE16" s="55" t="n"/>
      <c r="AF16" s="55" t="n"/>
      <c r="AG16" s="55" t="n"/>
      <c r="AH16" s="55" t="n"/>
      <c r="AI16" s="55" t="n"/>
      <c r="AJ16" s="55" t="n"/>
      <c r="AK16" s="55" t="n"/>
      <c r="AL16" s="55" t="n"/>
      <c r="AM16" s="55" t="n"/>
      <c r="AN16" s="55" t="n"/>
      <c r="AO16" s="55" t="n"/>
      <c r="AP16" s="55" t="n"/>
      <c r="AQ16" s="55" t="n"/>
      <c r="AR16" s="55" t="n"/>
      <c r="AS16" s="55" t="n"/>
      <c r="AT16" s="55" t="n"/>
      <c r="AU16" s="55" t="n"/>
      <c r="AV16" s="55" t="n"/>
      <c r="AW16" s="55" t="n"/>
      <c r="AX16" s="55" t="n"/>
      <c r="AY16" s="55" t="n"/>
      <c r="AZ16" s="55" t="n"/>
      <c r="BA16" s="55" t="n"/>
      <c r="BB16" s="55" t="n"/>
      <c r="BC16" s="55" t="n"/>
      <c r="BD16" s="55" t="n"/>
      <c r="BE16" s="55" t="n"/>
      <c r="BF16" s="55" t="n"/>
      <c r="BG16" s="55" t="n"/>
      <c r="BH16" s="55" t="n"/>
      <c r="BI16" s="55" t="n"/>
      <c r="BJ16" s="55" t="n"/>
      <c r="BK16" s="55" t="n"/>
      <c r="BL16" s="55" t="n"/>
      <c r="BM16" s="55" t="n"/>
      <c r="BN16" s="55" t="n"/>
      <c r="BO16" s="55" t="n"/>
      <c r="BP16" s="55" t="n"/>
      <c r="BQ16" s="55" t="n"/>
      <c r="BR16" s="55" t="n"/>
      <c r="BS16" s="55" t="n"/>
      <c r="BT16" s="55" t="n"/>
      <c r="BU16" s="55" t="n"/>
      <c r="BV16" s="55" t="n"/>
      <c r="BW16" s="55" t="n"/>
      <c r="BX16" s="55" t="n"/>
      <c r="BY16" s="55" t="n"/>
      <c r="BZ16" s="55" t="n"/>
      <c r="CA16" s="55" t="n"/>
      <c r="CB16" s="55" t="n"/>
      <c r="CC16" s="55" t="n"/>
      <c r="CD16" s="55" t="n"/>
      <c r="CE16" s="55" t="n"/>
      <c r="CF16" s="55" t="n"/>
      <c r="CG16" s="55" t="n"/>
      <c r="CH16" s="55" t="n"/>
      <c r="CI16" s="55" t="n"/>
      <c r="CJ16" s="55" t="n"/>
      <c r="CK16" s="55" t="n"/>
      <c r="CL16" s="55" t="n"/>
      <c r="CM16" s="55" t="n"/>
      <c r="CN16" s="55" t="n"/>
      <c r="CO16" s="55" t="n"/>
      <c r="CP16" s="55" t="n"/>
      <c r="CQ16" s="55" t="n"/>
      <c r="CR16" s="55" t="n"/>
      <c r="CS16" s="55" t="n"/>
      <c r="CT16" s="55" t="n"/>
      <c r="CU16" s="55" t="n"/>
      <c r="CV16" s="55" t="n"/>
      <c r="CW16" s="55" t="n"/>
      <c r="CX16" s="55" t="n"/>
      <c r="CY16" s="55" t="n"/>
      <c r="CZ16" s="55" t="n"/>
      <c r="DA16" s="55" t="n"/>
      <c r="DB16" s="55" t="n"/>
      <c r="DC16" s="55" t="n"/>
      <c r="DD16" s="55" t="n"/>
      <c r="DE16" s="55" t="n"/>
    </row>
    <row r="17">
      <c r="A17" s="55" t="inlineStr">
        <is>
          <t>issue_233</t>
        </is>
      </c>
      <c r="B17" s="57" t="inlineStr">
        <is>
          <t>ERROR</t>
        </is>
      </c>
      <c r="C17" s="57" t="inlineStr">
        <is>
          <t>ERROR</t>
        </is>
      </c>
      <c r="D17" s="57" t="inlineStr">
        <is>
          <t>ERROR</t>
        </is>
      </c>
      <c r="E17" s="57" t="inlineStr">
        <is>
          <t>ERROR</t>
        </is>
      </c>
      <c r="F17" s="57" t="inlineStr">
        <is>
          <t>ERROR</t>
        </is>
      </c>
      <c r="G17" s="57" t="inlineStr">
        <is>
          <t>ERROR</t>
        </is>
      </c>
      <c r="H17" s="57" t="inlineStr">
        <is>
          <t>ERROR</t>
        </is>
      </c>
      <c r="I17" s="57" t="inlineStr">
        <is>
          <t>ERROR</t>
        </is>
      </c>
      <c r="J17" s="57" t="inlineStr">
        <is>
          <t>ERROR</t>
        </is>
      </c>
      <c r="K17" s="57" t="inlineStr">
        <is>
          <t>ERROR</t>
        </is>
      </c>
      <c r="L17" s="57" t="inlineStr">
        <is>
          <t>ERROR</t>
        </is>
      </c>
      <c r="M17" s="57" t="inlineStr">
        <is>
          <t>ERROR</t>
        </is>
      </c>
      <c r="N17" s="57" t="inlineStr">
        <is>
          <t>ERROR</t>
        </is>
      </c>
      <c r="O17" s="57" t="inlineStr">
        <is>
          <t>ERROR</t>
        </is>
      </c>
      <c r="P17" s="57" t="inlineStr">
        <is>
          <t>ERROR</t>
        </is>
      </c>
      <c r="Q17" s="57" t="inlineStr">
        <is>
          <t>ERROR</t>
        </is>
      </c>
      <c r="R17" s="57" t="inlineStr">
        <is>
          <t>ERROR</t>
        </is>
      </c>
      <c r="S17" s="57" t="inlineStr">
        <is>
          <t>ERROR</t>
        </is>
      </c>
      <c r="T17" s="57" t="inlineStr">
        <is>
          <t>ERROR</t>
        </is>
      </c>
      <c r="U17" s="57" t="inlineStr">
        <is>
          <t>ERROR</t>
        </is>
      </c>
      <c r="V17" s="57" t="inlineStr">
        <is>
          <t>ERROR</t>
        </is>
      </c>
      <c r="W17" s="57" t="inlineStr">
        <is>
          <t>ERROR</t>
        </is>
      </c>
      <c r="X17" s="57" t="inlineStr">
        <is>
          <t>ERROR</t>
        </is>
      </c>
      <c r="Y17" s="57" t="inlineStr">
        <is>
          <t>ERROR</t>
        </is>
      </c>
      <c r="Z17" s="57" t="inlineStr">
        <is>
          <t>ERROR</t>
        </is>
      </c>
      <c r="AA17" s="57" t="inlineStr">
        <is>
          <t>ERROR</t>
        </is>
      </c>
      <c r="AB17" s="57" t="inlineStr">
        <is>
          <t>ERROR</t>
        </is>
      </c>
      <c r="AC17" s="55" t="inlineStr">
        <is>
          <t>TypeError</t>
        </is>
      </c>
      <c r="AD17" s="55" t="inlineStr">
        <is>
          <t>TypeError: 'int' object is not callable</t>
        </is>
      </c>
      <c r="AE17" s="55" t="inlineStr">
        <is>
          <t>The LLM replaced only the second rot.num_parameters_settable() call (with len(rot.parameters)) and left the first one; num_parameters_settable is a property that returns an int, so calling it raises TypeError before anything is printed.</t>
        </is>
      </c>
      <c r="AF17" s="55" t="inlineStr">
        <is>
          <t>TypeError</t>
        </is>
      </c>
      <c r="AG17" s="55" t="inlineStr">
        <is>
          <t>TypeError: 'int' object is not callable</t>
        </is>
      </c>
      <c r="AH17" s="55" t="inlineStr">
        <is>
          <t>The LLM replaced only the second rot.num_parameters_settable() call (with len(rot.parameters)) and left the first one; num_parameters_settable is a property that returns an int, so calling it raises TypeError before anything is printed.</t>
        </is>
      </c>
      <c r="AI17" s="55" t="inlineStr">
        <is>
          <t>TypeError</t>
        </is>
      </c>
      <c r="AJ17" s="55" t="inlineStr">
        <is>
          <t>TypeError: 'int' object is not callable</t>
        </is>
      </c>
      <c r="AK17" s="55" t="inlineStr">
        <is>
          <t>The LLM replaced only the second rot.num_parameters_settable() call (with len(rot.parameters)) and left the first one; num_parameters_settable is a property that returns an int, so calling it raises TypeError before anything is printed.</t>
        </is>
      </c>
      <c r="AL17" s="55" t="inlineStr">
        <is>
          <t>TypeError</t>
        </is>
      </c>
      <c r="AM17" s="55" t="inlineStr">
        <is>
          <t>TypeError: 'int' object is not callable</t>
        </is>
      </c>
      <c r="AN17" s="55" t="inlineStr">
        <is>
          <t>The LLM replaced only the second rot.num_parameters_settable() call (with len(rot.parameters)) and left the first one; num_parameters_settable is a property that returns an int, so calling it raises TypeError before anything is printed.</t>
        </is>
      </c>
      <c r="AO17" s="55" t="inlineStr">
        <is>
          <t>TypeError</t>
        </is>
      </c>
      <c r="AP17" s="55" t="inlineStr">
        <is>
          <t>TypeError: 'int' object is not callable</t>
        </is>
      </c>
      <c r="AQ17" s="55" t="inlineStr">
        <is>
          <t>The LLM replaced only the second rot.num_parameters_settable() call (with len(rot.parameters)) and left the first one; num_parameters_settable is a property that returns an int, so calling it raises TypeError before anything is printed.</t>
        </is>
      </c>
      <c r="AR17" s="55" t="inlineStr">
        <is>
          <t>TypeError</t>
        </is>
      </c>
      <c r="AS17" s="55" t="inlineStr">
        <is>
          <t>TypeError: 'int' object is not callable</t>
        </is>
      </c>
      <c r="AT17" s="55" t="inlineStr">
        <is>
          <t>The LLM replaced only the second rot.num_parameters_settable() call (with len(rot.parameters)) and left the first one; num_parameters_settable is a property that returns an int, so calling it raises TypeError before anything is printed.</t>
        </is>
      </c>
      <c r="AU17" s="55" t="inlineStr">
        <is>
          <t>TypeError</t>
        </is>
      </c>
      <c r="AV17" s="55" t="inlineStr">
        <is>
          <t>TypeError: 'int' object is not callable</t>
        </is>
      </c>
      <c r="AW17" s="55" t="inlineStr">
        <is>
          <t>The LLM replaced only the second rot.num_parameters_settable() call (with len(rot.parameters)) and left the first one; num_parameters_settable is a property that returns an int, so calling it raises TypeError before anything is printed.</t>
        </is>
      </c>
      <c r="AX17" s="55" t="inlineStr">
        <is>
          <t>TypeError</t>
        </is>
      </c>
      <c r="AY17" s="55" t="inlineStr">
        <is>
          <t>TypeError: 'int' object is not callable</t>
        </is>
      </c>
      <c r="AZ17" s="55" t="inlineStr">
        <is>
          <t>The LLM replaced only the second rot.num_parameters_settable() call (with len(rot.parameters)) and left the first one; num_parameters_settable is a property that returns an int, so calling it raises TypeError before anything is printed.</t>
        </is>
      </c>
      <c r="BA17" s="55" t="inlineStr">
        <is>
          <t>TypeError</t>
        </is>
      </c>
      <c r="BB17" s="55" t="inlineStr">
        <is>
          <t>TypeError: 'int' object is not callable</t>
        </is>
      </c>
      <c r="BC17" s="55" t="inlineStr">
        <is>
          <t>The LLM replaced only the second rot.num_parameters_settable() call (with len(rot.parameters)) and left the first one; num_parameters_settable is a property that returns an int, so calling it raises TypeError before anything is printed.</t>
        </is>
      </c>
      <c r="BD17" s="55" t="inlineStr">
        <is>
          <t>TypeError</t>
        </is>
      </c>
      <c r="BE17" s="55" t="inlineStr">
        <is>
          <t>TypeError: 'int' object is not callable</t>
        </is>
      </c>
      <c r="BF17" s="55" t="inlineStr">
        <is>
          <t>The LLM replaced only the second rot.num_parameters_settable() call (with len(rot.parameters)) and left the first one; num_parameters_settable is a property that returns an int, so calling it raises TypeError before anything is printed.</t>
        </is>
      </c>
      <c r="BG17" s="55" t="inlineStr">
        <is>
          <t>TypeError</t>
        </is>
      </c>
      <c r="BH17" s="55" t="inlineStr">
        <is>
          <t>TypeError: 'int' object is not callable</t>
        </is>
      </c>
      <c r="BI17" s="55" t="inlineStr">
        <is>
          <t>The LLM replaced only the second rot.num_parameters_settable() call (with len(rot.parameters)) and left the first one; num_parameters_settable is a property that returns an int, so calling it raises TypeError before anything is printed.</t>
        </is>
      </c>
      <c r="BJ17" s="55" t="inlineStr">
        <is>
          <t>TypeError</t>
        </is>
      </c>
      <c r="BK17" s="55" t="inlineStr">
        <is>
          <t>TypeError: 'int' object is not callable</t>
        </is>
      </c>
      <c r="BL17" s="55" t="inlineStr">
        <is>
          <t>The LLM replaced only the second rot.num_parameters_settable() call (with len(rot.parameters)) and left the first one; num_parameters_settable is a property that returns an int, so calling it raises TypeError before anything is printed.</t>
        </is>
      </c>
      <c r="BM17" s="55" t="inlineStr">
        <is>
          <t>TypeError</t>
        </is>
      </c>
      <c r="BN17" s="55" t="inlineStr">
        <is>
          <t>TypeError: 'int' object is not callable</t>
        </is>
      </c>
      <c r="BO17" s="55" t="inlineStr">
        <is>
          <t>The LLM replaced only the second rot.num_parameters_settable() call (with len(rot.parameters)) and left the first one; num_parameters_settable is a property that returns an int, so calling it raises TypeError before anything is printed.</t>
        </is>
      </c>
      <c r="BP17" s="55" t="inlineStr">
        <is>
          <t>TypeError</t>
        </is>
      </c>
      <c r="BQ17" s="55" t="inlineStr">
        <is>
          <t>TypeError: 'int' object is not callable</t>
        </is>
      </c>
      <c r="BR17" s="55" t="inlineStr">
        <is>
          <t>The LLM replaced only the second rot.num_parameters_settable() call (with len(rot.parameters)) and left the first one; num_parameters_settable is a property that returns an int, so calling it raises TypeError before anything is printed.</t>
        </is>
      </c>
      <c r="BS17" s="55" t="inlineStr">
        <is>
          <t>TypeError</t>
        </is>
      </c>
      <c r="BT17" s="55" t="inlineStr">
        <is>
          <t>TypeError: 'int' object is not callable</t>
        </is>
      </c>
      <c r="BU17" s="55" t="inlineStr">
        <is>
          <t>The LLM replaced only the second rot.num_parameters_settable() call (with len(rot.parameters)) and left the first one; num_parameters_settable is a property that returns an int, so calling it raises TypeError before anything is printed.</t>
        </is>
      </c>
      <c r="BV17" s="55" t="inlineStr">
        <is>
          <t>TypeError</t>
        </is>
      </c>
      <c r="BW17" s="55" t="inlineStr">
        <is>
          <t>TypeError: 'int' object is not callable</t>
        </is>
      </c>
      <c r="BX17" s="55" t="inlineStr">
        <is>
          <t>The LLM replaced only the second rot.num_parameters_settable() call (with len(rot.parameters)) and left the first one; num_parameters_settable is a property that returns an int, so calling it raises TypeError before anything is printed.</t>
        </is>
      </c>
      <c r="BY17" s="55" t="inlineStr">
        <is>
          <t>TypeError</t>
        </is>
      </c>
      <c r="BZ17" s="55" t="inlineStr">
        <is>
          <t>TypeError: 'int' object is not callable</t>
        </is>
      </c>
      <c r="CA17" s="55" t="inlineStr">
        <is>
          <t>The LLM replaced only the second rot.num_parameters_settable() call (with len(rot.parameters)) and left the first one; num_parameters_settable is a property that returns an int, so calling it raises TypeError before anything is printed.</t>
        </is>
      </c>
      <c r="CB17" s="55" t="inlineStr">
        <is>
          <t>TypeError</t>
        </is>
      </c>
      <c r="CC17" s="55" t="inlineStr">
        <is>
          <t>TypeError: 'int' object is not callable</t>
        </is>
      </c>
      <c r="CD17" s="55" t="inlineStr">
        <is>
          <t>The LLM replaced only the second rot.num_parameters_settable() call (with len(rot.parameters)) and left the first one; num_parameters_settable is a property that returns an int, so calling it raises TypeError before anything is printed.</t>
        </is>
      </c>
      <c r="CE17" s="55" t="inlineStr">
        <is>
          <t>TypeError</t>
        </is>
      </c>
      <c r="CF17" s="55" t="inlineStr">
        <is>
          <t>TypeError: 'int' object is not callable</t>
        </is>
      </c>
      <c r="CG17" s="55" t="inlineStr">
        <is>
          <t>The LLM replaced only the second rot.num_parameters_settable() call (with len(rot.parameters)) and left the first one; num_parameters_settable is a property that returns an int, so calling it raises TypeError before anything is printed.</t>
        </is>
      </c>
      <c r="CH17" s="55" t="inlineStr">
        <is>
          <t>TypeError</t>
        </is>
      </c>
      <c r="CI17" s="55" t="inlineStr">
        <is>
          <t>TypeError: 'int' object is not callable</t>
        </is>
      </c>
      <c r="CJ17" s="55" t="inlineStr">
        <is>
          <t>The LLM replaced only the second rot.num_parameters_settable() call (with len(rot.parameters)) and left the first one; num_parameters_settable is a property that returns an int, so calling it raises TypeError before anything is printed.</t>
        </is>
      </c>
      <c r="CK17" s="55" t="inlineStr">
        <is>
          <t>TypeError</t>
        </is>
      </c>
      <c r="CL17" s="55" t="inlineStr">
        <is>
          <t>TypeError: 'int' object is not callable</t>
        </is>
      </c>
      <c r="CM17" s="55" t="inlineStr">
        <is>
          <t>The LLM replaced only the second rot.num_parameters_settable() call (with len(rot.parameters)) and left the first one; num_parameters_settable is a property that returns an int, so calling it raises TypeError before anything is printed.</t>
        </is>
      </c>
      <c r="CN17" s="55" t="inlineStr">
        <is>
          <t>TypeError</t>
        </is>
      </c>
      <c r="CO17" s="55" t="inlineStr">
        <is>
          <t>TypeError: 'int' object is not callable</t>
        </is>
      </c>
      <c r="CP17" s="55" t="inlineStr">
        <is>
          <t>The LLM replaced only the second rot.num_parameters_settable() call (with len(rot.parameters)) and left the first one; num_parameters_settable is a property that returns an int, so calling it raises TypeError before anything is printed.</t>
        </is>
      </c>
      <c r="CQ17" s="55" t="inlineStr">
        <is>
          <t>TypeError</t>
        </is>
      </c>
      <c r="CR17" s="55" t="inlineStr">
        <is>
          <t>TypeError: 'int' object is not callable</t>
        </is>
      </c>
      <c r="CS17" s="55" t="inlineStr">
        <is>
          <t>The LLM replaced only the second rot.num_parameters_settable() call (with len(rot.parameters)) and left the first one; num_parameters_settable is a property that returns an int, so calling it raises TypeError before anything is printed.</t>
        </is>
      </c>
      <c r="CT17" s="55" t="inlineStr">
        <is>
          <t>TypeError</t>
        </is>
      </c>
      <c r="CU17" s="55" t="inlineStr">
        <is>
          <t>TypeError: 'int' object is not callable</t>
        </is>
      </c>
      <c r="CV17" s="55" t="inlineStr">
        <is>
          <t>The LLM replaced only the second rot.num_parameters_settable() call (with len(rot.parameters)) and left the first one; num_parameters_settable is a property that returns an int, so calling it raises TypeError before anything is printed.</t>
        </is>
      </c>
      <c r="CW17" s="55" t="inlineStr">
        <is>
          <t>TypeError</t>
        </is>
      </c>
      <c r="CX17" s="55" t="inlineStr">
        <is>
          <t>TypeError: 'int' object is not callable</t>
        </is>
      </c>
      <c r="CY17" s="55" t="inlineStr">
        <is>
          <t>The LLM replaced only the second rot.num_parameters_settable() call (with len(rot.parameters)) and left the first one; num_parameters_settable is a property that returns an int, so calling it raises TypeError before anything is printed.</t>
        </is>
      </c>
      <c r="CZ17" s="55" t="inlineStr">
        <is>
          <t>TypeError</t>
        </is>
      </c>
      <c r="DA17" s="55" t="inlineStr">
        <is>
          <t>TypeError: 'int' object is not callable</t>
        </is>
      </c>
      <c r="DB17" s="55" t="inlineStr">
        <is>
          <t>The LLM replaced only the second rot.num_parameters_settable() call (with len(rot.parameters)) and left the first one; num_parameters_settable is a property that returns an int, so calling it raises TypeError before anything is printed.</t>
        </is>
      </c>
      <c r="DC17" s="55" t="inlineStr">
        <is>
          <t>TypeError</t>
        </is>
      </c>
      <c r="DD17" s="55" t="inlineStr">
        <is>
          <t>TypeError: 'int' object is not callable</t>
        </is>
      </c>
      <c r="DE17" s="55" t="inlineStr">
        <is>
          <t>The LLM replaced only the second rot.num_parameters_settable() call (with len(rot.parameters)) and left the first one; num_parameters_settable is a property that returns an int, so calling it raises TypeError before anything is printed.</t>
        </is>
      </c>
    </row>
    <row r="18">
      <c r="A18" s="55" t="inlineStr">
        <is>
          <t>issue_261</t>
        </is>
      </c>
      <c r="B18" s="59" t="inlineStr">
        <is>
          <t>PASS</t>
        </is>
      </c>
      <c r="C18" s="59" t="inlineStr">
        <is>
          <t>PASS</t>
        </is>
      </c>
      <c r="D18" s="59" t="inlineStr">
        <is>
          <t>PASS</t>
        </is>
      </c>
      <c r="E18" s="59" t="inlineStr">
        <is>
          <t>PASS</t>
        </is>
      </c>
      <c r="F18" s="59" t="inlineStr">
        <is>
          <t>PASS</t>
        </is>
      </c>
      <c r="G18" s="59" t="inlineStr">
        <is>
          <t>PASS</t>
        </is>
      </c>
      <c r="H18" s="59" t="inlineStr">
        <is>
          <t>PASS</t>
        </is>
      </c>
      <c r="I18" s="59" t="inlineStr">
        <is>
          <t>PASS</t>
        </is>
      </c>
      <c r="J18" s="59" t="inlineStr">
        <is>
          <t>PASS</t>
        </is>
      </c>
      <c r="K18" s="59" t="inlineStr">
        <is>
          <t>PASS</t>
        </is>
      </c>
      <c r="L18" s="59" t="inlineStr">
        <is>
          <t>PASS</t>
        </is>
      </c>
      <c r="M18" s="59" t="inlineStr">
        <is>
          <t>PASS</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issue_280</t>
        </is>
      </c>
      <c r="B19" s="59" t="inlineStr">
        <is>
          <t>PASS</t>
        </is>
      </c>
      <c r="C19" s="59" t="inlineStr">
        <is>
          <t>PASS</t>
        </is>
      </c>
      <c r="D19" s="59" t="inlineStr">
        <is>
          <t>PASS</t>
        </is>
      </c>
      <c r="E19" s="59" t="inlineStr">
        <is>
          <t>PASS</t>
        </is>
      </c>
      <c r="F19" s="59" t="inlineStr">
        <is>
          <t>PASS</t>
        </is>
      </c>
      <c r="G19" s="59" t="inlineStr">
        <is>
          <t>PASS</t>
        </is>
      </c>
      <c r="H19" s="59" t="inlineStr">
        <is>
          <t>PASS</t>
        </is>
      </c>
      <c r="I19" s="59" t="inlineStr">
        <is>
          <t>PASS</t>
        </is>
      </c>
      <c r="J19" s="59" t="inlineStr">
        <is>
          <t>PASS</t>
        </is>
      </c>
      <c r="K19" s="59" t="inlineStr">
        <is>
          <t>PASS</t>
        </is>
      </c>
      <c r="L19" s="59" t="inlineStr">
        <is>
          <t>PASS</t>
        </is>
      </c>
      <c r="M19" s="59" t="inlineStr">
        <is>
          <t>PASS</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issue_295</t>
        </is>
      </c>
      <c r="B20" s="56" t="inlineStr">
        <is>
          <t>NOT_TESTED</t>
        </is>
      </c>
      <c r="C20" s="56" t="inlineStr">
        <is>
          <t>NOT_TESTED</t>
        </is>
      </c>
      <c r="D20" s="56" t="inlineStr">
        <is>
          <t>NOT_TESTED</t>
        </is>
      </c>
      <c r="E20" s="56" t="inlineStr">
        <is>
          <t>NOT_TESTED</t>
        </is>
      </c>
      <c r="F20" s="59" t="inlineStr">
        <is>
          <t>PASS</t>
        </is>
      </c>
      <c r="G20" s="59" t="inlineStr">
        <is>
          <t>PASS</t>
        </is>
      </c>
      <c r="H20" s="59" t="inlineStr">
        <is>
          <t>PASS</t>
        </is>
      </c>
      <c r="I20" s="59" t="inlineStr">
        <is>
          <t>PASS</t>
        </is>
      </c>
      <c r="J20" s="59" t="inlineStr">
        <is>
          <t>PASS</t>
        </is>
      </c>
      <c r="K20" s="59" t="inlineStr">
        <is>
          <t>PASS</t>
        </is>
      </c>
      <c r="L20" s="59" t="inlineStr">
        <is>
          <t>PASS</t>
        </is>
      </c>
      <c r="M20" s="59" t="inlineStr">
        <is>
          <t>PASS</t>
        </is>
      </c>
      <c r="N20" s="56" t="inlineStr">
        <is>
          <t>NOT_TESTED</t>
        </is>
      </c>
      <c r="O20" s="56" t="inlineStr">
        <is>
          <t>NOT_TESTED</t>
        </is>
      </c>
      <c r="P20" s="56" t="inlineStr">
        <is>
          <t>NOT_TESTED</t>
        </is>
      </c>
      <c r="Q20" s="56" t="inlineStr">
        <is>
          <t>NOT_TESTED</t>
        </is>
      </c>
      <c r="R20" s="56" t="inlineStr">
        <is>
          <t>NOT_TESTED</t>
        </is>
      </c>
      <c r="S20" s="56" t="inlineStr">
        <is>
          <t>NOT_TESTED</t>
        </is>
      </c>
      <c r="T20" s="56" t="inlineStr">
        <is>
          <t>NOT_TESTED</t>
        </is>
      </c>
      <c r="U20" s="56" t="inlineStr">
        <is>
          <t>NOT_TESTED</t>
        </is>
      </c>
      <c r="V20" s="56" t="inlineStr">
        <is>
          <t>NOT_TESTED</t>
        </is>
      </c>
      <c r="W20" s="56" t="inlineStr">
        <is>
          <t>NOT_TESTED</t>
        </is>
      </c>
      <c r="X20" s="56" t="inlineStr">
        <is>
          <t>NOT_TESTED</t>
        </is>
      </c>
      <c r="Y20" s="56" t="inlineStr">
        <is>
          <t>NOT_TESTED</t>
        </is>
      </c>
      <c r="Z20" s="56" t="inlineStr">
        <is>
          <t>NOT_TESTED</t>
        </is>
      </c>
      <c r="AA20" s="56" t="inlineStr">
        <is>
          <t>NOT_TESTED</t>
        </is>
      </c>
      <c r="AB20" s="56" t="inlineStr">
        <is>
          <t>NOT_TESTED</t>
        </is>
      </c>
      <c r="AC20" s="55" t="n"/>
      <c r="AD20" s="55" t="n"/>
      <c r="AE20" s="55" t="n"/>
      <c r="AF20" s="55" t="n"/>
      <c r="AG20" s="55" t="n"/>
      <c r="AH20" s="55" t="n"/>
      <c r="AI20" s="55" t="n"/>
      <c r="AJ20" s="55" t="n"/>
      <c r="AK20" s="55" t="n"/>
      <c r="AL20" s="55" t="n"/>
      <c r="AM20" s="55" t="n"/>
      <c r="AN20" s="55" t="n"/>
      <c r="AO20" s="55" t="n"/>
      <c r="AP20" s="55" t="n"/>
      <c r="AQ20" s="55" t="n"/>
      <c r="AR20" s="55" t="n"/>
      <c r="AS20" s="55" t="n"/>
      <c r="AT20" s="55" t="n"/>
      <c r="AU20" s="55" t="n"/>
      <c r="AV20" s="55" t="n"/>
      <c r="AW20" s="55" t="n"/>
      <c r="AX20" s="55" t="n"/>
      <c r="AY20" s="55" t="n"/>
      <c r="AZ20" s="55" t="n"/>
      <c r="BA20" s="55" t="n"/>
      <c r="BB20" s="55" t="n"/>
      <c r="BC20" s="55" t="n"/>
      <c r="BD20" s="55" t="n"/>
      <c r="BE20" s="55" t="n"/>
      <c r="BF20" s="55" t="n"/>
      <c r="BG20" s="55" t="n"/>
      <c r="BH20" s="55" t="n"/>
      <c r="BI20" s="55" t="n"/>
      <c r="BJ20" s="55" t="n"/>
      <c r="BK20" s="55" t="n"/>
      <c r="BL20" s="55" t="n"/>
      <c r="BM20" s="55" t="n"/>
      <c r="BN20" s="55" t="n"/>
      <c r="BO20" s="55" t="n"/>
      <c r="BP20" s="55" t="n"/>
      <c r="BQ20" s="55" t="n"/>
      <c r="BR20" s="55" t="n"/>
      <c r="BS20" s="55" t="n"/>
      <c r="BT20" s="55" t="n"/>
      <c r="BU20" s="55" t="n"/>
      <c r="BV20" s="55" t="n"/>
      <c r="BW20" s="55" t="n"/>
      <c r="BX20" s="55" t="n"/>
      <c r="BY20" s="55" t="n"/>
      <c r="BZ20" s="55" t="n"/>
      <c r="CA20" s="55" t="n"/>
      <c r="CB20" s="55" t="n"/>
      <c r="CC20" s="55" t="n"/>
      <c r="CD20" s="55" t="n"/>
      <c r="CE20" s="55" t="n"/>
      <c r="CF20" s="55" t="n"/>
      <c r="CG20" s="55" t="n"/>
      <c r="CH20" s="55" t="n"/>
      <c r="CI20" s="55" t="n"/>
      <c r="CJ20" s="55" t="n"/>
      <c r="CK20" s="55" t="n"/>
      <c r="CL20" s="55" t="n"/>
      <c r="CM20" s="55" t="n"/>
      <c r="CN20" s="55" t="n"/>
      <c r="CO20" s="55" t="n"/>
      <c r="CP20" s="55" t="n"/>
      <c r="CQ20" s="55" t="n"/>
      <c r="CR20" s="55" t="n"/>
      <c r="CS20" s="55" t="n"/>
      <c r="CT20" s="55" t="n"/>
      <c r="CU20" s="55" t="n"/>
      <c r="CV20" s="55" t="n"/>
      <c r="CW20" s="55" t="n"/>
      <c r="CX20" s="55" t="n"/>
      <c r="CY20" s="55" t="n"/>
      <c r="CZ20" s="55" t="n"/>
      <c r="DA20" s="55" t="n"/>
      <c r="DB20" s="55" t="n"/>
      <c r="DC20" s="55" t="n"/>
      <c r="DD20" s="55" t="n"/>
      <c r="DE20" s="55" t="n"/>
    </row>
    <row r="21">
      <c r="A21" s="55" t="inlineStr">
        <is>
          <t>issue_315</t>
        </is>
      </c>
      <c r="B21" s="56" t="inlineStr">
        <is>
          <t>NOT_TESTED</t>
        </is>
      </c>
      <c r="C21" s="56" t="inlineStr">
        <is>
          <t>NOT_TESTED</t>
        </is>
      </c>
      <c r="D21" s="56" t="inlineStr">
        <is>
          <t>NOT_TESTED</t>
        </is>
      </c>
      <c r="E21" s="56" t="inlineStr">
        <is>
          <t>NOT_TESTED</t>
        </is>
      </c>
      <c r="F21" s="57" t="inlineStr">
        <is>
          <t>ERROR</t>
        </is>
      </c>
      <c r="G21" s="57" t="inlineStr">
        <is>
          <t>ERROR</t>
        </is>
      </c>
      <c r="H21" s="57" t="inlineStr">
        <is>
          <t>ERROR</t>
        </is>
      </c>
      <c r="I21" s="57" t="inlineStr">
        <is>
          <t>ERROR</t>
        </is>
      </c>
      <c r="J21" s="57" t="inlineStr">
        <is>
          <t>ERROR</t>
        </is>
      </c>
      <c r="K21" s="57" t="inlineStr">
        <is>
          <t>ERROR</t>
        </is>
      </c>
      <c r="L21" s="57" t="inlineStr">
        <is>
          <t>ERROR</t>
        </is>
      </c>
      <c r="M21" s="57" t="inlineStr">
        <is>
          <t>ERROR</t>
        </is>
      </c>
      <c r="N21" s="57" t="inlineStr">
        <is>
          <t>ERROR</t>
        </is>
      </c>
      <c r="O21" s="57" t="inlineStr">
        <is>
          <t>ERROR</t>
        </is>
      </c>
      <c r="P21" s="57" t="inlineStr">
        <is>
          <t>ERROR</t>
        </is>
      </c>
      <c r="Q21" s="57" t="inlineStr">
        <is>
          <t>ERROR</t>
        </is>
      </c>
      <c r="R21" s="57" t="inlineStr">
        <is>
          <t>ERROR</t>
        </is>
      </c>
      <c r="S21" s="57" t="inlineStr">
        <is>
          <t>ERROR</t>
        </is>
      </c>
      <c r="T21" s="57" t="inlineStr">
        <is>
          <t>ERROR</t>
        </is>
      </c>
      <c r="U21" s="57" t="inlineStr">
        <is>
          <t>ERROR</t>
        </is>
      </c>
      <c r="V21" s="57" t="inlineStr">
        <is>
          <t>ERROR</t>
        </is>
      </c>
      <c r="W21" s="57" t="inlineStr">
        <is>
          <t>ERROR</t>
        </is>
      </c>
      <c r="X21" s="57" t="inlineStr">
        <is>
          <t>ERROR</t>
        </is>
      </c>
      <c r="Y21" s="57" t="inlineStr">
        <is>
          <t>ERROR</t>
        </is>
      </c>
      <c r="Z21" s="57" t="inlineStr">
        <is>
          <t>ERROR</t>
        </is>
      </c>
      <c r="AA21" s="57" t="inlineStr">
        <is>
          <t>ERROR</t>
        </is>
      </c>
      <c r="AB21" s="57" t="inlineStr">
        <is>
          <t>ERROR</t>
        </is>
      </c>
      <c r="AC21" s="55" t="n"/>
      <c r="AD21" s="55" t="n"/>
      <c r="AE21" s="55" t="n"/>
      <c r="AF21" s="55" t="n"/>
      <c r="AG21" s="55" t="n"/>
      <c r="AH21" s="55" t="n"/>
      <c r="AI21" s="55" t="n"/>
      <c r="AJ21" s="55" t="n"/>
      <c r="AK21" s="55" t="n"/>
      <c r="AL21" s="55" t="n"/>
      <c r="AM21" s="55" t="n"/>
      <c r="AN21" s="55" t="n"/>
      <c r="AO21" s="55" t="inlineStr">
        <is>
          <t>ModuleNotFoundError</t>
        </is>
      </c>
      <c r="AP21" s="55" t="inlineStr">
        <is>
          <t>ModuleNotFoundError: No module named 'qiskit.providers.basic_provider'</t>
        </is>
      </c>
      <c r="AQ21" s="55" t="inlineStr">
        <is>
          <t>The LLM kept the BasicProvider import, and qiskit.providers.basic_provider does not exist before Qiskit 0.46, so the script crashes on import (it also deleted the parallel options the user wanted instead of switching to AerSimulator).</t>
        </is>
      </c>
      <c r="AR21" s="55" t="inlineStr">
        <is>
          <t>ModuleNotFoundError</t>
        </is>
      </c>
      <c r="AS21" s="55" t="inlineStr">
        <is>
          <t>ModuleNotFoundError: No module named 'qiskit.providers.basic_provider'</t>
        </is>
      </c>
      <c r="AT21" s="55" t="inlineStr">
        <is>
          <t>The LLM kept the BasicProvider import, and qiskit.providers.basic_provider does not exist before Qiskit 0.46, so the script crashes on import (it also deleted the parallel options the user wanted instead of switching to AerSimulator).</t>
        </is>
      </c>
      <c r="AU21" s="55" t="inlineStr">
        <is>
          <t>ModuleNotFoundError</t>
        </is>
      </c>
      <c r="AV21" s="55" t="inlineStr">
        <is>
          <t>ModuleNotFoundError: No module named 'qiskit.providers.basic_provider'</t>
        </is>
      </c>
      <c r="AW21" s="55" t="inlineStr">
        <is>
          <t>The LLM kept the BasicProvider import, and qiskit.providers.basic_provider does not exist before Qiskit 0.46, so the script crashes on import (it also deleted the parallel options the user wanted instead of switching to AerSimulator).</t>
        </is>
      </c>
      <c r="AX21" s="55" t="inlineStr">
        <is>
          <t>ModuleNotFoundError</t>
        </is>
      </c>
      <c r="AY21" s="55" t="inlineStr">
        <is>
          <t>ModuleNotFoundError: No module named 'qiskit.providers.basic_provider'</t>
        </is>
      </c>
      <c r="AZ21" s="55" t="inlineStr">
        <is>
          <t>The LLM kept the BasicProvider import, and qiskit.providers.basic_provider does not exist before Qiskit 0.46, so the script crashes on import (it also deleted the parallel options the user wanted instead of switching to AerSimulator).</t>
        </is>
      </c>
      <c r="BA21" s="55" t="inlineStr">
        <is>
          <t>AttributeError</t>
        </is>
      </c>
      <c r="BB21" s="55" t="inlineStr">
        <is>
          <t>AttributeError: Option max_parallel_threads is not defined</t>
        </is>
      </c>
      <c r="BC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55" t="inlineStr">
        <is>
          <t>AttributeError</t>
        </is>
      </c>
      <c r="BE21" s="55" t="inlineStr">
        <is>
          <t>AttributeError: Option max_parallel_threads is not defined</t>
        </is>
      </c>
      <c r="BF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55" t="inlineStr">
        <is>
          <t>AttributeError</t>
        </is>
      </c>
      <c r="BH21" s="55" t="inlineStr">
        <is>
          <t>AttributeError: Option max_parallel_threads is not defined</t>
        </is>
      </c>
      <c r="BI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55" t="inlineStr">
        <is>
          <t>AttributeError</t>
        </is>
      </c>
      <c r="BK21" s="55" t="inlineStr">
        <is>
          <t>AttributeError: Option max_parallel_threads is not defined</t>
        </is>
      </c>
      <c r="BL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55" t="inlineStr">
        <is>
          <t>AttributeError</t>
        </is>
      </c>
      <c r="BN21" s="55" t="inlineStr">
        <is>
          <t>AttributeError: Option max_parallel_threads is not defined</t>
        </is>
      </c>
      <c r="BO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55" t="inlineStr">
        <is>
          <t>AttributeError</t>
        </is>
      </c>
      <c r="BQ21" s="55" t="inlineStr">
        <is>
          <t>AttributeError: Option max_parallel_threads is not defined</t>
        </is>
      </c>
      <c r="BR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55" t="inlineStr">
        <is>
          <t>AttributeError</t>
        </is>
      </c>
      <c r="BT21" s="55" t="inlineStr">
        <is>
          <t>AttributeError: Option max_parallel_threads is not defined</t>
        </is>
      </c>
      <c r="BU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55" t="inlineStr">
        <is>
          <t>AttributeError</t>
        </is>
      </c>
      <c r="BW21" s="55" t="inlineStr">
        <is>
          <t>AttributeError: Option max_parallel_threads is not defined</t>
        </is>
      </c>
      <c r="BX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55" t="inlineStr">
        <is>
          <t>AttributeError</t>
        </is>
      </c>
      <c r="BZ21" s="55" t="inlineStr">
        <is>
          <t>AttributeError: Option max_parallel_threads is not defined</t>
        </is>
      </c>
      <c r="CA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55" t="inlineStr">
        <is>
          <t>AttributeError</t>
        </is>
      </c>
      <c r="CC21" s="55" t="inlineStr">
        <is>
          <t>AttributeError: Option max_parallel_threads is not defined</t>
        </is>
      </c>
      <c r="CD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55" t="inlineStr">
        <is>
          <t>AttributeError</t>
        </is>
      </c>
      <c r="CF21" s="55" t="inlineStr">
        <is>
          <t>AttributeError: Option max_parallel_threads is not defined</t>
        </is>
      </c>
      <c r="CG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55" t="inlineStr">
        <is>
          <t>AttributeError</t>
        </is>
      </c>
      <c r="CI21" s="55" t="inlineStr">
        <is>
          <t>AttributeError: Option max_parallel_threads is not defined</t>
        </is>
      </c>
      <c r="CJ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55" t="inlineStr">
        <is>
          <t>AttributeError</t>
        </is>
      </c>
      <c r="CL21" s="55" t="inlineStr">
        <is>
          <t>AttributeError: Option max_parallel_threads is not defined</t>
        </is>
      </c>
      <c r="CM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55" t="inlineStr">
        <is>
          <t>AttributeError</t>
        </is>
      </c>
      <c r="CO21" s="55" t="inlineStr">
        <is>
          <t>AttributeError: Option max_parallel_threads is not defined</t>
        </is>
      </c>
      <c r="CP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55" t="inlineStr">
        <is>
          <t>AttributeError</t>
        </is>
      </c>
      <c r="CR21" s="55" t="inlineStr">
        <is>
          <t>AttributeError: Option max_parallel_threads is not defined</t>
        </is>
      </c>
      <c r="CS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55" t="inlineStr">
        <is>
          <t>AttributeError</t>
        </is>
      </c>
      <c r="CU21" s="55" t="inlineStr">
        <is>
          <t>AttributeError: Option max_parallel_threads is not defined</t>
        </is>
      </c>
      <c r="CV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55" t="inlineStr">
        <is>
          <t>AttributeError</t>
        </is>
      </c>
      <c r="CX21" s="55" t="inlineStr">
        <is>
          <t>AttributeError: Option max_parallel_threads is not defined</t>
        </is>
      </c>
      <c r="CY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55" t="inlineStr">
        <is>
          <t>AttributeError</t>
        </is>
      </c>
      <c r="DA21" s="55" t="inlineStr">
        <is>
          <t>AttributeError: Option max_parallel_threads is not defined</t>
        </is>
      </c>
      <c r="DB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55" t="inlineStr">
        <is>
          <t>AttributeError</t>
        </is>
      </c>
      <c r="DD21" s="55" t="inlineStr">
        <is>
          <t>AttributeError: Option max_parallel_threads is not defined</t>
        </is>
      </c>
      <c r="DE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2">
      <c r="A22" s="55" t="inlineStr">
        <is>
          <t>issue_344</t>
        </is>
      </c>
      <c r="B22" s="57" t="inlineStr">
        <is>
          <t>ERROR</t>
        </is>
      </c>
      <c r="C22" s="57" t="inlineStr">
        <is>
          <t>ERROR</t>
        </is>
      </c>
      <c r="D22" s="57" t="inlineStr">
        <is>
          <t>ERROR</t>
        </is>
      </c>
      <c r="E22" s="57" t="inlineStr">
        <is>
          <t>ERROR</t>
        </is>
      </c>
      <c r="F22" s="57" t="inlineStr">
        <is>
          <t>ERROR</t>
        </is>
      </c>
      <c r="G22" s="57" t="inlineStr">
        <is>
          <t>ERROR</t>
        </is>
      </c>
      <c r="H22" s="57" t="inlineStr">
        <is>
          <t>ERROR</t>
        </is>
      </c>
      <c r="I22" s="57" t="inlineStr">
        <is>
          <t>ERROR</t>
        </is>
      </c>
      <c r="J22" s="57" t="inlineStr">
        <is>
          <t>ERROR</t>
        </is>
      </c>
      <c r="K22" s="57" t="inlineStr">
        <is>
          <t>ERROR</t>
        </is>
      </c>
      <c r="L22" s="57" t="inlineStr">
        <is>
          <t>ERROR</t>
        </is>
      </c>
      <c r="M22" s="57" t="inlineStr">
        <is>
          <t>ERROR</t>
        </is>
      </c>
      <c r="N22" s="56" t="inlineStr">
        <is>
          <t>NOT_TESTED</t>
        </is>
      </c>
      <c r="O22" s="56" t="inlineStr">
        <is>
          <t>NOT_TESTED</t>
        </is>
      </c>
      <c r="P22" s="56" t="inlineStr">
        <is>
          <t>NOT_TESTED</t>
        </is>
      </c>
      <c r="Q22" s="56" t="inlineStr">
        <is>
          <t>NOT_TESTED</t>
        </is>
      </c>
      <c r="R22" s="56" t="inlineStr">
        <is>
          <t>NOT_TESTED</t>
        </is>
      </c>
      <c r="S22" s="56" t="inlineStr">
        <is>
          <t>NOT_TESTED</t>
        </is>
      </c>
      <c r="T22" s="56" t="inlineStr">
        <is>
          <t>NOT_TESTED</t>
        </is>
      </c>
      <c r="U22" s="56" t="inlineStr">
        <is>
          <t>NOT_TESTED</t>
        </is>
      </c>
      <c r="V22" s="56" t="inlineStr">
        <is>
          <t>NOT_TESTED</t>
        </is>
      </c>
      <c r="W22" s="56" t="inlineStr">
        <is>
          <t>NOT_TESTED</t>
        </is>
      </c>
      <c r="X22" s="56" t="inlineStr">
        <is>
          <t>NOT_TESTED</t>
        </is>
      </c>
      <c r="Y22" s="56" t="inlineStr">
        <is>
          <t>NOT_TESTED</t>
        </is>
      </c>
      <c r="Z22" s="56" t="inlineStr">
        <is>
          <t>NOT_TESTED</t>
        </is>
      </c>
      <c r="AA22" s="56" t="inlineStr">
        <is>
          <t>NOT_TESTED</t>
        </is>
      </c>
      <c r="AB22" s="56" t="inlineStr">
        <is>
          <t>NOT_TESTED</t>
        </is>
      </c>
      <c r="AC22" s="55" t="inlineStr">
        <is>
          <t>QiskitError</t>
        </is>
      </c>
      <c r="AD22" s="55" t="inlineStr">
        <is>
          <t>qiskit.exceptions.QiskitError: 'Input quantum state is not a valid'</t>
        </is>
      </c>
      <c r="AE22" s="55" t="inlineStr">
        <is>
          <t>The LLM passed the Statevector object to entropy() but kept get_statevector(..., decimals=3); the rounded amplitudes are no longer normalized, so Qiskit rejects the state ('Input quantum state is not a valid'). The reference also removes decimals=3.</t>
        </is>
      </c>
      <c r="AF22" s="55" t="inlineStr">
        <is>
          <t>QiskitError</t>
        </is>
      </c>
      <c r="AG22" s="55" t="inlineStr">
        <is>
          <t>qiskit.exceptions.QiskitError: 'Input quantum state is not a valid'</t>
        </is>
      </c>
      <c r="AH22" s="55" t="inlineStr">
        <is>
          <t>The LLM passed the Statevector object to entropy() but kept get_statevector(..., decimals=3); the rounded amplitudes are no longer normalized, so Qiskit rejects the state ('Input quantum state is not a valid'). The reference also removes decimals=3.</t>
        </is>
      </c>
      <c r="AI22" s="55" t="inlineStr">
        <is>
          <t>QiskitError</t>
        </is>
      </c>
      <c r="AJ22" s="55" t="inlineStr">
        <is>
          <t>qiskit.exceptions.QiskitError: 'Input quantum state is not a valid'</t>
        </is>
      </c>
      <c r="AK22" s="55" t="inlineStr">
        <is>
          <t>The LLM passed the Statevector object to entropy() but kept get_statevector(..., decimals=3); the rounded amplitudes are no longer normalized, so Qiskit rejects the state ('Input quantum state is not a valid'). The reference also removes decimals=3.</t>
        </is>
      </c>
      <c r="AL22" s="55" t="inlineStr">
        <is>
          <t>QiskitError</t>
        </is>
      </c>
      <c r="AM22" s="55" t="inlineStr">
        <is>
          <t>qiskit.exceptions.QiskitError: 'Input quantum state is not a valid'</t>
        </is>
      </c>
      <c r="AN22" s="55" t="inlineStr">
        <is>
          <t>The LLM passed the Statevector object to entropy() but kept get_statevector(..., decimals=3); the rounded amplitudes are no longer normalized, so Qiskit rejects the state ('Input quantum state is not a valid'). The reference also removes decimals=3.</t>
        </is>
      </c>
      <c r="AO22" s="55" t="inlineStr">
        <is>
          <t>QiskitError</t>
        </is>
      </c>
      <c r="AP22" s="55" t="inlineStr">
        <is>
          <t>qiskit.exceptions.QiskitError: 'Input quantum state is not a valid'</t>
        </is>
      </c>
      <c r="AQ22" s="55" t="inlineStr">
        <is>
          <t>The LLM passed the Statevector object to entropy() but kept get_statevector(..., decimals=3); the rounded amplitudes are no longer normalized, so Qiskit rejects the state ('Input quantum state is not a valid'). The reference also removes decimals=3.</t>
        </is>
      </c>
      <c r="AR22" s="55" t="inlineStr">
        <is>
          <t>QiskitError</t>
        </is>
      </c>
      <c r="AS22" s="55" t="inlineStr">
        <is>
          <t>qiskit.exceptions.QiskitError: 'Input quantum state is not a valid'</t>
        </is>
      </c>
      <c r="AT22" s="55" t="inlineStr">
        <is>
          <t>The LLM passed the Statevector object to entropy() but kept get_statevector(..., decimals=3); the rounded amplitudes are no longer normalized, so Qiskit rejects the state ('Input quantum state is not a valid'). The reference also removes decimals=3.</t>
        </is>
      </c>
      <c r="AU22" s="55" t="inlineStr">
        <is>
          <t>QiskitError</t>
        </is>
      </c>
      <c r="AV22" s="55" t="inlineStr">
        <is>
          <t>qiskit.exceptions.QiskitError: 'Input quantum state is not a valid'</t>
        </is>
      </c>
      <c r="AW22" s="55" t="inlineStr">
        <is>
          <t>The LLM passed the Statevector object to entropy() but kept get_statevector(..., decimals=3); the rounded amplitudes are no longer normalized, so Qiskit rejects the state ('Input quantum state is not a valid'). The reference also removes decimals=3.</t>
        </is>
      </c>
      <c r="AX22" s="55" t="inlineStr">
        <is>
          <t>QiskitError</t>
        </is>
      </c>
      <c r="AY22" s="55" t="inlineStr">
        <is>
          <t>qiskit.exceptions.QiskitError: 'Input quantum state is not a valid'</t>
        </is>
      </c>
      <c r="AZ22" s="55" t="inlineStr">
        <is>
          <t>The LLM passed the Statevector object to entropy() but kept get_statevector(..., decimals=3); the rounded amplitudes are no longer normalized, so Qiskit rejects the state ('Input quantum state is not a valid'). The reference also removes decimals=3.</t>
        </is>
      </c>
      <c r="BA22" s="55" t="inlineStr">
        <is>
          <t>QiskitError</t>
        </is>
      </c>
      <c r="BB22" s="55" t="inlineStr">
        <is>
          <t>qiskit.exceptions.QiskitError: 'Input quantum state is not a valid'</t>
        </is>
      </c>
      <c r="BC22" s="55" t="inlineStr">
        <is>
          <t>The LLM passed the Statevector object to entropy() but kept get_statevector(..., decimals=3); the rounded amplitudes are no longer normalized, so Qiskit rejects the state ('Input quantum state is not a valid'). The reference also removes decimals=3.</t>
        </is>
      </c>
      <c r="BD22" s="55" t="inlineStr">
        <is>
          <t>QiskitError</t>
        </is>
      </c>
      <c r="BE22" s="55" t="inlineStr">
        <is>
          <t>qiskit.exceptions.QiskitError: 'Input quantum state is not a valid'</t>
        </is>
      </c>
      <c r="BF22" s="55" t="inlineStr">
        <is>
          <t>The LLM passed the Statevector object to entropy() but kept get_statevector(..., decimals=3); the rounded amplitudes are no longer normalized, so Qiskit rejects the state ('Input quantum state is not a valid'). The reference also removes decimals=3.</t>
        </is>
      </c>
      <c r="BG22" s="55" t="inlineStr">
        <is>
          <t>QiskitError</t>
        </is>
      </c>
      <c r="BH22" s="55" t="inlineStr">
        <is>
          <t>qiskit.exceptions.QiskitError: 'Input quantum state is not a valid'</t>
        </is>
      </c>
      <c r="BI22" s="55" t="inlineStr">
        <is>
          <t>The LLM passed the Statevector object to entropy() but kept get_statevector(..., decimals=3); the rounded amplitudes are no longer normalized, so Qiskit rejects the state ('Input quantum state is not a valid'). The reference also removes decimals=3.</t>
        </is>
      </c>
      <c r="BJ22" s="55" t="inlineStr">
        <is>
          <t>QiskitError</t>
        </is>
      </c>
      <c r="BK22" s="55" t="inlineStr">
        <is>
          <t>qiskit.exceptions.QiskitError: 'Input quantum state is not a valid'</t>
        </is>
      </c>
      <c r="BL22" s="55" t="inlineStr">
        <is>
          <t>The LLM passed the Statevector object to entropy() but kept get_statevector(..., decimals=3); the rounded amplitudes are no longer normalized, so Qiskit rejects the state ('Input quantum state is not a valid'). The reference also removes decimals=3.</t>
        </is>
      </c>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issue_362</t>
        </is>
      </c>
      <c r="B23" s="56" t="inlineStr">
        <is>
          <t>NOT_TESTED</t>
        </is>
      </c>
      <c r="C23" s="56" t="inlineStr">
        <is>
          <t>NOT_TESTED</t>
        </is>
      </c>
      <c r="D23" s="56" t="inlineStr">
        <is>
          <t>NOT_TESTED</t>
        </is>
      </c>
      <c r="E23" s="56" t="inlineStr">
        <is>
          <t>NOT_TESTED</t>
        </is>
      </c>
      <c r="F23" s="59" t="inlineStr">
        <is>
          <t>PASS</t>
        </is>
      </c>
      <c r="G23" s="59" t="inlineStr">
        <is>
          <t>PASS</t>
        </is>
      </c>
      <c r="H23" s="59" t="inlineStr">
        <is>
          <t>PASS</t>
        </is>
      </c>
      <c r="I23" s="59" t="inlineStr">
        <is>
          <t>PASS</t>
        </is>
      </c>
      <c r="J23" s="59" t="inlineStr">
        <is>
          <t>PASS</t>
        </is>
      </c>
      <c r="K23" s="59" t="inlineStr">
        <is>
          <t>PASS</t>
        </is>
      </c>
      <c r="L23" s="59" t="inlineStr">
        <is>
          <t>PASS</t>
        </is>
      </c>
      <c r="M23" s="59" t="inlineStr">
        <is>
          <t>PASS</t>
        </is>
      </c>
      <c r="N23" s="59" t="inlineStr">
        <is>
          <t>PASS</t>
        </is>
      </c>
      <c r="O23" s="59" t="inlineStr">
        <is>
          <t>PASS</t>
        </is>
      </c>
      <c r="P23" s="59" t="inlineStr">
        <is>
          <t>PASS</t>
        </is>
      </c>
      <c r="Q23" s="59" t="inlineStr">
        <is>
          <t>PASS</t>
        </is>
      </c>
      <c r="R23" s="59" t="inlineStr">
        <is>
          <t>PASS</t>
        </is>
      </c>
      <c r="S23" s="59" t="inlineStr">
        <is>
          <t>PASS</t>
        </is>
      </c>
      <c r="T23" s="59" t="inlineStr">
        <is>
          <t>PASS</t>
        </is>
      </c>
      <c r="U23" s="59" t="inlineStr">
        <is>
          <t>PASS</t>
        </is>
      </c>
      <c r="V23" s="59" t="inlineStr">
        <is>
          <t>PASS</t>
        </is>
      </c>
      <c r="W23" s="59" t="inlineStr">
        <is>
          <t>PASS</t>
        </is>
      </c>
      <c r="X23" s="59" t="inlineStr">
        <is>
          <t>PASS</t>
        </is>
      </c>
      <c r="Y23" s="59" t="inlineStr">
        <is>
          <t>PASS</t>
        </is>
      </c>
      <c r="Z23" s="59" t="inlineStr">
        <is>
          <t>PASS</t>
        </is>
      </c>
      <c r="AA23" s="59" t="inlineStr">
        <is>
          <t>PASS</t>
        </is>
      </c>
      <c r="AB23" s="59" t="inlineStr">
        <is>
          <t>PASS</t>
        </is>
      </c>
      <c r="AC23" s="55" t="n"/>
      <c r="AD23" s="55" t="n"/>
      <c r="AE23" s="55" t="n"/>
      <c r="AF23" s="55" t="n"/>
      <c r="AG23" s="55" t="n"/>
      <c r="AH23" s="55" t="n"/>
      <c r="AI23" s="55" t="n"/>
      <c r="AJ23" s="55" t="n"/>
      <c r="AK23" s="55" t="n"/>
      <c r="AL23" s="55" t="n"/>
      <c r="AM23" s="55" t="n"/>
      <c r="AN23" s="55" t="n"/>
      <c r="AO23" s="55" t="n"/>
      <c r="AP23" s="55" t="n"/>
      <c r="AQ23" s="55" t="n"/>
      <c r="AR23" s="55" t="n"/>
      <c r="AS23" s="55" t="n"/>
      <c r="AT23" s="55" t="n"/>
      <c r="AU23" s="55" t="n"/>
      <c r="AV23" s="55" t="n"/>
      <c r="AW23" s="55" t="n"/>
      <c r="AX23" s="55" t="n"/>
      <c r="AY23" s="55" t="n"/>
      <c r="AZ23" s="55" t="n"/>
      <c r="BA23" s="55" t="n"/>
      <c r="BB23" s="55" t="n"/>
      <c r="BC23" s="55" t="n"/>
      <c r="BD23" s="55" t="n"/>
      <c r="BE23" s="55" t="n"/>
      <c r="BF23" s="55" t="n"/>
      <c r="BG23" s="55" t="n"/>
      <c r="BH23" s="55" t="n"/>
      <c r="BI23" s="55" t="n"/>
      <c r="BJ23" s="55" t="n"/>
      <c r="BK23" s="55" t="n"/>
      <c r="BL23" s="55" t="n"/>
      <c r="BM23" s="55" t="n"/>
      <c r="BN23" s="55" t="n"/>
      <c r="BO23" s="55" t="n"/>
      <c r="BP23" s="55" t="n"/>
      <c r="BQ23" s="55" t="n"/>
      <c r="BR23" s="55" t="n"/>
      <c r="BS23" s="55" t="n"/>
      <c r="BT23" s="55" t="n"/>
      <c r="BU23" s="55" t="n"/>
      <c r="BV23" s="55" t="n"/>
      <c r="BW23" s="55" t="n"/>
      <c r="BX23" s="55" t="n"/>
      <c r="BY23" s="55" t="n"/>
      <c r="BZ23" s="55" t="n"/>
      <c r="CA23" s="55" t="n"/>
      <c r="CB23" s="55" t="n"/>
      <c r="CC23" s="55" t="n"/>
      <c r="CD23" s="55" t="n"/>
      <c r="CE23" s="55" t="n"/>
      <c r="CF23" s="55" t="n"/>
      <c r="CG23" s="55" t="n"/>
      <c r="CH23" s="55" t="n"/>
      <c r="CI23" s="55" t="n"/>
      <c r="CJ23" s="55" t="n"/>
      <c r="CK23" s="55" t="n"/>
      <c r="CL23" s="55" t="n"/>
      <c r="CM23" s="55" t="n"/>
      <c r="CN23" s="55" t="n"/>
      <c r="CO23" s="55" t="n"/>
      <c r="CP23" s="55" t="n"/>
      <c r="CQ23" s="55" t="n"/>
      <c r="CR23" s="55" t="n"/>
      <c r="CS23" s="55" t="n"/>
      <c r="CT23" s="55" t="n"/>
      <c r="CU23" s="55" t="n"/>
      <c r="CV23" s="55" t="n"/>
      <c r="CW23" s="55" t="n"/>
      <c r="CX23" s="55" t="n"/>
      <c r="CY23" s="55" t="n"/>
      <c r="CZ23" s="55" t="n"/>
      <c r="DA23" s="55" t="n"/>
      <c r="DB23" s="55" t="n"/>
      <c r="DC23" s="55" t="n"/>
      <c r="DD23" s="55" t="n"/>
      <c r="DE23" s="55" t="n"/>
    </row>
    <row r="24">
      <c r="A24" s="55" t="inlineStr">
        <is>
          <t>issue_369</t>
        </is>
      </c>
      <c r="B24" s="57" t="inlineStr">
        <is>
          <t>ERROR</t>
        </is>
      </c>
      <c r="C24" s="57" t="inlineStr">
        <is>
          <t>ERROR</t>
        </is>
      </c>
      <c r="D24" s="57" t="inlineStr">
        <is>
          <t>ERROR</t>
        </is>
      </c>
      <c r="E24" s="57" t="inlineStr">
        <is>
          <t>ERROR</t>
        </is>
      </c>
      <c r="F24" s="57" t="inlineStr">
        <is>
          <t>ERROR</t>
        </is>
      </c>
      <c r="G24" s="57" t="inlineStr">
        <is>
          <t>ERROR</t>
        </is>
      </c>
      <c r="H24" s="57" t="inlineStr">
        <is>
          <t>ERROR</t>
        </is>
      </c>
      <c r="I24" s="57" t="inlineStr">
        <is>
          <t>ERROR</t>
        </is>
      </c>
      <c r="J24" s="57" t="inlineStr">
        <is>
          <t>ERROR</t>
        </is>
      </c>
      <c r="K24" s="57" t="inlineStr">
        <is>
          <t>ERROR</t>
        </is>
      </c>
      <c r="L24" s="57" t="inlineStr">
        <is>
          <t>ERROR</t>
        </is>
      </c>
      <c r="M24" s="57" t="inlineStr">
        <is>
          <t>ERROR</t>
        </is>
      </c>
      <c r="N24" s="57" t="inlineStr">
        <is>
          <t>ERROR</t>
        </is>
      </c>
      <c r="O24" s="57" t="inlineStr">
        <is>
          <t>ERROR</t>
        </is>
      </c>
      <c r="P24" s="57" t="inlineStr">
        <is>
          <t>ERROR</t>
        </is>
      </c>
      <c r="Q24" s="57" t="inlineStr">
        <is>
          <t>ERROR</t>
        </is>
      </c>
      <c r="R24" s="57" t="inlineStr">
        <is>
          <t>ERROR</t>
        </is>
      </c>
      <c r="S24" s="57" t="inlineStr">
        <is>
          <t>ERROR</t>
        </is>
      </c>
      <c r="T24" s="57" t="inlineStr">
        <is>
          <t>ERROR</t>
        </is>
      </c>
      <c r="U24" s="57" t="inlineStr">
        <is>
          <t>ERROR</t>
        </is>
      </c>
      <c r="V24" s="57" t="inlineStr">
        <is>
          <t>ERROR</t>
        </is>
      </c>
      <c r="W24" s="57" t="inlineStr">
        <is>
          <t>ERROR</t>
        </is>
      </c>
      <c r="X24" s="57" t="inlineStr">
        <is>
          <t>ERROR</t>
        </is>
      </c>
      <c r="Y24" s="57" t="inlineStr">
        <is>
          <t>ERROR</t>
        </is>
      </c>
      <c r="Z24" s="57" t="inlineStr">
        <is>
          <t>ERROR</t>
        </is>
      </c>
      <c r="AA24" s="57" t="inlineStr">
        <is>
          <t>ERROR</t>
        </is>
      </c>
      <c r="AB24" s="57" t="inlineStr">
        <is>
          <t>ERROR</t>
        </is>
      </c>
      <c r="AC24" s="55" t="inlineStr">
        <is>
          <t>CircuitError</t>
        </is>
      </c>
      <c r="AD24" s="55" t="inlineStr">
        <is>
          <t>qiskit.circuit.exceptions.CircuitError: 'The amount of qubit(3)/clbit(0) arguments does not match the gate expectation (4).'</t>
        </is>
      </c>
      <c r="A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4" s="55" t="inlineStr">
        <is>
          <t>CircuitError</t>
        </is>
      </c>
      <c r="AG24" s="55" t="inlineStr">
        <is>
          <t>qiskit.circuit.exceptions.CircuitError: 'The amount of qubit(3)/clbit(0) arguments does not match the gate expectation (4).'</t>
        </is>
      </c>
      <c r="AH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4" s="55" t="inlineStr">
        <is>
          <t>CircuitError</t>
        </is>
      </c>
      <c r="AJ24" s="55" t="inlineStr">
        <is>
          <t>qiskit.circuit.exceptions.CircuitError: 'The amount of qubit(3)/clbit(0) arguments does not match the gate expectation (4).'</t>
        </is>
      </c>
      <c r="AK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4" s="55" t="inlineStr">
        <is>
          <t>CircuitError</t>
        </is>
      </c>
      <c r="AM24" s="55" t="inlineStr">
        <is>
          <t>qiskit.circuit.exceptions.CircuitError: 'The amount of qubit(3)/clbit(0) arguments does not match the gate expectation (4).'</t>
        </is>
      </c>
      <c r="AN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4" s="55" t="inlineStr">
        <is>
          <t>CircuitError</t>
        </is>
      </c>
      <c r="AP24" s="55" t="inlineStr">
        <is>
          <t>qiskit.circuit.exceptions.CircuitError: 'The amount of qubit(3)/clbit(0) arguments does not match the gate expectation (4).'</t>
        </is>
      </c>
      <c r="AQ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4" s="55" t="inlineStr">
        <is>
          <t>CircuitError</t>
        </is>
      </c>
      <c r="AS24" s="55" t="inlineStr">
        <is>
          <t>qiskit.circuit.exceptions.CircuitError: 'The amount of qubit(3)/clbit(0) arguments does not match the gate expectation (4).'</t>
        </is>
      </c>
      <c r="AT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4" s="55" t="inlineStr">
        <is>
          <t>CircuitError</t>
        </is>
      </c>
      <c r="AV24" s="55" t="inlineStr">
        <is>
          <t>qiskit.circuit.exceptions.CircuitError: 'The amount of qubit(3)/clbit(0) arguments does not match the gate expectation (4).'</t>
        </is>
      </c>
      <c r="AW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4" s="55" t="inlineStr">
        <is>
          <t>CircuitError</t>
        </is>
      </c>
      <c r="AY24" s="55" t="inlineStr">
        <is>
          <t>qiskit.circuit.exceptions.CircuitError: 'The amount of qubit(3)/clbit(0) arguments does not match the gate expectation (4).'</t>
        </is>
      </c>
      <c r="AZ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4" s="55" t="inlineStr">
        <is>
          <t>CircuitError</t>
        </is>
      </c>
      <c r="BB24" s="55" t="inlineStr">
        <is>
          <t>qiskit.circuit.exceptions.CircuitError: 'The amount of qubit(3)/clbit(0) arguments does not match the gate expectation (4).'</t>
        </is>
      </c>
      <c r="BC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4" s="55" t="inlineStr">
        <is>
          <t>CircuitError</t>
        </is>
      </c>
      <c r="BE24" s="55" t="inlineStr">
        <is>
          <t>qiskit.circuit.exceptions.CircuitError: 'The amount of qubit(3)/clbit(0) arguments does not match the gate expectation (4).'</t>
        </is>
      </c>
      <c r="BF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4" s="55" t="inlineStr">
        <is>
          <t>CircuitError</t>
        </is>
      </c>
      <c r="BH24" s="55" t="inlineStr">
        <is>
          <t>qiskit.circuit.exceptions.CircuitError: 'The amount of qubit(3)/clbit(0) arguments does not match the gate expectation (4).'</t>
        </is>
      </c>
      <c r="BI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4" s="55" t="inlineStr">
        <is>
          <t>CircuitError</t>
        </is>
      </c>
      <c r="BK24" s="55" t="inlineStr">
        <is>
          <t>qiskit.circuit.exceptions.CircuitError: 'The amount of qubit(3)/clbit(0) arguments does not match the gate expectation (4).'</t>
        </is>
      </c>
      <c r="BL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4" s="55" t="inlineStr">
        <is>
          <t>CircuitError</t>
        </is>
      </c>
      <c r="BN24" s="55" t="inlineStr">
        <is>
          <t>qiskit.circuit.exceptions.CircuitError: 'The amount of qubit(3)/clbit(0) arguments does not match the gate expectation (4).'</t>
        </is>
      </c>
      <c r="BO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4" s="55" t="inlineStr">
        <is>
          <t>CircuitError</t>
        </is>
      </c>
      <c r="BQ24" s="55" t="inlineStr">
        <is>
          <t>qiskit.circuit.exceptions.CircuitError: 'The amount of qubit(3)/clbit(0) arguments does not match the gate expectation (4).'</t>
        </is>
      </c>
      <c r="BR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4" s="55" t="inlineStr">
        <is>
          <t>CircuitError</t>
        </is>
      </c>
      <c r="BT24" s="55" t="inlineStr">
        <is>
          <t>qiskit.circuit.exceptions.CircuitError: 'The amount of qubit(3)/clbit(0) arguments does not match the gate expectation (4).'</t>
        </is>
      </c>
      <c r="BU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4" s="55" t="inlineStr">
        <is>
          <t>CircuitError</t>
        </is>
      </c>
      <c r="BW24" s="55" t="inlineStr">
        <is>
          <t>qiskit.circuit.exceptions.CircuitError: 'The amount of qubit(3)/clbit(0) arguments does not match the gate expectation (4).'</t>
        </is>
      </c>
      <c r="BX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4" s="55" t="inlineStr">
        <is>
          <t>CircuitError</t>
        </is>
      </c>
      <c r="BZ24" s="55" t="inlineStr">
        <is>
          <t>qiskit.circuit.exceptions.CircuitError: 'The amount of qubit(3)/clbit(0) arguments does not match the gate expectation (4).'</t>
        </is>
      </c>
      <c r="CA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4" s="55" t="inlineStr">
        <is>
          <t>CircuitError</t>
        </is>
      </c>
      <c r="CC24" s="55" t="inlineStr">
        <is>
          <t>qiskit.circuit.exceptions.CircuitError: 'The amount of qubit(3)/clbit(0) arguments does not match the gate expectation (4).'</t>
        </is>
      </c>
      <c r="CD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4" s="55" t="inlineStr">
        <is>
          <t>CircuitError</t>
        </is>
      </c>
      <c r="CF24" s="55" t="inlineStr">
        <is>
          <t>qiskit.circuit.exceptions.CircuitError: 'The amount of qubit(3)/clbit(0) arguments does not match the gate expectation (4).'</t>
        </is>
      </c>
      <c r="CG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4" s="55" t="inlineStr">
        <is>
          <t>CircuitError</t>
        </is>
      </c>
      <c r="CI24" s="55" t="inlineStr">
        <is>
          <t>qiskit.circuit.exceptions.CircuitError: 'The amount of qubit(3)/clbit(0) arguments does not match the gate expectation (4).'</t>
        </is>
      </c>
      <c r="CJ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4" s="55" t="inlineStr">
        <is>
          <t>CircuitError</t>
        </is>
      </c>
      <c r="CL24" s="55" t="inlineStr">
        <is>
          <t>qiskit.circuit.exceptions.CircuitError: 'The amount of qubit(3)/clbit(0) arguments does not match the gate expectation (4).'</t>
        </is>
      </c>
      <c r="CM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4" s="55" t="inlineStr">
        <is>
          <t>CircuitError</t>
        </is>
      </c>
      <c r="CO24" s="55" t="inlineStr">
        <is>
          <t>qiskit.circuit.exceptions.CircuitError: 'The amount of qubit(3)/clbit(0) arguments does not match the gate expectation (4).'</t>
        </is>
      </c>
      <c r="CP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4" s="55" t="inlineStr">
        <is>
          <t>CircuitError</t>
        </is>
      </c>
      <c r="CR24" s="55" t="inlineStr">
        <is>
          <t>qiskit.circuit.exceptions.CircuitError: 'The amount of qubit(3)/clbit(0) arguments does not match the gate expectation (4).'</t>
        </is>
      </c>
      <c r="CS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4" s="55" t="inlineStr">
        <is>
          <t>CircuitError</t>
        </is>
      </c>
      <c r="CU24" s="55" t="inlineStr">
        <is>
          <t>qiskit.circuit.exceptions.CircuitError: 'The amount of qubit(3)/clbit(0) arguments does not match the gate expectation (4).'</t>
        </is>
      </c>
      <c r="CV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4" s="55" t="inlineStr">
        <is>
          <t>CircuitError</t>
        </is>
      </c>
      <c r="CX24" s="55" t="inlineStr">
        <is>
          <t>qiskit.circuit.exceptions.CircuitError: 'The amount of qubit(3)/clbit(0) arguments does not match the gate expectation (4).'</t>
        </is>
      </c>
      <c r="CY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4" s="55" t="inlineStr">
        <is>
          <t>CircuitError</t>
        </is>
      </c>
      <c r="DA24" s="55" t="inlineStr">
        <is>
          <t>qiskit.circuit.exceptions.CircuitError: 'The amount of qubit(3)/clbit(0) arguments does not match the gate expectation (4).'</t>
        </is>
      </c>
      <c r="DB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4" s="55" t="inlineStr">
        <is>
          <t>CircuitError</t>
        </is>
      </c>
      <c r="DD24" s="55" t="inlineStr">
        <is>
          <t>qiskit.circuit.exceptions.CircuitError: 'The amount of qubit(3)/clbit(0) arguments does not match the gate expectation (4).'</t>
        </is>
      </c>
      <c r="D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5">
      <c r="A25" s="55" t="inlineStr">
        <is>
          <t>issue_396</t>
        </is>
      </c>
      <c r="B25" s="59" t="inlineStr">
        <is>
          <t>PASS</t>
        </is>
      </c>
      <c r="C25" s="59" t="inlineStr">
        <is>
          <t>PASS</t>
        </is>
      </c>
      <c r="D25" s="59" t="inlineStr">
        <is>
          <t>PASS</t>
        </is>
      </c>
      <c r="E25" s="59" t="inlineStr">
        <is>
          <t>PASS</t>
        </is>
      </c>
      <c r="F25" s="59" t="inlineStr">
        <is>
          <t>PASS</t>
        </is>
      </c>
      <c r="G25" s="59" t="inlineStr">
        <is>
          <t>PASS</t>
        </is>
      </c>
      <c r="H25" s="59" t="inlineStr">
        <is>
          <t>PASS</t>
        </is>
      </c>
      <c r="I25" s="59" t="inlineStr">
        <is>
          <t>PASS</t>
        </is>
      </c>
      <c r="J25" s="59" t="inlineStr">
        <is>
          <t>PASS</t>
        </is>
      </c>
      <c r="K25" s="59" t="inlineStr">
        <is>
          <t>PASS</t>
        </is>
      </c>
      <c r="L25" s="59" t="inlineStr">
        <is>
          <t>PASS</t>
        </is>
      </c>
      <c r="M25" s="59" t="inlineStr">
        <is>
          <t>PASS</t>
        </is>
      </c>
      <c r="N25" s="57" t="inlineStr">
        <is>
          <t>ERROR</t>
        </is>
      </c>
      <c r="O25" s="57" t="inlineStr">
        <is>
          <t>ERROR</t>
        </is>
      </c>
      <c r="P25" s="57" t="inlineStr">
        <is>
          <t>ERROR</t>
        </is>
      </c>
      <c r="Q25" s="57" t="inlineStr">
        <is>
          <t>ERROR</t>
        </is>
      </c>
      <c r="R25" s="57" t="inlineStr">
        <is>
          <t>ERROR</t>
        </is>
      </c>
      <c r="S25" s="57" t="inlineStr">
        <is>
          <t>ERROR</t>
        </is>
      </c>
      <c r="T25" s="57" t="inlineStr">
        <is>
          <t>ERROR</t>
        </is>
      </c>
      <c r="U25" s="57" t="inlineStr">
        <is>
          <t>ERROR</t>
        </is>
      </c>
      <c r="V25" s="57" t="inlineStr">
        <is>
          <t>ERROR</t>
        </is>
      </c>
      <c r="W25" s="57" t="inlineStr">
        <is>
          <t>ERROR</t>
        </is>
      </c>
      <c r="X25" s="57" t="inlineStr">
        <is>
          <t>ERROR</t>
        </is>
      </c>
      <c r="Y25" s="57" t="inlineStr">
        <is>
          <t>ERROR</t>
        </is>
      </c>
      <c r="Z25" s="57" t="inlineStr">
        <is>
          <t>ERROR</t>
        </is>
      </c>
      <c r="AA25" s="57" t="inlineStr">
        <is>
          <t>ERROR</t>
        </is>
      </c>
      <c r="AB25" s="57" t="inlineStr">
        <is>
          <t>ERROR</t>
        </is>
      </c>
      <c r="AC25" s="55" t="n"/>
      <c r="AD25" s="55" t="n"/>
      <c r="AE25" s="55" t="n"/>
      <c r="AF25" s="55" t="n"/>
      <c r="AG25" s="55" t="n"/>
      <c r="AH25" s="55" t="n"/>
      <c r="AI25" s="55" t="n"/>
      <c r="AJ25" s="55" t="n"/>
      <c r="AK25" s="55" t="n"/>
      <c r="AL25" s="55" t="n"/>
      <c r="AM25" s="55" t="n"/>
      <c r="AN25" s="55" t="n"/>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inlineStr">
        <is>
          <t>AttributeError</t>
        </is>
      </c>
      <c r="BN25" s="55" t="inlineStr">
        <is>
          <t>AttributeError: 'QuantumCircuit' object has no attribute 'diagonal'</t>
        </is>
      </c>
      <c r="BO25" s="55" t="inlineStr">
        <is>
          <t>The LLM built the oracle with QuantumCircuit.diagonal(), which was removed in Qiskit 1.0, so the script crashes with AttributeError on 1.x and 2.x.</t>
        </is>
      </c>
      <c r="BP25" s="55" t="inlineStr">
        <is>
          <t>AttributeError</t>
        </is>
      </c>
      <c r="BQ25" s="55" t="inlineStr">
        <is>
          <t>AttributeError: 'QuantumCircuit' object has no attribute 'diagonal'</t>
        </is>
      </c>
      <c r="BR25" s="55" t="inlineStr">
        <is>
          <t>The LLM built the oracle with QuantumCircuit.diagonal(), which was removed in Qiskit 1.0, so the script crashes with AttributeError on 1.x and 2.x.</t>
        </is>
      </c>
      <c r="BS25" s="55" t="inlineStr">
        <is>
          <t>AttributeError</t>
        </is>
      </c>
      <c r="BT25" s="55" t="inlineStr">
        <is>
          <t>AttributeError: 'QuantumCircuit' object has no attribute 'diagonal'</t>
        </is>
      </c>
      <c r="BU25" s="55" t="inlineStr">
        <is>
          <t>The LLM built the oracle with QuantumCircuit.diagonal(), which was removed in Qiskit 1.0, so the script crashes with AttributeError on 1.x and 2.x.</t>
        </is>
      </c>
      <c r="BV25" s="55" t="inlineStr">
        <is>
          <t>AttributeError</t>
        </is>
      </c>
      <c r="BW25" s="55" t="inlineStr">
        <is>
          <t>AttributeError: 'QuantumCircuit' object has no attribute 'diagonal'</t>
        </is>
      </c>
      <c r="BX25" s="55" t="inlineStr">
        <is>
          <t>The LLM built the oracle with QuantumCircuit.diagonal(), which was removed in Qiskit 1.0, so the script crashes with AttributeError on 1.x and 2.x.</t>
        </is>
      </c>
      <c r="BY25" s="55" t="inlineStr">
        <is>
          <t>AttributeError</t>
        </is>
      </c>
      <c r="BZ25" s="55" t="inlineStr">
        <is>
          <t>AttributeError: 'QuantumCircuit' object has no attribute 'diagonal'</t>
        </is>
      </c>
      <c r="CA25" s="55" t="inlineStr">
        <is>
          <t>The LLM built the oracle with QuantumCircuit.diagonal(), which was removed in Qiskit 1.0, so the script crashes with AttributeError on 1.x and 2.x.</t>
        </is>
      </c>
      <c r="CB25" s="55" t="inlineStr">
        <is>
          <t>AttributeError</t>
        </is>
      </c>
      <c r="CC25" s="55" t="inlineStr">
        <is>
          <t>AttributeError: 'QuantumCircuit' object has no attribute 'diagonal'</t>
        </is>
      </c>
      <c r="CD25" s="55" t="inlineStr">
        <is>
          <t>The LLM built the oracle with QuantumCircuit.diagonal(), which was removed in Qiskit 1.0, so the script crashes with AttributeError on 1.x and 2.x.</t>
        </is>
      </c>
      <c r="CE25" s="55" t="inlineStr">
        <is>
          <t>AttributeError</t>
        </is>
      </c>
      <c r="CF25" s="55" t="inlineStr">
        <is>
          <t>AttributeError: 'QuantumCircuit' object has no attribute 'diagonal'</t>
        </is>
      </c>
      <c r="CG25" s="55" t="inlineStr">
        <is>
          <t>The LLM built the oracle with QuantumCircuit.diagonal(), which was removed in Qiskit 1.0, so the script crashes with AttributeError on 1.x and 2.x.</t>
        </is>
      </c>
      <c r="CH25" s="55" t="inlineStr">
        <is>
          <t>AttributeError</t>
        </is>
      </c>
      <c r="CI25" s="55" t="inlineStr">
        <is>
          <t>AttributeError: 'QuantumCircuit' object has no attribute 'diagonal'</t>
        </is>
      </c>
      <c r="CJ25" s="55" t="inlineStr">
        <is>
          <t>The LLM built the oracle with QuantumCircuit.diagonal(), which was removed in Qiskit 1.0, so the script crashes with AttributeError on 1.x and 2.x.</t>
        </is>
      </c>
      <c r="CK25" s="55" t="inlineStr">
        <is>
          <t>AttributeError</t>
        </is>
      </c>
      <c r="CL25" s="55" t="inlineStr">
        <is>
          <t>AttributeError: 'QuantumCircuit' object has no attribute 'diagonal'</t>
        </is>
      </c>
      <c r="CM25" s="55" t="inlineStr">
        <is>
          <t>The LLM built the oracle with QuantumCircuit.diagonal(), which was removed in Qiskit 1.0, so the script crashes with AttributeError on 1.x and 2.x.</t>
        </is>
      </c>
      <c r="CN25" s="55" t="inlineStr">
        <is>
          <t>AttributeError</t>
        </is>
      </c>
      <c r="CO25" s="55" t="inlineStr">
        <is>
          <t>AttributeError: 'QuantumCircuit' object has no attribute 'diagonal'</t>
        </is>
      </c>
      <c r="CP25" s="55" t="inlineStr">
        <is>
          <t>The LLM built the oracle with QuantumCircuit.diagonal(), which was removed in Qiskit 1.0, so the script crashes with AttributeError on 1.x and 2.x.</t>
        </is>
      </c>
      <c r="CQ25" s="55" t="inlineStr">
        <is>
          <t>AttributeError</t>
        </is>
      </c>
      <c r="CR25" s="55" t="inlineStr">
        <is>
          <t>AttributeError: 'QuantumCircuit' object has no attribute 'diagonal'</t>
        </is>
      </c>
      <c r="CS25" s="55" t="inlineStr">
        <is>
          <t>The LLM built the oracle with QuantumCircuit.diagonal(), which was removed in Qiskit 1.0, so the script crashes with AttributeError on 1.x and 2.x.</t>
        </is>
      </c>
      <c r="CT25" s="55" t="inlineStr">
        <is>
          <t>AttributeError</t>
        </is>
      </c>
      <c r="CU25" s="55" t="inlineStr">
        <is>
          <t>AttributeError: 'QuantumCircuit' object has no attribute 'diagonal'</t>
        </is>
      </c>
      <c r="CV25" s="55" t="inlineStr">
        <is>
          <t>The LLM built the oracle with QuantumCircuit.diagonal(), which was removed in Qiskit 1.0, so the script crashes with AttributeError on 1.x and 2.x.</t>
        </is>
      </c>
      <c r="CW25" s="55" t="inlineStr">
        <is>
          <t>AttributeError</t>
        </is>
      </c>
      <c r="CX25" s="55" t="inlineStr">
        <is>
          <t>AttributeError: 'QuantumCircuit' object has no attribute 'diagonal'</t>
        </is>
      </c>
      <c r="CY25" s="55" t="inlineStr">
        <is>
          <t>The LLM built the oracle with QuantumCircuit.diagonal(), which was removed in Qiskit 1.0, so the script crashes with AttributeError on 1.x and 2.x.</t>
        </is>
      </c>
      <c r="CZ25" s="55" t="inlineStr">
        <is>
          <t>AttributeError</t>
        </is>
      </c>
      <c r="DA25" s="55" t="inlineStr">
        <is>
          <t>AttributeError: 'QuantumCircuit' object has no attribute 'diagonal'</t>
        </is>
      </c>
      <c r="DB25" s="55" t="inlineStr">
        <is>
          <t>The LLM built the oracle with QuantumCircuit.diagonal(), which was removed in Qiskit 1.0, so the script crashes with AttributeError on 1.x and 2.x.</t>
        </is>
      </c>
      <c r="DC25" s="55" t="inlineStr">
        <is>
          <t>AttributeError</t>
        </is>
      </c>
      <c r="DD25" s="55" t="inlineStr">
        <is>
          <t>AttributeError: 'QuantumCircuit' object has no attribute 'diagonal'</t>
        </is>
      </c>
      <c r="DE25" s="55" t="inlineStr">
        <is>
          <t>The LLM built the oracle with QuantumCircuit.diagonal(), which was removed in Qiskit 1.0, so the script crashes with AttributeError on 1.x and 2.x.</t>
        </is>
      </c>
    </row>
    <row r="26">
      <c r="A26" s="55" t="inlineStr">
        <is>
          <t>issue_415</t>
        </is>
      </c>
      <c r="B26" s="58" t="inlineStr">
        <is>
          <t>FAIL</t>
        </is>
      </c>
      <c r="C26" s="58" t="inlineStr">
        <is>
          <t>FAIL</t>
        </is>
      </c>
      <c r="D26" s="58" t="inlineStr">
        <is>
          <t>FAIL</t>
        </is>
      </c>
      <c r="E26" s="58" t="inlineStr">
        <is>
          <t>FAIL</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inlineStr">
        <is>
          <t>AssertionError</t>
        </is>
      </c>
      <c r="AD26" s="55" t="inlineStr">
        <is>
          <t>AssertionError: Not equal to tolerance rtol=1e-07, atol=1e-12</t>
        </is>
      </c>
      <c r="AE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6" s="55" t="inlineStr">
        <is>
          <t>AssertionError</t>
        </is>
      </c>
      <c r="AG26" s="55" t="inlineStr">
        <is>
          <t>AssertionError: Not equal to tolerance rtol=1e-07, atol=1e-12</t>
        </is>
      </c>
      <c r="AH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6" s="55" t="inlineStr">
        <is>
          <t>AssertionError</t>
        </is>
      </c>
      <c r="AJ26" s="55" t="inlineStr">
        <is>
          <t>AssertionError: Not equal to tolerance rtol=1e-07, atol=1e-12</t>
        </is>
      </c>
      <c r="AK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6" s="55" t="inlineStr">
        <is>
          <t>AssertionError</t>
        </is>
      </c>
      <c r="AM26" s="55" t="inlineStr">
        <is>
          <t>AssertionError: Not equal to tolerance rtol=1e-07, atol=1e-12</t>
        </is>
      </c>
      <c r="AN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issue_436</t>
        </is>
      </c>
      <c r="B27" s="59" t="inlineStr">
        <is>
          <t>PASS</t>
        </is>
      </c>
      <c r="C27" s="59" t="inlineStr">
        <is>
          <t>PASS</t>
        </is>
      </c>
      <c r="D27" s="59" t="inlineStr">
        <is>
          <t>PASS</t>
        </is>
      </c>
      <c r="E27" s="59" t="inlineStr">
        <is>
          <t>PASS</t>
        </is>
      </c>
      <c r="F27" s="56" t="inlineStr">
        <is>
          <t>NOT_TESTED</t>
        </is>
      </c>
      <c r="G27" s="56" t="inlineStr">
        <is>
          <t>NOT_TESTED</t>
        </is>
      </c>
      <c r="H27" s="56" t="inlineStr">
        <is>
          <t>NOT_TESTED</t>
        </is>
      </c>
      <c r="I27" s="56" t="inlineStr">
        <is>
          <t>NOT_TESTED</t>
        </is>
      </c>
      <c r="J27" s="56" t="inlineStr">
        <is>
          <t>NOT_TESTED</t>
        </is>
      </c>
      <c r="K27" s="56" t="inlineStr">
        <is>
          <t>NOT_TESTED</t>
        </is>
      </c>
      <c r="L27" s="56" t="inlineStr">
        <is>
          <t>NOT_TESTED</t>
        </is>
      </c>
      <c r="M27" s="56" t="inlineStr">
        <is>
          <t>NOT_TESTED</t>
        </is>
      </c>
      <c r="N27" s="56" t="inlineStr">
        <is>
          <t>NOT_TESTED</t>
        </is>
      </c>
      <c r="O27" s="56" t="inlineStr">
        <is>
          <t>NOT_TESTED</t>
        </is>
      </c>
      <c r="P27" s="56" t="inlineStr">
        <is>
          <t>NOT_TESTED</t>
        </is>
      </c>
      <c r="Q27" s="56" t="inlineStr">
        <is>
          <t>NOT_TESTED</t>
        </is>
      </c>
      <c r="R27" s="56" t="inlineStr">
        <is>
          <t>NOT_TESTED</t>
        </is>
      </c>
      <c r="S27" s="56" t="inlineStr">
        <is>
          <t>NOT_TESTED</t>
        </is>
      </c>
      <c r="T27" s="56" t="inlineStr">
        <is>
          <t>NOT_TESTED</t>
        </is>
      </c>
      <c r="U27" s="56" t="inlineStr">
        <is>
          <t>NOT_TESTED</t>
        </is>
      </c>
      <c r="V27" s="56" t="inlineStr">
        <is>
          <t>NOT_TESTED</t>
        </is>
      </c>
      <c r="W27" s="56" t="inlineStr">
        <is>
          <t>NOT_TESTED</t>
        </is>
      </c>
      <c r="X27" s="56" t="inlineStr">
        <is>
          <t>NOT_TESTED</t>
        </is>
      </c>
      <c r="Y27" s="56" t="inlineStr">
        <is>
          <t>NOT_TESTED</t>
        </is>
      </c>
      <c r="Z27" s="56" t="inlineStr">
        <is>
          <t>NOT_TESTED</t>
        </is>
      </c>
      <c r="AA27" s="56" t="inlineStr">
        <is>
          <t>NOT_TESTED</t>
        </is>
      </c>
      <c r="AB27" s="56" t="inlineStr">
        <is>
          <t>NOT_TESTED</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issue_443</t>
        </is>
      </c>
      <c r="B28" s="59" t="inlineStr">
        <is>
          <t>PASS</t>
        </is>
      </c>
      <c r="C28" s="59" t="inlineStr">
        <is>
          <t>PASS</t>
        </is>
      </c>
      <c r="D28" s="59" t="inlineStr">
        <is>
          <t>PASS</t>
        </is>
      </c>
      <c r="E28" s="59" t="inlineStr">
        <is>
          <t>PASS</t>
        </is>
      </c>
      <c r="F28" s="59" t="inlineStr">
        <is>
          <t>PASS</t>
        </is>
      </c>
      <c r="G28" s="59" t="inlineStr">
        <is>
          <t>PASS</t>
        </is>
      </c>
      <c r="H28" s="59" t="inlineStr">
        <is>
          <t>PASS</t>
        </is>
      </c>
      <c r="I28" s="59" t="inlineStr">
        <is>
          <t>PASS</t>
        </is>
      </c>
      <c r="J28" s="59" t="inlineStr">
        <is>
          <t>PASS</t>
        </is>
      </c>
      <c r="K28" s="59" t="inlineStr">
        <is>
          <t>PASS</t>
        </is>
      </c>
      <c r="L28" s="59" t="inlineStr">
        <is>
          <t>PASS</t>
        </is>
      </c>
      <c r="M28" s="59" t="inlineStr">
        <is>
          <t>PASS</t>
        </is>
      </c>
      <c r="N28" s="59" t="inlineStr">
        <is>
          <t>PASS</t>
        </is>
      </c>
      <c r="O28" s="59" t="inlineStr">
        <is>
          <t>PASS</t>
        </is>
      </c>
      <c r="P28" s="59" t="inlineStr">
        <is>
          <t>PASS</t>
        </is>
      </c>
      <c r="Q28" s="59" t="inlineStr">
        <is>
          <t>PASS</t>
        </is>
      </c>
      <c r="R28" s="59" t="inlineStr">
        <is>
          <t>PASS</t>
        </is>
      </c>
      <c r="S28" s="59" t="inlineStr">
        <is>
          <t>PASS</t>
        </is>
      </c>
      <c r="T28" s="59" t="inlineStr">
        <is>
          <t>PASS</t>
        </is>
      </c>
      <c r="U28" s="59" t="inlineStr">
        <is>
          <t>PASS</t>
        </is>
      </c>
      <c r="V28" s="59" t="inlineStr">
        <is>
          <t>PASS</t>
        </is>
      </c>
      <c r="W28" s="59" t="inlineStr">
        <is>
          <t>PASS</t>
        </is>
      </c>
      <c r="X28" s="59" t="inlineStr">
        <is>
          <t>PASS</t>
        </is>
      </c>
      <c r="Y28" s="59" t="inlineStr">
        <is>
          <t>PASS</t>
        </is>
      </c>
      <c r="Z28" s="59" t="inlineStr">
        <is>
          <t>PASS</t>
        </is>
      </c>
      <c r="AA28" s="59" t="inlineStr">
        <is>
          <t>PASS</t>
        </is>
      </c>
      <c r="AB28" s="59" t="inlineStr">
        <is>
          <t>PASS</t>
        </is>
      </c>
      <c r="AC28" s="55" t="n"/>
      <c r="AD28" s="55" t="n"/>
      <c r="AE28" s="55" t="n"/>
      <c r="AF28" s="55" t="n"/>
      <c r="AG28" s="55" t="n"/>
      <c r="AH28" s="55" t="n"/>
      <c r="AI28" s="55" t="n"/>
      <c r="AJ28" s="55" t="n"/>
      <c r="AK28" s="55" t="n"/>
      <c r="AL28" s="55" t="n"/>
      <c r="AM28" s="55" t="n"/>
      <c r="AN28" s="55" t="n"/>
      <c r="AO28" s="55" t="n"/>
      <c r="AP28" s="55" t="n"/>
      <c r="AQ28" s="55" t="n"/>
      <c r="AR28" s="55" t="n"/>
      <c r="AS28" s="55" t="n"/>
      <c r="AT28" s="55" t="n"/>
      <c r="AU28" s="55" t="n"/>
      <c r="AV28" s="55" t="n"/>
      <c r="AW28" s="55" t="n"/>
      <c r="AX28" s="55" t="n"/>
      <c r="AY28" s="55" t="n"/>
      <c r="AZ28" s="55" t="n"/>
      <c r="BA28" s="55" t="n"/>
      <c r="BB28" s="55" t="n"/>
      <c r="BC28" s="55" t="n"/>
      <c r="BD28" s="55" t="n"/>
      <c r="BE28" s="55" t="n"/>
      <c r="BF28" s="55" t="n"/>
      <c r="BG28" s="55" t="n"/>
      <c r="BH28" s="55" t="n"/>
      <c r="BI28" s="55" t="n"/>
      <c r="BJ28" s="55" t="n"/>
      <c r="BK28" s="55" t="n"/>
      <c r="BL28" s="55" t="n"/>
      <c r="BM28" s="55" t="n"/>
      <c r="BN28" s="55" t="n"/>
      <c r="BO28" s="55" t="n"/>
      <c r="BP28" s="55" t="n"/>
      <c r="BQ28" s="55" t="n"/>
      <c r="BR28" s="55" t="n"/>
      <c r="BS28" s="55" t="n"/>
      <c r="BT28" s="55" t="n"/>
      <c r="BU28" s="55" t="n"/>
      <c r="BV28" s="55" t="n"/>
      <c r="BW28" s="55" t="n"/>
      <c r="BX28" s="55" t="n"/>
      <c r="BY28" s="55" t="n"/>
      <c r="BZ28" s="55" t="n"/>
      <c r="CA28" s="55" t="n"/>
      <c r="CB28" s="55" t="n"/>
      <c r="CC28" s="55" t="n"/>
      <c r="CD28" s="55" t="n"/>
      <c r="CE28" s="55" t="n"/>
      <c r="CF28" s="55" t="n"/>
      <c r="CG28" s="55" t="n"/>
      <c r="CH28" s="55" t="n"/>
      <c r="CI28" s="55" t="n"/>
      <c r="CJ28" s="55" t="n"/>
      <c r="CK28" s="55" t="n"/>
      <c r="CL28" s="55" t="n"/>
      <c r="CM28" s="55" t="n"/>
      <c r="CN28" s="55" t="n"/>
      <c r="CO28" s="55" t="n"/>
      <c r="CP28" s="55" t="n"/>
      <c r="CQ28" s="55" t="n"/>
      <c r="CR28" s="55" t="n"/>
      <c r="CS28" s="55" t="n"/>
      <c r="CT28" s="55" t="n"/>
      <c r="CU28" s="55" t="n"/>
      <c r="CV28" s="55" t="n"/>
      <c r="CW28" s="55" t="n"/>
      <c r="CX28" s="55" t="n"/>
      <c r="CY28" s="55" t="n"/>
      <c r="CZ28" s="55" t="n"/>
      <c r="DA28" s="55" t="n"/>
      <c r="DB28" s="55" t="n"/>
      <c r="DC28" s="55" t="n"/>
      <c r="DD28" s="55" t="n"/>
      <c r="DE28" s="55" t="n"/>
    </row>
    <row r="29">
      <c r="A29" s="55" t="inlineStr">
        <is>
          <t>issue_453</t>
        </is>
      </c>
      <c r="B29" s="56" t="inlineStr">
        <is>
          <t>NOT_TESTED</t>
        </is>
      </c>
      <c r="C29" s="56" t="inlineStr">
        <is>
          <t>NOT_TESTED</t>
        </is>
      </c>
      <c r="D29" s="56" t="inlineStr">
        <is>
          <t>NOT_TESTED</t>
        </is>
      </c>
      <c r="E29" s="56" t="inlineStr">
        <is>
          <t>NOT_TESTED</t>
        </is>
      </c>
      <c r="F29" s="58" t="inlineStr">
        <is>
          <t>FAIL</t>
        </is>
      </c>
      <c r="G29" s="58" t="inlineStr">
        <is>
          <t>FAIL</t>
        </is>
      </c>
      <c r="H29" s="58" t="inlineStr">
        <is>
          <t>FAIL</t>
        </is>
      </c>
      <c r="I29" s="58" t="inlineStr">
        <is>
          <t>FAIL</t>
        </is>
      </c>
      <c r="J29" s="58" t="inlineStr">
        <is>
          <t>FAIL</t>
        </is>
      </c>
      <c r="K29" s="58" t="inlineStr">
        <is>
          <t>FAIL</t>
        </is>
      </c>
      <c r="L29" s="58" t="inlineStr">
        <is>
          <t>FAIL</t>
        </is>
      </c>
      <c r="M29" s="58" t="inlineStr">
        <is>
          <t>FAIL</t>
        </is>
      </c>
      <c r="N29" s="58" t="inlineStr">
        <is>
          <t>FAIL</t>
        </is>
      </c>
      <c r="O29" s="58" t="inlineStr">
        <is>
          <t>FAIL</t>
        </is>
      </c>
      <c r="P29" s="58" t="inlineStr">
        <is>
          <t>FAIL</t>
        </is>
      </c>
      <c r="Q29" s="58" t="inlineStr">
        <is>
          <t>FAIL</t>
        </is>
      </c>
      <c r="R29" s="58" t="inlineStr">
        <is>
          <t>FAIL</t>
        </is>
      </c>
      <c r="S29" s="58" t="inlineStr">
        <is>
          <t>FAIL</t>
        </is>
      </c>
      <c r="T29" s="58" t="inlineStr">
        <is>
          <t>FAIL</t>
        </is>
      </c>
      <c r="U29" s="58" t="inlineStr">
        <is>
          <t>FAIL</t>
        </is>
      </c>
      <c r="V29" s="58" t="inlineStr">
        <is>
          <t>FAIL</t>
        </is>
      </c>
      <c r="W29" s="58" t="inlineStr">
        <is>
          <t>FAIL</t>
        </is>
      </c>
      <c r="X29" s="58" t="inlineStr">
        <is>
          <t>FAIL</t>
        </is>
      </c>
      <c r="Y29" s="58" t="inlineStr">
        <is>
          <t>FAIL</t>
        </is>
      </c>
      <c r="Z29" s="58" t="inlineStr">
        <is>
          <t>FAIL</t>
        </is>
      </c>
      <c r="AA29" s="58" t="inlineStr">
        <is>
          <t>FAIL</t>
        </is>
      </c>
      <c r="AB29" s="58" t="inlineStr">
        <is>
          <t>FAIL</t>
        </is>
      </c>
      <c r="AC29" s="55" t="n"/>
      <c r="AD29" s="55" t="n"/>
      <c r="AE29" s="55" t="n"/>
      <c r="AF29" s="55" t="n"/>
      <c r="AG29" s="55" t="n"/>
      <c r="AH29" s="55" t="n"/>
      <c r="AI29" s="55" t="n"/>
      <c r="AJ29" s="55" t="n"/>
      <c r="AK29" s="55" t="n"/>
      <c r="AL29" s="55" t="n"/>
      <c r="AM29" s="55" t="n"/>
      <c r="AN29" s="55" t="n"/>
      <c r="AO29" s="55" t="inlineStr">
        <is>
          <t>AssertionError</t>
        </is>
      </c>
      <c r="AP29" s="55" t="inlineStr">
        <is>
          <t>AssertionError: 0 != 2</t>
        </is>
      </c>
      <c r="AQ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9" s="55" t="inlineStr">
        <is>
          <t>AssertionError</t>
        </is>
      </c>
      <c r="AS29" s="55" t="inlineStr">
        <is>
          <t>AssertionError: 0 != 2</t>
        </is>
      </c>
      <c r="AT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9" s="55" t="inlineStr">
        <is>
          <t>AssertionError</t>
        </is>
      </c>
      <c r="AV29" s="55" t="inlineStr">
        <is>
          <t>AssertionError: 0 != 2</t>
        </is>
      </c>
      <c r="AW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9" s="55" t="inlineStr">
        <is>
          <t>AssertionError</t>
        </is>
      </c>
      <c r="AY29" s="55" t="inlineStr">
        <is>
          <t>AssertionError: 0 != 2</t>
        </is>
      </c>
      <c r="AZ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9" s="55" t="inlineStr">
        <is>
          <t>AssertionError</t>
        </is>
      </c>
      <c r="BB29" s="55" t="inlineStr">
        <is>
          <t>AssertionError: 0 != 2</t>
        </is>
      </c>
      <c r="BC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9" s="55" t="inlineStr">
        <is>
          <t>AssertionError</t>
        </is>
      </c>
      <c r="BE29" s="55" t="inlineStr">
        <is>
          <t>AssertionError: 0 != 2</t>
        </is>
      </c>
      <c r="BF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9" s="55" t="inlineStr">
        <is>
          <t>AssertionError</t>
        </is>
      </c>
      <c r="BH29" s="55" t="inlineStr">
        <is>
          <t>AssertionError: 0 != 2</t>
        </is>
      </c>
      <c r="BI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9" s="55" t="inlineStr">
        <is>
          <t>AssertionError</t>
        </is>
      </c>
      <c r="BK29" s="55" t="inlineStr">
        <is>
          <t>AssertionError: 0 != 2</t>
        </is>
      </c>
      <c r="BL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9" s="55" t="inlineStr">
        <is>
          <t>AssertionError</t>
        </is>
      </c>
      <c r="BN29" s="55" t="inlineStr">
        <is>
          <t>AssertionError: 0 != 2</t>
        </is>
      </c>
      <c r="BO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9" s="55" t="inlineStr">
        <is>
          <t>AssertionError</t>
        </is>
      </c>
      <c r="BQ29" s="55" t="inlineStr">
        <is>
          <t>AssertionError: 0 != 2</t>
        </is>
      </c>
      <c r="BR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9" s="55" t="inlineStr">
        <is>
          <t>AssertionError</t>
        </is>
      </c>
      <c r="BT29" s="55" t="inlineStr">
        <is>
          <t>AssertionError: 0 != 2</t>
        </is>
      </c>
      <c r="BU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9" s="55" t="inlineStr">
        <is>
          <t>AssertionError</t>
        </is>
      </c>
      <c r="BW29" s="55" t="inlineStr">
        <is>
          <t>AssertionError: 0 != 2</t>
        </is>
      </c>
      <c r="BX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9" s="55" t="inlineStr">
        <is>
          <t>AssertionError</t>
        </is>
      </c>
      <c r="BZ29" s="55" t="inlineStr">
        <is>
          <t>AssertionError: 0 != 2</t>
        </is>
      </c>
      <c r="CA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9" s="55" t="inlineStr">
        <is>
          <t>AssertionError</t>
        </is>
      </c>
      <c r="CC29" s="55" t="inlineStr">
        <is>
          <t>AssertionError: 0 != 2</t>
        </is>
      </c>
      <c r="CD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9" s="55" t="inlineStr">
        <is>
          <t>AssertionError</t>
        </is>
      </c>
      <c r="CF29" s="55" t="inlineStr">
        <is>
          <t>AssertionError: 0 != 2</t>
        </is>
      </c>
      <c r="CG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9" s="55" t="inlineStr">
        <is>
          <t>AssertionError</t>
        </is>
      </c>
      <c r="CI29" s="55" t="inlineStr">
        <is>
          <t>AssertionError: 0 != 2</t>
        </is>
      </c>
      <c r="CJ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9" s="55" t="inlineStr">
        <is>
          <t>AssertionError</t>
        </is>
      </c>
      <c r="CL29" s="55" t="inlineStr">
        <is>
          <t>AssertionError: 0 != 2</t>
        </is>
      </c>
      <c r="CM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9" s="55" t="inlineStr">
        <is>
          <t>AssertionError</t>
        </is>
      </c>
      <c r="CO29" s="55" t="inlineStr">
        <is>
          <t>AssertionError: 0 != 2</t>
        </is>
      </c>
      <c r="CP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9" s="55" t="inlineStr">
        <is>
          <t>AssertionError</t>
        </is>
      </c>
      <c r="CR29" s="55" t="inlineStr">
        <is>
          <t>AssertionError: 0 != 2</t>
        </is>
      </c>
      <c r="CS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9" s="55" t="inlineStr">
        <is>
          <t>AssertionError</t>
        </is>
      </c>
      <c r="CU29" s="55" t="inlineStr">
        <is>
          <t>AssertionError: 0 != 2</t>
        </is>
      </c>
      <c r="CV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9" s="55" t="inlineStr">
        <is>
          <t>AssertionError</t>
        </is>
      </c>
      <c r="CX29" s="55" t="inlineStr">
        <is>
          <t>AssertionError: 0 != 2</t>
        </is>
      </c>
      <c r="CY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9" s="55" t="inlineStr">
        <is>
          <t>AssertionError</t>
        </is>
      </c>
      <c r="DA29" s="55" t="inlineStr">
        <is>
          <t>AssertionError: 0 != 2</t>
        </is>
      </c>
      <c r="DB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9" s="55" t="inlineStr">
        <is>
          <t>AssertionError</t>
        </is>
      </c>
      <c r="DD29" s="55" t="inlineStr">
        <is>
          <t>AssertionError: 0 != 2</t>
        </is>
      </c>
      <c r="DE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30">
      <c r="A30" s="55" t="inlineStr">
        <is>
          <t>issue_468</t>
        </is>
      </c>
      <c r="B30" s="57" t="inlineStr">
        <is>
          <t>ERROR</t>
        </is>
      </c>
      <c r="C30" s="57" t="inlineStr">
        <is>
          <t>ERROR</t>
        </is>
      </c>
      <c r="D30" s="57" t="inlineStr">
        <is>
          <t>ERROR</t>
        </is>
      </c>
      <c r="E30" s="57" t="inlineStr">
        <is>
          <t>ERROR</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inlineStr">
        <is>
          <t>ValueError</t>
        </is>
      </c>
      <c r="AD30" s="55" t="inlineStr">
        <is>
          <t>ValueError: Operators can only be scalar multiplied by float or complex, not Operator([[1.+0.j, 0.+0.j], [0.+0.j, 0.+0.j]], input_dims=(2,), output_dims=(2,)) of type &lt;class 'qiskit.aqua.operators.primitive_ops.matrix_op.MatrixOp'&gt;.</t>
        </is>
      </c>
      <c r="AE30" s="55" t="inlineStr">
        <is>
          <t>The LLM wrapped the density matrices in MatrixOp, but Aqua's legacy commutator() multiplies its inputs with *, which for MatrixOp means scalar multiplication, so it raises ValueError; the reference rewrites the two operators as WeightedPauliOperators.</t>
        </is>
      </c>
      <c r="AF30" s="55" t="inlineStr">
        <is>
          <t>ValueError</t>
        </is>
      </c>
      <c r="AG30" s="55" t="inlineStr">
        <is>
          <t>ValueError: Operators can only be scalar multiplied by float or complex, not Operator([[1.+0.j, 0.+0.j], [0.+0.j, 0.+0.j]], input_dims=(2,), output_dims=(2,)) of type &lt;class 'qiskit.aqua.operators.primitive_ops.matrix_op.MatrixOp'&gt;.</t>
        </is>
      </c>
      <c r="AH30" s="55" t="inlineStr">
        <is>
          <t>The LLM wrapped the density matrices in MatrixOp, but Aqua's legacy commutator() multiplies its inputs with *, which for MatrixOp means scalar multiplication, so it raises ValueError; the reference rewrites the two operators as WeightedPauliOperators.</t>
        </is>
      </c>
      <c r="AI30" s="55" t="inlineStr">
        <is>
          <t>ValueError</t>
        </is>
      </c>
      <c r="AJ30" s="55" t="inlineStr">
        <is>
          <t>ValueError: Operators can only be scalar multiplied by float or complex, not Operator([[1.+0.j, 0.+0.j], [0.+0.j, 0.+0.j]], input_dims=(2,), output_dims=(2,)) of type &lt;class 'qiskit.aqua.operators.primitive_ops.matrix_op.MatrixOp'&gt;.</t>
        </is>
      </c>
      <c r="AK30" s="55" t="inlineStr">
        <is>
          <t>The LLM wrapped the density matrices in MatrixOp, but Aqua's legacy commutator() multiplies its inputs with *, which for MatrixOp means scalar multiplication, so it raises ValueError; the reference rewrites the two operators as WeightedPauliOperators.</t>
        </is>
      </c>
      <c r="AL30" s="55" t="inlineStr">
        <is>
          <t>ValueError</t>
        </is>
      </c>
      <c r="AM30" s="55" t="inlineStr">
        <is>
          <t>ValueError: Operators can only be scalar multiplied by float or complex, not Operator([[1.+0.j, 0.+0.j], [0.+0.j, 0.+0.j]], input_dims=(2,), output_dims=(2,)) of type &lt;class 'qiskit.aqua.operators.primitive_ops.matrix_op.MatrixOp'&gt;.</t>
        </is>
      </c>
      <c r="AN30" s="55" t="inlineStr">
        <is>
          <t>The LLM wrapped the density matrices in MatrixOp, but Aqua's legacy commutator() multiplies its inputs with *, which for MatrixOp means scalar multiplication, so it raises ValueError; the reference rewrites the two operators as WeightedPauliOperators.</t>
        </is>
      </c>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issue_497</t>
        </is>
      </c>
      <c r="B31" s="59" t="inlineStr">
        <is>
          <t>PASS</t>
        </is>
      </c>
      <c r="C31" s="59" t="inlineStr">
        <is>
          <t>PASS</t>
        </is>
      </c>
      <c r="D31" s="59" t="inlineStr">
        <is>
          <t>PASS</t>
        </is>
      </c>
      <c r="E31" s="59" t="inlineStr">
        <is>
          <t>PASS</t>
        </is>
      </c>
      <c r="F31" s="56" t="inlineStr">
        <is>
          <t>NOT_TESTED</t>
        </is>
      </c>
      <c r="G31" s="56" t="inlineStr">
        <is>
          <t>NOT_TESTED</t>
        </is>
      </c>
      <c r="H31" s="56" t="inlineStr">
        <is>
          <t>NOT_TESTED</t>
        </is>
      </c>
      <c r="I31" s="56" t="inlineStr">
        <is>
          <t>NOT_TESTED</t>
        </is>
      </c>
      <c r="J31" s="56" t="inlineStr">
        <is>
          <t>NOT_TESTED</t>
        </is>
      </c>
      <c r="K31" s="56" t="inlineStr">
        <is>
          <t>NOT_TESTED</t>
        </is>
      </c>
      <c r="L31" s="56" t="inlineStr">
        <is>
          <t>NOT_TESTED</t>
        </is>
      </c>
      <c r="M31" s="56" t="inlineStr">
        <is>
          <t>NOT_TESTED</t>
        </is>
      </c>
      <c r="N31" s="56" t="inlineStr">
        <is>
          <t>NOT_TESTED</t>
        </is>
      </c>
      <c r="O31" s="56" t="inlineStr">
        <is>
          <t>NOT_TESTED</t>
        </is>
      </c>
      <c r="P31" s="56" t="inlineStr">
        <is>
          <t>NOT_TESTED</t>
        </is>
      </c>
      <c r="Q31" s="56" t="inlineStr">
        <is>
          <t>NOT_TESTED</t>
        </is>
      </c>
      <c r="R31" s="56" t="inlineStr">
        <is>
          <t>NOT_TESTED</t>
        </is>
      </c>
      <c r="S31" s="56" t="inlineStr">
        <is>
          <t>NOT_TESTED</t>
        </is>
      </c>
      <c r="T31" s="56" t="inlineStr">
        <is>
          <t>NOT_TESTED</t>
        </is>
      </c>
      <c r="U31" s="56" t="inlineStr">
        <is>
          <t>NOT_TESTED</t>
        </is>
      </c>
      <c r="V31" s="56" t="inlineStr">
        <is>
          <t>NOT_TESTED</t>
        </is>
      </c>
      <c r="W31" s="56" t="inlineStr">
        <is>
          <t>NOT_TESTED</t>
        </is>
      </c>
      <c r="X31" s="56" t="inlineStr">
        <is>
          <t>NOT_TESTED</t>
        </is>
      </c>
      <c r="Y31" s="56" t="inlineStr">
        <is>
          <t>NOT_TESTED</t>
        </is>
      </c>
      <c r="Z31" s="56" t="inlineStr">
        <is>
          <t>NOT_TESTED</t>
        </is>
      </c>
      <c r="AA31" s="56" t="inlineStr">
        <is>
          <t>NOT_TESTED</t>
        </is>
      </c>
      <c r="AB31" s="56" t="inlineStr">
        <is>
          <t>NOT_TESTED</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issue_504</t>
        </is>
      </c>
      <c r="B32" s="56" t="inlineStr">
        <is>
          <t>NOT_TESTED</t>
        </is>
      </c>
      <c r="C32" s="56" t="inlineStr">
        <is>
          <t>NOT_TESTED</t>
        </is>
      </c>
      <c r="D32" s="56" t="inlineStr">
        <is>
          <t>NOT_TESTED</t>
        </is>
      </c>
      <c r="E32" s="56" t="inlineStr">
        <is>
          <t>NOT_TESTED</t>
        </is>
      </c>
      <c r="F32" s="59" t="inlineStr">
        <is>
          <t>PASS</t>
        </is>
      </c>
      <c r="G32" s="59" t="inlineStr">
        <is>
          <t>PASS</t>
        </is>
      </c>
      <c r="H32" s="59" t="inlineStr">
        <is>
          <t>PASS</t>
        </is>
      </c>
      <c r="I32" s="59" t="inlineStr">
        <is>
          <t>PASS</t>
        </is>
      </c>
      <c r="J32" s="59" t="inlineStr">
        <is>
          <t>PASS</t>
        </is>
      </c>
      <c r="K32" s="59" t="inlineStr">
        <is>
          <t>PASS</t>
        </is>
      </c>
      <c r="L32" s="59" t="inlineStr">
        <is>
          <t>PASS</t>
        </is>
      </c>
      <c r="M32" s="59" t="inlineStr">
        <is>
          <t>PASS</t>
        </is>
      </c>
      <c r="N32" s="59" t="inlineStr">
        <is>
          <t>PASS</t>
        </is>
      </c>
      <c r="O32" s="59" t="inlineStr">
        <is>
          <t>PASS</t>
        </is>
      </c>
      <c r="P32" s="59" t="inlineStr">
        <is>
          <t>PASS</t>
        </is>
      </c>
      <c r="Q32" s="59" t="inlineStr">
        <is>
          <t>PASS</t>
        </is>
      </c>
      <c r="R32" s="59" t="inlineStr">
        <is>
          <t>PASS</t>
        </is>
      </c>
      <c r="S32" s="59" t="inlineStr">
        <is>
          <t>PASS</t>
        </is>
      </c>
      <c r="T32" s="59" t="inlineStr">
        <is>
          <t>PASS</t>
        </is>
      </c>
      <c r="U32" s="59" t="inlineStr">
        <is>
          <t>PASS</t>
        </is>
      </c>
      <c r="V32" s="59" t="inlineStr">
        <is>
          <t>PASS</t>
        </is>
      </c>
      <c r="W32" s="59" t="inlineStr">
        <is>
          <t>PASS</t>
        </is>
      </c>
      <c r="X32" s="59" t="inlineStr">
        <is>
          <t>PASS</t>
        </is>
      </c>
      <c r="Y32" s="59" t="inlineStr">
        <is>
          <t>PASS</t>
        </is>
      </c>
      <c r="Z32" s="59" t="inlineStr">
        <is>
          <t>PASS</t>
        </is>
      </c>
      <c r="AA32" s="59" t="inlineStr">
        <is>
          <t>PASS</t>
        </is>
      </c>
      <c r="AB32" s="59" t="inlineStr">
        <is>
          <t>PASS</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issue_505</t>
        </is>
      </c>
      <c r="B33" s="56" t="inlineStr">
        <is>
          <t>NOT_TESTED</t>
        </is>
      </c>
      <c r="C33" s="56" t="inlineStr">
        <is>
          <t>NOT_TESTED</t>
        </is>
      </c>
      <c r="D33" s="56" t="inlineStr">
        <is>
          <t>NOT_TESTED</t>
        </is>
      </c>
      <c r="E33" s="56" t="inlineStr">
        <is>
          <t>NOT_TESTED</t>
        </is>
      </c>
      <c r="F33" s="59" t="inlineStr">
        <is>
          <t>PASS</t>
        </is>
      </c>
      <c r="G33" s="59" t="inlineStr">
        <is>
          <t>PASS</t>
        </is>
      </c>
      <c r="H33" s="59" t="inlineStr">
        <is>
          <t>PASS</t>
        </is>
      </c>
      <c r="I33" s="59" t="inlineStr">
        <is>
          <t>PASS</t>
        </is>
      </c>
      <c r="J33" s="59" t="inlineStr">
        <is>
          <t>PASS</t>
        </is>
      </c>
      <c r="K33" s="59" t="inlineStr">
        <is>
          <t>PASS</t>
        </is>
      </c>
      <c r="L33" s="59" t="inlineStr">
        <is>
          <t>PASS</t>
        </is>
      </c>
      <c r="M33" s="59" t="inlineStr">
        <is>
          <t>PASS</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n"/>
      <c r="AD33" s="55" t="n"/>
      <c r="AE33" s="55" t="n"/>
      <c r="AF33" s="55" t="n"/>
      <c r="AG33" s="55" t="n"/>
      <c r="AH33" s="55" t="n"/>
      <c r="AI33" s="55" t="n"/>
      <c r="AJ33" s="55" t="n"/>
      <c r="AK33" s="55" t="n"/>
      <c r="AL33" s="55" t="n"/>
      <c r="AM33" s="55" t="n"/>
      <c r="AN33" s="55" t="n"/>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issue_565</t>
        </is>
      </c>
      <c r="B34" s="57" t="inlineStr">
        <is>
          <t>ERROR</t>
        </is>
      </c>
      <c r="C34" s="57" t="inlineStr">
        <is>
          <t>ERROR</t>
        </is>
      </c>
      <c r="D34" s="57" t="inlineStr">
        <is>
          <t>ERROR</t>
        </is>
      </c>
      <c r="E34" s="57" t="inlineStr">
        <is>
          <t>ERROR</t>
        </is>
      </c>
      <c r="F34" s="56" t="inlineStr">
        <is>
          <t>NOT_TESTED</t>
        </is>
      </c>
      <c r="G34" s="56" t="inlineStr">
        <is>
          <t>NOT_TESTED</t>
        </is>
      </c>
      <c r="H34" s="56" t="inlineStr">
        <is>
          <t>NOT_TESTED</t>
        </is>
      </c>
      <c r="I34" s="56" t="inlineStr">
        <is>
          <t>NOT_TESTED</t>
        </is>
      </c>
      <c r="J34" s="56" t="inlineStr">
        <is>
          <t>NOT_TESTED</t>
        </is>
      </c>
      <c r="K34" s="56" t="inlineStr">
        <is>
          <t>NOT_TESTED</t>
        </is>
      </c>
      <c r="L34" s="56" t="inlineStr">
        <is>
          <t>NOT_TESTED</t>
        </is>
      </c>
      <c r="M34" s="56" t="inlineStr">
        <is>
          <t>NOT_TESTED</t>
        </is>
      </c>
      <c r="N34" s="56" t="inlineStr">
        <is>
          <t>NOT_TESTED</t>
        </is>
      </c>
      <c r="O34" s="56" t="inlineStr">
        <is>
          <t>NOT_TESTED</t>
        </is>
      </c>
      <c r="P34" s="56" t="inlineStr">
        <is>
          <t>NOT_TESTED</t>
        </is>
      </c>
      <c r="Q34" s="56" t="inlineStr">
        <is>
          <t>NOT_TESTED</t>
        </is>
      </c>
      <c r="R34" s="56" t="inlineStr">
        <is>
          <t>NOT_TESTED</t>
        </is>
      </c>
      <c r="S34" s="56" t="inlineStr">
        <is>
          <t>NOT_TESTED</t>
        </is>
      </c>
      <c r="T34" s="56" t="inlineStr">
        <is>
          <t>NOT_TESTED</t>
        </is>
      </c>
      <c r="U34" s="56" t="inlineStr">
        <is>
          <t>NOT_TESTED</t>
        </is>
      </c>
      <c r="V34" s="56" t="inlineStr">
        <is>
          <t>NOT_TESTED</t>
        </is>
      </c>
      <c r="W34" s="56" t="inlineStr">
        <is>
          <t>NOT_TESTED</t>
        </is>
      </c>
      <c r="X34" s="56" t="inlineStr">
        <is>
          <t>NOT_TESTED</t>
        </is>
      </c>
      <c r="Y34" s="56" t="inlineStr">
        <is>
          <t>NOT_TESTED</t>
        </is>
      </c>
      <c r="Z34" s="56" t="inlineStr">
        <is>
          <t>NOT_TESTED</t>
        </is>
      </c>
      <c r="AA34" s="56" t="inlineStr">
        <is>
          <t>NOT_TESTED</t>
        </is>
      </c>
      <c r="AB34" s="56" t="inlineStr">
        <is>
          <t>NOT_TESTED</t>
        </is>
      </c>
      <c r="AC34" s="55" t="inlineStr">
        <is>
          <t>ValueError</t>
        </is>
      </c>
      <c r="AD34" s="55" t="inlineStr">
        <is>
          <t>ValueError: Operators can only be scalar multiplied by float or complex, not SummedOp([ IIIXIIIII, IIIYIIIII ]) of type &lt;class 'qiskit.aqua.operators.list_ops.summed_op.SummedOp'&gt;.</t>
        </is>
      </c>
      <c r="AE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4" s="55" t="inlineStr">
        <is>
          <t>ValueError</t>
        </is>
      </c>
      <c r="AG34" s="55" t="inlineStr">
        <is>
          <t>ValueError: Operators can only be scalar multiplied by float or complex, not SummedOp([ IIIXIIIII, IIIYIIIII ]) of type &lt;class 'qiskit.aqua.operators.list_ops.summed_op.SummedOp'&gt;.</t>
        </is>
      </c>
      <c r="AH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4" s="55" t="inlineStr">
        <is>
          <t>ValueError</t>
        </is>
      </c>
      <c r="AJ34" s="55" t="inlineStr">
        <is>
          <t>ValueError: Operators can only be scalar multiplied by float or complex, not SummedOp([ IIIXIIIII, IIIYIIIII ]) of type &lt;class 'qiskit.aqua.operators.list_ops.summed_op.SummedOp'&gt;.</t>
        </is>
      </c>
      <c r="AK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4" s="55" t="inlineStr">
        <is>
          <t>ValueError</t>
        </is>
      </c>
      <c r="AM34" s="55" t="inlineStr">
        <is>
          <t>ValueError: Operators can only be scalar multiplied by float or complex, not SummedOp([ IIIXIIIII, IIIYIIIII ]) of type &lt;class 'qiskit.aqua.operators.list_ops.summed_op.SummedOp'&gt;.</t>
        </is>
      </c>
      <c r="AN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issue_595</t>
        </is>
      </c>
      <c r="B35" s="56" t="inlineStr">
        <is>
          <t>NOT_TESTED</t>
        </is>
      </c>
      <c r="C35" s="56" t="inlineStr">
        <is>
          <t>NOT_TESTED</t>
        </is>
      </c>
      <c r="D35" s="56" t="inlineStr">
        <is>
          <t>NOT_TESTED</t>
        </is>
      </c>
      <c r="E35" s="56" t="inlineStr">
        <is>
          <t>NOT_TESTED</t>
        </is>
      </c>
      <c r="F35" s="59" t="inlineStr">
        <is>
          <t>PASS</t>
        </is>
      </c>
      <c r="G35" s="59" t="inlineStr">
        <is>
          <t>PASS</t>
        </is>
      </c>
      <c r="H35" s="59" t="inlineStr">
        <is>
          <t>PASS</t>
        </is>
      </c>
      <c r="I35" s="59" t="inlineStr">
        <is>
          <t>PASS</t>
        </is>
      </c>
      <c r="J35" s="59" t="inlineStr">
        <is>
          <t>PASS</t>
        </is>
      </c>
      <c r="K35" s="59" t="inlineStr">
        <is>
          <t>PASS</t>
        </is>
      </c>
      <c r="L35" s="59" t="inlineStr">
        <is>
          <t>PASS</t>
        </is>
      </c>
      <c r="M35" s="59" t="inlineStr">
        <is>
          <t>PASS</t>
        </is>
      </c>
      <c r="N35" s="59" t="inlineStr">
        <is>
          <t>PASS</t>
        </is>
      </c>
      <c r="O35" s="59" t="inlineStr">
        <is>
          <t>PASS</t>
        </is>
      </c>
      <c r="P35" s="59" t="inlineStr">
        <is>
          <t>PASS</t>
        </is>
      </c>
      <c r="Q35" s="59" t="inlineStr">
        <is>
          <t>PASS</t>
        </is>
      </c>
      <c r="R35" s="59" t="inlineStr">
        <is>
          <t>PASS</t>
        </is>
      </c>
      <c r="S35" s="59" t="inlineStr">
        <is>
          <t>PASS</t>
        </is>
      </c>
      <c r="T35" s="59" t="inlineStr">
        <is>
          <t>PASS</t>
        </is>
      </c>
      <c r="U35" s="59" t="inlineStr">
        <is>
          <t>PASS</t>
        </is>
      </c>
      <c r="V35" s="59" t="inlineStr">
        <is>
          <t>PASS</t>
        </is>
      </c>
      <c r="W35" s="59" t="inlineStr">
        <is>
          <t>PASS</t>
        </is>
      </c>
      <c r="X35" s="59" t="inlineStr">
        <is>
          <t>PASS</t>
        </is>
      </c>
      <c r="Y35" s="59" t="inlineStr">
        <is>
          <t>PASS</t>
        </is>
      </c>
      <c r="Z35" s="59" t="inlineStr">
        <is>
          <t>PASS</t>
        </is>
      </c>
      <c r="AA35" s="59" t="inlineStr">
        <is>
          <t>PASS</t>
        </is>
      </c>
      <c r="AB35" s="59" t="inlineStr">
        <is>
          <t>PASS</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issue_596</t>
        </is>
      </c>
      <c r="B36" s="59" t="inlineStr">
        <is>
          <t>PASS</t>
        </is>
      </c>
      <c r="C36" s="59" t="inlineStr">
        <is>
          <t>PASS</t>
        </is>
      </c>
      <c r="D36" s="59" t="inlineStr">
        <is>
          <t>PASS</t>
        </is>
      </c>
      <c r="E36" s="59" t="inlineStr">
        <is>
          <t>PASS</t>
        </is>
      </c>
      <c r="F36" s="59" t="inlineStr">
        <is>
          <t>PASS</t>
        </is>
      </c>
      <c r="G36" s="59" t="inlineStr">
        <is>
          <t>PASS</t>
        </is>
      </c>
      <c r="H36" s="59" t="inlineStr">
        <is>
          <t>PASS</t>
        </is>
      </c>
      <c r="I36" s="59" t="inlineStr">
        <is>
          <t>PASS</t>
        </is>
      </c>
      <c r="J36" s="59" t="inlineStr">
        <is>
          <t>PASS</t>
        </is>
      </c>
      <c r="K36" s="59" t="inlineStr">
        <is>
          <t>PASS</t>
        </is>
      </c>
      <c r="L36" s="59" t="inlineStr">
        <is>
          <t>PASS</t>
        </is>
      </c>
      <c r="M36" s="59" t="inlineStr">
        <is>
          <t>PASS</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n"/>
      <c r="AD36" s="55" t="n"/>
      <c r="AE36" s="55" t="n"/>
      <c r="AF36" s="55" t="n"/>
      <c r="AG36" s="55" t="n"/>
      <c r="AH36" s="55" t="n"/>
      <c r="AI36" s="55" t="n"/>
      <c r="AJ36" s="55" t="n"/>
      <c r="AK36" s="55" t="n"/>
      <c r="AL36" s="55" t="n"/>
      <c r="AM36" s="55" t="n"/>
      <c r="AN36" s="55" t="n"/>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issue_600</t>
        </is>
      </c>
      <c r="B37" s="57" t="inlineStr">
        <is>
          <t>ERROR</t>
        </is>
      </c>
      <c r="C37" s="57" t="inlineStr">
        <is>
          <t>ERROR</t>
        </is>
      </c>
      <c r="D37" s="57" t="inlineStr">
        <is>
          <t>ERROR</t>
        </is>
      </c>
      <c r="E37" s="57" t="inlineStr">
        <is>
          <t>ERROR</t>
        </is>
      </c>
      <c r="F37" s="59" t="inlineStr">
        <is>
          <t>PASS</t>
        </is>
      </c>
      <c r="G37" s="59" t="inlineStr">
        <is>
          <t>PASS</t>
        </is>
      </c>
      <c r="H37" s="59" t="inlineStr">
        <is>
          <t>PASS</t>
        </is>
      </c>
      <c r="I37" s="59" t="inlineStr">
        <is>
          <t>PASS</t>
        </is>
      </c>
      <c r="J37" s="59" t="inlineStr">
        <is>
          <t>PASS</t>
        </is>
      </c>
      <c r="K37" s="59" t="inlineStr">
        <is>
          <t>PASS</t>
        </is>
      </c>
      <c r="L37" s="59" t="inlineStr">
        <is>
          <t>PASS</t>
        </is>
      </c>
      <c r="M37" s="59" t="inlineStr">
        <is>
          <t>PASS</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inlineStr">
        <is>
          <t>ImportError</t>
        </is>
      </c>
      <c r="AD37" s="55" t="inlineStr">
        <is>
          <t>ImportError: cannot import name 'PauliGate' from 'qiskit.circuit.library' (C:\qiskit_envs\q0250\lib\site-packages\qiskit\circuit\library\__init__.py)</t>
        </is>
      </c>
      <c r="AE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7" s="55" t="inlineStr">
        <is>
          <t>ImportError</t>
        </is>
      </c>
      <c r="AG37" s="55" t="inlineStr">
        <is>
          <t>ImportError: cannot import name 'PauliGate' from 'qiskit.circuit.library' (C:\qiskit_envs\q0251\lib\site-packages\qiskit\circuit\library\__init__.py)</t>
        </is>
      </c>
      <c r="AH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7" s="55" t="inlineStr">
        <is>
          <t>ImportError</t>
        </is>
      </c>
      <c r="AJ37" s="55" t="inlineStr">
        <is>
          <t>ImportError: cannot import name 'PauliGate' from 'qiskit.circuit.library' (C:\qiskit_envs\q0252\lib\site-packages\qiskit\circuit\library\__init__.py)</t>
        </is>
      </c>
      <c r="AK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7" s="55" t="inlineStr">
        <is>
          <t>ImportError</t>
        </is>
      </c>
      <c r="AM37" s="55" t="inlineStr">
        <is>
          <t>ImportError: cannot import name 'PauliGate' from 'qiskit.circuit.library' (C:\qiskit_envs\q0253\lib\site-packages\qiskit\circuit\library\__init__.py)</t>
        </is>
      </c>
      <c r="AN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7" s="55" t="n"/>
      <c r="AP37" s="55" t="n"/>
      <c r="AQ37" s="55" t="n"/>
      <c r="AR37" s="55" t="n"/>
      <c r="AS37" s="55" t="n"/>
      <c r="AT37" s="55" t="n"/>
      <c r="AU37" s="55" t="n"/>
      <c r="AV37" s="55" t="n"/>
      <c r="AW37" s="55" t="n"/>
      <c r="AX37" s="55" t="n"/>
      <c r="AY37" s="55" t="n"/>
      <c r="AZ37" s="55" t="n"/>
      <c r="BA37" s="55" t="n"/>
      <c r="BB37" s="55" t="n"/>
      <c r="BC37" s="55" t="n"/>
      <c r="BD37" s="55" t="n"/>
      <c r="BE37" s="55" t="n"/>
      <c r="BF37" s="55" t="n"/>
      <c r="BG37" s="55" t="n"/>
      <c r="BH37" s="55" t="n"/>
      <c r="BI37" s="55" t="n"/>
      <c r="BJ37" s="55" t="n"/>
      <c r="BK37" s="55" t="n"/>
      <c r="BL37" s="55" t="n"/>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issue_622</t>
        </is>
      </c>
      <c r="B38" s="58" t="inlineStr">
        <is>
          <t>FAIL</t>
        </is>
      </c>
      <c r="C38" s="58" t="inlineStr">
        <is>
          <t>FAIL</t>
        </is>
      </c>
      <c r="D38" s="58" t="inlineStr">
        <is>
          <t>FAIL</t>
        </is>
      </c>
      <c r="E38" s="58" t="inlineStr">
        <is>
          <t>FAIL</t>
        </is>
      </c>
      <c r="F38" s="58" t="inlineStr">
        <is>
          <t>FAIL</t>
        </is>
      </c>
      <c r="G38" s="58" t="inlineStr">
        <is>
          <t>FAIL</t>
        </is>
      </c>
      <c r="H38" s="58" t="inlineStr">
        <is>
          <t>FAIL</t>
        </is>
      </c>
      <c r="I38" s="58" t="inlineStr">
        <is>
          <t>FAIL</t>
        </is>
      </c>
      <c r="J38" s="58" t="inlineStr">
        <is>
          <t>FAIL</t>
        </is>
      </c>
      <c r="K38" s="58" t="inlineStr">
        <is>
          <t>FAIL</t>
        </is>
      </c>
      <c r="L38" s="58" t="inlineStr">
        <is>
          <t>FAIL</t>
        </is>
      </c>
      <c r="M38" s="58" t="inlineStr">
        <is>
          <t>FAIL</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AssertionError</t>
        </is>
      </c>
      <c r="AD38" s="55" t="inlineStr">
        <is>
          <t>AssertionError: Items in the first set but not the second: '01' '10'</t>
        </is>
      </c>
      <c r="AE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8" s="55" t="inlineStr">
        <is>
          <t>AssertionError</t>
        </is>
      </c>
      <c r="AG38" s="55" t="inlineStr">
        <is>
          <t>AssertionError: Items in the first set but not the second: '10' '01'</t>
        </is>
      </c>
      <c r="AH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8" s="55" t="inlineStr">
        <is>
          <t>AssertionError</t>
        </is>
      </c>
      <c r="AJ38" s="55" t="inlineStr">
        <is>
          <t>AssertionError: Items in the first set but not the second: '01' '10'</t>
        </is>
      </c>
      <c r="AK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8" s="55" t="inlineStr">
        <is>
          <t>AssertionError</t>
        </is>
      </c>
      <c r="AM38" s="55" t="inlineStr">
        <is>
          <t>AssertionError: Items in the first set but not the second: '10' '01'</t>
        </is>
      </c>
      <c r="AN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8" s="55" t="inlineStr">
        <is>
          <t>AssertionError</t>
        </is>
      </c>
      <c r="AP38" s="55" t="inlineStr">
        <is>
          <t>AssertionError: Items in the first set but not the second: '10' '01'</t>
        </is>
      </c>
      <c r="AQ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8" s="55" t="inlineStr">
        <is>
          <t>AssertionError</t>
        </is>
      </c>
      <c r="AS38" s="55" t="inlineStr">
        <is>
          <t>AssertionError: Items in the first set but not the second: '10' '01'</t>
        </is>
      </c>
      <c r="AT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8" s="55" t="inlineStr">
        <is>
          <t>AssertionError</t>
        </is>
      </c>
      <c r="AV38" s="55" t="inlineStr">
        <is>
          <t>AssertionError: Items in the first set but not the second: '01' '10'</t>
        </is>
      </c>
      <c r="AW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8" s="55" t="inlineStr">
        <is>
          <t>AssertionError</t>
        </is>
      </c>
      <c r="AY38" s="55" t="inlineStr">
        <is>
          <t>AssertionError: Items in the first set but not the second: '01' '10'</t>
        </is>
      </c>
      <c r="AZ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8" s="55" t="inlineStr">
        <is>
          <t>AssertionError</t>
        </is>
      </c>
      <c r="BB38" s="55" t="inlineStr">
        <is>
          <t>AssertionError: Items in the first set but not the second: '01' '10'</t>
        </is>
      </c>
      <c r="BC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8" s="55" t="inlineStr">
        <is>
          <t>AssertionError</t>
        </is>
      </c>
      <c r="BE38" s="55" t="inlineStr">
        <is>
          <t>AssertionError: Items in the first set but not the second: '10' '01'</t>
        </is>
      </c>
      <c r="BF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8" s="55" t="inlineStr">
        <is>
          <t>AssertionError</t>
        </is>
      </c>
      <c r="BH38" s="55" t="inlineStr">
        <is>
          <t>AssertionError: Items in the first set but not the second: '10' '01'</t>
        </is>
      </c>
      <c r="BI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8" s="55" t="inlineStr">
        <is>
          <t>AssertionError</t>
        </is>
      </c>
      <c r="BK38" s="55" t="inlineStr">
        <is>
          <t>AssertionError: Items in the first set but not the second: '10' '01'</t>
        </is>
      </c>
      <c r="BL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issue_624</t>
        </is>
      </c>
      <c r="B39" s="57" t="inlineStr">
        <is>
          <t>ERROR</t>
        </is>
      </c>
      <c r="C39" s="57" t="inlineStr">
        <is>
          <t>ERROR</t>
        </is>
      </c>
      <c r="D39" s="57" t="inlineStr">
        <is>
          <t>ERROR</t>
        </is>
      </c>
      <c r="E39" s="57" t="inlineStr">
        <is>
          <t>ERROR</t>
        </is>
      </c>
      <c r="F39" s="57" t="inlineStr">
        <is>
          <t>ERROR</t>
        </is>
      </c>
      <c r="G39" s="57" t="inlineStr">
        <is>
          <t>ERROR</t>
        </is>
      </c>
      <c r="H39" s="57" t="inlineStr">
        <is>
          <t>ERROR</t>
        </is>
      </c>
      <c r="I39" s="57" t="inlineStr">
        <is>
          <t>ERROR</t>
        </is>
      </c>
      <c r="J39" s="57" t="inlineStr">
        <is>
          <t>ERROR</t>
        </is>
      </c>
      <c r="K39" s="57" t="inlineStr">
        <is>
          <t>ERROR</t>
        </is>
      </c>
      <c r="L39" s="57" t="inlineStr">
        <is>
          <t>ERROR</t>
        </is>
      </c>
      <c r="M39" s="57" t="inlineStr">
        <is>
          <t>ERROR</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ValueError</t>
        </is>
      </c>
      <c r="AD39" s="55" t="inlineStr">
        <is>
          <t>ValueError: Evolutions of mixed Operators not yet supported.</t>
        </is>
      </c>
      <c r="AE39" s="55" t="inlineStr">
        <is>
          <t>The LLM wrapped the circuit in CircuitOp, which is an OperatorBase with the right matrix, but QAOA cannot build the evolution of a CircuitOp ('Evolutions of mixed Operators not yet supported'). The reference converts it with MatrixOp(Operator(H)).</t>
        </is>
      </c>
      <c r="AF39" s="55" t="inlineStr">
        <is>
          <t>ValueError</t>
        </is>
      </c>
      <c r="AG39" s="55" t="inlineStr">
        <is>
          <t>ValueError: Evolutions of mixed Operators not yet supported.</t>
        </is>
      </c>
      <c r="AH39" s="55" t="inlineStr">
        <is>
          <t>The LLM wrapped the circuit in CircuitOp, which is an OperatorBase with the right matrix, but QAOA cannot build the evolution of a CircuitOp ('Evolutions of mixed Operators not yet supported'). The reference converts it with MatrixOp(Operator(H)).</t>
        </is>
      </c>
      <c r="AI39" s="55" t="inlineStr">
        <is>
          <t>ValueError</t>
        </is>
      </c>
      <c r="AJ39" s="55" t="inlineStr">
        <is>
          <t>ValueError: Evolutions of mixed Operators not yet supported.</t>
        </is>
      </c>
      <c r="AK39" s="55" t="inlineStr">
        <is>
          <t>The LLM wrapped the circuit in CircuitOp, which is an OperatorBase with the right matrix, but QAOA cannot build the evolution of a CircuitOp ('Evolutions of mixed Operators not yet supported'). The reference converts it with MatrixOp(Operator(H)).</t>
        </is>
      </c>
      <c r="AL39" s="55" t="inlineStr">
        <is>
          <t>ValueError</t>
        </is>
      </c>
      <c r="AM39" s="55" t="inlineStr">
        <is>
          <t>ValueError: Evolutions of mixed Operators not yet supported.</t>
        </is>
      </c>
      <c r="AN39" s="55" t="inlineStr">
        <is>
          <t>The LLM wrapped the circuit in CircuitOp, which is an OperatorBase with the right matrix, but QAOA cannot build the evolution of a CircuitOp ('Evolutions of mixed Operators not yet supported'). The reference converts it with MatrixOp(Operator(H)).</t>
        </is>
      </c>
      <c r="AO39" s="55" t="inlineStr">
        <is>
          <t>TypeError</t>
        </is>
      </c>
      <c r="AP39" s="55" t="inlineStr">
        <is>
          <t>TypeError: ParameterExpression with unbound parameters (dict_keys([Parameter(c)])) cannot be cast to a float.</t>
        </is>
      </c>
      <c r="AQ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9" s="55" t="inlineStr">
        <is>
          <t>TypeError</t>
        </is>
      </c>
      <c r="AS39" s="55" t="inlineStr">
        <is>
          <t>TypeError: ParameterExpression with unbound parameters (dict_keys([Parameter(c)])) cannot be cast to a float.</t>
        </is>
      </c>
      <c r="AT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9" s="55" t="inlineStr">
        <is>
          <t>TypeError</t>
        </is>
      </c>
      <c r="AV39" s="55" t="inlineStr">
        <is>
          <t>TypeError: ParameterExpression with unbound parameters (dict_keys([Parameter(c)])) cannot be cast to a float.</t>
        </is>
      </c>
      <c r="AW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9" s="55" t="inlineStr">
        <is>
          <t>TypeError</t>
        </is>
      </c>
      <c r="AY39" s="55" t="inlineStr">
        <is>
          <t>TypeError: ParameterExpression with unbound parameters (dict_keys([Parameter(c)])) cannot be cast to a float.</t>
        </is>
      </c>
      <c r="AZ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9" s="55" t="inlineStr">
        <is>
          <t>TypeError</t>
        </is>
      </c>
      <c r="BB39" s="55" t="inlineStr">
        <is>
          <t>TypeError: ParameterExpression with unbound parameters (dict_keys([Parameter(c)])) cannot be cast to a float.</t>
        </is>
      </c>
      <c r="BC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9" s="55" t="inlineStr">
        <is>
          <t>TypeError</t>
        </is>
      </c>
      <c r="BE39" s="55" t="inlineStr">
        <is>
          <t>TypeError: ParameterExpression with unbound parameters (dict_keys([Parameter(c)])) cannot be cast to a float.</t>
        </is>
      </c>
      <c r="BF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9" s="55" t="inlineStr">
        <is>
          <t>TypeError</t>
        </is>
      </c>
      <c r="BH39" s="55" t="inlineStr">
        <is>
          <t>TypeError: ParameterExpression with unbound parameters (dict_keys([Parameter(c)])) cannot be cast to a float.</t>
        </is>
      </c>
      <c r="BI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9" s="55" t="inlineStr">
        <is>
          <t>TypeError</t>
        </is>
      </c>
      <c r="BK39" s="55" t="inlineStr">
        <is>
          <t>TypeError: ParameterExpression with unbound parameters (dict_keys([Parameter(c)])) cannot be cast to a float.</t>
        </is>
      </c>
      <c r="BL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issue_635</t>
        </is>
      </c>
      <c r="B40" s="58" t="inlineStr">
        <is>
          <t>FAIL</t>
        </is>
      </c>
      <c r="C40" s="58" t="inlineStr">
        <is>
          <t>FAIL</t>
        </is>
      </c>
      <c r="D40" s="58" t="inlineStr">
        <is>
          <t>FAIL</t>
        </is>
      </c>
      <c r="E40" s="58" t="inlineStr">
        <is>
          <t>FAIL</t>
        </is>
      </c>
      <c r="F40" s="56" t="inlineStr">
        <is>
          <t>NOT_TESTED</t>
        </is>
      </c>
      <c r="G40" s="56" t="inlineStr">
        <is>
          <t>NOT_TESTED</t>
        </is>
      </c>
      <c r="H40" s="56" t="inlineStr">
        <is>
          <t>NOT_TESTED</t>
        </is>
      </c>
      <c r="I40" s="56" t="inlineStr">
        <is>
          <t>NOT_TESTED</t>
        </is>
      </c>
      <c r="J40" s="56" t="inlineStr">
        <is>
          <t>NOT_TESTED</t>
        </is>
      </c>
      <c r="K40" s="56" t="inlineStr">
        <is>
          <t>NOT_TESTED</t>
        </is>
      </c>
      <c r="L40" s="56" t="inlineStr">
        <is>
          <t>NOT_TESTED</t>
        </is>
      </c>
      <c r="M40" s="56" t="inlineStr">
        <is>
          <t>NOT_TESTED</t>
        </is>
      </c>
      <c r="N40" s="56" t="inlineStr">
        <is>
          <t>NOT_TESTED</t>
        </is>
      </c>
      <c r="O40" s="56" t="inlineStr">
        <is>
          <t>NOT_TESTED</t>
        </is>
      </c>
      <c r="P40" s="56" t="inlineStr">
        <is>
          <t>NOT_TESTED</t>
        </is>
      </c>
      <c r="Q40" s="56" t="inlineStr">
        <is>
          <t>NOT_TESTED</t>
        </is>
      </c>
      <c r="R40" s="56" t="inlineStr">
        <is>
          <t>NOT_TESTED</t>
        </is>
      </c>
      <c r="S40" s="56" t="inlineStr">
        <is>
          <t>NOT_TESTED</t>
        </is>
      </c>
      <c r="T40" s="56" t="inlineStr">
        <is>
          <t>NOT_TESTED</t>
        </is>
      </c>
      <c r="U40" s="56" t="inlineStr">
        <is>
          <t>NOT_TESTED</t>
        </is>
      </c>
      <c r="V40" s="56" t="inlineStr">
        <is>
          <t>NOT_TESTED</t>
        </is>
      </c>
      <c r="W40" s="56" t="inlineStr">
        <is>
          <t>NOT_TESTED</t>
        </is>
      </c>
      <c r="X40" s="56" t="inlineStr">
        <is>
          <t>NOT_TESTED</t>
        </is>
      </c>
      <c r="Y40" s="56" t="inlineStr">
        <is>
          <t>NOT_TESTED</t>
        </is>
      </c>
      <c r="Z40" s="56" t="inlineStr">
        <is>
          <t>NOT_TESTED</t>
        </is>
      </c>
      <c r="AA40" s="56" t="inlineStr">
        <is>
          <t>NOT_TESTED</t>
        </is>
      </c>
      <c r="AB40" s="56" t="inlineStr">
        <is>
          <t>NOT_TESTED</t>
        </is>
      </c>
      <c r="AC40" s="55" t="inlineStr">
        <is>
          <t>AssertionError</t>
        </is>
      </c>
      <c r="AD40" s="55" t="inlineStr">
        <is>
          <t>AssertionError: Items in the first set but not the second: 0 Items in the second set but not the first: 1 : Conditional AND failed for basis 001</t>
        </is>
      </c>
      <c r="AE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40" s="55" t="inlineStr">
        <is>
          <t>AssertionError</t>
        </is>
      </c>
      <c r="AG40" s="55" t="inlineStr">
        <is>
          <t>AssertionError: Items in the first set but not the second: 0 Items in the second set but not the first: 1 : Conditional AND failed for basis 001</t>
        </is>
      </c>
      <c r="AH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40" s="55" t="inlineStr">
        <is>
          <t>AssertionError</t>
        </is>
      </c>
      <c r="AJ40" s="55" t="inlineStr">
        <is>
          <t>AssertionError: Items in the first set but not the second: 0 Items in the second set but not the first: 1 : Conditional AND failed for basis 001</t>
        </is>
      </c>
      <c r="AK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40" s="55" t="inlineStr">
        <is>
          <t>AssertionError</t>
        </is>
      </c>
      <c r="AM40" s="55" t="inlineStr">
        <is>
          <t>AssertionError: Items in the first set but not the second: 0 Items in the second set but not the first: 1 : Conditional AND failed for basis 001</t>
        </is>
      </c>
      <c r="AN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40" s="55" t="n"/>
      <c r="AP40" s="55" t="n"/>
      <c r="AQ40" s="55" t="n"/>
      <c r="AR40" s="55" t="n"/>
      <c r="AS40" s="55" t="n"/>
      <c r="AT40" s="55" t="n"/>
      <c r="AU40" s="55" t="n"/>
      <c r="AV40" s="55" t="n"/>
      <c r="AW40" s="55" t="n"/>
      <c r="AX40" s="55" t="n"/>
      <c r="AY40" s="55" t="n"/>
      <c r="AZ40" s="55" t="n"/>
      <c r="BA40" s="55" t="n"/>
      <c r="BB40" s="55" t="n"/>
      <c r="BC40" s="55" t="n"/>
      <c r="BD40" s="55" t="n"/>
      <c r="BE40" s="55" t="n"/>
      <c r="BF40" s="55" t="n"/>
      <c r="BG40" s="55" t="n"/>
      <c r="BH40" s="55" t="n"/>
      <c r="BI40" s="55" t="n"/>
      <c r="BJ40" s="55" t="n"/>
      <c r="BK40" s="55" t="n"/>
      <c r="BL40" s="55" t="n"/>
      <c r="BM40" s="55" t="n"/>
      <c r="BN40" s="55" t="n"/>
      <c r="BO40" s="55" t="n"/>
      <c r="BP40" s="55" t="n"/>
      <c r="BQ40" s="55" t="n"/>
      <c r="BR40" s="55" t="n"/>
      <c r="BS40" s="55" t="n"/>
      <c r="BT40" s="55" t="n"/>
      <c r="BU40" s="55" t="n"/>
      <c r="BV40" s="55" t="n"/>
      <c r="BW40" s="55" t="n"/>
      <c r="BX40" s="55" t="n"/>
      <c r="BY40" s="55" t="n"/>
      <c r="BZ40" s="55" t="n"/>
      <c r="CA40" s="55" t="n"/>
      <c r="CB40" s="55" t="n"/>
      <c r="CC40" s="55" t="n"/>
      <c r="CD40" s="55" t="n"/>
      <c r="CE40" s="55" t="n"/>
      <c r="CF40" s="55" t="n"/>
      <c r="CG40" s="55" t="n"/>
      <c r="CH40" s="55" t="n"/>
      <c r="CI40" s="55" t="n"/>
      <c r="CJ40" s="55" t="n"/>
      <c r="CK40" s="55" t="n"/>
      <c r="CL40" s="55" t="n"/>
      <c r="CM40" s="55" t="n"/>
      <c r="CN40" s="55" t="n"/>
      <c r="CO40" s="55" t="n"/>
      <c r="CP40" s="55" t="n"/>
      <c r="CQ40" s="55" t="n"/>
      <c r="CR40" s="55" t="n"/>
      <c r="CS40" s="55" t="n"/>
      <c r="CT40" s="55" t="n"/>
      <c r="CU40" s="55" t="n"/>
      <c r="CV40" s="55" t="n"/>
      <c r="CW40" s="55" t="n"/>
      <c r="CX40" s="55" t="n"/>
      <c r="CY40" s="55" t="n"/>
      <c r="CZ40" s="55" t="n"/>
      <c r="DA40" s="55" t="n"/>
      <c r="DB40" s="55" t="n"/>
      <c r="DC40" s="55" t="n"/>
      <c r="DD40" s="55" t="n"/>
      <c r="DE40" s="55" t="n"/>
    </row>
    <row r="41">
      <c r="A41" s="55" t="inlineStr">
        <is>
          <t>issue_662</t>
        </is>
      </c>
      <c r="B41" s="56" t="inlineStr">
        <is>
          <t>NOT_TESTED</t>
        </is>
      </c>
      <c r="C41" s="56" t="inlineStr">
        <is>
          <t>NOT_TESTED</t>
        </is>
      </c>
      <c r="D41" s="56" t="inlineStr">
        <is>
          <t>NOT_TESTED</t>
        </is>
      </c>
      <c r="E41" s="56" t="inlineStr">
        <is>
          <t>NOT_TESTED</t>
        </is>
      </c>
      <c r="F41" s="57" t="inlineStr">
        <is>
          <t>ERROR</t>
        </is>
      </c>
      <c r="G41" s="57" t="inlineStr">
        <is>
          <t>ERROR</t>
        </is>
      </c>
      <c r="H41" s="57" t="inlineStr">
        <is>
          <t>ERROR</t>
        </is>
      </c>
      <c r="I41" s="57" t="inlineStr">
        <is>
          <t>ERROR</t>
        </is>
      </c>
      <c r="J41" s="57" t="inlineStr">
        <is>
          <t>ERROR</t>
        </is>
      </c>
      <c r="K41" s="57" t="inlineStr">
        <is>
          <t>ERROR</t>
        </is>
      </c>
      <c r="L41" s="57" t="inlineStr">
        <is>
          <t>ERROR</t>
        </is>
      </c>
      <c r="M41" s="57" t="inlineStr">
        <is>
          <t>ERROR</t>
        </is>
      </c>
      <c r="N41" s="57" t="inlineStr">
        <is>
          <t>ERROR</t>
        </is>
      </c>
      <c r="O41" s="57" t="inlineStr">
        <is>
          <t>ERROR</t>
        </is>
      </c>
      <c r="P41" s="57" t="inlineStr">
        <is>
          <t>ERROR</t>
        </is>
      </c>
      <c r="Q41" s="57" t="inlineStr">
        <is>
          <t>ERROR</t>
        </is>
      </c>
      <c r="R41" s="57" t="inlineStr">
        <is>
          <t>ERROR</t>
        </is>
      </c>
      <c r="S41" s="57" t="inlineStr">
        <is>
          <t>ERROR</t>
        </is>
      </c>
      <c r="T41" s="57" t="inlineStr">
        <is>
          <t>ERROR</t>
        </is>
      </c>
      <c r="U41" s="57" t="inlineStr">
        <is>
          <t>ERROR</t>
        </is>
      </c>
      <c r="V41" s="57" t="inlineStr">
        <is>
          <t>ERROR</t>
        </is>
      </c>
      <c r="W41" s="57" t="inlineStr">
        <is>
          <t>ERROR</t>
        </is>
      </c>
      <c r="X41" s="57" t="inlineStr">
        <is>
          <t>ERROR</t>
        </is>
      </c>
      <c r="Y41" s="57" t="inlineStr">
        <is>
          <t>ERROR</t>
        </is>
      </c>
      <c r="Z41" s="57" t="inlineStr">
        <is>
          <t>ERROR</t>
        </is>
      </c>
      <c r="AA41" s="57" t="inlineStr">
        <is>
          <t>ERROR</t>
        </is>
      </c>
      <c r="AB41" s="57" t="inlineStr">
        <is>
          <t>ERROR</t>
        </is>
      </c>
      <c r="AC41" s="55" t="n"/>
      <c r="AD41" s="55" t="n"/>
      <c r="AE41" s="55" t="n"/>
      <c r="AF41" s="55" t="n"/>
      <c r="AG41" s="55" t="n"/>
      <c r="AH41" s="55" t="n"/>
      <c r="AI41" s="55" t="n"/>
      <c r="AJ41" s="55" t="n"/>
      <c r="AK41" s="55" t="n"/>
      <c r="AL41" s="55" t="n"/>
      <c r="AM41" s="55" t="n"/>
      <c r="AN41" s="55" t="n"/>
      <c r="AO41" s="55" t="inlineStr">
        <is>
          <t>AttributeError</t>
        </is>
      </c>
      <c r="AP41" s="55" t="inlineStr">
        <is>
          <t>AttributeError: 'DAGOpNode' object has no attribute 'type'</t>
        </is>
      </c>
      <c r="AQ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1" s="55" t="inlineStr">
        <is>
          <t>AttributeError</t>
        </is>
      </c>
      <c r="AS41" s="55" t="inlineStr">
        <is>
          <t>AttributeError: 'DAGOpNode' object has no attribute 'type'</t>
        </is>
      </c>
      <c r="AT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1" s="55" t="inlineStr">
        <is>
          <t>AttributeError</t>
        </is>
      </c>
      <c r="AV41" s="55" t="inlineStr">
        <is>
          <t>AttributeError: 'DAGOpNode' object has no attribute 'type'</t>
        </is>
      </c>
      <c r="AW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1" s="55" t="inlineStr">
        <is>
          <t>AttributeError</t>
        </is>
      </c>
      <c r="AY41" s="55" t="inlineStr">
        <is>
          <t>AttributeError: 'DAGOpNode' object has no attribute 'type'</t>
        </is>
      </c>
      <c r="AZ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1" s="55" t="inlineStr">
        <is>
          <t>AttributeError</t>
        </is>
      </c>
      <c r="BB41" s="55" t="inlineStr">
        <is>
          <t>AttributeError: 'DAGOpNode' object has no attribute 'type'</t>
        </is>
      </c>
      <c r="BC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1" s="55" t="inlineStr">
        <is>
          <t>AttributeError</t>
        </is>
      </c>
      <c r="BE41" s="55" t="inlineStr">
        <is>
          <t>AttributeError: 'DAGOpNode' object has no attribute 'type'</t>
        </is>
      </c>
      <c r="BF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1" s="55" t="inlineStr">
        <is>
          <t>AttributeError</t>
        </is>
      </c>
      <c r="BH41" s="55" t="inlineStr">
        <is>
          <t>AttributeError: 'DAGOpNode' object has no attribute 'type'</t>
        </is>
      </c>
      <c r="BI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1" s="55" t="inlineStr">
        <is>
          <t>AttributeError</t>
        </is>
      </c>
      <c r="BK41" s="55" t="inlineStr">
        <is>
          <t>AttributeError: 'DAGOpNode' object has no attribute 'type'</t>
        </is>
      </c>
      <c r="BL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1" s="55" t="inlineStr">
        <is>
          <t>AttributeError</t>
        </is>
      </c>
      <c r="BN41" s="55" t="inlineStr">
        <is>
          <t>AttributeError: 'DAGOpNode' object has no attribute 'type'</t>
        </is>
      </c>
      <c r="BO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1" s="55" t="inlineStr">
        <is>
          <t>AttributeError</t>
        </is>
      </c>
      <c r="BQ41" s="55" t="inlineStr">
        <is>
          <t>AttributeError: 'DAGOpNode' object has no attribute 'type'</t>
        </is>
      </c>
      <c r="BR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1" s="55" t="inlineStr">
        <is>
          <t>AttributeError</t>
        </is>
      </c>
      <c r="BT41" s="55" t="inlineStr">
        <is>
          <t>AttributeError: 'DAGOpNode' object has no attribute 'type'</t>
        </is>
      </c>
      <c r="BU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1" s="55" t="inlineStr">
        <is>
          <t>AttributeError</t>
        </is>
      </c>
      <c r="BW41" s="55" t="inlineStr">
        <is>
          <t>AttributeError: 'DAGOpNode' object has no attribute 'type'</t>
        </is>
      </c>
      <c r="BX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1" s="55" t="inlineStr">
        <is>
          <t>AttributeError</t>
        </is>
      </c>
      <c r="BZ41" s="55" t="inlineStr">
        <is>
          <t>AttributeError: 'DAGOpNode' object has no attribute 'type'</t>
        </is>
      </c>
      <c r="CA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1" s="55" t="inlineStr">
        <is>
          <t>AttributeError</t>
        </is>
      </c>
      <c r="CC41" s="55" t="inlineStr">
        <is>
          <t>AttributeError: 'DAGOpNode' object has no attribute 'type'</t>
        </is>
      </c>
      <c r="CD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1" s="55" t="inlineStr">
        <is>
          <t>AttributeError</t>
        </is>
      </c>
      <c r="CF41" s="55" t="inlineStr">
        <is>
          <t>AttributeError: 'qiskit._accelerate.circuit.DAGOpNode' object has no attribute 'type'</t>
        </is>
      </c>
      <c r="CG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1" s="55" t="inlineStr">
        <is>
          <t>AttributeError</t>
        </is>
      </c>
      <c r="CI41" s="55" t="inlineStr">
        <is>
          <t>AttributeError: 'qiskit._accelerate.circuit.DAGOpNode' object has no attribute 'type'</t>
        </is>
      </c>
      <c r="CJ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1" s="55" t="inlineStr">
        <is>
          <t>AttributeError</t>
        </is>
      </c>
      <c r="CL41" s="55" t="inlineStr">
        <is>
          <t>AttributeError: 'qiskit._accelerate.circuit.DAGOpNode' object has no attribute 'type'</t>
        </is>
      </c>
      <c r="CM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1" s="55" t="inlineStr">
        <is>
          <t>AttributeError</t>
        </is>
      </c>
      <c r="CO41" s="55" t="inlineStr">
        <is>
          <t>AttributeError: 'qiskit._accelerate.circuit.DAGOpNode' object has no attribute 'type'</t>
        </is>
      </c>
      <c r="CP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1" s="55" t="inlineStr">
        <is>
          <t>AttributeError</t>
        </is>
      </c>
      <c r="CR41" s="55" t="inlineStr">
        <is>
          <t>AttributeError: 'qiskit._accelerate.circuit.DAGOpNode' object has no attribute 'type'</t>
        </is>
      </c>
      <c r="CS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1" s="55" t="inlineStr">
        <is>
          <t>AttributeError</t>
        </is>
      </c>
      <c r="CU41" s="55" t="inlineStr">
        <is>
          <t>AttributeError: 'qiskit._accelerate.circuit.DAGOpNode' object has no attribute 'type'</t>
        </is>
      </c>
      <c r="CV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1" s="55" t="inlineStr">
        <is>
          <t>AttributeError</t>
        </is>
      </c>
      <c r="CX41" s="55" t="inlineStr">
        <is>
          <t>AttributeError: 'qiskit._accelerate.circuit.DAGOpNode' object has no attribute 'type'</t>
        </is>
      </c>
      <c r="CY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1" s="55" t="inlineStr">
        <is>
          <t>AttributeError</t>
        </is>
      </c>
      <c r="DA41" s="55" t="inlineStr">
        <is>
          <t>AttributeError: 'qiskit._accelerate.circuit.DAGOpNode' object has no attribute 'type'</t>
        </is>
      </c>
      <c r="DB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1" s="55" t="inlineStr">
        <is>
          <t>AttributeError</t>
        </is>
      </c>
      <c r="DD41" s="55" t="inlineStr">
        <is>
          <t>AttributeError: 'qiskit._accelerate.circuit.DAGOpNode' object has no attribute 'type'</t>
        </is>
      </c>
      <c r="DE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2">
      <c r="A42" s="55" t="inlineStr">
        <is>
          <t>issue_663</t>
        </is>
      </c>
      <c r="B42" s="56" t="inlineStr">
        <is>
          <t>NOT_TESTED</t>
        </is>
      </c>
      <c r="C42" s="56" t="inlineStr">
        <is>
          <t>NOT_TESTED</t>
        </is>
      </c>
      <c r="D42" s="56" t="inlineStr">
        <is>
          <t>NOT_TESTED</t>
        </is>
      </c>
      <c r="E42" s="56" t="inlineStr">
        <is>
          <t>NOT_TESTED</t>
        </is>
      </c>
      <c r="F42" s="59" t="inlineStr">
        <is>
          <t>PASS</t>
        </is>
      </c>
      <c r="G42" s="59" t="inlineStr">
        <is>
          <t>PASS</t>
        </is>
      </c>
      <c r="H42" s="59" t="inlineStr">
        <is>
          <t>PASS</t>
        </is>
      </c>
      <c r="I42" s="59" t="inlineStr">
        <is>
          <t>PASS</t>
        </is>
      </c>
      <c r="J42" s="59" t="inlineStr">
        <is>
          <t>PASS</t>
        </is>
      </c>
      <c r="K42" s="59" t="inlineStr">
        <is>
          <t>PASS</t>
        </is>
      </c>
      <c r="L42" s="59" t="inlineStr">
        <is>
          <t>PASS</t>
        </is>
      </c>
      <c r="M42" s="59" t="inlineStr">
        <is>
          <t>PASS</t>
        </is>
      </c>
      <c r="N42" s="56" t="inlineStr">
        <is>
          <t>NOT_TESTED</t>
        </is>
      </c>
      <c r="O42" s="56" t="inlineStr">
        <is>
          <t>NOT_TESTED</t>
        </is>
      </c>
      <c r="P42" s="56" t="inlineStr">
        <is>
          <t>NOT_TESTED</t>
        </is>
      </c>
      <c r="Q42" s="56" t="inlineStr">
        <is>
          <t>NOT_TESTED</t>
        </is>
      </c>
      <c r="R42" s="56" t="inlineStr">
        <is>
          <t>NOT_TESTED</t>
        </is>
      </c>
      <c r="S42" s="56" t="inlineStr">
        <is>
          <t>NOT_TESTED</t>
        </is>
      </c>
      <c r="T42" s="56" t="inlineStr">
        <is>
          <t>NOT_TESTED</t>
        </is>
      </c>
      <c r="U42" s="56" t="inlineStr">
        <is>
          <t>NOT_TESTED</t>
        </is>
      </c>
      <c r="V42" s="56" t="inlineStr">
        <is>
          <t>NOT_TESTED</t>
        </is>
      </c>
      <c r="W42" s="56" t="inlineStr">
        <is>
          <t>NOT_TESTED</t>
        </is>
      </c>
      <c r="X42" s="56" t="inlineStr">
        <is>
          <t>NOT_TESTED</t>
        </is>
      </c>
      <c r="Y42" s="56" t="inlineStr">
        <is>
          <t>NOT_TESTED</t>
        </is>
      </c>
      <c r="Z42" s="56" t="inlineStr">
        <is>
          <t>NOT_TESTED</t>
        </is>
      </c>
      <c r="AA42" s="56" t="inlineStr">
        <is>
          <t>NOT_TESTED</t>
        </is>
      </c>
      <c r="AB42" s="56" t="inlineStr">
        <is>
          <t>NOT_TESTED</t>
        </is>
      </c>
      <c r="AC42" s="55" t="n"/>
      <c r="AD42" s="55" t="n"/>
      <c r="AE42" s="55" t="n"/>
      <c r="AF42" s="55" t="n"/>
      <c r="AG42" s="55" t="n"/>
      <c r="AH42" s="55" t="n"/>
      <c r="AI42" s="55" t="n"/>
      <c r="AJ42" s="55" t="n"/>
      <c r="AK42" s="55" t="n"/>
      <c r="AL42" s="55" t="n"/>
      <c r="AM42" s="55" t="n"/>
      <c r="AN42" s="55" t="n"/>
      <c r="AO42" s="55" t="n"/>
      <c r="AP42" s="55" t="n"/>
      <c r="AQ42" s="55" t="n"/>
      <c r="AR42" s="55" t="n"/>
      <c r="AS42" s="55" t="n"/>
      <c r="AT42" s="55" t="n"/>
      <c r="AU42" s="55" t="n"/>
      <c r="AV42" s="55" t="n"/>
      <c r="AW42" s="55" t="n"/>
      <c r="AX42" s="55" t="n"/>
      <c r="AY42" s="55" t="n"/>
      <c r="AZ42" s="55" t="n"/>
      <c r="BA42" s="55" t="n"/>
      <c r="BB42" s="55" t="n"/>
      <c r="BC42" s="55" t="n"/>
      <c r="BD42" s="55" t="n"/>
      <c r="BE42" s="55" t="n"/>
      <c r="BF42" s="55" t="n"/>
      <c r="BG42" s="55" t="n"/>
      <c r="BH42" s="55" t="n"/>
      <c r="BI42" s="55" t="n"/>
      <c r="BJ42" s="55" t="n"/>
      <c r="BK42" s="55" t="n"/>
      <c r="BL42" s="55" t="n"/>
      <c r="BM42" s="55" t="n"/>
      <c r="BN42" s="55" t="n"/>
      <c r="BO42" s="55" t="n"/>
      <c r="BP42" s="55" t="n"/>
      <c r="BQ42" s="55" t="n"/>
      <c r="BR42" s="55" t="n"/>
      <c r="BS42" s="55" t="n"/>
      <c r="BT42" s="55" t="n"/>
      <c r="BU42" s="55" t="n"/>
      <c r="BV42" s="55" t="n"/>
      <c r="BW42" s="55" t="n"/>
      <c r="BX42" s="55" t="n"/>
      <c r="BY42" s="55" t="n"/>
      <c r="BZ42" s="55" t="n"/>
      <c r="CA42" s="55" t="n"/>
      <c r="CB42" s="55" t="n"/>
      <c r="CC42" s="55" t="n"/>
      <c r="CD42" s="55" t="n"/>
      <c r="CE42" s="55" t="n"/>
      <c r="CF42" s="55" t="n"/>
      <c r="CG42" s="55" t="n"/>
      <c r="CH42" s="55" t="n"/>
      <c r="CI42" s="55" t="n"/>
      <c r="CJ42" s="55" t="n"/>
      <c r="CK42" s="55" t="n"/>
      <c r="CL42" s="55" t="n"/>
      <c r="CM42" s="55" t="n"/>
      <c r="CN42" s="55" t="n"/>
      <c r="CO42" s="55" t="n"/>
      <c r="CP42" s="55" t="n"/>
      <c r="CQ42" s="55" t="n"/>
      <c r="CR42" s="55" t="n"/>
      <c r="CS42" s="55" t="n"/>
      <c r="CT42" s="55" t="n"/>
      <c r="CU42" s="55" t="n"/>
      <c r="CV42" s="55" t="n"/>
      <c r="CW42" s="55" t="n"/>
      <c r="CX42" s="55" t="n"/>
      <c r="CY42" s="55" t="n"/>
      <c r="CZ42" s="55" t="n"/>
      <c r="DA42" s="55" t="n"/>
      <c r="DB42" s="55" t="n"/>
      <c r="DC42" s="55" t="n"/>
      <c r="DD42" s="55" t="n"/>
      <c r="DE42" s="55" t="n"/>
    </row>
    <row r="43">
      <c r="A43" s="55" t="inlineStr">
        <is>
          <t>issue_671</t>
        </is>
      </c>
      <c r="B43" s="58" t="inlineStr">
        <is>
          <t>FAIL</t>
        </is>
      </c>
      <c r="C43" s="58" t="inlineStr">
        <is>
          <t>FAIL</t>
        </is>
      </c>
      <c r="D43" s="58" t="inlineStr">
        <is>
          <t>FAIL</t>
        </is>
      </c>
      <c r="E43" s="58" t="inlineStr">
        <is>
          <t>FAIL</t>
        </is>
      </c>
      <c r="F43" s="58" t="inlineStr">
        <is>
          <t>FAIL</t>
        </is>
      </c>
      <c r="G43" s="58" t="inlineStr">
        <is>
          <t>FAIL</t>
        </is>
      </c>
      <c r="H43" s="58" t="inlineStr">
        <is>
          <t>FAIL</t>
        </is>
      </c>
      <c r="I43" s="58" t="inlineStr">
        <is>
          <t>FAIL</t>
        </is>
      </c>
      <c r="J43" s="58" t="inlineStr">
        <is>
          <t>FAIL</t>
        </is>
      </c>
      <c r="K43" s="58" t="inlineStr">
        <is>
          <t>FAIL</t>
        </is>
      </c>
      <c r="L43" s="58" t="inlineStr">
        <is>
          <t>FAIL</t>
        </is>
      </c>
      <c r="M43" s="58" t="inlineStr">
        <is>
          <t>FAIL</t>
        </is>
      </c>
      <c r="N43" s="58" t="inlineStr">
        <is>
          <t>FAIL</t>
        </is>
      </c>
      <c r="O43" s="58" t="inlineStr">
        <is>
          <t>FAIL</t>
        </is>
      </c>
      <c r="P43" s="58" t="inlineStr">
        <is>
          <t>FAIL</t>
        </is>
      </c>
      <c r="Q43" s="58" t="inlineStr">
        <is>
          <t>FAIL</t>
        </is>
      </c>
      <c r="R43" s="58" t="inlineStr">
        <is>
          <t>FAIL</t>
        </is>
      </c>
      <c r="S43" s="58" t="inlineStr">
        <is>
          <t>FAIL</t>
        </is>
      </c>
      <c r="T43" s="58" t="inlineStr">
        <is>
          <t>FAIL</t>
        </is>
      </c>
      <c r="U43" s="58" t="inlineStr">
        <is>
          <t>FAIL</t>
        </is>
      </c>
      <c r="V43" s="58" t="inlineStr">
        <is>
          <t>FAIL</t>
        </is>
      </c>
      <c r="W43" s="58" t="inlineStr">
        <is>
          <t>FAIL</t>
        </is>
      </c>
      <c r="X43" s="58" t="inlineStr">
        <is>
          <t>FAIL</t>
        </is>
      </c>
      <c r="Y43" s="58" t="inlineStr">
        <is>
          <t>FAIL</t>
        </is>
      </c>
      <c r="Z43" s="58" t="inlineStr">
        <is>
          <t>FAIL</t>
        </is>
      </c>
      <c r="AA43" s="58" t="inlineStr">
        <is>
          <t>FAIL</t>
        </is>
      </c>
      <c r="AB43" s="58" t="inlineStr">
        <is>
          <t>FAIL</t>
        </is>
      </c>
      <c r="AC43" s="55" t="inlineStr">
        <is>
          <t>AssertionError</t>
        </is>
      </c>
      <c r="AD43" s="55" t="inlineStr">
        <is>
          <t>AssertionError: Not equal to tolerance rtol=1e-07, atol=1e-10</t>
        </is>
      </c>
      <c r="A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3" s="55" t="inlineStr">
        <is>
          <t>AssertionError</t>
        </is>
      </c>
      <c r="AG43" s="55" t="inlineStr">
        <is>
          <t>AssertionError: Not equal to tolerance rtol=1e-07, atol=1e-10</t>
        </is>
      </c>
      <c r="AH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3" s="55" t="inlineStr">
        <is>
          <t>AssertionError</t>
        </is>
      </c>
      <c r="AJ43" s="55" t="inlineStr">
        <is>
          <t>AssertionError: Not equal to tolerance rtol=1e-07, atol=1e-10</t>
        </is>
      </c>
      <c r="AK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3" s="55" t="inlineStr">
        <is>
          <t>AssertionError</t>
        </is>
      </c>
      <c r="AM43" s="55" t="inlineStr">
        <is>
          <t>AssertionError: Not equal to tolerance rtol=1e-07, atol=1e-10</t>
        </is>
      </c>
      <c r="AN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3" s="55" t="inlineStr">
        <is>
          <t>AssertionError</t>
        </is>
      </c>
      <c r="AP43" s="55" t="inlineStr">
        <is>
          <t>AssertionError: Not equal to tolerance rtol=1e-07, atol=1e-10</t>
        </is>
      </c>
      <c r="AQ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3" s="55" t="inlineStr">
        <is>
          <t>AssertionError</t>
        </is>
      </c>
      <c r="AS43" s="55" t="inlineStr">
        <is>
          <t>AssertionError: Not equal to tolerance rtol=1e-07, atol=1e-10</t>
        </is>
      </c>
      <c r="AT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3" s="55" t="inlineStr">
        <is>
          <t>AssertionError</t>
        </is>
      </c>
      <c r="AV43" s="55" t="inlineStr">
        <is>
          <t>AssertionError: Not equal to tolerance rtol=1e-07, atol=1e-10</t>
        </is>
      </c>
      <c r="AW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3" s="55" t="inlineStr">
        <is>
          <t>AssertionError</t>
        </is>
      </c>
      <c r="AY43" s="55" t="inlineStr">
        <is>
          <t>AssertionError: Not equal to tolerance rtol=1e-07, atol=1e-10</t>
        </is>
      </c>
      <c r="AZ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3" s="55" t="inlineStr">
        <is>
          <t>AssertionError</t>
        </is>
      </c>
      <c r="BB43" s="55" t="inlineStr">
        <is>
          <t>AssertionError: Not equal to tolerance rtol=1e-07, atol=1e-10</t>
        </is>
      </c>
      <c r="BC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3" s="55" t="inlineStr">
        <is>
          <t>AssertionError</t>
        </is>
      </c>
      <c r="BE43" s="55" t="inlineStr">
        <is>
          <t>AssertionError: Not equal to tolerance rtol=1e-07, atol=1e-10</t>
        </is>
      </c>
      <c r="BF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3" s="55" t="inlineStr">
        <is>
          <t>AssertionError</t>
        </is>
      </c>
      <c r="BH43" s="55" t="inlineStr">
        <is>
          <t>AssertionError: Not equal to tolerance rtol=1e-07, atol=1e-10</t>
        </is>
      </c>
      <c r="BI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3" s="55" t="inlineStr">
        <is>
          <t>AssertionError</t>
        </is>
      </c>
      <c r="BK43" s="55" t="inlineStr">
        <is>
          <t>AssertionError: Not equal to tolerance rtol=1e-07, atol=1e-10</t>
        </is>
      </c>
      <c r="BL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3" s="55" t="inlineStr">
        <is>
          <t>AssertionError</t>
        </is>
      </c>
      <c r="BN43" s="55" t="inlineStr">
        <is>
          <t>AssertionError: Not equal to tolerance rtol=1e-07, atol=1e-10</t>
        </is>
      </c>
      <c r="BO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3" s="55" t="inlineStr">
        <is>
          <t>AssertionError</t>
        </is>
      </c>
      <c r="BQ43" s="55" t="inlineStr">
        <is>
          <t>AssertionError: Not equal to tolerance rtol=1e-07, atol=1e-10</t>
        </is>
      </c>
      <c r="BR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3" s="55" t="inlineStr">
        <is>
          <t>AssertionError</t>
        </is>
      </c>
      <c r="BT43" s="55" t="inlineStr">
        <is>
          <t>AssertionError: Not equal to tolerance rtol=1e-07, atol=1e-10</t>
        </is>
      </c>
      <c r="BU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3" s="55" t="inlineStr">
        <is>
          <t>AssertionError</t>
        </is>
      </c>
      <c r="BW43" s="55" t="inlineStr">
        <is>
          <t>AssertionError: Not equal to tolerance rtol=1e-07, atol=1e-10</t>
        </is>
      </c>
      <c r="BX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3" s="55" t="inlineStr">
        <is>
          <t>AssertionError</t>
        </is>
      </c>
      <c r="BZ43" s="55" t="inlineStr">
        <is>
          <t>AssertionError: Not equal to tolerance rtol=1e-07, atol=1e-10</t>
        </is>
      </c>
      <c r="CA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3" s="55" t="inlineStr">
        <is>
          <t>AssertionError</t>
        </is>
      </c>
      <c r="CC43" s="55" t="inlineStr">
        <is>
          <t>AssertionError: Not equal to tolerance rtol=1e-07, atol=1e-10</t>
        </is>
      </c>
      <c r="CD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3" s="55" t="inlineStr">
        <is>
          <t>AssertionError</t>
        </is>
      </c>
      <c r="CF43" s="55" t="inlineStr">
        <is>
          <t>AssertionError: Not equal to tolerance rtol=1e-07, atol=1e-10</t>
        </is>
      </c>
      <c r="CG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3" s="55" t="inlineStr">
        <is>
          <t>AssertionError</t>
        </is>
      </c>
      <c r="CI43" s="55" t="inlineStr">
        <is>
          <t>AssertionError: Not equal to tolerance rtol=1e-07, atol=1e-10</t>
        </is>
      </c>
      <c r="CJ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3" s="55" t="inlineStr">
        <is>
          <t>AssertionError</t>
        </is>
      </c>
      <c r="CL43" s="55" t="inlineStr">
        <is>
          <t>AssertionError: Not equal to tolerance rtol=1e-07, atol=1e-10</t>
        </is>
      </c>
      <c r="CM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3" s="55" t="inlineStr">
        <is>
          <t>AssertionError</t>
        </is>
      </c>
      <c r="CO43" s="55" t="inlineStr">
        <is>
          <t>AssertionError: Not equal to tolerance rtol=1e-07, atol=1e-10</t>
        </is>
      </c>
      <c r="CP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3" s="55" t="inlineStr">
        <is>
          <t>AssertionError</t>
        </is>
      </c>
      <c r="CR43" s="55" t="inlineStr">
        <is>
          <t>AssertionError: Not equal to tolerance rtol=1e-07, atol=1e-10</t>
        </is>
      </c>
      <c r="CS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3" s="55" t="inlineStr">
        <is>
          <t>AssertionError</t>
        </is>
      </c>
      <c r="CU43" s="55" t="inlineStr">
        <is>
          <t>AssertionError: Not equal to tolerance rtol=1e-07, atol=1e-10</t>
        </is>
      </c>
      <c r="CV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3" s="55" t="inlineStr">
        <is>
          <t>AssertionError</t>
        </is>
      </c>
      <c r="CX43" s="55" t="inlineStr">
        <is>
          <t>AssertionError: Not equal to tolerance rtol=1e-07, atol=1e-10</t>
        </is>
      </c>
      <c r="CY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3" s="55" t="inlineStr">
        <is>
          <t>AssertionError</t>
        </is>
      </c>
      <c r="DA43" s="55" t="inlineStr">
        <is>
          <t>AssertionError: Not equal to tolerance rtol=1e-07, atol=1e-10</t>
        </is>
      </c>
      <c r="DB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3" s="55" t="inlineStr">
        <is>
          <t>AssertionError</t>
        </is>
      </c>
      <c r="DD43" s="55" t="inlineStr">
        <is>
          <t>AssertionError: Not equal to tolerance rtol=1e-07, atol=1e-10</t>
        </is>
      </c>
      <c r="D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4">
      <c r="A44" s="55" t="inlineStr">
        <is>
          <t>issue_727</t>
        </is>
      </c>
      <c r="B44" s="59" t="inlineStr">
        <is>
          <t>PASS</t>
        </is>
      </c>
      <c r="C44" s="59" t="inlineStr">
        <is>
          <t>PASS</t>
        </is>
      </c>
      <c r="D44" s="59" t="inlineStr">
        <is>
          <t>PASS</t>
        </is>
      </c>
      <c r="E44" s="59" t="inlineStr">
        <is>
          <t>PASS</t>
        </is>
      </c>
      <c r="F44" s="59" t="inlineStr">
        <is>
          <t>PASS</t>
        </is>
      </c>
      <c r="G44" s="59" t="inlineStr">
        <is>
          <t>PASS</t>
        </is>
      </c>
      <c r="H44" s="59" t="inlineStr">
        <is>
          <t>PASS</t>
        </is>
      </c>
      <c r="I44" s="59" t="inlineStr">
        <is>
          <t>PASS</t>
        </is>
      </c>
      <c r="J44" s="59" t="inlineStr">
        <is>
          <t>PASS</t>
        </is>
      </c>
      <c r="K44" s="59" t="inlineStr">
        <is>
          <t>PASS</t>
        </is>
      </c>
      <c r="L44" s="59" t="inlineStr">
        <is>
          <t>PASS</t>
        </is>
      </c>
      <c r="M44" s="59" t="inlineStr">
        <is>
          <t>PASS</t>
        </is>
      </c>
      <c r="N44" s="56" t="inlineStr">
        <is>
          <t>NOT_TESTED</t>
        </is>
      </c>
      <c r="O44" s="56" t="inlineStr">
        <is>
          <t>NOT_TESTED</t>
        </is>
      </c>
      <c r="P44" s="56" t="inlineStr">
        <is>
          <t>NOT_TESTED</t>
        </is>
      </c>
      <c r="Q44" s="56" t="inlineStr">
        <is>
          <t>NOT_TESTED</t>
        </is>
      </c>
      <c r="R44" s="56" t="inlineStr">
        <is>
          <t>NOT_TESTED</t>
        </is>
      </c>
      <c r="S44" s="56" t="inlineStr">
        <is>
          <t>NOT_TESTED</t>
        </is>
      </c>
      <c r="T44" s="56" t="inlineStr">
        <is>
          <t>NOT_TESTED</t>
        </is>
      </c>
      <c r="U44" s="56" t="inlineStr">
        <is>
          <t>NOT_TESTED</t>
        </is>
      </c>
      <c r="V44" s="56" t="inlineStr">
        <is>
          <t>NOT_TESTED</t>
        </is>
      </c>
      <c r="W44" s="56" t="inlineStr">
        <is>
          <t>NOT_TESTED</t>
        </is>
      </c>
      <c r="X44" s="56" t="inlineStr">
        <is>
          <t>NOT_TESTED</t>
        </is>
      </c>
      <c r="Y44" s="56" t="inlineStr">
        <is>
          <t>NOT_TESTED</t>
        </is>
      </c>
      <c r="Z44" s="56" t="inlineStr">
        <is>
          <t>NOT_TESTED</t>
        </is>
      </c>
      <c r="AA44" s="56" t="inlineStr">
        <is>
          <t>NOT_TESTED</t>
        </is>
      </c>
      <c r="AB44" s="56" t="inlineStr">
        <is>
          <t>NOT_TESTED</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issue_742</t>
        </is>
      </c>
      <c r="B45" s="56" t="inlineStr">
        <is>
          <t>NOT_TESTED</t>
        </is>
      </c>
      <c r="C45" s="56" t="inlineStr">
        <is>
          <t>NOT_TESTED</t>
        </is>
      </c>
      <c r="D45" s="56" t="inlineStr">
        <is>
          <t>NOT_TESTED</t>
        </is>
      </c>
      <c r="E45" s="56" t="inlineStr">
        <is>
          <t>NOT_TESTED</t>
        </is>
      </c>
      <c r="F45" s="56" t="inlineStr">
        <is>
          <t>NOT_TESTED</t>
        </is>
      </c>
      <c r="G45" s="56" t="inlineStr">
        <is>
          <t>NOT_TESTED</t>
        </is>
      </c>
      <c r="H45" s="56" t="inlineStr">
        <is>
          <t>NOT_TESTED</t>
        </is>
      </c>
      <c r="I45" s="56" t="inlineStr">
        <is>
          <t>NOT_TESTED</t>
        </is>
      </c>
      <c r="J45" s="56" t="inlineStr">
        <is>
          <t>NOT_TESTED</t>
        </is>
      </c>
      <c r="K45" s="56" t="inlineStr">
        <is>
          <t>NOT_TESTED</t>
        </is>
      </c>
      <c r="L45" s="56" t="inlineStr">
        <is>
          <t>NOT_TESTED</t>
        </is>
      </c>
      <c r="M45" s="56" t="inlineStr">
        <is>
          <t>NOT_TESTED</t>
        </is>
      </c>
      <c r="N45" s="56" t="inlineStr">
        <is>
          <t>NOT_TESTED</t>
        </is>
      </c>
      <c r="O45" s="56" t="inlineStr">
        <is>
          <t>NOT_TESTED</t>
        </is>
      </c>
      <c r="P45" s="56" t="inlineStr">
        <is>
          <t>NOT_TESTED</t>
        </is>
      </c>
      <c r="Q45" s="59" t="inlineStr">
        <is>
          <t>PASS</t>
        </is>
      </c>
      <c r="R45" s="59" t="inlineStr">
        <is>
          <t>PASS</t>
        </is>
      </c>
      <c r="S45" s="59" t="inlineStr">
        <is>
          <t>PASS</t>
        </is>
      </c>
      <c r="T45" s="59" t="inlineStr">
        <is>
          <t>PASS</t>
        </is>
      </c>
      <c r="U45" s="59" t="inlineStr">
        <is>
          <t>PASS</t>
        </is>
      </c>
      <c r="V45" s="59" t="inlineStr">
        <is>
          <t>PASS</t>
        </is>
      </c>
      <c r="W45" s="59" t="inlineStr">
        <is>
          <t>PASS</t>
        </is>
      </c>
      <c r="X45" s="59" t="inlineStr">
        <is>
          <t>PASS</t>
        </is>
      </c>
      <c r="Y45" s="59" t="inlineStr">
        <is>
          <t>PASS</t>
        </is>
      </c>
      <c r="Z45" s="59" t="inlineStr">
        <is>
          <t>PASS</t>
        </is>
      </c>
      <c r="AA45" s="59" t="inlineStr">
        <is>
          <t>PASS</t>
        </is>
      </c>
      <c r="AB45" s="59" t="inlineStr">
        <is>
          <t>PASS</t>
        </is>
      </c>
      <c r="AC45" s="55" t="n"/>
      <c r="AD45" s="55" t="n"/>
      <c r="AE45" s="55" t="n"/>
      <c r="AF45" s="55" t="n"/>
      <c r="AG45" s="55" t="n"/>
      <c r="AH45" s="55" t="n"/>
      <c r="AI45" s="55" t="n"/>
      <c r="AJ45" s="55" t="n"/>
      <c r="AK45" s="55" t="n"/>
      <c r="AL45" s="55" t="n"/>
      <c r="AM45" s="55" t="n"/>
      <c r="AN45" s="55" t="n"/>
      <c r="AO45" s="55" t="n"/>
      <c r="AP45" s="55" t="n"/>
      <c r="AQ45" s="55" t="n"/>
      <c r="AR45" s="55" t="n"/>
      <c r="AS45" s="55" t="n"/>
      <c r="AT45" s="55" t="n"/>
      <c r="AU45" s="55" t="n"/>
      <c r="AV45" s="55" t="n"/>
      <c r="AW45" s="55" t="n"/>
      <c r="AX45" s="55" t="n"/>
      <c r="AY45" s="55" t="n"/>
      <c r="AZ45" s="55" t="n"/>
      <c r="BA45" s="55" t="n"/>
      <c r="BB45" s="55" t="n"/>
      <c r="BC45" s="55" t="n"/>
      <c r="BD45" s="55" t="n"/>
      <c r="BE45" s="55" t="n"/>
      <c r="BF45" s="55" t="n"/>
      <c r="BG45" s="55" t="n"/>
      <c r="BH45" s="55" t="n"/>
      <c r="BI45" s="55" t="n"/>
      <c r="BJ45" s="55" t="n"/>
      <c r="BK45" s="55" t="n"/>
      <c r="BL45" s="55" t="n"/>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issue_747</t>
        </is>
      </c>
      <c r="B46" s="56" t="inlineStr">
        <is>
          <t>NOT_TESTED</t>
        </is>
      </c>
      <c r="C46" s="56" t="inlineStr">
        <is>
          <t>NOT_TESTED</t>
        </is>
      </c>
      <c r="D46" s="56" t="inlineStr">
        <is>
          <t>NOT_TESTED</t>
        </is>
      </c>
      <c r="E46" s="56" t="inlineStr">
        <is>
          <t>NOT_TESTED</t>
        </is>
      </c>
      <c r="F46" s="58" t="inlineStr">
        <is>
          <t>FAIL</t>
        </is>
      </c>
      <c r="G46" s="58" t="inlineStr">
        <is>
          <t>FAIL</t>
        </is>
      </c>
      <c r="H46" s="58" t="inlineStr">
        <is>
          <t>FAIL</t>
        </is>
      </c>
      <c r="I46" s="58" t="inlineStr">
        <is>
          <t>FAIL</t>
        </is>
      </c>
      <c r="J46" s="58" t="inlineStr">
        <is>
          <t>FAIL</t>
        </is>
      </c>
      <c r="K46" s="58" t="inlineStr">
        <is>
          <t>FAIL</t>
        </is>
      </c>
      <c r="L46" s="58" t="inlineStr">
        <is>
          <t>FAIL</t>
        </is>
      </c>
      <c r="M46" s="58" t="inlineStr">
        <is>
          <t>FAIL</t>
        </is>
      </c>
      <c r="N46" s="56" t="inlineStr">
        <is>
          <t>NOT_TESTED</t>
        </is>
      </c>
      <c r="O46" s="56" t="inlineStr">
        <is>
          <t>NOT_TESTED</t>
        </is>
      </c>
      <c r="P46" s="56" t="inlineStr">
        <is>
          <t>NOT_TESTED</t>
        </is>
      </c>
      <c r="Q46" s="56" t="inlineStr">
        <is>
          <t>NOT_TESTED</t>
        </is>
      </c>
      <c r="R46" s="56" t="inlineStr">
        <is>
          <t>NOT_TESTED</t>
        </is>
      </c>
      <c r="S46" s="56" t="inlineStr">
        <is>
          <t>NOT_TESTED</t>
        </is>
      </c>
      <c r="T46" s="56" t="inlineStr">
        <is>
          <t>NOT_TESTED</t>
        </is>
      </c>
      <c r="U46" s="56" t="inlineStr">
        <is>
          <t>NOT_TESTED</t>
        </is>
      </c>
      <c r="V46" s="56" t="inlineStr">
        <is>
          <t>NOT_TESTED</t>
        </is>
      </c>
      <c r="W46" s="56" t="inlineStr">
        <is>
          <t>NOT_TESTED</t>
        </is>
      </c>
      <c r="X46" s="56" t="inlineStr">
        <is>
          <t>NOT_TESTED</t>
        </is>
      </c>
      <c r="Y46" s="56" t="inlineStr">
        <is>
          <t>NOT_TESTED</t>
        </is>
      </c>
      <c r="Z46" s="56" t="inlineStr">
        <is>
          <t>NOT_TESTED</t>
        </is>
      </c>
      <c r="AA46" s="56" t="inlineStr">
        <is>
          <t>NOT_TESTED</t>
        </is>
      </c>
      <c r="AB46" s="56" t="inlineStr">
        <is>
          <t>NOT_TESTED</t>
        </is>
      </c>
      <c r="AC46" s="55" t="n"/>
      <c r="AD46" s="55" t="n"/>
      <c r="AE46" s="55" t="n"/>
      <c r="AF46" s="55" t="n"/>
      <c r="AG46" s="55" t="n"/>
      <c r="AH46" s="55" t="n"/>
      <c r="AI46" s="55" t="n"/>
      <c r="AJ46" s="55" t="n"/>
      <c r="AK46" s="55" t="n"/>
      <c r="AL46" s="55" t="n"/>
      <c r="AM46" s="55" t="n"/>
      <c r="AN46" s="55" t="n"/>
      <c r="AO46" s="55" t="inlineStr">
        <is>
          <t>AssertionError</t>
        </is>
      </c>
      <c r="AP46" s="55" t="inlineStr">
        <is>
          <t>AssertionError: Items in the first set but not the second: '000 000' '111 000' Items in the second set but not the first: '000' '111'</t>
        </is>
      </c>
      <c r="AQ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6" s="55" t="inlineStr">
        <is>
          <t>AssertionError</t>
        </is>
      </c>
      <c r="AS46" s="55" t="inlineStr">
        <is>
          <t>AssertionError: Items in the first set but not the second: '000 000' '111 000' Items in the second set but not the first: '000' '111'</t>
        </is>
      </c>
      <c r="AT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6" s="55" t="inlineStr">
        <is>
          <t>AssertionError</t>
        </is>
      </c>
      <c r="AV46" s="55" t="inlineStr">
        <is>
          <t>AssertionError: Items in the first set but not the second: '111 000' '000 000' Items in the second set but not the first: '000' '111'</t>
        </is>
      </c>
      <c r="AW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6" s="55" t="inlineStr">
        <is>
          <t>AssertionError</t>
        </is>
      </c>
      <c r="AY46" s="55" t="inlineStr">
        <is>
          <t>AssertionError: Items in the first set but not the second: '111 000' '000 000' Items in the second set but not the first: '111' '000'</t>
        </is>
      </c>
      <c r="AZ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6" s="55" t="inlineStr">
        <is>
          <t>AssertionError</t>
        </is>
      </c>
      <c r="BB46" s="55" t="inlineStr">
        <is>
          <t>AssertionError: Items in the first set but not the second: '000 000' '111 000' Items in the second set but not the first: '111' '000'</t>
        </is>
      </c>
      <c r="BC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6" s="55" t="inlineStr">
        <is>
          <t>AssertionError</t>
        </is>
      </c>
      <c r="BE46" s="55" t="inlineStr">
        <is>
          <t>AssertionError: Items in the first set but not the second: '000 000' '111 000' Items in the second set but not the first: '000' '111'</t>
        </is>
      </c>
      <c r="BF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6" s="55" t="inlineStr">
        <is>
          <t>AssertionError</t>
        </is>
      </c>
      <c r="BH46" s="55" t="inlineStr">
        <is>
          <t>AssertionError: Items in the first set but not the second: '000 000' '111 000' Items in the second set but not the first: '000' '111'</t>
        </is>
      </c>
      <c r="BI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6" s="55" t="inlineStr">
        <is>
          <t>AssertionError</t>
        </is>
      </c>
      <c r="BK46" s="55" t="inlineStr">
        <is>
          <t>AssertionError: Items in the first set but not the second: '111 000' '000 000' Items in the second set but not the first: '000' '111'</t>
        </is>
      </c>
      <c r="BL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6" s="55" t="n"/>
      <c r="BN46" s="55" t="n"/>
      <c r="BO46" s="55" t="n"/>
      <c r="BP46" s="55" t="n"/>
      <c r="BQ46" s="55" t="n"/>
      <c r="BR46" s="55" t="n"/>
      <c r="BS46" s="55" t="n"/>
      <c r="BT46" s="55" t="n"/>
      <c r="BU46" s="55" t="n"/>
      <c r="BV46" s="55" t="n"/>
      <c r="BW46" s="55" t="n"/>
      <c r="BX46" s="55" t="n"/>
      <c r="BY46" s="55" t="n"/>
      <c r="BZ46" s="55" t="n"/>
      <c r="CA46" s="55" t="n"/>
      <c r="CB46" s="55" t="n"/>
      <c r="CC46" s="55" t="n"/>
      <c r="CD46" s="55" t="n"/>
      <c r="CE46" s="55" t="n"/>
      <c r="CF46" s="55" t="n"/>
      <c r="CG46" s="55" t="n"/>
      <c r="CH46" s="55" t="n"/>
      <c r="CI46" s="55" t="n"/>
      <c r="CJ46" s="55" t="n"/>
      <c r="CK46" s="55" t="n"/>
      <c r="CL46" s="55" t="n"/>
      <c r="CM46" s="55" t="n"/>
      <c r="CN46" s="55" t="n"/>
      <c r="CO46" s="55" t="n"/>
      <c r="CP46" s="55" t="n"/>
      <c r="CQ46" s="55" t="n"/>
      <c r="CR46" s="55" t="n"/>
      <c r="CS46" s="55" t="n"/>
      <c r="CT46" s="55" t="n"/>
      <c r="CU46" s="55" t="n"/>
      <c r="CV46" s="55" t="n"/>
      <c r="CW46" s="55" t="n"/>
      <c r="CX46" s="55" t="n"/>
      <c r="CY46" s="55" t="n"/>
      <c r="CZ46" s="55" t="n"/>
      <c r="DA46" s="55" t="n"/>
      <c r="DB46" s="55" t="n"/>
      <c r="DC46" s="55" t="n"/>
      <c r="DD46" s="55" t="n"/>
      <c r="DE46" s="55" t="n"/>
    </row>
    <row r="47">
      <c r="A47" s="55" t="inlineStr">
        <is>
          <t>issue_750</t>
        </is>
      </c>
      <c r="B47" s="56" t="inlineStr">
        <is>
          <t>NOT_TESTED</t>
        </is>
      </c>
      <c r="C47" s="56" t="inlineStr">
        <is>
          <t>NOT_TESTED</t>
        </is>
      </c>
      <c r="D47" s="56" t="inlineStr">
        <is>
          <t>NOT_TESTED</t>
        </is>
      </c>
      <c r="E47" s="56" t="inlineStr">
        <is>
          <t>NOT_TESTED</t>
        </is>
      </c>
      <c r="F47" s="57" t="inlineStr">
        <is>
          <t>ERROR</t>
        </is>
      </c>
      <c r="G47" s="57" t="inlineStr">
        <is>
          <t>ERROR</t>
        </is>
      </c>
      <c r="H47" s="57" t="inlineStr">
        <is>
          <t>ERROR</t>
        </is>
      </c>
      <c r="I47" s="57" t="inlineStr">
        <is>
          <t>ERROR</t>
        </is>
      </c>
      <c r="J47" s="57" t="inlineStr">
        <is>
          <t>ERROR</t>
        </is>
      </c>
      <c r="K47" s="57" t="inlineStr">
        <is>
          <t>ERROR</t>
        </is>
      </c>
      <c r="L47" s="57" t="inlineStr">
        <is>
          <t>ERROR</t>
        </is>
      </c>
      <c r="M47" s="57" t="inlineStr">
        <is>
          <t>ERROR</t>
        </is>
      </c>
      <c r="N47" s="57" t="inlineStr">
        <is>
          <t>ERROR</t>
        </is>
      </c>
      <c r="O47" s="57" t="inlineStr">
        <is>
          <t>ERROR</t>
        </is>
      </c>
      <c r="P47" s="57" t="inlineStr">
        <is>
          <t>ERROR</t>
        </is>
      </c>
      <c r="Q47" s="57" t="inlineStr">
        <is>
          <t>ERROR</t>
        </is>
      </c>
      <c r="R47" s="57" t="inlineStr">
        <is>
          <t>ERROR</t>
        </is>
      </c>
      <c r="S47" s="57" t="inlineStr">
        <is>
          <t>ERROR</t>
        </is>
      </c>
      <c r="T47" s="57" t="inlineStr">
        <is>
          <t>ERROR</t>
        </is>
      </c>
      <c r="U47" s="57" t="inlineStr">
        <is>
          <t>ERROR</t>
        </is>
      </c>
      <c r="V47" s="57" t="inlineStr">
        <is>
          <t>ERROR</t>
        </is>
      </c>
      <c r="W47" s="57" t="inlineStr">
        <is>
          <t>ERROR</t>
        </is>
      </c>
      <c r="X47" s="57" t="inlineStr">
        <is>
          <t>ERROR</t>
        </is>
      </c>
      <c r="Y47" s="57" t="inlineStr">
        <is>
          <t>ERROR</t>
        </is>
      </c>
      <c r="Z47" s="57" t="inlineStr">
        <is>
          <t>ERROR</t>
        </is>
      </c>
      <c r="AA47" s="57" t="inlineStr">
        <is>
          <t>ERROR</t>
        </is>
      </c>
      <c r="AB47" s="57" t="inlineStr">
        <is>
          <t>ERROR</t>
        </is>
      </c>
      <c r="AC47" s="55" t="n"/>
      <c r="AD47" s="55" t="n"/>
      <c r="AE47" s="55" t="n"/>
      <c r="AF47" s="55" t="n"/>
      <c r="AG47" s="55" t="n"/>
      <c r="AH47" s="55" t="n"/>
      <c r="AI47" s="55" t="n"/>
      <c r="AJ47" s="55" t="n"/>
      <c r="AK47" s="55" t="n"/>
      <c r="AL47" s="55" t="n"/>
      <c r="AM47" s="55" t="n"/>
      <c r="AN47" s="55" t="n"/>
      <c r="AO47" s="55" t="inlineStr">
        <is>
          <t>TypeError</t>
        </is>
      </c>
      <c r="AP47" s="55" t="inlineStr">
        <is>
          <t>TypeError: Pauli.__init__() got an unexpected keyword argument 'label'</t>
        </is>
      </c>
      <c r="AQ47" s="55" t="inlineStr">
        <is>
          <t>The LLM answered NO BUG and kept Pauli(label='XZ'); the math is right, but the label keyword was removed from Pauli in these versions, so the script raises TypeError. The reference builds the operator with Pauli('X')/Pauli('Z') and tensor/expand.</t>
        </is>
      </c>
      <c r="AR47" s="55" t="inlineStr">
        <is>
          <t>TypeError</t>
        </is>
      </c>
      <c r="AS47" s="55" t="inlineStr">
        <is>
          <t>TypeError: Pauli.__init__() got an unexpected keyword argument 'label'</t>
        </is>
      </c>
      <c r="AT47" s="55" t="inlineStr">
        <is>
          <t>The LLM answered NO BUG and kept Pauli(label='XZ'); the math is right, but the label keyword was removed from Pauli in these versions, so the script raises TypeError. The reference builds the operator with Pauli('X')/Pauli('Z') and tensor/expand.</t>
        </is>
      </c>
      <c r="AU47" s="55" t="inlineStr">
        <is>
          <t>TypeError</t>
        </is>
      </c>
      <c r="AV47" s="55" t="inlineStr">
        <is>
          <t>TypeError: Pauli.__init__() got an unexpected keyword argument 'label'</t>
        </is>
      </c>
      <c r="AW47" s="55" t="inlineStr">
        <is>
          <t>The LLM answered NO BUG and kept Pauli(label='XZ'); the math is right, but the label keyword was removed from Pauli in these versions, so the script raises TypeError. The reference builds the operator with Pauli('X')/Pauli('Z') and tensor/expand.</t>
        </is>
      </c>
      <c r="AX47" s="55" t="inlineStr">
        <is>
          <t>TypeError</t>
        </is>
      </c>
      <c r="AY47" s="55" t="inlineStr">
        <is>
          <t>TypeError: Pauli.__init__() got an unexpected keyword argument 'label'</t>
        </is>
      </c>
      <c r="AZ47" s="55" t="inlineStr">
        <is>
          <t>The LLM answered NO BUG and kept Pauli(label='XZ'); the math is right, but the label keyword was removed from Pauli in these versions, so the script raises TypeError. The reference builds the operator with Pauli('X')/Pauli('Z') and tensor/expand.</t>
        </is>
      </c>
      <c r="BA47" s="55" t="inlineStr">
        <is>
          <t>TypeError</t>
        </is>
      </c>
      <c r="BB47" s="55" t="inlineStr">
        <is>
          <t>TypeError: Pauli.__init__() got an unexpected keyword argument 'label'</t>
        </is>
      </c>
      <c r="BC47" s="55" t="inlineStr">
        <is>
          <t>The LLM answered NO BUG and kept Pauli(label='XZ'); the math is right, but the label keyword was removed from Pauli in these versions, so the script raises TypeError. The reference builds the operator with Pauli('X')/Pauli('Z') and tensor/expand.</t>
        </is>
      </c>
      <c r="BD47" s="55" t="inlineStr">
        <is>
          <t>TypeError</t>
        </is>
      </c>
      <c r="BE47" s="55" t="inlineStr">
        <is>
          <t>TypeError: Pauli.__init__() got an unexpected keyword argument 'label'</t>
        </is>
      </c>
      <c r="BF47" s="55" t="inlineStr">
        <is>
          <t>The LLM answered NO BUG and kept Pauli(label='XZ'); the math is right, but the label keyword was removed from Pauli in these versions, so the script raises TypeError. The reference builds the operator with Pauli('X')/Pauli('Z') and tensor/expand.</t>
        </is>
      </c>
      <c r="BG47" s="55" t="inlineStr">
        <is>
          <t>TypeError</t>
        </is>
      </c>
      <c r="BH47" s="55" t="inlineStr">
        <is>
          <t>TypeError: Pauli.__init__() got an unexpected keyword argument 'label'</t>
        </is>
      </c>
      <c r="BI47" s="55" t="inlineStr">
        <is>
          <t>The LLM answered NO BUG and kept Pauli(label='XZ'); the math is right, but the label keyword was removed from Pauli in these versions, so the script raises TypeError. The reference builds the operator with Pauli('X')/Pauli('Z') and tensor/expand.</t>
        </is>
      </c>
      <c r="BJ47" s="55" t="inlineStr">
        <is>
          <t>TypeError</t>
        </is>
      </c>
      <c r="BK47" s="55" t="inlineStr">
        <is>
          <t>TypeError: Pauli.__init__() got an unexpected keyword argument 'label'</t>
        </is>
      </c>
      <c r="BL47" s="55" t="inlineStr">
        <is>
          <t>The LLM answered NO BUG and kept Pauli(label='XZ'); the math is right, but the label keyword was removed from Pauli in these versions, so the script raises TypeError. The reference builds the operator with Pauli('X')/Pauli('Z') and tensor/expand.</t>
        </is>
      </c>
      <c r="BM47" s="55" t="inlineStr">
        <is>
          <t>TypeError</t>
        </is>
      </c>
      <c r="BN47" s="55" t="inlineStr">
        <is>
          <t>TypeError: Pauli.__init__() got an unexpected keyword argument 'label'</t>
        </is>
      </c>
      <c r="BO47" s="55" t="inlineStr">
        <is>
          <t>The LLM answered NO BUG and kept Pauli(label='XZ'); the math is right, but the label keyword was removed from Pauli in these versions, so the script raises TypeError. The reference builds the operator with Pauli('X')/Pauli('Z') and tensor/expand.</t>
        </is>
      </c>
      <c r="BP47" s="55" t="inlineStr">
        <is>
          <t>TypeError</t>
        </is>
      </c>
      <c r="BQ47" s="55" t="inlineStr">
        <is>
          <t>TypeError: Pauli.__init__() got an unexpected keyword argument 'label'</t>
        </is>
      </c>
      <c r="BR47" s="55" t="inlineStr">
        <is>
          <t>The LLM answered NO BUG and kept Pauli(label='XZ'); the math is right, but the label keyword was removed from Pauli in these versions, so the script raises TypeError. The reference builds the operator with Pauli('X')/Pauli('Z') and tensor/expand.</t>
        </is>
      </c>
      <c r="BS47" s="55" t="inlineStr">
        <is>
          <t>TypeError</t>
        </is>
      </c>
      <c r="BT47" s="55" t="inlineStr">
        <is>
          <t>TypeError: Pauli.__init__() got an unexpected keyword argument 'label'</t>
        </is>
      </c>
      <c r="BU47" s="55" t="inlineStr">
        <is>
          <t>The LLM answered NO BUG and kept Pauli(label='XZ'); the math is right, but the label keyword was removed from Pauli in these versions, so the script raises TypeError. The reference builds the operator with Pauli('X')/Pauli('Z') and tensor/expand.</t>
        </is>
      </c>
      <c r="BV47" s="55" t="inlineStr">
        <is>
          <t>TypeError</t>
        </is>
      </c>
      <c r="BW47" s="55" t="inlineStr">
        <is>
          <t>TypeError: Pauli.__init__() got an unexpected keyword argument 'label'</t>
        </is>
      </c>
      <c r="BX47" s="55" t="inlineStr">
        <is>
          <t>The LLM answered NO BUG and kept Pauli(label='XZ'); the math is right, but the label keyword was removed from Pauli in these versions, so the script raises TypeError. The reference builds the operator with Pauli('X')/Pauli('Z') and tensor/expand.</t>
        </is>
      </c>
      <c r="BY47" s="55" t="inlineStr">
        <is>
          <t>TypeError</t>
        </is>
      </c>
      <c r="BZ47" s="55" t="inlineStr">
        <is>
          <t>TypeError: Pauli.__init__() got an unexpected keyword argument 'label'</t>
        </is>
      </c>
      <c r="CA47" s="55" t="inlineStr">
        <is>
          <t>The LLM answered NO BUG and kept Pauli(label='XZ'); the math is right, but the label keyword was removed from Pauli in these versions, so the script raises TypeError. The reference builds the operator with Pauli('X')/Pauli('Z') and tensor/expand.</t>
        </is>
      </c>
      <c r="CB47" s="55" t="inlineStr">
        <is>
          <t>TypeError</t>
        </is>
      </c>
      <c r="CC47" s="55" t="inlineStr">
        <is>
          <t>TypeError: Pauli.__init__() got an unexpected keyword argument 'label'</t>
        </is>
      </c>
      <c r="CD47" s="55" t="inlineStr">
        <is>
          <t>The LLM answered NO BUG and kept Pauli(label='XZ'); the math is right, but the label keyword was removed from Pauli in these versions, so the script raises TypeError. The reference builds the operator with Pauli('X')/Pauli('Z') and tensor/expand.</t>
        </is>
      </c>
      <c r="CE47" s="55" t="inlineStr">
        <is>
          <t>TypeError</t>
        </is>
      </c>
      <c r="CF47" s="55" t="inlineStr">
        <is>
          <t>TypeError: Pauli.__init__() got an unexpected keyword argument 'label'</t>
        </is>
      </c>
      <c r="CG47" s="55" t="inlineStr">
        <is>
          <t>The LLM answered NO BUG and kept Pauli(label='XZ'); the math is right, but the label keyword was removed from Pauli in these versions, so the script raises TypeError. The reference builds the operator with Pauli('X')/Pauli('Z') and tensor/expand.</t>
        </is>
      </c>
      <c r="CH47" s="55" t="inlineStr">
        <is>
          <t>TypeError</t>
        </is>
      </c>
      <c r="CI47" s="55" t="inlineStr">
        <is>
          <t>TypeError: Pauli.__init__() got an unexpected keyword argument 'label'</t>
        </is>
      </c>
      <c r="CJ47" s="55" t="inlineStr">
        <is>
          <t>The LLM answered NO BUG and kept Pauli(label='XZ'); the math is right, but the label keyword was removed from Pauli in these versions, so the script raises TypeError. The reference builds the operator with Pauli('X')/Pauli('Z') and tensor/expand.</t>
        </is>
      </c>
      <c r="CK47" s="55" t="inlineStr">
        <is>
          <t>TypeError</t>
        </is>
      </c>
      <c r="CL47" s="55" t="inlineStr">
        <is>
          <t>TypeError: Pauli.__init__() got an unexpected keyword argument 'label'</t>
        </is>
      </c>
      <c r="CM47" s="55" t="inlineStr">
        <is>
          <t>The LLM answered NO BUG and kept Pauli(label='XZ'); the math is right, but the label keyword was removed from Pauli in these versions, so the script raises TypeError. The reference builds the operator with Pauli('X')/Pauli('Z') and tensor/expand.</t>
        </is>
      </c>
      <c r="CN47" s="55" t="inlineStr">
        <is>
          <t>TypeError</t>
        </is>
      </c>
      <c r="CO47" s="55" t="inlineStr">
        <is>
          <t>TypeError: Pauli.__init__() got an unexpected keyword argument 'label'</t>
        </is>
      </c>
      <c r="CP47" s="55" t="inlineStr">
        <is>
          <t>The LLM answered NO BUG and kept Pauli(label='XZ'); the math is right, but the label keyword was removed from Pauli in these versions, so the script raises TypeError. The reference builds the operator with Pauli('X')/Pauli('Z') and tensor/expand.</t>
        </is>
      </c>
      <c r="CQ47" s="55" t="inlineStr">
        <is>
          <t>TypeError</t>
        </is>
      </c>
      <c r="CR47" s="55" t="inlineStr">
        <is>
          <t>TypeError: Pauli.__init__() got an unexpected keyword argument 'label'</t>
        </is>
      </c>
      <c r="CS47" s="55" t="inlineStr">
        <is>
          <t>The LLM answered NO BUG and kept Pauli(label='XZ'); the math is right, but the label keyword was removed from Pauli in these versions, so the script raises TypeError. The reference builds the operator with Pauli('X')/Pauli('Z') and tensor/expand.</t>
        </is>
      </c>
      <c r="CT47" s="55" t="inlineStr">
        <is>
          <t>TypeError</t>
        </is>
      </c>
      <c r="CU47" s="55" t="inlineStr">
        <is>
          <t>TypeError: Pauli.__init__() got an unexpected keyword argument 'label'</t>
        </is>
      </c>
      <c r="CV47" s="55" t="inlineStr">
        <is>
          <t>The LLM answered NO BUG and kept Pauli(label='XZ'); the math is right, but the label keyword was removed from Pauli in these versions, so the script raises TypeError. The reference builds the operator with Pauli('X')/Pauli('Z') and tensor/expand.</t>
        </is>
      </c>
      <c r="CW47" s="55" t="inlineStr">
        <is>
          <t>TypeError</t>
        </is>
      </c>
      <c r="CX47" s="55" t="inlineStr">
        <is>
          <t>TypeError: Pauli.__init__() got an unexpected keyword argument 'label'</t>
        </is>
      </c>
      <c r="CY47" s="55" t="inlineStr">
        <is>
          <t>The LLM answered NO BUG and kept Pauli(label='XZ'); the math is right, but the label keyword was removed from Pauli in these versions, so the script raises TypeError. The reference builds the operator with Pauli('X')/Pauli('Z') and tensor/expand.</t>
        </is>
      </c>
      <c r="CZ47" s="55" t="inlineStr">
        <is>
          <t>TypeError</t>
        </is>
      </c>
      <c r="DA47" s="55" t="inlineStr">
        <is>
          <t>TypeError: Pauli.__init__() got an unexpected keyword argument 'label'</t>
        </is>
      </c>
      <c r="DB47" s="55" t="inlineStr">
        <is>
          <t>The LLM answered NO BUG and kept Pauli(label='XZ'); the math is right, but the label keyword was removed from Pauli in these versions, so the script raises TypeError. The reference builds the operator with Pauli('X')/Pauli('Z') and tensor/expand.</t>
        </is>
      </c>
      <c r="DC47" s="55" t="inlineStr">
        <is>
          <t>TypeError</t>
        </is>
      </c>
      <c r="DD47" s="55" t="inlineStr">
        <is>
          <t>TypeError: Pauli.__init__() got an unexpected keyword argument 'label'</t>
        </is>
      </c>
      <c r="DE47" s="55" t="inlineStr">
        <is>
          <t>The LLM answered NO BUG and kept Pauli(label='XZ'); the math is right, but the label keyword was removed from Pauli in these versions, so the script raises TypeError. The reference builds the operator with Pauli('X')/Pauli('Z') and tensor/expand.</t>
        </is>
      </c>
    </row>
    <row r="48">
      <c r="A48" s="55" t="inlineStr">
        <is>
          <t>issue_769</t>
        </is>
      </c>
      <c r="B48" s="56" t="inlineStr">
        <is>
          <t>NOT_TESTED</t>
        </is>
      </c>
      <c r="C48" s="56" t="inlineStr">
        <is>
          <t>NOT_TESTED</t>
        </is>
      </c>
      <c r="D48" s="56" t="inlineStr">
        <is>
          <t>NOT_TESTED</t>
        </is>
      </c>
      <c r="E48" s="56" t="inlineStr">
        <is>
          <t>NOT_TESTED</t>
        </is>
      </c>
      <c r="F48" s="56" t="inlineStr">
        <is>
          <t>NOT_TESTED</t>
        </is>
      </c>
      <c r="G48" s="56" t="inlineStr">
        <is>
          <t>NOT_TESTED</t>
        </is>
      </c>
      <c r="H48" s="56" t="inlineStr">
        <is>
          <t>NOT_TESTED</t>
        </is>
      </c>
      <c r="I48" s="56" t="inlineStr">
        <is>
          <t>NOT_TESTED</t>
        </is>
      </c>
      <c r="J48" s="56" t="inlineStr">
        <is>
          <t>NOT_TESTED</t>
        </is>
      </c>
      <c r="K48" s="56" t="inlineStr">
        <is>
          <t>NOT_TESTED</t>
        </is>
      </c>
      <c r="L48" s="56" t="inlineStr">
        <is>
          <t>NOT_TESTED</t>
        </is>
      </c>
      <c r="M48" s="56" t="inlineStr">
        <is>
          <t>NOT_TESTED</t>
        </is>
      </c>
      <c r="N48" s="57" t="inlineStr">
        <is>
          <t>ERROR</t>
        </is>
      </c>
      <c r="O48" s="57" t="inlineStr">
        <is>
          <t>ERROR</t>
        </is>
      </c>
      <c r="P48" s="57" t="inlineStr">
        <is>
          <t>ERROR</t>
        </is>
      </c>
      <c r="Q48" s="57" t="inlineStr">
        <is>
          <t>ERROR</t>
        </is>
      </c>
      <c r="R48" s="57" t="inlineStr">
        <is>
          <t>ERROR</t>
        </is>
      </c>
      <c r="S48" s="57" t="inlineStr">
        <is>
          <t>ERROR</t>
        </is>
      </c>
      <c r="T48" s="57" t="inlineStr">
        <is>
          <t>ERROR</t>
        </is>
      </c>
      <c r="U48" s="57" t="inlineStr">
        <is>
          <t>ERROR</t>
        </is>
      </c>
      <c r="V48" s="57" t="inlineStr">
        <is>
          <t>ERROR</t>
        </is>
      </c>
      <c r="W48" s="57" t="inlineStr">
        <is>
          <t>ERROR</t>
        </is>
      </c>
      <c r="X48" s="57" t="inlineStr">
        <is>
          <t>ERROR</t>
        </is>
      </c>
      <c r="Y48" s="57" t="inlineStr">
        <is>
          <t>ERROR</t>
        </is>
      </c>
      <c r="Z48" s="57" t="inlineStr">
        <is>
          <t>ERROR</t>
        </is>
      </c>
      <c r="AA48" s="57" t="inlineStr">
        <is>
          <t>ERROR</t>
        </is>
      </c>
      <c r="AB48" s="57" t="inlineStr">
        <is>
          <t>ERROR</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inlineStr">
        <is>
          <t>KeyError</t>
        </is>
      </c>
      <c r="BN48" s="55" t="inlineStr">
        <is>
          <t>KeyError: 'get_qiskit_gate'</t>
        </is>
      </c>
      <c r="BO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8" s="55" t="inlineStr">
        <is>
          <t>KeyError</t>
        </is>
      </c>
      <c r="BQ48" s="55" t="inlineStr">
        <is>
          <t>KeyError: 'get_qiskit_gate'</t>
        </is>
      </c>
      <c r="BR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8" s="55" t="inlineStr">
        <is>
          <t>KeyError</t>
        </is>
      </c>
      <c r="BT48" s="55" t="inlineStr">
        <is>
          <t>KeyError: 'get_qiskit_gate'</t>
        </is>
      </c>
      <c r="BU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8" s="55" t="inlineStr">
        <is>
          <t>KeyError</t>
        </is>
      </c>
      <c r="BW48" s="55" t="inlineStr">
        <is>
          <t>KeyError: 'get_qiskit_gate'</t>
        </is>
      </c>
      <c r="BX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8" s="55" t="inlineStr">
        <is>
          <t>KeyError</t>
        </is>
      </c>
      <c r="BZ48" s="55" t="inlineStr">
        <is>
          <t>KeyError: 'get_qiskit_gate'</t>
        </is>
      </c>
      <c r="CA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8" s="55" t="inlineStr">
        <is>
          <t>KeyError</t>
        </is>
      </c>
      <c r="CC48" s="55" t="inlineStr">
        <is>
          <t>KeyError: 'get_qiskit_gate'</t>
        </is>
      </c>
      <c r="CD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8" s="55" t="inlineStr">
        <is>
          <t>KeyError</t>
        </is>
      </c>
      <c r="CF48" s="55" t="inlineStr">
        <is>
          <t>KeyError: 'get_qiskit_gate'</t>
        </is>
      </c>
      <c r="CG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8" s="55" t="inlineStr">
        <is>
          <t>KeyError</t>
        </is>
      </c>
      <c r="CI48" s="55" t="inlineStr">
        <is>
          <t>KeyError: 'get_qiskit_gate'</t>
        </is>
      </c>
      <c r="CJ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8" s="55" t="inlineStr">
        <is>
          <t>KeyError</t>
        </is>
      </c>
      <c r="CL48" s="55" t="inlineStr">
        <is>
          <t>KeyError: 'get_qiskit_gate'</t>
        </is>
      </c>
      <c r="CM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8" s="55" t="inlineStr">
        <is>
          <t>KeyError</t>
        </is>
      </c>
      <c r="CO48" s="55" t="inlineStr">
        <is>
          <t>KeyError: 'get_qiskit_gate'</t>
        </is>
      </c>
      <c r="CP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8" s="55" t="inlineStr">
        <is>
          <t>KeyError</t>
        </is>
      </c>
      <c r="CR48" s="55" t="inlineStr">
        <is>
          <t>KeyError: 'get_qiskit_gate'</t>
        </is>
      </c>
      <c r="CS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8" s="55" t="inlineStr">
        <is>
          <t>KeyError</t>
        </is>
      </c>
      <c r="CU48" s="55" t="inlineStr">
        <is>
          <t>KeyError: 'get_qiskit_gate'</t>
        </is>
      </c>
      <c r="CV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8" s="55" t="inlineStr">
        <is>
          <t>KeyError</t>
        </is>
      </c>
      <c r="CX48" s="55" t="inlineStr">
        <is>
          <t>KeyError: 'get_qiskit_gate'</t>
        </is>
      </c>
      <c r="CY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8" s="55" t="inlineStr">
        <is>
          <t>KeyError</t>
        </is>
      </c>
      <c r="DA48" s="55" t="inlineStr">
        <is>
          <t>KeyError: 'get_qiskit_gate'</t>
        </is>
      </c>
      <c r="DB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8" s="55" t="inlineStr">
        <is>
          <t>KeyError</t>
        </is>
      </c>
      <c r="DD48" s="55" t="inlineStr">
        <is>
          <t>KeyError: 'get_qiskit_gate'</t>
        </is>
      </c>
      <c r="DE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9">
      <c r="A49" s="55" t="inlineStr">
        <is>
          <t>issue_773</t>
        </is>
      </c>
      <c r="B49" s="56" t="inlineStr">
        <is>
          <t>NOT_TESTED</t>
        </is>
      </c>
      <c r="C49" s="56" t="inlineStr">
        <is>
          <t>NOT_TESTED</t>
        </is>
      </c>
      <c r="D49" s="56" t="inlineStr">
        <is>
          <t>NOT_TESTED</t>
        </is>
      </c>
      <c r="E49" s="56" t="inlineStr">
        <is>
          <t>NOT_TESTED</t>
        </is>
      </c>
      <c r="F49" s="59" t="inlineStr">
        <is>
          <t>PASS</t>
        </is>
      </c>
      <c r="G49" s="59" t="inlineStr">
        <is>
          <t>PASS</t>
        </is>
      </c>
      <c r="H49" s="59" t="inlineStr">
        <is>
          <t>PASS</t>
        </is>
      </c>
      <c r="I49" s="59" t="inlineStr">
        <is>
          <t>PASS</t>
        </is>
      </c>
      <c r="J49" s="59" t="inlineStr">
        <is>
          <t>PASS</t>
        </is>
      </c>
      <c r="K49" s="59" t="inlineStr">
        <is>
          <t>PASS</t>
        </is>
      </c>
      <c r="L49" s="59" t="inlineStr">
        <is>
          <t>PASS</t>
        </is>
      </c>
      <c r="M49" s="59" t="inlineStr">
        <is>
          <t>PASS</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n"/>
      <c r="AD49" s="55" t="n"/>
      <c r="AE49" s="55" t="n"/>
      <c r="AF49" s="55" t="n"/>
      <c r="AG49" s="55" t="n"/>
      <c r="AH49" s="55" t="n"/>
      <c r="AI49" s="55" t="n"/>
      <c r="AJ49" s="55" t="n"/>
      <c r="AK49" s="55" t="n"/>
      <c r="AL49" s="55" t="n"/>
      <c r="AM49" s="55" t="n"/>
      <c r="AN49" s="55" t="n"/>
      <c r="AO49" s="55" t="n"/>
      <c r="AP49" s="55" t="n"/>
      <c r="AQ49" s="55" t="n"/>
      <c r="AR49" s="55" t="n"/>
      <c r="AS49" s="55" t="n"/>
      <c r="AT49" s="55" t="n"/>
      <c r="AU49" s="55" t="n"/>
      <c r="AV49" s="55" t="n"/>
      <c r="AW49" s="55" t="n"/>
      <c r="AX49" s="55" t="n"/>
      <c r="AY49" s="55" t="n"/>
      <c r="AZ49" s="55" t="n"/>
      <c r="BA49" s="55" t="n"/>
      <c r="BB49" s="55" t="n"/>
      <c r="BC49" s="55" t="n"/>
      <c r="BD49" s="55" t="n"/>
      <c r="BE49" s="55" t="n"/>
      <c r="BF49" s="55" t="n"/>
      <c r="BG49" s="55" t="n"/>
      <c r="BH49" s="55" t="n"/>
      <c r="BI49" s="55" t="n"/>
      <c r="BJ49" s="55" t="n"/>
      <c r="BK49" s="55" t="n"/>
      <c r="BL49" s="55" t="n"/>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issue_775</t>
        </is>
      </c>
      <c r="B50" s="57" t="inlineStr">
        <is>
          <t>ERROR</t>
        </is>
      </c>
      <c r="C50" s="57" t="inlineStr">
        <is>
          <t>ERROR</t>
        </is>
      </c>
      <c r="D50" s="57" t="inlineStr">
        <is>
          <t>ERROR</t>
        </is>
      </c>
      <c r="E50" s="57" t="inlineStr">
        <is>
          <t>ERROR</t>
        </is>
      </c>
      <c r="F50" s="57" t="inlineStr">
        <is>
          <t>ERROR</t>
        </is>
      </c>
      <c r="G50" s="57" t="inlineStr">
        <is>
          <t>ERROR</t>
        </is>
      </c>
      <c r="H50" s="57" t="inlineStr">
        <is>
          <t>ERROR</t>
        </is>
      </c>
      <c r="I50" s="57" t="inlineStr">
        <is>
          <t>ERROR</t>
        </is>
      </c>
      <c r="J50" s="57" t="inlineStr">
        <is>
          <t>ERROR</t>
        </is>
      </c>
      <c r="K50" s="57" t="inlineStr">
        <is>
          <t>ERROR</t>
        </is>
      </c>
      <c r="L50" s="57" t="inlineStr">
        <is>
          <t>ERROR</t>
        </is>
      </c>
      <c r="M50" s="57" t="inlineStr">
        <is>
          <t>ERROR</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inlineStr">
        <is>
          <t>KeyError</t>
        </is>
      </c>
      <c r="AD50" s="55" t="inlineStr">
        <is>
          <t>KeyError: 'qc'</t>
        </is>
      </c>
      <c r="AE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50" s="55" t="inlineStr">
        <is>
          <t>KeyError</t>
        </is>
      </c>
      <c r="AG50" s="55" t="inlineStr">
        <is>
          <t>KeyError: 'qc'</t>
        </is>
      </c>
      <c r="AH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50" s="55" t="inlineStr">
        <is>
          <t>KeyError</t>
        </is>
      </c>
      <c r="AJ50" s="55" t="inlineStr">
        <is>
          <t>KeyError: 'qc'</t>
        </is>
      </c>
      <c r="AK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50" s="55" t="inlineStr">
        <is>
          <t>KeyError</t>
        </is>
      </c>
      <c r="AM50" s="55" t="inlineStr">
        <is>
          <t>KeyError: 'qc'</t>
        </is>
      </c>
      <c r="AN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50" s="55" t="inlineStr">
        <is>
          <t>KeyError</t>
        </is>
      </c>
      <c r="AP50" s="55" t="inlineStr">
        <is>
          <t>KeyError: 'qc'</t>
        </is>
      </c>
      <c r="AQ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50" s="55" t="inlineStr">
        <is>
          <t>KeyError</t>
        </is>
      </c>
      <c r="AS50" s="55" t="inlineStr">
        <is>
          <t>KeyError: 'qc'</t>
        </is>
      </c>
      <c r="AT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50" s="55" t="inlineStr">
        <is>
          <t>KeyError</t>
        </is>
      </c>
      <c r="AV50" s="55" t="inlineStr">
        <is>
          <t>KeyError: 'qc'</t>
        </is>
      </c>
      <c r="AW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50" s="55" t="inlineStr">
        <is>
          <t>KeyError</t>
        </is>
      </c>
      <c r="AY50" s="55" t="inlineStr">
        <is>
          <t>KeyError: 'qc'</t>
        </is>
      </c>
      <c r="AZ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50" s="55" t="inlineStr">
        <is>
          <t>KeyError</t>
        </is>
      </c>
      <c r="BB50" s="55" t="inlineStr">
        <is>
          <t>KeyError: 'qc'</t>
        </is>
      </c>
      <c r="BC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50" s="55" t="inlineStr">
        <is>
          <t>KeyError</t>
        </is>
      </c>
      <c r="BE50" s="55" t="inlineStr">
        <is>
          <t>KeyError: 'qc'</t>
        </is>
      </c>
      <c r="BF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50" s="55" t="inlineStr">
        <is>
          <t>KeyError</t>
        </is>
      </c>
      <c r="BH50" s="55" t="inlineStr">
        <is>
          <t>KeyError: 'qc'</t>
        </is>
      </c>
      <c r="BI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50" s="55" t="inlineStr">
        <is>
          <t>KeyError</t>
        </is>
      </c>
      <c r="BK50" s="55" t="inlineStr">
        <is>
          <t>KeyError: 'qc'</t>
        </is>
      </c>
      <c r="BL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issue_795</t>
        </is>
      </c>
      <c r="B51" s="59" t="inlineStr">
        <is>
          <t>PASS</t>
        </is>
      </c>
      <c r="C51" s="59" t="inlineStr">
        <is>
          <t>PASS</t>
        </is>
      </c>
      <c r="D51" s="59" t="inlineStr">
        <is>
          <t>PASS</t>
        </is>
      </c>
      <c r="E51" s="59" t="inlineStr">
        <is>
          <t>PASS</t>
        </is>
      </c>
      <c r="F51" s="59" t="inlineStr">
        <is>
          <t>PASS</t>
        </is>
      </c>
      <c r="G51" s="59" t="inlineStr">
        <is>
          <t>PASS</t>
        </is>
      </c>
      <c r="H51" s="59" t="inlineStr">
        <is>
          <t>PASS</t>
        </is>
      </c>
      <c r="I51" s="59" t="inlineStr">
        <is>
          <t>PASS</t>
        </is>
      </c>
      <c r="J51" s="59" t="inlineStr">
        <is>
          <t>PASS</t>
        </is>
      </c>
      <c r="K51" s="59" t="inlineStr">
        <is>
          <t>PASS</t>
        </is>
      </c>
      <c r="L51" s="59" t="inlineStr">
        <is>
          <t>PASS</t>
        </is>
      </c>
      <c r="M51" s="59" t="inlineStr">
        <is>
          <t>PASS</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n"/>
      <c r="AD51" s="55" t="n"/>
      <c r="AE51" s="55" t="n"/>
      <c r="AF51" s="55" t="n"/>
      <c r="AG51" s="55" t="n"/>
      <c r="AH51" s="55" t="n"/>
      <c r="AI51" s="55" t="n"/>
      <c r="AJ51" s="55" t="n"/>
      <c r="AK51" s="55" t="n"/>
      <c r="AL51" s="55" t="n"/>
      <c r="AM51" s="55" t="n"/>
      <c r="AN51" s="55" t="n"/>
      <c r="AO51" s="55" t="n"/>
      <c r="AP51" s="55" t="n"/>
      <c r="AQ51" s="55" t="n"/>
      <c r="AR51" s="55" t="n"/>
      <c r="AS51" s="55" t="n"/>
      <c r="AT51" s="55" t="n"/>
      <c r="AU51" s="55" t="n"/>
      <c r="AV51" s="55" t="n"/>
      <c r="AW51" s="55" t="n"/>
      <c r="AX51" s="55" t="n"/>
      <c r="AY51" s="55" t="n"/>
      <c r="AZ51" s="55" t="n"/>
      <c r="BA51" s="55" t="n"/>
      <c r="BB51" s="55" t="n"/>
      <c r="BC51" s="55" t="n"/>
      <c r="BD51" s="55" t="n"/>
      <c r="BE51" s="55" t="n"/>
      <c r="BF51" s="55" t="n"/>
      <c r="BG51" s="55" t="n"/>
      <c r="BH51" s="55" t="n"/>
      <c r="BI51" s="55" t="n"/>
      <c r="BJ51" s="55" t="n"/>
      <c r="BK51" s="55" t="n"/>
      <c r="BL51" s="55" t="n"/>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row r="52">
      <c r="A52" s="55" t="inlineStr">
        <is>
          <t>issue_803</t>
        </is>
      </c>
      <c r="B52" s="58" t="inlineStr">
        <is>
          <t>FAIL</t>
        </is>
      </c>
      <c r="C52" s="58" t="inlineStr">
        <is>
          <t>FAIL</t>
        </is>
      </c>
      <c r="D52" s="58" t="inlineStr">
        <is>
          <t>FAIL</t>
        </is>
      </c>
      <c r="E52" s="58" t="inlineStr">
        <is>
          <t>FAIL</t>
        </is>
      </c>
      <c r="F52" s="57" t="inlineStr">
        <is>
          <t>ERROR</t>
        </is>
      </c>
      <c r="G52" s="57" t="inlineStr">
        <is>
          <t>ERROR</t>
        </is>
      </c>
      <c r="H52" s="57" t="inlineStr">
        <is>
          <t>ERROR</t>
        </is>
      </c>
      <c r="I52" s="57" t="inlineStr">
        <is>
          <t>ERROR</t>
        </is>
      </c>
      <c r="J52" s="57" t="inlineStr">
        <is>
          <t>ERROR</t>
        </is>
      </c>
      <c r="K52" s="57" t="inlineStr">
        <is>
          <t>ERROR</t>
        </is>
      </c>
      <c r="L52" s="57" t="inlineStr">
        <is>
          <t>ERROR</t>
        </is>
      </c>
      <c r="M52" s="57" t="inlineStr">
        <is>
          <t>ERROR</t>
        </is>
      </c>
      <c r="N52" s="56" t="inlineStr">
        <is>
          <t>NOT_TESTED</t>
        </is>
      </c>
      <c r="O52" s="56" t="inlineStr">
        <is>
          <t>NOT_TESTED</t>
        </is>
      </c>
      <c r="P52" s="56" t="inlineStr">
        <is>
          <t>NOT_TESTED</t>
        </is>
      </c>
      <c r="Q52" s="56" t="inlineStr">
        <is>
          <t>NOT_TESTED</t>
        </is>
      </c>
      <c r="R52" s="56" t="inlineStr">
        <is>
          <t>NOT_TESTED</t>
        </is>
      </c>
      <c r="S52" s="56" t="inlineStr">
        <is>
          <t>NOT_TESTED</t>
        </is>
      </c>
      <c r="T52" s="56" t="inlineStr">
        <is>
          <t>NOT_TESTED</t>
        </is>
      </c>
      <c r="U52" s="56" t="inlineStr">
        <is>
          <t>NOT_TESTED</t>
        </is>
      </c>
      <c r="V52" s="56" t="inlineStr">
        <is>
          <t>NOT_TESTED</t>
        </is>
      </c>
      <c r="W52" s="56" t="inlineStr">
        <is>
          <t>NOT_TESTED</t>
        </is>
      </c>
      <c r="X52" s="56" t="inlineStr">
        <is>
          <t>NOT_TESTED</t>
        </is>
      </c>
      <c r="Y52" s="56" t="inlineStr">
        <is>
          <t>NOT_TESTED</t>
        </is>
      </c>
      <c r="Z52" s="56" t="inlineStr">
        <is>
          <t>NOT_TESTED</t>
        </is>
      </c>
      <c r="AA52" s="56" t="inlineStr">
        <is>
          <t>NOT_TESTED</t>
        </is>
      </c>
      <c r="AB52" s="56" t="inlineStr">
        <is>
          <t>NOT_TESTED</t>
        </is>
      </c>
      <c r="AC52" s="55" t="inlineStr">
        <is>
          <t>AssertionError</t>
        </is>
      </c>
      <c r="AD52" s="55" t="inlineStr">
        <is>
          <t>AssertionError: array([list([52, 48]), list([100]), list([100])], dtype=object) is not an instance of &lt;class 'list'&gt;</t>
        </is>
      </c>
      <c r="AE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F52" s="55" t="inlineStr">
        <is>
          <t>AssertionError</t>
        </is>
      </c>
      <c r="AG52" s="55" t="inlineStr">
        <is>
          <t>AssertionError: array([list([40, 60]), list([100]), list([100])], dtype=object) is not an instance of &lt;class 'list'&gt;</t>
        </is>
      </c>
      <c r="AH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I52" s="55" t="inlineStr">
        <is>
          <t>AssertionError</t>
        </is>
      </c>
      <c r="AJ52" s="55" t="inlineStr">
        <is>
          <t>AssertionError: array([list([47, 53]), list([100]), list([100])], dtype=object) is not an instance of &lt;class 'list'&gt;</t>
        </is>
      </c>
      <c r="AK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L52" s="55" t="inlineStr">
        <is>
          <t>AssertionError</t>
        </is>
      </c>
      <c r="AM52" s="55" t="inlineStr">
        <is>
          <t>AssertionError: array([list([49, 51]), list([100]), list([100])], dtype=object) is not an instance of &lt;class 'list'&gt;</t>
        </is>
      </c>
      <c r="AN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O52" s="55" t="inlineStr">
        <is>
          <t>ValueError</t>
        </is>
      </c>
      <c r="AP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Q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R52" s="55" t="inlineStr">
        <is>
          <t>ValueError</t>
        </is>
      </c>
      <c r="AS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T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U52" s="55" t="inlineStr">
        <is>
          <t>ValueError</t>
        </is>
      </c>
      <c r="AV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W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X52" s="55" t="inlineStr">
        <is>
          <t>ValueError</t>
        </is>
      </c>
      <c r="AY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Z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A52" s="55" t="inlineStr">
        <is>
          <t>ValueError</t>
        </is>
      </c>
      <c r="BB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C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D52" s="55" t="inlineStr">
        <is>
          <t>ValueError</t>
        </is>
      </c>
      <c r="BE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F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G52" s="55" t="inlineStr">
        <is>
          <t>ValueError</t>
        </is>
      </c>
      <c r="BH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I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J52" s="55" t="inlineStr">
        <is>
          <t>ValueError</t>
        </is>
      </c>
      <c r="BK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L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M52" s="55" t="n"/>
      <c r="BN52" s="55" t="n"/>
      <c r="BO52" s="55" t="n"/>
      <c r="BP52" s="55" t="n"/>
      <c r="BQ52" s="55" t="n"/>
      <c r="BR52" s="55" t="n"/>
      <c r="BS52" s="55" t="n"/>
      <c r="BT52" s="55" t="n"/>
      <c r="BU52" s="55" t="n"/>
      <c r="BV52" s="55" t="n"/>
      <c r="BW52" s="55" t="n"/>
      <c r="BX52" s="55" t="n"/>
      <c r="BY52" s="55" t="n"/>
      <c r="BZ52" s="55" t="n"/>
      <c r="CA52" s="55" t="n"/>
      <c r="CB52" s="55" t="n"/>
      <c r="CC52" s="55" t="n"/>
      <c r="CD52" s="55" t="n"/>
      <c r="CE52" s="55" t="n"/>
      <c r="CF52" s="55" t="n"/>
      <c r="CG52" s="55" t="n"/>
      <c r="CH52" s="55" t="n"/>
      <c r="CI52" s="55" t="n"/>
      <c r="CJ52" s="55" t="n"/>
      <c r="CK52" s="55" t="n"/>
      <c r="CL52" s="55" t="n"/>
      <c r="CM52" s="55" t="n"/>
      <c r="CN52" s="55" t="n"/>
      <c r="CO52" s="55" t="n"/>
      <c r="CP52" s="55" t="n"/>
      <c r="CQ52" s="55" t="n"/>
      <c r="CR52" s="55" t="n"/>
      <c r="CS52" s="55" t="n"/>
      <c r="CT52" s="55" t="n"/>
      <c r="CU52" s="55" t="n"/>
      <c r="CV52" s="55" t="n"/>
      <c r="CW52" s="55" t="n"/>
      <c r="CX52" s="55" t="n"/>
      <c r="CY52" s="55" t="n"/>
      <c r="CZ52" s="55" t="n"/>
      <c r="DA52" s="55" t="n"/>
      <c r="DB52" s="55" t="n"/>
      <c r="DC52" s="55" t="n"/>
      <c r="DD52" s="55" t="n"/>
      <c r="DE52" s="55" t="n"/>
    </row>
    <row r="53">
      <c r="A53" s="55" t="inlineStr">
        <is>
          <t>issue_810</t>
        </is>
      </c>
      <c r="B53" s="56" t="inlineStr">
        <is>
          <t>NOT_TESTED</t>
        </is>
      </c>
      <c r="C53" s="56" t="inlineStr">
        <is>
          <t>NOT_TESTED</t>
        </is>
      </c>
      <c r="D53" s="56" t="inlineStr">
        <is>
          <t>NOT_TESTED</t>
        </is>
      </c>
      <c r="E53" s="56" t="inlineStr">
        <is>
          <t>NOT_TESTED</t>
        </is>
      </c>
      <c r="F53" s="56" t="inlineStr">
        <is>
          <t>NOT_TESTED</t>
        </is>
      </c>
      <c r="G53" s="58" t="inlineStr">
        <is>
          <t>FAIL</t>
        </is>
      </c>
      <c r="H53" s="56" t="inlineStr">
        <is>
          <t>NOT_TESTED</t>
        </is>
      </c>
      <c r="I53" s="56" t="inlineStr">
        <is>
          <t>NOT_TESTED</t>
        </is>
      </c>
      <c r="J53" s="56" t="inlineStr">
        <is>
          <t>NOT_TESTED</t>
        </is>
      </c>
      <c r="K53" s="56" t="inlineStr">
        <is>
          <t>NOT_TESTED</t>
        </is>
      </c>
      <c r="L53" s="58" t="inlineStr">
        <is>
          <t>FAIL</t>
        </is>
      </c>
      <c r="M53" s="56" t="inlineStr">
        <is>
          <t>NOT_TESTED</t>
        </is>
      </c>
      <c r="N53" s="56" t="inlineStr">
        <is>
          <t>NOT_TESTED</t>
        </is>
      </c>
      <c r="O53" s="56" t="inlineStr">
        <is>
          <t>NOT_TESTED</t>
        </is>
      </c>
      <c r="P53" s="56" t="inlineStr">
        <is>
          <t>NOT_TESTED</t>
        </is>
      </c>
      <c r="Q53" s="56" t="inlineStr">
        <is>
          <t>NOT_TESTED</t>
        </is>
      </c>
      <c r="R53" s="56" t="inlineStr">
        <is>
          <t>NOT_TESTED</t>
        </is>
      </c>
      <c r="S53" s="56" t="inlineStr">
        <is>
          <t>NOT_TESTED</t>
        </is>
      </c>
      <c r="T53" s="56" t="inlineStr">
        <is>
          <t>NOT_TESTED</t>
        </is>
      </c>
      <c r="U53" s="56" t="inlineStr">
        <is>
          <t>NOT_TESTED</t>
        </is>
      </c>
      <c r="V53" s="56" t="inlineStr">
        <is>
          <t>NOT_TESTED</t>
        </is>
      </c>
      <c r="W53" s="56" t="inlineStr">
        <is>
          <t>NOT_TESTED</t>
        </is>
      </c>
      <c r="X53" s="56" t="inlineStr">
        <is>
          <t>NOT_TESTED</t>
        </is>
      </c>
      <c r="Y53" s="56" t="inlineStr">
        <is>
          <t>NOT_TESTED</t>
        </is>
      </c>
      <c r="Z53" s="56" t="inlineStr">
        <is>
          <t>NOT_TESTED</t>
        </is>
      </c>
      <c r="AA53" s="56" t="inlineStr">
        <is>
          <t>NOT_TESTED</t>
        </is>
      </c>
      <c r="AB53" s="56" t="inlineStr">
        <is>
          <t>NOT_TESTED</t>
        </is>
      </c>
      <c r="AC53" s="55" t="n"/>
      <c r="AD53" s="55" t="n"/>
      <c r="AE53" s="55" t="n"/>
      <c r="AF53" s="55" t="n"/>
      <c r="AG53" s="55" t="n"/>
      <c r="AH53" s="55" t="n"/>
      <c r="AI53" s="55" t="n"/>
      <c r="AJ53" s="55" t="n"/>
      <c r="AK53" s="55" t="n"/>
      <c r="AL53" s="55" t="n"/>
      <c r="AM53" s="55" t="n"/>
      <c r="AN53" s="55" t="n"/>
      <c r="AO53" s="55" t="n"/>
      <c r="AP53" s="55" t="n"/>
      <c r="AQ53" s="55" t="n"/>
      <c r="AR53" s="55" t="inlineStr">
        <is>
          <t>AssertionError</t>
        </is>
      </c>
      <c r="AS53" s="55" t="inlineStr">
        <is>
          <t>AssertionError: None is not an instance of &lt;class 'dict'&gt; : Expose a raw counts dictionary, not the Result object</t>
        </is>
      </c>
      <c r="AT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AU53" s="55" t="n"/>
      <c r="AV53" s="55" t="n"/>
      <c r="AW53" s="55" t="n"/>
      <c r="AX53" s="55" t="n"/>
      <c r="AY53" s="55" t="n"/>
      <c r="AZ53" s="55" t="n"/>
      <c r="BA53" s="55" t="n"/>
      <c r="BB53" s="55" t="n"/>
      <c r="BC53" s="55" t="n"/>
      <c r="BD53" s="55" t="n"/>
      <c r="BE53" s="55" t="n"/>
      <c r="BF53" s="55" t="n"/>
      <c r="BG53" s="55" t="inlineStr">
        <is>
          <t>AssertionError</t>
        </is>
      </c>
      <c r="BH53" s="55" t="inlineStr">
        <is>
          <t>AssertionError: None is not an instance of &lt;class 'dict'&gt; : Expose a raw counts dictionary, not the Result object</t>
        </is>
      </c>
      <c r="BI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BJ53" s="55" t="n"/>
      <c r="BK53" s="55" t="n"/>
      <c r="BL53" s="55" t="n"/>
      <c r="BM53" s="55" t="n"/>
      <c r="BN53" s="55" t="n"/>
      <c r="BO53" s="55" t="n"/>
      <c r="BP53" s="55" t="n"/>
      <c r="BQ53" s="55" t="n"/>
      <c r="BR53" s="55" t="n"/>
      <c r="BS53" s="55" t="n"/>
      <c r="BT53" s="55" t="n"/>
      <c r="BU53" s="55" t="n"/>
      <c r="BV53" s="55" t="n"/>
      <c r="BW53" s="55" t="n"/>
      <c r="BX53" s="55" t="n"/>
      <c r="BY53" s="55" t="n"/>
      <c r="BZ53" s="55" t="n"/>
      <c r="CA53" s="55" t="n"/>
      <c r="CB53" s="55" t="n"/>
      <c r="CC53" s="55" t="n"/>
      <c r="CD53" s="55" t="n"/>
      <c r="CE53" s="55" t="n"/>
      <c r="CF53" s="55" t="n"/>
      <c r="CG53" s="55" t="n"/>
      <c r="CH53" s="55" t="n"/>
      <c r="CI53" s="55" t="n"/>
      <c r="CJ53" s="55" t="n"/>
      <c r="CK53" s="55" t="n"/>
      <c r="CL53" s="55" t="n"/>
      <c r="CM53" s="55" t="n"/>
      <c r="CN53" s="55" t="n"/>
      <c r="CO53" s="55" t="n"/>
      <c r="CP53" s="55" t="n"/>
      <c r="CQ53" s="55" t="n"/>
      <c r="CR53" s="55" t="n"/>
      <c r="CS53" s="55" t="n"/>
      <c r="CT53" s="55" t="n"/>
      <c r="CU53" s="55" t="n"/>
      <c r="CV53" s="55" t="n"/>
      <c r="CW53" s="55" t="n"/>
      <c r="CX53" s="55" t="n"/>
      <c r="CY53" s="55" t="n"/>
      <c r="CZ53" s="55" t="n"/>
      <c r="DA53" s="55" t="n"/>
      <c r="DB53" s="55" t="n"/>
      <c r="DC53" s="55" t="n"/>
      <c r="DD53" s="55" t="n"/>
      <c r="DE53" s="55" t="n"/>
    </row>
    <row r="54">
      <c r="A54" s="55" t="inlineStr">
        <is>
          <t>issue_816</t>
        </is>
      </c>
      <c r="B54" s="56" t="inlineStr">
        <is>
          <t>NOT_TESTED</t>
        </is>
      </c>
      <c r="C54" s="56" t="inlineStr">
        <is>
          <t>NOT_TESTED</t>
        </is>
      </c>
      <c r="D54" s="56" t="inlineStr">
        <is>
          <t>NOT_TESTED</t>
        </is>
      </c>
      <c r="E54" s="56" t="inlineStr">
        <is>
          <t>NOT_TESTED</t>
        </is>
      </c>
      <c r="F54" s="59" t="inlineStr">
        <is>
          <t>PASS</t>
        </is>
      </c>
      <c r="G54" s="59" t="inlineStr">
        <is>
          <t>PASS</t>
        </is>
      </c>
      <c r="H54" s="59" t="inlineStr">
        <is>
          <t>PASS</t>
        </is>
      </c>
      <c r="I54" s="59" t="inlineStr">
        <is>
          <t>PASS</t>
        </is>
      </c>
      <c r="J54" s="59" t="inlineStr">
        <is>
          <t>PASS</t>
        </is>
      </c>
      <c r="K54" s="59" t="inlineStr">
        <is>
          <t>PASS</t>
        </is>
      </c>
      <c r="L54" s="59" t="inlineStr">
        <is>
          <t>PASS</t>
        </is>
      </c>
      <c r="M54" s="59" t="inlineStr">
        <is>
          <t>PASS</t>
        </is>
      </c>
      <c r="N54" s="59" t="inlineStr">
        <is>
          <t>PASS</t>
        </is>
      </c>
      <c r="O54" s="59" t="inlineStr">
        <is>
          <t>PASS</t>
        </is>
      </c>
      <c r="P54" s="59" t="inlineStr">
        <is>
          <t>PASS</t>
        </is>
      </c>
      <c r="Q54" s="59" t="inlineStr">
        <is>
          <t>PASS</t>
        </is>
      </c>
      <c r="R54" s="59" t="inlineStr">
        <is>
          <t>PASS</t>
        </is>
      </c>
      <c r="S54" s="59" t="inlineStr">
        <is>
          <t>PASS</t>
        </is>
      </c>
      <c r="T54" s="59" t="inlineStr">
        <is>
          <t>PASS</t>
        </is>
      </c>
      <c r="U54" s="59" t="inlineStr">
        <is>
          <t>PASS</t>
        </is>
      </c>
      <c r="V54" s="59" t="inlineStr">
        <is>
          <t>PASS</t>
        </is>
      </c>
      <c r="W54" s="59" t="inlineStr">
        <is>
          <t>PASS</t>
        </is>
      </c>
      <c r="X54" s="59" t="inlineStr">
        <is>
          <t>PASS</t>
        </is>
      </c>
      <c r="Y54" s="59" t="inlineStr">
        <is>
          <t>PASS</t>
        </is>
      </c>
      <c r="Z54" s="59" t="inlineStr">
        <is>
          <t>PASS</t>
        </is>
      </c>
      <c r="AA54" s="59" t="inlineStr">
        <is>
          <t>PASS</t>
        </is>
      </c>
      <c r="AB54" s="59" t="inlineStr">
        <is>
          <t>PASS</t>
        </is>
      </c>
      <c r="AC54" s="55" t="n"/>
      <c r="AD54" s="55" t="n"/>
      <c r="AE54" s="55" t="n"/>
      <c r="AF54" s="55" t="n"/>
      <c r="AG54" s="55" t="n"/>
      <c r="AH54" s="55" t="n"/>
      <c r="AI54" s="55" t="n"/>
      <c r="AJ54" s="55" t="n"/>
      <c r="AK54" s="55" t="n"/>
      <c r="AL54" s="55" t="n"/>
      <c r="AM54" s="55" t="n"/>
      <c r="AN54" s="55" t="n"/>
      <c r="AO54" s="55" t="n"/>
      <c r="AP54" s="55" t="n"/>
      <c r="AQ54" s="55" t="n"/>
      <c r="AR54" s="55" t="n"/>
      <c r="AS54" s="55" t="n"/>
      <c r="AT54" s="55" t="n"/>
      <c r="AU54" s="55" t="n"/>
      <c r="AV54" s="55" t="n"/>
      <c r="AW54" s="55" t="n"/>
      <c r="AX54" s="55" t="n"/>
      <c r="AY54" s="55" t="n"/>
      <c r="AZ54" s="55" t="n"/>
      <c r="BA54" s="55" t="n"/>
      <c r="BB54" s="55" t="n"/>
      <c r="BC54" s="55" t="n"/>
      <c r="BD54" s="55" t="n"/>
      <c r="BE54" s="55" t="n"/>
      <c r="BF54" s="55" t="n"/>
      <c r="BG54" s="55" t="n"/>
      <c r="BH54" s="55" t="n"/>
      <c r="BI54" s="55" t="n"/>
      <c r="BJ54" s="55" t="n"/>
      <c r="BK54" s="55" t="n"/>
      <c r="BL54" s="55" t="n"/>
      <c r="BM54" s="55" t="n"/>
      <c r="BN54" s="55" t="n"/>
      <c r="BO54" s="55" t="n"/>
      <c r="BP54" s="55" t="n"/>
      <c r="BQ54" s="55" t="n"/>
      <c r="BR54" s="55" t="n"/>
      <c r="BS54" s="55" t="n"/>
      <c r="BT54" s="55" t="n"/>
      <c r="BU54" s="55" t="n"/>
      <c r="BV54" s="55" t="n"/>
      <c r="BW54" s="55" t="n"/>
      <c r="BX54" s="55" t="n"/>
      <c r="BY54" s="55" t="n"/>
      <c r="BZ54" s="55" t="n"/>
      <c r="CA54" s="55" t="n"/>
      <c r="CB54" s="55" t="n"/>
      <c r="CC54" s="55" t="n"/>
      <c r="CD54" s="55" t="n"/>
      <c r="CE54" s="55" t="n"/>
      <c r="CF54" s="55" t="n"/>
      <c r="CG54" s="55" t="n"/>
      <c r="CH54" s="55" t="n"/>
      <c r="CI54" s="55" t="n"/>
      <c r="CJ54" s="55" t="n"/>
      <c r="CK54" s="55" t="n"/>
      <c r="CL54" s="55" t="n"/>
      <c r="CM54" s="55" t="n"/>
      <c r="CN54" s="55" t="n"/>
      <c r="CO54" s="55" t="n"/>
      <c r="CP54" s="55" t="n"/>
      <c r="CQ54" s="55" t="n"/>
      <c r="CR54" s="55" t="n"/>
      <c r="CS54" s="55" t="n"/>
      <c r="CT54" s="55" t="n"/>
      <c r="CU54" s="55" t="n"/>
      <c r="CV54" s="55" t="n"/>
      <c r="CW54" s="55" t="n"/>
      <c r="CX54" s="55" t="n"/>
      <c r="CY54" s="55" t="n"/>
      <c r="CZ54" s="55" t="n"/>
      <c r="DA54" s="55" t="n"/>
      <c r="DB54" s="55" t="n"/>
      <c r="DC54" s="55" t="n"/>
      <c r="DD54" s="55" t="n"/>
      <c r="DE54" s="55" t="n"/>
    </row>
    <row r="55">
      <c r="A55" s="55" t="inlineStr">
        <is>
          <t>issue_876</t>
        </is>
      </c>
      <c r="B55" s="56" t="inlineStr">
        <is>
          <t>NOT_TESTED</t>
        </is>
      </c>
      <c r="C55" s="56" t="inlineStr">
        <is>
          <t>NOT_TESTED</t>
        </is>
      </c>
      <c r="D55" s="56" t="inlineStr">
        <is>
          <t>NOT_TESTED</t>
        </is>
      </c>
      <c r="E55" s="56" t="inlineStr">
        <is>
          <t>NOT_TESTED</t>
        </is>
      </c>
      <c r="F55" s="56" t="inlineStr">
        <is>
          <t>NOT_TESTED</t>
        </is>
      </c>
      <c r="G55" s="56" t="inlineStr">
        <is>
          <t>NOT_TESTED</t>
        </is>
      </c>
      <c r="H55" s="56" t="inlineStr">
        <is>
          <t>NOT_TESTED</t>
        </is>
      </c>
      <c r="I55" s="56" t="inlineStr">
        <is>
          <t>NOT_TESTED</t>
        </is>
      </c>
      <c r="J55" s="56" t="inlineStr">
        <is>
          <t>NOT_TESTED</t>
        </is>
      </c>
      <c r="K55" s="56" t="inlineStr">
        <is>
          <t>NOT_TESTED</t>
        </is>
      </c>
      <c r="L55" s="56" t="inlineStr">
        <is>
          <t>NOT_TESTED</t>
        </is>
      </c>
      <c r="M55" s="56" t="inlineStr">
        <is>
          <t>NOT_TESTED</t>
        </is>
      </c>
      <c r="N55" s="57" t="inlineStr">
        <is>
          <t>ERROR</t>
        </is>
      </c>
      <c r="O55" s="57" t="inlineStr">
        <is>
          <t>ERROR</t>
        </is>
      </c>
      <c r="P55" s="57" t="inlineStr">
        <is>
          <t>ERROR</t>
        </is>
      </c>
      <c r="Q55" s="57" t="inlineStr">
        <is>
          <t>ERROR</t>
        </is>
      </c>
      <c r="R55" s="57" t="inlineStr">
        <is>
          <t>ERROR</t>
        </is>
      </c>
      <c r="S55" s="57" t="inlineStr">
        <is>
          <t>ERROR</t>
        </is>
      </c>
      <c r="T55" s="57" t="inlineStr">
        <is>
          <t>ERROR</t>
        </is>
      </c>
      <c r="U55" s="57" t="inlineStr">
        <is>
          <t>ERROR</t>
        </is>
      </c>
      <c r="V55" s="57" t="inlineStr">
        <is>
          <t>ERROR</t>
        </is>
      </c>
      <c r="W55" s="57" t="inlineStr">
        <is>
          <t>ERROR</t>
        </is>
      </c>
      <c r="X55" s="57" t="inlineStr">
        <is>
          <t>ERROR</t>
        </is>
      </c>
      <c r="Y55" s="57" t="inlineStr">
        <is>
          <t>ERROR</t>
        </is>
      </c>
      <c r="Z55" s="57" t="inlineStr">
        <is>
          <t>ERROR</t>
        </is>
      </c>
      <c r="AA55" s="57" t="inlineStr">
        <is>
          <t>ERROR</t>
        </is>
      </c>
      <c r="AB55" s="57" t="inlineStr">
        <is>
          <t>ERROR</t>
        </is>
      </c>
      <c r="AC55" s="55" t="n"/>
      <c r="AD55" s="55" t="n"/>
      <c r="AE55" s="55" t="n"/>
      <c r="AF55" s="55" t="n"/>
      <c r="AG55" s="55" t="n"/>
      <c r="AH55" s="55" t="n"/>
      <c r="AI55" s="55" t="n"/>
      <c r="AJ55" s="55" t="n"/>
      <c r="AK55" s="55" t="n"/>
      <c r="AL55" s="55" t="n"/>
      <c r="AM55" s="55" t="n"/>
      <c r="AN55" s="55" t="n"/>
      <c r="AO55" s="55" t="n"/>
      <c r="AP55" s="55" t="n"/>
      <c r="AQ55" s="55" t="n"/>
      <c r="AR55" s="55" t="n"/>
      <c r="AS55" s="55" t="n"/>
      <c r="AT55" s="55" t="n"/>
      <c r="AU55" s="55" t="n"/>
      <c r="AV55" s="55" t="n"/>
      <c r="AW55" s="55" t="n"/>
      <c r="AX55" s="55" t="n"/>
      <c r="AY55" s="55" t="n"/>
      <c r="AZ55" s="55" t="n"/>
      <c r="BA55" s="55" t="n"/>
      <c r="BB55" s="55" t="n"/>
      <c r="BC55" s="55" t="n"/>
      <c r="BD55" s="55" t="n"/>
      <c r="BE55" s="55" t="n"/>
      <c r="BF55" s="55" t="n"/>
      <c r="BG55" s="55" t="n"/>
      <c r="BH55" s="55" t="n"/>
      <c r="BI55" s="55" t="n"/>
      <c r="BJ55" s="55" t="n"/>
      <c r="BK55" s="55" t="n"/>
      <c r="BL55" s="55" t="n"/>
      <c r="BM55" s="55" t="inlineStr">
        <is>
          <t>ModuleNotFoundError</t>
        </is>
      </c>
      <c r="BN55" s="55" t="inlineStr">
        <is>
          <t>ModuleNotFoundError: No module named 'qiskit.ibm_runtime'</t>
        </is>
      </c>
      <c r="BO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P55" s="55" t="inlineStr">
        <is>
          <t>ModuleNotFoundError</t>
        </is>
      </c>
      <c r="BQ55" s="55" t="inlineStr">
        <is>
          <t>ModuleNotFoundError: No module named 'qiskit.ibm_runtime'</t>
        </is>
      </c>
      <c r="BR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S55" s="55" t="inlineStr">
        <is>
          <t>ModuleNotFoundError</t>
        </is>
      </c>
      <c r="BT55" s="55" t="inlineStr">
        <is>
          <t>ModuleNotFoundError: No module named 'qiskit.ibm_runtime'</t>
        </is>
      </c>
      <c r="BU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V55" s="55" t="inlineStr">
        <is>
          <t>ModuleNotFoundError</t>
        </is>
      </c>
      <c r="BW55" s="55" t="inlineStr">
        <is>
          <t>ModuleNotFoundError: No module named 'qiskit.ibm_runtime'</t>
        </is>
      </c>
      <c r="BX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Y55" s="55" t="inlineStr">
        <is>
          <t>ModuleNotFoundError</t>
        </is>
      </c>
      <c r="BZ55" s="55" t="inlineStr">
        <is>
          <t>ModuleNotFoundError: No module named 'qiskit.ibm_runtime'</t>
        </is>
      </c>
      <c r="CA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B55" s="55" t="inlineStr">
        <is>
          <t>ModuleNotFoundError</t>
        </is>
      </c>
      <c r="CC55" s="55" t="inlineStr">
        <is>
          <t>ModuleNotFoundError: No module named 'qiskit.ibm_runtime'</t>
        </is>
      </c>
      <c r="CD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E55" s="55" t="inlineStr">
        <is>
          <t>ModuleNotFoundError</t>
        </is>
      </c>
      <c r="CF55" s="55" t="inlineStr">
        <is>
          <t>ModuleNotFoundError: No module named 'qiskit.ibm_runtime'</t>
        </is>
      </c>
      <c r="CG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H55" s="55" t="inlineStr">
        <is>
          <t>ModuleNotFoundError</t>
        </is>
      </c>
      <c r="CI55" s="55" t="inlineStr">
        <is>
          <t>ModuleNotFoundError: No module named 'qiskit.ibm_runtime'</t>
        </is>
      </c>
      <c r="CJ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K55" s="55" t="inlineStr">
        <is>
          <t>ModuleNotFoundError</t>
        </is>
      </c>
      <c r="CL55" s="55" t="inlineStr">
        <is>
          <t>ModuleNotFoundError: No module named 'qiskit.ibm_runtime'</t>
        </is>
      </c>
      <c r="CM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N55" s="55" t="inlineStr">
        <is>
          <t>ModuleNotFoundError</t>
        </is>
      </c>
      <c r="CO55" s="55" t="inlineStr">
        <is>
          <t>ModuleNotFoundError: No module named 'qiskit.ibm_runtime'</t>
        </is>
      </c>
      <c r="CP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Q55" s="55" t="inlineStr">
        <is>
          <t>ModuleNotFoundError</t>
        </is>
      </c>
      <c r="CR55" s="55" t="inlineStr">
        <is>
          <t>ModuleNotFoundError: No module named 'qiskit.ibm_runtime'</t>
        </is>
      </c>
      <c r="CS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T55" s="55" t="inlineStr">
        <is>
          <t>ModuleNotFoundError</t>
        </is>
      </c>
      <c r="CU55" s="55" t="inlineStr">
        <is>
          <t>ModuleNotFoundError: No module named 'qiskit.ibm_runtime'</t>
        </is>
      </c>
      <c r="CV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W55" s="55" t="inlineStr">
        <is>
          <t>ModuleNotFoundError</t>
        </is>
      </c>
      <c r="CX55" s="55" t="inlineStr">
        <is>
          <t>ModuleNotFoundError: No module named 'qiskit.ibm_runtime'</t>
        </is>
      </c>
      <c r="CY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Z55" s="55" t="inlineStr">
        <is>
          <t>ModuleNotFoundError</t>
        </is>
      </c>
      <c r="DA55" s="55" t="inlineStr">
        <is>
          <t>ModuleNotFoundError: No module named 'qiskit.ibm_runtime'</t>
        </is>
      </c>
      <c r="DB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DC55" s="55" t="inlineStr">
        <is>
          <t>ModuleNotFoundError</t>
        </is>
      </c>
      <c r="DD55" s="55" t="inlineStr">
        <is>
          <t>ModuleNotFoundError: No module named 'qiskit.ibm_runtime'</t>
        </is>
      </c>
      <c r="DE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row>
    <row r="56">
      <c r="A56" s="55" t="inlineStr">
        <is>
          <t>issue_877</t>
        </is>
      </c>
      <c r="B56" s="56" t="inlineStr">
        <is>
          <t>NOT_TESTED</t>
        </is>
      </c>
      <c r="C56" s="56" t="inlineStr">
        <is>
          <t>NOT_TESTED</t>
        </is>
      </c>
      <c r="D56" s="56" t="inlineStr">
        <is>
          <t>NOT_TESTED</t>
        </is>
      </c>
      <c r="E56" s="56" t="inlineStr">
        <is>
          <t>NOT_TESTED</t>
        </is>
      </c>
      <c r="F56" s="57" t="inlineStr">
        <is>
          <t>ERROR</t>
        </is>
      </c>
      <c r="G56" s="57" t="inlineStr">
        <is>
          <t>ERROR</t>
        </is>
      </c>
      <c r="H56" s="57" t="inlineStr">
        <is>
          <t>ERROR</t>
        </is>
      </c>
      <c r="I56" s="57" t="inlineStr">
        <is>
          <t>ERROR</t>
        </is>
      </c>
      <c r="J56" s="57" t="inlineStr">
        <is>
          <t>ERROR</t>
        </is>
      </c>
      <c r="K56" s="57" t="inlineStr">
        <is>
          <t>ERROR</t>
        </is>
      </c>
      <c r="L56" s="57" t="inlineStr">
        <is>
          <t>ERROR</t>
        </is>
      </c>
      <c r="M56" s="57" t="inlineStr">
        <is>
          <t>ERROR</t>
        </is>
      </c>
      <c r="N56" s="56" t="inlineStr">
        <is>
          <t>NOT_TESTED</t>
        </is>
      </c>
      <c r="O56" s="56" t="inlineStr">
        <is>
          <t>NOT_TESTED</t>
        </is>
      </c>
      <c r="P56" s="56" t="inlineStr">
        <is>
          <t>NOT_TESTED</t>
        </is>
      </c>
      <c r="Q56" s="56" t="inlineStr">
        <is>
          <t>NOT_TESTED</t>
        </is>
      </c>
      <c r="R56" s="56" t="inlineStr">
        <is>
          <t>NOT_TESTED</t>
        </is>
      </c>
      <c r="S56" s="56" t="inlineStr">
        <is>
          <t>NOT_TESTED</t>
        </is>
      </c>
      <c r="T56" s="56" t="inlineStr">
        <is>
          <t>NOT_TESTED</t>
        </is>
      </c>
      <c r="U56" s="56" t="inlineStr">
        <is>
          <t>NOT_TESTED</t>
        </is>
      </c>
      <c r="V56" s="56" t="inlineStr">
        <is>
          <t>NOT_TESTED</t>
        </is>
      </c>
      <c r="W56" s="56" t="inlineStr">
        <is>
          <t>NOT_TESTED</t>
        </is>
      </c>
      <c r="X56" s="56" t="inlineStr">
        <is>
          <t>NOT_TESTED</t>
        </is>
      </c>
      <c r="Y56" s="56" t="inlineStr">
        <is>
          <t>NOT_TESTED</t>
        </is>
      </c>
      <c r="Z56" s="56" t="inlineStr">
        <is>
          <t>NOT_TESTED</t>
        </is>
      </c>
      <c r="AA56" s="56" t="inlineStr">
        <is>
          <t>NOT_TESTED</t>
        </is>
      </c>
      <c r="AB56" s="56" t="inlineStr">
        <is>
          <t>NOT_TESTED</t>
        </is>
      </c>
      <c r="AC56" s="55" t="n"/>
      <c r="AD56" s="55" t="n"/>
      <c r="AE56" s="55" t="n"/>
      <c r="AF56" s="55" t="n"/>
      <c r="AG56" s="55" t="n"/>
      <c r="AH56" s="55" t="n"/>
      <c r="AI56" s="55" t="n"/>
      <c r="AJ56" s="55" t="n"/>
      <c r="AK56" s="55" t="n"/>
      <c r="AL56" s="55" t="n"/>
      <c r="AM56" s="55" t="n"/>
      <c r="AN56" s="55" t="n"/>
      <c r="AO56" s="55" t="inlineStr">
        <is>
          <t>KeyError</t>
        </is>
      </c>
      <c r="AP56" s="55" t="inlineStr">
        <is>
          <t>KeyError: 'backend'</t>
        </is>
      </c>
      <c r="AQ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R56" s="55" t="inlineStr">
        <is>
          <t>KeyError</t>
        </is>
      </c>
      <c r="AS56" s="55" t="inlineStr">
        <is>
          <t>KeyError: 'backend'</t>
        </is>
      </c>
      <c r="AT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U56" s="55" t="inlineStr">
        <is>
          <t>KeyError</t>
        </is>
      </c>
      <c r="AV56" s="55" t="inlineStr">
        <is>
          <t>KeyError: 'backend'</t>
        </is>
      </c>
      <c r="AW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X56" s="55" t="inlineStr">
        <is>
          <t>KeyError</t>
        </is>
      </c>
      <c r="AY56" s="55" t="inlineStr">
        <is>
          <t>KeyError: 'backend'</t>
        </is>
      </c>
      <c r="AZ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A56" s="55" t="inlineStr">
        <is>
          <t>KeyError</t>
        </is>
      </c>
      <c r="BB56" s="55" t="inlineStr">
        <is>
          <t>KeyError: 'backend'</t>
        </is>
      </c>
      <c r="BC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D56" s="55" t="inlineStr">
        <is>
          <t>KeyError</t>
        </is>
      </c>
      <c r="BE56" s="55" t="inlineStr">
        <is>
          <t>KeyError: 'backend'</t>
        </is>
      </c>
      <c r="BF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G56" s="55" t="inlineStr">
        <is>
          <t>KeyError</t>
        </is>
      </c>
      <c r="BH56" s="55" t="inlineStr">
        <is>
          <t>KeyError: 'backend'</t>
        </is>
      </c>
      <c r="BI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J56" s="55" t="inlineStr">
        <is>
          <t>KeyError</t>
        </is>
      </c>
      <c r="BK56" s="55" t="inlineStr">
        <is>
          <t>KeyError: 'backend'</t>
        </is>
      </c>
      <c r="BL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M56" s="55" t="n"/>
      <c r="BN56" s="55" t="n"/>
      <c r="BO56" s="55" t="n"/>
      <c r="BP56" s="55" t="n"/>
      <c r="BQ56" s="55" t="n"/>
      <c r="BR56" s="55" t="n"/>
      <c r="BS56" s="55" t="n"/>
      <c r="BT56" s="55" t="n"/>
      <c r="BU56" s="55" t="n"/>
      <c r="BV56" s="55" t="n"/>
      <c r="BW56" s="55" t="n"/>
      <c r="BX56" s="55" t="n"/>
      <c r="BY56" s="55" t="n"/>
      <c r="BZ56" s="55" t="n"/>
      <c r="CA56" s="55" t="n"/>
      <c r="CB56" s="55" t="n"/>
      <c r="CC56" s="55" t="n"/>
      <c r="CD56" s="55" t="n"/>
      <c r="CE56" s="55" t="n"/>
      <c r="CF56" s="55" t="n"/>
      <c r="CG56" s="55" t="n"/>
      <c r="CH56" s="55" t="n"/>
      <c r="CI56" s="55" t="n"/>
      <c r="CJ56" s="55" t="n"/>
      <c r="CK56" s="55" t="n"/>
      <c r="CL56" s="55" t="n"/>
      <c r="CM56" s="55" t="n"/>
      <c r="CN56" s="55" t="n"/>
      <c r="CO56" s="55" t="n"/>
      <c r="CP56" s="55" t="n"/>
      <c r="CQ56" s="55" t="n"/>
      <c r="CR56" s="55" t="n"/>
      <c r="CS56" s="55" t="n"/>
      <c r="CT56" s="55" t="n"/>
      <c r="CU56" s="55" t="n"/>
      <c r="CV56" s="55" t="n"/>
      <c r="CW56" s="55" t="n"/>
      <c r="CX56" s="55" t="n"/>
      <c r="CY56" s="55" t="n"/>
      <c r="CZ56" s="55" t="n"/>
      <c r="DA56" s="55" t="n"/>
      <c r="DB56" s="55" t="n"/>
      <c r="DC56" s="55" t="n"/>
      <c r="DD56" s="55" t="n"/>
      <c r="DE56" s="55" t="n"/>
    </row>
    <row r="57">
      <c r="A57" s="55" t="inlineStr">
        <is>
          <t>issue_886</t>
        </is>
      </c>
      <c r="B57" s="56" t="inlineStr">
        <is>
          <t>NOT_TESTED</t>
        </is>
      </c>
      <c r="C57" s="56" t="inlineStr">
        <is>
          <t>NOT_TESTED</t>
        </is>
      </c>
      <c r="D57" s="56" t="inlineStr">
        <is>
          <t>NOT_TESTED</t>
        </is>
      </c>
      <c r="E57" s="56" t="inlineStr">
        <is>
          <t>NOT_TESTED</t>
        </is>
      </c>
      <c r="F57" s="58" t="inlineStr">
        <is>
          <t>FAIL</t>
        </is>
      </c>
      <c r="G57" s="58" t="inlineStr">
        <is>
          <t>FAIL</t>
        </is>
      </c>
      <c r="H57" s="56" t="inlineStr">
        <is>
          <t>NOT_TESTED</t>
        </is>
      </c>
      <c r="I57" s="56" t="inlineStr">
        <is>
          <t>NOT_TESTED</t>
        </is>
      </c>
      <c r="J57" s="56" t="inlineStr">
        <is>
          <t>NOT_TESTED</t>
        </is>
      </c>
      <c r="K57" s="56" t="inlineStr">
        <is>
          <t>NOT_TESTED</t>
        </is>
      </c>
      <c r="L57" s="56" t="inlineStr">
        <is>
          <t>NOT_TESTED</t>
        </is>
      </c>
      <c r="M57" s="56" t="inlineStr">
        <is>
          <t>NOT_TESTED</t>
        </is>
      </c>
      <c r="N57" s="56" t="inlineStr">
        <is>
          <t>NOT_TESTED</t>
        </is>
      </c>
      <c r="O57" s="56" t="inlineStr">
        <is>
          <t>NOT_TESTED</t>
        </is>
      </c>
      <c r="P57" s="56" t="inlineStr">
        <is>
          <t>NOT_TESTED</t>
        </is>
      </c>
      <c r="Q57" s="56" t="inlineStr">
        <is>
          <t>NOT_TESTED</t>
        </is>
      </c>
      <c r="R57" s="56" t="inlineStr">
        <is>
          <t>NOT_TESTED</t>
        </is>
      </c>
      <c r="S57" s="56" t="inlineStr">
        <is>
          <t>NOT_TESTED</t>
        </is>
      </c>
      <c r="T57" s="56" t="inlineStr">
        <is>
          <t>NOT_TESTED</t>
        </is>
      </c>
      <c r="U57" s="56" t="inlineStr">
        <is>
          <t>NOT_TESTED</t>
        </is>
      </c>
      <c r="V57" s="56" t="inlineStr">
        <is>
          <t>NOT_TESTED</t>
        </is>
      </c>
      <c r="W57" s="56" t="inlineStr">
        <is>
          <t>NOT_TESTED</t>
        </is>
      </c>
      <c r="X57" s="56" t="inlineStr">
        <is>
          <t>NOT_TESTED</t>
        </is>
      </c>
      <c r="Y57" s="56" t="inlineStr">
        <is>
          <t>NOT_TESTED</t>
        </is>
      </c>
      <c r="Z57" s="56" t="inlineStr">
        <is>
          <t>NOT_TESTED</t>
        </is>
      </c>
      <c r="AA57" s="56" t="inlineStr">
        <is>
          <t>NOT_TESTED</t>
        </is>
      </c>
      <c r="AB57" s="56" t="inlineStr">
        <is>
          <t>NOT_TESTED</t>
        </is>
      </c>
      <c r="AC57" s="55" t="n"/>
      <c r="AD57" s="55" t="n"/>
      <c r="AE57" s="55" t="n"/>
      <c r="AF57" s="55" t="n"/>
      <c r="AG57" s="55" t="n"/>
      <c r="AH57" s="55" t="n"/>
      <c r="AI57" s="55" t="n"/>
      <c r="AJ57" s="55" t="n"/>
      <c r="AK57" s="55" t="n"/>
      <c r="AL57" s="55" t="n"/>
      <c r="AM57" s="55" t="n"/>
      <c r="AN57" s="55" t="n"/>
      <c r="AO57" s="55" t="inlineStr">
        <is>
          <t>AssertionError</t>
        </is>
      </c>
      <c r="AP57" s="55" t="inlineStr">
        <is>
          <t>AssertionError: {'00 00': 1024} != {'00': 1024}</t>
        </is>
      </c>
      <c r="AQ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R57" s="55" t="inlineStr">
        <is>
          <t>AssertionError</t>
        </is>
      </c>
      <c r="AS57" s="55" t="inlineStr">
        <is>
          <t>AssertionError: {'00 00': 1024} != {'00': 1024}</t>
        </is>
      </c>
      <c r="AT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U57" s="55" t="n"/>
      <c r="AV57" s="55" t="n"/>
      <c r="AW57" s="55" t="n"/>
      <c r="AX57" s="55" t="n"/>
      <c r="AY57" s="55" t="n"/>
      <c r="AZ57" s="55" t="n"/>
      <c r="BA57" s="55" t="n"/>
      <c r="BB57" s="55" t="n"/>
      <c r="BC57" s="55" t="n"/>
      <c r="BD57" s="55" t="n"/>
      <c r="BE57" s="55" t="n"/>
      <c r="BF57" s="55" t="n"/>
      <c r="BG57" s="55" t="n"/>
      <c r="BH57" s="55" t="n"/>
      <c r="BI57" s="55" t="n"/>
      <c r="BJ57" s="55" t="n"/>
      <c r="BK57" s="55" t="n"/>
      <c r="BL57" s="55" t="n"/>
      <c r="BM57" s="55" t="n"/>
      <c r="BN57" s="55" t="n"/>
      <c r="BO57" s="55" t="n"/>
      <c r="BP57" s="55" t="n"/>
      <c r="BQ57" s="55" t="n"/>
      <c r="BR57" s="55" t="n"/>
      <c r="BS57" s="55" t="n"/>
      <c r="BT57" s="55" t="n"/>
      <c r="BU57" s="55" t="n"/>
      <c r="BV57" s="55" t="n"/>
      <c r="BW57" s="55" t="n"/>
      <c r="BX57" s="55" t="n"/>
      <c r="BY57" s="55" t="n"/>
      <c r="BZ57" s="55" t="n"/>
      <c r="CA57" s="55" t="n"/>
      <c r="CB57" s="55" t="n"/>
      <c r="CC57" s="55" t="n"/>
      <c r="CD57" s="55" t="n"/>
      <c r="CE57" s="55" t="n"/>
      <c r="CF57" s="55" t="n"/>
      <c r="CG57" s="55" t="n"/>
      <c r="CH57" s="55" t="n"/>
      <c r="CI57" s="55" t="n"/>
      <c r="CJ57" s="55" t="n"/>
      <c r="CK57" s="55" t="n"/>
      <c r="CL57" s="55" t="n"/>
      <c r="CM57" s="55" t="n"/>
      <c r="CN57" s="55" t="n"/>
      <c r="CO57" s="55" t="n"/>
      <c r="CP57" s="55" t="n"/>
      <c r="CQ57" s="55" t="n"/>
      <c r="CR57" s="55" t="n"/>
      <c r="CS57" s="55" t="n"/>
      <c r="CT57" s="55" t="n"/>
      <c r="CU57" s="55" t="n"/>
      <c r="CV57" s="55" t="n"/>
      <c r="CW57" s="55" t="n"/>
      <c r="CX57" s="55" t="n"/>
      <c r="CY57" s="55" t="n"/>
      <c r="CZ57" s="55" t="n"/>
      <c r="DA57" s="55" t="n"/>
      <c r="DB57" s="55" t="n"/>
      <c r="DC57" s="55" t="n"/>
      <c r="DD57" s="55" t="n"/>
      <c r="DE57" s="55" t="n"/>
    </row>
    <row r="58">
      <c r="A58" s="55" t="inlineStr">
        <is>
          <t>issue_889</t>
        </is>
      </c>
      <c r="B58" s="57" t="inlineStr">
        <is>
          <t>ERROR</t>
        </is>
      </c>
      <c r="C58" s="57" t="inlineStr">
        <is>
          <t>ERROR</t>
        </is>
      </c>
      <c r="D58" s="57" t="inlineStr">
        <is>
          <t>ERROR</t>
        </is>
      </c>
      <c r="E58" s="57" t="inlineStr">
        <is>
          <t>ERROR</t>
        </is>
      </c>
      <c r="F58" s="58" t="inlineStr">
        <is>
          <t>FAIL</t>
        </is>
      </c>
      <c r="G58" s="58" t="inlineStr">
        <is>
          <t>FAIL</t>
        </is>
      </c>
      <c r="H58" s="58" t="inlineStr">
        <is>
          <t>FAIL</t>
        </is>
      </c>
      <c r="I58" s="58" t="inlineStr">
        <is>
          <t>FAIL</t>
        </is>
      </c>
      <c r="J58" s="58" t="inlineStr">
        <is>
          <t>FAIL</t>
        </is>
      </c>
      <c r="K58" s="58" t="inlineStr">
        <is>
          <t>FAIL</t>
        </is>
      </c>
      <c r="L58" s="58" t="inlineStr">
        <is>
          <t>FAIL</t>
        </is>
      </c>
      <c r="M58" s="58" t="inlineStr">
        <is>
          <t>FAIL</t>
        </is>
      </c>
      <c r="N58" s="56" t="inlineStr">
        <is>
          <t>NOT_TESTED</t>
        </is>
      </c>
      <c r="O58" s="56" t="inlineStr">
        <is>
          <t>NOT_TESTED</t>
        </is>
      </c>
      <c r="P58" s="56" t="inlineStr">
        <is>
          <t>NOT_TESTED</t>
        </is>
      </c>
      <c r="Q58" s="56" t="inlineStr">
        <is>
          <t>NOT_TESTED</t>
        </is>
      </c>
      <c r="R58" s="56" t="inlineStr">
        <is>
          <t>NOT_TESTED</t>
        </is>
      </c>
      <c r="S58" s="56" t="inlineStr">
        <is>
          <t>NOT_TESTED</t>
        </is>
      </c>
      <c r="T58" s="56" t="inlineStr">
        <is>
          <t>NOT_TESTED</t>
        </is>
      </c>
      <c r="U58" s="56" t="inlineStr">
        <is>
          <t>NOT_TESTED</t>
        </is>
      </c>
      <c r="V58" s="56" t="inlineStr">
        <is>
          <t>NOT_TESTED</t>
        </is>
      </c>
      <c r="W58" s="56" t="inlineStr">
        <is>
          <t>NOT_TESTED</t>
        </is>
      </c>
      <c r="X58" s="56" t="inlineStr">
        <is>
          <t>NOT_TESTED</t>
        </is>
      </c>
      <c r="Y58" s="56" t="inlineStr">
        <is>
          <t>NOT_TESTED</t>
        </is>
      </c>
      <c r="Z58" s="56" t="inlineStr">
        <is>
          <t>NOT_TESTED</t>
        </is>
      </c>
      <c r="AA58" s="56" t="inlineStr">
        <is>
          <t>NOT_TESTED</t>
        </is>
      </c>
      <c r="AB58" s="56" t="inlineStr">
        <is>
          <t>NOT_TESTED</t>
        </is>
      </c>
      <c r="AC58" s="55" t="inlineStr">
        <is>
          <t>ExtensionError</t>
        </is>
      </c>
      <c r="AD58" s="55" t="inlineStr">
        <is>
          <t>qiskit.extensions.exceptions.ExtensionError: 'Input matrix is not unitary.'</t>
        </is>
      </c>
      <c r="AE58" s="55" t="inlineStr">
        <is>
          <t>The LLM evolved the Hamiltonian with (-time_ * H).exp_i(), but exp_i() already computes exp(-iX), so this is exp(+iHt), the wrong sign. On Qiskit 0.25 the resulting instruction is rejected as non-unitary. The reference uses circ.hamiltonian(H, time_, ...).</t>
        </is>
      </c>
      <c r="AF58" s="55" t="inlineStr">
        <is>
          <t>ExtensionError</t>
        </is>
      </c>
      <c r="AG58" s="55" t="inlineStr">
        <is>
          <t>qiskit.extensions.exceptions.ExtensionError: 'Input matrix is not unitary.'</t>
        </is>
      </c>
      <c r="AH58" s="55" t="inlineStr">
        <is>
          <t>The LLM evolved the Hamiltonian with (-time_ * H).exp_i(), but exp_i() already computes exp(-iX), so this is exp(+iHt), the wrong sign. On Qiskit 0.25 the resulting instruction is rejected as non-unitary. The reference uses circ.hamiltonian(H, time_, ...).</t>
        </is>
      </c>
      <c r="AI58" s="55" t="inlineStr">
        <is>
          <t>ExtensionError</t>
        </is>
      </c>
      <c r="AJ58" s="55" t="inlineStr">
        <is>
          <t>qiskit.extensions.exceptions.ExtensionError: 'Input matrix is not unitary.'</t>
        </is>
      </c>
      <c r="AK58" s="55" t="inlineStr">
        <is>
          <t>The LLM evolved the Hamiltonian with (-time_ * H).exp_i(), but exp_i() already computes exp(-iX), so this is exp(+iHt), the wrong sign. On Qiskit 0.25 the resulting instruction is rejected as non-unitary. The reference uses circ.hamiltonian(H, time_, ...).</t>
        </is>
      </c>
      <c r="AL58" s="55" t="inlineStr">
        <is>
          <t>ExtensionError</t>
        </is>
      </c>
      <c r="AM58" s="55" t="inlineStr">
        <is>
          <t>qiskit.extensions.exceptions.ExtensionError: 'Input matrix is not unitary.'</t>
        </is>
      </c>
      <c r="AN58" s="55" t="inlineStr">
        <is>
          <t>The LLM evolved the Hamiltonian with (-time_ * H).exp_i(), but exp_i() already computes exp(-iX), so this is exp(+iHt), the wrong sign. On Qiskit 0.25 the resulting instruction is rejected as non-unitary. The reference uses circ.hamiltonian(H, time_, ...).</t>
        </is>
      </c>
      <c r="AO58" s="55" t="inlineStr">
        <is>
          <t>AssertionError</t>
        </is>
      </c>
      <c r="AP58" s="55" t="inlineStr">
        <is>
          <t>AssertionError: Not equal to tolerance rtol=1e-07, atol=1e-09</t>
        </is>
      </c>
      <c r="AQ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R58" s="55" t="inlineStr">
        <is>
          <t>AssertionError</t>
        </is>
      </c>
      <c r="AS58" s="55" t="inlineStr">
        <is>
          <t>AssertionError: Not equal to tolerance rtol=1e-07, atol=1e-09</t>
        </is>
      </c>
      <c r="AT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U58" s="55" t="inlineStr">
        <is>
          <t>AssertionError</t>
        </is>
      </c>
      <c r="AV58" s="55" t="inlineStr">
        <is>
          <t>AssertionError: Not equal to tolerance rtol=1e-07, atol=1e-09</t>
        </is>
      </c>
      <c r="AW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X58" s="55" t="inlineStr">
        <is>
          <t>AssertionError</t>
        </is>
      </c>
      <c r="AY58" s="55" t="inlineStr">
        <is>
          <t>AssertionError: Not equal to tolerance rtol=1e-07, atol=1e-09</t>
        </is>
      </c>
      <c r="AZ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A58" s="55" t="inlineStr">
        <is>
          <t>AssertionError</t>
        </is>
      </c>
      <c r="BB58" s="55" t="inlineStr">
        <is>
          <t>AssertionError: Not equal to tolerance rtol=1e-07, atol=1e-09</t>
        </is>
      </c>
      <c r="BC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D58" s="55" t="inlineStr">
        <is>
          <t>AssertionError</t>
        </is>
      </c>
      <c r="BE58" s="55" t="inlineStr">
        <is>
          <t>AssertionError: Not equal to tolerance rtol=1e-07, atol=1e-09</t>
        </is>
      </c>
      <c r="BF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G58" s="55" t="inlineStr">
        <is>
          <t>AssertionError</t>
        </is>
      </c>
      <c r="BH58" s="55" t="inlineStr">
        <is>
          <t>AssertionError: Not equal to tolerance rtol=1e-07, atol=1e-09</t>
        </is>
      </c>
      <c r="BI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J58" s="55" t="inlineStr">
        <is>
          <t>AssertionError</t>
        </is>
      </c>
      <c r="BK58" s="55" t="inlineStr">
        <is>
          <t>AssertionError: Not equal to tolerance rtol=1e-07, atol=1e-09</t>
        </is>
      </c>
      <c r="BL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M58" s="55" t="n"/>
      <c r="BN58" s="55" t="n"/>
      <c r="BO58" s="55" t="n"/>
      <c r="BP58" s="55" t="n"/>
      <c r="BQ58" s="55" t="n"/>
      <c r="BR58" s="55" t="n"/>
      <c r="BS58" s="55" t="n"/>
      <c r="BT58" s="55" t="n"/>
      <c r="BU58" s="55" t="n"/>
      <c r="BV58" s="55" t="n"/>
      <c r="BW58" s="55" t="n"/>
      <c r="BX58" s="55" t="n"/>
      <c r="BY58" s="55" t="n"/>
      <c r="BZ58" s="55" t="n"/>
      <c r="CA58" s="55" t="n"/>
      <c r="CB58" s="55" t="n"/>
      <c r="CC58" s="55" t="n"/>
      <c r="CD58" s="55" t="n"/>
      <c r="CE58" s="55" t="n"/>
      <c r="CF58" s="55" t="n"/>
      <c r="CG58" s="55" t="n"/>
      <c r="CH58" s="55" t="n"/>
      <c r="CI58" s="55" t="n"/>
      <c r="CJ58" s="55" t="n"/>
      <c r="CK58" s="55" t="n"/>
      <c r="CL58" s="55" t="n"/>
      <c r="CM58" s="55" t="n"/>
      <c r="CN58" s="55" t="n"/>
      <c r="CO58" s="55" t="n"/>
      <c r="CP58" s="55" t="n"/>
      <c r="CQ58" s="55" t="n"/>
      <c r="CR58" s="55" t="n"/>
      <c r="CS58" s="55" t="n"/>
      <c r="CT58" s="55" t="n"/>
      <c r="CU58" s="55" t="n"/>
      <c r="CV58" s="55" t="n"/>
      <c r="CW58" s="55" t="n"/>
      <c r="CX58" s="55" t="n"/>
      <c r="CY58" s="55" t="n"/>
      <c r="CZ58" s="55" t="n"/>
      <c r="DA58" s="55" t="n"/>
      <c r="DB58" s="55" t="n"/>
      <c r="DC58" s="55" t="n"/>
      <c r="DD58" s="55" t="n"/>
      <c r="DE58" s="55" t="n"/>
    </row>
    <row r="59">
      <c r="A59" s="55" t="inlineStr">
        <is>
          <t>issue_911</t>
        </is>
      </c>
      <c r="B59" s="56" t="inlineStr">
        <is>
          <t>NOT_TESTED</t>
        </is>
      </c>
      <c r="C59" s="56" t="inlineStr">
        <is>
          <t>NOT_TESTED</t>
        </is>
      </c>
      <c r="D59" s="56" t="inlineStr">
        <is>
          <t>NOT_TESTED</t>
        </is>
      </c>
      <c r="E59" s="56" t="inlineStr">
        <is>
          <t>NOT_TESTED</t>
        </is>
      </c>
      <c r="F59" s="57" t="inlineStr">
        <is>
          <t>ERROR</t>
        </is>
      </c>
      <c r="G59" s="57" t="inlineStr">
        <is>
          <t>ERROR</t>
        </is>
      </c>
      <c r="H59" s="57" t="inlineStr">
        <is>
          <t>ERROR</t>
        </is>
      </c>
      <c r="I59" s="57" t="inlineStr">
        <is>
          <t>ERROR</t>
        </is>
      </c>
      <c r="J59" s="57" t="inlineStr">
        <is>
          <t>ERROR</t>
        </is>
      </c>
      <c r="K59" s="57" t="inlineStr">
        <is>
          <t>ERROR</t>
        </is>
      </c>
      <c r="L59" s="57" t="inlineStr">
        <is>
          <t>ERROR</t>
        </is>
      </c>
      <c r="M59" s="57" t="inlineStr">
        <is>
          <t>ERROR</t>
        </is>
      </c>
      <c r="N59" s="57" t="inlineStr">
        <is>
          <t>ERROR</t>
        </is>
      </c>
      <c r="O59" s="57" t="inlineStr">
        <is>
          <t>ERROR</t>
        </is>
      </c>
      <c r="P59" s="57" t="inlineStr">
        <is>
          <t>ERROR</t>
        </is>
      </c>
      <c r="Q59" s="57" t="inlineStr">
        <is>
          <t>ERROR</t>
        </is>
      </c>
      <c r="R59" s="57" t="inlineStr">
        <is>
          <t>ERROR</t>
        </is>
      </c>
      <c r="S59" s="57" t="inlineStr">
        <is>
          <t>ERROR</t>
        </is>
      </c>
      <c r="T59" s="57" t="inlineStr">
        <is>
          <t>ERROR</t>
        </is>
      </c>
      <c r="U59" s="57" t="inlineStr">
        <is>
          <t>ERROR</t>
        </is>
      </c>
      <c r="V59" s="57" t="inlineStr">
        <is>
          <t>ERROR</t>
        </is>
      </c>
      <c r="W59" s="57" t="inlineStr">
        <is>
          <t>ERROR</t>
        </is>
      </c>
      <c r="X59" s="57" t="inlineStr">
        <is>
          <t>ERROR</t>
        </is>
      </c>
      <c r="Y59" s="57" t="inlineStr">
        <is>
          <t>ERROR</t>
        </is>
      </c>
      <c r="Z59" s="57" t="inlineStr">
        <is>
          <t>ERROR</t>
        </is>
      </c>
      <c r="AA59" s="57" t="inlineStr">
        <is>
          <t>ERROR</t>
        </is>
      </c>
      <c r="AB59" s="57" t="inlineStr">
        <is>
          <t>ERROR</t>
        </is>
      </c>
      <c r="AC59" s="55" t="n"/>
      <c r="AD59" s="55" t="n"/>
      <c r="AE59" s="55" t="n"/>
      <c r="AF59" s="55" t="n"/>
      <c r="AG59" s="55" t="n"/>
      <c r="AH59" s="55" t="n"/>
      <c r="AI59" s="55" t="n"/>
      <c r="AJ59" s="55" t="n"/>
      <c r="AK59" s="55" t="n"/>
      <c r="AL59" s="55" t="n"/>
      <c r="AM59" s="55" t="n"/>
      <c r="AN59" s="55" t="n"/>
      <c r="AO59" s="55" t="inlineStr">
        <is>
          <t>ValueError</t>
        </is>
      </c>
      <c r="AP59" s="55" t="inlineStr">
        <is>
          <t>ValueError: malformed node or string on line 1: &lt;ast.Call object at 0x000001994F5AB2E0&gt;</t>
        </is>
      </c>
      <c r="AQ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R59" s="55" t="inlineStr">
        <is>
          <t>ValueError</t>
        </is>
      </c>
      <c r="AS59" s="55" t="inlineStr">
        <is>
          <t>ValueError: malformed node or string on line 1: &lt;ast.Call object at 0x0000025AA332CE80&gt;</t>
        </is>
      </c>
      <c r="AT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U59" s="55" t="inlineStr">
        <is>
          <t>ValueError</t>
        </is>
      </c>
      <c r="AV59" s="55" t="inlineStr">
        <is>
          <t>ValueError: malformed node or string on line 1: &lt;ast.Call object at 0x000002710DF9CD30&gt;</t>
        </is>
      </c>
      <c r="AW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X59" s="55" t="inlineStr">
        <is>
          <t>ValueError</t>
        </is>
      </c>
      <c r="AY59" s="55" t="inlineStr">
        <is>
          <t>ValueError: malformed node or string on line 1: &lt;ast.Call object at 0x000001DD14C36050&gt;</t>
        </is>
      </c>
      <c r="AZ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A59" s="55" t="inlineStr">
        <is>
          <t>ValueError</t>
        </is>
      </c>
      <c r="BB59" s="55" t="inlineStr">
        <is>
          <t>ValueError: malformed node or string on line 1: &lt;ast.Call object at 0x000002520C2D23B0&gt;</t>
        </is>
      </c>
      <c r="BC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D59" s="55" t="inlineStr">
        <is>
          <t>ValueError</t>
        </is>
      </c>
      <c r="BE59" s="55" t="inlineStr">
        <is>
          <t>ValueError: malformed node or string on line 1: &lt;ast.Call object at 0x000002412723F100&gt;</t>
        </is>
      </c>
      <c r="BF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G59" s="55" t="inlineStr">
        <is>
          <t>ValueError</t>
        </is>
      </c>
      <c r="BH59" s="55" t="inlineStr">
        <is>
          <t>ValueError: malformed node or string on line 1: &lt;ast.Call object at 0x000001FE96B52110&gt;</t>
        </is>
      </c>
      <c r="BI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J59" s="55" t="inlineStr">
        <is>
          <t>ValueError</t>
        </is>
      </c>
      <c r="BK59" s="55" t="inlineStr">
        <is>
          <t>ValueError: malformed node or string on line 1: &lt;ast.Call object at 0x000002387B54E5F0&gt;</t>
        </is>
      </c>
      <c r="BL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M59" s="55" t="inlineStr">
        <is>
          <t>ValueError</t>
        </is>
      </c>
      <c r="BN59" s="55" t="inlineStr">
        <is>
          <t>ValueError: malformed node or string on line 1: &lt;ast.Call object at 0x0000022DA18A7D60&gt;</t>
        </is>
      </c>
      <c r="BO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P59" s="55" t="inlineStr">
        <is>
          <t>ValueError</t>
        </is>
      </c>
      <c r="BQ59" s="55" t="inlineStr">
        <is>
          <t>ValueError: malformed node or string on line 1: &lt;ast.Call object at 0x00000205D5A030D0&gt;</t>
        </is>
      </c>
      <c r="BR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S59" s="55" t="inlineStr">
        <is>
          <t>ValueError</t>
        </is>
      </c>
      <c r="BT59" s="55" t="inlineStr">
        <is>
          <t>ValueError: malformed node or string on line 1: &lt;ast.Call object at 0x000001CEE0BDBAF0&gt;</t>
        </is>
      </c>
      <c r="BU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V59" s="55" t="inlineStr">
        <is>
          <t>ValueError</t>
        </is>
      </c>
      <c r="BW59" s="55" t="inlineStr">
        <is>
          <t>ValueError: malformed node or string on line 1: &lt;ast.Call object at 0x0000016EA5521C60&gt;</t>
        </is>
      </c>
      <c r="BX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Y59" s="55" t="inlineStr">
        <is>
          <t>ValueError</t>
        </is>
      </c>
      <c r="BZ59" s="55" t="inlineStr">
        <is>
          <t>ValueError: malformed node or string on line 1: &lt;ast.Call object at 0x0000022CCA2251E0&gt;</t>
        </is>
      </c>
      <c r="CA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B59" s="55" t="inlineStr">
        <is>
          <t>ValueError</t>
        </is>
      </c>
      <c r="CC59" s="55" t="inlineStr">
        <is>
          <t>ValueError: malformed node or string on line 1: &lt;ast.Call object at 0x000001E68EF39E40&gt;</t>
        </is>
      </c>
      <c r="CD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E59" s="55" t="inlineStr">
        <is>
          <t>ValueError</t>
        </is>
      </c>
      <c r="CF59" s="55" t="inlineStr">
        <is>
          <t>ValueError: malformed node or string on line 1: &lt;ast.Call object at 0x0000023A7520CD60&gt;</t>
        </is>
      </c>
      <c r="CG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H59" s="55" t="inlineStr">
        <is>
          <t>ValueError</t>
        </is>
      </c>
      <c r="CI59" s="55" t="inlineStr">
        <is>
          <t>ValueError: malformed node or string on line 1: &lt;ast.Call object at 0x000001A97E15B190&gt;</t>
        </is>
      </c>
      <c r="CJ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K59" s="55" t="inlineStr">
        <is>
          <t>ValueError</t>
        </is>
      </c>
      <c r="CL59" s="55" t="inlineStr">
        <is>
          <t>ValueError: malformed node or string on line 1: &lt;ast.Call object at 0x000001FC3AD70760&gt;</t>
        </is>
      </c>
      <c r="CM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N59" s="55" t="inlineStr">
        <is>
          <t>ValueError</t>
        </is>
      </c>
      <c r="CO59" s="55" t="inlineStr">
        <is>
          <t>ValueError: malformed node or string on line 1: &lt;ast.Call object at 0x000001941F168C50&gt;</t>
        </is>
      </c>
      <c r="CP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Q59" s="55" t="inlineStr">
        <is>
          <t>SyntaxError</t>
        </is>
      </c>
      <c r="CR59" s="55" t="inlineStr">
        <is>
          <t>SyntaxError: invalid syntax</t>
        </is>
      </c>
      <c r="CS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T59" s="55" t="inlineStr">
        <is>
          <t>SyntaxError</t>
        </is>
      </c>
      <c r="CU59" s="55" t="inlineStr">
        <is>
          <t>SyntaxError: invalid syntax</t>
        </is>
      </c>
      <c r="CV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W59" s="55" t="inlineStr">
        <is>
          <t>SyntaxError</t>
        </is>
      </c>
      <c r="CX59" s="55" t="inlineStr">
        <is>
          <t>SyntaxError: invalid syntax</t>
        </is>
      </c>
      <c r="CY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Z59" s="55" t="inlineStr">
        <is>
          <t>SyntaxError</t>
        </is>
      </c>
      <c r="DA59" s="55" t="inlineStr">
        <is>
          <t>SyntaxError: invalid syntax</t>
        </is>
      </c>
      <c r="DB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DC59" s="55" t="inlineStr">
        <is>
          <t>SyntaxError</t>
        </is>
      </c>
      <c r="DD59" s="55" t="inlineStr">
        <is>
          <t>SyntaxError: invalid syntax</t>
        </is>
      </c>
      <c r="DE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row>
    <row r="60">
      <c r="A60" s="55" t="inlineStr">
        <is>
          <t>issue_925</t>
        </is>
      </c>
      <c r="B60" s="57" t="inlineStr">
        <is>
          <t>ERROR</t>
        </is>
      </c>
      <c r="C60" s="57" t="inlineStr">
        <is>
          <t>ERROR</t>
        </is>
      </c>
      <c r="D60" s="57" t="inlineStr">
        <is>
          <t>ERROR</t>
        </is>
      </c>
      <c r="E60" s="57" t="inlineStr">
        <is>
          <t>ERROR</t>
        </is>
      </c>
      <c r="F60" s="56" t="inlineStr">
        <is>
          <t>NOT_TESTED</t>
        </is>
      </c>
      <c r="G60" s="56" t="inlineStr">
        <is>
          <t>NOT_TESTED</t>
        </is>
      </c>
      <c r="H60" s="56" t="inlineStr">
        <is>
          <t>NOT_TESTED</t>
        </is>
      </c>
      <c r="I60" s="56" t="inlineStr">
        <is>
          <t>NOT_TESTED</t>
        </is>
      </c>
      <c r="J60" s="56" t="inlineStr">
        <is>
          <t>NOT_TESTED</t>
        </is>
      </c>
      <c r="K60" s="56" t="inlineStr">
        <is>
          <t>NOT_TESTED</t>
        </is>
      </c>
      <c r="L60" s="56" t="inlineStr">
        <is>
          <t>NOT_TESTED</t>
        </is>
      </c>
      <c r="M60" s="56" t="inlineStr">
        <is>
          <t>NOT_TESTED</t>
        </is>
      </c>
      <c r="N60" s="56" t="inlineStr">
        <is>
          <t>NOT_TESTED</t>
        </is>
      </c>
      <c r="O60" s="56" t="inlineStr">
        <is>
          <t>NOT_TESTED</t>
        </is>
      </c>
      <c r="P60" s="56" t="inlineStr">
        <is>
          <t>NOT_TESTED</t>
        </is>
      </c>
      <c r="Q60" s="56" t="inlineStr">
        <is>
          <t>NOT_TESTED</t>
        </is>
      </c>
      <c r="R60" s="56" t="inlineStr">
        <is>
          <t>NOT_TESTED</t>
        </is>
      </c>
      <c r="S60" s="56" t="inlineStr">
        <is>
          <t>NOT_TESTED</t>
        </is>
      </c>
      <c r="T60" s="56" t="inlineStr">
        <is>
          <t>NOT_TESTED</t>
        </is>
      </c>
      <c r="U60" s="56" t="inlineStr">
        <is>
          <t>NOT_TESTED</t>
        </is>
      </c>
      <c r="V60" s="56" t="inlineStr">
        <is>
          <t>NOT_TESTED</t>
        </is>
      </c>
      <c r="W60" s="56" t="inlineStr">
        <is>
          <t>NOT_TESTED</t>
        </is>
      </c>
      <c r="X60" s="56" t="inlineStr">
        <is>
          <t>NOT_TESTED</t>
        </is>
      </c>
      <c r="Y60" s="56" t="inlineStr">
        <is>
          <t>NOT_TESTED</t>
        </is>
      </c>
      <c r="Z60" s="56" t="inlineStr">
        <is>
          <t>NOT_TESTED</t>
        </is>
      </c>
      <c r="AA60" s="56" t="inlineStr">
        <is>
          <t>NOT_TESTED</t>
        </is>
      </c>
      <c r="AB60" s="56" t="inlineStr">
        <is>
          <t>NOT_TESTED</t>
        </is>
      </c>
      <c r="AC60" s="55" t="inlineStr">
        <is>
          <t>TranspilerError</t>
        </is>
      </c>
      <c r="AD60" s="55" t="inlineStr">
        <is>
          <t>qiskit.transpiler.exceptions.TranspilerError: 'Number of qubits (18) in Shor(N=15, a=2) is greater than maximum (14) in the coupling_map'</t>
        </is>
      </c>
      <c r="AE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F60" s="55" t="inlineStr">
        <is>
          <t>TranspilerError</t>
        </is>
      </c>
      <c r="AG60" s="55" t="inlineStr">
        <is>
          <t>qiskit.transpiler.exceptions.TranspilerError: 'Number of qubits (18) in Shor(N=15, a=2) is greater than maximum (14) in the coupling_map'</t>
        </is>
      </c>
      <c r="AH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I60" s="55" t="inlineStr">
        <is>
          <t>TranspilerError</t>
        </is>
      </c>
      <c r="AJ60" s="55" t="inlineStr">
        <is>
          <t>qiskit.transpiler.exceptions.TranspilerError: 'Number of qubits (18) in Shor(N=15, a=2) is greater than maximum (14) in the coupling_map'</t>
        </is>
      </c>
      <c r="AK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L60" s="55" t="inlineStr">
        <is>
          <t>TranspilerError</t>
        </is>
      </c>
      <c r="AM60" s="55" t="inlineStr">
        <is>
          <t>qiskit.transpiler.exceptions.TranspilerError: 'Number of qubits (18) in Shor(N=15, a=2) is greater than maximum (14) in the coupling_map'</t>
        </is>
      </c>
      <c r="AN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O60" s="55" t="n"/>
      <c r="AP60" s="55" t="n"/>
      <c r="AQ60" s="55" t="n"/>
      <c r="AR60" s="55" t="n"/>
      <c r="AS60" s="55" t="n"/>
      <c r="AT60" s="55" t="n"/>
      <c r="AU60" s="55" t="n"/>
      <c r="AV60" s="55" t="n"/>
      <c r="AW60" s="55" t="n"/>
      <c r="AX60" s="55" t="n"/>
      <c r="AY60" s="55" t="n"/>
      <c r="AZ60" s="55" t="n"/>
      <c r="BA60" s="55" t="n"/>
      <c r="BB60" s="55" t="n"/>
      <c r="BC60" s="55" t="n"/>
      <c r="BD60" s="55" t="n"/>
      <c r="BE60" s="55" t="n"/>
      <c r="BF60" s="55" t="n"/>
      <c r="BG60" s="55" t="n"/>
      <c r="BH60" s="55" t="n"/>
      <c r="BI60" s="55" t="n"/>
      <c r="BJ60" s="55" t="n"/>
      <c r="BK60" s="55" t="n"/>
      <c r="BL60" s="55" t="n"/>
      <c r="BM60" s="55" t="n"/>
      <c r="BN60" s="55" t="n"/>
      <c r="BO60" s="55" t="n"/>
      <c r="BP60" s="55" t="n"/>
      <c r="BQ60" s="55" t="n"/>
      <c r="BR60" s="55" t="n"/>
      <c r="BS60" s="55" t="n"/>
      <c r="BT60" s="55" t="n"/>
      <c r="BU60" s="55" t="n"/>
      <c r="BV60" s="55" t="n"/>
      <c r="BW60" s="55" t="n"/>
      <c r="BX60" s="55" t="n"/>
      <c r="BY60" s="55" t="n"/>
      <c r="BZ60" s="55" t="n"/>
      <c r="CA60" s="55" t="n"/>
      <c r="CB60" s="55" t="n"/>
      <c r="CC60" s="55" t="n"/>
      <c r="CD60" s="55" t="n"/>
      <c r="CE60" s="55" t="n"/>
      <c r="CF60" s="55" t="n"/>
      <c r="CG60" s="55" t="n"/>
      <c r="CH60" s="55" t="n"/>
      <c r="CI60" s="55" t="n"/>
      <c r="CJ60" s="55" t="n"/>
      <c r="CK60" s="55" t="n"/>
      <c r="CL60" s="55" t="n"/>
      <c r="CM60" s="55" t="n"/>
      <c r="CN60" s="55" t="n"/>
      <c r="CO60" s="55" t="n"/>
      <c r="CP60" s="55" t="n"/>
      <c r="CQ60" s="55" t="n"/>
      <c r="CR60" s="55" t="n"/>
      <c r="CS60" s="55" t="n"/>
      <c r="CT60" s="55" t="n"/>
      <c r="CU60" s="55" t="n"/>
      <c r="CV60" s="55" t="n"/>
      <c r="CW60" s="55" t="n"/>
      <c r="CX60" s="55" t="n"/>
      <c r="CY60" s="55" t="n"/>
      <c r="CZ60" s="55" t="n"/>
      <c r="DA60" s="55" t="n"/>
      <c r="DB60" s="55" t="n"/>
      <c r="DC60" s="55" t="n"/>
      <c r="DD60" s="55" t="n"/>
      <c r="DE60" s="55" t="n"/>
    </row>
    <row r="61">
      <c r="A61" s="55" t="inlineStr">
        <is>
          <t>issue_944</t>
        </is>
      </c>
      <c r="B61" s="57" t="inlineStr">
        <is>
          <t>ERROR</t>
        </is>
      </c>
      <c r="C61" s="57" t="inlineStr">
        <is>
          <t>ERROR</t>
        </is>
      </c>
      <c r="D61" s="57" t="inlineStr">
        <is>
          <t>ERROR</t>
        </is>
      </c>
      <c r="E61" s="57" t="inlineStr">
        <is>
          <t>ERROR</t>
        </is>
      </c>
      <c r="F61" s="57" t="inlineStr">
        <is>
          <t>ERROR</t>
        </is>
      </c>
      <c r="G61" s="57" t="inlineStr">
        <is>
          <t>ERROR</t>
        </is>
      </c>
      <c r="H61" s="57" t="inlineStr">
        <is>
          <t>ERROR</t>
        </is>
      </c>
      <c r="I61" s="57" t="inlineStr">
        <is>
          <t>ERROR</t>
        </is>
      </c>
      <c r="J61" s="57" t="inlineStr">
        <is>
          <t>ERROR</t>
        </is>
      </c>
      <c r="K61" s="57" t="inlineStr">
        <is>
          <t>ERROR</t>
        </is>
      </c>
      <c r="L61" s="57" t="inlineStr">
        <is>
          <t>ERROR</t>
        </is>
      </c>
      <c r="M61" s="57" t="inlineStr">
        <is>
          <t>ERROR</t>
        </is>
      </c>
      <c r="N61" s="56" t="inlineStr">
        <is>
          <t>NOT_TESTED</t>
        </is>
      </c>
      <c r="O61" s="56" t="inlineStr">
        <is>
          <t>NOT_TESTED</t>
        </is>
      </c>
      <c r="P61" s="56" t="inlineStr">
        <is>
          <t>NOT_TESTED</t>
        </is>
      </c>
      <c r="Q61" s="56" t="inlineStr">
        <is>
          <t>NOT_TESTED</t>
        </is>
      </c>
      <c r="R61" s="56" t="inlineStr">
        <is>
          <t>NOT_TESTED</t>
        </is>
      </c>
      <c r="S61" s="56" t="inlineStr">
        <is>
          <t>NOT_TESTED</t>
        </is>
      </c>
      <c r="T61" s="56" t="inlineStr">
        <is>
          <t>NOT_TESTED</t>
        </is>
      </c>
      <c r="U61" s="56" t="inlineStr">
        <is>
          <t>NOT_TESTED</t>
        </is>
      </c>
      <c r="V61" s="56" t="inlineStr">
        <is>
          <t>NOT_TESTED</t>
        </is>
      </c>
      <c r="W61" s="56" t="inlineStr">
        <is>
          <t>NOT_TESTED</t>
        </is>
      </c>
      <c r="X61" s="56" t="inlineStr">
        <is>
          <t>NOT_TESTED</t>
        </is>
      </c>
      <c r="Y61" s="56" t="inlineStr">
        <is>
          <t>NOT_TESTED</t>
        </is>
      </c>
      <c r="Z61" s="56" t="inlineStr">
        <is>
          <t>NOT_TESTED</t>
        </is>
      </c>
      <c r="AA61" s="56" t="inlineStr">
        <is>
          <t>NOT_TESTED</t>
        </is>
      </c>
      <c r="AB61" s="56" t="inlineStr">
        <is>
          <t>NOT_TESTED</t>
        </is>
      </c>
      <c r="AC61" s="55" t="inlineStr">
        <is>
          <t>AttributeError</t>
        </is>
      </c>
      <c r="AD61" s="55" t="inlineStr">
        <is>
          <t>AttributeError: 'PauliSumOp' object has no attribute 'data'</t>
        </is>
      </c>
      <c r="AE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F61" s="55" t="inlineStr">
        <is>
          <t>AttributeError</t>
        </is>
      </c>
      <c r="AG61" s="55" t="inlineStr">
        <is>
          <t>AttributeError: 'PauliSumOp' object has no attribute 'data'</t>
        </is>
      </c>
      <c r="AH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I61" s="55" t="inlineStr">
        <is>
          <t>AttributeError</t>
        </is>
      </c>
      <c r="AJ61" s="55" t="inlineStr">
        <is>
          <t>AttributeError: 'PauliSumOp' object has no attribute 'data'</t>
        </is>
      </c>
      <c r="AK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L61" s="55" t="inlineStr">
        <is>
          <t>AttributeError</t>
        </is>
      </c>
      <c r="AM61" s="55" t="inlineStr">
        <is>
          <t>AttributeError: 'PauliSumOp' object has no attribute 'data'</t>
        </is>
      </c>
      <c r="AN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O61" s="55" t="inlineStr">
        <is>
          <t>AttributeError</t>
        </is>
      </c>
      <c r="AP61" s="55" t="inlineStr">
        <is>
          <t>AttributeError: 'PauliSumOp' object has no attribute 'data'</t>
        </is>
      </c>
      <c r="AQ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R61" s="55" t="inlineStr">
        <is>
          <t>AttributeError</t>
        </is>
      </c>
      <c r="AS61" s="55" t="inlineStr">
        <is>
          <t>AttributeError: 'PauliSumOp' object has no attribute 'data'</t>
        </is>
      </c>
      <c r="AT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U61" s="55" t="inlineStr">
        <is>
          <t>AttributeError</t>
        </is>
      </c>
      <c r="AV61" s="55" t="inlineStr">
        <is>
          <t>AttributeError: 'PauliSumOp' object has no attribute 'data'</t>
        </is>
      </c>
      <c r="AW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X61" s="55" t="inlineStr">
        <is>
          <t>AttributeError</t>
        </is>
      </c>
      <c r="AY61" s="55" t="inlineStr">
        <is>
          <t>AttributeError: 'PauliSumOp' object has no attribute 'data'</t>
        </is>
      </c>
      <c r="AZ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A61" s="55" t="inlineStr">
        <is>
          <t>AttributeError</t>
        </is>
      </c>
      <c r="BB61" s="55" t="inlineStr">
        <is>
          <t>AttributeError: 'PauliSumOp' object has no attribute 'data'</t>
        </is>
      </c>
      <c r="BC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D61" s="55" t="inlineStr">
        <is>
          <t>AttributeError</t>
        </is>
      </c>
      <c r="BE61" s="55" t="inlineStr">
        <is>
          <t>AttributeError: 'PauliSumOp' object has no attribute 'data'</t>
        </is>
      </c>
      <c r="BF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G61" s="55" t="inlineStr">
        <is>
          <t>AttributeError</t>
        </is>
      </c>
      <c r="BH61" s="55" t="inlineStr">
        <is>
          <t>AttributeError: 'PauliSumOp' object has no attribute 'data'</t>
        </is>
      </c>
      <c r="BI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J61" s="55" t="inlineStr">
        <is>
          <t>AttributeError</t>
        </is>
      </c>
      <c r="BK61" s="55" t="inlineStr">
        <is>
          <t>AttributeError: 'PauliSumOp' object has no attribute 'data'</t>
        </is>
      </c>
      <c r="BL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M61" s="55" t="n"/>
      <c r="BN61" s="55" t="n"/>
      <c r="BO61" s="55" t="n"/>
      <c r="BP61" s="55" t="n"/>
      <c r="BQ61" s="55" t="n"/>
      <c r="BR61" s="55" t="n"/>
      <c r="BS61" s="55" t="n"/>
      <c r="BT61" s="55" t="n"/>
      <c r="BU61" s="55" t="n"/>
      <c r="BV61" s="55" t="n"/>
      <c r="BW61" s="55" t="n"/>
      <c r="BX61" s="55" t="n"/>
      <c r="BY61" s="55" t="n"/>
      <c r="BZ61" s="55" t="n"/>
      <c r="CA61" s="55" t="n"/>
      <c r="CB61" s="55" t="n"/>
      <c r="CC61" s="55" t="n"/>
      <c r="CD61" s="55" t="n"/>
      <c r="CE61" s="55" t="n"/>
      <c r="CF61" s="55" t="n"/>
      <c r="CG61" s="55" t="n"/>
      <c r="CH61" s="55" t="n"/>
      <c r="CI61" s="55" t="n"/>
      <c r="CJ61" s="55" t="n"/>
      <c r="CK61" s="55" t="n"/>
      <c r="CL61" s="55" t="n"/>
      <c r="CM61" s="55" t="n"/>
      <c r="CN61" s="55" t="n"/>
      <c r="CO61" s="55" t="n"/>
      <c r="CP61" s="55" t="n"/>
      <c r="CQ61" s="55" t="n"/>
      <c r="CR61" s="55" t="n"/>
      <c r="CS61" s="55" t="n"/>
      <c r="CT61" s="55" t="n"/>
      <c r="CU61" s="55" t="n"/>
      <c r="CV61" s="55" t="n"/>
      <c r="CW61" s="55" t="n"/>
      <c r="CX61" s="55" t="n"/>
      <c r="CY61" s="55" t="n"/>
      <c r="CZ61" s="55" t="n"/>
      <c r="DA61" s="55" t="n"/>
      <c r="DB61" s="55" t="n"/>
      <c r="DC61" s="55" t="n"/>
      <c r="DD61" s="55" t="n"/>
      <c r="DE61" s="55" t="n"/>
    </row>
    <row r="62">
      <c r="A62" s="55" t="inlineStr">
        <is>
          <t>issue_950</t>
        </is>
      </c>
      <c r="B62" s="58" t="inlineStr">
        <is>
          <t>FAIL</t>
        </is>
      </c>
      <c r="C62" s="58" t="inlineStr">
        <is>
          <t>FAIL</t>
        </is>
      </c>
      <c r="D62" s="58" t="inlineStr">
        <is>
          <t>FAIL</t>
        </is>
      </c>
      <c r="E62" s="58" t="inlineStr">
        <is>
          <t>FAIL</t>
        </is>
      </c>
      <c r="F62" s="58" t="inlineStr">
        <is>
          <t>FAIL</t>
        </is>
      </c>
      <c r="G62" s="58" t="inlineStr">
        <is>
          <t>FAIL</t>
        </is>
      </c>
      <c r="H62" s="58" t="inlineStr">
        <is>
          <t>FAIL</t>
        </is>
      </c>
      <c r="I62" s="58" t="inlineStr">
        <is>
          <t>FAIL</t>
        </is>
      </c>
      <c r="J62" s="58" t="inlineStr">
        <is>
          <t>FAIL</t>
        </is>
      </c>
      <c r="K62" s="58" t="inlineStr">
        <is>
          <t>FAIL</t>
        </is>
      </c>
      <c r="L62" s="58" t="inlineStr">
        <is>
          <t>FAIL</t>
        </is>
      </c>
      <c r="M62" s="58" t="inlineStr">
        <is>
          <t>FAIL</t>
        </is>
      </c>
      <c r="N62" s="58" t="inlineStr">
        <is>
          <t>FAIL</t>
        </is>
      </c>
      <c r="O62" s="58" t="inlineStr">
        <is>
          <t>FAIL</t>
        </is>
      </c>
      <c r="P62" s="58" t="inlineStr">
        <is>
          <t>FAIL</t>
        </is>
      </c>
      <c r="Q62" s="58" t="inlineStr">
        <is>
          <t>FAIL</t>
        </is>
      </c>
      <c r="R62" s="58" t="inlineStr">
        <is>
          <t>FAIL</t>
        </is>
      </c>
      <c r="S62" s="58" t="inlineStr">
        <is>
          <t>FAIL</t>
        </is>
      </c>
      <c r="T62" s="58" t="inlineStr">
        <is>
          <t>FAIL</t>
        </is>
      </c>
      <c r="U62" s="58" t="inlineStr">
        <is>
          <t>FAIL</t>
        </is>
      </c>
      <c r="V62" s="58" t="inlineStr">
        <is>
          <t>FAIL</t>
        </is>
      </c>
      <c r="W62" s="58" t="inlineStr">
        <is>
          <t>FAIL</t>
        </is>
      </c>
      <c r="X62" s="58" t="inlineStr">
        <is>
          <t>FAIL</t>
        </is>
      </c>
      <c r="Y62" s="58" t="inlineStr">
        <is>
          <t>FAIL</t>
        </is>
      </c>
      <c r="Z62" s="58" t="inlineStr">
        <is>
          <t>FAIL</t>
        </is>
      </c>
      <c r="AA62" s="58" t="inlineStr">
        <is>
          <t>FAIL</t>
        </is>
      </c>
      <c r="AB62" s="58" t="inlineStr">
        <is>
          <t>FAIL</t>
        </is>
      </c>
      <c r="AC62" s="55" t="inlineStr">
        <is>
          <t>AssertionError</t>
        </is>
      </c>
      <c r="AD62" s="55" t="inlineStr">
        <is>
          <t>AssertionError: Not equal to tolerance rtol=1e-07, atol=1e-12 | AssertionError: Not equal to tolerance rtol=1e-07, atol=1e-12 Requested Z on qubits 3..7, not on qubits 2..6 Mismatched elements: 1024 / 1024 (100%) Max absolute difference: 1. Max relat</t>
        </is>
      </c>
      <c r="A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F62" s="55" t="inlineStr">
        <is>
          <t>AssertionError</t>
        </is>
      </c>
      <c r="AG62" s="55" t="inlineStr">
        <is>
          <t>AssertionError: Not equal to tolerance rtol=1e-07, atol=1e-12 | AssertionError: Not equal to tolerance rtol=1e-07, atol=1e-12 Requested Z on qubits 3..7, not on qubits 2..6 Mismatched elements: 1024 / 1024 (100%) Max absolute difference: 1. Max relat</t>
        </is>
      </c>
      <c r="AH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I62" s="55" t="inlineStr">
        <is>
          <t>AssertionError</t>
        </is>
      </c>
      <c r="AJ62" s="55" t="inlineStr">
        <is>
          <t>AssertionError: Not equal to tolerance rtol=1e-07, atol=1e-12 | AssertionError: Not equal to tolerance rtol=1e-07, atol=1e-12 Requested Z on qubits 3..7, not on qubits 2..6 Mismatched elements: 1024 / 1024 (100%) Max absolute difference: 1. Max relat</t>
        </is>
      </c>
      <c r="AK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L62" s="55" t="inlineStr">
        <is>
          <t>AssertionError</t>
        </is>
      </c>
      <c r="AM62" s="55" t="inlineStr">
        <is>
          <t>AssertionError: Not equal to tolerance rtol=1e-07, atol=1e-12 | AssertionError: Not equal to tolerance rtol=1e-07, atol=1e-12 Requested Z on qubits 3..7, not on qubits 2..6 Mismatched elements: 1024 / 1024 (100%) Max absolute difference: 1. Max relat</t>
        </is>
      </c>
      <c r="AN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O62" s="55" t="inlineStr">
        <is>
          <t>AssertionError</t>
        </is>
      </c>
      <c r="AP62" s="55" t="inlineStr">
        <is>
          <t>AssertionError: Not equal to tolerance rtol=1e-07, atol=1e-12 | AssertionError: Not equal to tolerance rtol=1e-07, atol=1e-12 Requested Z on qubits 3..7, not on qubits 2..6 Mismatched elements: 1024 / 1024 (100%) Max absolute difference: 1. Max relat</t>
        </is>
      </c>
      <c r="AQ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R62" s="55" t="inlineStr">
        <is>
          <t>AssertionError</t>
        </is>
      </c>
      <c r="AS62" s="55" t="inlineStr">
        <is>
          <t>AssertionError: Not equal to tolerance rtol=1e-07, atol=1e-12 | AssertionError: Not equal to tolerance rtol=1e-07, atol=1e-12 Requested Z on qubits 3..7, not on qubits 2..6 Mismatched elements: 1024 / 1024 (100%) Max absolute difference: 1. Max relat</t>
        </is>
      </c>
      <c r="AT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U62" s="55" t="inlineStr">
        <is>
          <t>AssertionError</t>
        </is>
      </c>
      <c r="AV62" s="55" t="inlineStr">
        <is>
          <t>AssertionError: Not equal to tolerance rtol=1e-07, atol=1e-12 | AssertionError: Not equal to tolerance rtol=1e-07, atol=1e-12 Requested Z on qubits 3..7, not on qubits 2..6 Mismatched elements: 1024 / 1024 (100%) Max absolute difference: 1. Max relat</t>
        </is>
      </c>
      <c r="AW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X62" s="55" t="inlineStr">
        <is>
          <t>AssertionError</t>
        </is>
      </c>
      <c r="AY62" s="55" t="inlineStr">
        <is>
          <t>AssertionError: Not equal to tolerance rtol=1e-07, atol=1e-12 | AssertionError: Not equal to tolerance rtol=1e-07, atol=1e-12 Requested Z on qubits 3..7, not on qubits 2..6 Mismatched elements: 1024 / 1024 (100%) Max absolute difference: 1. Max relat</t>
        </is>
      </c>
      <c r="AZ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A62" s="55" t="inlineStr">
        <is>
          <t>AssertionError</t>
        </is>
      </c>
      <c r="BB62" s="55" t="inlineStr">
        <is>
          <t>AssertionError: Not equal to tolerance rtol=1e-07, atol=1e-12 | AssertionError: Not equal to tolerance rtol=1e-07, atol=1e-12 Requested Z on qubits 3..7, not on qubits 2..6 Mismatched elements: 1024 / 1024 (100%) Max absolute difference: 1. Max relat</t>
        </is>
      </c>
      <c r="BC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D62" s="55" t="inlineStr">
        <is>
          <t>AssertionError</t>
        </is>
      </c>
      <c r="BE62" s="55" t="inlineStr">
        <is>
          <t>AssertionError: Not equal to tolerance rtol=1e-07, atol=1e-12 | AssertionError: Not equal to tolerance rtol=1e-07, atol=1e-12 Requested Z on qubits 3..7, not on qubits 2..6 Mismatched elements: 1024 / 1024 (100%) Max absolute difference: 1. Max relat</t>
        </is>
      </c>
      <c r="BF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G62" s="55" t="inlineStr">
        <is>
          <t>AssertionError</t>
        </is>
      </c>
      <c r="BH62" s="55" t="inlineStr">
        <is>
          <t>AssertionError: Not equal to tolerance rtol=1e-07, atol=1e-12 | AssertionError: Not equal to tolerance rtol=1e-07, atol=1e-12 Requested Z on qubits 3..7, not on qubits 2..6 Mismatched elements: 1024 / 1024 (100%) First 5 mismatches are at indices: [0</t>
        </is>
      </c>
      <c r="BI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J62" s="55" t="inlineStr">
        <is>
          <t>AssertionError</t>
        </is>
      </c>
      <c r="BK62" s="55" t="inlineStr">
        <is>
          <t>AssertionError: Not equal to tolerance rtol=1e-07, atol=1e-12 | AssertionError: Not equal to tolerance rtol=1e-07, atol=1e-12 Requested Z on qubits 3..7, not on qubits 2..6 Mismatched elements: 1024 / 1024 (100%) First 5 mismatches are at indices: [0</t>
        </is>
      </c>
      <c r="BL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M62" s="55" t="inlineStr">
        <is>
          <t>AssertionError</t>
        </is>
      </c>
      <c r="BN62" s="55" t="inlineStr">
        <is>
          <t>AssertionError: Not equal to tolerance rtol=1e-07, atol=1e-12 | AssertionError: Not equal to tolerance rtol=1e-07, atol=1e-12 Requested Z on qubits 3..7, not on qubits 2..6 Mismatched elements: 1024 / 1024 (100%) Max absolute difference: 1. Max relat</t>
        </is>
      </c>
      <c r="BO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P62" s="55" t="inlineStr">
        <is>
          <t>AssertionError</t>
        </is>
      </c>
      <c r="BQ62" s="55" t="inlineStr">
        <is>
          <t>AssertionError: Not equal to tolerance rtol=1e-07, atol=1e-12 | AssertionError: Not equal to tolerance rtol=1e-07, atol=1e-12 Requested Z on qubits 3..7, not on qubits 2..6 Mismatched elements: 1024 / 1024 (100%) Max absolute difference: 1. Max relat</t>
        </is>
      </c>
      <c r="BR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S62" s="55" t="inlineStr">
        <is>
          <t>AssertionError</t>
        </is>
      </c>
      <c r="BT62" s="55" t="inlineStr">
        <is>
          <t>AssertionError: Not equal to tolerance rtol=1e-07, atol=1e-12 | AssertionError: Not equal to tolerance rtol=1e-07, atol=1e-12 Requested Z on qubits 3..7, not on qubits 2..6 Mismatched elements: 1024 / 1024 (100%) Max absolute difference: 1. Max relat</t>
        </is>
      </c>
      <c r="BU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V62" s="55" t="inlineStr">
        <is>
          <t>AssertionError</t>
        </is>
      </c>
      <c r="BW62" s="55" t="inlineStr">
        <is>
          <t>AssertionError: Not equal to tolerance rtol=1e-07, atol=1e-12 | AssertionError: Not equal to tolerance rtol=1e-07, atol=1e-12 Requested Z on qubits 3..7, not on qubits 2..6 Mismatched elements: 1024 / 1024 (100%) First 5 mismatches are at indices: [0</t>
        </is>
      </c>
      <c r="BX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Y62" s="55" t="inlineStr">
        <is>
          <t>AssertionError</t>
        </is>
      </c>
      <c r="BZ62" s="55" t="inlineStr">
        <is>
          <t>AssertionError: Not equal to tolerance rtol=1e-07, atol=1e-12 | AssertionError: Not equal to tolerance rtol=1e-07, atol=1e-12 Requested Z on qubits 3..7, not on qubits 2..6 Mismatched elements: 1024 / 1024 (100%) First 5 mismatches are at indices: [0</t>
        </is>
      </c>
      <c r="CA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B62" s="55" t="inlineStr">
        <is>
          <t>AssertionError</t>
        </is>
      </c>
      <c r="CC62" s="55" t="inlineStr">
        <is>
          <t>AssertionError: Not equal to tolerance rtol=1e-07, atol=1e-12 | AssertionError: Not equal to tolerance rtol=1e-07, atol=1e-12 Requested Z on qubits 3..7, not on qubits 2..6 Mismatched elements: 1024 / 1024 (100%) First 5 mismatches are at indices: [0</t>
        </is>
      </c>
      <c r="CD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E62" s="55" t="inlineStr">
        <is>
          <t>AssertionError</t>
        </is>
      </c>
      <c r="CF62" s="55" t="inlineStr">
        <is>
          <t>AssertionError: Not equal to tolerance rtol=1e-07, atol=1e-12 | AssertionError: Not equal to tolerance rtol=1e-07, atol=1e-12 Requested Z on qubits 3..7, not on qubits 2..6 Mismatched elements: 1024 / 1024 (100%) First 5 mismatches are at indices: [0</t>
        </is>
      </c>
      <c r="CG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H62" s="55" t="inlineStr">
        <is>
          <t>AssertionError</t>
        </is>
      </c>
      <c r="CI62" s="55" t="inlineStr">
        <is>
          <t>AssertionError: Not equal to tolerance rtol=1e-07, atol=1e-12 | AssertionError: Not equal to tolerance rtol=1e-07, atol=1e-12 Requested Z on qubits 3..7, not on qubits 2..6 Mismatched elements: 1024 / 1024 (100%) First 5 mismatches are at indices: [0</t>
        </is>
      </c>
      <c r="CJ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K62" s="55" t="inlineStr">
        <is>
          <t>AssertionError</t>
        </is>
      </c>
      <c r="CL62" s="55" t="inlineStr">
        <is>
          <t>AssertionError: Not equal to tolerance rtol=1e-07, atol=1e-12 | AssertionError: Not equal to tolerance rtol=1e-07, atol=1e-12 Requested Z on qubits 3..7, not on qubits 2..6 Mismatched elements: 1024 / 1024 (100%) First 5 mismatches are at indices: [0</t>
        </is>
      </c>
      <c r="CM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N62" s="55" t="inlineStr">
        <is>
          <t>AssertionError</t>
        </is>
      </c>
      <c r="CO62" s="55" t="inlineStr">
        <is>
          <t>AssertionError: Not equal to tolerance rtol=1e-07, atol=1e-12 | AssertionError: Not equal to tolerance rtol=1e-07, atol=1e-12 Requested Z on qubits 3..7, not on qubits 2..6 Mismatched elements: 1024 / 1024 (100%) First 5 mismatches are at indices: [0</t>
        </is>
      </c>
      <c r="CP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Q62" s="55" t="inlineStr">
        <is>
          <t>AssertionError</t>
        </is>
      </c>
      <c r="CR62" s="55" t="inlineStr">
        <is>
          <t>AssertionError: Not equal to tolerance rtol=1e-07, atol=1e-12 | AssertionError: Not equal to tolerance rtol=1e-07, atol=1e-12 Requested Z on qubits 3..7, not on qubits 2..6 Mismatched elements: 1024 / 1024 (100%) First 5 mismatches are at indices: [0</t>
        </is>
      </c>
      <c r="CS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T62" s="55" t="inlineStr">
        <is>
          <t>AssertionError</t>
        </is>
      </c>
      <c r="CU62" s="55" t="inlineStr">
        <is>
          <t>AssertionError: Not equal to tolerance rtol=1e-07, atol=1e-12 | AssertionError: Not equal to tolerance rtol=1e-07, atol=1e-12 Requested Z on qubits 3..7, not on qubits 2..6 Mismatched elements: 1024 / 1024 (100%) First 5 mismatches are at indices: [0</t>
        </is>
      </c>
      <c r="CV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W62" s="55" t="inlineStr">
        <is>
          <t>AssertionError</t>
        </is>
      </c>
      <c r="CX62" s="55" t="inlineStr">
        <is>
          <t>AssertionError: Not equal to tolerance rtol=1e-07, atol=1e-12 | AssertionError: Not equal to tolerance rtol=1e-07, atol=1e-12 Requested Z on qubits 3..7, not on qubits 2..6 Mismatched elements: 1024 / 1024 (100%) First 5 mismatches are at indices: [0</t>
        </is>
      </c>
      <c r="CY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Z62" s="55" t="inlineStr">
        <is>
          <t>AssertionError</t>
        </is>
      </c>
      <c r="DA62" s="55" t="inlineStr">
        <is>
          <t>AssertionError: Not equal to tolerance rtol=1e-07, atol=1e-12 | AssertionError: Not equal to tolerance rtol=1e-07, atol=1e-12 Requested Z on qubits 3..7, not on qubits 2..6 Mismatched elements: 1024 / 1024 (100%) First 5 mismatches are at indices: [0</t>
        </is>
      </c>
      <c r="DB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DC62" s="55" t="inlineStr">
        <is>
          <t>AssertionError</t>
        </is>
      </c>
      <c r="DD62" s="55" t="inlineStr">
        <is>
          <t>AssertionError: Not equal to tolerance rtol=1e-07, atol=1e-12 | AssertionError: Not equal to tolerance rtol=1e-07, atol=1e-12 Requested Z on qubits 3..7, not on qubits 2..6 Mismatched elements: 1024 / 1024 (100%) First 5 mismatches are at indices: [0</t>
        </is>
      </c>
      <c r="D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row>
    <row r="63">
      <c r="A63" s="55" t="inlineStr">
        <is>
          <t>issue_958</t>
        </is>
      </c>
      <c r="B63" s="56" t="inlineStr">
        <is>
          <t>NOT_TESTED</t>
        </is>
      </c>
      <c r="C63" s="56" t="inlineStr">
        <is>
          <t>NOT_TESTED</t>
        </is>
      </c>
      <c r="D63" s="56" t="inlineStr">
        <is>
          <t>NOT_TESTED</t>
        </is>
      </c>
      <c r="E63" s="56" t="inlineStr">
        <is>
          <t>NOT_TESTED</t>
        </is>
      </c>
      <c r="F63" s="58" t="inlineStr">
        <is>
          <t>FAIL</t>
        </is>
      </c>
      <c r="G63" s="58" t="inlineStr">
        <is>
          <t>FAIL</t>
        </is>
      </c>
      <c r="H63" s="58" t="inlineStr">
        <is>
          <t>FAIL</t>
        </is>
      </c>
      <c r="I63" s="58" t="inlineStr">
        <is>
          <t>FAIL</t>
        </is>
      </c>
      <c r="J63" s="58" t="inlineStr">
        <is>
          <t>FAIL</t>
        </is>
      </c>
      <c r="K63" s="58" t="inlineStr">
        <is>
          <t>FAIL</t>
        </is>
      </c>
      <c r="L63" s="58" t="inlineStr">
        <is>
          <t>FAIL</t>
        </is>
      </c>
      <c r="M63" s="58" t="inlineStr">
        <is>
          <t>FAIL</t>
        </is>
      </c>
      <c r="N63" s="58" t="inlineStr">
        <is>
          <t>FAIL</t>
        </is>
      </c>
      <c r="O63" s="58" t="inlineStr">
        <is>
          <t>FAIL</t>
        </is>
      </c>
      <c r="P63" s="58" t="inlineStr">
        <is>
          <t>FAIL</t>
        </is>
      </c>
      <c r="Q63" s="58" t="inlineStr">
        <is>
          <t>FAIL</t>
        </is>
      </c>
      <c r="R63" s="58" t="inlineStr">
        <is>
          <t>FAIL</t>
        </is>
      </c>
      <c r="S63" s="58" t="inlineStr">
        <is>
          <t>FAIL</t>
        </is>
      </c>
      <c r="T63" s="58" t="inlineStr">
        <is>
          <t>FAIL</t>
        </is>
      </c>
      <c r="U63" s="58" t="inlineStr">
        <is>
          <t>FAIL</t>
        </is>
      </c>
      <c r="V63" s="58" t="inlineStr">
        <is>
          <t>FAIL</t>
        </is>
      </c>
      <c r="W63" s="58" t="inlineStr">
        <is>
          <t>FAIL</t>
        </is>
      </c>
      <c r="X63" s="58" t="inlineStr">
        <is>
          <t>FAIL</t>
        </is>
      </c>
      <c r="Y63" s="58" t="inlineStr">
        <is>
          <t>FAIL</t>
        </is>
      </c>
      <c r="Z63" s="58" t="inlineStr">
        <is>
          <t>FAIL</t>
        </is>
      </c>
      <c r="AA63" s="58" t="inlineStr">
        <is>
          <t>FAIL</t>
        </is>
      </c>
      <c r="AB63" s="58" t="inlineStr">
        <is>
          <t>FAIL</t>
        </is>
      </c>
      <c r="AC63" s="55" t="n"/>
      <c r="AD63" s="55" t="n"/>
      <c r="AE63" s="55" t="n"/>
      <c r="AF63" s="55" t="n"/>
      <c r="AG63" s="55" t="n"/>
      <c r="AH63" s="55" t="n"/>
      <c r="AI63" s="55" t="n"/>
      <c r="AJ63" s="55" t="n"/>
      <c r="AK63" s="55" t="n"/>
      <c r="AL63" s="55" t="n"/>
      <c r="AM63" s="55" t="n"/>
      <c r="AN63" s="55" t="n"/>
      <c r="AO63" s="55" t="inlineStr">
        <is>
          <t>AssertionError</t>
        </is>
      </c>
      <c r="AP63" s="55" t="inlineStr">
        <is>
          <t>AssertionError: Not equal to tolerance rtol=1e-07, atol=1e-12</t>
        </is>
      </c>
      <c r="AQ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R63" s="55" t="inlineStr">
        <is>
          <t>AssertionError</t>
        </is>
      </c>
      <c r="AS63" s="55" t="inlineStr">
        <is>
          <t>AssertionError: Not equal to tolerance rtol=1e-07, atol=1e-12</t>
        </is>
      </c>
      <c r="AT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U63" s="55" t="inlineStr">
        <is>
          <t>AssertionError</t>
        </is>
      </c>
      <c r="AV63" s="55" t="inlineStr">
        <is>
          <t>AssertionError: Not equal to tolerance rtol=1e-07, atol=1e-12</t>
        </is>
      </c>
      <c r="AW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X63" s="55" t="inlineStr">
        <is>
          <t>AssertionError</t>
        </is>
      </c>
      <c r="AY63" s="55" t="inlineStr">
        <is>
          <t>AssertionError: Not equal to tolerance rtol=1e-07, atol=1e-12</t>
        </is>
      </c>
      <c r="AZ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A63" s="55" t="inlineStr">
        <is>
          <t>AssertionError</t>
        </is>
      </c>
      <c r="BB63" s="55" t="inlineStr">
        <is>
          <t>AssertionError: Not equal to tolerance rtol=1e-07, atol=1e-12</t>
        </is>
      </c>
      <c r="BC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D63" s="55" t="inlineStr">
        <is>
          <t>AssertionError</t>
        </is>
      </c>
      <c r="BE63" s="55" t="inlineStr">
        <is>
          <t>AssertionError: Not equal to tolerance rtol=1e-07, atol=1e-12</t>
        </is>
      </c>
      <c r="BF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G63" s="55" t="inlineStr">
        <is>
          <t>AssertionError</t>
        </is>
      </c>
      <c r="BH63" s="55" t="inlineStr">
        <is>
          <t>AssertionError: Not equal to tolerance rtol=1e-07, atol=1e-12</t>
        </is>
      </c>
      <c r="BI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J63" s="55" t="inlineStr">
        <is>
          <t>AssertionError</t>
        </is>
      </c>
      <c r="BK63" s="55" t="inlineStr">
        <is>
          <t>AssertionError: Not equal to tolerance rtol=1e-07, atol=1e-12</t>
        </is>
      </c>
      <c r="BL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M63" s="55" t="inlineStr">
        <is>
          <t>AssertionError</t>
        </is>
      </c>
      <c r="BN63" s="55" t="inlineStr">
        <is>
          <t>AssertionError: Not equal to tolerance rtol=1e-07, atol=1e-12</t>
        </is>
      </c>
      <c r="BO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P63" s="55" t="inlineStr">
        <is>
          <t>AssertionError</t>
        </is>
      </c>
      <c r="BQ63" s="55" t="inlineStr">
        <is>
          <t>AssertionError: Not equal to tolerance rtol=1e-07, atol=1e-12</t>
        </is>
      </c>
      <c r="BR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S63" s="55" t="inlineStr">
        <is>
          <t>AssertionError</t>
        </is>
      </c>
      <c r="BT63" s="55" t="inlineStr">
        <is>
          <t>AssertionError: Not equal to tolerance rtol=1e-07, atol=1e-12</t>
        </is>
      </c>
      <c r="BU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V63" s="55" t="inlineStr">
        <is>
          <t>AssertionError</t>
        </is>
      </c>
      <c r="BW63" s="55" t="inlineStr">
        <is>
          <t>AssertionError: Not equal to tolerance rtol=1e-07, atol=1e-12</t>
        </is>
      </c>
      <c r="BX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Y63" s="55" t="inlineStr">
        <is>
          <t>AssertionError</t>
        </is>
      </c>
      <c r="BZ63" s="55" t="inlineStr">
        <is>
          <t>AssertionError: Not equal to tolerance rtol=1e-07, atol=1e-12</t>
        </is>
      </c>
      <c r="CA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B63" s="55" t="inlineStr">
        <is>
          <t>AssertionError</t>
        </is>
      </c>
      <c r="CC63" s="55" t="inlineStr">
        <is>
          <t>AssertionError: Not equal to tolerance rtol=1e-07, atol=1e-12</t>
        </is>
      </c>
      <c r="CD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E63" s="55" t="inlineStr">
        <is>
          <t>AssertionError</t>
        </is>
      </c>
      <c r="CF63" s="55" t="inlineStr">
        <is>
          <t>AssertionError: Not equal to tolerance rtol=1e-07, atol=1e-12</t>
        </is>
      </c>
      <c r="CG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H63" s="55" t="inlineStr">
        <is>
          <t>AssertionError</t>
        </is>
      </c>
      <c r="CI63" s="55" t="inlineStr">
        <is>
          <t>AssertionError: Not equal to tolerance rtol=1e-07, atol=1e-12</t>
        </is>
      </c>
      <c r="CJ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K63" s="55" t="inlineStr">
        <is>
          <t>AssertionError</t>
        </is>
      </c>
      <c r="CL63" s="55" t="inlineStr">
        <is>
          <t>AssertionError: Not equal to tolerance rtol=1e-07, atol=1e-12</t>
        </is>
      </c>
      <c r="CM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N63" s="55" t="inlineStr">
        <is>
          <t>AssertionError</t>
        </is>
      </c>
      <c r="CO63" s="55" t="inlineStr">
        <is>
          <t>AssertionError: Not equal to tolerance rtol=1e-07, atol=1e-12</t>
        </is>
      </c>
      <c r="CP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Q63" s="55" t="inlineStr">
        <is>
          <t>AssertionError</t>
        </is>
      </c>
      <c r="CR63" s="55" t="inlineStr">
        <is>
          <t>AssertionError: Not equal to tolerance rtol=1e-07, atol=1e-12</t>
        </is>
      </c>
      <c r="CS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T63" s="55" t="inlineStr">
        <is>
          <t>AssertionError</t>
        </is>
      </c>
      <c r="CU63" s="55" t="inlineStr">
        <is>
          <t>AssertionError: Not equal to tolerance rtol=1e-07, atol=1e-12</t>
        </is>
      </c>
      <c r="CV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W63" s="55" t="inlineStr">
        <is>
          <t>AssertionError</t>
        </is>
      </c>
      <c r="CX63" s="55" t="inlineStr">
        <is>
          <t>AssertionError: Not equal to tolerance rtol=1e-07, atol=1e-12</t>
        </is>
      </c>
      <c r="CY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Z63" s="55" t="inlineStr">
        <is>
          <t>AssertionError</t>
        </is>
      </c>
      <c r="DA63" s="55" t="inlineStr">
        <is>
          <t>AssertionError: Not equal to tolerance rtol=1e-07, atol=1e-12</t>
        </is>
      </c>
      <c r="DB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DC63" s="55" t="inlineStr">
        <is>
          <t>AssertionError</t>
        </is>
      </c>
      <c r="DD63" s="55" t="inlineStr">
        <is>
          <t>AssertionError: Not equal to tolerance rtol=1e-07, atol=1e-12</t>
        </is>
      </c>
      <c r="DE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row>
    <row r="64">
      <c r="A64" s="55" t="inlineStr">
        <is>
          <t>issue_977</t>
        </is>
      </c>
      <c r="B64" s="56" t="inlineStr">
        <is>
          <t>NOT_TESTED</t>
        </is>
      </c>
      <c r="C64" s="56" t="inlineStr">
        <is>
          <t>NOT_TESTED</t>
        </is>
      </c>
      <c r="D64" s="56" t="inlineStr">
        <is>
          <t>NOT_TESTED</t>
        </is>
      </c>
      <c r="E64" s="56" t="inlineStr">
        <is>
          <t>NOT_TESTED</t>
        </is>
      </c>
      <c r="F64" s="57" t="inlineStr">
        <is>
          <t>ERROR</t>
        </is>
      </c>
      <c r="G64" s="57" t="inlineStr">
        <is>
          <t>ERROR</t>
        </is>
      </c>
      <c r="H64" s="57" t="inlineStr">
        <is>
          <t>ERROR</t>
        </is>
      </c>
      <c r="I64" s="57" t="inlineStr">
        <is>
          <t>ERROR</t>
        </is>
      </c>
      <c r="J64" s="57" t="inlineStr">
        <is>
          <t>ERROR</t>
        </is>
      </c>
      <c r="K64" s="57" t="inlineStr">
        <is>
          <t>ERROR</t>
        </is>
      </c>
      <c r="L64" s="57" t="inlineStr">
        <is>
          <t>ERROR</t>
        </is>
      </c>
      <c r="M64" s="57" t="inlineStr">
        <is>
          <t>ERROR</t>
        </is>
      </c>
      <c r="N64" s="57" t="inlineStr">
        <is>
          <t>ERROR</t>
        </is>
      </c>
      <c r="O64" s="57" t="inlineStr">
        <is>
          <t>ERROR</t>
        </is>
      </c>
      <c r="P64" s="57" t="inlineStr">
        <is>
          <t>ERROR</t>
        </is>
      </c>
      <c r="Q64" s="57" t="inlineStr">
        <is>
          <t>ERROR</t>
        </is>
      </c>
      <c r="R64" s="57" t="inlineStr">
        <is>
          <t>ERROR</t>
        </is>
      </c>
      <c r="S64" s="57" t="inlineStr">
        <is>
          <t>ERROR</t>
        </is>
      </c>
      <c r="T64" s="57" t="inlineStr">
        <is>
          <t>ERROR</t>
        </is>
      </c>
      <c r="U64" s="57" t="inlineStr">
        <is>
          <t>ERROR</t>
        </is>
      </c>
      <c r="V64" s="57" t="inlineStr">
        <is>
          <t>ERROR</t>
        </is>
      </c>
      <c r="W64" s="57" t="inlineStr">
        <is>
          <t>ERROR</t>
        </is>
      </c>
      <c r="X64" s="57" t="inlineStr">
        <is>
          <t>ERROR</t>
        </is>
      </c>
      <c r="Y64" s="57" t="inlineStr">
        <is>
          <t>ERROR</t>
        </is>
      </c>
      <c r="Z64" s="57" t="inlineStr">
        <is>
          <t>ERROR</t>
        </is>
      </c>
      <c r="AA64" s="57" t="inlineStr">
        <is>
          <t>ERROR</t>
        </is>
      </c>
      <c r="AB64" s="57" t="inlineStr">
        <is>
          <t>ERROR</t>
        </is>
      </c>
      <c r="AC64" s="55" t="n"/>
      <c r="AD64" s="55" t="n"/>
      <c r="AE64" s="55" t="n"/>
      <c r="AF64" s="55" t="n"/>
      <c r="AG64" s="55" t="n"/>
      <c r="AH64" s="55" t="n"/>
      <c r="AI64" s="55" t="n"/>
      <c r="AJ64" s="55" t="n"/>
      <c r="AK64" s="55" t="n"/>
      <c r="AL64" s="55" t="n"/>
      <c r="AM64" s="55" t="n"/>
      <c r="AN64" s="55" t="n"/>
      <c r="AO64" s="55" t="inlineStr">
        <is>
          <t>KeyError</t>
        </is>
      </c>
      <c r="AP64" s="55" t="inlineStr">
        <is>
          <t>KeyError: 'op'</t>
        </is>
      </c>
      <c r="AQ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R64" s="55" t="inlineStr">
        <is>
          <t>KeyError</t>
        </is>
      </c>
      <c r="AS64" s="55" t="inlineStr">
        <is>
          <t>KeyError: 'op'</t>
        </is>
      </c>
      <c r="AT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U64" s="55" t="inlineStr">
        <is>
          <t>KeyError</t>
        </is>
      </c>
      <c r="AV64" s="55" t="inlineStr">
        <is>
          <t>KeyError: 'op'</t>
        </is>
      </c>
      <c r="AW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X64" s="55" t="inlineStr">
        <is>
          <t>KeyError</t>
        </is>
      </c>
      <c r="AY64" s="55" t="inlineStr">
        <is>
          <t>KeyError: 'op'</t>
        </is>
      </c>
      <c r="AZ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A64" s="55" t="inlineStr">
        <is>
          <t>KeyError</t>
        </is>
      </c>
      <c r="BB64" s="55" t="inlineStr">
        <is>
          <t>KeyError: 'op'</t>
        </is>
      </c>
      <c r="BC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D64" s="55" t="inlineStr">
        <is>
          <t>KeyError</t>
        </is>
      </c>
      <c r="BE64" s="55" t="inlineStr">
        <is>
          <t>KeyError: 'op'</t>
        </is>
      </c>
      <c r="BF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G64" s="55" t="inlineStr">
        <is>
          <t>KeyError</t>
        </is>
      </c>
      <c r="BH64" s="55" t="inlineStr">
        <is>
          <t>KeyError: 'op'</t>
        </is>
      </c>
      <c r="BI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J64" s="55" t="inlineStr">
        <is>
          <t>KeyError</t>
        </is>
      </c>
      <c r="BK64" s="55" t="inlineStr">
        <is>
          <t>KeyError: 'op'</t>
        </is>
      </c>
      <c r="BL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M64" s="55" t="inlineStr">
        <is>
          <t>KeyError</t>
        </is>
      </c>
      <c r="BN64" s="55" t="inlineStr">
        <is>
          <t>KeyError: 'op'</t>
        </is>
      </c>
      <c r="BO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P64" s="55" t="inlineStr">
        <is>
          <t>KeyError</t>
        </is>
      </c>
      <c r="BQ64" s="55" t="inlineStr">
        <is>
          <t>KeyError: 'op'</t>
        </is>
      </c>
      <c r="BR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S64" s="55" t="inlineStr">
        <is>
          <t>KeyError</t>
        </is>
      </c>
      <c r="BT64" s="55" t="inlineStr">
        <is>
          <t>KeyError: 'op'</t>
        </is>
      </c>
      <c r="BU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V64" s="55" t="inlineStr">
        <is>
          <t>KeyError</t>
        </is>
      </c>
      <c r="BW64" s="55" t="inlineStr">
        <is>
          <t>KeyError: 'op'</t>
        </is>
      </c>
      <c r="BX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Y64" s="55" t="inlineStr">
        <is>
          <t>KeyError</t>
        </is>
      </c>
      <c r="BZ64" s="55" t="inlineStr">
        <is>
          <t>KeyError: 'op'</t>
        </is>
      </c>
      <c r="CA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B64" s="55" t="inlineStr">
        <is>
          <t>KeyError</t>
        </is>
      </c>
      <c r="CC64" s="55" t="inlineStr">
        <is>
          <t>KeyError: 'op'</t>
        </is>
      </c>
      <c r="CD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E64" s="55" t="inlineStr">
        <is>
          <t>KeyError</t>
        </is>
      </c>
      <c r="CF64" s="55" t="inlineStr">
        <is>
          <t>KeyError: 'op'</t>
        </is>
      </c>
      <c r="CG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H64" s="55" t="inlineStr">
        <is>
          <t>KeyError</t>
        </is>
      </c>
      <c r="CI64" s="55" t="inlineStr">
        <is>
          <t>KeyError: 'op'</t>
        </is>
      </c>
      <c r="CJ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K64" s="55" t="inlineStr">
        <is>
          <t>KeyError</t>
        </is>
      </c>
      <c r="CL64" s="55" t="inlineStr">
        <is>
          <t>KeyError: 'op'</t>
        </is>
      </c>
      <c r="CM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N64" s="55" t="inlineStr">
        <is>
          <t>KeyError</t>
        </is>
      </c>
      <c r="CO64" s="55" t="inlineStr">
        <is>
          <t>KeyError: 'op'</t>
        </is>
      </c>
      <c r="CP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Q64" s="55" t="inlineStr">
        <is>
          <t>KeyError</t>
        </is>
      </c>
      <c r="CR64" s="55" t="inlineStr">
        <is>
          <t>KeyError: 'op'</t>
        </is>
      </c>
      <c r="CS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T64" s="55" t="inlineStr">
        <is>
          <t>KeyError</t>
        </is>
      </c>
      <c r="CU64" s="55" t="inlineStr">
        <is>
          <t>KeyError: 'op'</t>
        </is>
      </c>
      <c r="CV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W64" s="55" t="inlineStr">
        <is>
          <t>KeyError</t>
        </is>
      </c>
      <c r="CX64" s="55" t="inlineStr">
        <is>
          <t>KeyError: 'op'</t>
        </is>
      </c>
      <c r="CY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Z64" s="55" t="inlineStr">
        <is>
          <t>KeyError</t>
        </is>
      </c>
      <c r="DA64" s="55" t="inlineStr">
        <is>
          <t>KeyError: 'op'</t>
        </is>
      </c>
      <c r="DB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DC64" s="55" t="inlineStr">
        <is>
          <t>KeyError</t>
        </is>
      </c>
      <c r="DD64" s="55" t="inlineStr">
        <is>
          <t>KeyError: 'op'</t>
        </is>
      </c>
      <c r="DE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row>
    <row r="65">
      <c r="A65" s="55" t="inlineStr">
        <is>
          <t>issue_985</t>
        </is>
      </c>
      <c r="B65" s="56" t="inlineStr">
        <is>
          <t>NOT_TESTED</t>
        </is>
      </c>
      <c r="C65" s="56" t="inlineStr">
        <is>
          <t>NOT_TESTED</t>
        </is>
      </c>
      <c r="D65" s="56" t="inlineStr">
        <is>
          <t>NOT_TESTED</t>
        </is>
      </c>
      <c r="E65" s="56" t="inlineStr">
        <is>
          <t>NOT_TESTED</t>
        </is>
      </c>
      <c r="F65" s="58" t="inlineStr">
        <is>
          <t>FAIL</t>
        </is>
      </c>
      <c r="G65" s="58" t="inlineStr">
        <is>
          <t>FAIL</t>
        </is>
      </c>
      <c r="H65" s="58" t="inlineStr">
        <is>
          <t>FAIL</t>
        </is>
      </c>
      <c r="I65" s="58" t="inlineStr">
        <is>
          <t>FAIL</t>
        </is>
      </c>
      <c r="J65" s="58" t="inlineStr">
        <is>
          <t>FAIL</t>
        </is>
      </c>
      <c r="K65" s="58" t="inlineStr">
        <is>
          <t>FAIL</t>
        </is>
      </c>
      <c r="L65" s="58" t="inlineStr">
        <is>
          <t>FAIL</t>
        </is>
      </c>
      <c r="M65" s="58" t="inlineStr">
        <is>
          <t>FAIL</t>
        </is>
      </c>
      <c r="N65" s="58" t="inlineStr">
        <is>
          <t>FAIL</t>
        </is>
      </c>
      <c r="O65" s="58" t="inlineStr">
        <is>
          <t>FAIL</t>
        </is>
      </c>
      <c r="P65" s="58" t="inlineStr">
        <is>
          <t>FAIL</t>
        </is>
      </c>
      <c r="Q65" s="58" t="inlineStr">
        <is>
          <t>FAIL</t>
        </is>
      </c>
      <c r="R65" s="58" t="inlineStr">
        <is>
          <t>FAIL</t>
        </is>
      </c>
      <c r="S65" s="58" t="inlineStr">
        <is>
          <t>FAIL</t>
        </is>
      </c>
      <c r="T65" s="58" t="inlineStr">
        <is>
          <t>FAIL</t>
        </is>
      </c>
      <c r="U65" s="58" t="inlineStr">
        <is>
          <t>FAIL</t>
        </is>
      </c>
      <c r="V65" s="58" t="inlineStr">
        <is>
          <t>FAIL</t>
        </is>
      </c>
      <c r="W65" s="58" t="inlineStr">
        <is>
          <t>FAIL</t>
        </is>
      </c>
      <c r="X65" s="58" t="inlineStr">
        <is>
          <t>FAIL</t>
        </is>
      </c>
      <c r="Y65" s="58" t="inlineStr">
        <is>
          <t>FAIL</t>
        </is>
      </c>
      <c r="Z65" s="58" t="inlineStr">
        <is>
          <t>FAIL</t>
        </is>
      </c>
      <c r="AA65" s="58" t="inlineStr">
        <is>
          <t>FAIL</t>
        </is>
      </c>
      <c r="AB65" s="58" t="inlineStr">
        <is>
          <t>FAIL</t>
        </is>
      </c>
      <c r="AC65" s="55" t="n"/>
      <c r="AD65" s="55" t="n"/>
      <c r="AE65" s="55" t="n"/>
      <c r="AF65" s="55" t="n"/>
      <c r="AG65" s="55" t="n"/>
      <c r="AH65" s="55" t="n"/>
      <c r="AI65" s="55" t="n"/>
      <c r="AJ65" s="55" t="n"/>
      <c r="AK65" s="55" t="n"/>
      <c r="AL65" s="55" t="n"/>
      <c r="AM65" s="55" t="n"/>
      <c r="AN65" s="55" t="n"/>
      <c r="AO65" s="55" t="inlineStr">
        <is>
          <t>AssertionError</t>
        </is>
      </c>
      <c r="AP65" s="55" t="inlineStr">
        <is>
          <t>AssertionError: Not equal to tolerance rtol=1e-07, atol=1e-12</t>
        </is>
      </c>
      <c r="AQ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R65" s="55" t="inlineStr">
        <is>
          <t>AssertionError</t>
        </is>
      </c>
      <c r="AS65" s="55" t="inlineStr">
        <is>
          <t>AssertionError: Not equal to tolerance rtol=1e-07, atol=1e-12</t>
        </is>
      </c>
      <c r="AT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U65" s="55" t="inlineStr">
        <is>
          <t>AssertionError</t>
        </is>
      </c>
      <c r="AV65" s="55" t="inlineStr">
        <is>
          <t>AssertionError: Not equal to tolerance rtol=1e-07, atol=1e-12</t>
        </is>
      </c>
      <c r="AW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X65" s="55" t="inlineStr">
        <is>
          <t>AssertionError</t>
        </is>
      </c>
      <c r="AY65" s="55" t="inlineStr">
        <is>
          <t>AssertionError: Not equal to tolerance rtol=1e-07, atol=1e-12</t>
        </is>
      </c>
      <c r="AZ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A65" s="55" t="inlineStr">
        <is>
          <t>AssertionError</t>
        </is>
      </c>
      <c r="BB65" s="55" t="inlineStr">
        <is>
          <t>AssertionError: Not equal to tolerance rtol=1e-07, atol=1e-12</t>
        </is>
      </c>
      <c r="BC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D65" s="55" t="inlineStr">
        <is>
          <t>AssertionError</t>
        </is>
      </c>
      <c r="BE65" s="55" t="inlineStr">
        <is>
          <t>AssertionError: Not equal to tolerance rtol=1e-07, atol=1e-12</t>
        </is>
      </c>
      <c r="BF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G65" s="55" t="inlineStr">
        <is>
          <t>AssertionError</t>
        </is>
      </c>
      <c r="BH65" s="55" t="inlineStr">
        <is>
          <t>AssertionError: Not equal to tolerance rtol=1e-07, atol=1e-12</t>
        </is>
      </c>
      <c r="BI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J65" s="55" t="inlineStr">
        <is>
          <t>AssertionError</t>
        </is>
      </c>
      <c r="BK65" s="55" t="inlineStr">
        <is>
          <t>AssertionError: Not equal to tolerance rtol=1e-07, atol=1e-12</t>
        </is>
      </c>
      <c r="BL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M65" s="55" t="inlineStr">
        <is>
          <t>AssertionError</t>
        </is>
      </c>
      <c r="BN65" s="55" t="inlineStr">
        <is>
          <t>AssertionError: Not equal to tolerance rtol=1e-07, atol=1e-12</t>
        </is>
      </c>
      <c r="BO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P65" s="55" t="inlineStr">
        <is>
          <t>AssertionError</t>
        </is>
      </c>
      <c r="BQ65" s="55" t="inlineStr">
        <is>
          <t>AssertionError: Not equal to tolerance rtol=1e-07, atol=1e-12</t>
        </is>
      </c>
      <c r="BR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S65" s="55" t="inlineStr">
        <is>
          <t>AssertionError</t>
        </is>
      </c>
      <c r="BT65" s="55" t="inlineStr">
        <is>
          <t>AssertionError: Not equal to tolerance rtol=1e-07, atol=1e-12</t>
        </is>
      </c>
      <c r="BU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V65" s="55" t="inlineStr">
        <is>
          <t>AssertionError</t>
        </is>
      </c>
      <c r="BW65" s="55" t="inlineStr">
        <is>
          <t>AssertionError: Not equal to tolerance rtol=1e-07, atol=1e-12</t>
        </is>
      </c>
      <c r="BX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Y65" s="55" t="inlineStr">
        <is>
          <t>AssertionError</t>
        </is>
      </c>
      <c r="BZ65" s="55" t="inlineStr">
        <is>
          <t>AssertionError: Not equal to tolerance rtol=1e-07, atol=1e-12</t>
        </is>
      </c>
      <c r="CA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B65" s="55" t="inlineStr">
        <is>
          <t>AssertionError</t>
        </is>
      </c>
      <c r="CC65" s="55" t="inlineStr">
        <is>
          <t>AssertionError: Not equal to tolerance rtol=1e-07, atol=1e-12</t>
        </is>
      </c>
      <c r="CD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E65" s="55" t="inlineStr">
        <is>
          <t>AssertionError</t>
        </is>
      </c>
      <c r="CF65" s="55" t="inlineStr">
        <is>
          <t>AssertionError: Not equal to tolerance rtol=1e-07, atol=1e-12</t>
        </is>
      </c>
      <c r="CG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H65" s="55" t="inlineStr">
        <is>
          <t>AssertionError</t>
        </is>
      </c>
      <c r="CI65" s="55" t="inlineStr">
        <is>
          <t>AssertionError: Not equal to tolerance rtol=1e-07, atol=1e-12</t>
        </is>
      </c>
      <c r="CJ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K65" s="55" t="inlineStr">
        <is>
          <t>AssertionError</t>
        </is>
      </c>
      <c r="CL65" s="55" t="inlineStr">
        <is>
          <t>AssertionError: Not equal to tolerance rtol=1e-07, atol=1e-12</t>
        </is>
      </c>
      <c r="CM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N65" s="55" t="inlineStr">
        <is>
          <t>AssertionError</t>
        </is>
      </c>
      <c r="CO65" s="55" t="inlineStr">
        <is>
          <t>AssertionError: Not equal to tolerance rtol=1e-07, atol=1e-12</t>
        </is>
      </c>
      <c r="CP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Q65" s="55" t="inlineStr">
        <is>
          <t>AssertionError</t>
        </is>
      </c>
      <c r="CR65" s="55" t="inlineStr">
        <is>
          <t>AssertionError: Not equal to tolerance rtol=1e-07, atol=1e-12</t>
        </is>
      </c>
      <c r="CS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T65" s="55" t="inlineStr">
        <is>
          <t>AssertionError</t>
        </is>
      </c>
      <c r="CU65" s="55" t="inlineStr">
        <is>
          <t>AssertionError: Not equal to tolerance rtol=1e-07, atol=1e-12</t>
        </is>
      </c>
      <c r="CV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W65" s="55" t="inlineStr">
        <is>
          <t>AssertionError</t>
        </is>
      </c>
      <c r="CX65" s="55" t="inlineStr">
        <is>
          <t>AssertionError: Not equal to tolerance rtol=1e-07, atol=1e-12</t>
        </is>
      </c>
      <c r="CY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Z65" s="55" t="inlineStr">
        <is>
          <t>AssertionError</t>
        </is>
      </c>
      <c r="DA65" s="55" t="inlineStr">
        <is>
          <t>AssertionError: Not equal to tolerance rtol=1e-07, atol=1e-12</t>
        </is>
      </c>
      <c r="DB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DC65" s="55" t="inlineStr">
        <is>
          <t>AssertionError</t>
        </is>
      </c>
      <c r="DD65" s="55" t="inlineStr">
        <is>
          <t>AssertionError: Not equal to tolerance rtol=1e-07, atol=1e-12</t>
        </is>
      </c>
      <c r="DE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row>
    <row r="66">
      <c r="A66" s="55" t="inlineStr">
        <is>
          <t>issue_989</t>
        </is>
      </c>
      <c r="B66" s="56" t="inlineStr">
        <is>
          <t>NOT_TESTED</t>
        </is>
      </c>
      <c r="C66" s="56" t="inlineStr">
        <is>
          <t>NOT_TESTED</t>
        </is>
      </c>
      <c r="D66" s="56" t="inlineStr">
        <is>
          <t>NOT_TESTED</t>
        </is>
      </c>
      <c r="E66" s="56" t="inlineStr">
        <is>
          <t>NOT_TESTED</t>
        </is>
      </c>
      <c r="F66" s="56" t="inlineStr">
        <is>
          <t>NOT_TESTED</t>
        </is>
      </c>
      <c r="G66" s="56" t="inlineStr">
        <is>
          <t>NOT_TESTED</t>
        </is>
      </c>
      <c r="H66" s="56" t="inlineStr">
        <is>
          <t>NOT_TESTED</t>
        </is>
      </c>
      <c r="I66" s="56" t="inlineStr">
        <is>
          <t>NOT_TESTED</t>
        </is>
      </c>
      <c r="J66" s="56" t="inlineStr">
        <is>
          <t>NOT_TESTED</t>
        </is>
      </c>
      <c r="K66" s="56" t="inlineStr">
        <is>
          <t>NOT_TESTED</t>
        </is>
      </c>
      <c r="L66" s="56" t="inlineStr">
        <is>
          <t>NOT_TESTED</t>
        </is>
      </c>
      <c r="M66" s="56" t="inlineStr">
        <is>
          <t>NOT_TESTED</t>
        </is>
      </c>
      <c r="N66" s="59" t="inlineStr">
        <is>
          <t>PASS</t>
        </is>
      </c>
      <c r="O66" s="59" t="inlineStr">
        <is>
          <t>PASS</t>
        </is>
      </c>
      <c r="P66" s="59" t="inlineStr">
        <is>
          <t>PASS</t>
        </is>
      </c>
      <c r="Q66" s="59" t="inlineStr">
        <is>
          <t>PASS</t>
        </is>
      </c>
      <c r="R66" s="59" t="inlineStr">
        <is>
          <t>PASS</t>
        </is>
      </c>
      <c r="S66" s="59" t="inlineStr">
        <is>
          <t>PASS</t>
        </is>
      </c>
      <c r="T66" s="59" t="inlineStr">
        <is>
          <t>PASS</t>
        </is>
      </c>
      <c r="U66" s="59" t="inlineStr">
        <is>
          <t>PASS</t>
        </is>
      </c>
      <c r="V66" s="59" t="inlineStr">
        <is>
          <t>PASS</t>
        </is>
      </c>
      <c r="W66" s="59" t="inlineStr">
        <is>
          <t>PASS</t>
        </is>
      </c>
      <c r="X66" s="59" t="inlineStr">
        <is>
          <t>PASS</t>
        </is>
      </c>
      <c r="Y66" s="59" t="inlineStr">
        <is>
          <t>PASS</t>
        </is>
      </c>
      <c r="Z66" s="59" t="inlineStr">
        <is>
          <t>PASS</t>
        </is>
      </c>
      <c r="AA66" s="59" t="inlineStr">
        <is>
          <t>PASS</t>
        </is>
      </c>
      <c r="AB66" s="59" t="inlineStr">
        <is>
          <t>PASS</t>
        </is>
      </c>
      <c r="AC66" s="55" t="n"/>
      <c r="AD66" s="55" t="n"/>
      <c r="AE66" s="55" t="n"/>
      <c r="AF66" s="55" t="n"/>
      <c r="AG66" s="55" t="n"/>
      <c r="AH66" s="55" t="n"/>
      <c r="AI66" s="55" t="n"/>
      <c r="AJ66" s="55" t="n"/>
      <c r="AK66" s="55" t="n"/>
      <c r="AL66" s="55" t="n"/>
      <c r="AM66" s="55" t="n"/>
      <c r="AN66" s="55" t="n"/>
      <c r="AO66" s="55" t="n"/>
      <c r="AP66" s="55" t="n"/>
      <c r="AQ66" s="55" t="n"/>
      <c r="AR66" s="55" t="n"/>
      <c r="AS66" s="55" t="n"/>
      <c r="AT66" s="55" t="n"/>
      <c r="AU66" s="55" t="n"/>
      <c r="AV66" s="55" t="n"/>
      <c r="AW66" s="55" t="n"/>
      <c r="AX66" s="55" t="n"/>
      <c r="AY66" s="55" t="n"/>
      <c r="AZ66" s="55" t="n"/>
      <c r="BA66" s="55" t="n"/>
      <c r="BB66" s="55" t="n"/>
      <c r="BC66" s="55" t="n"/>
      <c r="BD66" s="55" t="n"/>
      <c r="BE66" s="55" t="n"/>
      <c r="BF66" s="55" t="n"/>
      <c r="BG66" s="55" t="n"/>
      <c r="BH66" s="55" t="n"/>
      <c r="BI66" s="55" t="n"/>
      <c r="BJ66" s="55" t="n"/>
      <c r="BK66" s="55" t="n"/>
      <c r="BL66" s="55" t="n"/>
      <c r="BM66" s="55" t="n"/>
      <c r="BN66" s="55" t="n"/>
      <c r="BO66" s="55" t="n"/>
      <c r="BP66" s="55" t="n"/>
      <c r="BQ66" s="55" t="n"/>
      <c r="BR66" s="55" t="n"/>
      <c r="BS66" s="55" t="n"/>
      <c r="BT66" s="55" t="n"/>
      <c r="BU66" s="55" t="n"/>
      <c r="BV66" s="55" t="n"/>
      <c r="BW66" s="55" t="n"/>
      <c r="BX66" s="55" t="n"/>
      <c r="BY66" s="55" t="n"/>
      <c r="BZ66" s="55" t="n"/>
      <c r="CA66" s="55" t="n"/>
      <c r="CB66" s="55" t="n"/>
      <c r="CC66" s="55" t="n"/>
      <c r="CD66" s="55" t="n"/>
      <c r="CE66" s="55" t="n"/>
      <c r="CF66" s="55" t="n"/>
      <c r="CG66" s="55" t="n"/>
      <c r="CH66" s="55" t="n"/>
      <c r="CI66" s="55" t="n"/>
      <c r="CJ66" s="55" t="n"/>
      <c r="CK66" s="55" t="n"/>
      <c r="CL66" s="55" t="n"/>
      <c r="CM66" s="55" t="n"/>
      <c r="CN66" s="55" t="n"/>
      <c r="CO66" s="55" t="n"/>
      <c r="CP66" s="55" t="n"/>
      <c r="CQ66" s="55" t="n"/>
      <c r="CR66" s="55" t="n"/>
      <c r="CS66" s="55" t="n"/>
      <c r="CT66" s="55" t="n"/>
      <c r="CU66" s="55" t="n"/>
      <c r="CV66" s="55" t="n"/>
      <c r="CW66" s="55" t="n"/>
      <c r="CX66" s="55" t="n"/>
      <c r="CY66" s="55" t="n"/>
      <c r="CZ66" s="55" t="n"/>
      <c r="DA66" s="55" t="n"/>
      <c r="DB66" s="55" t="n"/>
      <c r="DC66" s="55" t="n"/>
      <c r="DD66" s="55" t="n"/>
      <c r="DE66" s="55" t="n"/>
    </row>
    <row r="67">
      <c r="A67" s="55" t="inlineStr">
        <is>
          <t>issue_994</t>
        </is>
      </c>
      <c r="B67" s="57" t="inlineStr">
        <is>
          <t>ERROR</t>
        </is>
      </c>
      <c r="C67" s="57" t="inlineStr">
        <is>
          <t>ERROR</t>
        </is>
      </c>
      <c r="D67" s="57" t="inlineStr">
        <is>
          <t>ERROR</t>
        </is>
      </c>
      <c r="E67" s="57" t="inlineStr">
        <is>
          <t>ERROR</t>
        </is>
      </c>
      <c r="F67" s="56" t="inlineStr">
        <is>
          <t>NOT_TESTED</t>
        </is>
      </c>
      <c r="G67" s="56" t="inlineStr">
        <is>
          <t>NOT_TESTED</t>
        </is>
      </c>
      <c r="H67" s="56" t="inlineStr">
        <is>
          <t>NOT_TESTED</t>
        </is>
      </c>
      <c r="I67" s="56" t="inlineStr">
        <is>
          <t>NOT_TESTED</t>
        </is>
      </c>
      <c r="J67" s="56" t="inlineStr">
        <is>
          <t>NOT_TESTED</t>
        </is>
      </c>
      <c r="K67" s="56" t="inlineStr">
        <is>
          <t>NOT_TESTED</t>
        </is>
      </c>
      <c r="L67" s="56" t="inlineStr">
        <is>
          <t>NOT_TESTED</t>
        </is>
      </c>
      <c r="M67" s="56" t="inlineStr">
        <is>
          <t>NOT_TESTED</t>
        </is>
      </c>
      <c r="N67" s="56" t="inlineStr">
        <is>
          <t>NOT_TESTED</t>
        </is>
      </c>
      <c r="O67" s="56" t="inlineStr">
        <is>
          <t>NOT_TESTED</t>
        </is>
      </c>
      <c r="P67" s="56" t="inlineStr">
        <is>
          <t>NOT_TESTED</t>
        </is>
      </c>
      <c r="Q67" s="56" t="inlineStr">
        <is>
          <t>NOT_TESTED</t>
        </is>
      </c>
      <c r="R67" s="56" t="inlineStr">
        <is>
          <t>NOT_TESTED</t>
        </is>
      </c>
      <c r="S67" s="56" t="inlineStr">
        <is>
          <t>NOT_TESTED</t>
        </is>
      </c>
      <c r="T67" s="56" t="inlineStr">
        <is>
          <t>NOT_TESTED</t>
        </is>
      </c>
      <c r="U67" s="56" t="inlineStr">
        <is>
          <t>NOT_TESTED</t>
        </is>
      </c>
      <c r="V67" s="56" t="inlineStr">
        <is>
          <t>NOT_TESTED</t>
        </is>
      </c>
      <c r="W67" s="56" t="inlineStr">
        <is>
          <t>NOT_TESTED</t>
        </is>
      </c>
      <c r="X67" s="56" t="inlineStr">
        <is>
          <t>NOT_TESTED</t>
        </is>
      </c>
      <c r="Y67" s="56" t="inlineStr">
        <is>
          <t>NOT_TESTED</t>
        </is>
      </c>
      <c r="Z67" s="56" t="inlineStr">
        <is>
          <t>NOT_TESTED</t>
        </is>
      </c>
      <c r="AA67" s="56" t="inlineStr">
        <is>
          <t>NOT_TESTED</t>
        </is>
      </c>
      <c r="AB67" s="56" t="inlineStr">
        <is>
          <t>NOT_TESTED</t>
        </is>
      </c>
      <c r="AC67" s="55" t="inlineStr">
        <is>
          <t>KeyError</t>
        </is>
      </c>
      <c r="AD67" s="55" t="inlineStr">
        <is>
          <t>KeyError: 'statevector'</t>
        </is>
      </c>
      <c r="AE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F67" s="55" t="inlineStr">
        <is>
          <t>KeyError</t>
        </is>
      </c>
      <c r="AG67" s="55" t="inlineStr">
        <is>
          <t>KeyError: 'statevector'</t>
        </is>
      </c>
      <c r="AH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I67" s="55" t="inlineStr">
        <is>
          <t>KeyError</t>
        </is>
      </c>
      <c r="AJ67" s="55" t="inlineStr">
        <is>
          <t>KeyError: 'statevector'</t>
        </is>
      </c>
      <c r="AK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L67" s="55" t="inlineStr">
        <is>
          <t>KeyError</t>
        </is>
      </c>
      <c r="AM67" s="55" t="inlineStr">
        <is>
          <t>KeyError: 'statevector'</t>
        </is>
      </c>
      <c r="AN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O67" s="55" t="n"/>
      <c r="AP67" s="55" t="n"/>
      <c r="AQ67" s="55" t="n"/>
      <c r="AR67" s="55" t="n"/>
      <c r="AS67" s="55" t="n"/>
      <c r="AT67" s="55" t="n"/>
      <c r="AU67" s="55" t="n"/>
      <c r="AV67" s="55" t="n"/>
      <c r="AW67" s="55" t="n"/>
      <c r="AX67" s="55" t="n"/>
      <c r="AY67" s="55" t="n"/>
      <c r="AZ67" s="55" t="n"/>
      <c r="BA67" s="55" t="n"/>
      <c r="BB67" s="55" t="n"/>
      <c r="BC67" s="55" t="n"/>
      <c r="BD67" s="55" t="n"/>
      <c r="BE67" s="55" t="n"/>
      <c r="BF67" s="55" t="n"/>
      <c r="BG67" s="55" t="n"/>
      <c r="BH67" s="55" t="n"/>
      <c r="BI67" s="55" t="n"/>
      <c r="BJ67" s="55" t="n"/>
      <c r="BK67" s="55" t="n"/>
      <c r="BL67" s="55" t="n"/>
      <c r="BM67" s="55" t="n"/>
      <c r="BN67" s="55" t="n"/>
      <c r="BO67" s="55" t="n"/>
      <c r="BP67" s="55" t="n"/>
      <c r="BQ67" s="55" t="n"/>
      <c r="BR67" s="55" t="n"/>
      <c r="BS67" s="55" t="n"/>
      <c r="BT67" s="55" t="n"/>
      <c r="BU67" s="55" t="n"/>
      <c r="BV67" s="55" t="n"/>
      <c r="BW67" s="55" t="n"/>
      <c r="BX67" s="55" t="n"/>
      <c r="BY67" s="55" t="n"/>
      <c r="BZ67" s="55" t="n"/>
      <c r="CA67" s="55" t="n"/>
      <c r="CB67" s="55" t="n"/>
      <c r="CC67" s="55" t="n"/>
      <c r="CD67" s="55" t="n"/>
      <c r="CE67" s="55" t="n"/>
      <c r="CF67" s="55" t="n"/>
      <c r="CG67" s="55" t="n"/>
      <c r="CH67" s="55" t="n"/>
      <c r="CI67" s="55" t="n"/>
      <c r="CJ67" s="55" t="n"/>
      <c r="CK67" s="55" t="n"/>
      <c r="CL67" s="55" t="n"/>
      <c r="CM67" s="55" t="n"/>
      <c r="CN67" s="55" t="n"/>
      <c r="CO67" s="55" t="n"/>
      <c r="CP67" s="55" t="n"/>
      <c r="CQ67" s="55" t="n"/>
      <c r="CR67" s="55" t="n"/>
      <c r="CS67" s="55" t="n"/>
      <c r="CT67" s="55" t="n"/>
      <c r="CU67" s="55" t="n"/>
      <c r="CV67" s="55" t="n"/>
      <c r="CW67" s="55" t="n"/>
      <c r="CX67" s="55" t="n"/>
      <c r="CY67" s="55" t="n"/>
      <c r="CZ67" s="55" t="n"/>
      <c r="DA67" s="55" t="n"/>
      <c r="DB67" s="55" t="n"/>
      <c r="DC67" s="55" t="n"/>
      <c r="DD67" s="55" t="n"/>
      <c r="DE67" s="55" t="n"/>
    </row>
    <row r="68">
      <c r="A68" s="55" t="inlineStr">
        <is>
          <t>issue_1035</t>
        </is>
      </c>
      <c r="B68" s="56" t="inlineStr">
        <is>
          <t>NOT_TESTED</t>
        </is>
      </c>
      <c r="C68" s="56" t="inlineStr">
        <is>
          <t>NOT_TESTED</t>
        </is>
      </c>
      <c r="D68" s="56" t="inlineStr">
        <is>
          <t>NOT_TESTED</t>
        </is>
      </c>
      <c r="E68" s="56" t="inlineStr">
        <is>
          <t>NOT_TESTED</t>
        </is>
      </c>
      <c r="F68" s="57" t="inlineStr">
        <is>
          <t>ERROR</t>
        </is>
      </c>
      <c r="G68" s="57" t="inlineStr">
        <is>
          <t>ERROR</t>
        </is>
      </c>
      <c r="H68" s="57" t="inlineStr">
        <is>
          <t>ERROR</t>
        </is>
      </c>
      <c r="I68" s="57" t="inlineStr">
        <is>
          <t>ERROR</t>
        </is>
      </c>
      <c r="J68" s="57" t="inlineStr">
        <is>
          <t>ERROR</t>
        </is>
      </c>
      <c r="K68" s="57" t="inlineStr">
        <is>
          <t>ERROR</t>
        </is>
      </c>
      <c r="L68" s="57" t="inlineStr">
        <is>
          <t>ERROR</t>
        </is>
      </c>
      <c r="M68" s="57" t="inlineStr">
        <is>
          <t>ERROR</t>
        </is>
      </c>
      <c r="N68" s="56" t="inlineStr">
        <is>
          <t>NOT_TESTED</t>
        </is>
      </c>
      <c r="O68" s="56" t="inlineStr">
        <is>
          <t>NOT_TESTED</t>
        </is>
      </c>
      <c r="P68" s="56" t="inlineStr">
        <is>
          <t>NOT_TESTED</t>
        </is>
      </c>
      <c r="Q68" s="56" t="inlineStr">
        <is>
          <t>NOT_TESTED</t>
        </is>
      </c>
      <c r="R68" s="56" t="inlineStr">
        <is>
          <t>NOT_TESTED</t>
        </is>
      </c>
      <c r="S68" s="56" t="inlineStr">
        <is>
          <t>NOT_TESTED</t>
        </is>
      </c>
      <c r="T68" s="56" t="inlineStr">
        <is>
          <t>NOT_TESTED</t>
        </is>
      </c>
      <c r="U68" s="56" t="inlineStr">
        <is>
          <t>NOT_TESTED</t>
        </is>
      </c>
      <c r="V68" s="56" t="inlineStr">
        <is>
          <t>NOT_TESTED</t>
        </is>
      </c>
      <c r="W68" s="56" t="inlineStr">
        <is>
          <t>NOT_TESTED</t>
        </is>
      </c>
      <c r="X68" s="56" t="inlineStr">
        <is>
          <t>NOT_TESTED</t>
        </is>
      </c>
      <c r="Y68" s="56" t="inlineStr">
        <is>
          <t>NOT_TESTED</t>
        </is>
      </c>
      <c r="Z68" s="56" t="inlineStr">
        <is>
          <t>NOT_TESTED</t>
        </is>
      </c>
      <c r="AA68" s="56" t="inlineStr">
        <is>
          <t>NOT_TESTED</t>
        </is>
      </c>
      <c r="AB68" s="56" t="inlineStr">
        <is>
          <t>NOT_TESTED</t>
        </is>
      </c>
      <c r="AC68" s="55" t="n"/>
      <c r="AD68" s="55" t="n"/>
      <c r="AE68" s="55" t="n"/>
      <c r="AF68" s="55" t="n"/>
      <c r="AG68" s="55" t="n"/>
      <c r="AH68" s="55" t="n"/>
      <c r="AI68" s="55" t="n"/>
      <c r="AJ68" s="55" t="n"/>
      <c r="AK68" s="55" t="n"/>
      <c r="AL68" s="55" t="n"/>
      <c r="AM68" s="55" t="n"/>
      <c r="AN68" s="55" t="n"/>
      <c r="AO68" s="55" t="inlineStr">
        <is>
          <t>KeyError</t>
        </is>
      </c>
      <c r="AP68" s="55" t="inlineStr">
        <is>
          <t>KeyError: 'result'</t>
        </is>
      </c>
      <c r="AQ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R68" s="55" t="inlineStr">
        <is>
          <t>KeyError</t>
        </is>
      </c>
      <c r="AS68" s="55" t="inlineStr">
        <is>
          <t>KeyError: 'result'</t>
        </is>
      </c>
      <c r="AT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U68" s="55" t="inlineStr">
        <is>
          <t>KeyError</t>
        </is>
      </c>
      <c r="AV68" s="55" t="inlineStr">
        <is>
          <t>KeyError: 'result'</t>
        </is>
      </c>
      <c r="AW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X68" s="55" t="inlineStr">
        <is>
          <t>KeyError</t>
        </is>
      </c>
      <c r="AY68" s="55" t="inlineStr">
        <is>
          <t>KeyError: 'result'</t>
        </is>
      </c>
      <c r="AZ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A68" s="55" t="inlineStr">
        <is>
          <t>KeyError</t>
        </is>
      </c>
      <c r="BB68" s="55" t="inlineStr">
        <is>
          <t>KeyError: 'result'</t>
        </is>
      </c>
      <c r="BC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D68" s="55" t="inlineStr">
        <is>
          <t>KeyError</t>
        </is>
      </c>
      <c r="BE68" s="55" t="inlineStr">
        <is>
          <t>KeyError: 'result'</t>
        </is>
      </c>
      <c r="BF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G68" s="55" t="inlineStr">
        <is>
          <t>KeyError</t>
        </is>
      </c>
      <c r="BH68" s="55" t="inlineStr">
        <is>
          <t>KeyError: 'result'</t>
        </is>
      </c>
      <c r="BI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J68" s="55" t="inlineStr">
        <is>
          <t>KeyError</t>
        </is>
      </c>
      <c r="BK68" s="55" t="inlineStr">
        <is>
          <t>KeyError: 'result'</t>
        </is>
      </c>
      <c r="BL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M68" s="55" t="n"/>
      <c r="BN68" s="55" t="n"/>
      <c r="BO68" s="55" t="n"/>
      <c r="BP68" s="55" t="n"/>
      <c r="BQ68" s="55" t="n"/>
      <c r="BR68" s="55" t="n"/>
      <c r="BS68" s="55" t="n"/>
      <c r="BT68" s="55" t="n"/>
      <c r="BU68" s="55" t="n"/>
      <c r="BV68" s="55" t="n"/>
      <c r="BW68" s="55" t="n"/>
      <c r="BX68" s="55" t="n"/>
      <c r="BY68" s="55" t="n"/>
      <c r="BZ68" s="55" t="n"/>
      <c r="CA68" s="55" t="n"/>
      <c r="CB68" s="55" t="n"/>
      <c r="CC68" s="55" t="n"/>
      <c r="CD68" s="55" t="n"/>
      <c r="CE68" s="55" t="n"/>
      <c r="CF68" s="55" t="n"/>
      <c r="CG68" s="55" t="n"/>
      <c r="CH68" s="55" t="n"/>
      <c r="CI68" s="55" t="n"/>
      <c r="CJ68" s="55" t="n"/>
      <c r="CK68" s="55" t="n"/>
      <c r="CL68" s="55" t="n"/>
      <c r="CM68" s="55" t="n"/>
      <c r="CN68" s="55" t="n"/>
      <c r="CO68" s="55" t="n"/>
      <c r="CP68" s="55" t="n"/>
      <c r="CQ68" s="55" t="n"/>
      <c r="CR68" s="55" t="n"/>
      <c r="CS68" s="55" t="n"/>
      <c r="CT68" s="55" t="n"/>
      <c r="CU68" s="55" t="n"/>
      <c r="CV68" s="55" t="n"/>
      <c r="CW68" s="55" t="n"/>
      <c r="CX68" s="55" t="n"/>
      <c r="CY68" s="55" t="n"/>
      <c r="CZ68" s="55" t="n"/>
      <c r="DA68" s="55" t="n"/>
      <c r="DB68" s="55" t="n"/>
      <c r="DC68" s="55" t="n"/>
      <c r="DD68" s="55" t="n"/>
      <c r="DE68" s="55" t="n"/>
    </row>
    <row r="69">
      <c r="A69" s="55" t="inlineStr">
        <is>
          <t>issue_772</t>
        </is>
      </c>
      <c r="B69" s="59" t="inlineStr">
        <is>
          <t>PASS</t>
        </is>
      </c>
      <c r="C69" s="59" t="inlineStr">
        <is>
          <t>PASS</t>
        </is>
      </c>
      <c r="D69" s="59" t="inlineStr">
        <is>
          <t>PASS</t>
        </is>
      </c>
      <c r="E69" s="59" t="inlineStr">
        <is>
          <t>PASS</t>
        </is>
      </c>
      <c r="F69" s="59" t="inlineStr">
        <is>
          <t>PASS</t>
        </is>
      </c>
      <c r="G69" s="59" t="inlineStr">
        <is>
          <t>PASS</t>
        </is>
      </c>
      <c r="H69" s="59" t="inlineStr">
        <is>
          <t>PASS</t>
        </is>
      </c>
      <c r="I69" s="59" t="inlineStr">
        <is>
          <t>PASS</t>
        </is>
      </c>
      <c r="J69" s="59" t="inlineStr">
        <is>
          <t>PASS</t>
        </is>
      </c>
      <c r="K69" s="59" t="inlineStr">
        <is>
          <t>PASS</t>
        </is>
      </c>
      <c r="L69" s="59" t="inlineStr">
        <is>
          <t>PASS</t>
        </is>
      </c>
      <c r="M69" s="59" t="inlineStr">
        <is>
          <t>PASS</t>
        </is>
      </c>
      <c r="N69" s="56" t="inlineStr">
        <is>
          <t>NOT_TESTED</t>
        </is>
      </c>
      <c r="O69" s="56" t="inlineStr">
        <is>
          <t>NOT_TESTED</t>
        </is>
      </c>
      <c r="P69" s="56" t="inlineStr">
        <is>
          <t>NOT_TESTED</t>
        </is>
      </c>
      <c r="Q69" s="56" t="inlineStr">
        <is>
          <t>NOT_TESTED</t>
        </is>
      </c>
      <c r="R69" s="56" t="inlineStr">
        <is>
          <t>NOT_TESTED</t>
        </is>
      </c>
      <c r="S69" s="56" t="inlineStr">
        <is>
          <t>NOT_TESTED</t>
        </is>
      </c>
      <c r="T69" s="56" t="inlineStr">
        <is>
          <t>NOT_TESTED</t>
        </is>
      </c>
      <c r="U69" s="56" t="inlineStr">
        <is>
          <t>NOT_TESTED</t>
        </is>
      </c>
      <c r="V69" s="56" t="inlineStr">
        <is>
          <t>NOT_TESTED</t>
        </is>
      </c>
      <c r="W69" s="56" t="inlineStr">
        <is>
          <t>NOT_TESTED</t>
        </is>
      </c>
      <c r="X69" s="56" t="inlineStr">
        <is>
          <t>NOT_TESTED</t>
        </is>
      </c>
      <c r="Y69" s="56" t="inlineStr">
        <is>
          <t>NOT_TESTED</t>
        </is>
      </c>
      <c r="Z69" s="56" t="inlineStr">
        <is>
          <t>NOT_TESTED</t>
        </is>
      </c>
      <c r="AA69" s="56" t="inlineStr">
        <is>
          <t>NOT_TESTED</t>
        </is>
      </c>
      <c r="AB69" s="56" t="inlineStr">
        <is>
          <t>NOT_TESTED</t>
        </is>
      </c>
      <c r="AC69" s="55" t="n"/>
      <c r="AD69" s="55" t="n"/>
      <c r="AE69" s="55" t="n"/>
      <c r="AF69" s="55" t="n"/>
      <c r="AG69" s="55" t="n"/>
      <c r="AH69" s="55" t="n"/>
      <c r="AI69" s="55" t="n"/>
      <c r="AJ69" s="55" t="n"/>
      <c r="AK69" s="55" t="n"/>
      <c r="AL69" s="55" t="n"/>
      <c r="AM69" s="55" t="n"/>
      <c r="AN69" s="55" t="n"/>
      <c r="AO69" s="55" t="n"/>
      <c r="AP69" s="55" t="n"/>
      <c r="AQ69" s="55" t="n"/>
      <c r="AR69" s="55" t="n"/>
      <c r="AS69" s="55" t="n"/>
      <c r="AT69" s="55" t="n"/>
      <c r="AU69" s="55" t="n"/>
      <c r="AV69" s="55" t="n"/>
      <c r="AW69" s="55" t="n"/>
      <c r="AX69" s="55" t="n"/>
      <c r="AY69" s="55" t="n"/>
      <c r="AZ69" s="55" t="n"/>
      <c r="BA69" s="55" t="n"/>
      <c r="BB69" s="55" t="n"/>
      <c r="BC69" s="55" t="n"/>
      <c r="BD69" s="55" t="n"/>
      <c r="BE69" s="55" t="n"/>
      <c r="BF69" s="55" t="n"/>
      <c r="BG69" s="55" t="n"/>
      <c r="BH69" s="55" t="n"/>
      <c r="BI69" s="55" t="n"/>
      <c r="BJ69" s="55" t="n"/>
      <c r="BK69" s="55" t="n"/>
      <c r="BL69" s="55" t="n"/>
      <c r="BM69" s="55" t="n"/>
      <c r="BN69" s="55" t="n"/>
      <c r="BO69" s="55" t="n"/>
      <c r="BP69" s="55" t="n"/>
      <c r="BQ69" s="55" t="n"/>
      <c r="BR69" s="55" t="n"/>
      <c r="BS69" s="55" t="n"/>
      <c r="BT69" s="55" t="n"/>
      <c r="BU69" s="55" t="n"/>
      <c r="BV69" s="55" t="n"/>
      <c r="BW69" s="55" t="n"/>
      <c r="BX69" s="55" t="n"/>
      <c r="BY69" s="55" t="n"/>
      <c r="BZ69" s="55" t="n"/>
      <c r="CA69" s="55" t="n"/>
      <c r="CB69" s="55" t="n"/>
      <c r="CC69" s="55" t="n"/>
      <c r="CD69" s="55" t="n"/>
      <c r="CE69" s="55" t="n"/>
      <c r="CF69" s="55" t="n"/>
      <c r="CG69" s="55" t="n"/>
      <c r="CH69" s="55" t="n"/>
      <c r="CI69" s="55" t="n"/>
      <c r="CJ69" s="55" t="n"/>
      <c r="CK69" s="55" t="n"/>
      <c r="CL69" s="55" t="n"/>
      <c r="CM69" s="55" t="n"/>
      <c r="CN69" s="55" t="n"/>
      <c r="CO69" s="55" t="n"/>
      <c r="CP69" s="55" t="n"/>
      <c r="CQ69" s="55" t="n"/>
      <c r="CR69" s="55" t="n"/>
      <c r="CS69" s="55" t="n"/>
      <c r="CT69" s="55" t="n"/>
      <c r="CU69" s="55" t="n"/>
      <c r="CV69" s="55" t="n"/>
      <c r="CW69" s="55" t="n"/>
      <c r="CX69" s="55" t="n"/>
      <c r="CY69" s="55" t="n"/>
      <c r="CZ69" s="55" t="n"/>
      <c r="DA69" s="55" t="n"/>
      <c r="DB69" s="55" t="n"/>
      <c r="DC69" s="55" t="n"/>
      <c r="DD69" s="55" t="n"/>
      <c r="DE69" s="55" t="n"/>
    </row>
    <row r="70">
      <c r="A70" s="55" t="inlineStr">
        <is>
          <t>issue_790</t>
        </is>
      </c>
      <c r="B70" s="56" t="inlineStr">
        <is>
          <t>NOT_TESTED</t>
        </is>
      </c>
      <c r="C70" s="56" t="inlineStr">
        <is>
          <t>NOT_TESTED</t>
        </is>
      </c>
      <c r="D70" s="56" t="inlineStr">
        <is>
          <t>NOT_TESTED</t>
        </is>
      </c>
      <c r="E70" s="56" t="inlineStr">
        <is>
          <t>NOT_TESTED</t>
        </is>
      </c>
      <c r="F70" s="57" t="inlineStr">
        <is>
          <t>ERROR</t>
        </is>
      </c>
      <c r="G70" s="57" t="inlineStr">
        <is>
          <t>ERROR</t>
        </is>
      </c>
      <c r="H70" s="57" t="inlineStr">
        <is>
          <t>ERROR</t>
        </is>
      </c>
      <c r="I70" s="57" t="inlineStr">
        <is>
          <t>ERROR</t>
        </is>
      </c>
      <c r="J70" s="57" t="inlineStr">
        <is>
          <t>ERROR</t>
        </is>
      </c>
      <c r="K70" s="57" t="inlineStr">
        <is>
          <t>ERROR</t>
        </is>
      </c>
      <c r="L70" s="57" t="inlineStr">
        <is>
          <t>ERROR</t>
        </is>
      </c>
      <c r="M70" s="57" t="inlineStr">
        <is>
          <t>ERROR</t>
        </is>
      </c>
      <c r="N70" s="57" t="inlineStr">
        <is>
          <t>ERROR</t>
        </is>
      </c>
      <c r="O70" s="57" t="inlineStr">
        <is>
          <t>ERROR</t>
        </is>
      </c>
      <c r="P70" s="57" t="inlineStr">
        <is>
          <t>ERROR</t>
        </is>
      </c>
      <c r="Q70" s="57" t="inlineStr">
        <is>
          <t>ERROR</t>
        </is>
      </c>
      <c r="R70" s="57" t="inlineStr">
        <is>
          <t>ERROR</t>
        </is>
      </c>
      <c r="S70" s="57" t="inlineStr">
        <is>
          <t>ERROR</t>
        </is>
      </c>
      <c r="T70" s="57" t="inlineStr">
        <is>
          <t>ERROR</t>
        </is>
      </c>
      <c r="U70" s="57" t="inlineStr">
        <is>
          <t>ERROR</t>
        </is>
      </c>
      <c r="V70" s="57" t="inlineStr">
        <is>
          <t>ERROR</t>
        </is>
      </c>
      <c r="W70" s="57" t="inlineStr">
        <is>
          <t>ERROR</t>
        </is>
      </c>
      <c r="X70" s="57" t="inlineStr">
        <is>
          <t>ERROR</t>
        </is>
      </c>
      <c r="Y70" s="57" t="inlineStr">
        <is>
          <t>ERROR</t>
        </is>
      </c>
      <c r="Z70" s="57" t="inlineStr">
        <is>
          <t>ERROR</t>
        </is>
      </c>
      <c r="AA70" s="57" t="inlineStr">
        <is>
          <t>ERROR</t>
        </is>
      </c>
      <c r="AB70" s="57" t="inlineStr">
        <is>
          <t>ERROR</t>
        </is>
      </c>
      <c r="AC70" s="55" t="n"/>
      <c r="AD70" s="55" t="n"/>
      <c r="AE70" s="55" t="n"/>
      <c r="AF70" s="55" t="n"/>
      <c r="AG70" s="55" t="n"/>
      <c r="AH70" s="55" t="n"/>
      <c r="AI70" s="55" t="n"/>
      <c r="AJ70" s="55" t="n"/>
      <c r="AK70" s="55" t="n"/>
      <c r="AL70" s="55" t="n"/>
      <c r="AM70" s="55" t="n"/>
      <c r="AN70" s="55" t="n"/>
      <c r="AO70" s="55" t="inlineStr">
        <is>
          <t>TypeError</t>
        </is>
      </c>
      <c r="AP70" s="55" t="inlineStr">
        <is>
          <t>TypeError: unsupported operand type(s) for -: 'Pauli' and 'Pauli'</t>
        </is>
      </c>
      <c r="AQ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R70" s="55" t="inlineStr">
        <is>
          <t>TypeError</t>
        </is>
      </c>
      <c r="AS70" s="55" t="inlineStr">
        <is>
          <t>TypeError: unsupported operand type(s) for -: 'Pauli' and 'Pauli'</t>
        </is>
      </c>
      <c r="AT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U70" s="55" t="inlineStr">
        <is>
          <t>TypeError</t>
        </is>
      </c>
      <c r="AV70" s="55" t="inlineStr">
        <is>
          <t>TypeError: unsupported operand type(s) for -: 'Pauli' and 'Pauli'</t>
        </is>
      </c>
      <c r="AW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AX70" s="55" t="inlineStr">
        <is>
          <t>TypeError</t>
        </is>
      </c>
      <c r="AY70" s="55" t="inlineStr">
        <is>
          <t>TypeError: unsupported operand type(s) for -: 'Pauli' and 'Pauli'</t>
        </is>
      </c>
      <c r="AZ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A70" s="55" t="inlineStr">
        <is>
          <t>TypeError</t>
        </is>
      </c>
      <c r="BB70" s="55" t="inlineStr">
        <is>
          <t>TypeError: unsupported operand type(s) for -: 'Pauli' and 'Pauli'</t>
        </is>
      </c>
      <c r="BC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D70" s="55" t="inlineStr">
        <is>
          <t>TypeError</t>
        </is>
      </c>
      <c r="BE70" s="55" t="inlineStr">
        <is>
          <t>TypeError: unsupported operand type(s) for -: 'Pauli' and 'Pauli'</t>
        </is>
      </c>
      <c r="BF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G70" s="55" t="inlineStr">
        <is>
          <t>TypeError</t>
        </is>
      </c>
      <c r="BH70" s="55" t="inlineStr">
        <is>
          <t>TypeError: unsupported operand type(s) for -: 'Pauli' and 'Pauli'</t>
        </is>
      </c>
      <c r="BI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J70" s="55" t="inlineStr">
        <is>
          <t>TypeError</t>
        </is>
      </c>
      <c r="BK70" s="55" t="inlineStr">
        <is>
          <t>TypeError: unsupported operand type(s) for -: 'Pauli' and 'Pauli'</t>
        </is>
      </c>
      <c r="BL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M70" s="55" t="inlineStr">
        <is>
          <t>TypeError</t>
        </is>
      </c>
      <c r="BN70" s="55" t="inlineStr">
        <is>
          <t>TypeError: unsupported operand type(s) for -: 'Pauli' and 'Pauli'</t>
        </is>
      </c>
      <c r="BO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P70" s="55" t="inlineStr">
        <is>
          <t>TypeError</t>
        </is>
      </c>
      <c r="BQ70" s="55" t="inlineStr">
        <is>
          <t>TypeError: unsupported operand type(s) for -: 'Pauli' and 'Pauli'</t>
        </is>
      </c>
      <c r="BR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S70" s="55" t="inlineStr">
        <is>
          <t>TypeError</t>
        </is>
      </c>
      <c r="BT70" s="55" t="inlineStr">
        <is>
          <t>TypeError: unsupported operand type(s) for -: 'Pauli' and 'Pauli'</t>
        </is>
      </c>
      <c r="BU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V70" s="55" t="inlineStr">
        <is>
          <t>TypeError</t>
        </is>
      </c>
      <c r="BW70" s="55" t="inlineStr">
        <is>
          <t>TypeError: unsupported operand type(s) for -: 'Pauli' and 'Pauli'</t>
        </is>
      </c>
      <c r="BX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BY70" s="55" t="inlineStr">
        <is>
          <t>TypeError</t>
        </is>
      </c>
      <c r="BZ70" s="55" t="inlineStr">
        <is>
          <t>TypeError: unsupported operand type(s) for -: 'Pauli' and 'Pauli'</t>
        </is>
      </c>
      <c r="CA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B70" s="55" t="inlineStr">
        <is>
          <t>TypeError</t>
        </is>
      </c>
      <c r="CC70" s="55" t="inlineStr">
        <is>
          <t>TypeError: unsupported operand type(s) for -: 'Pauli' and 'Pauli'</t>
        </is>
      </c>
      <c r="CD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E70" s="55" t="inlineStr">
        <is>
          <t>TypeError</t>
        </is>
      </c>
      <c r="CF70" s="55" t="inlineStr">
        <is>
          <t>TypeError: unsupported operand type(s) for -: 'Pauli' and 'Pauli'</t>
        </is>
      </c>
      <c r="CG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H70" s="55" t="inlineStr">
        <is>
          <t>TypeError</t>
        </is>
      </c>
      <c r="CI70" s="55" t="inlineStr">
        <is>
          <t>TypeError: unsupported operand type(s) for -: 'Pauli' and 'Pauli'</t>
        </is>
      </c>
      <c r="CJ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K70" s="55" t="inlineStr">
        <is>
          <t>TypeError</t>
        </is>
      </c>
      <c r="CL70" s="55" t="inlineStr">
        <is>
          <t>TypeError: unsupported operand type(s) for -: 'Pauli' and 'Pauli'</t>
        </is>
      </c>
      <c r="CM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N70" s="55" t="inlineStr">
        <is>
          <t>TypeError</t>
        </is>
      </c>
      <c r="CO70" s="55" t="inlineStr">
        <is>
          <t>TypeError: unsupported operand type(s) for -: 'Pauli' and 'Pauli'</t>
        </is>
      </c>
      <c r="CP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Q70" s="55" t="inlineStr">
        <is>
          <t>TypeError</t>
        </is>
      </c>
      <c r="CR70" s="55" t="inlineStr">
        <is>
          <t>TypeError: unsupported operand type(s) for -: 'Pauli' and 'Pauli'</t>
        </is>
      </c>
      <c r="CS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T70" s="55" t="inlineStr">
        <is>
          <t>TypeError</t>
        </is>
      </c>
      <c r="CU70" s="55" t="inlineStr">
        <is>
          <t>TypeError: unsupported operand type(s) for -: 'Pauli' and 'Pauli'</t>
        </is>
      </c>
      <c r="CV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W70" s="55" t="inlineStr">
        <is>
          <t>TypeError</t>
        </is>
      </c>
      <c r="CX70" s="55" t="inlineStr">
        <is>
          <t>TypeError: unsupported operand type(s) for -: 'Pauli' and 'Pauli'</t>
        </is>
      </c>
      <c r="CY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CZ70" s="55" t="inlineStr">
        <is>
          <t>TypeError</t>
        </is>
      </c>
      <c r="DA70" s="55" t="inlineStr">
        <is>
          <t>TypeError: unsupported operand type(s) for -: 'Pauli' and 'Pauli'</t>
        </is>
      </c>
      <c r="DB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c r="DC70" s="55" t="inlineStr">
        <is>
          <t>TypeError</t>
        </is>
      </c>
      <c r="DD70" s="55" t="inlineStr">
        <is>
          <t>TypeError: unsupported operand type(s) for -: 'Pauli' and 'Pauli'</t>
        </is>
      </c>
      <c r="DE70" s="55" t="inlineStr">
        <is>
          <t>The LLM moved SuzukiTrotter.synthesize() onto each PauliEvolutionGate, which fixes the error the buggy code's comment points to, but kept the Hamiltonian line (U * Z ^ Z) - (J * X ^ X) - (J * Y ^ Y). Subtracting two Pauli objects is not allowed, so the script crashes on that line with TypeError, exactly like the buggy code. The reference (updated by the team on 6 Oct 2026) builds the same Hamiltonian with SparsePauliOp.from_list and synthesizes one PauliEvolutionGate.</t>
        </is>
      </c>
    </row>
    <row r="71">
      <c r="A71" s="55" t="inlineStr">
        <is>
          <t>issue_827</t>
        </is>
      </c>
      <c r="B71" s="57" t="inlineStr">
        <is>
          <t>ERROR</t>
        </is>
      </c>
      <c r="C71" s="57" t="inlineStr">
        <is>
          <t>ERROR</t>
        </is>
      </c>
      <c r="D71" s="57" t="inlineStr">
        <is>
          <t>ERROR</t>
        </is>
      </c>
      <c r="E71" s="57" t="inlineStr">
        <is>
          <t>ERROR</t>
        </is>
      </c>
      <c r="F71" s="57" t="inlineStr">
        <is>
          <t>ERROR</t>
        </is>
      </c>
      <c r="G71" s="57" t="inlineStr">
        <is>
          <t>ERROR</t>
        </is>
      </c>
      <c r="H71" s="57" t="inlineStr">
        <is>
          <t>ERROR</t>
        </is>
      </c>
      <c r="I71" s="57" t="inlineStr">
        <is>
          <t>ERROR</t>
        </is>
      </c>
      <c r="J71" s="57" t="inlineStr">
        <is>
          <t>ERROR</t>
        </is>
      </c>
      <c r="K71" s="57" t="inlineStr">
        <is>
          <t>ERROR</t>
        </is>
      </c>
      <c r="L71" s="57" t="inlineStr">
        <is>
          <t>ERROR</t>
        </is>
      </c>
      <c r="M71" s="57" t="inlineStr">
        <is>
          <t>ERROR</t>
        </is>
      </c>
      <c r="N71" s="56" t="inlineStr">
        <is>
          <t>NOT_TESTED</t>
        </is>
      </c>
      <c r="O71" s="56" t="inlineStr">
        <is>
          <t>NOT_TESTED</t>
        </is>
      </c>
      <c r="P71" s="56" t="inlineStr">
        <is>
          <t>NOT_TESTED</t>
        </is>
      </c>
      <c r="Q71" s="56" t="inlineStr">
        <is>
          <t>NOT_TESTED</t>
        </is>
      </c>
      <c r="R71" s="56" t="inlineStr">
        <is>
          <t>NOT_TESTED</t>
        </is>
      </c>
      <c r="S71" s="56" t="inlineStr">
        <is>
          <t>NOT_TESTED</t>
        </is>
      </c>
      <c r="T71" s="56" t="inlineStr">
        <is>
          <t>NOT_TESTED</t>
        </is>
      </c>
      <c r="U71" s="56" t="inlineStr">
        <is>
          <t>NOT_TESTED</t>
        </is>
      </c>
      <c r="V71" s="56" t="inlineStr">
        <is>
          <t>NOT_TESTED</t>
        </is>
      </c>
      <c r="W71" s="56" t="inlineStr">
        <is>
          <t>NOT_TESTED</t>
        </is>
      </c>
      <c r="X71" s="56" t="inlineStr">
        <is>
          <t>NOT_TESTED</t>
        </is>
      </c>
      <c r="Y71" s="56" t="inlineStr">
        <is>
          <t>NOT_TESTED</t>
        </is>
      </c>
      <c r="Z71" s="56" t="inlineStr">
        <is>
          <t>NOT_TESTED</t>
        </is>
      </c>
      <c r="AA71" s="56" t="inlineStr">
        <is>
          <t>NOT_TESTED</t>
        </is>
      </c>
      <c r="AB71" s="56" t="inlineStr">
        <is>
          <t>NOT_TESTED</t>
        </is>
      </c>
      <c r="AC71" s="55" t="inlineStr">
        <is>
          <t>ModuleNotFoundError</t>
        </is>
      </c>
      <c r="AD71" s="55" t="inlineStr">
        <is>
          <t>ModuleNotFoundError: No module named 'qiskit.backends'</t>
        </is>
      </c>
      <c r="AE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F71" s="55" t="inlineStr">
        <is>
          <t>ModuleNotFoundError</t>
        </is>
      </c>
      <c r="AG71" s="55" t="inlineStr">
        <is>
          <t>ModuleNotFoundError: No module named 'qiskit.backends'</t>
        </is>
      </c>
      <c r="AH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I71" s="55" t="inlineStr">
        <is>
          <t>ModuleNotFoundError</t>
        </is>
      </c>
      <c r="AJ71" s="55" t="inlineStr">
        <is>
          <t>ModuleNotFoundError: No module named 'qiskit.backends'</t>
        </is>
      </c>
      <c r="AK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L71" s="55" t="inlineStr">
        <is>
          <t>ModuleNotFoundError</t>
        </is>
      </c>
      <c r="AM71" s="55" t="inlineStr">
        <is>
          <t>ModuleNotFoundError: No module named 'qiskit.backends'</t>
        </is>
      </c>
      <c r="AN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O71" s="55" t="inlineStr">
        <is>
          <t>ModuleNotFoundError</t>
        </is>
      </c>
      <c r="AP71" s="55" t="inlineStr">
        <is>
          <t>ModuleNotFoundError: No module named 'qiskit.backends'</t>
        </is>
      </c>
      <c r="AQ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R71" s="55" t="inlineStr">
        <is>
          <t>ModuleNotFoundError</t>
        </is>
      </c>
      <c r="AS71" s="55" t="inlineStr">
        <is>
          <t>ModuleNotFoundError: No module named 'qiskit.backends'</t>
        </is>
      </c>
      <c r="AT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U71" s="55" t="inlineStr">
        <is>
          <t>ModuleNotFoundError</t>
        </is>
      </c>
      <c r="AV71" s="55" t="inlineStr">
        <is>
          <t>ModuleNotFoundError: No module named 'qiskit.backends'</t>
        </is>
      </c>
      <c r="AW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AX71" s="55" t="inlineStr">
        <is>
          <t>ModuleNotFoundError</t>
        </is>
      </c>
      <c r="AY71" s="55" t="inlineStr">
        <is>
          <t>ModuleNotFoundError: No module named 'qiskit.backends'</t>
        </is>
      </c>
      <c r="AZ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A71" s="55" t="inlineStr">
        <is>
          <t>ModuleNotFoundError</t>
        </is>
      </c>
      <c r="BB71" s="55" t="inlineStr">
        <is>
          <t>ModuleNotFoundError: No module named 'qiskit.backends'</t>
        </is>
      </c>
      <c r="BC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D71" s="55" t="inlineStr">
        <is>
          <t>ModuleNotFoundError</t>
        </is>
      </c>
      <c r="BE71" s="55" t="inlineStr">
        <is>
          <t>ModuleNotFoundError: No module named 'qiskit.backends'</t>
        </is>
      </c>
      <c r="BF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G71" s="55" t="inlineStr">
        <is>
          <t>ModuleNotFoundError</t>
        </is>
      </c>
      <c r="BH71" s="55" t="inlineStr">
        <is>
          <t>ModuleNotFoundError: No module named 'qiskit.backends'</t>
        </is>
      </c>
      <c r="BI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J71" s="55" t="inlineStr">
        <is>
          <t>ModuleNotFoundError</t>
        </is>
      </c>
      <c r="BK71" s="55" t="inlineStr">
        <is>
          <t>ModuleNotFoundError: No module named 'qiskit.backends'</t>
        </is>
      </c>
      <c r="BL71" s="55" t="inlineStr">
        <is>
          <t>The LLM replaced the removed compile() with transpile() + assemble(), which is the reference's fix, but kept from qiskit.backends.jobstatus import JOB_FINAL_STATES. qiskit.backends no longer exists, so the script stops at import (ModuleNotFoundError). With only that import changed to qiskit.providers.jobstatus the fix passes (checked on 0.25.0, 0.45.0 and 0.46.3). The reference transpiles and assembles all five circuits and runs them as one job.</t>
        </is>
      </c>
      <c r="BM71" s="55" t="n"/>
      <c r="BN71" s="55" t="n"/>
      <c r="BO71" s="55" t="n"/>
      <c r="BP71" s="55" t="n"/>
      <c r="BQ71" s="55" t="n"/>
      <c r="BR71" s="55" t="n"/>
      <c r="BS71" s="55" t="n"/>
      <c r="BT71" s="55" t="n"/>
      <c r="BU71" s="55" t="n"/>
      <c r="BV71" s="55" t="n"/>
      <c r="BW71" s="55" t="n"/>
      <c r="BX71" s="55" t="n"/>
      <c r="BY71" s="55" t="n"/>
      <c r="BZ71" s="55" t="n"/>
      <c r="CA71" s="55" t="n"/>
      <c r="CB71" s="55" t="n"/>
      <c r="CC71" s="55" t="n"/>
      <c r="CD71" s="55" t="n"/>
      <c r="CE71" s="55" t="n"/>
      <c r="CF71" s="55" t="n"/>
      <c r="CG71" s="55" t="n"/>
      <c r="CH71" s="55" t="n"/>
      <c r="CI71" s="55" t="n"/>
      <c r="CJ71" s="55" t="n"/>
      <c r="CK71" s="55" t="n"/>
      <c r="CL71" s="55" t="n"/>
      <c r="CM71" s="55" t="n"/>
      <c r="CN71" s="55" t="n"/>
      <c r="CO71" s="55" t="n"/>
      <c r="CP71" s="55" t="n"/>
      <c r="CQ71" s="55" t="n"/>
      <c r="CR71" s="55" t="n"/>
      <c r="CS71" s="55" t="n"/>
      <c r="CT71" s="55" t="n"/>
      <c r="CU71" s="55" t="n"/>
      <c r="CV71" s="55" t="n"/>
      <c r="CW71" s="55" t="n"/>
      <c r="CX71" s="55" t="n"/>
      <c r="CY71" s="55" t="n"/>
      <c r="CZ71" s="55" t="n"/>
      <c r="DA71" s="55" t="n"/>
      <c r="DB71" s="55" t="n"/>
      <c r="DC71" s="55" t="n"/>
      <c r="DD71" s="55" t="n"/>
      <c r="DE71" s="55" t="n"/>
    </row>
    <row r="72">
      <c r="A72" s="55" t="inlineStr">
        <is>
          <t>issue_858</t>
        </is>
      </c>
      <c r="B72" s="56" t="inlineStr">
        <is>
          <t>NOT_TESTED</t>
        </is>
      </c>
      <c r="C72" s="56" t="inlineStr">
        <is>
          <t>NOT_TESTED</t>
        </is>
      </c>
      <c r="D72" s="56" t="inlineStr">
        <is>
          <t>NOT_TESTED</t>
        </is>
      </c>
      <c r="E72" s="56" t="inlineStr">
        <is>
          <t>NOT_TESTED</t>
        </is>
      </c>
      <c r="F72" s="57" t="inlineStr">
        <is>
          <t>ERROR</t>
        </is>
      </c>
      <c r="G72" s="57" t="inlineStr">
        <is>
          <t>ERROR</t>
        </is>
      </c>
      <c r="H72" s="57" t="inlineStr">
        <is>
          <t>ERROR</t>
        </is>
      </c>
      <c r="I72" s="57" t="inlineStr">
        <is>
          <t>ERROR</t>
        </is>
      </c>
      <c r="J72" s="57" t="inlineStr">
        <is>
          <t>ERROR</t>
        </is>
      </c>
      <c r="K72" s="57" t="inlineStr">
        <is>
          <t>ERROR</t>
        </is>
      </c>
      <c r="L72" s="57" t="inlineStr">
        <is>
          <t>ERROR</t>
        </is>
      </c>
      <c r="M72" s="57" t="inlineStr">
        <is>
          <t>ERROR</t>
        </is>
      </c>
      <c r="N72" s="56" t="inlineStr">
        <is>
          <t>NOT_TESTED</t>
        </is>
      </c>
      <c r="O72" s="56" t="inlineStr">
        <is>
          <t>NOT_TESTED</t>
        </is>
      </c>
      <c r="P72" s="56" t="inlineStr">
        <is>
          <t>NOT_TESTED</t>
        </is>
      </c>
      <c r="Q72" s="56" t="inlineStr">
        <is>
          <t>NOT_TESTED</t>
        </is>
      </c>
      <c r="R72" s="56" t="inlineStr">
        <is>
          <t>NOT_TESTED</t>
        </is>
      </c>
      <c r="S72" s="56" t="inlineStr">
        <is>
          <t>NOT_TESTED</t>
        </is>
      </c>
      <c r="T72" s="56" t="inlineStr">
        <is>
          <t>NOT_TESTED</t>
        </is>
      </c>
      <c r="U72" s="56" t="inlineStr">
        <is>
          <t>NOT_TESTED</t>
        </is>
      </c>
      <c r="V72" s="56" t="inlineStr">
        <is>
          <t>NOT_TESTED</t>
        </is>
      </c>
      <c r="W72" s="56" t="inlineStr">
        <is>
          <t>NOT_TESTED</t>
        </is>
      </c>
      <c r="X72" s="56" t="inlineStr">
        <is>
          <t>NOT_TESTED</t>
        </is>
      </c>
      <c r="Y72" s="56" t="inlineStr">
        <is>
          <t>NOT_TESTED</t>
        </is>
      </c>
      <c r="Z72" s="56" t="inlineStr">
        <is>
          <t>NOT_TESTED</t>
        </is>
      </c>
      <c r="AA72" s="56" t="inlineStr">
        <is>
          <t>NOT_TESTED</t>
        </is>
      </c>
      <c r="AB72" s="56" t="inlineStr">
        <is>
          <t>NOT_TESTED</t>
        </is>
      </c>
      <c r="AC72" s="55" t="n"/>
      <c r="AD72" s="55" t="n"/>
      <c r="AE72" s="55" t="n"/>
      <c r="AF72" s="55" t="n"/>
      <c r="AG72" s="55" t="n"/>
      <c r="AH72" s="55" t="n"/>
      <c r="AI72" s="55" t="n"/>
      <c r="AJ72" s="55" t="n"/>
      <c r="AK72" s="55" t="n"/>
      <c r="AL72" s="55" t="n"/>
      <c r="AM72" s="55" t="n"/>
      <c r="AN72" s="55" t="n"/>
      <c r="AO72" s="55" t="inlineStr">
        <is>
          <t>OfflineAccessDenied</t>
        </is>
      </c>
      <c r="AP72" s="55" t="inlineStr">
        <is>
          <t>OfflineAccessDenied: Offline snapshot fixture forbids IBMQ.load_account</t>
        </is>
      </c>
      <c r="AQ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R72" s="55" t="inlineStr">
        <is>
          <t>OfflineAccessDenied</t>
        </is>
      </c>
      <c r="AS72" s="55" t="inlineStr">
        <is>
          <t>OfflineAccessDenied: Offline snapshot fixture forbids IBMQ.load_account</t>
        </is>
      </c>
      <c r="AT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U72" s="55" t="inlineStr">
        <is>
          <t>OfflineAccessDenied</t>
        </is>
      </c>
      <c r="AV72" s="55" t="inlineStr">
        <is>
          <t>OfflineAccessDenied: Offline snapshot fixture forbids IBMQ.load_account</t>
        </is>
      </c>
      <c r="AW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AX72" s="55" t="inlineStr">
        <is>
          <t>OfflineAccessDenied</t>
        </is>
      </c>
      <c r="AY72" s="55" t="inlineStr">
        <is>
          <t>OfflineAccessDenied: Offline snapshot fixture forbids IBMQ.load_account</t>
        </is>
      </c>
      <c r="AZ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A72" s="55" t="inlineStr">
        <is>
          <t>OfflineAccessDenied</t>
        </is>
      </c>
      <c r="BB72" s="55" t="inlineStr">
        <is>
          <t>OfflineAccessDenied: Offline snapshot fixture forbids IBMQ.load_account</t>
        </is>
      </c>
      <c r="BC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D72" s="55" t="inlineStr">
        <is>
          <t>OfflineAccessDenied</t>
        </is>
      </c>
      <c r="BE72" s="55" t="inlineStr">
        <is>
          <t>OfflineAccessDenied: Offline snapshot fixture forbids IBMQ.load_account</t>
        </is>
      </c>
      <c r="BF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G72" s="55" t="inlineStr">
        <is>
          <t>OfflineAccessDenied</t>
        </is>
      </c>
      <c r="BH72" s="55" t="inlineStr">
        <is>
          <t>OfflineAccessDenied: Offline snapshot fixture forbids IBMQ.load_account</t>
        </is>
      </c>
      <c r="BI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J72" s="55" t="inlineStr">
        <is>
          <t>OfflineAccessDenied</t>
        </is>
      </c>
      <c r="BK72" s="55" t="inlineStr">
        <is>
          <t>OfflineAccessDenied: Offline snapshot fixture forbids IBMQ.load_account</t>
        </is>
      </c>
      <c r="BL72" s="55" t="inlineStr">
        <is>
          <t>The LLM switched to the FakeOslo snapshot of the retired backend, but kept provider = IBMQ.load_account(), which is no longer used and needs an IBM account online; the offline test blocks it. Even with that line removed the fix crashes, because FakeOslo has no properties() method (AttributeError). The reference reads backend.qubit_properties() from FakeOslo.</t>
        </is>
      </c>
      <c r="BM72" s="55" t="n"/>
      <c r="BN72" s="55" t="n"/>
      <c r="BO72" s="55" t="n"/>
      <c r="BP72" s="55" t="n"/>
      <c r="BQ72" s="55" t="n"/>
      <c r="BR72" s="55" t="n"/>
      <c r="BS72" s="55" t="n"/>
      <c r="BT72" s="55" t="n"/>
      <c r="BU72" s="55" t="n"/>
      <c r="BV72" s="55" t="n"/>
      <c r="BW72" s="55" t="n"/>
      <c r="BX72" s="55" t="n"/>
      <c r="BY72" s="55" t="n"/>
      <c r="BZ72" s="55" t="n"/>
      <c r="CA72" s="55" t="n"/>
      <c r="CB72" s="55" t="n"/>
      <c r="CC72" s="55" t="n"/>
      <c r="CD72" s="55" t="n"/>
      <c r="CE72" s="55" t="n"/>
      <c r="CF72" s="55" t="n"/>
      <c r="CG72" s="55" t="n"/>
      <c r="CH72" s="55" t="n"/>
      <c r="CI72" s="55" t="n"/>
      <c r="CJ72" s="55" t="n"/>
      <c r="CK72" s="55" t="n"/>
      <c r="CL72" s="55" t="n"/>
      <c r="CM72" s="55" t="n"/>
      <c r="CN72" s="55" t="n"/>
      <c r="CO72" s="55" t="n"/>
      <c r="CP72" s="55" t="n"/>
      <c r="CQ72" s="55" t="n"/>
      <c r="CR72" s="55" t="n"/>
      <c r="CS72" s="55" t="n"/>
      <c r="CT72" s="55" t="n"/>
      <c r="CU72" s="55" t="n"/>
      <c r="CV72" s="55" t="n"/>
      <c r="CW72" s="55" t="n"/>
      <c r="CX72" s="55" t="n"/>
      <c r="CY72" s="55" t="n"/>
      <c r="CZ72" s="55" t="n"/>
      <c r="DA72" s="55" t="n"/>
      <c r="DB72" s="55" t="n"/>
      <c r="DC72" s="55" t="n"/>
      <c r="DD72" s="55" t="n"/>
      <c r="DE72" s="55" t="n"/>
    </row>
    <row r="73">
      <c r="A73" s="55" t="inlineStr">
        <is>
          <t>issue_901</t>
        </is>
      </c>
      <c r="B73" s="56" t="inlineStr">
        <is>
          <t>NOT_TESTED</t>
        </is>
      </c>
      <c r="C73" s="56" t="inlineStr">
        <is>
          <t>NOT_TESTED</t>
        </is>
      </c>
      <c r="D73" s="56" t="inlineStr">
        <is>
          <t>NOT_TESTED</t>
        </is>
      </c>
      <c r="E73" s="56" t="inlineStr">
        <is>
          <t>NOT_TESTED</t>
        </is>
      </c>
      <c r="F73" s="59" t="inlineStr">
        <is>
          <t>PASS</t>
        </is>
      </c>
      <c r="G73" s="59" t="inlineStr">
        <is>
          <t>PASS</t>
        </is>
      </c>
      <c r="H73" s="59" t="inlineStr">
        <is>
          <t>PASS</t>
        </is>
      </c>
      <c r="I73" s="59" t="inlineStr">
        <is>
          <t>PASS</t>
        </is>
      </c>
      <c r="J73" s="59" t="inlineStr">
        <is>
          <t>PASS</t>
        </is>
      </c>
      <c r="K73" s="59" t="inlineStr">
        <is>
          <t>PASS</t>
        </is>
      </c>
      <c r="L73" s="59" t="inlineStr">
        <is>
          <t>PASS</t>
        </is>
      </c>
      <c r="M73" s="59" t="inlineStr">
        <is>
          <t>PASS</t>
        </is>
      </c>
      <c r="N73" s="59" t="inlineStr">
        <is>
          <t>PASS</t>
        </is>
      </c>
      <c r="O73" s="59" t="inlineStr">
        <is>
          <t>PASS</t>
        </is>
      </c>
      <c r="P73" s="59" t="inlineStr">
        <is>
          <t>PASS</t>
        </is>
      </c>
      <c r="Q73" s="59" t="inlineStr">
        <is>
          <t>PASS</t>
        </is>
      </c>
      <c r="R73" s="59" t="inlineStr">
        <is>
          <t>PASS</t>
        </is>
      </c>
      <c r="S73" s="59" t="inlineStr">
        <is>
          <t>PASS</t>
        </is>
      </c>
      <c r="T73" s="59" t="inlineStr">
        <is>
          <t>PASS</t>
        </is>
      </c>
      <c r="U73" s="59" t="inlineStr">
        <is>
          <t>PASS</t>
        </is>
      </c>
      <c r="V73" s="59" t="inlineStr">
        <is>
          <t>PASS</t>
        </is>
      </c>
      <c r="W73" s="59" t="inlineStr">
        <is>
          <t>PASS</t>
        </is>
      </c>
      <c r="X73" s="59" t="inlineStr">
        <is>
          <t>PASS</t>
        </is>
      </c>
      <c r="Y73" s="56" t="inlineStr">
        <is>
          <t>NOT_TESTED</t>
        </is>
      </c>
      <c r="Z73" s="56" t="inlineStr">
        <is>
          <t>NOT_TESTED</t>
        </is>
      </c>
      <c r="AA73" s="56" t="inlineStr">
        <is>
          <t>NOT_TESTED</t>
        </is>
      </c>
      <c r="AB73" s="56" t="inlineStr">
        <is>
          <t>NOT_TESTED</t>
        </is>
      </c>
      <c r="AC73" s="55" t="n"/>
      <c r="AD73" s="55" t="n"/>
      <c r="AE73" s="55" t="n"/>
      <c r="AF73" s="55" t="n"/>
      <c r="AG73" s="55" t="n"/>
      <c r="AH73" s="55" t="n"/>
      <c r="AI73" s="55" t="n"/>
      <c r="AJ73" s="55" t="n"/>
      <c r="AK73" s="55" t="n"/>
      <c r="AL73" s="55" t="n"/>
      <c r="AM73" s="55" t="n"/>
      <c r="AN73" s="55" t="n"/>
      <c r="AO73" s="55" t="n"/>
      <c r="AP73" s="55" t="n"/>
      <c r="AQ73" s="55" t="n"/>
      <c r="AR73" s="55" t="n"/>
      <c r="AS73" s="55" t="n"/>
      <c r="AT73" s="55" t="n"/>
      <c r="AU73" s="55" t="n"/>
      <c r="AV73" s="55" t="n"/>
      <c r="AW73" s="55" t="n"/>
      <c r="AX73" s="55" t="n"/>
      <c r="AY73" s="55" t="n"/>
      <c r="AZ73" s="55" t="n"/>
      <c r="BA73" s="55" t="n"/>
      <c r="BB73" s="55" t="n"/>
      <c r="BC73" s="55" t="n"/>
      <c r="BD73" s="55" t="n"/>
      <c r="BE73" s="55" t="n"/>
      <c r="BF73" s="55" t="n"/>
      <c r="BG73" s="55" t="n"/>
      <c r="BH73" s="55" t="n"/>
      <c r="BI73" s="55" t="n"/>
      <c r="BJ73" s="55" t="n"/>
      <c r="BK73" s="55" t="n"/>
      <c r="BL73" s="55" t="n"/>
      <c r="BM73" s="55" t="n"/>
      <c r="BN73" s="55" t="n"/>
      <c r="BO73" s="55" t="n"/>
      <c r="BP73" s="55" t="n"/>
      <c r="BQ73" s="55" t="n"/>
      <c r="BR73" s="55" t="n"/>
      <c r="BS73" s="55" t="n"/>
      <c r="BT73" s="55" t="n"/>
      <c r="BU73" s="55" t="n"/>
      <c r="BV73" s="55" t="n"/>
      <c r="BW73" s="55" t="n"/>
      <c r="BX73" s="55" t="n"/>
      <c r="BY73" s="55" t="n"/>
      <c r="BZ73" s="55" t="n"/>
      <c r="CA73" s="55" t="n"/>
      <c r="CB73" s="55" t="n"/>
      <c r="CC73" s="55" t="n"/>
      <c r="CD73" s="55" t="n"/>
      <c r="CE73" s="55" t="n"/>
      <c r="CF73" s="55" t="n"/>
      <c r="CG73" s="55" t="n"/>
      <c r="CH73" s="55" t="n"/>
      <c r="CI73" s="55" t="n"/>
      <c r="CJ73" s="55" t="n"/>
      <c r="CK73" s="55" t="n"/>
      <c r="CL73" s="55" t="n"/>
      <c r="CM73" s="55" t="n"/>
      <c r="CN73" s="55" t="n"/>
      <c r="CO73" s="55" t="n"/>
      <c r="CP73" s="55" t="n"/>
      <c r="CQ73" s="55" t="n"/>
      <c r="CR73" s="55" t="n"/>
      <c r="CS73" s="55" t="n"/>
      <c r="CT73" s="55" t="n"/>
      <c r="CU73" s="55" t="n"/>
      <c r="CV73" s="55" t="n"/>
      <c r="CW73" s="55" t="n"/>
      <c r="CX73" s="55" t="n"/>
      <c r="CY73" s="55" t="n"/>
      <c r="CZ73" s="55" t="n"/>
      <c r="DA73" s="55" t="n"/>
      <c r="DB73" s="55" t="n"/>
      <c r="DC73" s="55" t="n"/>
      <c r="DD73" s="55" t="n"/>
      <c r="DE73" s="55" t="n"/>
    </row>
    <row r="74">
      <c r="A74" s="55" t="inlineStr">
        <is>
          <t>issue_921</t>
        </is>
      </c>
      <c r="B74" s="57" t="inlineStr">
        <is>
          <t>ERROR</t>
        </is>
      </c>
      <c r="C74" s="57" t="inlineStr">
        <is>
          <t>ERROR</t>
        </is>
      </c>
      <c r="D74" s="57" t="inlineStr">
        <is>
          <t>ERROR</t>
        </is>
      </c>
      <c r="E74" s="57" t="inlineStr">
        <is>
          <t>ERROR</t>
        </is>
      </c>
      <c r="F74" s="56" t="inlineStr">
        <is>
          <t>NOT_TESTED</t>
        </is>
      </c>
      <c r="G74" s="56" t="inlineStr">
        <is>
          <t>NOT_TESTED</t>
        </is>
      </c>
      <c r="H74" s="56" t="inlineStr">
        <is>
          <t>NOT_TESTED</t>
        </is>
      </c>
      <c r="I74" s="56" t="inlineStr">
        <is>
          <t>NOT_TESTED</t>
        </is>
      </c>
      <c r="J74" s="56" t="inlineStr">
        <is>
          <t>NOT_TESTED</t>
        </is>
      </c>
      <c r="K74" s="56" t="inlineStr">
        <is>
          <t>NOT_TESTED</t>
        </is>
      </c>
      <c r="L74" s="56" t="inlineStr">
        <is>
          <t>NOT_TESTED</t>
        </is>
      </c>
      <c r="M74" s="56" t="inlineStr">
        <is>
          <t>NOT_TESTED</t>
        </is>
      </c>
      <c r="N74" s="56" t="inlineStr">
        <is>
          <t>NOT_TESTED</t>
        </is>
      </c>
      <c r="O74" s="56" t="inlineStr">
        <is>
          <t>NOT_TESTED</t>
        </is>
      </c>
      <c r="P74" s="56" t="inlineStr">
        <is>
          <t>NOT_TESTED</t>
        </is>
      </c>
      <c r="Q74" s="56" t="inlineStr">
        <is>
          <t>NOT_TESTED</t>
        </is>
      </c>
      <c r="R74" s="56" t="inlineStr">
        <is>
          <t>NOT_TESTED</t>
        </is>
      </c>
      <c r="S74" s="56" t="inlineStr">
        <is>
          <t>NOT_TESTED</t>
        </is>
      </c>
      <c r="T74" s="56" t="inlineStr">
        <is>
          <t>NOT_TESTED</t>
        </is>
      </c>
      <c r="U74" s="56" t="inlineStr">
        <is>
          <t>NOT_TESTED</t>
        </is>
      </c>
      <c r="V74" s="56" t="inlineStr">
        <is>
          <t>NOT_TESTED</t>
        </is>
      </c>
      <c r="W74" s="56" t="inlineStr">
        <is>
          <t>NOT_TESTED</t>
        </is>
      </c>
      <c r="X74" s="56" t="inlineStr">
        <is>
          <t>NOT_TESTED</t>
        </is>
      </c>
      <c r="Y74" s="56" t="inlineStr">
        <is>
          <t>NOT_TESTED</t>
        </is>
      </c>
      <c r="Z74" s="56" t="inlineStr">
        <is>
          <t>NOT_TESTED</t>
        </is>
      </c>
      <c r="AA74" s="56" t="inlineStr">
        <is>
          <t>NOT_TESTED</t>
        </is>
      </c>
      <c r="AB74" s="56" t="inlineStr">
        <is>
          <t>NOT_TESTED</t>
        </is>
      </c>
      <c r="AC74" s="55" t="inlineStr">
        <is>
          <t>ImportError</t>
        </is>
      </c>
      <c r="AD74" s="55" t="inlineStr">
        <is>
          <t>ImportError: cannot import name 'run_algorithm' from 'qiskit.aqua' (C:\qiskit_envs\q0250\lib\site-packages\qiskit\aqua\__init__.py)</t>
        </is>
      </c>
      <c r="AE74" s="55" t="inlineStr">
        <is>
          <t>The LLM returned the buggy code unchanged, without the '# NO BUG:' line the prompt requires, so it fails exactly like the buggy code: run_algorithm no longer exists in qiskit.aqua (ImportError). The reference calls ExactEigensolver(qubitOp, k=1).run() directly.</t>
        </is>
      </c>
      <c r="AF74" s="55" t="inlineStr">
        <is>
          <t>ImportError</t>
        </is>
      </c>
      <c r="AG74" s="55" t="inlineStr">
        <is>
          <t>ImportError: cannot import name 'run_algorithm' from 'qiskit.aqua' (C:\qiskit_envs\q0251\lib\site-packages\qiskit\aqua\__init__.py)</t>
        </is>
      </c>
      <c r="AH74" s="55" t="inlineStr">
        <is>
          <t>The LLM returned the buggy code unchanged, without the '# NO BUG:' line the prompt requires, so it fails exactly like the buggy code: run_algorithm no longer exists in qiskit.aqua (ImportError). The reference calls ExactEigensolver(qubitOp, k=1).run() directly.</t>
        </is>
      </c>
      <c r="AI74" s="55" t="inlineStr">
        <is>
          <t>ImportError</t>
        </is>
      </c>
      <c r="AJ74" s="55" t="inlineStr">
        <is>
          <t>ImportError: cannot import name 'run_algorithm' from 'qiskit.aqua' (C:\qiskit_envs\q0252\lib\site-packages\qiskit\aqua\__init__.py)</t>
        </is>
      </c>
      <c r="AK74" s="55" t="inlineStr">
        <is>
          <t>The LLM returned the buggy code unchanged, without the '# NO BUG:' line the prompt requires, so it fails exactly like the buggy code: run_algorithm no longer exists in qiskit.aqua (ImportError). The reference calls ExactEigensolver(qubitOp, k=1).run() directly.</t>
        </is>
      </c>
      <c r="AL74" s="55" t="inlineStr">
        <is>
          <t>ImportError</t>
        </is>
      </c>
      <c r="AM74" s="55" t="inlineStr">
        <is>
          <t>ImportError: cannot import name 'run_algorithm' from 'qiskit.aqua' (C:\qiskit_envs\q0253\lib\site-packages\qiskit\aqua\__init__.py)</t>
        </is>
      </c>
      <c r="AN74" s="55" t="inlineStr">
        <is>
          <t>The LLM returned the buggy code unchanged, without the '# NO BUG:' line the prompt requires, so it fails exactly like the buggy code: run_algorithm no longer exists in qiskit.aqua (ImportError). The reference calls ExactEigensolver(qubitOp, k=1).run() directly.</t>
        </is>
      </c>
      <c r="AO74" s="55" t="n"/>
      <c r="AP74" s="55" t="n"/>
      <c r="AQ74" s="55" t="n"/>
      <c r="AR74" s="55" t="n"/>
      <c r="AS74" s="55" t="n"/>
      <c r="AT74" s="55" t="n"/>
      <c r="AU74" s="55" t="n"/>
      <c r="AV74" s="55" t="n"/>
      <c r="AW74" s="55" t="n"/>
      <c r="AX74" s="55" t="n"/>
      <c r="AY74" s="55" t="n"/>
      <c r="AZ74" s="55" t="n"/>
      <c r="BA74" s="55" t="n"/>
      <c r="BB74" s="55" t="n"/>
      <c r="BC74" s="55" t="n"/>
      <c r="BD74" s="55" t="n"/>
      <c r="BE74" s="55" t="n"/>
      <c r="BF74" s="55" t="n"/>
      <c r="BG74" s="55" t="n"/>
      <c r="BH74" s="55" t="n"/>
      <c r="BI74" s="55" t="n"/>
      <c r="BJ74" s="55" t="n"/>
      <c r="BK74" s="55" t="n"/>
      <c r="BL74" s="55" t="n"/>
      <c r="BM74" s="55" t="n"/>
      <c r="BN74" s="55" t="n"/>
      <c r="BO74" s="55" t="n"/>
      <c r="BP74" s="55" t="n"/>
      <c r="BQ74" s="55" t="n"/>
      <c r="BR74" s="55" t="n"/>
      <c r="BS74" s="55" t="n"/>
      <c r="BT74" s="55" t="n"/>
      <c r="BU74" s="55" t="n"/>
      <c r="BV74" s="55" t="n"/>
      <c r="BW74" s="55" t="n"/>
      <c r="BX74" s="55" t="n"/>
      <c r="BY74" s="55" t="n"/>
      <c r="BZ74" s="55" t="n"/>
      <c r="CA74" s="55" t="n"/>
      <c r="CB74" s="55" t="n"/>
      <c r="CC74" s="55" t="n"/>
      <c r="CD74" s="55" t="n"/>
      <c r="CE74" s="55" t="n"/>
      <c r="CF74" s="55" t="n"/>
      <c r="CG74" s="55" t="n"/>
      <c r="CH74" s="55" t="n"/>
      <c r="CI74" s="55" t="n"/>
      <c r="CJ74" s="55" t="n"/>
      <c r="CK74" s="55" t="n"/>
      <c r="CL74" s="55" t="n"/>
      <c r="CM74" s="55" t="n"/>
      <c r="CN74" s="55" t="n"/>
      <c r="CO74" s="55" t="n"/>
      <c r="CP74" s="55" t="n"/>
      <c r="CQ74" s="55" t="n"/>
      <c r="CR74" s="55" t="n"/>
      <c r="CS74" s="55" t="n"/>
      <c r="CT74" s="55" t="n"/>
      <c r="CU74" s="55" t="n"/>
      <c r="CV74" s="55" t="n"/>
      <c r="CW74" s="55" t="n"/>
      <c r="CX74" s="55" t="n"/>
      <c r="CY74" s="55" t="n"/>
      <c r="CZ74" s="55" t="n"/>
      <c r="DA74" s="55" t="n"/>
      <c r="DB74" s="55" t="n"/>
      <c r="DC74" s="55" t="n"/>
      <c r="DD74" s="55" t="n"/>
      <c r="DE74"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64"/>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 batch 7 = Summary rows 62-68, batch 8 = Summary rows 69-74.</t>
        </is>
      </c>
    </row>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c r="N5" s="54" t="inlineStr">
        <is>
          <t>Batch 6</t>
        </is>
      </c>
      <c r="O5" s="54" t="inlineStr">
        <is>
          <t>Batch 6 %</t>
        </is>
      </c>
      <c r="P5" s="54" t="inlineStr">
        <is>
          <t>Batch 7</t>
        </is>
      </c>
      <c r="Q5" s="54" t="inlineStr">
        <is>
          <t>Batch 7 %</t>
        </is>
      </c>
      <c r="R5" s="54" t="inlineStr">
        <is>
          <t>Batch 8</t>
        </is>
      </c>
      <c r="S5" s="54" t="inlineStr">
        <is>
          <t>Batch 8 %</t>
        </is>
      </c>
    </row>
    <row r="6">
      <c r="A6" s="61" t="inlineStr">
        <is>
          <t>PASS</t>
        </is>
      </c>
      <c r="B6" s="55">
        <f>COUNTIF(Summary!$B$2:$AB$74,"PASS")</f>
        <v/>
      </c>
      <c r="C6" s="62">
        <f>IF($B$9=0,0,B6/$B$9)</f>
        <v/>
      </c>
      <c r="D6" s="55">
        <f>COUNTIF(Summary!$B$2:$AB$11,"PASS")</f>
        <v/>
      </c>
      <c r="E6" s="62">
        <f>IF(D$9=0,0,D6/D$9)</f>
        <v/>
      </c>
      <c r="F6" s="55">
        <f>COUNTIF(Summary!$B$12:$AB$21,"PASS")</f>
        <v/>
      </c>
      <c r="G6" s="62">
        <f>IF(F$9=0,0,F6/F$9)</f>
        <v/>
      </c>
      <c r="H6" s="55">
        <f>COUNTIF(Summary!$B$22:$AB$31,"PASS")</f>
        <v/>
      </c>
      <c r="I6" s="62">
        <f>IF(H$9=0,0,H6/H$9)</f>
        <v/>
      </c>
      <c r="J6" s="55">
        <f>COUNTIF(Summary!$B$32:$AB$41,"PASS")</f>
        <v/>
      </c>
      <c r="K6" s="62">
        <f>IF(J$9=0,0,J6/J$9)</f>
        <v/>
      </c>
      <c r="L6" s="55">
        <f>COUNTIF(Summary!$B$42:$AB$51,"PASS")</f>
        <v/>
      </c>
      <c r="M6" s="62">
        <f>IF(L$9=0,0,L6/L$9)</f>
        <v/>
      </c>
      <c r="N6" s="55">
        <f>COUNTIF(Summary!$B$52:$AB$61,"PASS")</f>
        <v/>
      </c>
      <c r="O6" s="62">
        <f>IF(N$9=0,0,N6/N$9)</f>
        <v/>
      </c>
      <c r="P6" s="55">
        <f>COUNTIF(Summary!$B$62:$AB$68,"PASS")</f>
        <v/>
      </c>
      <c r="Q6" s="62">
        <f>IF(P$9=0,0,P6/P$9)</f>
        <v/>
      </c>
      <c r="R6" s="55">
        <f>COUNTIF(Summary!$B$69:$AB$74,"PASS")</f>
        <v/>
      </c>
      <c r="S6" s="62">
        <f>IF(R$9=0,0,R6/R$9)</f>
        <v/>
      </c>
    </row>
    <row r="7">
      <c r="A7" s="63" t="inlineStr">
        <is>
          <t>FAIL</t>
        </is>
      </c>
      <c r="B7" s="55">
        <f>COUNTIF(Summary!$B$2:$AB$74,"FAIL")</f>
        <v/>
      </c>
      <c r="C7" s="62">
        <f>IF($B$9=0,0,B7/$B$9)</f>
        <v/>
      </c>
      <c r="D7" s="55">
        <f>COUNTIF(Summary!$B$2:$AB$11,"FAIL")</f>
        <v/>
      </c>
      <c r="E7" s="62">
        <f>IF(D$9=0,0,D7/D$9)</f>
        <v/>
      </c>
      <c r="F7" s="55">
        <f>COUNTIF(Summary!$B$12:$AB$21,"FAIL")</f>
        <v/>
      </c>
      <c r="G7" s="62">
        <f>IF(F$9=0,0,F7/F$9)</f>
        <v/>
      </c>
      <c r="H7" s="55">
        <f>COUNTIF(Summary!$B$22:$AB$31,"FAIL")</f>
        <v/>
      </c>
      <c r="I7" s="62">
        <f>IF(H$9=0,0,H7/H$9)</f>
        <v/>
      </c>
      <c r="J7" s="55">
        <f>COUNTIF(Summary!$B$32:$AB$41,"FAIL")</f>
        <v/>
      </c>
      <c r="K7" s="62">
        <f>IF(J$9=0,0,J7/J$9)</f>
        <v/>
      </c>
      <c r="L7" s="55">
        <f>COUNTIF(Summary!$B$42:$AB$51,"FAIL")</f>
        <v/>
      </c>
      <c r="M7" s="62">
        <f>IF(L$9=0,0,L7/L$9)</f>
        <v/>
      </c>
      <c r="N7" s="55">
        <f>COUNTIF(Summary!$B$52:$AB$61,"FAIL")</f>
        <v/>
      </c>
      <c r="O7" s="62">
        <f>IF(N$9=0,0,N7/N$9)</f>
        <v/>
      </c>
      <c r="P7" s="55">
        <f>COUNTIF(Summary!$B$62:$AB$68,"FAIL")</f>
        <v/>
      </c>
      <c r="Q7" s="62">
        <f>IF(P$9=0,0,P7/P$9)</f>
        <v/>
      </c>
      <c r="R7" s="55">
        <f>COUNTIF(Summary!$B$69:$AB$74,"FAIL")</f>
        <v/>
      </c>
      <c r="S7" s="62">
        <f>IF(R$9=0,0,R7/R$9)</f>
        <v/>
      </c>
    </row>
    <row r="8">
      <c r="A8" s="64" t="inlineStr">
        <is>
          <t>ERROR</t>
        </is>
      </c>
      <c r="B8" s="55">
        <f>COUNTIF(Summary!$B$2:$AB$74,"ERROR")</f>
        <v/>
      </c>
      <c r="C8" s="62">
        <f>IF($B$9=0,0,B8/$B$9)</f>
        <v/>
      </c>
      <c r="D8" s="55">
        <f>COUNTIF(Summary!$B$2:$AB$11,"ERROR")</f>
        <v/>
      </c>
      <c r="E8" s="62">
        <f>IF(D$9=0,0,D8/D$9)</f>
        <v/>
      </c>
      <c r="F8" s="55">
        <f>COUNTIF(Summary!$B$12:$AB$21,"ERROR")</f>
        <v/>
      </c>
      <c r="G8" s="62">
        <f>IF(F$9=0,0,F8/F$9)</f>
        <v/>
      </c>
      <c r="H8" s="55">
        <f>COUNTIF(Summary!$B$22:$AB$31,"ERROR")</f>
        <v/>
      </c>
      <c r="I8" s="62">
        <f>IF(H$9=0,0,H8/H$9)</f>
        <v/>
      </c>
      <c r="J8" s="55">
        <f>COUNTIF(Summary!$B$32:$AB$41,"ERROR")</f>
        <v/>
      </c>
      <c r="K8" s="62">
        <f>IF(J$9=0,0,J8/J$9)</f>
        <v/>
      </c>
      <c r="L8" s="55">
        <f>COUNTIF(Summary!$B$42:$AB$51,"ERROR")</f>
        <v/>
      </c>
      <c r="M8" s="62">
        <f>IF(L$9=0,0,L8/L$9)</f>
        <v/>
      </c>
      <c r="N8" s="55">
        <f>COUNTIF(Summary!$B$52:$AB$61,"ERROR")</f>
        <v/>
      </c>
      <c r="O8" s="62">
        <f>IF(N$9=0,0,N8/N$9)</f>
        <v/>
      </c>
      <c r="P8" s="55">
        <f>COUNTIF(Summary!$B$62:$AB$68,"ERROR")</f>
        <v/>
      </c>
      <c r="Q8" s="62">
        <f>IF(P$9=0,0,P8/P$9)</f>
        <v/>
      </c>
      <c r="R8" s="55">
        <f>COUNTIF(Summary!$B$69:$AB$74,"ERROR")</f>
        <v/>
      </c>
      <c r="S8" s="62">
        <f>IF(R$9=0,0,R8/R$9)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c r="N9" s="65">
        <f>SUM(N6:N8)</f>
        <v/>
      </c>
      <c r="O9" s="66">
        <f>SUM(O6:O8)</f>
        <v/>
      </c>
      <c r="P9" s="65">
        <f>SUM(P6:P8)</f>
        <v/>
      </c>
      <c r="Q9" s="66">
        <f>SUM(Q6:Q8)</f>
        <v/>
      </c>
      <c r="R9" s="65">
        <f>SUM(R6:R8)</f>
        <v/>
      </c>
      <c r="S9" s="66">
        <f>SUM(S6:S8)</f>
        <v/>
      </c>
    </row>
    <row r="10">
      <c r="A10" s="55" t="inlineStr">
        <is>
          <t>Not tested (version not listed for that case)</t>
        </is>
      </c>
      <c r="B10" s="55">
        <f>COUNTIF(Summary!$B$2:$AB$74,"NOT_TESTED")</f>
        <v/>
      </c>
      <c r="D10" s="55">
        <f>COUNTIF(Summary!$B$2:$AB$11,"NOT_TESTED")</f>
        <v/>
      </c>
      <c r="F10" s="55">
        <f>COUNTIF(Summary!$B$12:$AB$21,"NOT_TESTED")</f>
        <v/>
      </c>
      <c r="H10" s="55">
        <f>COUNTIF(Summary!$B$22:$AB$31,"NOT_TESTED")</f>
        <v/>
      </c>
      <c r="J10" s="55">
        <f>COUNTIF(Summary!$B$32:$AB$41,"NOT_TESTED")</f>
        <v/>
      </c>
      <c r="L10" s="55">
        <f>COUNTIF(Summary!$B$42:$AB$51,"NOT_TESTED")</f>
        <v/>
      </c>
      <c r="N10" s="55">
        <f>COUNTIF(Summary!$B$52:$AB$61,"NOT_TESTED")</f>
        <v/>
      </c>
      <c r="P10" s="55">
        <f>COUNTIF(Summary!$B$62:$AB$68,"NOT_TESTED")</f>
        <v/>
      </c>
      <c r="R10" s="55">
        <f>COUNTIF(Summary!$B$69:$AB$74,"NOT_TESTED")</f>
        <v/>
      </c>
    </row>
    <row r="12">
      <c r="A12" s="60" t="inlineStr">
        <is>
          <t>2. Per case</t>
        </is>
      </c>
    </row>
    <row r="13">
      <c r="A13" s="54" t="inlineStr">
        <is>
          <t>Case</t>
        </is>
      </c>
      <c r="B13" s="54" t="inlineStr">
        <is>
          <t>Versions tested</t>
        </is>
      </c>
      <c r="C13" s="54" t="inlineStr">
        <is>
          <t>PASS</t>
        </is>
      </c>
      <c r="D13" s="54" t="inlineStr">
        <is>
          <t>FAIL</t>
        </is>
      </c>
      <c r="E13" s="54" t="inlineStr">
        <is>
          <t>ERROR</t>
        </is>
      </c>
      <c r="F13" s="54" t="inlineStr">
        <is>
          <t>Pass %</t>
        </is>
      </c>
      <c r="G13" s="54" t="inlineStr">
        <is>
          <t>Fail %</t>
        </is>
      </c>
      <c r="H13" s="54" t="inlineStr">
        <is>
          <t>Error %</t>
        </is>
      </c>
      <c r="I13" s="54" t="inlineStr">
        <is>
          <t>Case outcome</t>
        </is>
      </c>
      <c r="J13" s="54" t="inlineStr">
        <is>
          <t>Batch</t>
        </is>
      </c>
    </row>
    <row r="14">
      <c r="A14" s="55">
        <f>Summary!A2</f>
        <v/>
      </c>
      <c r="B14" s="55">
        <f>COUNTIF(Summary!$B$2:$AB$2,"PASS")+COUNTIF(Summary!$B$2:$AB$2,"FAIL")+COUNTIF(Summary!$B$2:$AB$2,"ERROR")</f>
        <v/>
      </c>
      <c r="C14" s="55">
        <f>COUNTIF(Summary!$B$2:$AB$2,"PASS")</f>
        <v/>
      </c>
      <c r="D14" s="55">
        <f>COUNTIF(Summary!$B$2:$AB$2,"FAIL")</f>
        <v/>
      </c>
      <c r="E14" s="55">
        <f>COUNTIF(Summary!$B$2:$AB$2,"ERROR")</f>
        <v/>
      </c>
      <c r="F14" s="62">
        <f>IF($B14=0,0,C14/$B14)</f>
        <v/>
      </c>
      <c r="G14" s="62">
        <f>IF($B14=0,0,D14/$B14)</f>
        <v/>
      </c>
      <c r="H14" s="62">
        <f>IF($B14=0,0,E14/$B14)</f>
        <v/>
      </c>
      <c r="I14" s="55">
        <f>IF(C14=B14,"PASS",IF(E14&gt;0,"ERROR","FAIL"))</f>
        <v/>
      </c>
      <c r="J14" s="55" t="n">
        <v>1</v>
      </c>
    </row>
    <row r="15">
      <c r="A15" s="55">
        <f>Summary!A3</f>
        <v/>
      </c>
      <c r="B15" s="55">
        <f>COUNTIF(Summary!$B$3:$AB$3,"PASS")+COUNTIF(Summary!$B$3:$AB$3,"FAIL")+COUNTIF(Summary!$B$3:$AB$3,"ERROR")</f>
        <v/>
      </c>
      <c r="C15" s="55">
        <f>COUNTIF(Summary!$B$3:$AB$3,"PASS")</f>
        <v/>
      </c>
      <c r="D15" s="55">
        <f>COUNTIF(Summary!$B$3:$AB$3,"FAIL")</f>
        <v/>
      </c>
      <c r="E15" s="55">
        <f>COUNTIF(Summary!$B$3:$AB$3,"ERROR")</f>
        <v/>
      </c>
      <c r="F15" s="62">
        <f>IF($B15=0,0,C15/$B15)</f>
        <v/>
      </c>
      <c r="G15" s="62">
        <f>IF($B15=0,0,D15/$B15)</f>
        <v/>
      </c>
      <c r="H15" s="62">
        <f>IF($B15=0,0,E15/$B15)</f>
        <v/>
      </c>
      <c r="I15" s="55">
        <f>IF(C15=B15,"PASS",IF(E15&gt;0,"ERROR","FAIL"))</f>
        <v/>
      </c>
      <c r="J15" s="55" t="n">
        <v>1</v>
      </c>
    </row>
    <row r="16">
      <c r="A16" s="55">
        <f>Summary!A4</f>
        <v/>
      </c>
      <c r="B16" s="55">
        <f>COUNTIF(Summary!$B$4:$AB$4,"PASS")+COUNTIF(Summary!$B$4:$AB$4,"FAIL")+COUNTIF(Summary!$B$4:$AB$4,"ERROR")</f>
        <v/>
      </c>
      <c r="C16" s="55">
        <f>COUNTIF(Summary!$B$4:$AB$4,"PASS")</f>
        <v/>
      </c>
      <c r="D16" s="55">
        <f>COUNTIF(Summary!$B$4:$AB$4,"FAIL")</f>
        <v/>
      </c>
      <c r="E16" s="55">
        <f>COUNTIF(Summary!$B$4:$AB$4,"ERROR")</f>
        <v/>
      </c>
      <c r="F16" s="62">
        <f>IF($B16=0,0,C16/$B16)</f>
        <v/>
      </c>
      <c r="G16" s="62">
        <f>IF($B16=0,0,D16/$B16)</f>
        <v/>
      </c>
      <c r="H16" s="62">
        <f>IF($B16=0,0,E16/$B16)</f>
        <v/>
      </c>
      <c r="I16" s="55">
        <f>IF(C16=B16,"PASS",IF(E16&gt;0,"ERROR","FAIL"))</f>
        <v/>
      </c>
      <c r="J16" s="55" t="n">
        <v>1</v>
      </c>
    </row>
    <row r="17">
      <c r="A17" s="55">
        <f>Summary!A5</f>
        <v/>
      </c>
      <c r="B17" s="55">
        <f>COUNTIF(Summary!$B$5:$AB$5,"PASS")+COUNTIF(Summary!$B$5:$AB$5,"FAIL")+COUNTIF(Summary!$B$5:$AB$5,"ERROR")</f>
        <v/>
      </c>
      <c r="C17" s="55">
        <f>COUNTIF(Summary!$B$5:$AB$5,"PASS")</f>
        <v/>
      </c>
      <c r="D17" s="55">
        <f>COUNTIF(Summary!$B$5:$AB$5,"FAIL")</f>
        <v/>
      </c>
      <c r="E17" s="55">
        <f>COUNTIF(Summary!$B$5:$AB$5,"ERROR")</f>
        <v/>
      </c>
      <c r="F17" s="62">
        <f>IF($B17=0,0,C17/$B17)</f>
        <v/>
      </c>
      <c r="G17" s="62">
        <f>IF($B17=0,0,D17/$B17)</f>
        <v/>
      </c>
      <c r="H17" s="62">
        <f>IF($B17=0,0,E17/$B17)</f>
        <v/>
      </c>
      <c r="I17" s="55">
        <f>IF(C17=B17,"PASS",IF(E17&gt;0,"ERROR","FAIL"))</f>
        <v/>
      </c>
      <c r="J17" s="55" t="n">
        <v>1</v>
      </c>
    </row>
    <row r="18">
      <c r="A18" s="55">
        <f>Summary!A6</f>
        <v/>
      </c>
      <c r="B18" s="55">
        <f>COUNTIF(Summary!$B$6:$AB$6,"PASS")+COUNTIF(Summary!$B$6:$AB$6,"FAIL")+COUNTIF(Summary!$B$6:$AB$6,"ERROR")</f>
        <v/>
      </c>
      <c r="C18" s="55">
        <f>COUNTIF(Summary!$B$6:$AB$6,"PASS")</f>
        <v/>
      </c>
      <c r="D18" s="55">
        <f>COUNTIF(Summary!$B$6:$AB$6,"FAIL")</f>
        <v/>
      </c>
      <c r="E18" s="55">
        <f>COUNTIF(Summary!$B$6:$AB$6,"ERROR")</f>
        <v/>
      </c>
      <c r="F18" s="62">
        <f>IF($B18=0,0,C18/$B18)</f>
        <v/>
      </c>
      <c r="G18" s="62">
        <f>IF($B18=0,0,D18/$B18)</f>
        <v/>
      </c>
      <c r="H18" s="62">
        <f>IF($B18=0,0,E18/$B18)</f>
        <v/>
      </c>
      <c r="I18" s="55">
        <f>IF(C18=B18,"PASS",IF(E18&gt;0,"ERROR","FAIL"))</f>
        <v/>
      </c>
      <c r="J18" s="55" t="n">
        <v>1</v>
      </c>
    </row>
    <row r="19">
      <c r="A19" s="55">
        <f>Summary!A7</f>
        <v/>
      </c>
      <c r="B19" s="55">
        <f>COUNTIF(Summary!$B$7:$AB$7,"PASS")+COUNTIF(Summary!$B$7:$AB$7,"FAIL")+COUNTIF(Summary!$B$7:$AB$7,"ERROR")</f>
        <v/>
      </c>
      <c r="C19" s="55">
        <f>COUNTIF(Summary!$B$7:$AB$7,"PASS")</f>
        <v/>
      </c>
      <c r="D19" s="55">
        <f>COUNTIF(Summary!$B$7:$AB$7,"FAIL")</f>
        <v/>
      </c>
      <c r="E19" s="55">
        <f>COUNTIF(Summary!$B$7:$AB$7,"ERROR")</f>
        <v/>
      </c>
      <c r="F19" s="62">
        <f>IF($B19=0,0,C19/$B19)</f>
        <v/>
      </c>
      <c r="G19" s="62">
        <f>IF($B19=0,0,D19/$B19)</f>
        <v/>
      </c>
      <c r="H19" s="62">
        <f>IF($B19=0,0,E19/$B19)</f>
        <v/>
      </c>
      <c r="I19" s="55">
        <f>IF(C19=B19,"PASS",IF(E19&gt;0,"ERROR","FAIL"))</f>
        <v/>
      </c>
      <c r="J19" s="55" t="n">
        <v>1</v>
      </c>
    </row>
    <row r="20">
      <c r="A20" s="55">
        <f>Summary!A8</f>
        <v/>
      </c>
      <c r="B20" s="55">
        <f>COUNTIF(Summary!$B$8:$AB$8,"PASS")+COUNTIF(Summary!$B$8:$AB$8,"FAIL")+COUNTIF(Summary!$B$8:$AB$8,"ERROR")</f>
        <v/>
      </c>
      <c r="C20" s="55">
        <f>COUNTIF(Summary!$B$8:$AB$8,"PASS")</f>
        <v/>
      </c>
      <c r="D20" s="55">
        <f>COUNTIF(Summary!$B$8:$AB$8,"FAIL")</f>
        <v/>
      </c>
      <c r="E20" s="55">
        <f>COUNTIF(Summary!$B$8:$AB$8,"ERROR")</f>
        <v/>
      </c>
      <c r="F20" s="62">
        <f>IF($B20=0,0,C20/$B20)</f>
        <v/>
      </c>
      <c r="G20" s="62">
        <f>IF($B20=0,0,D20/$B20)</f>
        <v/>
      </c>
      <c r="H20" s="62">
        <f>IF($B20=0,0,E20/$B20)</f>
        <v/>
      </c>
      <c r="I20" s="55">
        <f>IF(C20=B20,"PASS",IF(E20&gt;0,"ERROR","FAIL"))</f>
        <v/>
      </c>
      <c r="J20" s="55" t="n">
        <v>1</v>
      </c>
    </row>
    <row r="21">
      <c r="A21" s="55">
        <f>Summary!A9</f>
        <v/>
      </c>
      <c r="B21" s="55">
        <f>COUNTIF(Summary!$B$9:$AB$9,"PASS")+COUNTIF(Summary!$B$9:$AB$9,"FAIL")+COUNTIF(Summary!$B$9:$AB$9,"ERROR")</f>
        <v/>
      </c>
      <c r="C21" s="55">
        <f>COUNTIF(Summary!$B$9:$AB$9,"PASS")</f>
        <v/>
      </c>
      <c r="D21" s="55">
        <f>COUNTIF(Summary!$B$9:$AB$9,"FAIL")</f>
        <v/>
      </c>
      <c r="E21" s="55">
        <f>COUNTIF(Summary!$B$9:$AB$9,"ERROR")</f>
        <v/>
      </c>
      <c r="F21" s="62">
        <f>IF($B21=0,0,C21/$B21)</f>
        <v/>
      </c>
      <c r="G21" s="62">
        <f>IF($B21=0,0,D21/$B21)</f>
        <v/>
      </c>
      <c r="H21" s="62">
        <f>IF($B21=0,0,E21/$B21)</f>
        <v/>
      </c>
      <c r="I21" s="55">
        <f>IF(C21=B21,"PASS",IF(E21&gt;0,"ERROR","FAIL"))</f>
        <v/>
      </c>
      <c r="J21" s="55" t="n">
        <v>1</v>
      </c>
    </row>
    <row r="22">
      <c r="A22" s="55">
        <f>Summary!A10</f>
        <v/>
      </c>
      <c r="B22" s="55">
        <f>COUNTIF(Summary!$B$10:$AB$10,"PASS")+COUNTIF(Summary!$B$10:$AB$10,"FAIL")+COUNTIF(Summary!$B$10:$AB$10,"ERROR")</f>
        <v/>
      </c>
      <c r="C22" s="55">
        <f>COUNTIF(Summary!$B$10:$AB$10,"PASS")</f>
        <v/>
      </c>
      <c r="D22" s="55">
        <f>COUNTIF(Summary!$B$10:$AB$10,"FAIL")</f>
        <v/>
      </c>
      <c r="E22" s="55">
        <f>COUNTIF(Summary!$B$10:$AB$10,"ERROR")</f>
        <v/>
      </c>
      <c r="F22" s="62">
        <f>IF($B22=0,0,C22/$B22)</f>
        <v/>
      </c>
      <c r="G22" s="62">
        <f>IF($B22=0,0,D22/$B22)</f>
        <v/>
      </c>
      <c r="H22" s="62">
        <f>IF($B22=0,0,E22/$B22)</f>
        <v/>
      </c>
      <c r="I22" s="55">
        <f>IF(C22=B22,"PASS",IF(E22&gt;0,"ERROR","FAIL"))</f>
        <v/>
      </c>
      <c r="J22" s="55" t="n">
        <v>1</v>
      </c>
    </row>
    <row r="23">
      <c r="A23" s="55">
        <f>Summary!A11</f>
        <v/>
      </c>
      <c r="B23" s="55">
        <f>COUNTIF(Summary!$B$11:$AB$11,"PASS")+COUNTIF(Summary!$B$11:$AB$11,"FAIL")+COUNTIF(Summary!$B$11:$AB$11,"ERROR")</f>
        <v/>
      </c>
      <c r="C23" s="55">
        <f>COUNTIF(Summary!$B$11:$AB$11,"PASS")</f>
        <v/>
      </c>
      <c r="D23" s="55">
        <f>COUNTIF(Summary!$B$11:$AB$11,"FAIL")</f>
        <v/>
      </c>
      <c r="E23" s="55">
        <f>COUNTIF(Summary!$B$11:$AB$11,"ERROR")</f>
        <v/>
      </c>
      <c r="F23" s="62">
        <f>IF($B23=0,0,C23/$B23)</f>
        <v/>
      </c>
      <c r="G23" s="62">
        <f>IF($B23=0,0,D23/$B23)</f>
        <v/>
      </c>
      <c r="H23" s="62">
        <f>IF($B23=0,0,E23/$B23)</f>
        <v/>
      </c>
      <c r="I23" s="55">
        <f>IF(C23=B23,"PASS",IF(E23&gt;0,"ERROR","FAIL"))</f>
        <v/>
      </c>
      <c r="J23" s="55" t="n">
        <v>1</v>
      </c>
    </row>
    <row r="24">
      <c r="A24" s="55">
        <f>Summary!A12</f>
        <v/>
      </c>
      <c r="B24" s="55">
        <f>COUNTIF(Summary!$B$12:$AB$12,"PASS")+COUNTIF(Summary!$B$12:$AB$12,"FAIL")+COUNTIF(Summary!$B$12:$AB$12,"ERROR")</f>
        <v/>
      </c>
      <c r="C24" s="55">
        <f>COUNTIF(Summary!$B$12:$AB$12,"PASS")</f>
        <v/>
      </c>
      <c r="D24" s="55">
        <f>COUNTIF(Summary!$B$12:$AB$12,"FAIL")</f>
        <v/>
      </c>
      <c r="E24" s="55">
        <f>COUNTIF(Summary!$B$12:$AB$12,"ERROR")</f>
        <v/>
      </c>
      <c r="F24" s="62">
        <f>IF($B24=0,0,C24/$B24)</f>
        <v/>
      </c>
      <c r="G24" s="62">
        <f>IF($B24=0,0,D24/$B24)</f>
        <v/>
      </c>
      <c r="H24" s="62">
        <f>IF($B24=0,0,E24/$B24)</f>
        <v/>
      </c>
      <c r="I24" s="55">
        <f>IF(C24=B24,"PASS",IF(E24&gt;0,"ERROR","FAIL"))</f>
        <v/>
      </c>
      <c r="J24" s="55" t="n">
        <v>2</v>
      </c>
    </row>
    <row r="25">
      <c r="A25" s="55">
        <f>Summary!A13</f>
        <v/>
      </c>
      <c r="B25" s="55">
        <f>COUNTIF(Summary!$B$13:$AB$13,"PASS")+COUNTIF(Summary!$B$13:$AB$13,"FAIL")+COUNTIF(Summary!$B$13:$AB$13,"ERROR")</f>
        <v/>
      </c>
      <c r="C25" s="55">
        <f>COUNTIF(Summary!$B$13:$AB$13,"PASS")</f>
        <v/>
      </c>
      <c r="D25" s="55">
        <f>COUNTIF(Summary!$B$13:$AB$13,"FAIL")</f>
        <v/>
      </c>
      <c r="E25" s="55">
        <f>COUNTIF(Summary!$B$13:$AB$13,"ERROR")</f>
        <v/>
      </c>
      <c r="F25" s="62">
        <f>IF($B25=0,0,C25/$B25)</f>
        <v/>
      </c>
      <c r="G25" s="62">
        <f>IF($B25=0,0,D25/$B25)</f>
        <v/>
      </c>
      <c r="H25" s="62">
        <f>IF($B25=0,0,E25/$B25)</f>
        <v/>
      </c>
      <c r="I25" s="55">
        <f>IF(C25=B25,"PASS",IF(E25&gt;0,"ERROR","FAIL"))</f>
        <v/>
      </c>
      <c r="J25" s="55" t="n">
        <v>2</v>
      </c>
    </row>
    <row r="26">
      <c r="A26" s="55">
        <f>Summary!A14</f>
        <v/>
      </c>
      <c r="B26" s="55">
        <f>COUNTIF(Summary!$B$14:$AB$14,"PASS")+COUNTIF(Summary!$B$14:$AB$14,"FAIL")+COUNTIF(Summary!$B$14:$AB$14,"ERROR")</f>
        <v/>
      </c>
      <c r="C26" s="55">
        <f>COUNTIF(Summary!$B$14:$AB$14,"PASS")</f>
        <v/>
      </c>
      <c r="D26" s="55">
        <f>COUNTIF(Summary!$B$14:$AB$14,"FAIL")</f>
        <v/>
      </c>
      <c r="E26" s="55">
        <f>COUNTIF(Summary!$B$14:$AB$14,"ERROR")</f>
        <v/>
      </c>
      <c r="F26" s="62">
        <f>IF($B26=0,0,C26/$B26)</f>
        <v/>
      </c>
      <c r="G26" s="62">
        <f>IF($B26=0,0,D26/$B26)</f>
        <v/>
      </c>
      <c r="H26" s="62">
        <f>IF($B26=0,0,E26/$B26)</f>
        <v/>
      </c>
      <c r="I26" s="55">
        <f>IF(C26=B26,"PASS",IF(E26&gt;0,"ERROR","FAIL"))</f>
        <v/>
      </c>
      <c r="J26" s="55" t="n">
        <v>2</v>
      </c>
    </row>
    <row r="27">
      <c r="A27" s="55">
        <f>Summary!A15</f>
        <v/>
      </c>
      <c r="B27" s="55">
        <f>COUNTIF(Summary!$B$15:$AB$15,"PASS")+COUNTIF(Summary!$B$15:$AB$15,"FAIL")+COUNTIF(Summary!$B$15:$AB$15,"ERROR")</f>
        <v/>
      </c>
      <c r="C27" s="55">
        <f>COUNTIF(Summary!$B$15:$AB$15,"PASS")</f>
        <v/>
      </c>
      <c r="D27" s="55">
        <f>COUNTIF(Summary!$B$15:$AB$15,"FAIL")</f>
        <v/>
      </c>
      <c r="E27" s="55">
        <f>COUNTIF(Summary!$B$15:$AB$15,"ERROR")</f>
        <v/>
      </c>
      <c r="F27" s="62">
        <f>IF($B27=0,0,C27/$B27)</f>
        <v/>
      </c>
      <c r="G27" s="62">
        <f>IF($B27=0,0,D27/$B27)</f>
        <v/>
      </c>
      <c r="H27" s="62">
        <f>IF($B27=0,0,E27/$B27)</f>
        <v/>
      </c>
      <c r="I27" s="55">
        <f>IF(C27=B27,"PASS",IF(E27&gt;0,"ERROR","FAIL"))</f>
        <v/>
      </c>
      <c r="J27" s="55" t="n">
        <v>2</v>
      </c>
    </row>
    <row r="28">
      <c r="A28" s="55">
        <f>Summary!A16</f>
        <v/>
      </c>
      <c r="B28" s="55">
        <f>COUNTIF(Summary!$B$16:$AB$16,"PASS")+COUNTIF(Summary!$B$16:$AB$16,"FAIL")+COUNTIF(Summary!$B$16:$AB$16,"ERROR")</f>
        <v/>
      </c>
      <c r="C28" s="55">
        <f>COUNTIF(Summary!$B$16:$AB$16,"PASS")</f>
        <v/>
      </c>
      <c r="D28" s="55">
        <f>COUNTIF(Summary!$B$16:$AB$16,"FAIL")</f>
        <v/>
      </c>
      <c r="E28" s="55">
        <f>COUNTIF(Summary!$B$16:$AB$16,"ERROR")</f>
        <v/>
      </c>
      <c r="F28" s="62">
        <f>IF($B28=0,0,C28/$B28)</f>
        <v/>
      </c>
      <c r="G28" s="62">
        <f>IF($B28=0,0,D28/$B28)</f>
        <v/>
      </c>
      <c r="H28" s="62">
        <f>IF($B28=0,0,E28/$B28)</f>
        <v/>
      </c>
      <c r="I28" s="55">
        <f>IF(C28=B28,"PASS",IF(E28&gt;0,"ERROR","FAIL"))</f>
        <v/>
      </c>
      <c r="J28" s="55" t="n">
        <v>2</v>
      </c>
    </row>
    <row r="29">
      <c r="A29" s="55">
        <f>Summary!A17</f>
        <v/>
      </c>
      <c r="B29" s="55">
        <f>COUNTIF(Summary!$B$17:$AB$17,"PASS")+COUNTIF(Summary!$B$17:$AB$17,"FAIL")+COUNTIF(Summary!$B$17:$AB$17,"ERROR")</f>
        <v/>
      </c>
      <c r="C29" s="55">
        <f>COUNTIF(Summary!$B$17:$AB$17,"PASS")</f>
        <v/>
      </c>
      <c r="D29" s="55">
        <f>COUNTIF(Summary!$B$17:$AB$17,"FAIL")</f>
        <v/>
      </c>
      <c r="E29" s="55">
        <f>COUNTIF(Summary!$B$17:$AB$17,"ERROR")</f>
        <v/>
      </c>
      <c r="F29" s="62">
        <f>IF($B29=0,0,C29/$B29)</f>
        <v/>
      </c>
      <c r="G29" s="62">
        <f>IF($B29=0,0,D29/$B29)</f>
        <v/>
      </c>
      <c r="H29" s="62">
        <f>IF($B29=0,0,E29/$B29)</f>
        <v/>
      </c>
      <c r="I29" s="55">
        <f>IF(C29=B29,"PASS",IF(E29&gt;0,"ERROR","FAIL"))</f>
        <v/>
      </c>
      <c r="J29" s="55" t="n">
        <v>2</v>
      </c>
    </row>
    <row r="30">
      <c r="A30" s="55">
        <f>Summary!A18</f>
        <v/>
      </c>
      <c r="B30" s="55">
        <f>COUNTIF(Summary!$B$18:$AB$18,"PASS")+COUNTIF(Summary!$B$18:$AB$18,"FAIL")+COUNTIF(Summary!$B$18:$AB$18,"ERROR")</f>
        <v/>
      </c>
      <c r="C30" s="55">
        <f>COUNTIF(Summary!$B$18:$AB$18,"PASS")</f>
        <v/>
      </c>
      <c r="D30" s="55">
        <f>COUNTIF(Summary!$B$18:$AB$18,"FAIL")</f>
        <v/>
      </c>
      <c r="E30" s="55">
        <f>COUNTIF(Summary!$B$18:$AB$18,"ERROR")</f>
        <v/>
      </c>
      <c r="F30" s="62">
        <f>IF($B30=0,0,C30/$B30)</f>
        <v/>
      </c>
      <c r="G30" s="62">
        <f>IF($B30=0,0,D30/$B30)</f>
        <v/>
      </c>
      <c r="H30" s="62">
        <f>IF($B30=0,0,E30/$B30)</f>
        <v/>
      </c>
      <c r="I30" s="55">
        <f>IF(C30=B30,"PASS",IF(E30&gt;0,"ERROR","FAIL"))</f>
        <v/>
      </c>
      <c r="J30" s="55" t="n">
        <v>2</v>
      </c>
    </row>
    <row r="31">
      <c r="A31" s="55">
        <f>Summary!A19</f>
        <v/>
      </c>
      <c r="B31" s="55">
        <f>COUNTIF(Summary!$B$19:$AB$19,"PASS")+COUNTIF(Summary!$B$19:$AB$19,"FAIL")+COUNTIF(Summary!$B$19:$AB$19,"ERROR")</f>
        <v/>
      </c>
      <c r="C31" s="55">
        <f>COUNTIF(Summary!$B$19:$AB$19,"PASS")</f>
        <v/>
      </c>
      <c r="D31" s="55">
        <f>COUNTIF(Summary!$B$19:$AB$19,"FAIL")</f>
        <v/>
      </c>
      <c r="E31" s="55">
        <f>COUNTIF(Summary!$B$19:$AB$19,"ERROR")</f>
        <v/>
      </c>
      <c r="F31" s="62">
        <f>IF($B31=0,0,C31/$B31)</f>
        <v/>
      </c>
      <c r="G31" s="62">
        <f>IF($B31=0,0,D31/$B31)</f>
        <v/>
      </c>
      <c r="H31" s="62">
        <f>IF($B31=0,0,E31/$B31)</f>
        <v/>
      </c>
      <c r="I31" s="55">
        <f>IF(C31=B31,"PASS",IF(E31&gt;0,"ERROR","FAIL"))</f>
        <v/>
      </c>
      <c r="J31" s="55" t="n">
        <v>2</v>
      </c>
    </row>
    <row r="32">
      <c r="A32" s="55">
        <f>Summary!A20</f>
        <v/>
      </c>
      <c r="B32" s="55">
        <f>COUNTIF(Summary!$B$20:$AB$20,"PASS")+COUNTIF(Summary!$B$20:$AB$20,"FAIL")+COUNTIF(Summary!$B$20:$AB$20,"ERROR")</f>
        <v/>
      </c>
      <c r="C32" s="55">
        <f>COUNTIF(Summary!$B$20:$AB$20,"PASS")</f>
        <v/>
      </c>
      <c r="D32" s="55">
        <f>COUNTIF(Summary!$B$20:$AB$20,"FAIL")</f>
        <v/>
      </c>
      <c r="E32" s="55">
        <f>COUNTIF(Summary!$B$20:$AB$20,"ERROR")</f>
        <v/>
      </c>
      <c r="F32" s="62">
        <f>IF($B32=0,0,C32/$B32)</f>
        <v/>
      </c>
      <c r="G32" s="62">
        <f>IF($B32=0,0,D32/$B32)</f>
        <v/>
      </c>
      <c r="H32" s="62">
        <f>IF($B32=0,0,E32/$B32)</f>
        <v/>
      </c>
      <c r="I32" s="55">
        <f>IF(C32=B32,"PASS",IF(E32&gt;0,"ERROR","FAIL"))</f>
        <v/>
      </c>
      <c r="J32" s="55" t="n">
        <v>2</v>
      </c>
    </row>
    <row r="33">
      <c r="A33" s="55">
        <f>Summary!A21</f>
        <v/>
      </c>
      <c r="B33" s="55">
        <f>COUNTIF(Summary!$B$21:$AB$21,"PASS")+COUNTIF(Summary!$B$21:$AB$21,"FAIL")+COUNTIF(Summary!$B$21:$AB$21,"ERROR")</f>
        <v/>
      </c>
      <c r="C33" s="55">
        <f>COUNTIF(Summary!$B$21:$AB$21,"PASS")</f>
        <v/>
      </c>
      <c r="D33" s="55">
        <f>COUNTIF(Summary!$B$21:$AB$21,"FAIL")</f>
        <v/>
      </c>
      <c r="E33" s="55">
        <f>COUNTIF(Summary!$B$21:$AB$21,"ERROR")</f>
        <v/>
      </c>
      <c r="F33" s="62">
        <f>IF($B33=0,0,C33/$B33)</f>
        <v/>
      </c>
      <c r="G33" s="62">
        <f>IF($B33=0,0,D33/$B33)</f>
        <v/>
      </c>
      <c r="H33" s="62">
        <f>IF($B33=0,0,E33/$B33)</f>
        <v/>
      </c>
      <c r="I33" s="55">
        <f>IF(C33=B33,"PASS",IF(E33&gt;0,"ERROR","FAIL"))</f>
        <v/>
      </c>
      <c r="J33" s="55" t="n">
        <v>2</v>
      </c>
    </row>
    <row r="34">
      <c r="A34" s="55">
        <f>Summary!A22</f>
        <v/>
      </c>
      <c r="B34" s="55">
        <f>COUNTIF(Summary!$B$22:$AB$22,"PASS")+COUNTIF(Summary!$B$22:$AB$22,"FAIL")+COUNTIF(Summary!$B$22:$AB$22,"ERROR")</f>
        <v/>
      </c>
      <c r="C34" s="55">
        <f>COUNTIF(Summary!$B$22:$AB$22,"PASS")</f>
        <v/>
      </c>
      <c r="D34" s="55">
        <f>COUNTIF(Summary!$B$22:$AB$22,"FAIL")</f>
        <v/>
      </c>
      <c r="E34" s="55">
        <f>COUNTIF(Summary!$B$22:$AB$22,"ERROR")</f>
        <v/>
      </c>
      <c r="F34" s="62">
        <f>IF($B34=0,0,C34/$B34)</f>
        <v/>
      </c>
      <c r="G34" s="62">
        <f>IF($B34=0,0,D34/$B34)</f>
        <v/>
      </c>
      <c r="H34" s="62">
        <f>IF($B34=0,0,E34/$B34)</f>
        <v/>
      </c>
      <c r="I34" s="55">
        <f>IF(C34=B34,"PASS",IF(E34&gt;0,"ERROR","FAIL"))</f>
        <v/>
      </c>
      <c r="J34" s="55" t="n">
        <v>3</v>
      </c>
    </row>
    <row r="35">
      <c r="A35" s="55">
        <f>Summary!A23</f>
        <v/>
      </c>
      <c r="B35" s="55">
        <f>COUNTIF(Summary!$B$23:$AB$23,"PASS")+COUNTIF(Summary!$B$23:$AB$23,"FAIL")+COUNTIF(Summary!$B$23:$AB$23,"ERROR")</f>
        <v/>
      </c>
      <c r="C35" s="55">
        <f>COUNTIF(Summary!$B$23:$AB$23,"PASS")</f>
        <v/>
      </c>
      <c r="D35" s="55">
        <f>COUNTIF(Summary!$B$23:$AB$23,"FAIL")</f>
        <v/>
      </c>
      <c r="E35" s="55">
        <f>COUNTIF(Summary!$B$23:$AB$23,"ERROR")</f>
        <v/>
      </c>
      <c r="F35" s="62">
        <f>IF($B35=0,0,C35/$B35)</f>
        <v/>
      </c>
      <c r="G35" s="62">
        <f>IF($B35=0,0,D35/$B35)</f>
        <v/>
      </c>
      <c r="H35" s="62">
        <f>IF($B35=0,0,E35/$B35)</f>
        <v/>
      </c>
      <c r="I35" s="55">
        <f>IF(C35=B35,"PASS",IF(E35&gt;0,"ERROR","FAIL"))</f>
        <v/>
      </c>
      <c r="J35" s="55" t="n">
        <v>3</v>
      </c>
    </row>
    <row r="36">
      <c r="A36" s="55">
        <f>Summary!A24</f>
        <v/>
      </c>
      <c r="B36" s="55">
        <f>COUNTIF(Summary!$B$24:$AB$24,"PASS")+COUNTIF(Summary!$B$24:$AB$24,"FAIL")+COUNTIF(Summary!$B$24:$AB$24,"ERROR")</f>
        <v/>
      </c>
      <c r="C36" s="55">
        <f>COUNTIF(Summary!$B$24:$AB$24,"PASS")</f>
        <v/>
      </c>
      <c r="D36" s="55">
        <f>COUNTIF(Summary!$B$24:$AB$24,"FAIL")</f>
        <v/>
      </c>
      <c r="E36" s="55">
        <f>COUNTIF(Summary!$B$24:$AB$24,"ERROR")</f>
        <v/>
      </c>
      <c r="F36" s="62">
        <f>IF($B36=0,0,C36/$B36)</f>
        <v/>
      </c>
      <c r="G36" s="62">
        <f>IF($B36=0,0,D36/$B36)</f>
        <v/>
      </c>
      <c r="H36" s="62">
        <f>IF($B36=0,0,E36/$B36)</f>
        <v/>
      </c>
      <c r="I36" s="55">
        <f>IF(C36=B36,"PASS",IF(E36&gt;0,"ERROR","FAIL"))</f>
        <v/>
      </c>
      <c r="J36" s="55" t="n">
        <v>3</v>
      </c>
    </row>
    <row r="37">
      <c r="A37" s="55">
        <f>Summary!A25</f>
        <v/>
      </c>
      <c r="B37" s="55">
        <f>COUNTIF(Summary!$B$25:$AB$25,"PASS")+COUNTIF(Summary!$B$25:$AB$25,"FAIL")+COUNTIF(Summary!$B$25:$AB$25,"ERROR")</f>
        <v/>
      </c>
      <c r="C37" s="55">
        <f>COUNTIF(Summary!$B$25:$AB$25,"PASS")</f>
        <v/>
      </c>
      <c r="D37" s="55">
        <f>COUNTIF(Summary!$B$25:$AB$25,"FAIL")</f>
        <v/>
      </c>
      <c r="E37" s="55">
        <f>COUNTIF(Summary!$B$25:$AB$25,"ERROR")</f>
        <v/>
      </c>
      <c r="F37" s="62">
        <f>IF($B37=0,0,C37/$B37)</f>
        <v/>
      </c>
      <c r="G37" s="62">
        <f>IF($B37=0,0,D37/$B37)</f>
        <v/>
      </c>
      <c r="H37" s="62">
        <f>IF($B37=0,0,E37/$B37)</f>
        <v/>
      </c>
      <c r="I37" s="55">
        <f>IF(C37=B37,"PASS",IF(E37&gt;0,"ERROR","FAIL"))</f>
        <v/>
      </c>
      <c r="J37" s="55" t="n">
        <v>3</v>
      </c>
    </row>
    <row r="38">
      <c r="A38" s="55">
        <f>Summary!A26</f>
        <v/>
      </c>
      <c r="B38" s="55">
        <f>COUNTIF(Summary!$B$26:$AB$26,"PASS")+COUNTIF(Summary!$B$26:$AB$26,"FAIL")+COUNTIF(Summary!$B$26:$AB$26,"ERROR")</f>
        <v/>
      </c>
      <c r="C38" s="55">
        <f>COUNTIF(Summary!$B$26:$AB$26,"PASS")</f>
        <v/>
      </c>
      <c r="D38" s="55">
        <f>COUNTIF(Summary!$B$26:$AB$26,"FAIL")</f>
        <v/>
      </c>
      <c r="E38" s="55">
        <f>COUNTIF(Summary!$B$26:$AB$26,"ERROR")</f>
        <v/>
      </c>
      <c r="F38" s="62">
        <f>IF($B38=0,0,C38/$B38)</f>
        <v/>
      </c>
      <c r="G38" s="62">
        <f>IF($B38=0,0,D38/$B38)</f>
        <v/>
      </c>
      <c r="H38" s="62">
        <f>IF($B38=0,0,E38/$B38)</f>
        <v/>
      </c>
      <c r="I38" s="55">
        <f>IF(C38=B38,"PASS",IF(E38&gt;0,"ERROR","FAIL"))</f>
        <v/>
      </c>
      <c r="J38" s="55" t="n">
        <v>3</v>
      </c>
    </row>
    <row r="39">
      <c r="A39" s="55">
        <f>Summary!A27</f>
        <v/>
      </c>
      <c r="B39" s="55">
        <f>COUNTIF(Summary!$B$27:$AB$27,"PASS")+COUNTIF(Summary!$B$27:$AB$27,"FAIL")+COUNTIF(Summary!$B$27:$AB$27,"ERROR")</f>
        <v/>
      </c>
      <c r="C39" s="55">
        <f>COUNTIF(Summary!$B$27:$AB$27,"PASS")</f>
        <v/>
      </c>
      <c r="D39" s="55">
        <f>COUNTIF(Summary!$B$27:$AB$27,"FAIL")</f>
        <v/>
      </c>
      <c r="E39" s="55">
        <f>COUNTIF(Summary!$B$27:$AB$27,"ERROR")</f>
        <v/>
      </c>
      <c r="F39" s="62">
        <f>IF($B39=0,0,C39/$B39)</f>
        <v/>
      </c>
      <c r="G39" s="62">
        <f>IF($B39=0,0,D39/$B39)</f>
        <v/>
      </c>
      <c r="H39" s="62">
        <f>IF($B39=0,0,E39/$B39)</f>
        <v/>
      </c>
      <c r="I39" s="55">
        <f>IF(C39=B39,"PASS",IF(E39&gt;0,"ERROR","FAIL"))</f>
        <v/>
      </c>
      <c r="J39" s="55" t="n">
        <v>3</v>
      </c>
    </row>
    <row r="40">
      <c r="A40" s="55">
        <f>Summary!A28</f>
        <v/>
      </c>
      <c r="B40" s="55">
        <f>COUNTIF(Summary!$B$28:$AB$28,"PASS")+COUNTIF(Summary!$B$28:$AB$28,"FAIL")+COUNTIF(Summary!$B$28:$AB$28,"ERROR")</f>
        <v/>
      </c>
      <c r="C40" s="55">
        <f>COUNTIF(Summary!$B$28:$AB$28,"PASS")</f>
        <v/>
      </c>
      <c r="D40" s="55">
        <f>COUNTIF(Summary!$B$28:$AB$28,"FAIL")</f>
        <v/>
      </c>
      <c r="E40" s="55">
        <f>COUNTIF(Summary!$B$28:$AB$28,"ERROR")</f>
        <v/>
      </c>
      <c r="F40" s="62">
        <f>IF($B40=0,0,C40/$B40)</f>
        <v/>
      </c>
      <c r="G40" s="62">
        <f>IF($B40=0,0,D40/$B40)</f>
        <v/>
      </c>
      <c r="H40" s="62">
        <f>IF($B40=0,0,E40/$B40)</f>
        <v/>
      </c>
      <c r="I40" s="55">
        <f>IF(C40=B40,"PASS",IF(E40&gt;0,"ERROR","FAIL"))</f>
        <v/>
      </c>
      <c r="J40" s="55" t="n">
        <v>3</v>
      </c>
    </row>
    <row r="41">
      <c r="A41" s="55">
        <f>Summary!A29</f>
        <v/>
      </c>
      <c r="B41" s="55">
        <f>COUNTIF(Summary!$B$29:$AB$29,"PASS")+COUNTIF(Summary!$B$29:$AB$29,"FAIL")+COUNTIF(Summary!$B$29:$AB$29,"ERROR")</f>
        <v/>
      </c>
      <c r="C41" s="55">
        <f>COUNTIF(Summary!$B$29:$AB$29,"PASS")</f>
        <v/>
      </c>
      <c r="D41" s="55">
        <f>COUNTIF(Summary!$B$29:$AB$29,"FAIL")</f>
        <v/>
      </c>
      <c r="E41" s="55">
        <f>COUNTIF(Summary!$B$29:$AB$29,"ERROR")</f>
        <v/>
      </c>
      <c r="F41" s="62">
        <f>IF($B41=0,0,C41/$B41)</f>
        <v/>
      </c>
      <c r="G41" s="62">
        <f>IF($B41=0,0,D41/$B41)</f>
        <v/>
      </c>
      <c r="H41" s="62">
        <f>IF($B41=0,0,E41/$B41)</f>
        <v/>
      </c>
      <c r="I41" s="55">
        <f>IF(C41=B41,"PASS",IF(E41&gt;0,"ERROR","FAIL"))</f>
        <v/>
      </c>
      <c r="J41" s="55" t="n">
        <v>3</v>
      </c>
    </row>
    <row r="42">
      <c r="A42" s="55">
        <f>Summary!A30</f>
        <v/>
      </c>
      <c r="B42" s="55">
        <f>COUNTIF(Summary!$B$30:$AB$30,"PASS")+COUNTIF(Summary!$B$30:$AB$30,"FAIL")+COUNTIF(Summary!$B$30:$AB$30,"ERROR")</f>
        <v/>
      </c>
      <c r="C42" s="55">
        <f>COUNTIF(Summary!$B$30:$AB$30,"PASS")</f>
        <v/>
      </c>
      <c r="D42" s="55">
        <f>COUNTIF(Summary!$B$30:$AB$30,"FAIL")</f>
        <v/>
      </c>
      <c r="E42" s="55">
        <f>COUNTIF(Summary!$B$30:$AB$30,"ERROR")</f>
        <v/>
      </c>
      <c r="F42" s="62">
        <f>IF($B42=0,0,C42/$B42)</f>
        <v/>
      </c>
      <c r="G42" s="62">
        <f>IF($B42=0,0,D42/$B42)</f>
        <v/>
      </c>
      <c r="H42" s="62">
        <f>IF($B42=0,0,E42/$B42)</f>
        <v/>
      </c>
      <c r="I42" s="55">
        <f>IF(C42=B42,"PASS",IF(E42&gt;0,"ERROR","FAIL"))</f>
        <v/>
      </c>
      <c r="J42" s="55" t="n">
        <v>3</v>
      </c>
    </row>
    <row r="43">
      <c r="A43" s="55">
        <f>Summary!A31</f>
        <v/>
      </c>
      <c r="B43" s="55">
        <f>COUNTIF(Summary!$B$31:$AB$31,"PASS")+COUNTIF(Summary!$B$31:$AB$31,"FAIL")+COUNTIF(Summary!$B$31:$AB$31,"ERROR")</f>
        <v/>
      </c>
      <c r="C43" s="55">
        <f>COUNTIF(Summary!$B$31:$AB$31,"PASS")</f>
        <v/>
      </c>
      <c r="D43" s="55">
        <f>COUNTIF(Summary!$B$31:$AB$31,"FAIL")</f>
        <v/>
      </c>
      <c r="E43" s="55">
        <f>COUNTIF(Summary!$B$31:$AB$31,"ERROR")</f>
        <v/>
      </c>
      <c r="F43" s="62">
        <f>IF($B43=0,0,C43/$B43)</f>
        <v/>
      </c>
      <c r="G43" s="62">
        <f>IF($B43=0,0,D43/$B43)</f>
        <v/>
      </c>
      <c r="H43" s="62">
        <f>IF($B43=0,0,E43/$B43)</f>
        <v/>
      </c>
      <c r="I43" s="55">
        <f>IF(C43=B43,"PASS",IF(E43&gt;0,"ERROR","FAIL"))</f>
        <v/>
      </c>
      <c r="J43" s="55" t="n">
        <v>3</v>
      </c>
    </row>
    <row r="44">
      <c r="A44" s="55">
        <f>Summary!A32</f>
        <v/>
      </c>
      <c r="B44" s="55">
        <f>COUNTIF(Summary!$B$32:$AB$32,"PASS")+COUNTIF(Summary!$B$32:$AB$32,"FAIL")+COUNTIF(Summary!$B$32:$AB$32,"ERROR")</f>
        <v/>
      </c>
      <c r="C44" s="55">
        <f>COUNTIF(Summary!$B$32:$AB$32,"PASS")</f>
        <v/>
      </c>
      <c r="D44" s="55">
        <f>COUNTIF(Summary!$B$32:$AB$32,"FAIL")</f>
        <v/>
      </c>
      <c r="E44" s="55">
        <f>COUNTIF(Summary!$B$32:$AB$32,"ERROR")</f>
        <v/>
      </c>
      <c r="F44" s="62">
        <f>IF($B44=0,0,C44/$B44)</f>
        <v/>
      </c>
      <c r="G44" s="62">
        <f>IF($B44=0,0,D44/$B44)</f>
        <v/>
      </c>
      <c r="H44" s="62">
        <f>IF($B44=0,0,E44/$B44)</f>
        <v/>
      </c>
      <c r="I44" s="55">
        <f>IF(C44=B44,"PASS",IF(E44&gt;0,"ERROR","FAIL"))</f>
        <v/>
      </c>
      <c r="J44" s="55" t="n">
        <v>4</v>
      </c>
    </row>
    <row r="45">
      <c r="A45" s="55">
        <f>Summary!A33</f>
        <v/>
      </c>
      <c r="B45" s="55">
        <f>COUNTIF(Summary!$B$33:$AB$33,"PASS")+COUNTIF(Summary!$B$33:$AB$33,"FAIL")+COUNTIF(Summary!$B$33:$AB$33,"ERROR")</f>
        <v/>
      </c>
      <c r="C45" s="55">
        <f>COUNTIF(Summary!$B$33:$AB$33,"PASS")</f>
        <v/>
      </c>
      <c r="D45" s="55">
        <f>COUNTIF(Summary!$B$33:$AB$33,"FAIL")</f>
        <v/>
      </c>
      <c r="E45" s="55">
        <f>COUNTIF(Summary!$B$33:$AB$33,"ERROR")</f>
        <v/>
      </c>
      <c r="F45" s="62">
        <f>IF($B45=0,0,C45/$B45)</f>
        <v/>
      </c>
      <c r="G45" s="62">
        <f>IF($B45=0,0,D45/$B45)</f>
        <v/>
      </c>
      <c r="H45" s="62">
        <f>IF($B45=0,0,E45/$B45)</f>
        <v/>
      </c>
      <c r="I45" s="55">
        <f>IF(C45=B45,"PASS",IF(E45&gt;0,"ERROR","FAIL"))</f>
        <v/>
      </c>
      <c r="J45" s="55" t="n">
        <v>4</v>
      </c>
    </row>
    <row r="46">
      <c r="A46" s="55">
        <f>Summary!A34</f>
        <v/>
      </c>
      <c r="B46" s="55">
        <f>COUNTIF(Summary!$B$34:$AB$34,"PASS")+COUNTIF(Summary!$B$34:$AB$34,"FAIL")+COUNTIF(Summary!$B$34:$AB$34,"ERROR")</f>
        <v/>
      </c>
      <c r="C46" s="55">
        <f>COUNTIF(Summary!$B$34:$AB$34,"PASS")</f>
        <v/>
      </c>
      <c r="D46" s="55">
        <f>COUNTIF(Summary!$B$34:$AB$34,"FAIL")</f>
        <v/>
      </c>
      <c r="E46" s="55">
        <f>COUNTIF(Summary!$B$34:$AB$34,"ERROR")</f>
        <v/>
      </c>
      <c r="F46" s="62">
        <f>IF($B46=0,0,C46/$B46)</f>
        <v/>
      </c>
      <c r="G46" s="62">
        <f>IF($B46=0,0,D46/$B46)</f>
        <v/>
      </c>
      <c r="H46" s="62">
        <f>IF($B46=0,0,E46/$B46)</f>
        <v/>
      </c>
      <c r="I46" s="55">
        <f>IF(C46=B46,"PASS",IF(E46&gt;0,"ERROR","FAIL"))</f>
        <v/>
      </c>
      <c r="J46" s="55" t="n">
        <v>4</v>
      </c>
    </row>
    <row r="47">
      <c r="A47" s="55">
        <f>Summary!A35</f>
        <v/>
      </c>
      <c r="B47" s="55">
        <f>COUNTIF(Summary!$B$35:$AB$35,"PASS")+COUNTIF(Summary!$B$35:$AB$35,"FAIL")+COUNTIF(Summary!$B$35:$AB$35,"ERROR")</f>
        <v/>
      </c>
      <c r="C47" s="55">
        <f>COUNTIF(Summary!$B$35:$AB$35,"PASS")</f>
        <v/>
      </c>
      <c r="D47" s="55">
        <f>COUNTIF(Summary!$B$35:$AB$35,"FAIL")</f>
        <v/>
      </c>
      <c r="E47" s="55">
        <f>COUNTIF(Summary!$B$35:$AB$35,"ERROR")</f>
        <v/>
      </c>
      <c r="F47" s="62">
        <f>IF($B47=0,0,C47/$B47)</f>
        <v/>
      </c>
      <c r="G47" s="62">
        <f>IF($B47=0,0,D47/$B47)</f>
        <v/>
      </c>
      <c r="H47" s="62">
        <f>IF($B47=0,0,E47/$B47)</f>
        <v/>
      </c>
      <c r="I47" s="55">
        <f>IF(C47=B47,"PASS",IF(E47&gt;0,"ERROR","FAIL"))</f>
        <v/>
      </c>
      <c r="J47" s="55" t="n">
        <v>4</v>
      </c>
    </row>
    <row r="48">
      <c r="A48" s="55">
        <f>Summary!A36</f>
        <v/>
      </c>
      <c r="B48" s="55">
        <f>COUNTIF(Summary!$B$36:$AB$36,"PASS")+COUNTIF(Summary!$B$36:$AB$36,"FAIL")+COUNTIF(Summary!$B$36:$AB$36,"ERROR")</f>
        <v/>
      </c>
      <c r="C48" s="55">
        <f>COUNTIF(Summary!$B$36:$AB$36,"PASS")</f>
        <v/>
      </c>
      <c r="D48" s="55">
        <f>COUNTIF(Summary!$B$36:$AB$36,"FAIL")</f>
        <v/>
      </c>
      <c r="E48" s="55">
        <f>COUNTIF(Summary!$B$36:$AB$36,"ERROR")</f>
        <v/>
      </c>
      <c r="F48" s="62">
        <f>IF($B48=0,0,C48/$B48)</f>
        <v/>
      </c>
      <c r="G48" s="62">
        <f>IF($B48=0,0,D48/$B48)</f>
        <v/>
      </c>
      <c r="H48" s="62">
        <f>IF($B48=0,0,E48/$B48)</f>
        <v/>
      </c>
      <c r="I48" s="55">
        <f>IF(C48=B48,"PASS",IF(E48&gt;0,"ERROR","FAIL"))</f>
        <v/>
      </c>
      <c r="J48" s="55" t="n">
        <v>4</v>
      </c>
    </row>
    <row r="49">
      <c r="A49" s="55">
        <f>Summary!A37</f>
        <v/>
      </c>
      <c r="B49" s="55">
        <f>COUNTIF(Summary!$B$37:$AB$37,"PASS")+COUNTIF(Summary!$B$37:$AB$37,"FAIL")+COUNTIF(Summary!$B$37:$AB$37,"ERROR")</f>
        <v/>
      </c>
      <c r="C49" s="55">
        <f>COUNTIF(Summary!$B$37:$AB$37,"PASS")</f>
        <v/>
      </c>
      <c r="D49" s="55">
        <f>COUNTIF(Summary!$B$37:$AB$37,"FAIL")</f>
        <v/>
      </c>
      <c r="E49" s="55">
        <f>COUNTIF(Summary!$B$37:$AB$37,"ERROR")</f>
        <v/>
      </c>
      <c r="F49" s="62">
        <f>IF($B49=0,0,C49/$B49)</f>
        <v/>
      </c>
      <c r="G49" s="62">
        <f>IF($B49=0,0,D49/$B49)</f>
        <v/>
      </c>
      <c r="H49" s="62">
        <f>IF($B49=0,0,E49/$B49)</f>
        <v/>
      </c>
      <c r="I49" s="55">
        <f>IF(C49=B49,"PASS",IF(E49&gt;0,"ERROR","FAIL"))</f>
        <v/>
      </c>
      <c r="J49" s="55" t="n">
        <v>4</v>
      </c>
    </row>
    <row r="50">
      <c r="A50" s="55">
        <f>Summary!A38</f>
        <v/>
      </c>
      <c r="B50" s="55">
        <f>COUNTIF(Summary!$B$38:$AB$38,"PASS")+COUNTIF(Summary!$B$38:$AB$38,"FAIL")+COUNTIF(Summary!$B$38:$AB$38,"ERROR")</f>
        <v/>
      </c>
      <c r="C50" s="55">
        <f>COUNTIF(Summary!$B$38:$AB$38,"PASS")</f>
        <v/>
      </c>
      <c r="D50" s="55">
        <f>COUNTIF(Summary!$B$38:$AB$38,"FAIL")</f>
        <v/>
      </c>
      <c r="E50" s="55">
        <f>COUNTIF(Summary!$B$38:$AB$38,"ERROR")</f>
        <v/>
      </c>
      <c r="F50" s="62">
        <f>IF($B50=0,0,C50/$B50)</f>
        <v/>
      </c>
      <c r="G50" s="62">
        <f>IF($B50=0,0,D50/$B50)</f>
        <v/>
      </c>
      <c r="H50" s="62">
        <f>IF($B50=0,0,E50/$B50)</f>
        <v/>
      </c>
      <c r="I50" s="55">
        <f>IF(C50=B50,"PASS",IF(E50&gt;0,"ERROR","FAIL"))</f>
        <v/>
      </c>
      <c r="J50" s="55" t="n">
        <v>4</v>
      </c>
    </row>
    <row r="51">
      <c r="A51" s="55">
        <f>Summary!A39</f>
        <v/>
      </c>
      <c r="B51" s="55">
        <f>COUNTIF(Summary!$B$39:$AB$39,"PASS")+COUNTIF(Summary!$B$39:$AB$39,"FAIL")+COUNTIF(Summary!$B$39:$AB$39,"ERROR")</f>
        <v/>
      </c>
      <c r="C51" s="55">
        <f>COUNTIF(Summary!$B$39:$AB$39,"PASS")</f>
        <v/>
      </c>
      <c r="D51" s="55">
        <f>COUNTIF(Summary!$B$39:$AB$39,"FAIL")</f>
        <v/>
      </c>
      <c r="E51" s="55">
        <f>COUNTIF(Summary!$B$39:$AB$39,"ERROR")</f>
        <v/>
      </c>
      <c r="F51" s="62">
        <f>IF($B51=0,0,C51/$B51)</f>
        <v/>
      </c>
      <c r="G51" s="62">
        <f>IF($B51=0,0,D51/$B51)</f>
        <v/>
      </c>
      <c r="H51" s="62">
        <f>IF($B51=0,0,E51/$B51)</f>
        <v/>
      </c>
      <c r="I51" s="55">
        <f>IF(C51=B51,"PASS",IF(E51&gt;0,"ERROR","FAIL"))</f>
        <v/>
      </c>
      <c r="J51" s="55" t="n">
        <v>4</v>
      </c>
    </row>
    <row r="52">
      <c r="A52" s="55">
        <f>Summary!A40</f>
        <v/>
      </c>
      <c r="B52" s="55">
        <f>COUNTIF(Summary!$B$40:$AB$40,"PASS")+COUNTIF(Summary!$B$40:$AB$40,"FAIL")+COUNTIF(Summary!$B$40:$AB$40,"ERROR")</f>
        <v/>
      </c>
      <c r="C52" s="55">
        <f>COUNTIF(Summary!$B$40:$AB$40,"PASS")</f>
        <v/>
      </c>
      <c r="D52" s="55">
        <f>COUNTIF(Summary!$B$40:$AB$40,"FAIL")</f>
        <v/>
      </c>
      <c r="E52" s="55">
        <f>COUNTIF(Summary!$B$40:$AB$40,"ERROR")</f>
        <v/>
      </c>
      <c r="F52" s="62">
        <f>IF($B52=0,0,C52/$B52)</f>
        <v/>
      </c>
      <c r="G52" s="62">
        <f>IF($B52=0,0,D52/$B52)</f>
        <v/>
      </c>
      <c r="H52" s="62">
        <f>IF($B52=0,0,E52/$B52)</f>
        <v/>
      </c>
      <c r="I52" s="55">
        <f>IF(C52=B52,"PASS",IF(E52&gt;0,"ERROR","FAIL"))</f>
        <v/>
      </c>
      <c r="J52" s="55" t="n">
        <v>4</v>
      </c>
    </row>
    <row r="53">
      <c r="A53" s="55">
        <f>Summary!A41</f>
        <v/>
      </c>
      <c r="B53" s="55">
        <f>COUNTIF(Summary!$B$41:$AB$41,"PASS")+COUNTIF(Summary!$B$41:$AB$41,"FAIL")+COUNTIF(Summary!$B$41:$AB$41,"ERROR")</f>
        <v/>
      </c>
      <c r="C53" s="55">
        <f>COUNTIF(Summary!$B$41:$AB$41,"PASS")</f>
        <v/>
      </c>
      <c r="D53" s="55">
        <f>COUNTIF(Summary!$B$41:$AB$41,"FAIL")</f>
        <v/>
      </c>
      <c r="E53" s="55">
        <f>COUNTIF(Summary!$B$41:$AB$41,"ERROR")</f>
        <v/>
      </c>
      <c r="F53" s="62">
        <f>IF($B53=0,0,C53/$B53)</f>
        <v/>
      </c>
      <c r="G53" s="62">
        <f>IF($B53=0,0,D53/$B53)</f>
        <v/>
      </c>
      <c r="H53" s="62">
        <f>IF($B53=0,0,E53/$B53)</f>
        <v/>
      </c>
      <c r="I53" s="55">
        <f>IF(C53=B53,"PASS",IF(E53&gt;0,"ERROR","FAIL"))</f>
        <v/>
      </c>
      <c r="J53" s="55" t="n">
        <v>4</v>
      </c>
    </row>
    <row r="54">
      <c r="A54" s="55">
        <f>Summary!A42</f>
        <v/>
      </c>
      <c r="B54" s="55">
        <f>COUNTIF(Summary!$B$42:$AB$42,"PASS")+COUNTIF(Summary!$B$42:$AB$42,"FAIL")+COUNTIF(Summary!$B$42:$AB$42,"ERROR")</f>
        <v/>
      </c>
      <c r="C54" s="55">
        <f>COUNTIF(Summary!$B$42:$AB$42,"PASS")</f>
        <v/>
      </c>
      <c r="D54" s="55">
        <f>COUNTIF(Summary!$B$42:$AB$42,"FAIL")</f>
        <v/>
      </c>
      <c r="E54" s="55">
        <f>COUNTIF(Summary!$B$42:$AB$42,"ERROR")</f>
        <v/>
      </c>
      <c r="F54" s="62">
        <f>IF($B54=0,0,C54/$B54)</f>
        <v/>
      </c>
      <c r="G54" s="62">
        <f>IF($B54=0,0,D54/$B54)</f>
        <v/>
      </c>
      <c r="H54" s="62">
        <f>IF($B54=0,0,E54/$B54)</f>
        <v/>
      </c>
      <c r="I54" s="55">
        <f>IF(C54=B54,"PASS",IF(E54&gt;0,"ERROR","FAIL"))</f>
        <v/>
      </c>
      <c r="J54" s="55" t="n">
        <v>5</v>
      </c>
    </row>
    <row r="55">
      <c r="A55" s="55">
        <f>Summary!A43</f>
        <v/>
      </c>
      <c r="B55" s="55">
        <f>COUNTIF(Summary!$B$43:$AB$43,"PASS")+COUNTIF(Summary!$B$43:$AB$43,"FAIL")+COUNTIF(Summary!$B$43:$AB$43,"ERROR")</f>
        <v/>
      </c>
      <c r="C55" s="55">
        <f>COUNTIF(Summary!$B$43:$AB$43,"PASS")</f>
        <v/>
      </c>
      <c r="D55" s="55">
        <f>COUNTIF(Summary!$B$43:$AB$43,"FAIL")</f>
        <v/>
      </c>
      <c r="E55" s="55">
        <f>COUNTIF(Summary!$B$43:$AB$43,"ERROR")</f>
        <v/>
      </c>
      <c r="F55" s="62">
        <f>IF($B55=0,0,C55/$B55)</f>
        <v/>
      </c>
      <c r="G55" s="62">
        <f>IF($B55=0,0,D55/$B55)</f>
        <v/>
      </c>
      <c r="H55" s="62">
        <f>IF($B55=0,0,E55/$B55)</f>
        <v/>
      </c>
      <c r="I55" s="55">
        <f>IF(C55=B55,"PASS",IF(E55&gt;0,"ERROR","FAIL"))</f>
        <v/>
      </c>
      <c r="J55" s="55" t="n">
        <v>5</v>
      </c>
    </row>
    <row r="56">
      <c r="A56" s="55">
        <f>Summary!A44</f>
        <v/>
      </c>
      <c r="B56" s="55">
        <f>COUNTIF(Summary!$B$44:$AB$44,"PASS")+COUNTIF(Summary!$B$44:$AB$44,"FAIL")+COUNTIF(Summary!$B$44:$AB$44,"ERROR")</f>
        <v/>
      </c>
      <c r="C56" s="55">
        <f>COUNTIF(Summary!$B$44:$AB$44,"PASS")</f>
        <v/>
      </c>
      <c r="D56" s="55">
        <f>COUNTIF(Summary!$B$44:$AB$44,"FAIL")</f>
        <v/>
      </c>
      <c r="E56" s="55">
        <f>COUNTIF(Summary!$B$44:$AB$44,"ERROR")</f>
        <v/>
      </c>
      <c r="F56" s="62">
        <f>IF($B56=0,0,C56/$B56)</f>
        <v/>
      </c>
      <c r="G56" s="62">
        <f>IF($B56=0,0,D56/$B56)</f>
        <v/>
      </c>
      <c r="H56" s="62">
        <f>IF($B56=0,0,E56/$B56)</f>
        <v/>
      </c>
      <c r="I56" s="55">
        <f>IF(C56=B56,"PASS",IF(E56&gt;0,"ERROR","FAIL"))</f>
        <v/>
      </c>
      <c r="J56" s="55" t="n">
        <v>5</v>
      </c>
    </row>
    <row r="57">
      <c r="A57" s="55">
        <f>Summary!A45</f>
        <v/>
      </c>
      <c r="B57" s="55">
        <f>COUNTIF(Summary!$B$45:$AB$45,"PASS")+COUNTIF(Summary!$B$45:$AB$45,"FAIL")+COUNTIF(Summary!$B$45:$AB$45,"ERROR")</f>
        <v/>
      </c>
      <c r="C57" s="55">
        <f>COUNTIF(Summary!$B$45:$AB$45,"PASS")</f>
        <v/>
      </c>
      <c r="D57" s="55">
        <f>COUNTIF(Summary!$B$45:$AB$45,"FAIL")</f>
        <v/>
      </c>
      <c r="E57" s="55">
        <f>COUNTIF(Summary!$B$45:$AB$45,"ERROR")</f>
        <v/>
      </c>
      <c r="F57" s="62">
        <f>IF($B57=0,0,C57/$B57)</f>
        <v/>
      </c>
      <c r="G57" s="62">
        <f>IF($B57=0,0,D57/$B57)</f>
        <v/>
      </c>
      <c r="H57" s="62">
        <f>IF($B57=0,0,E57/$B57)</f>
        <v/>
      </c>
      <c r="I57" s="55">
        <f>IF(C57=B57,"PASS",IF(E57&gt;0,"ERROR","FAIL"))</f>
        <v/>
      </c>
      <c r="J57" s="55" t="n">
        <v>5</v>
      </c>
    </row>
    <row r="58">
      <c r="A58" s="55">
        <f>Summary!A46</f>
        <v/>
      </c>
      <c r="B58" s="55">
        <f>COUNTIF(Summary!$B$46:$AB$46,"PASS")+COUNTIF(Summary!$B$46:$AB$46,"FAIL")+COUNTIF(Summary!$B$46:$AB$46,"ERROR")</f>
        <v/>
      </c>
      <c r="C58" s="55">
        <f>COUNTIF(Summary!$B$46:$AB$46,"PASS")</f>
        <v/>
      </c>
      <c r="D58" s="55">
        <f>COUNTIF(Summary!$B$46:$AB$46,"FAIL")</f>
        <v/>
      </c>
      <c r="E58" s="55">
        <f>COUNTIF(Summary!$B$46:$AB$46,"ERROR")</f>
        <v/>
      </c>
      <c r="F58" s="62">
        <f>IF($B58=0,0,C58/$B58)</f>
        <v/>
      </c>
      <c r="G58" s="62">
        <f>IF($B58=0,0,D58/$B58)</f>
        <v/>
      </c>
      <c r="H58" s="62">
        <f>IF($B58=0,0,E58/$B58)</f>
        <v/>
      </c>
      <c r="I58" s="55">
        <f>IF(C58=B58,"PASS",IF(E58&gt;0,"ERROR","FAIL"))</f>
        <v/>
      </c>
      <c r="J58" s="55" t="n">
        <v>5</v>
      </c>
    </row>
    <row r="59">
      <c r="A59" s="55">
        <f>Summary!A47</f>
        <v/>
      </c>
      <c r="B59" s="55">
        <f>COUNTIF(Summary!$B$47:$AB$47,"PASS")+COUNTIF(Summary!$B$47:$AB$47,"FAIL")+COUNTIF(Summary!$B$47:$AB$47,"ERROR")</f>
        <v/>
      </c>
      <c r="C59" s="55">
        <f>COUNTIF(Summary!$B$47:$AB$47,"PASS")</f>
        <v/>
      </c>
      <c r="D59" s="55">
        <f>COUNTIF(Summary!$B$47:$AB$47,"FAIL")</f>
        <v/>
      </c>
      <c r="E59" s="55">
        <f>COUNTIF(Summary!$B$47:$AB$47,"ERROR")</f>
        <v/>
      </c>
      <c r="F59" s="62">
        <f>IF($B59=0,0,C59/$B59)</f>
        <v/>
      </c>
      <c r="G59" s="62">
        <f>IF($B59=0,0,D59/$B59)</f>
        <v/>
      </c>
      <c r="H59" s="62">
        <f>IF($B59=0,0,E59/$B59)</f>
        <v/>
      </c>
      <c r="I59" s="55">
        <f>IF(C59=B59,"PASS",IF(E59&gt;0,"ERROR","FAIL"))</f>
        <v/>
      </c>
      <c r="J59" s="55" t="n">
        <v>5</v>
      </c>
    </row>
    <row r="60">
      <c r="A60" s="55">
        <f>Summary!A48</f>
        <v/>
      </c>
      <c r="B60" s="55">
        <f>COUNTIF(Summary!$B$48:$AB$48,"PASS")+COUNTIF(Summary!$B$48:$AB$48,"FAIL")+COUNTIF(Summary!$B$48:$AB$48,"ERROR")</f>
        <v/>
      </c>
      <c r="C60" s="55">
        <f>COUNTIF(Summary!$B$48:$AB$48,"PASS")</f>
        <v/>
      </c>
      <c r="D60" s="55">
        <f>COUNTIF(Summary!$B$48:$AB$48,"FAIL")</f>
        <v/>
      </c>
      <c r="E60" s="55">
        <f>COUNTIF(Summary!$B$48:$AB$48,"ERROR")</f>
        <v/>
      </c>
      <c r="F60" s="62">
        <f>IF($B60=0,0,C60/$B60)</f>
        <v/>
      </c>
      <c r="G60" s="62">
        <f>IF($B60=0,0,D60/$B60)</f>
        <v/>
      </c>
      <c r="H60" s="62">
        <f>IF($B60=0,0,E60/$B60)</f>
        <v/>
      </c>
      <c r="I60" s="55">
        <f>IF(C60=B60,"PASS",IF(E60&gt;0,"ERROR","FAIL"))</f>
        <v/>
      </c>
      <c r="J60" s="55" t="n">
        <v>5</v>
      </c>
    </row>
    <row r="61">
      <c r="A61" s="55">
        <f>Summary!A49</f>
        <v/>
      </c>
      <c r="B61" s="55">
        <f>COUNTIF(Summary!$B$49:$AB$49,"PASS")+COUNTIF(Summary!$B$49:$AB$49,"FAIL")+COUNTIF(Summary!$B$49:$AB$49,"ERROR")</f>
        <v/>
      </c>
      <c r="C61" s="55">
        <f>COUNTIF(Summary!$B$49:$AB$49,"PASS")</f>
        <v/>
      </c>
      <c r="D61" s="55">
        <f>COUNTIF(Summary!$B$49:$AB$49,"FAIL")</f>
        <v/>
      </c>
      <c r="E61" s="55">
        <f>COUNTIF(Summary!$B$49:$AB$49,"ERROR")</f>
        <v/>
      </c>
      <c r="F61" s="62">
        <f>IF($B61=0,0,C61/$B61)</f>
        <v/>
      </c>
      <c r="G61" s="62">
        <f>IF($B61=0,0,D61/$B61)</f>
        <v/>
      </c>
      <c r="H61" s="62">
        <f>IF($B61=0,0,E61/$B61)</f>
        <v/>
      </c>
      <c r="I61" s="55">
        <f>IF(C61=B61,"PASS",IF(E61&gt;0,"ERROR","FAIL"))</f>
        <v/>
      </c>
      <c r="J61" s="55" t="n">
        <v>5</v>
      </c>
    </row>
    <row r="62">
      <c r="A62" s="55">
        <f>Summary!A50</f>
        <v/>
      </c>
      <c r="B62" s="55">
        <f>COUNTIF(Summary!$B$50:$AB$50,"PASS")+COUNTIF(Summary!$B$50:$AB$50,"FAIL")+COUNTIF(Summary!$B$50:$AB$50,"ERROR")</f>
        <v/>
      </c>
      <c r="C62" s="55">
        <f>COUNTIF(Summary!$B$50:$AB$50,"PASS")</f>
        <v/>
      </c>
      <c r="D62" s="55">
        <f>COUNTIF(Summary!$B$50:$AB$50,"FAIL")</f>
        <v/>
      </c>
      <c r="E62" s="55">
        <f>COUNTIF(Summary!$B$50:$AB$50,"ERROR")</f>
        <v/>
      </c>
      <c r="F62" s="62">
        <f>IF($B62=0,0,C62/$B62)</f>
        <v/>
      </c>
      <c r="G62" s="62">
        <f>IF($B62=0,0,D62/$B62)</f>
        <v/>
      </c>
      <c r="H62" s="62">
        <f>IF($B62=0,0,E62/$B62)</f>
        <v/>
      </c>
      <c r="I62" s="55">
        <f>IF(C62=B62,"PASS",IF(E62&gt;0,"ERROR","FAIL"))</f>
        <v/>
      </c>
      <c r="J62" s="55" t="n">
        <v>5</v>
      </c>
    </row>
    <row r="63">
      <c r="A63" s="55">
        <f>Summary!A51</f>
        <v/>
      </c>
      <c r="B63" s="55">
        <f>COUNTIF(Summary!$B$51:$AB$51,"PASS")+COUNTIF(Summary!$B$51:$AB$51,"FAIL")+COUNTIF(Summary!$B$51:$AB$51,"ERROR")</f>
        <v/>
      </c>
      <c r="C63" s="55">
        <f>COUNTIF(Summary!$B$51:$AB$51,"PASS")</f>
        <v/>
      </c>
      <c r="D63" s="55">
        <f>COUNTIF(Summary!$B$51:$AB$51,"FAIL")</f>
        <v/>
      </c>
      <c r="E63" s="55">
        <f>COUNTIF(Summary!$B$51:$AB$51,"ERROR")</f>
        <v/>
      </c>
      <c r="F63" s="62">
        <f>IF($B63=0,0,C63/$B63)</f>
        <v/>
      </c>
      <c r="G63" s="62">
        <f>IF($B63=0,0,D63/$B63)</f>
        <v/>
      </c>
      <c r="H63" s="62">
        <f>IF($B63=0,0,E63/$B63)</f>
        <v/>
      </c>
      <c r="I63" s="55">
        <f>IF(C63=B63,"PASS",IF(E63&gt;0,"ERROR","FAIL"))</f>
        <v/>
      </c>
      <c r="J63" s="55" t="n">
        <v>5</v>
      </c>
    </row>
    <row r="64">
      <c r="A64" s="55">
        <f>Summary!A52</f>
        <v/>
      </c>
      <c r="B64" s="55">
        <f>COUNTIF(Summary!$B$52:$AB$52,"PASS")+COUNTIF(Summary!$B$52:$AB$52,"FAIL")+COUNTIF(Summary!$B$52:$AB$52,"ERROR")</f>
        <v/>
      </c>
      <c r="C64" s="55">
        <f>COUNTIF(Summary!$B$52:$AB$52,"PASS")</f>
        <v/>
      </c>
      <c r="D64" s="55">
        <f>COUNTIF(Summary!$B$52:$AB$52,"FAIL")</f>
        <v/>
      </c>
      <c r="E64" s="55">
        <f>COUNTIF(Summary!$B$52:$AB$52,"ERROR")</f>
        <v/>
      </c>
      <c r="F64" s="62">
        <f>IF($B64=0,0,C64/$B64)</f>
        <v/>
      </c>
      <c r="G64" s="62">
        <f>IF($B64=0,0,D64/$B64)</f>
        <v/>
      </c>
      <c r="H64" s="62">
        <f>IF($B64=0,0,E64/$B64)</f>
        <v/>
      </c>
      <c r="I64" s="55">
        <f>IF(C64=B64,"PASS",IF(E64&gt;0,"ERROR","FAIL"))</f>
        <v/>
      </c>
      <c r="J64" s="55" t="n">
        <v>6</v>
      </c>
    </row>
    <row r="65">
      <c r="A65" s="55">
        <f>Summary!A53</f>
        <v/>
      </c>
      <c r="B65" s="55">
        <f>COUNTIF(Summary!$B$53:$AB$53,"PASS")+COUNTIF(Summary!$B$53:$AB$53,"FAIL")+COUNTIF(Summary!$B$53:$AB$53,"ERROR")</f>
        <v/>
      </c>
      <c r="C65" s="55">
        <f>COUNTIF(Summary!$B$53:$AB$53,"PASS")</f>
        <v/>
      </c>
      <c r="D65" s="55">
        <f>COUNTIF(Summary!$B$53:$AB$53,"FAIL")</f>
        <v/>
      </c>
      <c r="E65" s="55">
        <f>COUNTIF(Summary!$B$53:$AB$53,"ERROR")</f>
        <v/>
      </c>
      <c r="F65" s="62">
        <f>IF($B65=0,0,C65/$B65)</f>
        <v/>
      </c>
      <c r="G65" s="62">
        <f>IF($B65=0,0,D65/$B65)</f>
        <v/>
      </c>
      <c r="H65" s="62">
        <f>IF($B65=0,0,E65/$B65)</f>
        <v/>
      </c>
      <c r="I65" s="55">
        <f>IF(C65=B65,"PASS",IF(E65&gt;0,"ERROR","FAIL"))</f>
        <v/>
      </c>
      <c r="J65" s="55" t="n">
        <v>6</v>
      </c>
    </row>
    <row r="66">
      <c r="A66" s="55">
        <f>Summary!A54</f>
        <v/>
      </c>
      <c r="B66" s="55">
        <f>COUNTIF(Summary!$B$54:$AB$54,"PASS")+COUNTIF(Summary!$B$54:$AB$54,"FAIL")+COUNTIF(Summary!$B$54:$AB$54,"ERROR")</f>
        <v/>
      </c>
      <c r="C66" s="55">
        <f>COUNTIF(Summary!$B$54:$AB$54,"PASS")</f>
        <v/>
      </c>
      <c r="D66" s="55">
        <f>COUNTIF(Summary!$B$54:$AB$54,"FAIL")</f>
        <v/>
      </c>
      <c r="E66" s="55">
        <f>COUNTIF(Summary!$B$54:$AB$54,"ERROR")</f>
        <v/>
      </c>
      <c r="F66" s="62">
        <f>IF($B66=0,0,C66/$B66)</f>
        <v/>
      </c>
      <c r="G66" s="62">
        <f>IF($B66=0,0,D66/$B66)</f>
        <v/>
      </c>
      <c r="H66" s="62">
        <f>IF($B66=0,0,E66/$B66)</f>
        <v/>
      </c>
      <c r="I66" s="55">
        <f>IF(C66=B66,"PASS",IF(E66&gt;0,"ERROR","FAIL"))</f>
        <v/>
      </c>
      <c r="J66" s="55" t="n">
        <v>6</v>
      </c>
    </row>
    <row r="67">
      <c r="A67" s="55">
        <f>Summary!A55</f>
        <v/>
      </c>
      <c r="B67" s="55">
        <f>COUNTIF(Summary!$B$55:$AB$55,"PASS")+COUNTIF(Summary!$B$55:$AB$55,"FAIL")+COUNTIF(Summary!$B$55:$AB$55,"ERROR")</f>
        <v/>
      </c>
      <c r="C67" s="55">
        <f>COUNTIF(Summary!$B$55:$AB$55,"PASS")</f>
        <v/>
      </c>
      <c r="D67" s="55">
        <f>COUNTIF(Summary!$B$55:$AB$55,"FAIL")</f>
        <v/>
      </c>
      <c r="E67" s="55">
        <f>COUNTIF(Summary!$B$55:$AB$55,"ERROR")</f>
        <v/>
      </c>
      <c r="F67" s="62">
        <f>IF($B67=0,0,C67/$B67)</f>
        <v/>
      </c>
      <c r="G67" s="62">
        <f>IF($B67=0,0,D67/$B67)</f>
        <v/>
      </c>
      <c r="H67" s="62">
        <f>IF($B67=0,0,E67/$B67)</f>
        <v/>
      </c>
      <c r="I67" s="55">
        <f>IF(C67=B67,"PASS",IF(E67&gt;0,"ERROR","FAIL"))</f>
        <v/>
      </c>
      <c r="J67" s="55" t="n">
        <v>6</v>
      </c>
    </row>
    <row r="68">
      <c r="A68" s="55">
        <f>Summary!A56</f>
        <v/>
      </c>
      <c r="B68" s="55">
        <f>COUNTIF(Summary!$B$56:$AB$56,"PASS")+COUNTIF(Summary!$B$56:$AB$56,"FAIL")+COUNTIF(Summary!$B$56:$AB$56,"ERROR")</f>
        <v/>
      </c>
      <c r="C68" s="55">
        <f>COUNTIF(Summary!$B$56:$AB$56,"PASS")</f>
        <v/>
      </c>
      <c r="D68" s="55">
        <f>COUNTIF(Summary!$B$56:$AB$56,"FAIL")</f>
        <v/>
      </c>
      <c r="E68" s="55">
        <f>COUNTIF(Summary!$B$56:$AB$56,"ERROR")</f>
        <v/>
      </c>
      <c r="F68" s="62">
        <f>IF($B68=0,0,C68/$B68)</f>
        <v/>
      </c>
      <c r="G68" s="62">
        <f>IF($B68=0,0,D68/$B68)</f>
        <v/>
      </c>
      <c r="H68" s="62">
        <f>IF($B68=0,0,E68/$B68)</f>
        <v/>
      </c>
      <c r="I68" s="55">
        <f>IF(C68=B68,"PASS",IF(E68&gt;0,"ERROR","FAIL"))</f>
        <v/>
      </c>
      <c r="J68" s="55" t="n">
        <v>6</v>
      </c>
    </row>
    <row r="69">
      <c r="A69" s="55">
        <f>Summary!A57</f>
        <v/>
      </c>
      <c r="B69" s="55">
        <f>COUNTIF(Summary!$B$57:$AB$57,"PASS")+COUNTIF(Summary!$B$57:$AB$57,"FAIL")+COUNTIF(Summary!$B$57:$AB$57,"ERROR")</f>
        <v/>
      </c>
      <c r="C69" s="55">
        <f>COUNTIF(Summary!$B$57:$AB$57,"PASS")</f>
        <v/>
      </c>
      <c r="D69" s="55">
        <f>COUNTIF(Summary!$B$57:$AB$57,"FAIL")</f>
        <v/>
      </c>
      <c r="E69" s="55">
        <f>COUNTIF(Summary!$B$57:$AB$57,"ERROR")</f>
        <v/>
      </c>
      <c r="F69" s="62">
        <f>IF($B69=0,0,C69/$B69)</f>
        <v/>
      </c>
      <c r="G69" s="62">
        <f>IF($B69=0,0,D69/$B69)</f>
        <v/>
      </c>
      <c r="H69" s="62">
        <f>IF($B69=0,0,E69/$B69)</f>
        <v/>
      </c>
      <c r="I69" s="55">
        <f>IF(C69=B69,"PASS",IF(E69&gt;0,"ERROR","FAIL"))</f>
        <v/>
      </c>
      <c r="J69" s="55" t="n">
        <v>6</v>
      </c>
    </row>
    <row r="70">
      <c r="A70" s="55">
        <f>Summary!A58</f>
        <v/>
      </c>
      <c r="B70" s="55">
        <f>COUNTIF(Summary!$B$58:$AB$58,"PASS")+COUNTIF(Summary!$B$58:$AB$58,"FAIL")+COUNTIF(Summary!$B$58:$AB$58,"ERROR")</f>
        <v/>
      </c>
      <c r="C70" s="55">
        <f>COUNTIF(Summary!$B$58:$AB$58,"PASS")</f>
        <v/>
      </c>
      <c r="D70" s="55">
        <f>COUNTIF(Summary!$B$58:$AB$58,"FAIL")</f>
        <v/>
      </c>
      <c r="E70" s="55">
        <f>COUNTIF(Summary!$B$58:$AB$58,"ERROR")</f>
        <v/>
      </c>
      <c r="F70" s="62">
        <f>IF($B70=0,0,C70/$B70)</f>
        <v/>
      </c>
      <c r="G70" s="62">
        <f>IF($B70=0,0,D70/$B70)</f>
        <v/>
      </c>
      <c r="H70" s="62">
        <f>IF($B70=0,0,E70/$B70)</f>
        <v/>
      </c>
      <c r="I70" s="55">
        <f>IF(C70=B70,"PASS",IF(E70&gt;0,"ERROR","FAIL"))</f>
        <v/>
      </c>
      <c r="J70" s="55" t="n">
        <v>6</v>
      </c>
    </row>
    <row r="71">
      <c r="A71" s="55">
        <f>Summary!A59</f>
        <v/>
      </c>
      <c r="B71" s="55">
        <f>COUNTIF(Summary!$B$59:$AB$59,"PASS")+COUNTIF(Summary!$B$59:$AB$59,"FAIL")+COUNTIF(Summary!$B$59:$AB$59,"ERROR")</f>
        <v/>
      </c>
      <c r="C71" s="55">
        <f>COUNTIF(Summary!$B$59:$AB$59,"PASS")</f>
        <v/>
      </c>
      <c r="D71" s="55">
        <f>COUNTIF(Summary!$B$59:$AB$59,"FAIL")</f>
        <v/>
      </c>
      <c r="E71" s="55">
        <f>COUNTIF(Summary!$B$59:$AB$59,"ERROR")</f>
        <v/>
      </c>
      <c r="F71" s="62">
        <f>IF($B71=0,0,C71/$B71)</f>
        <v/>
      </c>
      <c r="G71" s="62">
        <f>IF($B71=0,0,D71/$B71)</f>
        <v/>
      </c>
      <c r="H71" s="62">
        <f>IF($B71=0,0,E71/$B71)</f>
        <v/>
      </c>
      <c r="I71" s="55">
        <f>IF(C71=B71,"PASS",IF(E71&gt;0,"ERROR","FAIL"))</f>
        <v/>
      </c>
      <c r="J71" s="55" t="n">
        <v>6</v>
      </c>
    </row>
    <row r="72">
      <c r="A72" s="55">
        <f>Summary!A60</f>
        <v/>
      </c>
      <c r="B72" s="55">
        <f>COUNTIF(Summary!$B$60:$AB$60,"PASS")+COUNTIF(Summary!$B$60:$AB$60,"FAIL")+COUNTIF(Summary!$B$60:$AB$60,"ERROR")</f>
        <v/>
      </c>
      <c r="C72" s="55">
        <f>COUNTIF(Summary!$B$60:$AB$60,"PASS")</f>
        <v/>
      </c>
      <c r="D72" s="55">
        <f>COUNTIF(Summary!$B$60:$AB$60,"FAIL")</f>
        <v/>
      </c>
      <c r="E72" s="55">
        <f>COUNTIF(Summary!$B$60:$AB$60,"ERROR")</f>
        <v/>
      </c>
      <c r="F72" s="62">
        <f>IF($B72=0,0,C72/$B72)</f>
        <v/>
      </c>
      <c r="G72" s="62">
        <f>IF($B72=0,0,D72/$B72)</f>
        <v/>
      </c>
      <c r="H72" s="62">
        <f>IF($B72=0,0,E72/$B72)</f>
        <v/>
      </c>
      <c r="I72" s="55">
        <f>IF(C72=B72,"PASS",IF(E72&gt;0,"ERROR","FAIL"))</f>
        <v/>
      </c>
      <c r="J72" s="55" t="n">
        <v>6</v>
      </c>
    </row>
    <row r="73">
      <c r="A73" s="55">
        <f>Summary!A61</f>
        <v/>
      </c>
      <c r="B73" s="55">
        <f>COUNTIF(Summary!$B$61:$AB$61,"PASS")+COUNTIF(Summary!$B$61:$AB$61,"FAIL")+COUNTIF(Summary!$B$61:$AB$61,"ERROR")</f>
        <v/>
      </c>
      <c r="C73" s="55">
        <f>COUNTIF(Summary!$B$61:$AB$61,"PASS")</f>
        <v/>
      </c>
      <c r="D73" s="55">
        <f>COUNTIF(Summary!$B$61:$AB$61,"FAIL")</f>
        <v/>
      </c>
      <c r="E73" s="55">
        <f>COUNTIF(Summary!$B$61:$AB$61,"ERROR")</f>
        <v/>
      </c>
      <c r="F73" s="62">
        <f>IF($B73=0,0,C73/$B73)</f>
        <v/>
      </c>
      <c r="G73" s="62">
        <f>IF($B73=0,0,D73/$B73)</f>
        <v/>
      </c>
      <c r="H73" s="62">
        <f>IF($B73=0,0,E73/$B73)</f>
        <v/>
      </c>
      <c r="I73" s="55">
        <f>IF(C73=B73,"PASS",IF(E73&gt;0,"ERROR","FAIL"))</f>
        <v/>
      </c>
      <c r="J73" s="55" t="n">
        <v>6</v>
      </c>
    </row>
    <row r="74">
      <c r="A74" s="55">
        <f>Summary!A62</f>
        <v/>
      </c>
      <c r="B74" s="55">
        <f>COUNTIF(Summary!$B$62:$AB$62,"PASS")+COUNTIF(Summary!$B$62:$AB$62,"FAIL")+COUNTIF(Summary!$B$62:$AB$62,"ERROR")</f>
        <v/>
      </c>
      <c r="C74" s="55">
        <f>COUNTIF(Summary!$B$62:$AB$62,"PASS")</f>
        <v/>
      </c>
      <c r="D74" s="55">
        <f>COUNTIF(Summary!$B$62:$AB$62,"FAIL")</f>
        <v/>
      </c>
      <c r="E74" s="55">
        <f>COUNTIF(Summary!$B$62:$AB$62,"ERROR")</f>
        <v/>
      </c>
      <c r="F74" s="62">
        <f>IF($B74=0,0,C74/$B74)</f>
        <v/>
      </c>
      <c r="G74" s="62">
        <f>IF($B74=0,0,D74/$B74)</f>
        <v/>
      </c>
      <c r="H74" s="62">
        <f>IF($B74=0,0,E74/$B74)</f>
        <v/>
      </c>
      <c r="I74" s="55">
        <f>IF(C74=B74,"PASS",IF(E74&gt;0,"ERROR","FAIL"))</f>
        <v/>
      </c>
      <c r="J74" s="55" t="n">
        <v>7</v>
      </c>
    </row>
    <row r="75">
      <c r="A75" s="55">
        <f>Summary!A63</f>
        <v/>
      </c>
      <c r="B75" s="55">
        <f>COUNTIF(Summary!$B$63:$AB$63,"PASS")+COUNTIF(Summary!$B$63:$AB$63,"FAIL")+COUNTIF(Summary!$B$63:$AB$63,"ERROR")</f>
        <v/>
      </c>
      <c r="C75" s="55">
        <f>COUNTIF(Summary!$B$63:$AB$63,"PASS")</f>
        <v/>
      </c>
      <c r="D75" s="55">
        <f>COUNTIF(Summary!$B$63:$AB$63,"FAIL")</f>
        <v/>
      </c>
      <c r="E75" s="55">
        <f>COUNTIF(Summary!$B$63:$AB$63,"ERROR")</f>
        <v/>
      </c>
      <c r="F75" s="62">
        <f>IF($B75=0,0,C75/$B75)</f>
        <v/>
      </c>
      <c r="G75" s="62">
        <f>IF($B75=0,0,D75/$B75)</f>
        <v/>
      </c>
      <c r="H75" s="62">
        <f>IF($B75=0,0,E75/$B75)</f>
        <v/>
      </c>
      <c r="I75" s="55">
        <f>IF(C75=B75,"PASS",IF(E75&gt;0,"ERROR","FAIL"))</f>
        <v/>
      </c>
      <c r="J75" s="55" t="n">
        <v>7</v>
      </c>
    </row>
    <row r="76">
      <c r="A76" s="55">
        <f>Summary!A64</f>
        <v/>
      </c>
      <c r="B76" s="55">
        <f>COUNTIF(Summary!$B$64:$AB$64,"PASS")+COUNTIF(Summary!$B$64:$AB$64,"FAIL")+COUNTIF(Summary!$B$64:$AB$64,"ERROR")</f>
        <v/>
      </c>
      <c r="C76" s="55">
        <f>COUNTIF(Summary!$B$64:$AB$64,"PASS")</f>
        <v/>
      </c>
      <c r="D76" s="55">
        <f>COUNTIF(Summary!$B$64:$AB$64,"FAIL")</f>
        <v/>
      </c>
      <c r="E76" s="55">
        <f>COUNTIF(Summary!$B$64:$AB$64,"ERROR")</f>
        <v/>
      </c>
      <c r="F76" s="62">
        <f>IF($B76=0,0,C76/$B76)</f>
        <v/>
      </c>
      <c r="G76" s="62">
        <f>IF($B76=0,0,D76/$B76)</f>
        <v/>
      </c>
      <c r="H76" s="62">
        <f>IF($B76=0,0,E76/$B76)</f>
        <v/>
      </c>
      <c r="I76" s="55">
        <f>IF(C76=B76,"PASS",IF(E76&gt;0,"ERROR","FAIL"))</f>
        <v/>
      </c>
      <c r="J76" s="55" t="n">
        <v>7</v>
      </c>
    </row>
    <row r="77">
      <c r="A77" s="55">
        <f>Summary!A65</f>
        <v/>
      </c>
      <c r="B77" s="55">
        <f>COUNTIF(Summary!$B$65:$AB$65,"PASS")+COUNTIF(Summary!$B$65:$AB$65,"FAIL")+COUNTIF(Summary!$B$65:$AB$65,"ERROR")</f>
        <v/>
      </c>
      <c r="C77" s="55">
        <f>COUNTIF(Summary!$B$65:$AB$65,"PASS")</f>
        <v/>
      </c>
      <c r="D77" s="55">
        <f>COUNTIF(Summary!$B$65:$AB$65,"FAIL")</f>
        <v/>
      </c>
      <c r="E77" s="55">
        <f>COUNTIF(Summary!$B$65:$AB$65,"ERROR")</f>
        <v/>
      </c>
      <c r="F77" s="62">
        <f>IF($B77=0,0,C77/$B77)</f>
        <v/>
      </c>
      <c r="G77" s="62">
        <f>IF($B77=0,0,D77/$B77)</f>
        <v/>
      </c>
      <c r="H77" s="62">
        <f>IF($B77=0,0,E77/$B77)</f>
        <v/>
      </c>
      <c r="I77" s="55">
        <f>IF(C77=B77,"PASS",IF(E77&gt;0,"ERROR","FAIL"))</f>
        <v/>
      </c>
      <c r="J77" s="55" t="n">
        <v>7</v>
      </c>
    </row>
    <row r="78">
      <c r="A78" s="55">
        <f>Summary!A66</f>
        <v/>
      </c>
      <c r="B78" s="55">
        <f>COUNTIF(Summary!$B$66:$AB$66,"PASS")+COUNTIF(Summary!$B$66:$AB$66,"FAIL")+COUNTIF(Summary!$B$66:$AB$66,"ERROR")</f>
        <v/>
      </c>
      <c r="C78" s="55">
        <f>COUNTIF(Summary!$B$66:$AB$66,"PASS")</f>
        <v/>
      </c>
      <c r="D78" s="55">
        <f>COUNTIF(Summary!$B$66:$AB$66,"FAIL")</f>
        <v/>
      </c>
      <c r="E78" s="55">
        <f>COUNTIF(Summary!$B$66:$AB$66,"ERROR")</f>
        <v/>
      </c>
      <c r="F78" s="62">
        <f>IF($B78=0,0,C78/$B78)</f>
        <v/>
      </c>
      <c r="G78" s="62">
        <f>IF($B78=0,0,D78/$B78)</f>
        <v/>
      </c>
      <c r="H78" s="62">
        <f>IF($B78=0,0,E78/$B78)</f>
        <v/>
      </c>
      <c r="I78" s="55">
        <f>IF(C78=B78,"PASS",IF(E78&gt;0,"ERROR","FAIL"))</f>
        <v/>
      </c>
      <c r="J78" s="55" t="n">
        <v>7</v>
      </c>
    </row>
    <row r="79">
      <c r="A79" s="55">
        <f>Summary!A67</f>
        <v/>
      </c>
      <c r="B79" s="55">
        <f>COUNTIF(Summary!$B$67:$AB$67,"PASS")+COUNTIF(Summary!$B$67:$AB$67,"FAIL")+COUNTIF(Summary!$B$67:$AB$67,"ERROR")</f>
        <v/>
      </c>
      <c r="C79" s="55">
        <f>COUNTIF(Summary!$B$67:$AB$67,"PASS")</f>
        <v/>
      </c>
      <c r="D79" s="55">
        <f>COUNTIF(Summary!$B$67:$AB$67,"FAIL")</f>
        <v/>
      </c>
      <c r="E79" s="55">
        <f>COUNTIF(Summary!$B$67:$AB$67,"ERROR")</f>
        <v/>
      </c>
      <c r="F79" s="62">
        <f>IF($B79=0,0,C79/$B79)</f>
        <v/>
      </c>
      <c r="G79" s="62">
        <f>IF($B79=0,0,D79/$B79)</f>
        <v/>
      </c>
      <c r="H79" s="62">
        <f>IF($B79=0,0,E79/$B79)</f>
        <v/>
      </c>
      <c r="I79" s="55">
        <f>IF(C79=B79,"PASS",IF(E79&gt;0,"ERROR","FAIL"))</f>
        <v/>
      </c>
      <c r="J79" s="55" t="n">
        <v>7</v>
      </c>
    </row>
    <row r="80">
      <c r="A80" s="55">
        <f>Summary!A68</f>
        <v/>
      </c>
      <c r="B80" s="55">
        <f>COUNTIF(Summary!$B$68:$AB$68,"PASS")+COUNTIF(Summary!$B$68:$AB$68,"FAIL")+COUNTIF(Summary!$B$68:$AB$68,"ERROR")</f>
        <v/>
      </c>
      <c r="C80" s="55">
        <f>COUNTIF(Summary!$B$68:$AB$68,"PASS")</f>
        <v/>
      </c>
      <c r="D80" s="55">
        <f>COUNTIF(Summary!$B$68:$AB$68,"FAIL")</f>
        <v/>
      </c>
      <c r="E80" s="55">
        <f>COUNTIF(Summary!$B$68:$AB$68,"ERROR")</f>
        <v/>
      </c>
      <c r="F80" s="62">
        <f>IF($B80=0,0,C80/$B80)</f>
        <v/>
      </c>
      <c r="G80" s="62">
        <f>IF($B80=0,0,D80/$B80)</f>
        <v/>
      </c>
      <c r="H80" s="62">
        <f>IF($B80=0,0,E80/$B80)</f>
        <v/>
      </c>
      <c r="I80" s="55">
        <f>IF(C80=B80,"PASS",IF(E80&gt;0,"ERROR","FAIL"))</f>
        <v/>
      </c>
      <c r="J80" s="55" t="n">
        <v>7</v>
      </c>
    </row>
    <row r="81">
      <c r="A81" s="55">
        <f>Summary!A69</f>
        <v/>
      </c>
      <c r="B81" s="55">
        <f>COUNTIF(Summary!$B$69:$AB$69,"PASS")+COUNTIF(Summary!$B$69:$AB$69,"FAIL")+COUNTIF(Summary!$B$69:$AB$69,"ERROR")</f>
        <v/>
      </c>
      <c r="C81" s="55">
        <f>COUNTIF(Summary!$B$69:$AB$69,"PASS")</f>
        <v/>
      </c>
      <c r="D81" s="55">
        <f>COUNTIF(Summary!$B$69:$AB$69,"FAIL")</f>
        <v/>
      </c>
      <c r="E81" s="55">
        <f>COUNTIF(Summary!$B$69:$AB$69,"ERROR")</f>
        <v/>
      </c>
      <c r="F81" s="62">
        <f>IF($B81=0,0,C81/$B81)</f>
        <v/>
      </c>
      <c r="G81" s="62">
        <f>IF($B81=0,0,D81/$B81)</f>
        <v/>
      </c>
      <c r="H81" s="62">
        <f>IF($B81=0,0,E81/$B81)</f>
        <v/>
      </c>
      <c r="I81" s="55">
        <f>IF(C81=B81,"PASS",IF(E81&gt;0,"ERROR","FAIL"))</f>
        <v/>
      </c>
      <c r="J81" s="55" t="n">
        <v>8</v>
      </c>
    </row>
    <row r="82">
      <c r="A82" s="55">
        <f>Summary!A70</f>
        <v/>
      </c>
      <c r="B82" s="55">
        <f>COUNTIF(Summary!$B$70:$AB$70,"PASS")+COUNTIF(Summary!$B$70:$AB$70,"FAIL")+COUNTIF(Summary!$B$70:$AB$70,"ERROR")</f>
        <v/>
      </c>
      <c r="C82" s="55">
        <f>COUNTIF(Summary!$B$70:$AB$70,"PASS")</f>
        <v/>
      </c>
      <c r="D82" s="55">
        <f>COUNTIF(Summary!$B$70:$AB$70,"FAIL")</f>
        <v/>
      </c>
      <c r="E82" s="55">
        <f>COUNTIF(Summary!$B$70:$AB$70,"ERROR")</f>
        <v/>
      </c>
      <c r="F82" s="62">
        <f>IF($B82=0,0,C82/$B82)</f>
        <v/>
      </c>
      <c r="G82" s="62">
        <f>IF($B82=0,0,D82/$B82)</f>
        <v/>
      </c>
      <c r="H82" s="62">
        <f>IF($B82=0,0,E82/$B82)</f>
        <v/>
      </c>
      <c r="I82" s="55">
        <f>IF(C82=B82,"PASS",IF(E82&gt;0,"ERROR","FAIL"))</f>
        <v/>
      </c>
      <c r="J82" s="55" t="n">
        <v>8</v>
      </c>
    </row>
    <row r="83">
      <c r="A83" s="55">
        <f>Summary!A71</f>
        <v/>
      </c>
      <c r="B83" s="55">
        <f>COUNTIF(Summary!$B$71:$AB$71,"PASS")+COUNTIF(Summary!$B$71:$AB$71,"FAIL")+COUNTIF(Summary!$B$71:$AB$71,"ERROR")</f>
        <v/>
      </c>
      <c r="C83" s="55">
        <f>COUNTIF(Summary!$B$71:$AB$71,"PASS")</f>
        <v/>
      </c>
      <c r="D83" s="55">
        <f>COUNTIF(Summary!$B$71:$AB$71,"FAIL")</f>
        <v/>
      </c>
      <c r="E83" s="55">
        <f>COUNTIF(Summary!$B$71:$AB$71,"ERROR")</f>
        <v/>
      </c>
      <c r="F83" s="62">
        <f>IF($B83=0,0,C83/$B83)</f>
        <v/>
      </c>
      <c r="G83" s="62">
        <f>IF($B83=0,0,D83/$B83)</f>
        <v/>
      </c>
      <c r="H83" s="62">
        <f>IF($B83=0,0,E83/$B83)</f>
        <v/>
      </c>
      <c r="I83" s="55">
        <f>IF(C83=B83,"PASS",IF(E83&gt;0,"ERROR","FAIL"))</f>
        <v/>
      </c>
      <c r="J83" s="55" t="n">
        <v>8</v>
      </c>
    </row>
    <row r="84">
      <c r="A84" s="55">
        <f>Summary!A72</f>
        <v/>
      </c>
      <c r="B84" s="55">
        <f>COUNTIF(Summary!$B$72:$AB$72,"PASS")+COUNTIF(Summary!$B$72:$AB$72,"FAIL")+COUNTIF(Summary!$B$72:$AB$72,"ERROR")</f>
        <v/>
      </c>
      <c r="C84" s="55">
        <f>COUNTIF(Summary!$B$72:$AB$72,"PASS")</f>
        <v/>
      </c>
      <c r="D84" s="55">
        <f>COUNTIF(Summary!$B$72:$AB$72,"FAIL")</f>
        <v/>
      </c>
      <c r="E84" s="55">
        <f>COUNTIF(Summary!$B$72:$AB$72,"ERROR")</f>
        <v/>
      </c>
      <c r="F84" s="62">
        <f>IF($B84=0,0,C84/$B84)</f>
        <v/>
      </c>
      <c r="G84" s="62">
        <f>IF($B84=0,0,D84/$B84)</f>
        <v/>
      </c>
      <c r="H84" s="62">
        <f>IF($B84=0,0,E84/$B84)</f>
        <v/>
      </c>
      <c r="I84" s="55">
        <f>IF(C84=B84,"PASS",IF(E84&gt;0,"ERROR","FAIL"))</f>
        <v/>
      </c>
      <c r="J84" s="55" t="n">
        <v>8</v>
      </c>
    </row>
    <row r="85">
      <c r="A85" s="55">
        <f>Summary!A73</f>
        <v/>
      </c>
      <c r="B85" s="55">
        <f>COUNTIF(Summary!$B$73:$AB$73,"PASS")+COUNTIF(Summary!$B$73:$AB$73,"FAIL")+COUNTIF(Summary!$B$73:$AB$73,"ERROR")</f>
        <v/>
      </c>
      <c r="C85" s="55">
        <f>COUNTIF(Summary!$B$73:$AB$73,"PASS")</f>
        <v/>
      </c>
      <c r="D85" s="55">
        <f>COUNTIF(Summary!$B$73:$AB$73,"FAIL")</f>
        <v/>
      </c>
      <c r="E85" s="55">
        <f>COUNTIF(Summary!$B$73:$AB$73,"ERROR")</f>
        <v/>
      </c>
      <c r="F85" s="62">
        <f>IF($B85=0,0,C85/$B85)</f>
        <v/>
      </c>
      <c r="G85" s="62">
        <f>IF($B85=0,0,D85/$B85)</f>
        <v/>
      </c>
      <c r="H85" s="62">
        <f>IF($B85=0,0,E85/$B85)</f>
        <v/>
      </c>
      <c r="I85" s="55">
        <f>IF(C85=B85,"PASS",IF(E85&gt;0,"ERROR","FAIL"))</f>
        <v/>
      </c>
      <c r="J85" s="55" t="n">
        <v>8</v>
      </c>
    </row>
    <row r="86">
      <c r="A86" s="55">
        <f>Summary!A74</f>
        <v/>
      </c>
      <c r="B86" s="55">
        <f>COUNTIF(Summary!$B$74:$AB$74,"PASS")+COUNTIF(Summary!$B$74:$AB$74,"FAIL")+COUNTIF(Summary!$B$74:$AB$74,"ERROR")</f>
        <v/>
      </c>
      <c r="C86" s="55">
        <f>COUNTIF(Summary!$B$74:$AB$74,"PASS")</f>
        <v/>
      </c>
      <c r="D86" s="55">
        <f>COUNTIF(Summary!$B$74:$AB$74,"FAIL")</f>
        <v/>
      </c>
      <c r="E86" s="55">
        <f>COUNTIF(Summary!$B$74:$AB$74,"ERROR")</f>
        <v/>
      </c>
      <c r="F86" s="62">
        <f>IF($B86=0,0,C86/$B86)</f>
        <v/>
      </c>
      <c r="G86" s="62">
        <f>IF($B86=0,0,D86/$B86)</f>
        <v/>
      </c>
      <c r="H86" s="62">
        <f>IF($B86=0,0,E86/$B86)</f>
        <v/>
      </c>
      <c r="I86" s="55">
        <f>IF(C86=B86,"PASS",IF(E86&gt;0,"ERROR","FAIL"))</f>
        <v/>
      </c>
      <c r="J86" s="55" t="n">
        <v>8</v>
      </c>
    </row>
    <row r="88">
      <c r="A88" s="60" t="inlineStr">
        <is>
          <t>3. Cases by outcome</t>
        </is>
      </c>
    </row>
    <row r="89">
      <c r="A89" s="54" t="inlineStr">
        <is>
          <t>Outcome</t>
        </is>
      </c>
      <c r="B89" s="54" t="inlineStr">
        <is>
          <t>Cases</t>
        </is>
      </c>
      <c r="C89" s="54" t="inlineStr">
        <is>
          <t>% of cases</t>
        </is>
      </c>
      <c r="D89" s="54" t="inlineStr">
        <is>
          <t>Batch 1</t>
        </is>
      </c>
      <c r="E89" s="54" t="inlineStr">
        <is>
          <t>Batch 1 %</t>
        </is>
      </c>
      <c r="F89" s="54" t="inlineStr">
        <is>
          <t>Batch 2</t>
        </is>
      </c>
      <c r="G89" s="54" t="inlineStr">
        <is>
          <t>Batch 2 %</t>
        </is>
      </c>
      <c r="H89" s="54" t="inlineStr">
        <is>
          <t>Batch 3</t>
        </is>
      </c>
      <c r="I89" s="54" t="inlineStr">
        <is>
          <t>Batch 3 %</t>
        </is>
      </c>
      <c r="J89" s="54" t="inlineStr">
        <is>
          <t>Batch 4</t>
        </is>
      </c>
      <c r="K89" s="54" t="inlineStr">
        <is>
          <t>Batch 4 %</t>
        </is>
      </c>
      <c r="L89" s="54" t="inlineStr">
        <is>
          <t>Batch 5</t>
        </is>
      </c>
      <c r="M89" s="54" t="inlineStr">
        <is>
          <t>Batch 5 %</t>
        </is>
      </c>
      <c r="N89" s="54" t="inlineStr">
        <is>
          <t>Batch 6</t>
        </is>
      </c>
      <c r="O89" s="54" t="inlineStr">
        <is>
          <t>Batch 6 %</t>
        </is>
      </c>
      <c r="P89" s="54" t="inlineStr">
        <is>
          <t>Batch 7</t>
        </is>
      </c>
      <c r="Q89" s="54" t="inlineStr">
        <is>
          <t>Batch 7 %</t>
        </is>
      </c>
      <c r="R89" s="54" t="inlineStr">
        <is>
          <t>Batch 8</t>
        </is>
      </c>
      <c r="S89" s="54" t="inlineStr">
        <is>
          <t>Batch 8 %</t>
        </is>
      </c>
    </row>
    <row r="90">
      <c r="A90" s="61" t="inlineStr">
        <is>
          <t>PASS</t>
        </is>
      </c>
      <c r="B90" s="55">
        <f>COUNTIF($I$14:$I$86,"PASS")</f>
        <v/>
      </c>
      <c r="C90" s="62">
        <f>IF($B$93=0,0,B90/$B$93)</f>
        <v/>
      </c>
      <c r="D90" s="55">
        <f>COUNTIFS($I$14:$I$86,"PASS",$J$14:$J$86,1)</f>
        <v/>
      </c>
      <c r="E90" s="62">
        <f>IF(D$93=0,0,D90/D$93)</f>
        <v/>
      </c>
      <c r="F90" s="55">
        <f>COUNTIFS($I$14:$I$86,"PASS",$J$14:$J$86,2)</f>
        <v/>
      </c>
      <c r="G90" s="62">
        <f>IF(F$93=0,0,F90/F$93)</f>
        <v/>
      </c>
      <c r="H90" s="55">
        <f>COUNTIFS($I$14:$I$86,"PASS",$J$14:$J$86,3)</f>
        <v/>
      </c>
      <c r="I90" s="62">
        <f>IF(H$93=0,0,H90/H$93)</f>
        <v/>
      </c>
      <c r="J90" s="55">
        <f>COUNTIFS($I$14:$I$86,"PASS",$J$14:$J$86,4)</f>
        <v/>
      </c>
      <c r="K90" s="62">
        <f>IF(J$93=0,0,J90/J$93)</f>
        <v/>
      </c>
      <c r="L90" s="55">
        <f>COUNTIFS($I$14:$I$86,"PASS",$J$14:$J$86,5)</f>
        <v/>
      </c>
      <c r="M90" s="62">
        <f>IF(L$93=0,0,L90/L$93)</f>
        <v/>
      </c>
      <c r="N90" s="55">
        <f>COUNTIFS($I$14:$I$86,"PASS",$J$14:$J$86,6)</f>
        <v/>
      </c>
      <c r="O90" s="62">
        <f>IF(N$93=0,0,N90/N$93)</f>
        <v/>
      </c>
      <c r="P90" s="55">
        <f>COUNTIFS($I$14:$I$86,"PASS",$J$14:$J$86,7)</f>
        <v/>
      </c>
      <c r="Q90" s="62">
        <f>IF(P$93=0,0,P90/P$93)</f>
        <v/>
      </c>
      <c r="R90" s="55">
        <f>COUNTIFS($I$14:$I$86,"PASS",$J$14:$J$86,8)</f>
        <v/>
      </c>
      <c r="S90" s="62">
        <f>IF(R$93=0,0,R90/R$93)</f>
        <v/>
      </c>
    </row>
    <row r="91">
      <c r="A91" s="63" t="inlineStr">
        <is>
          <t>FAIL</t>
        </is>
      </c>
      <c r="B91" s="55">
        <f>COUNTIF($I$14:$I$86,"FAIL")</f>
        <v/>
      </c>
      <c r="C91" s="62">
        <f>IF($B$93=0,0,B91/$B$93)</f>
        <v/>
      </c>
      <c r="D91" s="55">
        <f>COUNTIFS($I$14:$I$86,"FAIL",$J$14:$J$86,1)</f>
        <v/>
      </c>
      <c r="E91" s="62">
        <f>IF(D$93=0,0,D91/D$93)</f>
        <v/>
      </c>
      <c r="F91" s="55">
        <f>COUNTIFS($I$14:$I$86,"FAIL",$J$14:$J$86,2)</f>
        <v/>
      </c>
      <c r="G91" s="62">
        <f>IF(F$93=0,0,F91/F$93)</f>
        <v/>
      </c>
      <c r="H91" s="55">
        <f>COUNTIFS($I$14:$I$86,"FAIL",$J$14:$J$86,3)</f>
        <v/>
      </c>
      <c r="I91" s="62">
        <f>IF(H$93=0,0,H91/H$93)</f>
        <v/>
      </c>
      <c r="J91" s="55">
        <f>COUNTIFS($I$14:$I$86,"FAIL",$J$14:$J$86,4)</f>
        <v/>
      </c>
      <c r="K91" s="62">
        <f>IF(J$93=0,0,J91/J$93)</f>
        <v/>
      </c>
      <c r="L91" s="55">
        <f>COUNTIFS($I$14:$I$86,"FAIL",$J$14:$J$86,5)</f>
        <v/>
      </c>
      <c r="M91" s="62">
        <f>IF(L$93=0,0,L91/L$93)</f>
        <v/>
      </c>
      <c r="N91" s="55">
        <f>COUNTIFS($I$14:$I$86,"FAIL",$J$14:$J$86,6)</f>
        <v/>
      </c>
      <c r="O91" s="62">
        <f>IF(N$93=0,0,N91/N$93)</f>
        <v/>
      </c>
      <c r="P91" s="55">
        <f>COUNTIFS($I$14:$I$86,"FAIL",$J$14:$J$86,7)</f>
        <v/>
      </c>
      <c r="Q91" s="62">
        <f>IF(P$93=0,0,P91/P$93)</f>
        <v/>
      </c>
      <c r="R91" s="55">
        <f>COUNTIFS($I$14:$I$86,"FAIL",$J$14:$J$86,8)</f>
        <v/>
      </c>
      <c r="S91" s="62">
        <f>IF(R$93=0,0,R91/R$93)</f>
        <v/>
      </c>
    </row>
    <row r="92">
      <c r="A92" s="64" t="inlineStr">
        <is>
          <t>ERROR</t>
        </is>
      </c>
      <c r="B92" s="55">
        <f>COUNTIF($I$14:$I$86,"ERROR")</f>
        <v/>
      </c>
      <c r="C92" s="62">
        <f>IF($B$93=0,0,B92/$B$93)</f>
        <v/>
      </c>
      <c r="D92" s="55">
        <f>COUNTIFS($I$14:$I$86,"ERROR",$J$14:$J$86,1)</f>
        <v/>
      </c>
      <c r="E92" s="62">
        <f>IF(D$93=0,0,D92/D$93)</f>
        <v/>
      </c>
      <c r="F92" s="55">
        <f>COUNTIFS($I$14:$I$86,"ERROR",$J$14:$J$86,2)</f>
        <v/>
      </c>
      <c r="G92" s="62">
        <f>IF(F$93=0,0,F92/F$93)</f>
        <v/>
      </c>
      <c r="H92" s="55">
        <f>COUNTIFS($I$14:$I$86,"ERROR",$J$14:$J$86,3)</f>
        <v/>
      </c>
      <c r="I92" s="62">
        <f>IF(H$93=0,0,H92/H$93)</f>
        <v/>
      </c>
      <c r="J92" s="55">
        <f>COUNTIFS($I$14:$I$86,"ERROR",$J$14:$J$86,4)</f>
        <v/>
      </c>
      <c r="K92" s="62">
        <f>IF(J$93=0,0,J92/J$93)</f>
        <v/>
      </c>
      <c r="L92" s="55">
        <f>COUNTIFS($I$14:$I$86,"ERROR",$J$14:$J$86,5)</f>
        <v/>
      </c>
      <c r="M92" s="62">
        <f>IF(L$93=0,0,L92/L$93)</f>
        <v/>
      </c>
      <c r="N92" s="55">
        <f>COUNTIFS($I$14:$I$86,"ERROR",$J$14:$J$86,6)</f>
        <v/>
      </c>
      <c r="O92" s="62">
        <f>IF(N$93=0,0,N92/N$93)</f>
        <v/>
      </c>
      <c r="P92" s="55">
        <f>COUNTIFS($I$14:$I$86,"ERROR",$J$14:$J$86,7)</f>
        <v/>
      </c>
      <c r="Q92" s="62">
        <f>IF(P$93=0,0,P92/P$93)</f>
        <v/>
      </c>
      <c r="R92" s="55">
        <f>COUNTIFS($I$14:$I$86,"ERROR",$J$14:$J$86,8)</f>
        <v/>
      </c>
      <c r="S92" s="62">
        <f>IF(R$93=0,0,R92/R$93)</f>
        <v/>
      </c>
    </row>
    <row r="93">
      <c r="A93" s="65" t="inlineStr">
        <is>
          <t>Total cases</t>
        </is>
      </c>
      <c r="B93" s="65">
        <f>SUM(B90:B92)</f>
        <v/>
      </c>
      <c r="C93" s="66">
        <f>SUM(C90:C92)</f>
        <v/>
      </c>
      <c r="D93" s="65">
        <f>SUM(D90:D92)</f>
        <v/>
      </c>
      <c r="E93" s="66">
        <f>SUM(E90:E92)</f>
        <v/>
      </c>
      <c r="F93" s="65">
        <f>SUM(F90:F92)</f>
        <v/>
      </c>
      <c r="G93" s="66">
        <f>SUM(G90:G92)</f>
        <v/>
      </c>
      <c r="H93" s="65">
        <f>SUM(H90:H92)</f>
        <v/>
      </c>
      <c r="I93" s="66">
        <f>SUM(I90:I92)</f>
        <v/>
      </c>
      <c r="J93" s="65">
        <f>SUM(J90:J92)</f>
        <v/>
      </c>
      <c r="K93" s="66">
        <f>SUM(K90:K92)</f>
        <v/>
      </c>
      <c r="L93" s="65">
        <f>SUM(L90:L92)</f>
        <v/>
      </c>
      <c r="M93" s="66">
        <f>SUM(M90:M92)</f>
        <v/>
      </c>
      <c r="N93" s="65">
        <f>SUM(N90:N92)</f>
        <v/>
      </c>
      <c r="O93" s="66">
        <f>SUM(O90:O92)</f>
        <v/>
      </c>
      <c r="P93" s="65">
        <f>SUM(P90:P92)</f>
        <v/>
      </c>
      <c r="Q93" s="66">
        <f>SUM(Q90:Q92)</f>
        <v/>
      </c>
      <c r="R93" s="65">
        <f>SUM(R90:R92)</f>
        <v/>
      </c>
      <c r="S93" s="66">
        <f>SUM(S90:S92)</f>
        <v/>
      </c>
    </row>
    <row r="94">
      <c r="A94" t="inlineStr">
        <is>
          <t>A case is PASS only if it passed on every version it was tested on; ERROR if any version crashed; otherwise FAIL.</t>
        </is>
      </c>
    </row>
    <row r="96">
      <c r="A96" s="60" t="inlineStr">
        <is>
          <t>4. Cases that passed on at least one version</t>
        </is>
      </c>
    </row>
    <row r="97">
      <c r="A97" s="54" t="inlineStr">
        <is>
          <t>Measure</t>
        </is>
      </c>
      <c r="B97" s="54" t="inlineStr">
        <is>
          <t>Cases</t>
        </is>
      </c>
      <c r="C97" s="54" t="inlineStr">
        <is>
          <t>% of cases</t>
        </is>
      </c>
      <c r="D97" s="54" t="inlineStr">
        <is>
          <t>Batch 1</t>
        </is>
      </c>
      <c r="E97" s="54" t="inlineStr">
        <is>
          <t>Batch 1 %</t>
        </is>
      </c>
      <c r="F97" s="54" t="inlineStr">
        <is>
          <t>Batch 2</t>
        </is>
      </c>
      <c r="G97" s="54" t="inlineStr">
        <is>
          <t>Batch 2 %</t>
        </is>
      </c>
      <c r="H97" s="54" t="inlineStr">
        <is>
          <t>Batch 3</t>
        </is>
      </c>
      <c r="I97" s="54" t="inlineStr">
        <is>
          <t>Batch 3 %</t>
        </is>
      </c>
      <c r="J97" s="54" t="inlineStr">
        <is>
          <t>Batch 4</t>
        </is>
      </c>
      <c r="K97" s="54" t="inlineStr">
        <is>
          <t>Batch 4 %</t>
        </is>
      </c>
      <c r="L97" s="54" t="inlineStr">
        <is>
          <t>Batch 5</t>
        </is>
      </c>
      <c r="M97" s="54" t="inlineStr">
        <is>
          <t>Batch 5 %</t>
        </is>
      </c>
      <c r="N97" s="54" t="inlineStr">
        <is>
          <t>Batch 6</t>
        </is>
      </c>
      <c r="O97" s="54" t="inlineStr">
        <is>
          <t>Batch 6 %</t>
        </is>
      </c>
      <c r="P97" s="54" t="inlineStr">
        <is>
          <t>Batch 7</t>
        </is>
      </c>
      <c r="Q97" s="54" t="inlineStr">
        <is>
          <t>Batch 7 %</t>
        </is>
      </c>
      <c r="R97" s="54" t="inlineStr">
        <is>
          <t>Batch 8</t>
        </is>
      </c>
      <c r="S97" s="54" t="inlineStr">
        <is>
          <t>Batch 8 %</t>
        </is>
      </c>
    </row>
    <row r="98">
      <c r="A98" s="55" t="inlineStr">
        <is>
          <t>Passed on at least one version</t>
        </is>
      </c>
      <c r="B98" s="55">
        <f>COUNTIF($B$103:$B$175,"YES")</f>
        <v/>
      </c>
      <c r="C98" s="62">
        <f>IF(COUNTA($A$103:$A$175)=0,0,B98/COUNTA($A$103:$A$175))</f>
        <v/>
      </c>
      <c r="D98" s="55">
        <f>COUNTIFS($B$103:$B$175,"YES",$F$103:$F$175,1)</f>
        <v/>
      </c>
      <c r="E98" s="62">
        <f>IF(COUNTIF($F$103:$F$175,1)=0,0,D98/COUNTIF($F$103:$F$175,1))</f>
        <v/>
      </c>
      <c r="F98" s="55">
        <f>COUNTIFS($B$103:$B$175,"YES",$F$103:$F$175,2)</f>
        <v/>
      </c>
      <c r="G98" s="62">
        <f>IF(COUNTIF($F$103:$F$175,2)=0,0,F98/COUNTIF($F$103:$F$175,2))</f>
        <v/>
      </c>
      <c r="H98" s="55">
        <f>COUNTIFS($B$103:$B$175,"YES",$F$103:$F$175,3)</f>
        <v/>
      </c>
      <c r="I98" s="62">
        <f>IF(COUNTIF($F$103:$F$175,3)=0,0,H98/COUNTIF($F$103:$F$175,3))</f>
        <v/>
      </c>
      <c r="J98" s="55">
        <f>COUNTIFS($B$103:$B$175,"YES",$F$103:$F$175,4)</f>
        <v/>
      </c>
      <c r="K98" s="62">
        <f>IF(COUNTIF($F$103:$F$175,4)=0,0,J98/COUNTIF($F$103:$F$175,4))</f>
        <v/>
      </c>
      <c r="L98" s="55">
        <f>COUNTIFS($B$103:$B$175,"YES",$F$103:$F$175,5)</f>
        <v/>
      </c>
      <c r="M98" s="62">
        <f>IF(COUNTIF($F$103:$F$175,5)=0,0,L98/COUNTIF($F$103:$F$175,5))</f>
        <v/>
      </c>
      <c r="N98" s="55">
        <f>COUNTIFS($B$103:$B$175,"YES",$F$103:$F$175,6)</f>
        <v/>
      </c>
      <c r="O98" s="62">
        <f>IF(COUNTIF($F$103:$F$175,6)=0,0,N98/COUNTIF($F$103:$F$175,6))</f>
        <v/>
      </c>
      <c r="P98" s="55">
        <f>COUNTIFS($B$103:$B$175,"YES",$F$103:$F$175,7)</f>
        <v/>
      </c>
      <c r="Q98" s="62">
        <f>IF(COUNTIF($F$103:$F$175,7)=0,0,P98/COUNTIF($F$103:$F$175,7))</f>
        <v/>
      </c>
      <c r="R98" s="55">
        <f>COUNTIFS($B$103:$B$175,"YES",$F$103:$F$175,8)</f>
        <v/>
      </c>
      <c r="S98" s="62">
        <f>IF(COUNTIF($F$103:$F$175,8)=0,0,R98/COUNTIF($F$103:$F$175,8))</f>
        <v/>
      </c>
    </row>
    <row r="99">
      <c r="A99" s="55" t="inlineStr">
        <is>
          <t>Passed on every version (strict, as in section 3)</t>
        </is>
      </c>
      <c r="B99" s="55">
        <f>B90</f>
        <v/>
      </c>
      <c r="C99" s="62">
        <f>IF(COUNTA($A$103:$A$175)=0,0,B99/COUNTA($A$103:$A$175))</f>
        <v/>
      </c>
      <c r="D99" s="55">
        <f>D90</f>
        <v/>
      </c>
      <c r="E99" s="62">
        <f>IF(COUNTIF($F$103:$F$175,1)=0,0,D99/COUNTIF($F$103:$F$175,1))</f>
        <v/>
      </c>
      <c r="F99" s="55">
        <f>F90</f>
        <v/>
      </c>
      <c r="G99" s="62">
        <f>IF(COUNTIF($F$103:$F$175,2)=0,0,F99/COUNTIF($F$103:$F$175,2))</f>
        <v/>
      </c>
      <c r="H99" s="55">
        <f>H90</f>
        <v/>
      </c>
      <c r="I99" s="62">
        <f>IF(COUNTIF($F$103:$F$175,3)=0,0,H99/COUNTIF($F$103:$F$175,3))</f>
        <v/>
      </c>
      <c r="J99" s="55">
        <f>J90</f>
        <v/>
      </c>
      <c r="K99" s="62">
        <f>IF(COUNTIF($F$103:$F$175,4)=0,0,J99/COUNTIF($F$103:$F$175,4))</f>
        <v/>
      </c>
      <c r="L99" s="55">
        <f>L90</f>
        <v/>
      </c>
      <c r="M99" s="62">
        <f>IF(COUNTIF($F$103:$F$175,5)=0,0,L99/COUNTIF($F$103:$F$175,5))</f>
        <v/>
      </c>
      <c r="N99" s="55">
        <f>N90</f>
        <v/>
      </c>
      <c r="O99" s="62">
        <f>IF(COUNTIF($F$103:$F$175,6)=0,0,N99/COUNTIF($F$103:$F$175,6))</f>
        <v/>
      </c>
      <c r="P99" s="55">
        <f>P90</f>
        <v/>
      </c>
      <c r="Q99" s="62">
        <f>IF(COUNTIF($F$103:$F$175,7)=0,0,P99/COUNTIF($F$103:$F$175,7))</f>
        <v/>
      </c>
      <c r="R99" s="55">
        <f>R90</f>
        <v/>
      </c>
      <c r="S99" s="62">
        <f>IF(COUNTIF($F$103:$F$175,8)=0,0,R99/COUNTIF($F$103:$F$175,8))</f>
        <v/>
      </c>
    </row>
    <row r="100">
      <c r="A100" s="55" t="inlineStr">
        <is>
          <t>Passed on some but not all versions</t>
        </is>
      </c>
      <c r="B100" s="55">
        <f>B98-B99</f>
        <v/>
      </c>
      <c r="C100" s="62">
        <f>IF(COUNTA($A$103:$A$175)=0,0,B100/COUNTA($A$103:$A$175))</f>
        <v/>
      </c>
      <c r="D100" s="55">
        <f>D98-D99</f>
        <v/>
      </c>
      <c r="E100" s="62">
        <f>IF(COUNTIF($F$103:$F$175,1)=0,0,D100/COUNTIF($F$103:$F$175,1))</f>
        <v/>
      </c>
      <c r="F100" s="55">
        <f>F98-F99</f>
        <v/>
      </c>
      <c r="G100" s="62">
        <f>IF(COUNTIF($F$103:$F$175,2)=0,0,F100/COUNTIF($F$103:$F$175,2))</f>
        <v/>
      </c>
      <c r="H100" s="55">
        <f>H98-H99</f>
        <v/>
      </c>
      <c r="I100" s="62">
        <f>IF(COUNTIF($F$103:$F$175,3)=0,0,H100/COUNTIF($F$103:$F$175,3))</f>
        <v/>
      </c>
      <c r="J100" s="55">
        <f>J98-J99</f>
        <v/>
      </c>
      <c r="K100" s="62">
        <f>IF(COUNTIF($F$103:$F$175,4)=0,0,J100/COUNTIF($F$103:$F$175,4))</f>
        <v/>
      </c>
      <c r="L100" s="55">
        <f>L98-L99</f>
        <v/>
      </c>
      <c r="M100" s="62">
        <f>IF(COUNTIF($F$103:$F$175,5)=0,0,L100/COUNTIF($F$103:$F$175,5))</f>
        <v/>
      </c>
      <c r="N100" s="55">
        <f>N98-N99</f>
        <v/>
      </c>
      <c r="O100" s="62">
        <f>IF(COUNTIF($F$103:$F$175,6)=0,0,N100/COUNTIF($F$103:$F$175,6))</f>
        <v/>
      </c>
      <c r="P100" s="55">
        <f>P98-P99</f>
        <v/>
      </c>
      <c r="Q100" s="62">
        <f>IF(COUNTIF($F$103:$F$175,7)=0,0,P100/COUNTIF($F$103:$F$175,7))</f>
        <v/>
      </c>
      <c r="R100" s="55">
        <f>R98-R99</f>
        <v/>
      </c>
      <c r="S100" s="62">
        <f>IF(COUNTIF($F$103:$F$175,8)=0,0,R100/COUNTIF($F$103:$F$175,8))</f>
        <v/>
      </c>
    </row>
    <row r="101">
      <c r="A101" s="55" t="inlineStr">
        <is>
          <t>Passed on no version</t>
        </is>
      </c>
      <c r="B101" s="55">
        <f>COUNTIF($B$103:$B$175,"NO")</f>
        <v/>
      </c>
      <c r="C101" s="62">
        <f>IF(COUNTA($A$103:$A$175)=0,0,B101/COUNTA($A$103:$A$175))</f>
        <v/>
      </c>
      <c r="D101" s="55">
        <f>COUNTIFS($B$103:$B$175,"NO",$F$103:$F$175,1)</f>
        <v/>
      </c>
      <c r="E101" s="62">
        <f>IF(COUNTIF($F$103:$F$175,1)=0,0,D101/COUNTIF($F$103:$F$175,1))</f>
        <v/>
      </c>
      <c r="F101" s="55">
        <f>COUNTIFS($B$103:$B$175,"NO",$F$103:$F$175,2)</f>
        <v/>
      </c>
      <c r="G101" s="62">
        <f>IF(COUNTIF($F$103:$F$175,2)=0,0,F101/COUNTIF($F$103:$F$175,2))</f>
        <v/>
      </c>
      <c r="H101" s="55">
        <f>COUNTIFS($B$103:$B$175,"NO",$F$103:$F$175,3)</f>
        <v/>
      </c>
      <c r="I101" s="62">
        <f>IF(COUNTIF($F$103:$F$175,3)=0,0,H101/COUNTIF($F$103:$F$175,3))</f>
        <v/>
      </c>
      <c r="J101" s="55">
        <f>COUNTIFS($B$103:$B$175,"NO",$F$103:$F$175,4)</f>
        <v/>
      </c>
      <c r="K101" s="62">
        <f>IF(COUNTIF($F$103:$F$175,4)=0,0,J101/COUNTIF($F$103:$F$175,4))</f>
        <v/>
      </c>
      <c r="L101" s="55">
        <f>COUNTIFS($B$103:$B$175,"NO",$F$103:$F$175,5)</f>
        <v/>
      </c>
      <c r="M101" s="62">
        <f>IF(COUNTIF($F$103:$F$175,5)=0,0,L101/COUNTIF($F$103:$F$175,5))</f>
        <v/>
      </c>
      <c r="N101" s="55">
        <f>COUNTIFS($B$103:$B$175,"NO",$F$103:$F$175,6)</f>
        <v/>
      </c>
      <c r="O101" s="62">
        <f>IF(COUNTIF($F$103:$F$175,6)=0,0,N101/COUNTIF($F$103:$F$175,6))</f>
        <v/>
      </c>
      <c r="P101" s="55">
        <f>COUNTIFS($B$103:$B$175,"NO",$F$103:$F$175,7)</f>
        <v/>
      </c>
      <c r="Q101" s="62">
        <f>IF(COUNTIF($F$103:$F$175,7)=0,0,P101/COUNTIF($F$103:$F$175,7))</f>
        <v/>
      </c>
      <c r="R101" s="55">
        <f>COUNTIFS($B$103:$B$175,"NO",$F$103:$F$175,8)</f>
        <v/>
      </c>
      <c r="S101" s="62">
        <f>IF(COUNTIF($F$103:$F$175,8)=0,0,R101/COUNTIF($F$103:$F$175,8))</f>
        <v/>
      </c>
    </row>
    <row r="102">
      <c r="A102" s="54" t="inlineStr">
        <is>
          <t>Case</t>
        </is>
      </c>
      <c r="B102" s="54" t="inlineStr">
        <is>
          <t>Passed on ≥1 version?</t>
        </is>
      </c>
      <c r="C102" s="54" t="inlineStr">
        <is>
          <t>Versions it passed on</t>
        </is>
      </c>
      <c r="D102" s="54" t="inlineStr">
        <is>
          <t># passed</t>
        </is>
      </c>
      <c r="E102" s="54" t="inlineStr">
        <is>
          <t># tested</t>
        </is>
      </c>
      <c r="F102" s="54" t="inlineStr">
        <is>
          <t>Batch</t>
        </is>
      </c>
    </row>
    <row r="103">
      <c r="A103" s="55">
        <f>Summary!A2</f>
        <v/>
      </c>
      <c r="B103" s="55">
        <f>IF(C14&gt;0,"YES","NO")</f>
        <v/>
      </c>
      <c r="C103" s="67">
        <f t="array" ref="C103">IF(C14=0,"-",_xlfn.TEXTJOIN(", ",TRUE,IF(Summary!$B$2:$AB$2="PASS",Summary!$B$1:$AB$1,"")))</f>
        <v/>
      </c>
      <c r="D103" s="55">
        <f>C14</f>
        <v/>
      </c>
      <c r="E103" s="55">
        <f>B14</f>
        <v/>
      </c>
      <c r="F103" s="55" t="n">
        <v>1</v>
      </c>
    </row>
    <row r="104">
      <c r="A104" s="55">
        <f>Summary!A3</f>
        <v/>
      </c>
      <c r="B104" s="55">
        <f>IF(C15&gt;0,"YES","NO")</f>
        <v/>
      </c>
      <c r="C104" s="67">
        <f t="array" ref="C104">IF(C15=0,"-",_xlfn.TEXTJOIN(", ",TRUE,IF(Summary!$B$3:$AB$3="PASS",Summary!$B$1:$AB$1,"")))</f>
        <v/>
      </c>
      <c r="D104" s="55">
        <f>C15</f>
        <v/>
      </c>
      <c r="E104" s="55">
        <f>B15</f>
        <v/>
      </c>
      <c r="F104" s="55" t="n">
        <v>1</v>
      </c>
    </row>
    <row r="105">
      <c r="A105" s="55">
        <f>Summary!A4</f>
        <v/>
      </c>
      <c r="B105" s="55">
        <f>IF(C16&gt;0,"YES","NO")</f>
        <v/>
      </c>
      <c r="C105" s="67">
        <f t="array" ref="C105">IF(C16=0,"-",_xlfn.TEXTJOIN(", ",TRUE,IF(Summary!$B$4:$AB$4="PASS",Summary!$B$1:$AB$1,"")))</f>
        <v/>
      </c>
      <c r="D105" s="55">
        <f>C16</f>
        <v/>
      </c>
      <c r="E105" s="55">
        <f>B16</f>
        <v/>
      </c>
      <c r="F105" s="55" t="n">
        <v>1</v>
      </c>
    </row>
    <row r="106">
      <c r="A106" s="55">
        <f>Summary!A5</f>
        <v/>
      </c>
      <c r="B106" s="55">
        <f>IF(C17&gt;0,"YES","NO")</f>
        <v/>
      </c>
      <c r="C106" s="67">
        <f t="array" ref="C106">IF(C17=0,"-",_xlfn.TEXTJOIN(", ",TRUE,IF(Summary!$B$5:$AB$5="PASS",Summary!$B$1:$AB$1,"")))</f>
        <v/>
      </c>
      <c r="D106" s="55">
        <f>C17</f>
        <v/>
      </c>
      <c r="E106" s="55">
        <f>B17</f>
        <v/>
      </c>
      <c r="F106" s="55" t="n">
        <v>1</v>
      </c>
    </row>
    <row r="107">
      <c r="A107" s="55">
        <f>Summary!A6</f>
        <v/>
      </c>
      <c r="B107" s="55">
        <f>IF(C18&gt;0,"YES","NO")</f>
        <v/>
      </c>
      <c r="C107" s="67">
        <f t="array" ref="C107">IF(C18=0,"-",_xlfn.TEXTJOIN(", ",TRUE,IF(Summary!$B$6:$AB$6="PASS",Summary!$B$1:$AB$1,"")))</f>
        <v/>
      </c>
      <c r="D107" s="55">
        <f>C18</f>
        <v/>
      </c>
      <c r="E107" s="55">
        <f>B18</f>
        <v/>
      </c>
      <c r="F107" s="55" t="n">
        <v>1</v>
      </c>
    </row>
    <row r="108">
      <c r="A108" s="55">
        <f>Summary!A7</f>
        <v/>
      </c>
      <c r="B108" s="55">
        <f>IF(C19&gt;0,"YES","NO")</f>
        <v/>
      </c>
      <c r="C108" s="67">
        <f t="array" ref="C108">IF(C19=0,"-",_xlfn.TEXTJOIN(", ",TRUE,IF(Summary!$B$7:$AB$7="PASS",Summary!$B$1:$AB$1,"")))</f>
        <v/>
      </c>
      <c r="D108" s="55">
        <f>C19</f>
        <v/>
      </c>
      <c r="E108" s="55">
        <f>B19</f>
        <v/>
      </c>
      <c r="F108" s="55" t="n">
        <v>1</v>
      </c>
    </row>
    <row r="109">
      <c r="A109" s="55">
        <f>Summary!A8</f>
        <v/>
      </c>
      <c r="B109" s="55">
        <f>IF(C20&gt;0,"YES","NO")</f>
        <v/>
      </c>
      <c r="C109" s="67">
        <f t="array" ref="C109">IF(C20=0,"-",_xlfn.TEXTJOIN(", ",TRUE,IF(Summary!$B$8:$AB$8="PASS",Summary!$B$1:$AB$1,"")))</f>
        <v/>
      </c>
      <c r="D109" s="55">
        <f>C20</f>
        <v/>
      </c>
      <c r="E109" s="55">
        <f>B20</f>
        <v/>
      </c>
      <c r="F109" s="55" t="n">
        <v>1</v>
      </c>
    </row>
    <row r="110">
      <c r="A110" s="55">
        <f>Summary!A9</f>
        <v/>
      </c>
      <c r="B110" s="55">
        <f>IF(C21&gt;0,"YES","NO")</f>
        <v/>
      </c>
      <c r="C110" s="67">
        <f t="array" ref="C110">IF(C21=0,"-",_xlfn.TEXTJOIN(", ",TRUE,IF(Summary!$B$9:$AB$9="PASS",Summary!$B$1:$AB$1,"")))</f>
        <v/>
      </c>
      <c r="D110" s="55">
        <f>C21</f>
        <v/>
      </c>
      <c r="E110" s="55">
        <f>B21</f>
        <v/>
      </c>
      <c r="F110" s="55" t="n">
        <v>1</v>
      </c>
    </row>
    <row r="111">
      <c r="A111" s="55">
        <f>Summary!A10</f>
        <v/>
      </c>
      <c r="B111" s="55">
        <f>IF(C22&gt;0,"YES","NO")</f>
        <v/>
      </c>
      <c r="C111" s="67">
        <f t="array" ref="C111">IF(C22=0,"-",_xlfn.TEXTJOIN(", ",TRUE,IF(Summary!$B$10:$AB$10="PASS",Summary!$B$1:$AB$1,"")))</f>
        <v/>
      </c>
      <c r="D111" s="55">
        <f>C22</f>
        <v/>
      </c>
      <c r="E111" s="55">
        <f>B22</f>
        <v/>
      </c>
      <c r="F111" s="55" t="n">
        <v>1</v>
      </c>
    </row>
    <row r="112">
      <c r="A112" s="55">
        <f>Summary!A11</f>
        <v/>
      </c>
      <c r="B112" s="55">
        <f>IF(C23&gt;0,"YES","NO")</f>
        <v/>
      </c>
      <c r="C112" s="67">
        <f t="array" ref="C112">IF(C23=0,"-",_xlfn.TEXTJOIN(", ",TRUE,IF(Summary!$B$11:$AB$11="PASS",Summary!$B$1:$AB$1,"")))</f>
        <v/>
      </c>
      <c r="D112" s="55">
        <f>C23</f>
        <v/>
      </c>
      <c r="E112" s="55">
        <f>B23</f>
        <v/>
      </c>
      <c r="F112" s="55" t="n">
        <v>1</v>
      </c>
    </row>
    <row r="113">
      <c r="A113" s="55">
        <f>Summary!A12</f>
        <v/>
      </c>
      <c r="B113" s="55">
        <f>IF(C24&gt;0,"YES","NO")</f>
        <v/>
      </c>
      <c r="C113" s="67">
        <f t="array" ref="C113">IF(C24=0,"-",_xlfn.TEXTJOIN(", ",TRUE,IF(Summary!$B$12:$AB$12="PASS",Summary!$B$1:$AB$1,"")))</f>
        <v/>
      </c>
      <c r="D113" s="55">
        <f>C24</f>
        <v/>
      </c>
      <c r="E113" s="55">
        <f>B24</f>
        <v/>
      </c>
      <c r="F113" s="55" t="n">
        <v>2</v>
      </c>
    </row>
    <row r="114">
      <c r="A114" s="55">
        <f>Summary!A13</f>
        <v/>
      </c>
      <c r="B114" s="55">
        <f>IF(C25&gt;0,"YES","NO")</f>
        <v/>
      </c>
      <c r="C114" s="67">
        <f t="array" ref="C114">IF(C25=0,"-",_xlfn.TEXTJOIN(", ",TRUE,IF(Summary!$B$13:$AB$13="PASS",Summary!$B$1:$AB$1,"")))</f>
        <v/>
      </c>
      <c r="D114" s="55">
        <f>C25</f>
        <v/>
      </c>
      <c r="E114" s="55">
        <f>B25</f>
        <v/>
      </c>
      <c r="F114" s="55" t="n">
        <v>2</v>
      </c>
    </row>
    <row r="115">
      <c r="A115" s="55">
        <f>Summary!A14</f>
        <v/>
      </c>
      <c r="B115" s="55">
        <f>IF(C26&gt;0,"YES","NO")</f>
        <v/>
      </c>
      <c r="C115" s="67">
        <f t="array" ref="C115">IF(C26=0,"-",_xlfn.TEXTJOIN(", ",TRUE,IF(Summary!$B$14:$AB$14="PASS",Summary!$B$1:$AB$1,"")))</f>
        <v/>
      </c>
      <c r="D115" s="55">
        <f>C26</f>
        <v/>
      </c>
      <c r="E115" s="55">
        <f>B26</f>
        <v/>
      </c>
      <c r="F115" s="55" t="n">
        <v>2</v>
      </c>
    </row>
    <row r="116">
      <c r="A116" s="55">
        <f>Summary!A15</f>
        <v/>
      </c>
      <c r="B116" s="55">
        <f>IF(C27&gt;0,"YES","NO")</f>
        <v/>
      </c>
      <c r="C116" s="67">
        <f t="array" ref="C116">IF(C27=0,"-",_xlfn.TEXTJOIN(", ",TRUE,IF(Summary!$B$15:$AB$15="PASS",Summary!$B$1:$AB$1,"")))</f>
        <v/>
      </c>
      <c r="D116" s="55">
        <f>C27</f>
        <v/>
      </c>
      <c r="E116" s="55">
        <f>B27</f>
        <v/>
      </c>
      <c r="F116" s="55" t="n">
        <v>2</v>
      </c>
    </row>
    <row r="117">
      <c r="A117" s="55">
        <f>Summary!A16</f>
        <v/>
      </c>
      <c r="B117" s="55">
        <f>IF(C28&gt;0,"YES","NO")</f>
        <v/>
      </c>
      <c r="C117" s="67">
        <f t="array" ref="C117">IF(C28=0,"-",_xlfn.TEXTJOIN(", ",TRUE,IF(Summary!$B$16:$AB$16="PASS",Summary!$B$1:$AB$1,"")))</f>
        <v/>
      </c>
      <c r="D117" s="55">
        <f>C28</f>
        <v/>
      </c>
      <c r="E117" s="55">
        <f>B28</f>
        <v/>
      </c>
      <c r="F117" s="55" t="n">
        <v>2</v>
      </c>
    </row>
    <row r="118">
      <c r="A118" s="55">
        <f>Summary!A17</f>
        <v/>
      </c>
      <c r="B118" s="55">
        <f>IF(C29&gt;0,"YES","NO")</f>
        <v/>
      </c>
      <c r="C118" s="67">
        <f t="array" ref="C118">IF(C29=0,"-",_xlfn.TEXTJOIN(", ",TRUE,IF(Summary!$B$17:$AB$17="PASS",Summary!$B$1:$AB$1,"")))</f>
        <v/>
      </c>
      <c r="D118" s="55">
        <f>C29</f>
        <v/>
      </c>
      <c r="E118" s="55">
        <f>B29</f>
        <v/>
      </c>
      <c r="F118" s="55" t="n">
        <v>2</v>
      </c>
    </row>
    <row r="119">
      <c r="A119" s="55">
        <f>Summary!A18</f>
        <v/>
      </c>
      <c r="B119" s="55">
        <f>IF(C30&gt;0,"YES","NO")</f>
        <v/>
      </c>
      <c r="C119" s="67">
        <f t="array" ref="C119">IF(C30=0,"-",_xlfn.TEXTJOIN(", ",TRUE,IF(Summary!$B$18:$AB$18="PASS",Summary!$B$1:$AB$1,"")))</f>
        <v/>
      </c>
      <c r="D119" s="55">
        <f>C30</f>
        <v/>
      </c>
      <c r="E119" s="55">
        <f>B30</f>
        <v/>
      </c>
      <c r="F119" s="55" t="n">
        <v>2</v>
      </c>
    </row>
    <row r="120">
      <c r="A120" s="55">
        <f>Summary!A19</f>
        <v/>
      </c>
      <c r="B120" s="55">
        <f>IF(C31&gt;0,"YES","NO")</f>
        <v/>
      </c>
      <c r="C120" s="67">
        <f t="array" ref="C120">IF(C31=0,"-",_xlfn.TEXTJOIN(", ",TRUE,IF(Summary!$B$19:$AB$19="PASS",Summary!$B$1:$AB$1,"")))</f>
        <v/>
      </c>
      <c r="D120" s="55">
        <f>C31</f>
        <v/>
      </c>
      <c r="E120" s="55">
        <f>B31</f>
        <v/>
      </c>
      <c r="F120" s="55" t="n">
        <v>2</v>
      </c>
    </row>
    <row r="121">
      <c r="A121" s="55">
        <f>Summary!A20</f>
        <v/>
      </c>
      <c r="B121" s="55">
        <f>IF(C32&gt;0,"YES","NO")</f>
        <v/>
      </c>
      <c r="C121" s="67">
        <f t="array" ref="C121">IF(C32=0,"-",_xlfn.TEXTJOIN(", ",TRUE,IF(Summary!$B$20:$AB$20="PASS",Summary!$B$1:$AB$1,"")))</f>
        <v/>
      </c>
      <c r="D121" s="55">
        <f>C32</f>
        <v/>
      </c>
      <c r="E121" s="55">
        <f>B32</f>
        <v/>
      </c>
      <c r="F121" s="55" t="n">
        <v>2</v>
      </c>
    </row>
    <row r="122">
      <c r="A122" s="55">
        <f>Summary!A21</f>
        <v/>
      </c>
      <c r="B122" s="55">
        <f>IF(C33&gt;0,"YES","NO")</f>
        <v/>
      </c>
      <c r="C122" s="67">
        <f t="array" ref="C122">IF(C33=0,"-",_xlfn.TEXTJOIN(", ",TRUE,IF(Summary!$B$21:$AB$21="PASS",Summary!$B$1:$AB$1,"")))</f>
        <v/>
      </c>
      <c r="D122" s="55">
        <f>C33</f>
        <v/>
      </c>
      <c r="E122" s="55">
        <f>B33</f>
        <v/>
      </c>
      <c r="F122" s="55" t="n">
        <v>2</v>
      </c>
    </row>
    <row r="123">
      <c r="A123" s="55">
        <f>Summary!A22</f>
        <v/>
      </c>
      <c r="B123" s="55">
        <f>IF(C34&gt;0,"YES","NO")</f>
        <v/>
      </c>
      <c r="C123" s="67">
        <f t="array" ref="C123">IF(C34=0,"-",_xlfn.TEXTJOIN(", ",TRUE,IF(Summary!$B$22:$AB$22="PASS",Summary!$B$1:$AB$1,"")))</f>
        <v/>
      </c>
      <c r="D123" s="55">
        <f>C34</f>
        <v/>
      </c>
      <c r="E123" s="55">
        <f>B34</f>
        <v/>
      </c>
      <c r="F123" s="55" t="n">
        <v>3</v>
      </c>
    </row>
    <row r="124">
      <c r="A124" s="55">
        <f>Summary!A23</f>
        <v/>
      </c>
      <c r="B124" s="55">
        <f>IF(C35&gt;0,"YES","NO")</f>
        <v/>
      </c>
      <c r="C124" s="67">
        <f t="array" ref="C124">IF(C35=0,"-",_xlfn.TEXTJOIN(", ",TRUE,IF(Summary!$B$23:$AB$23="PASS",Summary!$B$1:$AB$1,"")))</f>
        <v/>
      </c>
      <c r="D124" s="55">
        <f>C35</f>
        <v/>
      </c>
      <c r="E124" s="55">
        <f>B35</f>
        <v/>
      </c>
      <c r="F124" s="55" t="n">
        <v>3</v>
      </c>
    </row>
    <row r="125">
      <c r="A125" s="55">
        <f>Summary!A24</f>
        <v/>
      </c>
      <c r="B125" s="55">
        <f>IF(C36&gt;0,"YES","NO")</f>
        <v/>
      </c>
      <c r="C125" s="67">
        <f t="array" ref="C125">IF(C36=0,"-",_xlfn.TEXTJOIN(", ",TRUE,IF(Summary!$B$24:$AB$24="PASS",Summary!$B$1:$AB$1,"")))</f>
        <v/>
      </c>
      <c r="D125" s="55">
        <f>C36</f>
        <v/>
      </c>
      <c r="E125" s="55">
        <f>B36</f>
        <v/>
      </c>
      <c r="F125" s="55" t="n">
        <v>3</v>
      </c>
    </row>
    <row r="126">
      <c r="A126" s="55">
        <f>Summary!A25</f>
        <v/>
      </c>
      <c r="B126" s="55">
        <f>IF(C37&gt;0,"YES","NO")</f>
        <v/>
      </c>
      <c r="C126" s="67">
        <f t="array" ref="C126">IF(C37=0,"-",_xlfn.TEXTJOIN(", ",TRUE,IF(Summary!$B$25:$AB$25="PASS",Summary!$B$1:$AB$1,"")))</f>
        <v/>
      </c>
      <c r="D126" s="55">
        <f>C37</f>
        <v/>
      </c>
      <c r="E126" s="55">
        <f>B37</f>
        <v/>
      </c>
      <c r="F126" s="55" t="n">
        <v>3</v>
      </c>
    </row>
    <row r="127">
      <c r="A127" s="55">
        <f>Summary!A26</f>
        <v/>
      </c>
      <c r="B127" s="55">
        <f>IF(C38&gt;0,"YES","NO")</f>
        <v/>
      </c>
      <c r="C127" s="67">
        <f t="array" ref="C127">IF(C38=0,"-",_xlfn.TEXTJOIN(", ",TRUE,IF(Summary!$B$26:$AB$26="PASS",Summary!$B$1:$AB$1,"")))</f>
        <v/>
      </c>
      <c r="D127" s="55">
        <f>C38</f>
        <v/>
      </c>
      <c r="E127" s="55">
        <f>B38</f>
        <v/>
      </c>
      <c r="F127" s="55" t="n">
        <v>3</v>
      </c>
    </row>
    <row r="128">
      <c r="A128" s="55">
        <f>Summary!A27</f>
        <v/>
      </c>
      <c r="B128" s="55">
        <f>IF(C39&gt;0,"YES","NO")</f>
        <v/>
      </c>
      <c r="C128" s="67">
        <f t="array" ref="C128">IF(C39=0,"-",_xlfn.TEXTJOIN(", ",TRUE,IF(Summary!$B$27:$AB$27="PASS",Summary!$B$1:$AB$1,"")))</f>
        <v/>
      </c>
      <c r="D128" s="55">
        <f>C39</f>
        <v/>
      </c>
      <c r="E128" s="55">
        <f>B39</f>
        <v/>
      </c>
      <c r="F128" s="55" t="n">
        <v>3</v>
      </c>
    </row>
    <row r="129">
      <c r="A129" s="55">
        <f>Summary!A28</f>
        <v/>
      </c>
      <c r="B129" s="55">
        <f>IF(C40&gt;0,"YES","NO")</f>
        <v/>
      </c>
      <c r="C129" s="67">
        <f t="array" ref="C129">IF(C40=0,"-",_xlfn.TEXTJOIN(", ",TRUE,IF(Summary!$B$28:$AB$28="PASS",Summary!$B$1:$AB$1,"")))</f>
        <v/>
      </c>
      <c r="D129" s="55">
        <f>C40</f>
        <v/>
      </c>
      <c r="E129" s="55">
        <f>B40</f>
        <v/>
      </c>
      <c r="F129" s="55" t="n">
        <v>3</v>
      </c>
    </row>
    <row r="130">
      <c r="A130" s="55">
        <f>Summary!A29</f>
        <v/>
      </c>
      <c r="B130" s="55">
        <f>IF(C41&gt;0,"YES","NO")</f>
        <v/>
      </c>
      <c r="C130" s="67">
        <f t="array" ref="C130">IF(C41=0,"-",_xlfn.TEXTJOIN(", ",TRUE,IF(Summary!$B$29:$AB$29="PASS",Summary!$B$1:$AB$1,"")))</f>
        <v/>
      </c>
      <c r="D130" s="55">
        <f>C41</f>
        <v/>
      </c>
      <c r="E130" s="55">
        <f>B41</f>
        <v/>
      </c>
      <c r="F130" s="55" t="n">
        <v>3</v>
      </c>
    </row>
    <row r="131">
      <c r="A131" s="55">
        <f>Summary!A30</f>
        <v/>
      </c>
      <c r="B131" s="55">
        <f>IF(C42&gt;0,"YES","NO")</f>
        <v/>
      </c>
      <c r="C131" s="67">
        <f t="array" ref="C131">IF(C42=0,"-",_xlfn.TEXTJOIN(", ",TRUE,IF(Summary!$B$30:$AB$30="PASS",Summary!$B$1:$AB$1,"")))</f>
        <v/>
      </c>
      <c r="D131" s="55">
        <f>C42</f>
        <v/>
      </c>
      <c r="E131" s="55">
        <f>B42</f>
        <v/>
      </c>
      <c r="F131" s="55" t="n">
        <v>3</v>
      </c>
    </row>
    <row r="132">
      <c r="A132" s="55">
        <f>Summary!A31</f>
        <v/>
      </c>
      <c r="B132" s="55">
        <f>IF(C43&gt;0,"YES","NO")</f>
        <v/>
      </c>
      <c r="C132" s="67">
        <f t="array" ref="C132">IF(C43=0,"-",_xlfn.TEXTJOIN(", ",TRUE,IF(Summary!$B$31:$AB$31="PASS",Summary!$B$1:$AB$1,"")))</f>
        <v/>
      </c>
      <c r="D132" s="55">
        <f>C43</f>
        <v/>
      </c>
      <c r="E132" s="55">
        <f>B43</f>
        <v/>
      </c>
      <c r="F132" s="55" t="n">
        <v>3</v>
      </c>
    </row>
    <row r="133">
      <c r="A133" s="55">
        <f>Summary!A32</f>
        <v/>
      </c>
      <c r="B133" s="55">
        <f>IF(C44&gt;0,"YES","NO")</f>
        <v/>
      </c>
      <c r="C133" s="67">
        <f t="array" ref="C133">IF(C44=0,"-",_xlfn.TEXTJOIN(", ",TRUE,IF(Summary!$B$32:$AB$32="PASS",Summary!$B$1:$AB$1,"")))</f>
        <v/>
      </c>
      <c r="D133" s="55">
        <f>C44</f>
        <v/>
      </c>
      <c r="E133" s="55">
        <f>B44</f>
        <v/>
      </c>
      <c r="F133" s="55" t="n">
        <v>4</v>
      </c>
    </row>
    <row r="134">
      <c r="A134" s="55">
        <f>Summary!A33</f>
        <v/>
      </c>
      <c r="B134" s="55">
        <f>IF(C45&gt;0,"YES","NO")</f>
        <v/>
      </c>
      <c r="C134" s="67">
        <f t="array" ref="C134">IF(C45=0,"-",_xlfn.TEXTJOIN(", ",TRUE,IF(Summary!$B$33:$AB$33="PASS",Summary!$B$1:$AB$1,"")))</f>
        <v/>
      </c>
      <c r="D134" s="55">
        <f>C45</f>
        <v/>
      </c>
      <c r="E134" s="55">
        <f>B45</f>
        <v/>
      </c>
      <c r="F134" s="55" t="n">
        <v>4</v>
      </c>
    </row>
    <row r="135">
      <c r="A135" s="55">
        <f>Summary!A34</f>
        <v/>
      </c>
      <c r="B135" s="55">
        <f>IF(C46&gt;0,"YES","NO")</f>
        <v/>
      </c>
      <c r="C135" s="67">
        <f t="array" ref="C135">IF(C46=0,"-",_xlfn.TEXTJOIN(", ",TRUE,IF(Summary!$B$34:$AB$34="PASS",Summary!$B$1:$AB$1,"")))</f>
        <v/>
      </c>
      <c r="D135" s="55">
        <f>C46</f>
        <v/>
      </c>
      <c r="E135" s="55">
        <f>B46</f>
        <v/>
      </c>
      <c r="F135" s="55" t="n">
        <v>4</v>
      </c>
    </row>
    <row r="136">
      <c r="A136" s="55">
        <f>Summary!A35</f>
        <v/>
      </c>
      <c r="B136" s="55">
        <f>IF(C47&gt;0,"YES","NO")</f>
        <v/>
      </c>
      <c r="C136" s="67">
        <f t="array" ref="C136">IF(C47=0,"-",_xlfn.TEXTJOIN(", ",TRUE,IF(Summary!$B$35:$AB$35="PASS",Summary!$B$1:$AB$1,"")))</f>
        <v/>
      </c>
      <c r="D136" s="55">
        <f>C47</f>
        <v/>
      </c>
      <c r="E136" s="55">
        <f>B47</f>
        <v/>
      </c>
      <c r="F136" s="55" t="n">
        <v>4</v>
      </c>
    </row>
    <row r="137">
      <c r="A137" s="55">
        <f>Summary!A36</f>
        <v/>
      </c>
      <c r="B137" s="55">
        <f>IF(C48&gt;0,"YES","NO")</f>
        <v/>
      </c>
      <c r="C137" s="67">
        <f t="array" ref="C137">IF(C48=0,"-",_xlfn.TEXTJOIN(", ",TRUE,IF(Summary!$B$36:$AB$36="PASS",Summary!$B$1:$AB$1,"")))</f>
        <v/>
      </c>
      <c r="D137" s="55">
        <f>C48</f>
        <v/>
      </c>
      <c r="E137" s="55">
        <f>B48</f>
        <v/>
      </c>
      <c r="F137" s="55" t="n">
        <v>4</v>
      </c>
    </row>
    <row r="138">
      <c r="A138" s="55">
        <f>Summary!A37</f>
        <v/>
      </c>
      <c r="B138" s="55">
        <f>IF(C49&gt;0,"YES","NO")</f>
        <v/>
      </c>
      <c r="C138" s="67">
        <f t="array" ref="C138">IF(C49=0,"-",_xlfn.TEXTJOIN(", ",TRUE,IF(Summary!$B$37:$AB$37="PASS",Summary!$B$1:$AB$1,"")))</f>
        <v/>
      </c>
      <c r="D138" s="55">
        <f>C49</f>
        <v/>
      </c>
      <c r="E138" s="55">
        <f>B49</f>
        <v/>
      </c>
      <c r="F138" s="55" t="n">
        <v>4</v>
      </c>
    </row>
    <row r="139">
      <c r="A139" s="55">
        <f>Summary!A38</f>
        <v/>
      </c>
      <c r="B139" s="55">
        <f>IF(C50&gt;0,"YES","NO")</f>
        <v/>
      </c>
      <c r="C139" s="67">
        <f t="array" ref="C139">IF(C50=0,"-",_xlfn.TEXTJOIN(", ",TRUE,IF(Summary!$B$38:$AB$38="PASS",Summary!$B$1:$AB$1,"")))</f>
        <v/>
      </c>
      <c r="D139" s="55">
        <f>C50</f>
        <v/>
      </c>
      <c r="E139" s="55">
        <f>B50</f>
        <v/>
      </c>
      <c r="F139" s="55" t="n">
        <v>4</v>
      </c>
    </row>
    <row r="140">
      <c r="A140" s="55">
        <f>Summary!A39</f>
        <v/>
      </c>
      <c r="B140" s="55">
        <f>IF(C51&gt;0,"YES","NO")</f>
        <v/>
      </c>
      <c r="C140" s="67">
        <f t="array" ref="C140">IF(C51=0,"-",_xlfn.TEXTJOIN(", ",TRUE,IF(Summary!$B$39:$AB$39="PASS",Summary!$B$1:$AB$1,"")))</f>
        <v/>
      </c>
      <c r="D140" s="55">
        <f>C51</f>
        <v/>
      </c>
      <c r="E140" s="55">
        <f>B51</f>
        <v/>
      </c>
      <c r="F140" s="55" t="n">
        <v>4</v>
      </c>
    </row>
    <row r="141">
      <c r="A141" s="55">
        <f>Summary!A40</f>
        <v/>
      </c>
      <c r="B141" s="55">
        <f>IF(C52&gt;0,"YES","NO")</f>
        <v/>
      </c>
      <c r="C141" s="67">
        <f t="array" ref="C141">IF(C52=0,"-",_xlfn.TEXTJOIN(", ",TRUE,IF(Summary!$B$40:$AB$40="PASS",Summary!$B$1:$AB$1,"")))</f>
        <v/>
      </c>
      <c r="D141" s="55">
        <f>C52</f>
        <v/>
      </c>
      <c r="E141" s="55">
        <f>B52</f>
        <v/>
      </c>
      <c r="F141" s="55" t="n">
        <v>4</v>
      </c>
    </row>
    <row r="142">
      <c r="A142" s="55">
        <f>Summary!A41</f>
        <v/>
      </c>
      <c r="B142" s="55">
        <f>IF(C53&gt;0,"YES","NO")</f>
        <v/>
      </c>
      <c r="C142" s="67">
        <f t="array" ref="C142">IF(C53=0,"-",_xlfn.TEXTJOIN(", ",TRUE,IF(Summary!$B$41:$AB$41="PASS",Summary!$B$1:$AB$1,"")))</f>
        <v/>
      </c>
      <c r="D142" s="55">
        <f>C53</f>
        <v/>
      </c>
      <c r="E142" s="55">
        <f>B53</f>
        <v/>
      </c>
      <c r="F142" s="55" t="n">
        <v>4</v>
      </c>
    </row>
    <row r="143">
      <c r="A143" s="55">
        <f>Summary!A42</f>
        <v/>
      </c>
      <c r="B143" s="55">
        <f>IF(C54&gt;0,"YES","NO")</f>
        <v/>
      </c>
      <c r="C143" s="67">
        <f t="array" ref="C143">IF(C54=0,"-",_xlfn.TEXTJOIN(", ",TRUE,IF(Summary!$B$42:$AB$42="PASS",Summary!$B$1:$AB$1,"")))</f>
        <v/>
      </c>
      <c r="D143" s="55">
        <f>C54</f>
        <v/>
      </c>
      <c r="E143" s="55">
        <f>B54</f>
        <v/>
      </c>
      <c r="F143" s="55" t="n">
        <v>5</v>
      </c>
    </row>
    <row r="144">
      <c r="A144" s="55">
        <f>Summary!A43</f>
        <v/>
      </c>
      <c r="B144" s="55">
        <f>IF(C55&gt;0,"YES","NO")</f>
        <v/>
      </c>
      <c r="C144" s="67">
        <f t="array" ref="C144">IF(C55=0,"-",_xlfn.TEXTJOIN(", ",TRUE,IF(Summary!$B$43:$AB$43="PASS",Summary!$B$1:$AB$1,"")))</f>
        <v/>
      </c>
      <c r="D144" s="55">
        <f>C55</f>
        <v/>
      </c>
      <c r="E144" s="55">
        <f>B55</f>
        <v/>
      </c>
      <c r="F144" s="55" t="n">
        <v>5</v>
      </c>
    </row>
    <row r="145">
      <c r="A145" s="55">
        <f>Summary!A44</f>
        <v/>
      </c>
      <c r="B145" s="55">
        <f>IF(C56&gt;0,"YES","NO")</f>
        <v/>
      </c>
      <c r="C145" s="67">
        <f t="array" ref="C145">IF(C56=0,"-",_xlfn.TEXTJOIN(", ",TRUE,IF(Summary!$B$44:$AB$44="PASS",Summary!$B$1:$AB$1,"")))</f>
        <v/>
      </c>
      <c r="D145" s="55">
        <f>C56</f>
        <v/>
      </c>
      <c r="E145" s="55">
        <f>B56</f>
        <v/>
      </c>
      <c r="F145" s="55" t="n">
        <v>5</v>
      </c>
    </row>
    <row r="146">
      <c r="A146" s="55">
        <f>Summary!A45</f>
        <v/>
      </c>
      <c r="B146" s="55">
        <f>IF(C57&gt;0,"YES","NO")</f>
        <v/>
      </c>
      <c r="C146" s="67">
        <f t="array" ref="C146">IF(C57=0,"-",_xlfn.TEXTJOIN(", ",TRUE,IF(Summary!$B$45:$AB$45="PASS",Summary!$B$1:$AB$1,"")))</f>
        <v/>
      </c>
      <c r="D146" s="55">
        <f>C57</f>
        <v/>
      </c>
      <c r="E146" s="55">
        <f>B57</f>
        <v/>
      </c>
      <c r="F146" s="55" t="n">
        <v>5</v>
      </c>
    </row>
    <row r="147">
      <c r="A147" s="55">
        <f>Summary!A46</f>
        <v/>
      </c>
      <c r="B147" s="55">
        <f>IF(C58&gt;0,"YES","NO")</f>
        <v/>
      </c>
      <c r="C147" s="67">
        <f t="array" ref="C147">IF(C58=0,"-",_xlfn.TEXTJOIN(", ",TRUE,IF(Summary!$B$46:$AB$46="PASS",Summary!$B$1:$AB$1,"")))</f>
        <v/>
      </c>
      <c r="D147" s="55">
        <f>C58</f>
        <v/>
      </c>
      <c r="E147" s="55">
        <f>B58</f>
        <v/>
      </c>
      <c r="F147" s="55" t="n">
        <v>5</v>
      </c>
    </row>
    <row r="148">
      <c r="A148" s="55">
        <f>Summary!A47</f>
        <v/>
      </c>
      <c r="B148" s="55">
        <f>IF(C59&gt;0,"YES","NO")</f>
        <v/>
      </c>
      <c r="C148" s="67">
        <f t="array" ref="C148">IF(C59=0,"-",_xlfn.TEXTJOIN(", ",TRUE,IF(Summary!$B$47:$AB$47="PASS",Summary!$B$1:$AB$1,"")))</f>
        <v/>
      </c>
      <c r="D148" s="55">
        <f>C59</f>
        <v/>
      </c>
      <c r="E148" s="55">
        <f>B59</f>
        <v/>
      </c>
      <c r="F148" s="55" t="n">
        <v>5</v>
      </c>
    </row>
    <row r="149">
      <c r="A149" s="55">
        <f>Summary!A48</f>
        <v/>
      </c>
      <c r="B149" s="55">
        <f>IF(C60&gt;0,"YES","NO")</f>
        <v/>
      </c>
      <c r="C149" s="67">
        <f t="array" ref="C149">IF(C60=0,"-",_xlfn.TEXTJOIN(", ",TRUE,IF(Summary!$B$48:$AB$48="PASS",Summary!$B$1:$AB$1,"")))</f>
        <v/>
      </c>
      <c r="D149" s="55">
        <f>C60</f>
        <v/>
      </c>
      <c r="E149" s="55">
        <f>B60</f>
        <v/>
      </c>
      <c r="F149" s="55" t="n">
        <v>5</v>
      </c>
    </row>
    <row r="150">
      <c r="A150" s="55">
        <f>Summary!A49</f>
        <v/>
      </c>
      <c r="B150" s="55">
        <f>IF(C61&gt;0,"YES","NO")</f>
        <v/>
      </c>
      <c r="C150" s="67">
        <f t="array" ref="C150">IF(C61=0,"-",_xlfn.TEXTJOIN(", ",TRUE,IF(Summary!$B$49:$AB$49="PASS",Summary!$B$1:$AB$1,"")))</f>
        <v/>
      </c>
      <c r="D150" s="55">
        <f>C61</f>
        <v/>
      </c>
      <c r="E150" s="55">
        <f>B61</f>
        <v/>
      </c>
      <c r="F150" s="55" t="n">
        <v>5</v>
      </c>
    </row>
    <row r="151">
      <c r="A151" s="55">
        <f>Summary!A50</f>
        <v/>
      </c>
      <c r="B151" s="55">
        <f>IF(C62&gt;0,"YES","NO")</f>
        <v/>
      </c>
      <c r="C151" s="67">
        <f t="array" ref="C151">IF(C62=0,"-",_xlfn.TEXTJOIN(", ",TRUE,IF(Summary!$B$50:$AB$50="PASS",Summary!$B$1:$AB$1,"")))</f>
        <v/>
      </c>
      <c r="D151" s="55">
        <f>C62</f>
        <v/>
      </c>
      <c r="E151" s="55">
        <f>B62</f>
        <v/>
      </c>
      <c r="F151" s="55" t="n">
        <v>5</v>
      </c>
    </row>
    <row r="152">
      <c r="A152" s="55">
        <f>Summary!A51</f>
        <v/>
      </c>
      <c r="B152" s="55">
        <f>IF(C63&gt;0,"YES","NO")</f>
        <v/>
      </c>
      <c r="C152" s="67">
        <f t="array" ref="C152">IF(C63=0,"-",_xlfn.TEXTJOIN(", ",TRUE,IF(Summary!$B$51:$AB$51="PASS",Summary!$B$1:$AB$1,"")))</f>
        <v/>
      </c>
      <c r="D152" s="55">
        <f>C63</f>
        <v/>
      </c>
      <c r="E152" s="55">
        <f>B63</f>
        <v/>
      </c>
      <c r="F152" s="55" t="n">
        <v>5</v>
      </c>
    </row>
    <row r="153">
      <c r="A153" s="55">
        <f>Summary!A52</f>
        <v/>
      </c>
      <c r="B153" s="55">
        <f>IF(C64&gt;0,"YES","NO")</f>
        <v/>
      </c>
      <c r="C153" s="67">
        <f t="array" ref="C153">IF(C64=0,"-",_xlfn.TEXTJOIN(", ",TRUE,IF(Summary!$B$52:$AB$52="PASS",Summary!$B$1:$AB$1,"")))</f>
        <v/>
      </c>
      <c r="D153" s="55">
        <f>C64</f>
        <v/>
      </c>
      <c r="E153" s="55">
        <f>B64</f>
        <v/>
      </c>
      <c r="F153" s="55" t="n">
        <v>6</v>
      </c>
    </row>
    <row r="154">
      <c r="A154" s="55">
        <f>Summary!A53</f>
        <v/>
      </c>
      <c r="B154" s="55">
        <f>IF(C65&gt;0,"YES","NO")</f>
        <v/>
      </c>
      <c r="C154" s="67">
        <f t="array" ref="C154">IF(C65=0,"-",_xlfn.TEXTJOIN(", ",TRUE,IF(Summary!$B$53:$AB$53="PASS",Summary!$B$1:$AB$1,"")))</f>
        <v/>
      </c>
      <c r="D154" s="55">
        <f>C65</f>
        <v/>
      </c>
      <c r="E154" s="55">
        <f>B65</f>
        <v/>
      </c>
      <c r="F154" s="55" t="n">
        <v>6</v>
      </c>
    </row>
    <row r="155">
      <c r="A155" s="55">
        <f>Summary!A54</f>
        <v/>
      </c>
      <c r="B155" s="55">
        <f>IF(C66&gt;0,"YES","NO")</f>
        <v/>
      </c>
      <c r="C155" s="67">
        <f t="array" ref="C155">IF(C66=0,"-",_xlfn.TEXTJOIN(", ",TRUE,IF(Summary!$B$54:$AB$54="PASS",Summary!$B$1:$AB$1,"")))</f>
        <v/>
      </c>
      <c r="D155" s="55">
        <f>C66</f>
        <v/>
      </c>
      <c r="E155" s="55">
        <f>B66</f>
        <v/>
      </c>
      <c r="F155" s="55" t="n">
        <v>6</v>
      </c>
    </row>
    <row r="156">
      <c r="A156" s="55">
        <f>Summary!A55</f>
        <v/>
      </c>
      <c r="B156" s="55">
        <f>IF(C67&gt;0,"YES","NO")</f>
        <v/>
      </c>
      <c r="C156" s="67">
        <f t="array" ref="C156">IF(C67=0,"-",_xlfn.TEXTJOIN(", ",TRUE,IF(Summary!$B$55:$AB$55="PASS",Summary!$B$1:$AB$1,"")))</f>
        <v/>
      </c>
      <c r="D156" s="55">
        <f>C67</f>
        <v/>
      </c>
      <c r="E156" s="55">
        <f>B67</f>
        <v/>
      </c>
      <c r="F156" s="55" t="n">
        <v>6</v>
      </c>
    </row>
    <row r="157">
      <c r="A157" s="55">
        <f>Summary!A56</f>
        <v/>
      </c>
      <c r="B157" s="55">
        <f>IF(C68&gt;0,"YES","NO")</f>
        <v/>
      </c>
      <c r="C157" s="67">
        <f t="array" ref="C157">IF(C68=0,"-",_xlfn.TEXTJOIN(", ",TRUE,IF(Summary!$B$56:$AB$56="PASS",Summary!$B$1:$AB$1,"")))</f>
        <v/>
      </c>
      <c r="D157" s="55">
        <f>C68</f>
        <v/>
      </c>
      <c r="E157" s="55">
        <f>B68</f>
        <v/>
      </c>
      <c r="F157" s="55" t="n">
        <v>6</v>
      </c>
    </row>
    <row r="158">
      <c r="A158" s="55">
        <f>Summary!A57</f>
        <v/>
      </c>
      <c r="B158" s="55">
        <f>IF(C69&gt;0,"YES","NO")</f>
        <v/>
      </c>
      <c r="C158" s="67">
        <f t="array" ref="C158">IF(C69=0,"-",_xlfn.TEXTJOIN(", ",TRUE,IF(Summary!$B$57:$AB$57="PASS",Summary!$B$1:$AB$1,"")))</f>
        <v/>
      </c>
      <c r="D158" s="55">
        <f>C69</f>
        <v/>
      </c>
      <c r="E158" s="55">
        <f>B69</f>
        <v/>
      </c>
      <c r="F158" s="55" t="n">
        <v>6</v>
      </c>
    </row>
    <row r="159">
      <c r="A159" s="55">
        <f>Summary!A58</f>
        <v/>
      </c>
      <c r="B159" s="55">
        <f>IF(C70&gt;0,"YES","NO")</f>
        <v/>
      </c>
      <c r="C159" s="67">
        <f t="array" ref="C159">IF(C70=0,"-",_xlfn.TEXTJOIN(", ",TRUE,IF(Summary!$B$58:$AB$58="PASS",Summary!$B$1:$AB$1,"")))</f>
        <v/>
      </c>
      <c r="D159" s="55">
        <f>C70</f>
        <v/>
      </c>
      <c r="E159" s="55">
        <f>B70</f>
        <v/>
      </c>
      <c r="F159" s="55" t="n">
        <v>6</v>
      </c>
    </row>
    <row r="160">
      <c r="A160" s="55">
        <f>Summary!A59</f>
        <v/>
      </c>
      <c r="B160" s="55">
        <f>IF(C71&gt;0,"YES","NO")</f>
        <v/>
      </c>
      <c r="C160" s="67">
        <f t="array" ref="C160">IF(C71=0,"-",_xlfn.TEXTJOIN(", ",TRUE,IF(Summary!$B$59:$AB$59="PASS",Summary!$B$1:$AB$1,"")))</f>
        <v/>
      </c>
      <c r="D160" s="55">
        <f>C71</f>
        <v/>
      </c>
      <c r="E160" s="55">
        <f>B71</f>
        <v/>
      </c>
      <c r="F160" s="55" t="n">
        <v>6</v>
      </c>
    </row>
    <row r="161">
      <c r="A161" s="55">
        <f>Summary!A60</f>
        <v/>
      </c>
      <c r="B161" s="55">
        <f>IF(C72&gt;0,"YES","NO")</f>
        <v/>
      </c>
      <c r="C161" s="67">
        <f t="array" ref="C161">IF(C72=0,"-",_xlfn.TEXTJOIN(", ",TRUE,IF(Summary!$B$60:$AB$60="PASS",Summary!$B$1:$AB$1,"")))</f>
        <v/>
      </c>
      <c r="D161" s="55">
        <f>C72</f>
        <v/>
      </c>
      <c r="E161" s="55">
        <f>B72</f>
        <v/>
      </c>
      <c r="F161" s="55" t="n">
        <v>6</v>
      </c>
    </row>
    <row r="162">
      <c r="A162" s="55">
        <f>Summary!A61</f>
        <v/>
      </c>
      <c r="B162" s="55">
        <f>IF(C73&gt;0,"YES","NO")</f>
        <v/>
      </c>
      <c r="C162" s="67">
        <f t="array" ref="C162">IF(C73=0,"-",_xlfn.TEXTJOIN(", ",TRUE,IF(Summary!$B$61:$AB$61="PASS",Summary!$B$1:$AB$1,"")))</f>
        <v/>
      </c>
      <c r="D162" s="55">
        <f>C73</f>
        <v/>
      </c>
      <c r="E162" s="55">
        <f>B73</f>
        <v/>
      </c>
      <c r="F162" s="55" t="n">
        <v>6</v>
      </c>
    </row>
    <row r="163">
      <c r="A163" s="55">
        <f>Summary!A62</f>
        <v/>
      </c>
      <c r="B163" s="55">
        <f>IF(C74&gt;0,"YES","NO")</f>
        <v/>
      </c>
      <c r="C163" s="67">
        <f t="array" ref="C163">IF(C74=0,"-",_xlfn.TEXTJOIN(", ",TRUE,IF(Summary!$B$62:$AB$62="PASS",Summary!$B$1:$AB$1,"")))</f>
        <v/>
      </c>
      <c r="D163" s="55">
        <f>C74</f>
        <v/>
      </c>
      <c r="E163" s="55">
        <f>B74</f>
        <v/>
      </c>
      <c r="F163" s="55" t="n">
        <v>7</v>
      </c>
    </row>
    <row r="164">
      <c r="A164" s="55">
        <f>Summary!A63</f>
        <v/>
      </c>
      <c r="B164" s="55">
        <f>IF(C75&gt;0,"YES","NO")</f>
        <v/>
      </c>
      <c r="C164" s="67">
        <f t="array" ref="C164">IF(C75=0,"-",_xlfn.TEXTJOIN(", ",TRUE,IF(Summary!$B$63:$AB$63="PASS",Summary!$B$1:$AB$1,"")))</f>
        <v/>
      </c>
      <c r="D164" s="55">
        <f>C75</f>
        <v/>
      </c>
      <c r="E164" s="55">
        <f>B75</f>
        <v/>
      </c>
      <c r="F164" s="55" t="n">
        <v>7</v>
      </c>
    </row>
    <row r="165">
      <c r="A165" s="55">
        <f>Summary!A64</f>
        <v/>
      </c>
      <c r="B165" s="55">
        <f>IF(C76&gt;0,"YES","NO")</f>
        <v/>
      </c>
      <c r="C165" s="67">
        <f t="array" ref="C165">IF(C76=0,"-",_xlfn.TEXTJOIN(", ",TRUE,IF(Summary!$B$64:$AB$64="PASS",Summary!$B$1:$AB$1,"")))</f>
        <v/>
      </c>
      <c r="D165" s="55">
        <f>C76</f>
        <v/>
      </c>
      <c r="E165" s="55">
        <f>B76</f>
        <v/>
      </c>
      <c r="F165" s="55" t="n">
        <v>7</v>
      </c>
    </row>
    <row r="166">
      <c r="A166" s="55">
        <f>Summary!A65</f>
        <v/>
      </c>
      <c r="B166" s="55">
        <f>IF(C77&gt;0,"YES","NO")</f>
        <v/>
      </c>
      <c r="C166" s="67">
        <f t="array" ref="C166">IF(C77=0,"-",_xlfn.TEXTJOIN(", ",TRUE,IF(Summary!$B$65:$AB$65="PASS",Summary!$B$1:$AB$1,"")))</f>
        <v/>
      </c>
      <c r="D166" s="55">
        <f>C77</f>
        <v/>
      </c>
      <c r="E166" s="55">
        <f>B77</f>
        <v/>
      </c>
      <c r="F166" s="55" t="n">
        <v>7</v>
      </c>
    </row>
    <row r="167">
      <c r="A167" s="55">
        <f>Summary!A66</f>
        <v/>
      </c>
      <c r="B167" s="55">
        <f>IF(C78&gt;0,"YES","NO")</f>
        <v/>
      </c>
      <c r="C167" s="67">
        <f t="array" ref="C167">IF(C78=0,"-",_xlfn.TEXTJOIN(", ",TRUE,IF(Summary!$B$66:$AB$66="PASS",Summary!$B$1:$AB$1,"")))</f>
        <v/>
      </c>
      <c r="D167" s="55">
        <f>C78</f>
        <v/>
      </c>
      <c r="E167" s="55">
        <f>B78</f>
        <v/>
      </c>
      <c r="F167" s="55" t="n">
        <v>7</v>
      </c>
    </row>
    <row r="168">
      <c r="A168" s="55">
        <f>Summary!A67</f>
        <v/>
      </c>
      <c r="B168" s="55">
        <f>IF(C79&gt;0,"YES","NO")</f>
        <v/>
      </c>
      <c r="C168" s="67">
        <f t="array" ref="C168">IF(C79=0,"-",_xlfn.TEXTJOIN(", ",TRUE,IF(Summary!$B$67:$AB$67="PASS",Summary!$B$1:$AB$1,"")))</f>
        <v/>
      </c>
      <c r="D168" s="55">
        <f>C79</f>
        <v/>
      </c>
      <c r="E168" s="55">
        <f>B79</f>
        <v/>
      </c>
      <c r="F168" s="55" t="n">
        <v>7</v>
      </c>
    </row>
    <row r="169">
      <c r="A169" s="55">
        <f>Summary!A68</f>
        <v/>
      </c>
      <c r="B169" s="55">
        <f>IF(C80&gt;0,"YES","NO")</f>
        <v/>
      </c>
      <c r="C169" s="67">
        <f t="array" ref="C169">IF(C80=0,"-",_xlfn.TEXTJOIN(", ",TRUE,IF(Summary!$B$68:$AB$68="PASS",Summary!$B$1:$AB$1,"")))</f>
        <v/>
      </c>
      <c r="D169" s="55">
        <f>C80</f>
        <v/>
      </c>
      <c r="E169" s="55">
        <f>B80</f>
        <v/>
      </c>
      <c r="F169" s="55" t="n">
        <v>7</v>
      </c>
    </row>
    <row r="170">
      <c r="A170" s="55">
        <f>Summary!A69</f>
        <v/>
      </c>
      <c r="B170" s="55">
        <f>IF(C81&gt;0,"YES","NO")</f>
        <v/>
      </c>
      <c r="C170" s="67">
        <f t="array" ref="C170">IF(C81=0,"-",_xlfn.TEXTJOIN(", ",TRUE,IF(Summary!$B$69:$AB$69="PASS",Summary!$B$1:$AB$1,"")))</f>
        <v/>
      </c>
      <c r="D170" s="55">
        <f>C81</f>
        <v/>
      </c>
      <c r="E170" s="55">
        <f>B81</f>
        <v/>
      </c>
      <c r="F170" s="55" t="n">
        <v>8</v>
      </c>
    </row>
    <row r="171">
      <c r="A171" s="55">
        <f>Summary!A70</f>
        <v/>
      </c>
      <c r="B171" s="55">
        <f>IF(C82&gt;0,"YES","NO")</f>
        <v/>
      </c>
      <c r="C171" s="67">
        <f t="array" ref="C171">IF(C82=0,"-",_xlfn.TEXTJOIN(", ",TRUE,IF(Summary!$B$70:$AB$70="PASS",Summary!$B$1:$AB$1,"")))</f>
        <v/>
      </c>
      <c r="D171" s="55">
        <f>C82</f>
        <v/>
      </c>
      <c r="E171" s="55">
        <f>B82</f>
        <v/>
      </c>
      <c r="F171" s="55" t="n">
        <v>8</v>
      </c>
    </row>
    <row r="172">
      <c r="A172" s="55">
        <f>Summary!A71</f>
        <v/>
      </c>
      <c r="B172" s="55">
        <f>IF(C83&gt;0,"YES","NO")</f>
        <v/>
      </c>
      <c r="C172" s="67">
        <f t="array" ref="C172">IF(C83=0,"-",_xlfn.TEXTJOIN(", ",TRUE,IF(Summary!$B$71:$AB$71="PASS",Summary!$B$1:$AB$1,"")))</f>
        <v/>
      </c>
      <c r="D172" s="55">
        <f>C83</f>
        <v/>
      </c>
      <c r="E172" s="55">
        <f>B83</f>
        <v/>
      </c>
      <c r="F172" s="55" t="n">
        <v>8</v>
      </c>
    </row>
    <row r="173">
      <c r="A173" s="55">
        <f>Summary!A72</f>
        <v/>
      </c>
      <c r="B173" s="55">
        <f>IF(C84&gt;0,"YES","NO")</f>
        <v/>
      </c>
      <c r="C173" s="67">
        <f t="array" ref="C173">IF(C84=0,"-",_xlfn.TEXTJOIN(", ",TRUE,IF(Summary!$B$72:$AB$72="PASS",Summary!$B$1:$AB$1,"")))</f>
        <v/>
      </c>
      <c r="D173" s="55">
        <f>C84</f>
        <v/>
      </c>
      <c r="E173" s="55">
        <f>B84</f>
        <v/>
      </c>
      <c r="F173" s="55" t="n">
        <v>8</v>
      </c>
    </row>
    <row r="174">
      <c r="A174" s="55">
        <f>Summary!A73</f>
        <v/>
      </c>
      <c r="B174" s="55">
        <f>IF(C85&gt;0,"YES","NO")</f>
        <v/>
      </c>
      <c r="C174" s="67">
        <f t="array" ref="C174">IF(C85=0,"-",_xlfn.TEXTJOIN(", ",TRUE,IF(Summary!$B$73:$AB$73="PASS",Summary!$B$1:$AB$1,"")))</f>
        <v/>
      </c>
      <c r="D174" s="55">
        <f>C85</f>
        <v/>
      </c>
      <c r="E174" s="55">
        <f>B85</f>
        <v/>
      </c>
      <c r="F174" s="55" t="n">
        <v>8</v>
      </c>
    </row>
    <row r="175">
      <c r="A175" s="55">
        <f>Summary!A74</f>
        <v/>
      </c>
      <c r="B175" s="55">
        <f>IF(C86&gt;0,"YES","NO")</f>
        <v/>
      </c>
      <c r="C175" s="67">
        <f t="array" ref="C175">IF(C86=0,"-",_xlfn.TEXTJOIN(", ",TRUE,IF(Summary!$B$74:$AB$74="PASS",Summary!$B$1:$AB$1,"")))</f>
        <v/>
      </c>
      <c r="D175" s="55">
        <f>C86</f>
        <v/>
      </c>
      <c r="E175" s="55">
        <f>B86</f>
        <v/>
      </c>
      <c r="F175" s="55" t="n">
        <v>8</v>
      </c>
    </row>
    <row r="176">
      <c r="A176">
        <f>IF(B100=0,"Every case passed on either all or none of its versions, so the at-least-one count equals the strict count.","Some cases passed on only part of their versions; see the table above.")</f>
        <v/>
      </c>
    </row>
    <row r="178">
      <c r="A178" s="60" t="inlineStr">
        <is>
          <t>5. Notes: every case, its versions and what happened</t>
        </is>
      </c>
    </row>
    <row r="179">
      <c r="A179" s="54" t="inlineStr">
        <is>
          <t>Result</t>
        </is>
      </c>
      <c r="B179" s="54" t="inlineStr">
        <is>
          <t>Case</t>
        </is>
      </c>
      <c r="C179" s="54" t="inlineStr">
        <is>
          <t>Versions</t>
        </is>
      </c>
      <c r="D179" s="54" t="inlineStr">
        <is>
          <t># versions</t>
        </is>
      </c>
      <c r="E179" s="54" t="inlineStr">
        <is>
          <t>Error type</t>
        </is>
      </c>
      <c r="F179" s="54" t="inlineStr">
        <is>
          <t>Error message (last traceback line)</t>
        </is>
      </c>
      <c r="G179" s="54" t="inlineStr">
        <is>
          <t>What happened (plain English)</t>
        </is>
      </c>
      <c r="H179" s="54" t="inlineStr">
        <is>
          <t>Batch</t>
        </is>
      </c>
    </row>
    <row r="180">
      <c r="A180" s="68" t="inlineStr">
        <is>
          <t>PASS</t>
        </is>
      </c>
      <c r="B180" s="67" t="inlineStr">
        <is>
          <t>issue_032_se</t>
        </is>
      </c>
      <c r="C180" s="67" t="inlineStr">
        <is>
          <t>0.25.0, 0.25.1, 0.25.2, 0.25.3</t>
        </is>
      </c>
      <c r="D180" s="67" t="n">
        <v>4</v>
      </c>
      <c r="E180" s="67" t="n"/>
      <c r="F180" s="67" t="n"/>
      <c r="G180" s="67" t="inlineStr">
        <is>
          <t>The LLM passed an iSwapGate() object instead of the unrecognised 'iswap' string, the same fix as the reference.</t>
        </is>
      </c>
      <c r="H180" s="67" t="n">
        <v>1</v>
      </c>
    </row>
    <row r="181">
      <c r="A181" s="68" t="inlineStr">
        <is>
          <t>PASS</t>
        </is>
      </c>
      <c r="B181" s="67" t="inlineStr">
        <is>
          <t>issue_034</t>
        </is>
      </c>
      <c r="C181" s="67" t="inlineStr">
        <is>
          <t>1.0.0, 1.0.1, 1.0.2, 1.1.0, 1.1.1, 1.1.2, 1.2.0, 1.2.1, 1.2.2, 1.2.4, 2.0.0, 2.2.0, 2.3.0, 2.4.0, 2.5.0</t>
        </is>
      </c>
      <c r="D181" s="67" t="n">
        <v>15</v>
      </c>
      <c r="E181" s="67" t="n"/>
      <c r="F181" s="67" t="n"/>
      <c r="G181" s="67" t="inlineStr">
        <is>
          <t>The LLM imported Aer from qiskit_aer instead of qiskit, the same fix as the reference.</t>
        </is>
      </c>
      <c r="H181" s="67" t="n">
        <v>1</v>
      </c>
    </row>
    <row r="182">
      <c r="A182" s="68" t="inlineStr">
        <is>
          <t>PASS</t>
        </is>
      </c>
      <c r="B182" s="67" t="inlineStr">
        <is>
          <t>issue_036</t>
        </is>
      </c>
      <c r="C182" s="67" t="inlineStr">
        <is>
          <t>1.0.0, 1.0.1, 1.0.2, 1.1.0, 1.1.1, 1.1.2, 1.2.0, 1.2.1, 1.2.2, 1.2.4, 2.0.0, 2.2.0, 2.3.0, 2.4.0, 2.5.0</t>
        </is>
      </c>
      <c r="D182" s="67" t="n">
        <v>15</v>
      </c>
      <c r="E182" s="67" t="n"/>
      <c r="F182" s="67" t="n"/>
      <c r="G182" s="67" t="inlineStr">
        <is>
          <t>The LLM replaced the removed c.qasm() with qasm2.dumps(c), the same fix as the reference.</t>
        </is>
      </c>
      <c r="H182" s="67" t="n">
        <v>1</v>
      </c>
    </row>
    <row r="183">
      <c r="A183" s="68" t="inlineStr">
        <is>
          <t>PASS</t>
        </is>
      </c>
      <c r="B183" s="67" t="inlineStr">
        <is>
          <t>issue_058_se</t>
        </is>
      </c>
      <c r="C183" s="67" t="inlineStr">
        <is>
          <t>0.25.0, 0.25.1, 0.25.2, 0.25.3, 0.45.0, 0.45.1, 0.45.2, 0.45.3, 0.46.0, 0.46.1, 0.46.2, 0.46.3</t>
        </is>
      </c>
      <c r="D183" s="67" t="n">
        <v>12</v>
      </c>
      <c r="E183" s="67" t="n"/>
      <c r="F183" s="67" t="n"/>
      <c r="G183" s="67" t="inlineStr">
        <is>
          <t>The LLM decomposed the custom diffuser gate before running it (the reference transpiles instead), and the simulator produced the correct state.</t>
        </is>
      </c>
      <c r="H183" s="67" t="n">
        <v>1</v>
      </c>
    </row>
    <row r="184">
      <c r="A184" s="68" t="inlineStr">
        <is>
          <t>PASS</t>
        </is>
      </c>
      <c r="B184" s="67" t="inlineStr">
        <is>
          <t>issue_061</t>
        </is>
      </c>
      <c r="C184" s="67" t="inlineStr">
        <is>
          <t>1.0.0, 1.0.1, 1.0.2, 1.1.0, 1.1.1, 1.1.2, 1.2.0, 1.2.1, 1.2.2, 1.2.4, 2.0.0, 2.2.0, 2.3.0, 2.4.0, 2.5.0</t>
        </is>
      </c>
      <c r="D184" s="67" t="n">
        <v>15</v>
      </c>
      <c r="E184" s="67" t="n"/>
      <c r="F184" s="67" t="n"/>
      <c r="G184" s="67" t="inlineStr">
        <is>
          <t>The LLM read the register and register-local index via qc.find_bit(qbit).registers[0], removing the deprecated back-references. The team's updated test_new.py accepts this output (the old test.py only accepted the reference's exact print format).</t>
        </is>
      </c>
      <c r="H184" s="67" t="n">
        <v>1</v>
      </c>
    </row>
    <row r="185">
      <c r="A185" s="68" t="inlineStr">
        <is>
          <t>PASS</t>
        </is>
      </c>
      <c r="B185" s="67" t="inlineStr">
        <is>
          <t>issue_072</t>
        </is>
      </c>
      <c r="C185" s="67" t="inlineStr">
        <is>
          <t>0.25.0, 0.25.1, 0.25.2, 0.25.3</t>
        </is>
      </c>
      <c r="D185" s="67" t="n">
        <v>4</v>
      </c>
      <c r="E185" s="67" t="n"/>
      <c r="F185" s="67" t="n"/>
      <c r="G185" s="67" t="inlineStr">
        <is>
          <t>The LLM remapped the duplicated qreg[5] to the unused physical qubit 15 (the reference used 16), so every virtual qubit gets its own physical qubit.</t>
        </is>
      </c>
      <c r="H185" s="67" t="n">
        <v>1</v>
      </c>
    </row>
    <row r="186">
      <c r="A186" s="69" t="inlineStr">
        <is>
          <t>FAIL</t>
        </is>
      </c>
      <c r="B186" s="67" t="inlineStr">
        <is>
          <t>issue_018_se</t>
        </is>
      </c>
      <c r="C186" s="67" t="inlineStr">
        <is>
          <t>1.0.0, 1.0.1, 1.0.2, 1.1.0, 1.1.1, 1.1.2, 1.2.0, 1.2.1, 1.2.2, 1.2.4, 2.0.0, 2.2.0, 2.3.0, 2.4.0, 2.5.0</t>
        </is>
      </c>
      <c r="D186" s="67" t="n">
        <v>15</v>
      </c>
      <c r="E186" s="67" t="inlineStr">
        <is>
          <t>AssertionError</t>
        </is>
      </c>
      <c r="F186" s="67" t="inlineStr">
        <is>
          <t xml:space="preserve">AssertionError: Not equal to tolerance rtol=0, atol=1e-12 The ideal magic-square strategy must win every input pair. Mismatched elements: 6 / 9 (66.7%) Max absolute difference: 0.5 Max relative difference: inf x: array([0. , 0.5, 0.5, 0.5, 0. , 0.5, </t>
        </is>
      </c>
      <c r="G186" s="67" t="inlineStr">
        <is>
          <t>The LLM swapped which inputs choose Alice's and Bob's answers, so the strategy still loses 6 of the 9 input pairs half the time instead of always winning (the Aer simulator also crashes natively here, as it does for fixed.py).</t>
        </is>
      </c>
      <c r="H186" s="67" t="n">
        <v>1</v>
      </c>
    </row>
    <row r="187">
      <c r="A187" s="69" t="inlineStr">
        <is>
          <t>FAIL</t>
        </is>
      </c>
      <c r="B187" s="67" t="inlineStr">
        <is>
          <t>issue_096</t>
        </is>
      </c>
      <c r="C187" s="67" t="inlineStr">
        <is>
          <t>0.25.0, 0.25.1, 0.25.2, 0.25.3, 0.45.0, 0.45.1, 0.45.2, 0.45.3, 0.46.0, 0.46.1, 0.46.2, 0.46.3, 1.0.0, 1.0.1, 1.0.2, 1.1.0, 1.1.1, 1.1.2, 1.2.0, 1.2.1, 1.2.2, 1.2.4, 2.0.0, 2.2.0, 2.3.0, 2.4.0, 2.5.0</t>
        </is>
      </c>
      <c r="D187" s="67" t="n">
        <v>27</v>
      </c>
      <c r="E187" s="67" t="inlineStr">
        <is>
          <t>AssertionError</t>
        </is>
      </c>
      <c r="F187" s="67" t="inlineStr">
        <is>
          <t>AssertionError: '' != '[default]\n' + [default] | AssertionError: False is not true : Missing ipython_kernel_config.py (even when the profile directory already exists)</t>
        </is>
      </c>
      <c r="G187" s="67" t="inlineStr">
        <is>
          <t>The LLM creates an empty Qiskit settings file instead of one containing '[default]', and never creates the ipython_kernel_config.py file the user needed.</t>
        </is>
      </c>
      <c r="H187" s="67" t="n">
        <v>1</v>
      </c>
    </row>
    <row r="188">
      <c r="A188" s="69" t="inlineStr">
        <is>
          <t>FAIL</t>
        </is>
      </c>
      <c r="B188" s="67" t="inlineStr">
        <is>
          <t>issue_009</t>
        </is>
      </c>
      <c r="C188" s="67" t="inlineStr">
        <is>
          <t>0.45.2, 0.45.3</t>
        </is>
      </c>
      <c r="D188" s="67" t="n">
        <v>2</v>
      </c>
      <c r="E188" s="67" t="inlineStr">
        <is>
          <t>AssertionError</t>
        </is>
      </c>
      <c r="F188" s="67" t="inlineStr">
        <is>
          <t>AssertionError: 3 != 5</t>
        </is>
      </c>
      <c r="G188"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88" s="67" t="n">
        <v>1</v>
      </c>
    </row>
    <row r="189">
      <c r="A189" s="70" t="inlineStr">
        <is>
          <t>ERROR</t>
        </is>
      </c>
      <c r="B189" s="67" t="inlineStr">
        <is>
          <t>issue_009</t>
        </is>
      </c>
      <c r="C189" s="67" t="inlineStr">
        <is>
          <t>0.45.0, 0.45.1, 0.46.0, 0.46.1, 0.46.2, 0.46.3</t>
        </is>
      </c>
      <c r="D189" s="67" t="n">
        <v>6</v>
      </c>
      <c r="E189" s="67" t="inlineStr">
        <is>
          <t>TranspilerError</t>
        </is>
      </c>
      <c r="F189" s="67" t="inlineStr">
        <is>
          <t>qiskit.transpiler.exceptions.TranspilerError: "The 'layout' must be full (with ancilla)."</t>
        </is>
      </c>
      <c r="G189" s="67" t="inlineStr">
        <is>
          <t>The LLM ran CSPLayout and ApplyLayout by hand in a PassManager but never added the passes that extend the 3-qubit layout to the backend's 5 qubits (FullAncillaAllocation / EnlargeWithAncilla), so ApplyLayout rejects the partial layout.</t>
        </is>
      </c>
      <c r="H189" s="67" t="n">
        <v>1</v>
      </c>
    </row>
    <row r="190">
      <c r="A190" s="70" t="inlineStr">
        <is>
          <t>ERROR</t>
        </is>
      </c>
      <c r="B190" s="67" t="inlineStr">
        <is>
          <t>issue_021_se</t>
        </is>
      </c>
      <c r="C190" s="67" t="inlineStr">
        <is>
          <t>0.25.0, 0.25.1, 0.25.2, 0.25.3</t>
        </is>
      </c>
      <c r="D190" s="67" t="n">
        <v>4</v>
      </c>
      <c r="E190" s="67" t="inlineStr">
        <is>
          <t>QiskitError</t>
        </is>
      </c>
      <c r="F190" s="67" t="inlineStr">
        <is>
          <t>qiskit.exceptions.QiskitError: 'ERROR: [Experiment 0] Circuit contains invalid instructions {"gates": {disentangler_dg}} for "statevector" method , ERROR: Circuit contains invalid instructions {"gates": {disentangler_dg}} for "statevector" method'</t>
        </is>
      </c>
      <c r="G190" s="67" t="inlineStr">
        <is>
          <t>Calling circuit.decompose() only unrolls one level, leaving a 'disentangler_dg' instruction that the Aer statevector simulator cannot run, so the simulation fails.</t>
        </is>
      </c>
      <c r="H190" s="67" t="n">
        <v>1</v>
      </c>
    </row>
    <row r="191">
      <c r="A191" s="70" t="inlineStr">
        <is>
          <t>ERROR</t>
        </is>
      </c>
      <c r="B191" s="67" t="inlineStr">
        <is>
          <t>issue_021_se</t>
        </is>
      </c>
      <c r="C191" s="67" t="inlineStr">
        <is>
          <t>0.45.0, 0.45.1, 0.45.2, 0.45.3, 0.46.0, 0.46.1, 0.46.2, 0.46.3</t>
        </is>
      </c>
      <c r="D191" s="67" t="n">
        <v>8</v>
      </c>
      <c r="E191" s="67" t="inlineStr">
        <is>
          <t>QiskitError</t>
        </is>
      </c>
      <c r="F191" s="67" t="inlineStr">
        <is>
          <t>qiskit.exceptions.QiskitError: 'You have to select a circuit or schedule when there is more than one available'</t>
        </is>
      </c>
      <c r="G191" s="67" t="inlineStr">
        <is>
          <t>Calling circuit.decompose() only unrolls one level, leaving a 'state_preparation' instruction that Aer cannot load, so the simulation fails and no statevector is returned.</t>
        </is>
      </c>
      <c r="H191" s="67" t="n">
        <v>1</v>
      </c>
    </row>
    <row r="192">
      <c r="A192" s="68" t="inlineStr">
        <is>
          <t>PASS</t>
        </is>
      </c>
      <c r="B192" s="67" t="inlineStr">
        <is>
          <t>issue_155</t>
        </is>
      </c>
      <c r="C192" s="67" t="inlineStr">
        <is>
          <t>0.25.0, 0.25.1, 0.25.2, 0.25.3, 0.45.0, 0.45.1, 0.45.2, 0.45.3, 0.46.0, 0.46.1, 0.46.2, 0.46.3</t>
        </is>
      </c>
      <c r="D192" s="67" t="n">
        <v>12</v>
      </c>
      <c r="E192" s="67" t="n"/>
      <c r="F192" s="67" t="n"/>
      <c r="G192" s="67" t="inlineStr">
        <is>
          <t>The LLM turned the two traced-out registers into their qubit indices with qc.qubits.index(...), the same fix as the reference.</t>
        </is>
      </c>
      <c r="H192" s="67" t="n">
        <v>2</v>
      </c>
    </row>
    <row r="193">
      <c r="A193" s="68" t="inlineStr">
        <is>
          <t>PASS</t>
        </is>
      </c>
      <c r="B193" s="67" t="inlineStr">
        <is>
          <t>issue_157</t>
        </is>
      </c>
      <c r="C193" s="67" t="inlineStr">
        <is>
          <t>0.45.0, 0.45.1, 0.45.2, 0.45.3, 0.46.0, 0.46.1, 0.46.2, 0.46.3</t>
        </is>
      </c>
      <c r="D193" s="67" t="n">
        <v>8</v>
      </c>
      <c r="E193" s="67" t="n"/>
      <c r="F193" s="67" t="n"/>
      <c r="G193" s="67" t="inlineStr">
        <is>
          <t>The LLM replaced the non-unitary initialize() with prepare_state(), which builds a unitary state-preparation gate that can be controlled (the reference builds an isometry and wraps it in a UnitaryGate instead).</t>
        </is>
      </c>
      <c r="H193" s="67" t="n">
        <v>2</v>
      </c>
    </row>
    <row r="194">
      <c r="A194" s="68" t="inlineStr">
        <is>
          <t>PASS</t>
        </is>
      </c>
      <c r="B194" s="67" t="inlineStr">
        <is>
          <t>issue_225</t>
        </is>
      </c>
      <c r="C194" s="67" t="inlineStr">
        <is>
          <t>0.45.0, 0.45.1, 0.45.2, 0.45.3, 0.46.0, 0.46.1, 0.46.2, 0.46.3</t>
        </is>
      </c>
      <c r="D194" s="67" t="n">
        <v>8</v>
      </c>
      <c r="E194" s="67" t="n"/>
      <c r="F194" s="67" t="n"/>
      <c r="G194" s="67" t="inlineStr">
        <is>
          <t>The LLM took the Statevector's NumPy array via .data before calling reshape(), equivalent to the reference's np.asarray(...).</t>
        </is>
      </c>
      <c r="H194" s="67" t="n">
        <v>2</v>
      </c>
    </row>
    <row r="195">
      <c r="A195" s="68" t="inlineStr">
        <is>
          <t>PASS</t>
        </is>
      </c>
      <c r="B195" s="67" t="inlineStr">
        <is>
          <t>issue_261</t>
        </is>
      </c>
      <c r="C195" s="67" t="inlineStr">
        <is>
          <t>0.25.0, 0.25.1, 0.25.2, 0.25.3, 0.45.0, 0.45.1, 0.45.2, 0.45.3, 0.46.0, 0.46.1, 0.46.2, 0.46.3</t>
        </is>
      </c>
      <c r="D195" s="67" t="n">
        <v>12</v>
      </c>
      <c r="E195" s="67" t="n"/>
      <c r="F195" s="67" t="n"/>
      <c r="G195" s="67" t="inlineStr">
        <is>
          <t>The LLM replaced PauliOp(hamiltonian_string) with eval(hamiltonian_string), the same fix as the reference.</t>
        </is>
      </c>
      <c r="H195" s="67" t="n">
        <v>2</v>
      </c>
    </row>
    <row r="196">
      <c r="A196" s="68" t="inlineStr">
        <is>
          <t>PASS</t>
        </is>
      </c>
      <c r="B196" s="67" t="inlineStr">
        <is>
          <t>issue_280</t>
        </is>
      </c>
      <c r="C196" s="67" t="inlineStr">
        <is>
          <t>0.25.0, 0.25.1, 0.25.2, 0.25.3, 0.45.0, 0.45.1, 0.45.2, 0.45.3, 0.46.0, 0.46.1, 0.46.2, 0.46.3</t>
        </is>
      </c>
      <c r="D196" s="67" t="n">
        <v>12</v>
      </c>
      <c r="E196" s="67" t="n"/>
      <c r="F196" s="67" t="n"/>
      <c r="G196" s="67" t="inlineStr">
        <is>
          <t>The LLM made the depolarizing error act on 2 qubits so it matches the two-qubit 'cx' instruction, the same fix as the reference.</t>
        </is>
      </c>
      <c r="H196" s="67" t="n">
        <v>2</v>
      </c>
    </row>
    <row r="197">
      <c r="A197" s="68" t="inlineStr">
        <is>
          <t>PASS</t>
        </is>
      </c>
      <c r="B197" s="67" t="inlineStr">
        <is>
          <t>issue_295</t>
        </is>
      </c>
      <c r="C197" s="67" t="inlineStr">
        <is>
          <t>0.45.0, 0.45.1, 0.45.2, 0.45.3, 0.46.0, 0.46.1, 0.46.2, 0.46.3</t>
        </is>
      </c>
      <c r="D197" s="67" t="n">
        <v>8</v>
      </c>
      <c r="E197" s="67" t="n"/>
      <c r="F197" s="67" t="n"/>
      <c r="G197" s="67" t="inlineStr">
        <is>
          <t>The LLM replaced the unsupported circuit += oracle with circuit.compose(oracle, inplace=True); the reference reassigns circuit = circuit.compose(oracle), which does the same thing.</t>
        </is>
      </c>
      <c r="H197" s="67" t="n">
        <v>2</v>
      </c>
    </row>
    <row r="198">
      <c r="A198" s="69" t="inlineStr">
        <is>
          <t>FAIL</t>
        </is>
      </c>
      <c r="B198" s="67" t="inlineStr">
        <is>
          <t>issue_189</t>
        </is>
      </c>
      <c r="C198" s="67" t="inlineStr">
        <is>
          <t>0.45.0, 0.45.1, 0.45.2, 0.45.3, 0.46.0, 0.46.1, 0.46.2, 0.46.3, 1.0.0, 1.0.1, 1.0.2, 1.1.0, 1.1.1, 1.1.2, 1.2.0, 1.2.1, 1.2.2, 1.2.4, 2.0.0, 2.2.0, 2.3.0, 2.4.0, 2.5.0</t>
        </is>
      </c>
      <c r="D198" s="67" t="n">
        <v>23</v>
      </c>
      <c r="E198" s="67" t="inlineStr">
        <is>
          <t>AssertionError</t>
        </is>
      </c>
      <c r="F198" s="67" t="inlineStr">
        <is>
          <t>AssertionError: Lists differ: [2, 3, 4, 5, 6, 7, 8] != [0, 3, 4, 5, 6, 7, 8]</t>
        </is>
      </c>
      <c r="G198" s="67"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H198" s="67" t="n">
        <v>2</v>
      </c>
    </row>
    <row r="199">
      <c r="A199" s="70" t="inlineStr">
        <is>
          <t>ERROR</t>
        </is>
      </c>
      <c r="B199" s="67" t="inlineStr">
        <is>
          <t>issue_157</t>
        </is>
      </c>
      <c r="C199" s="67" t="inlineStr">
        <is>
          <t>0.25.0, 0.25.1, 0.25.2, 0.25.3</t>
        </is>
      </c>
      <c r="D199" s="67" t="n">
        <v>4</v>
      </c>
      <c r="E199" s="67" t="inlineStr">
        <is>
          <t>AttributeError</t>
        </is>
      </c>
      <c r="F199" s="67" t="inlineStr">
        <is>
          <t>AttributeError: 'QuantumCircuit' object has no attribute 'prepare_state'</t>
        </is>
      </c>
      <c r="G199" s="67" t="inlineStr">
        <is>
          <t>The LLM replaced initialize() with QuantumCircuit.prepare_state(), which does not exist yet in Qiskit 0.25 (Terra 0.17), so the script crashes with AttributeError before the gate is built.</t>
        </is>
      </c>
      <c r="H199" s="67" t="n">
        <v>2</v>
      </c>
    </row>
    <row r="200">
      <c r="A200" s="70" t="inlineStr">
        <is>
          <t>ERROR</t>
        </is>
      </c>
      <c r="B200" s="67" t="inlineStr">
        <is>
          <t>issue_174</t>
        </is>
      </c>
      <c r="C200" s="67" t="inlineStr">
        <is>
          <t>0.25.0, 0.25.1, 0.25.2, 0.25.3</t>
        </is>
      </c>
      <c r="D200" s="67" t="n">
        <v>4</v>
      </c>
      <c r="E200" s="67" t="inlineStr">
        <is>
          <t>QasmError</t>
        </is>
      </c>
      <c r="F200" s="67" t="inlineStr">
        <is>
          <t>qiskit.qasm.exceptions.QasmError: 'Unable to match any token rule, got --&gt;#&lt;-- Check your OPENQASM source and any include statements.'</t>
        </is>
      </c>
      <c r="G200" s="67" t="inlineStr">
        <is>
          <t>The LLM's QASM change (if (c==1) instead of if (c[0]==1)) is the same as the reference, but it put its '# FIX:' comment inside the OpenQASM string, where '#' is not valid syntax, so the QASM parser rejects the program. With that one line removed the fix passes.</t>
        </is>
      </c>
      <c r="H200" s="67" t="n">
        <v>2</v>
      </c>
    </row>
    <row r="201">
      <c r="A201" s="70" t="inlineStr">
        <is>
          <t>ERROR</t>
        </is>
      </c>
      <c r="B201" s="67" t="inlineStr">
        <is>
          <t>issue_174</t>
        </is>
      </c>
      <c r="C201" s="67" t="inlineStr">
        <is>
          <t>0.45.0, 0.45.1, 0.45.2, 0.45.3, 0.46.0, 0.46.1, 0.46.2, 0.46.3</t>
        </is>
      </c>
      <c r="D201" s="67" t="n">
        <v>8</v>
      </c>
      <c r="E201" s="67" t="inlineStr">
        <is>
          <t>QASM2ParseError</t>
        </is>
      </c>
      <c r="F201" s="67" t="inlineStr">
        <is>
          <t>qiskit.qasm2.exceptions.QASM2ParseError: "&lt;input&gt;:10,0: encountered '#', which doesn't match any valid tokens"</t>
        </is>
      </c>
      <c r="G201" s="67" t="inlineStr">
        <is>
          <t>The LLM's QASM change (if (c==1) instead of if (c[0]==1)) is the same as the reference, but it put its '# FIX:' comment inside the OpenQASM string, where '#' is not valid syntax, so the QASM parser rejects the program. With that one line removed the fix passes.</t>
        </is>
      </c>
      <c r="H201" s="67" t="n">
        <v>2</v>
      </c>
    </row>
    <row r="202">
      <c r="A202" s="70" t="inlineStr">
        <is>
          <t>ERROR</t>
        </is>
      </c>
      <c r="B202" s="67" t="inlineStr">
        <is>
          <t>issue_233</t>
        </is>
      </c>
      <c r="C202" s="67" t="inlineStr">
        <is>
          <t>0.25.0, 0.25.1, 0.25.2, 0.25.3, 0.45.0, 0.45.1, 0.45.2, 0.45.3, 0.46.0, 0.46.1, 0.46.2, 0.46.3, 1.0.0, 1.0.1, 1.0.2, 1.1.0, 1.1.1, 1.1.2, 1.2.0, 1.2.1, 1.2.2, 1.2.4, 2.0.0, 2.2.0, 2.3.0, 2.4.0, 2.5.0</t>
        </is>
      </c>
      <c r="D202" s="67" t="n">
        <v>27</v>
      </c>
      <c r="E202" s="67" t="inlineStr">
        <is>
          <t>TypeError</t>
        </is>
      </c>
      <c r="F202" s="67" t="inlineStr">
        <is>
          <t>TypeError: 'int' object is not callable</t>
        </is>
      </c>
      <c r="G202" s="67" t="inlineStr">
        <is>
          <t>The LLM replaced only the second rot.num_parameters_settable() call (with len(rot.parameters)) and left the first one; num_parameters_settable is a property that returns an int, so calling it raises TypeError before anything is printed.</t>
        </is>
      </c>
      <c r="H202" s="67" t="n">
        <v>2</v>
      </c>
    </row>
    <row r="203">
      <c r="A203" s="70" t="inlineStr">
        <is>
          <t>ERROR</t>
        </is>
      </c>
      <c r="B203" s="67" t="inlineStr">
        <is>
          <t>issue_315</t>
        </is>
      </c>
      <c r="C203" s="67" t="inlineStr">
        <is>
          <t>0.45.0, 0.45.1, 0.45.2, 0.45.3</t>
        </is>
      </c>
      <c r="D203" s="67" t="n">
        <v>4</v>
      </c>
      <c r="E203" s="67" t="inlineStr">
        <is>
          <t>ModuleNotFoundError</t>
        </is>
      </c>
      <c r="F203" s="67" t="inlineStr">
        <is>
          <t>ModuleNotFoundError: No module named 'qiskit.providers.basic_provider'</t>
        </is>
      </c>
      <c r="G203" s="67" t="inlineStr">
        <is>
          <t>The LLM kept the BasicProvider import, and qiskit.providers.basic_provider does not exist before Qiskit 0.46, so the script crashes on import (it also deleted the parallel options the user wanted instead of switching to AerSimulator).</t>
        </is>
      </c>
      <c r="H203" s="67" t="n">
        <v>2</v>
      </c>
    </row>
    <row r="204">
      <c r="A204" s="70" t="inlineStr">
        <is>
          <t>ERROR</t>
        </is>
      </c>
      <c r="B204" s="67" t="inlineStr">
        <is>
          <t>issue_315</t>
        </is>
      </c>
      <c r="C204" s="67" t="inlineStr">
        <is>
          <t>0.46.0, 0.46.1, 0.46.2, 0.46.3, 1.0.0, 1.0.1, 1.0.2, 1.1.0, 1.1.1, 1.1.2, 1.2.0, 1.2.1, 1.2.2, 1.2.4, 2.0.0, 2.2.0, 2.3.0, 2.4.0, 2.5.0</t>
        </is>
      </c>
      <c r="D204" s="67" t="n">
        <v>19</v>
      </c>
      <c r="E204" s="67" t="inlineStr">
        <is>
          <t>AttributeError</t>
        </is>
      </c>
      <c r="F204" s="67" t="inlineStr">
        <is>
          <t>AttributeError: Option max_parallel_threads is not defined</t>
        </is>
      </c>
      <c r="G204"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204" s="67" t="n">
        <v>2</v>
      </c>
    </row>
    <row r="205">
      <c r="A205" s="68" t="inlineStr">
        <is>
          <t>PASS</t>
        </is>
      </c>
      <c r="B205" s="67" t="inlineStr">
        <is>
          <t>issue_362</t>
        </is>
      </c>
      <c r="C205" s="67" t="inlineStr">
        <is>
          <t>0.45.0, 0.45.1, 0.45.2, 0.45.3, 0.46.0, 0.46.1, 0.46.2, 0.46.3, 1.0.0, 1.0.1, 1.0.2, 1.1.0, 1.1.1, 1.1.2, 1.2.0, 1.2.1, 1.2.2, 1.2.4, 2.0.0, 2.2.0, 2.3.0, 2.4.0, 2.5.0</t>
        </is>
      </c>
      <c r="D205" s="67" t="n">
        <v>23</v>
      </c>
      <c r="E205" s="67" t="n"/>
      <c r="F205" s="67" t="n"/>
      <c r="G205" s="67" t="inlineStr">
        <is>
          <t>The LLM added circuit.save_unitary() so AerSimulator returns the unitary, the same key fix as the reference.</t>
        </is>
      </c>
      <c r="H205" s="67" t="n">
        <v>3</v>
      </c>
    </row>
    <row r="206">
      <c r="A206" s="68" t="inlineStr">
        <is>
          <t>PASS</t>
        </is>
      </c>
      <c r="B206" s="67" t="inlineStr">
        <is>
          <t>issue_396</t>
        </is>
      </c>
      <c r="C206" s="67" t="inlineStr">
        <is>
          <t>0.25.0, 0.25.1, 0.25.2, 0.25.3, 0.45.0, 0.45.1, 0.45.2, 0.45.3, 0.46.0, 0.46.1, 0.46.2, 0.46.3</t>
        </is>
      </c>
      <c r="D206" s="67" t="n">
        <v>12</v>
      </c>
      <c r="E206" s="67" t="n"/>
      <c r="F206" s="67" t="n"/>
      <c r="G206" s="67" t="inlineStr">
        <is>
          <t>The LLM built the oracle as a QuantumCircuit with one diagonal gate (-1 on |101&gt; and |110&gt;); the reference builds it from X, H and MCX gates. Both give the same oracle.</t>
        </is>
      </c>
      <c r="H206" s="67" t="n">
        <v>3</v>
      </c>
    </row>
    <row r="207">
      <c r="A207" s="68" t="inlineStr">
        <is>
          <t>PASS</t>
        </is>
      </c>
      <c r="B207" s="67" t="inlineStr">
        <is>
          <t>issue_436</t>
        </is>
      </c>
      <c r="C207" s="67" t="inlineStr">
        <is>
          <t>0.25.0, 0.25.1, 0.25.2, 0.25.3</t>
        </is>
      </c>
      <c r="D207" s="67" t="n">
        <v>4</v>
      </c>
      <c r="E207" s="67" t="n"/>
      <c r="F207" s="67" t="n"/>
      <c r="G207" s="67" t="inlineStr">
        <is>
          <t>The LLM replaced the unsupported set_frequency() with the envelope modulated by exp(2*pi*i*df*t), the same approach as the reference.</t>
        </is>
      </c>
      <c r="H207" s="67" t="n">
        <v>3</v>
      </c>
    </row>
    <row r="208">
      <c r="A208" s="68" t="inlineStr">
        <is>
          <t>PASS</t>
        </is>
      </c>
      <c r="B208" s="67" t="inlineStr">
        <is>
          <t>issue_443</t>
        </is>
      </c>
      <c r="C208" s="67" t="inlineStr">
        <is>
          <t>0.25.0, 0.25.1, 0.25.2, 0.25.3, 0.45.0, 0.45.1, 0.45.2, 0.45.3, 0.46.0, 0.46.1, 0.46.2, 0.46.3, 1.0.0, 1.0.1, 1.0.2, 1.1.0, 1.1.1, 1.1.2, 1.2.0, 1.2.1, 1.2.2, 1.2.4, 2.0.0, 2.2.0, 2.3.0, 2.4.0, 2.5.0</t>
        </is>
      </c>
      <c r="D208" s="67" t="n">
        <v>27</v>
      </c>
      <c r="E208" s="67" t="n"/>
      <c r="F208" s="67" t="n"/>
      <c r="G208" s="67" t="inlineStr">
        <is>
          <t>The LLM flattened the registers into a list of qubits (list(train_register) + list(control)), equivalent to the reference's train_register[:] + control[:].</t>
        </is>
      </c>
      <c r="H208" s="67" t="n">
        <v>3</v>
      </c>
    </row>
    <row r="209">
      <c r="A209" s="68" t="inlineStr">
        <is>
          <t>PASS</t>
        </is>
      </c>
      <c r="B209" s="67" t="inlineStr">
        <is>
          <t>issue_497</t>
        </is>
      </c>
      <c r="C209" s="67" t="inlineStr">
        <is>
          <t>0.25.0, 0.25.1, 0.25.2, 0.25.3</t>
        </is>
      </c>
      <c r="D209" s="67" t="n">
        <v>4</v>
      </c>
      <c r="E209" s="67" t="n"/>
      <c r="F209" s="67" t="n"/>
      <c r="G209" s="67" t="inlineStr">
        <is>
          <t>The LLM combined both expectation values in a ListOp evaluated by one CircuitSampler call (one backend submission) and removed the undefined IBMQJobManager(), like the reference; it also widened psi from 1 to 2 qubits to match the operators.</t>
        </is>
      </c>
      <c r="H209" s="67" t="n">
        <v>3</v>
      </c>
    </row>
    <row r="210">
      <c r="A210" s="69" t="inlineStr">
        <is>
          <t>FAIL</t>
        </is>
      </c>
      <c r="B210" s="67" t="inlineStr">
        <is>
          <t>issue_415</t>
        </is>
      </c>
      <c r="C210" s="67" t="inlineStr">
        <is>
          <t>0.25.0, 0.25.1, 0.25.2, 0.25.3</t>
        </is>
      </c>
      <c r="D210" s="67" t="n">
        <v>4</v>
      </c>
      <c r="E210" s="67" t="inlineStr">
        <is>
          <t>AssertionError</t>
        </is>
      </c>
      <c r="F210" s="67" t="inlineStr">
        <is>
          <t>AssertionError: Not equal to tolerance rtol=1e-07, atol=1e-12</t>
        </is>
      </c>
      <c r="G210"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210" s="67" t="n">
        <v>3</v>
      </c>
    </row>
    <row r="211">
      <c r="A211" s="69" t="inlineStr">
        <is>
          <t>FAIL</t>
        </is>
      </c>
      <c r="B211" s="67" t="inlineStr">
        <is>
          <t>issue_453</t>
        </is>
      </c>
      <c r="C211" s="67" t="inlineStr">
        <is>
          <t>0.45.0, 0.45.1, 0.45.2, 0.45.3, 0.46.0, 0.46.1, 0.46.2, 0.46.3, 1.0.0, 1.0.1, 1.0.2, 1.1.0, 1.1.1, 1.1.2, 1.2.0, 1.2.1, 1.2.2, 1.2.4, 2.0.0, 2.2.0, 2.3.0, 2.4.0, 2.5.0</t>
        </is>
      </c>
      <c r="D211" s="67" t="n">
        <v>23</v>
      </c>
      <c r="E211" s="67" t="inlineStr">
        <is>
          <t>AssertionError</t>
        </is>
      </c>
      <c r="F211" s="67" t="inlineStr">
        <is>
          <t>AssertionError: 0 != 2</t>
        </is>
      </c>
      <c r="G211"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211" s="67" t="n">
        <v>3</v>
      </c>
    </row>
    <row r="212">
      <c r="A212" s="70" t="inlineStr">
        <is>
          <t>ERROR</t>
        </is>
      </c>
      <c r="B212" s="67" t="inlineStr">
        <is>
          <t>issue_344</t>
        </is>
      </c>
      <c r="C212" s="67" t="inlineStr">
        <is>
          <t>0.25.0, 0.25.1, 0.25.2, 0.25.3, 0.45.0, 0.45.1, 0.45.2, 0.45.3, 0.46.0, 0.46.1, 0.46.2, 0.46.3</t>
        </is>
      </c>
      <c r="D212" s="67" t="n">
        <v>12</v>
      </c>
      <c r="E212" s="67" t="inlineStr">
        <is>
          <t>QiskitError</t>
        </is>
      </c>
      <c r="F212" s="67" t="inlineStr">
        <is>
          <t>qiskit.exceptions.QiskitError: 'Input quantum state is not a valid'</t>
        </is>
      </c>
      <c r="G212" s="67" t="inlineStr">
        <is>
          <t>The LLM passed the Statevector object to entropy() but kept get_statevector(..., decimals=3); the rounded amplitudes are no longer normalized, so Qiskit rejects the state ('Input quantum state is not a valid'). The reference also removes decimals=3.</t>
        </is>
      </c>
      <c r="H212" s="67" t="n">
        <v>3</v>
      </c>
    </row>
    <row r="213">
      <c r="A213" s="70" t="inlineStr">
        <is>
          <t>ERROR</t>
        </is>
      </c>
      <c r="B213" s="67" t="inlineStr">
        <is>
          <t>issue_369</t>
        </is>
      </c>
      <c r="C213" s="67" t="inlineStr">
        <is>
          <t>0.25.0, 0.25.1, 0.25.2, 0.25.3, 0.45.0, 0.45.1, 0.45.2, 0.45.3, 0.46.0, 0.46.1, 0.46.2, 0.46.3, 1.0.0, 1.0.1, 1.0.2, 1.1.0, 1.1.1, 1.1.2, 1.2.0, 1.2.1, 1.2.2, 1.2.4, 2.0.0, 2.2.0, 2.3.0, 2.4.0, 2.5.0</t>
        </is>
      </c>
      <c r="D213" s="67" t="n">
        <v>27</v>
      </c>
      <c r="E213" s="67" t="inlineStr">
        <is>
          <t>CircuitError</t>
        </is>
      </c>
      <c r="F213" s="67" t="inlineStr">
        <is>
          <t>qiskit.circuit.exceptions.CircuitError: 'The amount of qubit(3)/clbit(0) arguments does not match the gate expectation (4).'</t>
        </is>
      </c>
      <c r="G213"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213" s="67" t="n">
        <v>3</v>
      </c>
    </row>
    <row r="214">
      <c r="A214" s="70" t="inlineStr">
        <is>
          <t>ERROR</t>
        </is>
      </c>
      <c r="B214" s="67" t="inlineStr">
        <is>
          <t>issue_396</t>
        </is>
      </c>
      <c r="C214" s="67" t="inlineStr">
        <is>
          <t>1.0.0, 1.0.1, 1.0.2, 1.1.0, 1.1.1, 1.1.2, 1.2.0, 1.2.1, 1.2.2, 1.2.4, 2.0.0, 2.2.0, 2.3.0, 2.4.0, 2.5.0</t>
        </is>
      </c>
      <c r="D214" s="67" t="n">
        <v>15</v>
      </c>
      <c r="E214" s="67" t="inlineStr">
        <is>
          <t>AttributeError</t>
        </is>
      </c>
      <c r="F214" s="67" t="inlineStr">
        <is>
          <t>AttributeError: 'QuantumCircuit' object has no attribute 'diagonal'</t>
        </is>
      </c>
      <c r="G214" s="67" t="inlineStr">
        <is>
          <t>The LLM built the oracle with QuantumCircuit.diagonal(), which was removed in Qiskit 1.0, so the script crashes with AttributeError on 1.x and 2.x.</t>
        </is>
      </c>
      <c r="H214" s="67" t="n">
        <v>3</v>
      </c>
    </row>
    <row r="215">
      <c r="A215" s="70" t="inlineStr">
        <is>
          <t>ERROR</t>
        </is>
      </c>
      <c r="B215" s="67" t="inlineStr">
        <is>
          <t>issue_468</t>
        </is>
      </c>
      <c r="C215" s="67" t="inlineStr">
        <is>
          <t>0.25.0, 0.25.1, 0.25.2, 0.25.3</t>
        </is>
      </c>
      <c r="D215" s="67" t="n">
        <v>4</v>
      </c>
      <c r="E215" s="67" t="inlineStr">
        <is>
          <t>ValueError</t>
        </is>
      </c>
      <c r="F215" s="67" t="inlineStr">
        <is>
          <t>ValueError: Operators can only be scalar multiplied by float or complex, not Operator([[1.+0.j, 0.+0.j], [0.+0.j, 0.+0.j]], input_dims=(2,), output_dims=(2,)) of type &lt;class 'qiskit.aqua.operators.primitive_ops.matrix_op.MatrixOp'&gt;.</t>
        </is>
      </c>
      <c r="G215" s="67" t="inlineStr">
        <is>
          <t>The LLM wrapped the density matrices in MatrixOp, but Aqua's legacy commutator() multiplies its inputs with *, which for MatrixOp means scalar multiplication, so it raises ValueError; the reference rewrites the two operators as WeightedPauliOperators.</t>
        </is>
      </c>
      <c r="H215" s="67" t="n">
        <v>3</v>
      </c>
    </row>
    <row r="216">
      <c r="A216" s="68" t="inlineStr">
        <is>
          <t>PASS</t>
        </is>
      </c>
      <c r="B216" s="67" t="inlineStr">
        <is>
          <t>issue_504</t>
        </is>
      </c>
      <c r="C216" s="67" t="inlineStr">
        <is>
          <t>0.45.0, 0.45.1, 0.45.2, 0.45.3, 0.46.0, 0.46.1, 0.46.2, 0.46.3, 1.0.0, 1.0.1, 1.0.2, 1.1.0, 1.1.1, 1.1.2, 1.2.0, 1.2.1, 1.2.2, 1.2.4, 2.0.0, 2.2.0, 2.3.0, 2.4.0, 2.5.0</t>
        </is>
      </c>
      <c r="D216" s="67" t="n">
        <v>23</v>
      </c>
      <c r="E216" s="67" t="n"/>
      <c r="F216" s="67" t="n"/>
      <c r="G216" s="67" t="inlineStr">
        <is>
          <t>The LLM pointed the Hadamards, the oracle, the diffusion and the measurement at circuit.qubits instead of a new QuantumRegister(n) each time, and ran the transpiled circuit with backend.run(); the reference creates one register and reuses it. Same effect.</t>
        </is>
      </c>
      <c r="H216" s="67" t="n">
        <v>4</v>
      </c>
    </row>
    <row r="217">
      <c r="A217" s="68" t="inlineStr">
        <is>
          <t>PASS</t>
        </is>
      </c>
      <c r="B217" s="67" t="inlineStr">
        <is>
          <t>issue_505</t>
        </is>
      </c>
      <c r="C217" s="67" t="inlineStr">
        <is>
          <t>0.45.0, 0.45.1, 0.45.2, 0.45.3, 0.46.0, 0.46.1, 0.46.2, 0.46.3</t>
        </is>
      </c>
      <c r="D217" s="67" t="n">
        <v>8</v>
      </c>
      <c r="E217" s="67" t="n"/>
      <c r="F217" s="67" t="n"/>
      <c r="G217" s="67" t="inlineStr">
        <is>
          <t>The LLM cast x to a Python float, so PauliSumOp handles the scalar multiplication instead of NumPy, the same cast as the reference (which also swaps the operand order).</t>
        </is>
      </c>
      <c r="H217" s="67" t="n">
        <v>4</v>
      </c>
    </row>
    <row r="218">
      <c r="A218" s="68" t="inlineStr">
        <is>
          <t>PASS</t>
        </is>
      </c>
      <c r="B218" s="67" t="inlineStr">
        <is>
          <t>issue_595</t>
        </is>
      </c>
      <c r="C218" s="67" t="inlineStr">
        <is>
          <t>0.45.0, 0.45.1, 0.45.2, 0.45.3, 0.46.0, 0.46.1, 0.46.2, 0.46.3, 1.0.0, 1.0.1, 1.0.2, 1.1.0, 1.1.1, 1.1.2, 1.2.0, 1.2.1, 1.2.2, 1.2.4, 2.0.0, 2.2.0, 2.3.0, 2.4.0, 2.5.0</t>
        </is>
      </c>
      <c r="D218" s="67" t="n">
        <v>23</v>
      </c>
      <c r="E218" s="67" t="n"/>
      <c r="F218" s="67" t="n"/>
      <c r="G218" s="67" t="inlineStr">
        <is>
          <t>The LLM added circ.save_unitary() so AerSimulator returns the unitary, the same key fix as the reference.</t>
        </is>
      </c>
      <c r="H218" s="67" t="n">
        <v>4</v>
      </c>
    </row>
    <row r="219">
      <c r="A219" s="68" t="inlineStr">
        <is>
          <t>PASS</t>
        </is>
      </c>
      <c r="B219" s="67" t="inlineStr">
        <is>
          <t>issue_596</t>
        </is>
      </c>
      <c r="C219" s="67" t="inlineStr">
        <is>
          <t>0.25.0, 0.25.1, 0.25.2, 0.25.3, 0.45.0, 0.45.1, 0.45.2, 0.45.3, 0.46.0, 0.46.1, 0.46.2, 0.46.3</t>
        </is>
      </c>
      <c r="D219" s="67" t="n">
        <v>12</v>
      </c>
      <c r="E219" s="67" t="n"/>
      <c r="F219" s="67" t="n"/>
      <c r="G219" s="67" t="inlineStr">
        <is>
          <t>The LLM bound each parameter explicitly (p to inp[0], th to theta) and kept the circuit returned by assign_parameters, like the reference.</t>
        </is>
      </c>
      <c r="H219" s="67" t="n">
        <v>4</v>
      </c>
    </row>
    <row r="220">
      <c r="A220" s="68" t="inlineStr">
        <is>
          <t>PASS</t>
        </is>
      </c>
      <c r="B220" s="67" t="inlineStr">
        <is>
          <t>issue_600</t>
        </is>
      </c>
      <c r="C220" s="67" t="inlineStr">
        <is>
          <t>0.45.0, 0.45.1, 0.45.2, 0.45.3, 0.46.0, 0.46.1, 0.46.2, 0.46.3</t>
        </is>
      </c>
      <c r="D220" s="67" t="n">
        <v>8</v>
      </c>
      <c r="E220" s="67" t="n"/>
      <c r="F220" s="67" t="n"/>
      <c r="G220" s="67" t="inlineStr">
        <is>
          <t>The LLM replaced PauliGate(...).power(param) with PauliEvolutionGate(Pauli('XX'), time=pi*param/2), which equals (XX)^param up to a global phase; the reference uses rxx/ryy/rzz(pi*param), the same gates.</t>
        </is>
      </c>
      <c r="H220" s="67" t="n">
        <v>4</v>
      </c>
    </row>
    <row r="221">
      <c r="A221" s="69" t="inlineStr">
        <is>
          <t>FAIL</t>
        </is>
      </c>
      <c r="B221" s="67" t="inlineStr">
        <is>
          <t>issue_622</t>
        </is>
      </c>
      <c r="C221" s="67" t="inlineStr">
        <is>
          <t>0.25.0, 0.25.1, 0.25.2, 0.25.3, 0.45.0, 0.45.1, 0.45.2, 0.45.3, 0.46.0, 0.46.1, 0.46.2, 0.46.3</t>
        </is>
      </c>
      <c r="D221" s="67" t="n">
        <v>12</v>
      </c>
      <c r="E221" s="67" t="inlineStr">
        <is>
          <t>AssertionError</t>
        </is>
      </c>
      <c r="F221" s="67" t="inlineStr">
        <is>
          <t>AssertionError: Items in the first set but not the second: '01' '10'</t>
        </is>
      </c>
      <c r="G221" s="67"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H221" s="67" t="n">
        <v>4</v>
      </c>
    </row>
    <row r="222">
      <c r="A222" s="69" t="inlineStr">
        <is>
          <t>FAIL</t>
        </is>
      </c>
      <c r="B222" s="67" t="inlineStr">
        <is>
          <t>issue_635</t>
        </is>
      </c>
      <c r="C222" s="67" t="inlineStr">
        <is>
          <t>0.25.0, 0.25.1, 0.25.2, 0.25.3</t>
        </is>
      </c>
      <c r="D222" s="67" t="n">
        <v>4</v>
      </c>
      <c r="E222" s="67" t="inlineStr">
        <is>
          <t>AssertionError</t>
        </is>
      </c>
      <c r="F222" s="67" t="inlineStr">
        <is>
          <t>AssertionError: Items in the first set but not the second: 0 Items in the second set but not the first: 1 : Conditional AND failed for basis 001</t>
        </is>
      </c>
      <c r="G222"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222" s="67" t="n">
        <v>4</v>
      </c>
    </row>
    <row r="223">
      <c r="A223" s="70" t="inlineStr">
        <is>
          <t>ERROR</t>
        </is>
      </c>
      <c r="B223" s="67" t="inlineStr">
        <is>
          <t>issue_565</t>
        </is>
      </c>
      <c r="C223" s="67" t="inlineStr">
        <is>
          <t>0.25.0, 0.25.1, 0.25.2, 0.25.3</t>
        </is>
      </c>
      <c r="D223" s="67" t="n">
        <v>4</v>
      </c>
      <c r="E223" s="67" t="inlineStr">
        <is>
          <t>ValueError</t>
        </is>
      </c>
      <c r="F223" s="67" t="inlineStr">
        <is>
          <t>ValueError: Operators can only be scalar multiplied by float or complex, not SummedOp([ IIIXIIIII, IIIYIIIII ]) of type &lt;class 'qiskit.aqua.operators.list_ops.summed_op.SummedOp'&gt;.</t>
        </is>
      </c>
      <c r="G223"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223" s="67" t="n">
        <v>4</v>
      </c>
    </row>
    <row r="224">
      <c r="A224" s="70" t="inlineStr">
        <is>
          <t>ERROR</t>
        </is>
      </c>
      <c r="B224" s="67" t="inlineStr">
        <is>
          <t>issue_600</t>
        </is>
      </c>
      <c r="C224" s="67" t="inlineStr">
        <is>
          <t>0.25.0, 0.25.1, 0.25.2, 0.25.3</t>
        </is>
      </c>
      <c r="D224" s="67" t="n">
        <v>4</v>
      </c>
      <c r="E224" s="67" t="inlineStr">
        <is>
          <t>ImportError</t>
        </is>
      </c>
      <c r="F224" s="67" t="inlineStr">
        <is>
          <t>ImportError: cannot import name 'PauliGate' from 'qiskit.circuit.library'</t>
        </is>
      </c>
      <c r="G224"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224" s="67" t="n">
        <v>4</v>
      </c>
    </row>
    <row r="225">
      <c r="A225" s="70" t="inlineStr">
        <is>
          <t>ERROR</t>
        </is>
      </c>
      <c r="B225" s="67" t="inlineStr">
        <is>
          <t>issue_624</t>
        </is>
      </c>
      <c r="C225" s="67" t="inlineStr">
        <is>
          <t>0.25.0, 0.25.1, 0.25.2, 0.25.3</t>
        </is>
      </c>
      <c r="D225" s="67" t="n">
        <v>4</v>
      </c>
      <c r="E225" s="67" t="inlineStr">
        <is>
          <t>ValueError</t>
        </is>
      </c>
      <c r="F225" s="67" t="inlineStr">
        <is>
          <t>ValueError: Evolutions of mixed Operators not yet supported.</t>
        </is>
      </c>
      <c r="G225" s="67" t="inlineStr">
        <is>
          <t>The LLM wrapped the circuit in CircuitOp, which is an OperatorBase with the right matrix, but QAOA cannot build the evolution of a CircuitOp ('Evolutions of mixed Operators not yet supported'). The reference converts it with MatrixOp(Operator(H)).</t>
        </is>
      </c>
      <c r="H225" s="67" t="n">
        <v>4</v>
      </c>
    </row>
    <row r="226">
      <c r="A226" s="70" t="inlineStr">
        <is>
          <t>ERROR</t>
        </is>
      </c>
      <c r="B226" s="67" t="inlineStr">
        <is>
          <t>issue_624</t>
        </is>
      </c>
      <c r="C226" s="67" t="inlineStr">
        <is>
          <t>0.45.0, 0.45.1, 0.45.2, 0.45.3, 0.46.0, 0.46.1, 0.46.2, 0.46.3</t>
        </is>
      </c>
      <c r="D226" s="67" t="n">
        <v>8</v>
      </c>
      <c r="E226" s="67" t="inlineStr">
        <is>
          <t>TypeError</t>
        </is>
      </c>
      <c r="F226" s="67" t="inlineStr">
        <is>
          <t>TypeError: ParameterExpression with unbound parameters (dict_keys([Parameter(c)])) cannot be cast to a float.</t>
        </is>
      </c>
      <c r="G226"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226" s="67" t="n">
        <v>4</v>
      </c>
    </row>
    <row r="227">
      <c r="A227" s="70" t="inlineStr">
        <is>
          <t>ERROR</t>
        </is>
      </c>
      <c r="B227" s="67" t="inlineStr">
        <is>
          <t>issue_662</t>
        </is>
      </c>
      <c r="C227" s="67" t="inlineStr">
        <is>
          <t>0.45.0, 0.45.1, 0.45.2, 0.45.3, 0.46.0, 0.46.1, 0.46.2, 0.46.3, 1.0.0, 1.0.1, 1.0.2, 1.1.0, 1.1.1, 1.1.2</t>
        </is>
      </c>
      <c r="D227" s="67" t="n">
        <v>14</v>
      </c>
      <c r="E227" s="67" t="inlineStr">
        <is>
          <t>AttributeError</t>
        </is>
      </c>
      <c r="F227" s="67" t="inlineStr">
        <is>
          <t>AttributeError: 'DAGOpNode' object has no attribute 'type'</t>
        </is>
      </c>
      <c r="G227"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7" s="67" t="n">
        <v>4</v>
      </c>
    </row>
    <row r="228">
      <c r="A228" s="70" t="inlineStr">
        <is>
          <t>ERROR</t>
        </is>
      </c>
      <c r="B228" s="67" t="inlineStr">
        <is>
          <t>issue_662</t>
        </is>
      </c>
      <c r="C228" s="67" t="inlineStr">
        <is>
          <t>1.2.0, 1.2.1, 1.2.2, 1.2.4, 2.0.0, 2.2.0, 2.3.0, 2.4.0, 2.5.0</t>
        </is>
      </c>
      <c r="D228" s="67" t="n">
        <v>9</v>
      </c>
      <c r="E228" s="67" t="inlineStr">
        <is>
          <t>AttributeError</t>
        </is>
      </c>
      <c r="F228" s="67" t="inlineStr">
        <is>
          <t>AttributeError: 'qiskit._accelerate.circuit.DAGOpNode' object has no attribute 'type'</t>
        </is>
      </c>
      <c r="G228"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28" s="67" t="n">
        <v>4</v>
      </c>
    </row>
    <row r="229">
      <c r="A229" s="68" t="inlineStr">
        <is>
          <t>PASS</t>
        </is>
      </c>
      <c r="B229" s="67" t="inlineStr">
        <is>
          <t>issue_663</t>
        </is>
      </c>
      <c r="C229" s="67" t="inlineStr">
        <is>
          <t>0.45.0, 0.45.1, 0.45.2, 0.45.3, 0.46.0, 0.46.1, 0.46.2, 0.46.3</t>
        </is>
      </c>
      <c r="D229" s="67" t="n">
        <v>8</v>
      </c>
      <c r="E229" s="67" t="n"/>
      <c r="F229" s="67" t="n"/>
      <c r="G229" s="67" t="inlineStr">
        <is>
          <t>The LLM added input_circuit.measure([0, 1, 2], [0, 1, 2]) before execute, the same measurement as the reference's measure(range(3), range(3)).</t>
        </is>
      </c>
      <c r="H229" s="67" t="n">
        <v>5</v>
      </c>
    </row>
    <row r="230">
      <c r="A230" s="68" t="inlineStr">
        <is>
          <t>PASS</t>
        </is>
      </c>
      <c r="B230" s="67" t="inlineStr">
        <is>
          <t>issue_727</t>
        </is>
      </c>
      <c r="C230" s="67" t="inlineStr">
        <is>
          <t>0.25.0, 0.25.1, 0.25.2, 0.25.3, 0.45.0, 0.45.1, 0.45.2, 0.45.3, 0.46.0, 0.46.1, 0.46.2, 0.46.3</t>
        </is>
      </c>
      <c r="D230" s="67" t="n">
        <v>12</v>
      </c>
      <c r="E230" s="67" t="n"/>
      <c r="F230" s="67" t="n"/>
      <c r="G230" s="67" t="inlineStr">
        <is>
          <t>The LLM rewrote 2/2**k as (-k*numpy.log(2)).exp() using ParameterExpression.exp(); the reference uses numpy.exp(numpy.log(0.5)*k). Same angle for every bound k.</t>
        </is>
      </c>
      <c r="H230" s="67" t="n">
        <v>5</v>
      </c>
    </row>
    <row r="231">
      <c r="A231" s="68" t="inlineStr">
        <is>
          <t>PASS</t>
        </is>
      </c>
      <c r="B231" s="67" t="inlineStr">
        <is>
          <t>issue_742</t>
        </is>
      </c>
      <c r="C231" s="67" t="inlineStr">
        <is>
          <t>1.1.0, 1.1.1, 1.1.2, 1.2.0, 1.2.1, 1.2.2, 1.2.4, 2.0.0, 2.2.0, 2.3.0, 2.4.0, 2.5.0</t>
        </is>
      </c>
      <c r="D231" s="67" t="n">
        <v>12</v>
      </c>
      <c r="E231" s="67" t="n"/>
      <c r="F231" s="67" t="n"/>
      <c r="G231"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231" s="67" t="n">
        <v>5</v>
      </c>
    </row>
    <row r="232">
      <c r="A232" s="68" t="inlineStr">
        <is>
          <t>PASS</t>
        </is>
      </c>
      <c r="B232" s="67" t="inlineStr">
        <is>
          <t>issue_773</t>
        </is>
      </c>
      <c r="C232" s="67" t="inlineStr">
        <is>
          <t>0.45.0, 0.45.1, 0.45.2, 0.45.3, 0.46.0, 0.46.1, 0.46.2, 0.46.3</t>
        </is>
      </c>
      <c r="D232" s="67" t="n">
        <v>8</v>
      </c>
      <c r="E232" s="67" t="n"/>
      <c r="F232" s="67" t="n"/>
      <c r="G232" s="67" t="inlineStr">
        <is>
          <t>The LLM removed the shadowing IBMQ import and kept qiskit.tools.monitor.job_monitor, like the reference (which also passes quiet=True).</t>
        </is>
      </c>
      <c r="H232" s="67" t="n">
        <v>5</v>
      </c>
    </row>
    <row r="233">
      <c r="A233" s="68" t="inlineStr">
        <is>
          <t>PASS</t>
        </is>
      </c>
      <c r="B233" s="67" t="inlineStr">
        <is>
          <t>issue_795</t>
        </is>
      </c>
      <c r="C233" s="67" t="inlineStr">
        <is>
          <t>0.25.0, 0.25.1, 0.25.2, 0.25.3, 0.45.0, 0.45.1, 0.45.2, 0.45.3, 0.46.0, 0.46.1, 0.46.2, 0.46.3</t>
        </is>
      </c>
      <c r="D233" s="67" t="n">
        <v>12</v>
      </c>
      <c r="E233" s="67" t="n"/>
      <c r="F233" s="67" t="n"/>
      <c r="G233" s="67" t="inlineStr">
        <is>
          <t>The LLM appended the operator's matrix with circuit.unitary(...), so to_gate() succeeds, the same fix as the reference.</t>
        </is>
      </c>
      <c r="H233" s="67" t="n">
        <v>5</v>
      </c>
    </row>
    <row r="234">
      <c r="A234" s="69" t="inlineStr">
        <is>
          <t>FAIL</t>
        </is>
      </c>
      <c r="B234" s="67" t="inlineStr">
        <is>
          <t>issue_671</t>
        </is>
      </c>
      <c r="C234" s="67" t="inlineStr">
        <is>
          <t>0.25.0, 0.25.1, 0.25.2, 0.25.3, 0.45.0, 0.45.1, 0.45.2, 0.45.3, 0.46.0, 0.46.1, 0.46.2, 0.46.3, 1.0.0, 1.0.1, 1.0.2, 1.1.0, 1.1.1, 1.1.2, 1.2.0, 1.2.1, 1.2.2, 1.2.4, 2.0.0, 2.2.0, 2.3.0, 2.4.0, 2.5.0</t>
        </is>
      </c>
      <c r="D234" s="67" t="n">
        <v>27</v>
      </c>
      <c r="E234" s="67" t="inlineStr">
        <is>
          <t>AssertionError</t>
        </is>
      </c>
      <c r="F234" s="67" t="inlineStr">
        <is>
          <t>AssertionError: Not equal to tolerance rtol=1e-07, atol=1e-10</t>
        </is>
      </c>
      <c r="G234" s="67" t="inlineStr">
        <is>
          <t>The LLM unpacked the list with QuantumCircuit(a, *v, b), which builds exactly the registers the question asks for, and every register check passes. The test then compares the full 512x512 unitary against the answer's example gates x(v0[0]) and cx(v1[0], a[0]), which are not in the buggy code. Without that unitary check the LLM fix passes (checked on 0.25.0, 0.45.3, 1.0.0, 1.2.4 and 2.5.0) and the buggy code still fails.</t>
        </is>
      </c>
      <c r="H234" s="67" t="n">
        <v>5</v>
      </c>
    </row>
    <row r="235">
      <c r="A235" s="69" t="inlineStr">
        <is>
          <t>FAIL</t>
        </is>
      </c>
      <c r="B235" s="67" t="inlineStr">
        <is>
          <t>issue_747</t>
        </is>
      </c>
      <c r="C235" s="67" t="inlineStr">
        <is>
          <t>0.45.0, 0.45.1, 0.45.2, 0.45.3, 0.46.0, 0.46.1, 0.46.2, 0.46.3</t>
        </is>
      </c>
      <c r="D235" s="67" t="n">
        <v>8</v>
      </c>
      <c r="E235" s="67" t="inlineStr">
        <is>
          <t>AssertionError</t>
        </is>
      </c>
      <c r="F235" s="67" t="inlineStr">
        <is>
          <t>AssertionError: Items in the first set but not the second: '000 000' '111 000' Items in the second set but not the first: '000' '111'</t>
        </is>
      </c>
      <c r="G235" s="67" t="inlineStr">
        <is>
          <t>The LLM added circ.measure_all(), which measures the GHZ state correctly but adds a second 3-bit register instead of using the circuit's existing 3 classical bits, so the counts keys are '000 000' / '111 000' instead of '000' / '111'. The reference measures into the existing bits. A test that ignores the unused register passes the LLM fix (checked on 0.45.0 and 0.46.3).</t>
        </is>
      </c>
      <c r="H235" s="67" t="n">
        <v>5</v>
      </c>
    </row>
    <row r="236">
      <c r="A236" s="70" t="inlineStr">
        <is>
          <t>ERROR</t>
        </is>
      </c>
      <c r="B236" s="67" t="inlineStr">
        <is>
          <t>issue_750</t>
        </is>
      </c>
      <c r="C236" s="67" t="inlineStr">
        <is>
          <t>0.45.0, 0.45.1, 0.45.2, 0.45.3, 0.46.0, 0.46.1, 0.46.2, 0.46.3, 1.0.0, 1.0.1, 1.0.2, 1.1.0, 1.1.1, 1.1.2, 1.2.0, 1.2.1, 1.2.2, 1.2.4, 2.0.0, 2.2.0, 2.3.0, 2.4.0, 2.5.0</t>
        </is>
      </c>
      <c r="D236" s="67" t="n">
        <v>23</v>
      </c>
      <c r="E236" s="67" t="inlineStr">
        <is>
          <t>TypeError</t>
        </is>
      </c>
      <c r="F236" s="67" t="inlineStr">
        <is>
          <t>TypeError: Pauli.__init__() got an unexpected keyword argument 'label'</t>
        </is>
      </c>
      <c r="G236" s="67" t="inlineStr">
        <is>
          <t>The LLM answered NO BUG and kept Pauli(label='XZ'); the math is right, but the label keyword was removed from Pauli in these versions, so the script raises TypeError. The reference builds the operator with Pauli('X')/Pauli('Z') and tensor/expand.</t>
        </is>
      </c>
      <c r="H236" s="67" t="n">
        <v>5</v>
      </c>
    </row>
    <row r="237">
      <c r="A237" s="70" t="inlineStr">
        <is>
          <t>ERROR</t>
        </is>
      </c>
      <c r="B237" s="67" t="inlineStr">
        <is>
          <t>issue_769</t>
        </is>
      </c>
      <c r="C237" s="67" t="inlineStr">
        <is>
          <t>1.0.0, 1.0.1, 1.0.2, 1.1.0, 1.1.1, 1.1.2, 1.2.0, 1.2.1, 1.2.2, 1.2.4, 2.0.0, 2.2.0, 2.3.0, 2.4.0, 2.5.0</t>
        </is>
      </c>
      <c r="D237" s="67" t="n">
        <v>15</v>
      </c>
      <c r="E237" s="67" t="inlineStr">
        <is>
          <t>KeyError</t>
        </is>
      </c>
      <c r="F237" s="67" t="inlineStr">
        <is>
          <t>KeyError: 'get_qiskit_gate'</t>
        </is>
      </c>
      <c r="G237"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237" s="67" t="n">
        <v>5</v>
      </c>
    </row>
    <row r="238">
      <c r="A238" s="70" t="inlineStr">
        <is>
          <t>ERROR</t>
        </is>
      </c>
      <c r="B238" s="67" t="inlineStr">
        <is>
          <t>issue_775</t>
        </is>
      </c>
      <c r="C238" s="67" t="inlineStr">
        <is>
          <t>0.25.0, 0.25.1, 0.25.2, 0.25.3, 0.45.0, 0.45.1, 0.45.2, 0.45.3, 0.46.0, 0.46.1, 0.46.2, 0.46.3</t>
        </is>
      </c>
      <c r="D238" s="67" t="n">
        <v>12</v>
      </c>
      <c r="E238" s="67" t="inlineStr">
        <is>
          <t>KeyError</t>
        </is>
      </c>
      <c r="F238" s="67" t="inlineStr">
        <is>
          <t>KeyError: 'qc'</t>
        </is>
      </c>
      <c r="G238" s="67" t="inlineStr">
        <is>
          <t>The LLM parsed the QASM with QuantumCircuit.from_qasm_str and executed it, which is the right fix, but inlined the call inside execute(...) instead of storing it in a variable. The test reads the variable qc, so it raises KeyError. A test that checks the executed result instead passes the LLM fix (checked on 0.25.0, 0.45.0 and 0.46.3) and still fails the buggy code.</t>
        </is>
      </c>
      <c r="H238" s="67" t="n">
        <v>5</v>
      </c>
    </row>
    <row r="239">
      <c r="A239" s="68" t="inlineStr">
        <is>
          <t>PASS</t>
        </is>
      </c>
      <c r="B239" s="67" t="inlineStr">
        <is>
          <t>issue_816</t>
        </is>
      </c>
      <c r="C239" s="67" t="inlineStr">
        <is>
          <t>0.45.0, 0.45.1, 0.45.2, 0.45.3, 0.46.0, 0.46.1, 0.46.2, 0.46.3, 1.0.0, 1.0.1, 1.0.2, 1.1.0, 1.1.1, 1.1.2, 1.2.0, 1.2.1, 1.2.2, 1.2.4, 2.0.0, 2.2.0, 2.3.0, 2.4.0, 2.5.0</t>
        </is>
      </c>
      <c r="D239" s="67" t="n">
        <v>23</v>
      </c>
      <c r="E239" s="67" t="n"/>
      <c r="F239" s="67" t="n"/>
      <c r="G239" s="67" t="inlineStr">
        <is>
          <t>The LLM passed memory=True to simulator.run(), so get_memory() returns the per-shot results, the same fix as the reference.</t>
        </is>
      </c>
      <c r="H239" s="67" t="n">
        <v>6</v>
      </c>
    </row>
    <row r="240">
      <c r="A240" s="69" t="inlineStr">
        <is>
          <t>FAIL</t>
        </is>
      </c>
      <c r="B240" s="67" t="inlineStr">
        <is>
          <t>issue_803</t>
        </is>
      </c>
      <c r="C240" s="67" t="inlineStr">
        <is>
          <t>0.25.0, 0.25.1, 0.25.2, 0.25.3</t>
        </is>
      </c>
      <c r="D240" s="67" t="n">
        <v>4</v>
      </c>
      <c r="E240" s="67" t="inlineStr">
        <is>
          <t>AssertionError</t>
        </is>
      </c>
      <c r="F240" s="67" t="inlineStr">
        <is>
          <t>AssertionError: array([list([52, 48]), list([100]), list([100])], dtype=object) is not an instance of &lt;class 'list'&gt;</t>
        </is>
      </c>
      <c r="G240" s="67" t="inlineStr">
        <is>
          <t>The LLM turned the list of count dictionaries into a NumPy array of their values, which throws away which outcome each count belongs to. On this NumPy version the uneven lists become an object array, so the check that run() returns a list of count dictionaries fails. The reference returns the list of dictionaries.</t>
        </is>
      </c>
      <c r="H240" s="67" t="n">
        <v>6</v>
      </c>
    </row>
    <row r="241">
      <c r="A241" s="69" t="inlineStr">
        <is>
          <t>FAIL</t>
        </is>
      </c>
      <c r="B241" s="67" t="inlineStr">
        <is>
          <t>issue_810</t>
        </is>
      </c>
      <c r="C241" s="67" t="inlineStr">
        <is>
          <t>0.45.1, 0.46.2</t>
        </is>
      </c>
      <c r="D241" s="67" t="n">
        <v>2</v>
      </c>
      <c r="E241" s="67" t="inlineStr">
        <is>
          <t>AssertionError</t>
        </is>
      </c>
      <c r="F241" s="67" t="inlineStr">
        <is>
          <t>AssertionError: None is not an instance of &lt;class 'dict'&gt; : Expose a raw counts dictionary, not the Result object</t>
        </is>
      </c>
      <c r="G241" s="67" t="inlineStr">
        <is>
          <t>The LLM replaced job.result(job) with job.result().get_counts(), the same call as the reference. The test reads the reference's variable name counts_dict and expects exactly 100 shots (the reference changed 1024 to 100), so it finds None. A test that accepts any variable name and the script's own shot count passes the LLM fix (checked on 0.45.1 and 0.46.2) and still fails the buggy code.</t>
        </is>
      </c>
      <c r="H241" s="67" t="n">
        <v>6</v>
      </c>
    </row>
    <row r="242">
      <c r="A242" s="69" t="inlineStr">
        <is>
          <t>FAIL</t>
        </is>
      </c>
      <c r="B242" s="67" t="inlineStr">
        <is>
          <t>issue_886</t>
        </is>
      </c>
      <c r="C242" s="67" t="inlineStr">
        <is>
          <t>0.45.0, 0.45.1</t>
        </is>
      </c>
      <c r="D242" s="67" t="n">
        <v>2</v>
      </c>
      <c r="E242" s="67" t="inlineStr">
        <is>
          <t>AssertionError</t>
        </is>
      </c>
      <c r="F242" s="67" t="inlineStr">
        <is>
          <t>AssertionError: {'00 00': 1024} != {'00': 1024}</t>
        </is>
      </c>
      <c r="G242" s="67" t="inlineStr">
        <is>
          <t>The LLM transpiled the circuit before running it, which is the answer's fix. It kept the buggy code's QuantumCircuit(2, 2) plus measure_all(), so the keys are '00 00' instead of '00' (the reference also removed the classical register), and it did not store the transpiled circuit in transpile_circ. A test that ignores the unused register and the variable name passes the LLM fix (checked on 0.45.0 and 0.45.1).</t>
        </is>
      </c>
      <c r="H242" s="67" t="n">
        <v>6</v>
      </c>
    </row>
    <row r="243">
      <c r="A243" s="69" t="inlineStr">
        <is>
          <t>FAIL</t>
        </is>
      </c>
      <c r="B243" s="67" t="inlineStr">
        <is>
          <t>issue_889</t>
        </is>
      </c>
      <c r="C243" s="67" t="inlineStr">
        <is>
          <t>0.45.0, 0.45.1, 0.45.2, 0.45.3, 0.46.0, 0.46.1, 0.46.2, 0.46.3</t>
        </is>
      </c>
      <c r="D243" s="67" t="n">
        <v>8</v>
      </c>
      <c r="E243" s="67" t="inlineStr">
        <is>
          <t>AssertionError</t>
        </is>
      </c>
      <c r="F243" s="67" t="inlineStr">
        <is>
          <t>AssertionError: Not equal to tolerance rtol=1e-07, atol=1e-09</t>
        </is>
      </c>
      <c r="G243" s="67" t="inlineStr">
        <is>
          <t>The LLM evolved the Hamiltonian with (-time_ * H).exp_i(), but exp_i() already computes exp(-iX), so the circuit implements exp(+iHt), the wrong sign, and the unitary check fails. With the sign flipped the same fix passes on 0.45.0 and 0.46.3. The reference uses circ.hamiltonian(H, time_, ...).</t>
        </is>
      </c>
      <c r="H243" s="67" t="n">
        <v>6</v>
      </c>
    </row>
    <row r="244">
      <c r="A244" s="70" t="inlineStr">
        <is>
          <t>ERROR</t>
        </is>
      </c>
      <c r="B244" s="67" t="inlineStr">
        <is>
          <t>issue_803</t>
        </is>
      </c>
      <c r="C244" s="67" t="inlineStr">
        <is>
          <t>0.45.0, 0.45.1, 0.45.2, 0.45.3, 0.46.0, 0.46.1, 0.46.2, 0.46.3</t>
        </is>
      </c>
      <c r="D244" s="67" t="n">
        <v>8</v>
      </c>
      <c r="E244" s="67" t="inlineStr">
        <is>
          <t>ValueError</t>
        </is>
      </c>
      <c r="F244" s="67"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G244" s="67"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H244" s="67" t="n">
        <v>6</v>
      </c>
    </row>
    <row r="245">
      <c r="A245" s="70" t="inlineStr">
        <is>
          <t>ERROR</t>
        </is>
      </c>
      <c r="B245" s="67" t="inlineStr">
        <is>
          <t>issue_876</t>
        </is>
      </c>
      <c r="C245" s="67" t="inlineStr">
        <is>
          <t>1.0.0, 1.0.1, 1.0.2, 1.1.0, 1.1.1, 1.1.2, 1.2.0, 1.2.1, 1.2.2, 1.2.4, 2.0.0, 2.2.0, 2.3.0, 2.4.0, 2.5.0</t>
        </is>
      </c>
      <c r="D245" s="67" t="n">
        <v>15</v>
      </c>
      <c r="E245" s="67" t="inlineStr">
        <is>
          <t>ModuleNotFoundError</t>
        </is>
      </c>
      <c r="F245" s="67" t="inlineStr">
        <is>
          <t>ModuleNotFoundError: No module named 'qiskit.ibm_runtime'</t>
        </is>
      </c>
      <c r="G245" s="67" t="inlineStr">
        <is>
          <t>The LLM changed the import from qiskit_ibm_runtime to qiskit.ibm_runtime, which does not exist. With the import corrected it still crashes: it simulates the 127-qubit FakeBrisbane layout on an ideal statevector simulator (out of memory) and never adds the noise model the question is about. (These environments do not ship qiskit-ibm-runtime, so this case runs with task-local Runtime 0.23.0 / 0.30.0 / 0.40.1 as in the team's batch06 validation.)</t>
        </is>
      </c>
      <c r="H245" s="67" t="n">
        <v>6</v>
      </c>
    </row>
    <row r="246">
      <c r="A246" s="70" t="inlineStr">
        <is>
          <t>ERROR</t>
        </is>
      </c>
      <c r="B246" s="67" t="inlineStr">
        <is>
          <t>issue_877</t>
        </is>
      </c>
      <c r="C246" s="67" t="inlineStr">
        <is>
          <t>0.45.0, 0.45.1, 0.45.2, 0.45.3, 0.46.0, 0.46.1, 0.46.2, 0.46.3</t>
        </is>
      </c>
      <c r="D246" s="67" t="n">
        <v>8</v>
      </c>
      <c r="E246" s="67" t="inlineStr">
        <is>
          <t>KeyError</t>
        </is>
      </c>
      <c r="F246" s="67" t="inlineStr">
        <is>
          <t>KeyError: 'backend'</t>
        </is>
      </c>
      <c r="G246" s="67"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H246" s="67" t="n">
        <v>6</v>
      </c>
    </row>
    <row r="247">
      <c r="A247" s="70" t="inlineStr">
        <is>
          <t>ERROR</t>
        </is>
      </c>
      <c r="B247" s="67" t="inlineStr">
        <is>
          <t>issue_889</t>
        </is>
      </c>
      <c r="C247" s="67" t="inlineStr">
        <is>
          <t>0.25.0, 0.25.1, 0.25.2, 0.25.3</t>
        </is>
      </c>
      <c r="D247" s="67" t="n">
        <v>4</v>
      </c>
      <c r="E247" s="67" t="inlineStr">
        <is>
          <t>ExtensionError</t>
        </is>
      </c>
      <c r="F247" s="67" t="inlineStr">
        <is>
          <t>qiskit.extensions.exceptions.ExtensionError: 'Input matrix is not unitary.'</t>
        </is>
      </c>
      <c r="G247" s="67" t="inlineStr">
        <is>
          <t>The LLM evolved the Hamiltonian with (-time_ * H).exp_i(), which has the wrong sign (exp(+iHt)); on Qiskit 0.25 the resulting instruction is rejected as non-unitary. The reference uses circ.hamiltonian(H, time_, ...).</t>
        </is>
      </c>
      <c r="H247" s="67" t="n">
        <v>6</v>
      </c>
    </row>
    <row r="248">
      <c r="A248" s="70" t="inlineStr">
        <is>
          <t>ERROR</t>
        </is>
      </c>
      <c r="B248" s="67" t="inlineStr">
        <is>
          <t>issue_911</t>
        </is>
      </c>
      <c r="C248" s="67" t="inlineStr">
        <is>
          <t>0.45.0, 0.45.1, 0.45.2, 0.45.3, 0.46.0, 0.46.1, 0.46.2, 0.46.3, 1.0.0, 1.0.1, 1.0.2, 1.1.0, 1.1.1, 1.1.2, 1.2.0, 1.2.1, 1.2.2, 1.2.4</t>
        </is>
      </c>
      <c r="D248" s="67" t="n">
        <v>18</v>
      </c>
      <c r="E248" s="67" t="inlineStr">
        <is>
          <t>ValueError</t>
        </is>
      </c>
      <c r="F248" s="67" t="inlineStr">
        <is>
          <t>ValueError: malformed node or string on line 1: &lt;ast.Call object at 0x000001994F5AB2E0&gt;</t>
        </is>
      </c>
      <c r="G248" s="67" t="inlineStr">
        <is>
          <t>The LLM printed each qubit's register and index with qc.find_bit(), the information the question asks for. The test parses the reference's exact print format ('qargs : [0, 1]'), and the LLM's 'qargs :' line still prints Qubit objects, so ast.literal_eval raises ValueError. A test that reads the printed indices in either format passes the LLM fix (checked on 0.45.0, 1.0.0, 1.2.4 and 2.5.0).</t>
        </is>
      </c>
      <c r="H248" s="67" t="n">
        <v>6</v>
      </c>
    </row>
    <row r="249">
      <c r="A249" s="70" t="inlineStr">
        <is>
          <t>ERROR</t>
        </is>
      </c>
      <c r="B249" s="67" t="inlineStr">
        <is>
          <t>issue_911</t>
        </is>
      </c>
      <c r="C249" s="67" t="inlineStr">
        <is>
          <t>2.0.0, 2.2.0, 2.3.0, 2.4.0, 2.5.0</t>
        </is>
      </c>
      <c r="D249" s="67" t="n">
        <v>5</v>
      </c>
      <c r="E249" s="67" t="inlineStr">
        <is>
          <t>SyntaxError</t>
        </is>
      </c>
      <c r="F249" s="67" t="inlineStr">
        <is>
          <t>SyntaxError: invalid syntax</t>
        </is>
      </c>
      <c r="G249" s="67" t="inlineStr">
        <is>
          <t>Same fix and same test problem as on the older versions; in Qiskit 2.x the Qubit objects print in a form ast.literal_eval cannot read, so it raises SyntaxError instead.</t>
        </is>
      </c>
      <c r="H249" s="67" t="n">
        <v>6</v>
      </c>
    </row>
    <row r="250">
      <c r="A250" s="70" t="inlineStr">
        <is>
          <t>ERROR</t>
        </is>
      </c>
      <c r="B250" s="67" t="inlineStr">
        <is>
          <t>issue_925</t>
        </is>
      </c>
      <c r="C250" s="67" t="inlineStr">
        <is>
          <t>0.25.0, 0.25.1, 0.25.2, 0.25.3</t>
        </is>
      </c>
      <c r="D250" s="67" t="n">
        <v>4</v>
      </c>
      <c r="E250" s="67" t="inlineStr">
        <is>
          <t>TranspilerError</t>
        </is>
      </c>
      <c r="F250" s="67" t="inlineStr">
        <is>
          <t>qiskit.transpiler.exceptions.TranspilerError: 'Number of qubits (18) in Shor(N=15, a=2) is greater than maximum (14) in the coupling_map'</t>
        </is>
      </c>
      <c r="G250" s="67" t="inlineStr">
        <is>
          <t>The LLM only added a comment saying to use a simulator with enough qubits; the code still runs Shor on FakeMelbourne, so the 18-qubit circuit does not fit its 14-qubit coupling map, exactly like the buggy code. The reference switches to Aer's qasm_simulator.</t>
        </is>
      </c>
      <c r="H250" s="67" t="n">
        <v>6</v>
      </c>
    </row>
    <row r="251">
      <c r="A251" s="70" t="inlineStr">
        <is>
          <t>ERROR</t>
        </is>
      </c>
      <c r="B251" s="67" t="inlineStr">
        <is>
          <t>issue_944</t>
        </is>
      </c>
      <c r="C251" s="67" t="inlineStr">
        <is>
          <t>0.25.0, 0.25.1, 0.25.2, 0.25.3, 0.45.0, 0.45.1, 0.45.2, 0.45.3, 0.46.0, 0.46.1, 0.46.2, 0.46.3</t>
        </is>
      </c>
      <c r="D251" s="67" t="n">
        <v>12</v>
      </c>
      <c r="E251" s="67" t="inlineStr">
        <is>
          <t>AttributeError</t>
        </is>
      </c>
      <c r="F251" s="67" t="inlineStr">
        <is>
          <t>AttributeError: 'PauliSumOp' object has no attribute 'data'</t>
        </is>
      </c>
      <c r="G251" s="67" t="inlineStr">
        <is>
          <t>The LLM built |+&gt;&lt;+| as the opflow operator (I + X) / 2 and passed it to NumPyEigensolver, which gives the right projector and eigenvalues. The test reads proj.data, which only the reference's quantum_info Operator has (and a variable named op). A test that accepts either operator type passes the LLM fix (checked on 0.25.0, 0.45.0 and 0.46.3) and still fails the buggy code.</t>
        </is>
      </c>
      <c r="H251" s="67" t="n">
        <v>6</v>
      </c>
    </row>
    <row r="252">
      <c r="A252" s="68" t="inlineStr">
        <is>
          <t>PASS</t>
        </is>
      </c>
      <c r="B252" s="67" t="inlineStr">
        <is>
          <t>issue_989</t>
        </is>
      </c>
      <c r="C252" s="67" t="inlineStr">
        <is>
          <t>1.0.0, 1.0.1, 1.0.2, 1.1.0, 1.1.1, 1.1.2, 1.2.0, 1.2.1, 1.2.2, 1.2.4, 2.0.0, 2.2.0, 2.3.0, 2.4.0, 2.5.0</t>
        </is>
      </c>
      <c r="D252" s="67" t="n">
        <v>15</v>
      </c>
      <c r="E252" s="67" t="n"/>
      <c r="F252" s="67" t="n"/>
      <c r="G252" s="67" t="inlineStr">
        <is>
          <t>The LLM changed the import to from qiskit_aer import Aer, the same fix as the reference.</t>
        </is>
      </c>
      <c r="H252" s="67" t="n">
        <v>7</v>
      </c>
    </row>
    <row r="253">
      <c r="A253" s="69" t="inlineStr">
        <is>
          <t>FAIL</t>
        </is>
      </c>
      <c r="B253" s="67" t="inlineStr">
        <is>
          <t>issue_950</t>
        </is>
      </c>
      <c r="C253" s="67" t="inlineStr">
        <is>
          <t>0.25.0, 0.25.1, 0.25.2, 0.25.3, 0.45.0, 0.45.1, 0.45.2, 0.45.3, 0.46.0, 0.46.1, 0.46.2, 0.46.3, 1.0.0, 1.0.1, 1.0.2, 1.1.0, 1.1.1, 1.1.2, 1.2.0, 1.2.1, 1.2.2, 1.2.4, 2.0.0, 2.2.0, 2.3.0, 2.4.0, 2.5.0</t>
        </is>
      </c>
      <c r="D253" s="67" t="n">
        <v>27</v>
      </c>
      <c r="E253" s="67" t="inlineStr">
        <is>
          <t>AssertionError</t>
        </is>
      </c>
      <c r="F253" s="67" t="inlineStr">
        <is>
          <t>AssertionError: Not equal to tolerance rtol=1e-07, atol=1e-12 | AssertionError: Not equal to tolerance rtol=1e-07, atol=1e-12 Requested Z on qubits 3..7, not on qubits 2..6 Mismatched elements: 1024 / 1024 (100%) Max absolute difference: 1. Max relat</t>
        </is>
      </c>
      <c r="G253" s="67" t="inlineStr">
        <is>
          <t>The LLM made the identity N qubits wide, which removes the size mismatch, but kept Operator._add(), which adds the operators instead of placing Z on qubits 3 to 7. The result is I + Z...Z, with 2 and 0 on the diagonal instead of +1 and -1. The reference builds the full Pauli label and calls Operator.from_label once.</t>
        </is>
      </c>
      <c r="H253" s="67" t="n">
        <v>7</v>
      </c>
    </row>
    <row r="254">
      <c r="A254" s="69" t="inlineStr">
        <is>
          <t>FAIL</t>
        </is>
      </c>
      <c r="B254" s="67" t="inlineStr">
        <is>
          <t>issue_958</t>
        </is>
      </c>
      <c r="C254" s="67" t="inlineStr">
        <is>
          <t>0.45.0, 0.45.1, 0.45.2, 0.45.3, 0.46.0, 0.46.1, 0.46.2, 0.46.3, 1.0.0, 1.0.1, 1.0.2, 1.1.0, 1.1.1, 1.1.2, 1.2.0, 1.2.1, 1.2.2, 1.2.4, 2.0.0, 2.2.0, 2.3.0, 2.4.0, 2.5.0</t>
        </is>
      </c>
      <c r="D254" s="67" t="n">
        <v>23</v>
      </c>
      <c r="E254" s="67" t="inlineStr">
        <is>
          <t>AssertionError</t>
        </is>
      </c>
      <c r="F254" s="67" t="inlineStr">
        <is>
          <t>AssertionError: Not equal to tolerance rtol=1e-07, atol=1e-12</t>
        </is>
      </c>
      <c r="G254" s="67" t="inlineStr">
        <is>
          <t>The LLM replaced -1 * gate1 with gate1([0, 1]).inverse(), which applies H to both qubits a second time. H twice is the identity, so the circuit is I instead of -(H x H) and the -1 phase never appears. The test also expects the reference's second circuit qc2, but the LLM fix already fails the check on qc. The reference adds a GlobalPhaseGate(pi).</t>
        </is>
      </c>
      <c r="H254" s="67" t="n">
        <v>7</v>
      </c>
    </row>
    <row r="255">
      <c r="A255" s="69" t="inlineStr">
        <is>
          <t>FAIL</t>
        </is>
      </c>
      <c r="B255" s="67" t="inlineStr">
        <is>
          <t>issue_985</t>
        </is>
      </c>
      <c r="C255" s="67" t="inlineStr">
        <is>
          <t>0.45.0, 0.45.1, 0.45.2, 0.45.3, 0.46.0, 0.46.1, 0.46.2, 0.46.3, 1.0.0, 1.0.1, 1.0.2, 1.1.0, 1.1.1, 1.1.2, 1.2.0, 1.2.1, 1.2.2, 1.2.4, 2.0.0, 2.2.0, 2.3.0, 2.4.0, 2.5.0</t>
        </is>
      </c>
      <c r="D255" s="67" t="n">
        <v>23</v>
      </c>
      <c r="E255" s="67" t="inlineStr">
        <is>
          <t>AssertionError</t>
        </is>
      </c>
      <c r="F255" s="67" t="inlineStr">
        <is>
          <t>AssertionError: Not equal to tolerance rtol=1e-07, atol=1e-12</t>
        </is>
      </c>
      <c r="G255" s="67" t="inlineStr">
        <is>
          <t>The LLM replaced u1 with rz and set qc.global_phase = lam / 2, so the transpiled circuit uses only rx/ry/rz and equals U1(0.5) exactly, phase included, as the question asks. The current test requires the phase to be missing (determinant 1), following the answer's point that rotations alone cannot carry it. The team's earlier test_before.py required the exact phase: the LLM fix passes it and the reference fails it (checked on 0.45.0, 1.2.4 and 2.5.0).</t>
        </is>
      </c>
      <c r="H255" s="67" t="n">
        <v>7</v>
      </c>
    </row>
    <row r="256">
      <c r="A256" s="70" t="inlineStr">
        <is>
          <t>ERROR</t>
        </is>
      </c>
      <c r="B256" s="67" t="inlineStr">
        <is>
          <t>issue_977</t>
        </is>
      </c>
      <c r="C256" s="67" t="inlineStr">
        <is>
          <t>0.45.0, 0.45.1, 0.45.2, 0.45.3, 0.46.0, 0.46.1, 0.46.2, 0.46.3, 1.0.0, 1.0.1, 1.0.2, 1.1.0, 1.1.1, 1.1.2, 1.2.0, 1.2.1, 1.2.2, 1.2.4, 2.0.0, 2.2.0, 2.3.0, 2.4.0, 2.5.0</t>
        </is>
      </c>
      <c r="D256" s="67" t="n">
        <v>23</v>
      </c>
      <c r="E256" s="67" t="inlineStr">
        <is>
          <t>KeyError</t>
        </is>
      </c>
      <c r="F256" s="67" t="inlineStr">
        <is>
          <t>KeyError: 'op'</t>
        </is>
      </c>
      <c r="G256" s="67" t="inlineStr">
        <is>
          <t>The LLM used SparsePauliOp.from_operator(Hamiltonian), the same call as the reference, and kept the variable name H_op. The test reads the reference's variable name op. A test that accepts any variable name passes the LLM fix (checked on 0.45.0, 0.46.3, 1.0.0, 1.2.4 and 2.5.0) and still fails the buggy code.</t>
        </is>
      </c>
      <c r="H256" s="67" t="n">
        <v>7</v>
      </c>
    </row>
    <row r="257">
      <c r="A257" s="70" t="inlineStr">
        <is>
          <t>ERROR</t>
        </is>
      </c>
      <c r="B257" s="67" t="inlineStr">
        <is>
          <t>issue_994</t>
        </is>
      </c>
      <c r="C257" s="67" t="inlineStr">
        <is>
          <t>0.25.0, 0.25.1, 0.25.2, 0.25.3</t>
        </is>
      </c>
      <c r="D257" s="67" t="n">
        <v>4</v>
      </c>
      <c r="E257" s="67" t="inlineStr">
        <is>
          <t>KeyError</t>
        </is>
      </c>
      <c r="F257" s="67" t="inlineStr">
        <is>
          <t>KeyError: 'statevector'</t>
        </is>
      </c>
      <c r="G257" s="67" t="inlineStr">
        <is>
          <t>The LLM added qc.save_statevector() so that get_statevector() works on the QasmSimulator, and the script prints the Bell state. The test reads the reference's variable statevector and its snapshot data. A test that takes the statevector from either the variable or get_statevector() passes the LLM fix (checked on 0.25.0 and 0.25.3) and still fails the buggy code.</t>
        </is>
      </c>
      <c r="H257" s="67" t="n">
        <v>7</v>
      </c>
    </row>
    <row r="258">
      <c r="A258" s="70" t="inlineStr">
        <is>
          <t>ERROR</t>
        </is>
      </c>
      <c r="B258" s="67" t="inlineStr">
        <is>
          <t>issue_1035</t>
        </is>
      </c>
      <c r="C258" s="67" t="inlineStr">
        <is>
          <t>0.45.0, 0.45.1, 0.45.2, 0.45.3, 0.46.0, 0.46.1, 0.46.2, 0.46.3</t>
        </is>
      </c>
      <c r="D258" s="67" t="n">
        <v>8</v>
      </c>
      <c r="E258" s="67" t="inlineStr">
        <is>
          <t>KeyError</t>
        </is>
      </c>
      <c r="F258" s="67" t="inlineStr">
        <is>
          <t>KeyError: 'result'</t>
        </is>
      </c>
      <c r="G258" s="67" t="inlineStr">
        <is>
          <t>The LLM replaced the IBM Runtime service and session with Aer's local Estimator and the FakeManila noise model, which returns an expectation value near +1. The test reads the reference's variable result, but the LLM prints job.result().values without storing it. A test that also accepts job.result() passes the LLM fix (checked on 0.45.0 and 0.46.3) and still fails the buggy code.</t>
        </is>
      </c>
      <c r="H258" s="67" t="n">
        <v>7</v>
      </c>
    </row>
    <row r="259">
      <c r="A259" s="68" t="inlineStr">
        <is>
          <t>PASS</t>
        </is>
      </c>
      <c r="B259" s="67" t="inlineStr">
        <is>
          <t>issue_772</t>
        </is>
      </c>
      <c r="C259" s="67" t="inlineStr">
        <is>
          <t>0.25.0, 0.25.1, 0.25.2, 0.25.3, 0.45.0, 0.45.1, 0.45.2, 0.45.3, 0.46.0, 0.46.1, 0.46.2, 0.46.3</t>
        </is>
      </c>
      <c r="D259" s="67" t="n">
        <v>12</v>
      </c>
      <c r="E259" s="67" t="n"/>
      <c r="F259" s="67" t="n"/>
      <c r="G259" s="67" t="inlineStr">
        <is>
          <t>The LLM passed the two register slices to append() as one combined qubit list (qr1[1:2] + qr2[0:3]), the same change the reference makes.</t>
        </is>
      </c>
      <c r="H259" s="67" t="n">
        <v>8</v>
      </c>
    </row>
    <row r="260">
      <c r="A260" s="68" t="inlineStr">
        <is>
          <t>PASS</t>
        </is>
      </c>
      <c r="B260" s="67" t="inlineStr">
        <is>
          <t>issue_901</t>
        </is>
      </c>
      <c r="C260" s="67" t="inlineStr">
        <is>
          <t>0.45.0, 0.45.1, 0.45.2, 0.45.3, 0.46.0, 0.46.1, 0.46.2, 0.46.3, 1.0.0, 1.0.1, 1.0.2, 1.1.0, 1.1.1, 1.1.2, 1.2.0, 1.2.1, 1.2.2, 1.2.4, 2.0.0</t>
        </is>
      </c>
      <c r="D260" s="67" t="n">
        <v>19</v>
      </c>
      <c r="E260" s="67" t="n"/>
      <c r="F260" s="67" t="n"/>
      <c r="G260" s="67" t="inlineStr">
        <is>
          <t>The LLM replaced qc.s(0) with two T gates, which is exactly S, so the circuit transpiles into the H, T, CX basis. The reference keeps S and uses the Solovay-Kitaev pass instead.</t>
        </is>
      </c>
      <c r="H260" s="67" t="n">
        <v>8</v>
      </c>
    </row>
    <row r="261">
      <c r="A261" s="70" t="inlineStr">
        <is>
          <t>ERROR</t>
        </is>
      </c>
      <c r="B261" s="67" t="inlineStr">
        <is>
          <t>issue_790</t>
        </is>
      </c>
      <c r="C261" s="67" t="inlineStr">
        <is>
          <t>0.45.0, 0.45.1, 0.45.2, 0.45.3, 0.46.0, 0.46.1, 0.46.2, 0.46.3, 1.0.0, 1.0.1, 1.0.2, 1.1.0, 1.1.1, 1.1.2, 1.2.0, 1.2.1, 1.2.2, 1.2.4, 2.0.0, 2.2.0, 2.3.0, 2.4.0, 2.5.0</t>
        </is>
      </c>
      <c r="D261" s="67" t="n">
        <v>23</v>
      </c>
      <c r="E261" s="67" t="inlineStr">
        <is>
          <t>TypeError</t>
        </is>
      </c>
      <c r="F261" s="67" t="inlineStr">
        <is>
          <t>TypeError: unsupported operand type(s) for -: 'Pauli' and 'Pauli'</t>
        </is>
      </c>
      <c r="G261" s="67" t="inlineStr">
        <is>
          <t>The LLM moved SuzukiTrotter.synthesize() onto each PauliEvolutionGate (the error the buggy code's comment points to) but kept (U * Z ^ Z) - (J * X ^ X) - (J * Y ^ Y); subtracting Pauli objects raises TypeError, exactly like the buggy code. The team's updated reference (6 Oct 2026) builds the same Hamiltonian with SparsePauliOp.from_list.</t>
        </is>
      </c>
      <c r="H261" s="67" t="n">
        <v>8</v>
      </c>
    </row>
    <row r="262">
      <c r="A262" s="70" t="inlineStr">
        <is>
          <t>ERROR</t>
        </is>
      </c>
      <c r="B262" s="67" t="inlineStr">
        <is>
          <t>issue_827</t>
        </is>
      </c>
      <c r="C262" s="67" t="inlineStr">
        <is>
          <t>0.25.0, 0.25.1, 0.25.2, 0.25.3, 0.45.0, 0.45.1, 0.45.2, 0.45.3, 0.46.0, 0.46.1, 0.46.2, 0.46.3</t>
        </is>
      </c>
      <c r="D262" s="67" t="n">
        <v>12</v>
      </c>
      <c r="E262" s="67" t="inlineStr">
        <is>
          <t>ModuleNotFoundError</t>
        </is>
      </c>
      <c r="F262" s="67" t="inlineStr">
        <is>
          <t>ModuleNotFoundError: No module named 'qiskit.backends'</t>
        </is>
      </c>
      <c r="G262" s="67" t="inlineStr">
        <is>
          <t>The LLM replaced compile() with transpile() + assemble(), the reference's fix, but kept from qiskit.backends.jobstatus import JOB_FINAL_STATES; qiskit.backends no longer exists. With only that import changed to qiskit.providers.jobstatus the fix passes (checked on 0.25.0, 0.45.0 and 0.46.3).</t>
        </is>
      </c>
      <c r="H262" s="67" t="n">
        <v>8</v>
      </c>
    </row>
    <row r="263">
      <c r="A263" s="70" t="inlineStr">
        <is>
          <t>ERROR</t>
        </is>
      </c>
      <c r="B263" s="67" t="inlineStr">
        <is>
          <t>issue_858</t>
        </is>
      </c>
      <c r="C263" s="67" t="inlineStr">
        <is>
          <t>0.45.0, 0.45.1, 0.45.2, 0.45.3, 0.46.0, 0.46.1, 0.46.2, 0.46.3</t>
        </is>
      </c>
      <c r="D263" s="67" t="n">
        <v>8</v>
      </c>
      <c r="E263" s="67" t="inlineStr">
        <is>
          <t>OfflineAccessDenied</t>
        </is>
      </c>
      <c r="F263" s="67" t="inlineStr">
        <is>
          <t>OfflineAccessDenied: Offline snapshot fixture forbids IBMQ.load_account</t>
        </is>
      </c>
      <c r="G263" s="67" t="inlineStr">
        <is>
          <t>The LLM switched to the FakeOslo snapshot but kept the unused provider = IBMQ.load_account(), which needs an IBM account online; the offline test blocks it. With that line removed it still crashes: FakeOslo has no properties() method (checked on 0.45.0 and 0.46.3). The reference reads backend.qubit_properties().</t>
        </is>
      </c>
      <c r="H263" s="67" t="n">
        <v>8</v>
      </c>
    </row>
    <row r="264">
      <c r="A264" s="70" t="inlineStr">
        <is>
          <t>ERROR</t>
        </is>
      </c>
      <c r="B264" s="67" t="inlineStr">
        <is>
          <t>issue_921</t>
        </is>
      </c>
      <c r="C264" s="67" t="inlineStr">
        <is>
          <t>0.25.0, 0.25.1, 0.25.2, 0.25.3</t>
        </is>
      </c>
      <c r="D264" s="67" t="n">
        <v>4</v>
      </c>
      <c r="E264" s="67" t="inlineStr">
        <is>
          <t>ImportError</t>
        </is>
      </c>
      <c r="F264" s="67" t="inlineStr">
        <is>
          <t>ImportError: cannot import name 'run_algorithm' from 'qiskit.aqua' (C:\qiskit_envs\q0250\lib\site-packages\qiskit\aqua\__init__.py)</t>
        </is>
      </c>
      <c r="G264" s="67" t="inlineStr">
        <is>
          <t>The LLM returned the buggy code unchanged, without the required '# NO BUG:' line, so run_algorithm is still missing from qiskit.aqua (ImportError), exactly like the buggy code. The reference calls ExactEigensolver(qubitOp, k=1).run().</t>
        </is>
      </c>
      <c r="H264" s="67" t="n">
        <v>8</v>
      </c>
    </row>
  </sheetData>
  <conditionalFormatting sqref="B103:B175">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50"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 Batch 6 (issue_803 to issue_944, rows 28-32): all 10 tests target the right bug. issue_810, issue_886, issue_911 and issue_944 are over-specific; issue_877 pins the reference's backend size. The other 5 (issue_803, issue_816, issue_876, issue_889, issue_925) check what the question asks. Batch 7 (issue_950 to issue_1035, rows 33-37): all 7 tests target the right bug. issue_977, issue_994 and issue_1035 are over-specific; issue_985 is debatable and issue_958 asks for an extra circuit. The other 2 (issue_950, issue_989) check what the question asks. Batch 8 (issue_772 to issue_921): all 6 tests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This is the only reason the LLM fails. Its fix uses [n-1-i, 3, ..., 8] and every gate matrix is correct (checked separately), but the qubit-list check fails first on all 23 versions. A test that accepted either control order would pass it.</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 on all 23 versions.</t>
        </is>
      </c>
      <c r="H15" s="25">
        <f>COUNTIF(Summary!$B$29:$AB$29,"PASS")&amp;" / "&amp;(COUNTIF(Summary!$B$29:$AB$29,"PASS")+COUNTIF(Summary!$B$29:$AB$29,"FAIL")+COUNTIF(Summary!$B$29:$AB$29,"ERROR"))</f>
        <v/>
      </c>
      <c r="I15" s="25">
        <f>IF(COUNTIF(Summary!$B$29:$AB$29,"PASS")=(COUNTIF(Summary!$B$29:$AB$29,"PASS")+COUNTIF(Summary!$B$29:$AB$29,"FAIL")+COUNTIF(Summary!$B$29:$AB$29,"ERROR")),"PASS",IF(COUNTIF(Summary!$B$29:$AB$29,"ERROR")&gt;0,"ERROR","FAIL"))</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 on all 4 versions.</t>
        </is>
      </c>
      <c r="H16" s="25">
        <f>COUNTIF(Summary!$B$26:$AB$26,"PASS")&amp;" / "&amp;(COUNTIF(Summary!$B$26:$AB$26,"PASS")+COUNTIF(Summary!$B$26:$AB$26,"FAIL")+COUNTIF(Summary!$B$26:$AB$26,"ERROR"))</f>
        <v/>
      </c>
      <c r="I16" s="25">
        <f>IF(COUNTIF(Summary!$B$26:$AB$26,"PASS")=(COUNTIF(Summary!$B$26:$AB$26,"PASS")+COUNTIF(Summary!$B$26:$AB$26,"FAIL")+COUNTIF(Summary!$B$26:$AB$26,"ERROR")),"PASS",IF(COUNTIF(Summary!$B$26:$AB$26,"ERROR")&gt;0,"ERROR","FAIL"))</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ERROR on all 12 versions.</t>
        </is>
      </c>
      <c r="H17" s="25">
        <f>COUNTIF(Summary!$B$22:$AB$22,"PASS")&amp;" / "&amp;(COUNTIF(Summary!$B$22:$AB$22,"PASS")+COUNTIF(Summary!$B$22:$AB$22,"FAIL")+COUNTIF(Summary!$B$22:$AB$22,"ERROR"))</f>
        <v/>
      </c>
      <c r="I17" s="25">
        <f>IF(COUNTIF(Summary!$B$22:$AB$22,"PASS")=(COUNTIF(Summary!$B$22:$AB$22,"PASS")+COUNTIF(Summary!$B$22:$AB$22,"FAIL")+COUNTIF(Summary!$B$22:$AB$22,"ERROR")),"PASS",IF(COUNTIF(Summary!$B$22:$AB$22,"ERROR")&gt;0,"ERROR","FAIL"))</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COUNTIF(Summary!$B$24:$AB$24,"PASS")&amp;" / "&amp;(COUNTIF(Summary!$B$24:$AB$24,"PASS")+COUNTIF(Summary!$B$24:$AB$24,"FAIL")+COUNTIF(Summary!$B$24:$AB$24,"ERROR"))</f>
        <v/>
      </c>
      <c r="I18" s="25">
        <f>IF(COUNTIF(Summary!$B$24:$AB$24,"PASS")=(COUNTIF(Summary!$B$24:$AB$24,"PASS")+COUNTIF(Summary!$B$24:$AB$24,"FAIL")+COUNTIF(Summary!$B$24:$AB$24,"ERROR")),"PASS",IF(COUNTIF(Summary!$B$24:$AB$24,"ERROR")&gt;0,"ERROR","FAIL"))</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COUNTIF(Summary!$B$27:$AB$27,"PASS")&amp;" / "&amp;(COUNTIF(Summary!$B$27:$AB$27,"PASS")+COUNTIF(Summary!$B$27:$AB$27,"FAIL")+COUNTIF(Summary!$B$27:$AB$27,"ERROR"))</f>
        <v/>
      </c>
      <c r="I19" s="25">
        <f>IF(COUNTIF(Summary!$B$27:$AB$27,"PASS")=(COUNTIF(Summary!$B$27:$AB$27,"PASS")+COUNTIF(Summary!$B$27:$AB$27,"FAIL")+COUNTIF(Summary!$B$27:$AB$27,"ERROR")),"PASS",IF(COUNTIF(Summary!$B$27:$AB$27,"ERROR")&gt;0,"ERROR","FAIL"))</f>
        <v/>
      </c>
    </row>
    <row r="20" ht="82.8" customHeight="1" s="35">
      <c r="A20" s="21" t="inlineStr">
        <is>
          <t>issue_622</t>
        </is>
      </c>
      <c r="B20" s="22" t="inlineStr">
        <is>
          <t>Over-specific</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This is the only reason the LLM fails. FakeYorktown (5 qubits) fixes the error and gives 933 of 1024 shots as '00'/'11' (91%); every other check passes. A test that allowed a little noise, or only checked the qubit count and the Bell state, would pass it. FAIL on all 12 versions.</t>
        </is>
      </c>
      <c r="H20" s="25">
        <f>COUNTIF(Summary!$B$38:$AB$38,"PASS")&amp;" / "&amp;(COUNTIF(Summary!$B$38:$AB$38,"PASS")+COUNTIF(Summary!$B$38:$AB$38,"FAIL")+COUNTIF(Summary!$B$38:$AB$38,"ERROR"))</f>
        <v/>
      </c>
      <c r="I20" s="25">
        <f>IF(COUNTIF(Summary!$B$38:$AB$38,"PASS")=(COUNTIF(Summary!$B$38:$AB$38,"PASS")+COUNTIF(Summary!$B$38:$AB$38,"FAIL")+COUNTIF(Summary!$B$38:$AB$38,"ERROR")),"PASS",IF(COUNTIF(Summary!$B$38:$AB$38,"ERROR")&gt;0,"ERROR","FAIL"))</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COUNTIF(Summary!$B$34:$AB$34,"PASS")&amp;" / "&amp;(COUNTIF(Summary!$B$34:$AB$34,"PASS")+COUNTIF(Summary!$B$34:$AB$34,"FAIL")+COUNTIF(Summary!$B$34:$AB$34,"ERROR"))</f>
        <v/>
      </c>
      <c r="I21" s="25">
        <f>IF(COUNTIF(Summary!$B$34:$AB$34,"PASS")=(COUNTIF(Summary!$B$34:$AB$34,"PASS")+COUNTIF(Summary!$B$34:$AB$34,"FAIL")+COUNTIF(Summary!$B$34:$AB$34,"ERROR")),"PASS",IF(COUNTIF(Summary!$B$34:$AB$34,"ERROR")&gt;0,"ERROR","FAIL"))</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COUNTIF(Summary!$B$36:$AB$36,"PASS")&amp;" / "&amp;(COUNTIF(Summary!$B$36:$AB$36,"PASS")+COUNTIF(Summary!$B$36:$AB$36,"FAIL")+COUNTIF(Summary!$B$36:$AB$36,"ERROR"))</f>
        <v/>
      </c>
      <c r="I22" s="25">
        <f>IF(COUNTIF(Summary!$B$36:$AB$36,"PASS")=(COUNTIF(Summary!$B$36:$AB$36,"PASS")+COUNTIF(Summary!$B$36:$AB$36,"FAIL")+COUNTIF(Summary!$B$36:$AB$36,"ERROR")),"PASS",IF(COUNTIF(Summary!$B$36:$AB$36,"ERROR")&gt;0,"ERROR","FAIL"))</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 on all 4 versions.</t>
        </is>
      </c>
      <c r="H23" s="25">
        <f>COUNTIF(Summary!$B$40:$AB$40,"PASS")&amp;" / "&amp;(COUNTIF(Summary!$B$40:$AB$40,"PASS")+COUNTIF(Summary!$B$40:$AB$40,"FAIL")+COUNTIF(Summary!$B$40:$AB$40,"ERROR"))</f>
        <v/>
      </c>
      <c r="I23" s="25">
        <f>IF(COUNTIF(Summary!$B$40:$AB$40,"PASS")=(COUNTIF(Summary!$B$40:$AB$40,"PASS")+COUNTIF(Summary!$B$40:$AB$40,"FAIL")+COUNTIF(Summary!$B$40:$AB$40,"ERROR")),"PASS",IF(COUNTIF(Summary!$B$40:$AB$40,"ERROR")&gt;0,"ERROR","FAIL"))</f>
        <v/>
      </c>
    </row>
    <row r="24" ht="96.59999999999999" customHeight="1" s="35">
      <c r="A24" s="21" t="inlineStr">
        <is>
          <t>issue_671</t>
        </is>
      </c>
      <c r="B24" s="22" t="inlineStr">
        <is>
          <t>Over-specific</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This is the only reason the LLM fails. QuantumCircuit(a, *v, b) passes every register check; without the unitary check it passes (checked on 5 versions) and the buggy code still fails. FAIL on all 27 versions.</t>
        </is>
      </c>
      <c r="H24" s="25">
        <f>COUNTIF(Summary!$B$43:$AB$43,"PASS")&amp;" / "&amp;(COUNTIF(Summary!$B$43:$AB$43,"PASS")+COUNTIF(Summary!$B$43:$AB$43,"FAIL")+COUNTIF(Summary!$B$43:$AB$43,"ERROR"))</f>
        <v/>
      </c>
      <c r="I24" s="25">
        <f>IF(COUNTIF(Summary!$B$43:$AB$43,"PASS")=(COUNTIF(Summary!$B$43:$AB$43,"PASS")+COUNTIF(Summary!$B$43:$AB$43,"FAIL")+COUNTIF(Summary!$B$43:$AB$43,"ERROR")),"PASS",IF(COUNTIF(Summary!$B$43:$AB$43,"ERROR")&gt;0,"ERROR","FAIL"))</f>
        <v/>
      </c>
    </row>
    <row r="25" ht="96.59999999999999" customHeight="1" s="35">
      <c r="A25" s="21" t="inlineStr">
        <is>
          <t>issue_775</t>
        </is>
      </c>
      <c r="B25" s="22" t="inlineStr">
        <is>
          <t>Over-specific</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This is the only reason the LLM fails (KeyError: 'qc'). A test that checks the executed result (success, 1 experiment, 2 qubits, 2 memory slots) passes the LLM fix on 0.25.0, 0.45.0 and 0.46.3 and still fails the buggy code. ERROR on all 12 versions.</t>
        </is>
      </c>
      <c r="H25" s="25">
        <f>COUNTIF(Summary!$B$50:$AB$50,"PASS")&amp;" / "&amp;(COUNTIF(Summary!$B$50:$AB$50,"PASS")+COUNTIF(Summary!$B$50:$AB$50,"FAIL")+COUNTIF(Summary!$B$50:$AB$50,"ERROR"))</f>
        <v/>
      </c>
      <c r="I25" s="25">
        <f>IF(COUNTIF(Summary!$B$50:$AB$50,"PASS")=(COUNTIF(Summary!$B$50:$AB$50,"PASS")+COUNTIF(Summary!$B$50:$AB$50,"FAIL")+COUNTIF(Summary!$B$50:$AB$50,"ERROR")),"PASS",IF(COUNTIF(Summary!$B$50:$AB$50,"ERROR")&gt;0,"ERROR","FAIL"))</f>
        <v/>
      </c>
    </row>
    <row r="26" ht="96.59999999999999" customHeight="1" s="35">
      <c r="A26" s="21" t="inlineStr">
        <is>
          <t>issue_747</t>
        </is>
      </c>
      <c r="B26" s="22" t="inlineStr">
        <is>
          <t>Borderline (count format)</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This is the only reason the LLM fails. Its statistics are correct GHZ statistics; a test that ignores the unused register passes it on 0.45.0 and 0.46.3. Still, leaving 3 unused classical bits is sloppier than the reference. FAIL on all 8 versions.</t>
        </is>
      </c>
      <c r="H26" s="25">
        <f>COUNTIF(Summary!$B$46:$AB$46,"PASS")&amp;" / "&amp;(COUNTIF(Summary!$B$46:$AB$46,"PASS")+COUNTIF(Summary!$B$46:$AB$46,"FAIL")+COUNTIF(Summary!$B$46:$AB$46,"ERROR"))</f>
        <v/>
      </c>
      <c r="I26" s="25">
        <f>IF(COUNTIF(Summary!$B$46:$AB$46,"PASS")=(COUNTIF(Summary!$B$46:$AB$46,"PASS")+COUNTIF(Summary!$B$46:$AB$46,"FAIL")+COUNTIF(Summary!$B$46:$AB$46,"ERROR")),"PASS",IF(COUNTIF(Summary!$B$46:$AB$46,"ERROR")&gt;0,"ERROR","FAIL"))</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ERROR on all 15 versions (KeyError: 'get_qiskit_gate').</t>
        </is>
      </c>
      <c r="H27" s="25">
        <f>COUNTIF(Summary!$B$48:$AB$48,"PASS")&amp;" / "&amp;(COUNTIF(Summary!$B$48:$AB$48,"PASS")+COUNTIF(Summary!$B$48:$AB$48,"FAIL")+COUNTIF(Summary!$B$48:$AB$48,"ERROR"))</f>
        <v/>
      </c>
      <c r="I27" s="25">
        <f>IF(COUNTIF(Summary!$B$48:$AB$48,"PASS")=(COUNTIF(Summary!$B$48:$AB$48,"PASS")+COUNTIF(Summary!$B$48:$AB$48,"FAIL")+COUNTIF(Summary!$B$48:$AB$48,"ERROR")),"PASS",IF(COUNTIF(Summary!$B$48:$AB$48,"ERROR")&gt;0,"ERROR","FAIL"))</f>
        <v/>
      </c>
    </row>
    <row r="28" ht="96.59999999999999" customHeight="1" s="35">
      <c r="A28" s="21" t="inlineStr">
        <is>
          <t>issue_810</t>
        </is>
      </c>
      <c r="B28" s="22" t="inlineStr">
        <is>
          <t>Over-specific</t>
        </is>
      </c>
      <c r="C28" s="23" t="inlineStr">
        <is>
          <t>Yes</t>
        </is>
      </c>
      <c r="D28" s="24" t="inlineStr">
        <is>
          <t>job.result(job) passes the job as a timeout and the code prints the whole Result; the user wants the raw measurement data (the counts).</t>
        </is>
      </c>
      <c r="E28" s="24" t="inlineStr">
        <is>
          <t>Reads the variable counts_dict: a dict with exactly 100 shots, outcomes {'0', '1'} near 50/50, equal to job.result().get_counts().</t>
        </is>
      </c>
      <c r="F28" s="24" t="inlineStr">
        <is>
          <t>It requires the reference's variable name counts_dict and exactly 100 shots, although the buggy code (and the question) uses 1024 shots; the reference changed the shot count.</t>
        </is>
      </c>
      <c r="G28" s="24" t="inlineStr">
        <is>
          <t>This is the only reason the LLM fails. a = job.result().get_counts() is the same call as the reference; a test that accepts any variable name and the script's own shot count passes it on 0.45.1 and 0.46.2. FAIL on both versions.</t>
        </is>
      </c>
      <c r="H28" s="25">
        <f>COUNTIF(Summary!$B$53:$AB$53,"PASS")&amp;" / "&amp;(COUNTIF(Summary!$B$53:$AB$53,"PASS")+COUNTIF(Summary!$B$53:$AB$53,"FAIL")+COUNTIF(Summary!$B$53:$AB$53,"ERROR"))</f>
        <v/>
      </c>
      <c r="I28" s="25">
        <f>IF(COUNTIF(Summary!$B$53:$AB$53,"PASS")=(COUNTIF(Summary!$B$53:$AB$53,"PASS")+COUNTIF(Summary!$B$53:$AB$53,"FAIL")+COUNTIF(Summary!$B$53:$AB$53,"ERROR")),"PASS",IF(COUNTIF(Summary!$B$53:$AB$53,"ERROR")&gt;0,"ERROR","FAIL"))</f>
        <v/>
      </c>
    </row>
    <row r="29" ht="96.59999999999999" customHeight="1" s="35">
      <c r="A29" s="21" t="inlineStr">
        <is>
          <t>issue_886</t>
        </is>
      </c>
      <c r="B29" s="22" t="inlineStr">
        <is>
          <t>Over-specific</t>
        </is>
      </c>
      <c r="C29" s="23" t="inlineStr">
        <is>
          <t>Yes</t>
        </is>
      </c>
      <c r="D29" s="24" t="inlineStr">
        <is>
          <t>Running a circuit with crx on qasm_simulator fails with 'unknown instruction: crx'; transpile the circuit for the backend first.</t>
        </is>
      </c>
      <c r="E29" s="24" t="inlineStr">
        <is>
          <t>The counts must be exactly {'00': 1024}, and the variable transpile_circ (without measurements) must have the exact controlled-RX unitary.</t>
        </is>
      </c>
      <c r="F29" s="24" t="inlineStr">
        <is>
          <t>The exact key '00' assumes the classical register from QuantumCircuit(2, 2) was removed, which the reference did but the question never asks for; the buggy code's measure_all() adds a second register. It also needs the variable name transpile_circ.</t>
        </is>
      </c>
      <c r="G29" s="24" t="inlineStr">
        <is>
          <t>This is the only reason the LLM fails. It transpiles exactly like the answer; a test that ignores the unused register and the variable name passes it on 0.45.0 and 0.45.1. FAIL on both versions.</t>
        </is>
      </c>
      <c r="H29" s="25">
        <f>COUNTIF(Summary!$B$57:$AB$57,"PASS")&amp;" / "&amp;(COUNTIF(Summary!$B$57:$AB$57,"PASS")+COUNTIF(Summary!$B$57:$AB$57,"FAIL")+COUNTIF(Summary!$B$57:$AB$57,"ERROR"))</f>
        <v/>
      </c>
      <c r="I29" s="25">
        <f>IF(COUNTIF(Summary!$B$57:$AB$57,"PASS")=(COUNTIF(Summary!$B$57:$AB$57,"PASS")+COUNTIF(Summary!$B$57:$AB$57,"FAIL")+COUNTIF(Summary!$B$57:$AB$57,"ERROR")),"PASS",IF(COUNTIF(Summary!$B$57:$AB$57,"ERROR")&gt;0,"ERROR","FAIL"))</f>
        <v/>
      </c>
    </row>
    <row r="30" ht="96.59999999999999" customHeight="1" s="35">
      <c r="A30" s="21" t="inlineStr">
        <is>
          <t>issue_911</t>
        </is>
      </c>
      <c r="B30" s="22" t="inlineStr">
        <is>
          <t>Over-specific (print format)</t>
        </is>
      </c>
      <c r="C30" s="23" t="inlineStr">
        <is>
          <t>Yes</t>
        </is>
      </c>
      <c r="D30" s="24" t="inlineStr">
        <is>
          <t>Print which qubits each gate acts on; qargs[1] fails on one-qubit gates, and Qubit no longer has .register / .index.</t>
        </is>
      </c>
      <c r="E30" s="24" t="inlineStr">
        <is>
          <t>Parses every printed line that starts with 'qargs :' as a Python list of integers and compares it with the gates' qubit indices.</t>
        </is>
      </c>
      <c r="F30" s="24" t="inlineStr">
        <is>
          <t>It requires the reference's exact print format, a list of ints on the 'qargs :' line. Printing the register and index of each qubit on separate lines carries the same information.</t>
        </is>
      </c>
      <c r="G30" s="24" t="inlineStr">
        <is>
          <t>This is the only reason the LLM fails. It prints each qubit's index with find_bit (and keeps the original 'qargs :' line with Qubit objects); a test that reads the indices in either format passes it on 0.45.0, 1.0.0, 1.2.4 and 2.5.0. ERROR on all 23 versions.</t>
        </is>
      </c>
      <c r="H30" s="25">
        <f>COUNTIF(Summary!$B$59:$AB$59,"PASS")&amp;" / "&amp;(COUNTIF(Summary!$B$59:$AB$59,"PASS")+COUNTIF(Summary!$B$59:$AB$59,"FAIL")+COUNTIF(Summary!$B$59:$AB$59,"ERROR"))</f>
        <v/>
      </c>
      <c r="I30" s="25">
        <f>IF(COUNTIF(Summary!$B$59:$AB$59,"PASS")=(COUNTIF(Summary!$B$59:$AB$59,"PASS")+COUNTIF(Summary!$B$59:$AB$59,"FAIL")+COUNTIF(Summary!$B$59:$AB$59,"ERROR")),"PASS",IF(COUNTIF(Summary!$B$59:$AB$59,"ERROR")&gt;0,"ERROR","FAIL"))</f>
        <v/>
      </c>
    </row>
    <row r="31" ht="96.59999999999999" customHeight="1" s="35">
      <c r="A31" s="21" t="inlineStr">
        <is>
          <t>issue_944</t>
        </is>
      </c>
      <c r="B31" s="22" t="inlineStr">
        <is>
          <t>Over-specific (operator type)</t>
        </is>
      </c>
      <c r="C31" s="23" t="inlineStr">
        <is>
          <t>Yes</t>
        </is>
      </c>
      <c r="D31" s="24" t="inlineStr">
        <is>
          <t>Plus @ ~Plus is not allowed in opflow, and a quantum_info Operator cannot go into NumPyEigensolver; build the projector |+&gt;&lt;+| as an operator the solver accepts.</t>
        </is>
      </c>
      <c r="E31" s="24" t="inlineStr">
        <is>
          <t>proj.data and op.to_matrix() must equal [[.5, .5], [.5, .5]], the smallest eigenvalue must be 0 and the full spectrum {0, 1}.</t>
        </is>
      </c>
      <c r="F31" s="24" t="inlineStr">
        <is>
          <t>proj.data only exists on the reference's quantum_info Operator, and op is the reference's variable name. The question is about opflow, and (I + X) / 2 is the same projector there.</t>
        </is>
      </c>
      <c r="G31" s="24" t="inlineStr">
        <is>
          <t>This is the only reason the LLM fails. Its opflow projector has the right matrix and eigenvalues; a test that accepts either operator type passes it on 0.25.0, 0.45.0 and 0.46.3. ERROR on all 12 versions.</t>
        </is>
      </c>
      <c r="H31" s="25">
        <f>COUNTIF(Summary!$B$61:$AB$61,"PASS")&amp;" / "&amp;(COUNTIF(Summary!$B$61:$AB$61,"PASS")+COUNTIF(Summary!$B$61:$AB$61,"FAIL")+COUNTIF(Summary!$B$61:$AB$61,"ERROR"))</f>
        <v/>
      </c>
      <c r="I31" s="25">
        <f>IF(COUNTIF(Summary!$B$61:$AB$61,"PASS")=(COUNTIF(Summary!$B$61:$AB$61,"PASS")+COUNTIF(Summary!$B$61:$AB$61,"FAIL")+COUNTIF(Summary!$B$61:$AB$61,"ERROR")),"PASS",IF(COUNTIF(Summary!$B$61:$AB$61,"ERROR")&gt;0,"ERROR","FAIL"))</f>
        <v/>
      </c>
    </row>
    <row r="32" ht="82.8" customHeight="1" s="35">
      <c r="A32" s="21" t="inlineStr">
        <is>
          <t>issue_877</t>
        </is>
      </c>
      <c r="B32" s="26" t="inlineStr">
        <is>
          <t>Over-specific (27 qubits), but not the reason</t>
        </is>
      </c>
      <c r="C32" s="27" t="inlineStr">
        <is>
          <t>Partly</t>
        </is>
      </c>
      <c r="D32" s="24" t="inlineStr">
        <is>
          <t>The user has no access to a large real backend, so backend is undefined; they want a noise model like a real device's.</t>
        </is>
      </c>
      <c r="E32" s="24" t="inlineStr">
        <is>
          <t>backend must have exactly 27 qubits, the noise model must not be ideal and must contain readout and gate errors, and it must run on a local AerSimulator.</t>
        </is>
      </c>
      <c r="F32" s="24" t="inlineStr">
        <is>
          <t>Exactly 27 qubits pins the reference's FakeKolkata; any large fake device would do. The non-ideal noise checks are fair.</t>
        </is>
      </c>
      <c r="G32" s="24" t="inlineStr">
        <is>
          <t>No change. The LLM's empty NoiseModel() has no noise at all, so it would fail a fair test too. ERROR on all 8 versions (KeyError: 'backend').</t>
        </is>
      </c>
      <c r="H32" s="25">
        <f>COUNTIF(Summary!$B$56:$AB$56,"PASS")&amp;" / "&amp;(COUNTIF(Summary!$B$56:$AB$56,"PASS")+COUNTIF(Summary!$B$56:$AB$56,"FAIL")+COUNTIF(Summary!$B$56:$AB$56,"ERROR"))</f>
        <v/>
      </c>
      <c r="I32" s="25">
        <f>IF(COUNTIF(Summary!$B$56:$AB$56,"PASS")=(COUNTIF(Summary!$B$56:$AB$56,"PASS")+COUNTIF(Summary!$B$56:$AB$56,"FAIL")+COUNTIF(Summary!$B$56:$AB$56,"ERROR")),"PASS",IF(COUNTIF(Summary!$B$56:$AB$56,"ERROR")&gt;0,"ERROR","FAIL"))</f>
        <v/>
      </c>
    </row>
    <row r="33" ht="96.59999999999999" customHeight="1" s="35">
      <c r="A33" s="21" t="inlineStr">
        <is>
          <t>issue_977</t>
        </is>
      </c>
      <c r="B33" s="22" t="inlineStr">
        <is>
          <t>Over-specific (variable name)</t>
        </is>
      </c>
      <c r="C33" s="23" t="inlineStr">
        <is>
          <t>Yes</t>
        </is>
      </c>
      <c r="D33" s="24" t="inlineStr">
        <is>
          <t>SparsePauliOp(matrix) fails because the constructor expects Pauli data; decompose the 4x4 Hamiltonian matrix into Pauli terms.</t>
        </is>
      </c>
      <c r="E33" s="24" t="inlineStr">
        <is>
          <t>The variable op must be a 2-qubit SparsePauliOp whose matrix equals the Hamiltonian and whose coefficients match the Pauli decomposition.</t>
        </is>
      </c>
      <c r="F33" s="24" t="inlineStr">
        <is>
          <t>It requires the reference's variable name op; the buggy code calls it H_op.</t>
        </is>
      </c>
      <c r="G33" s="24" t="inlineStr">
        <is>
          <t>This is the only reason the LLM fails. H_op = SparsePauliOp.from_operator(Hamiltonian) is the same call as the reference; a test that accepts any variable name passes it on 0.45.0, 0.46.3, 1.0.0, 1.2.4 and 2.5.0. ERROR on all 23 versions.</t>
        </is>
      </c>
      <c r="H33" s="25">
        <f>COUNTIF(Summary!$B$64:$AB$64,"PASS")&amp;" / "&amp;(COUNTIF(Summary!$B$64:$AB$64,"PASS")+COUNTIF(Summary!$B$64:$AB$64,"FAIL")+COUNTIF(Summary!$B$64:$AB$64,"ERROR"))</f>
        <v/>
      </c>
      <c r="I33" s="25">
        <f>IF(COUNTIF(Summary!$B$64:$AB$64,"PASS")=(COUNTIF(Summary!$B$64:$AB$64,"PASS")+COUNTIF(Summary!$B$64:$AB$64,"FAIL")+COUNTIF(Summary!$B$64:$AB$64,"ERROR")),"PASS",IF(COUNTIF(Summary!$B$64:$AB$64,"ERROR")&gt;0,"ERROR","FAIL"))</f>
        <v/>
      </c>
    </row>
    <row r="34" ht="96.59999999999999" customHeight="1" s="35">
      <c r="A34" s="21" t="inlineStr">
        <is>
          <t>issue_994</t>
        </is>
      </c>
      <c r="B34" s="22" t="inlineStr">
        <is>
          <t>Over-specific (snapshot method)</t>
        </is>
      </c>
      <c r="C34" s="23" t="inlineStr">
        <is>
          <t>Yes</t>
        </is>
      </c>
      <c r="D34" s="24" t="inlineStr">
        <is>
          <t>get_statevector() fails on QasmSimulator results because the simulator does not store the statevector unless asked to.</t>
        </is>
      </c>
      <c r="E34" s="24" t="inlineStr">
        <is>
          <t>The variable statevector must be the Bell state and must equal the circuit's 'final' statevector snapshot in the result.</t>
        </is>
      </c>
      <c r="F34" s="24" t="inlineStr">
        <is>
          <t>It requires the reference's snapshot approach and variable name. Saving the statevector with save_statevector() and reading it with get_statevector() gives the same state.</t>
        </is>
      </c>
      <c r="G34" s="24" t="inlineStr">
        <is>
          <t>This is the only reason the LLM fails. A test that takes the statevector from either the variable or get_statevector() passes it on 0.25.0 and 0.25.3. ERROR on all 4 versions.</t>
        </is>
      </c>
      <c r="H34" s="25">
        <f>COUNTIF(Summary!$B$67:$AB$67,"PASS")&amp;" / "&amp;(COUNTIF(Summary!$B$67:$AB$67,"PASS")+COUNTIF(Summary!$B$67:$AB$67,"FAIL")+COUNTIF(Summary!$B$67:$AB$67,"ERROR"))</f>
        <v/>
      </c>
      <c r="I34" s="25">
        <f>IF(COUNTIF(Summary!$B$67:$AB$67,"PASS")=(COUNTIF(Summary!$B$67:$AB$67,"PASS")+COUNTIF(Summary!$B$67:$AB$67,"FAIL")+COUNTIF(Summary!$B$67:$AB$67,"ERROR")),"PASS",IF(COUNTIF(Summary!$B$67:$AB$67,"ERROR")&gt;0,"ERROR","FAIL"))</f>
        <v/>
      </c>
    </row>
    <row r="35" ht="96.59999999999999" customHeight="1" s="35">
      <c r="A35" s="21" t="inlineStr">
        <is>
          <t>issue_1035</t>
        </is>
      </c>
      <c r="B35" s="22" t="inlineStr">
        <is>
          <t>Over-specific (variable name)</t>
        </is>
      </c>
      <c r="C35" s="23" t="inlineStr">
        <is>
          <t>Yes</t>
        </is>
      </c>
      <c r="D35" s="24" t="inlineStr">
        <is>
          <t>The Runtime service and session need an IBM account and real backend; run the estimator locally on a fake backend instead.</t>
        </is>
      </c>
      <c r="E35" s="24" t="inlineStr">
        <is>
          <t>No qiskit_ibm_runtime import; qc and O give expectation +1, and the variable result has one value within 0.2 of +1.</t>
        </is>
      </c>
      <c r="F35" s="24" t="inlineStr">
        <is>
          <t>It requires the variable name result; the LLM prints job.result().values without storing it.</t>
        </is>
      </c>
      <c r="G35" s="24" t="inlineStr">
        <is>
          <t>This is the only reason the LLM fails. Its Aer Estimator with FakeManila's noise model runs offline; a test that also accepts job.result() passes it on 0.45.0 and 0.46.3. ERROR on all 8 versions.</t>
        </is>
      </c>
      <c r="H35" s="25">
        <f>COUNTIF(Summary!$B$68:$AB$68,"PASS")&amp;" / "&amp;(COUNTIF(Summary!$B$68:$AB$68,"PASS")+COUNTIF(Summary!$B$68:$AB$68,"FAIL")+COUNTIF(Summary!$B$68:$AB$68,"ERROR"))</f>
        <v/>
      </c>
      <c r="I35" s="25">
        <f>IF(COUNTIF(Summary!$B$68:$AB$68,"PASS")=(COUNTIF(Summary!$B$68:$AB$68,"PASS")+COUNTIF(Summary!$B$68:$AB$68,"FAIL")+COUNTIF(Summary!$B$68:$AB$68,"ERROR")),"PASS",IF(COUNTIF(Summary!$B$68:$AB$68,"ERROR")&gt;0,"ERROR","FAIL"))</f>
        <v/>
      </c>
    </row>
    <row r="36" ht="82.8" customHeight="1" s="35">
      <c r="A36" s="21" t="inlineStr">
        <is>
          <t>issue_985</t>
        </is>
      </c>
      <c r="B36" s="26" t="inlineStr">
        <is>
          <t>Debatable (requires the phase to be dropped)</t>
        </is>
      </c>
      <c r="C36" s="27" t="inlineStr">
        <is>
          <t>Partly</t>
        </is>
      </c>
      <c r="D36" s="24" t="inlineStr">
        <is>
          <t>Can U1 be written with Rx, Ry, Rz while keeping the phase? transpile to ['rx', 'ry', 'rz'] fails on u1.</t>
        </is>
      </c>
      <c r="E36" s="24" t="inlineStr">
        <is>
          <t>transpiled uses only rx/ry/rz and equals U1 up to phase; it must also have determinant 1, i.e. not equal U1 exactly.</t>
        </is>
      </c>
      <c r="F36" s="24" t="inlineStr">
        <is>
          <t>The determinant check makes the answer's theory (rotation gates alone cannot carry the phase) mandatory and rules out keeping the phase with the circuit's global_phase attribute, which is what the question asks for in practice. The team's earlier test_before.py required the exact phase instead.</t>
        </is>
      </c>
      <c r="G36" s="24" t="inlineStr">
        <is>
          <t>The LLM's rz plus global_phase fix fails only the determinant check, passes test_before.py (where the reference fails) on 0.45.0, 1.2.4 and 2.5.0. FAIL on all 23 versions.</t>
        </is>
      </c>
      <c r="H36" s="25">
        <f>COUNTIF(Summary!$B$65:$AB$65,"PASS")&amp;" / "&amp;(COUNTIF(Summary!$B$65:$AB$65,"PASS")+COUNTIF(Summary!$B$65:$AB$65,"FAIL")+COUNTIF(Summary!$B$65:$AB$65,"ERROR"))</f>
        <v/>
      </c>
      <c r="I36" s="25">
        <f>IF(COUNTIF(Summary!$B$65:$AB$65,"PASS")=(COUNTIF(Summary!$B$65:$AB$65,"PASS")+COUNTIF(Summary!$B$65:$AB$65,"FAIL")+COUNTIF(Summary!$B$65:$AB$65,"ERROR")),"PASS",IF(COUNTIF(Summary!$B$65:$AB$65,"ERROR")&gt;0,"ERROR","FAIL"))</f>
        <v/>
      </c>
    </row>
    <row r="37" ht="82.8" customHeight="1" s="35">
      <c r="A37" s="21" t="inlineStr">
        <is>
          <t>issue_958</t>
        </is>
      </c>
      <c r="B37" s="26" t="inlineStr">
        <is>
          <t>Over-specific (qc2), but not the reason</t>
        </is>
      </c>
      <c r="C37" s="27" t="inlineStr">
        <is>
          <t>Partly</t>
        </is>
      </c>
      <c r="D37" s="24" t="inlineStr">
        <is>
          <t>-1 * qc.h is not allowed; the user wants the circuit -(H x H), i.e. H on both qubits with a -1 global phase.</t>
        </is>
      </c>
      <c r="E37" s="24" t="inlineStr">
        <is>
          <t>Both qc and qc2 must have the operator -(H x H) and the statevector [-.5, -.5, -.5, -.5].</t>
        </is>
      </c>
      <c r="F37" s="24" t="inlineStr">
        <is>
          <t>qc2 is the reference's alternative circuit built with global_phase=pi; the question only needs one circuit.</t>
        </is>
      </c>
      <c r="G37" s="24" t="inlineStr">
        <is>
          <t>No change. The LLM applies H a second time, so qc is the identity and fails the fair check too. FAIL on all 23 versions.</t>
        </is>
      </c>
      <c r="H37" s="25">
        <f>COUNTIF(Summary!$B$63:$AB$63,"PASS")&amp;" / "&amp;(COUNTIF(Summary!$B$63:$AB$63,"PASS")+COUNTIF(Summary!$B$63:$AB$63,"FAIL")+COUNTIF(Summary!$B$63:$AB$63,"ERROR"))</f>
        <v/>
      </c>
      <c r="I37" s="25">
        <f>IF(COUNTIF(Summary!$B$63:$AB$63,"PASS")=(COUNTIF(Summary!$B$63:$AB$63,"PASS")+COUNTIF(Summary!$B$63:$AB$63,"FAIL")+COUNTIF(Summary!$B$63:$AB$63,"ERROR")),"PASS",IF(COUNTIF(Summary!$B$63:$AB$63,"ERROR")&gt;0,"ERROR","FAIL"))</f>
        <v/>
      </c>
    </row>
    <row r="38" s="35"/>
    <row r="39" s="35">
      <c r="A39" s="60" t="inlineStr">
        <is>
          <t>Takeaway</t>
        </is>
      </c>
    </row>
    <row r="40" ht="240" customHeight="1" s="35">
      <c r="A40"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fails both, and relaxed tests pass the LLM fixes. issue_747 is borderline: the test requires the exact keys '000'/'111', and the LLM's measure_all() adds a second register. issue_769 needs the answer's function name, but the LLM fix would fail a fair test too. Batch 6: issue_810, issue_886, issue_911 and issue_944 are over-specific (a variable name and shot count, an exact count key and variable name, an exact print format, and an attribute only the reference's operator type has); in all four, relaxed tests pass the LLM fix and still fail the buggy code. issue_877 pins 27 qubits, but the LLM's empty noise model would fail a fair test too. Batch 7: issue_977, issue_994 and issue_1035 are over-specific (a variable name, the reference's snapshot method, and a variable name); in all three, relaxed tests pass the LLM fix and still fail the buggy code. issue_985 is debatable: the test requires the phase to be dropped, while the LLM keeps it exactly with global_phase (and passes the team's earlier test). issue_958 needs the reference's extra circuit qc2, but the LLM fix fails the fair check too. Batch 8: all 6 tests are fair. issue_790's reference fix was updated by the team on 6 Oct 2026 and now passes its test, and issue_827 got its test the same day. Relaxed tests run on every version (6 Oct 2026): for all 11 over-specific cases the relaxed test fails the buggy code, passes the reference and passes the LLM fix on every version; see the Relaxed Tests sheet.</t>
        </is>
      </c>
    </row>
    <row r="41" s="35"/>
  </sheetData>
  <mergeCells count="2">
    <mergeCell ref="A40:I40"/>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3" customWidth="1" style="35" min="1" max="1"/>
    <col width="7" customWidth="1" style="35" min="2" max="2"/>
    <col width="11" customWidth="1" style="35" min="3" max="3"/>
    <col width="22" customWidth="1" style="35" min="4" max="4"/>
    <col width="10" customWidth="1" style="35" min="5" max="5"/>
    <col width="12" customWidth="1" style="35" min="6" max="6"/>
    <col width="14" customWidth="1" style="35" min="7" max="7"/>
    <col width="16" customWidth="1" style="35" min="8" max="8"/>
    <col width="16" customWidth="1" style="35" min="9" max="9"/>
    <col width="18" customWidth="1" style="35" min="10" max="10"/>
  </cols>
  <sheetData>
    <row r="1">
      <c r="A1" s="60" t="inlineStr">
        <is>
          <t>Relaxed tests on every version (6 Oct 2026)</t>
        </is>
      </c>
    </row>
    <row r="2" ht="75" customHeight="1" s="35">
      <c r="A2" s="71" t="inlineStr">
        <is>
          <t>Each over-specific test was rewritten without the detail only the reference has (a variable name, print format, operator type, control order, noise-free counts or example gates). A relaxed test counts as valid on a version if it still fails buggy.py and passes fixed.py. issue_747 (borderline) uses a test that ignores the extra measure_all() register; issue_985 (debatable) uses the team's earlier test_before.py, which requires the exact U1 phase, so the reference is expected to fail it.</t>
        </is>
      </c>
    </row>
    <row r="4">
      <c r="A4" s="54" t="inlineStr">
        <is>
          <t>Case</t>
        </is>
      </c>
      <c r="B4" s="54" t="inlineStr">
        <is>
          <t>Batch</t>
        </is>
      </c>
      <c r="C4" s="54" t="inlineStr">
        <is>
          <t>Kind</t>
        </is>
      </c>
      <c r="D4" s="54" t="inlineStr">
        <is>
          <t>Relaxed test</t>
        </is>
      </c>
      <c r="E4" s="54" t="inlineStr">
        <is>
          <t>Versions</t>
        </is>
      </c>
      <c r="F4" s="54" t="inlineStr">
        <is>
          <t>Relaxed test valid</t>
        </is>
      </c>
      <c r="G4" s="54" t="inlineStr">
        <is>
          <t>Buggy</t>
        </is>
      </c>
      <c r="H4" s="54" t="inlineStr">
        <is>
          <t>Fixed (reference)</t>
        </is>
      </c>
      <c r="I4" s="54" t="inlineStr">
        <is>
          <t>LLM fix (relaxed)</t>
        </is>
      </c>
      <c r="J4" s="54" t="inlineStr">
        <is>
          <t>LLM fix (official test)</t>
        </is>
      </c>
    </row>
    <row r="5">
      <c r="A5" s="67" t="inlineStr">
        <is>
          <t>issue_189</t>
        </is>
      </c>
      <c r="B5" s="67" t="n">
        <v>2</v>
      </c>
      <c r="C5" s="67" t="inlineStr">
        <is>
          <t>strict</t>
        </is>
      </c>
      <c r="D5" s="67" t="inlineStr">
        <is>
          <t>189_relaxed_test.py</t>
        </is>
      </c>
      <c r="E5" s="67" t="n">
        <v>23</v>
      </c>
      <c r="F5" s="67" t="inlineStr">
        <is>
          <t>23 / 23</t>
        </is>
      </c>
      <c r="G5" s="67" t="inlineStr">
        <is>
          <t>ERROR 23</t>
        </is>
      </c>
      <c r="H5" s="67" t="inlineStr">
        <is>
          <t>PASS 23</t>
        </is>
      </c>
      <c r="I5" s="68" t="inlineStr">
        <is>
          <t>PASS 23</t>
        </is>
      </c>
      <c r="J5" s="67" t="inlineStr">
        <is>
          <t>FAIL 23</t>
        </is>
      </c>
    </row>
    <row r="6">
      <c r="A6" s="67" t="inlineStr">
        <is>
          <t>issue_622</t>
        </is>
      </c>
      <c r="B6" s="67" t="n">
        <v>4</v>
      </c>
      <c r="C6" s="67" t="inlineStr">
        <is>
          <t>strict</t>
        </is>
      </c>
      <c r="D6" s="67" t="inlineStr">
        <is>
          <t>622_relaxed_test.py</t>
        </is>
      </c>
      <c r="E6" s="67" t="n">
        <v>12</v>
      </c>
      <c r="F6" s="67" t="inlineStr">
        <is>
          <t>12 / 12</t>
        </is>
      </c>
      <c r="G6" s="67" t="inlineStr">
        <is>
          <t>ERROR 12</t>
        </is>
      </c>
      <c r="H6" s="67" t="inlineStr">
        <is>
          <t>PASS 12</t>
        </is>
      </c>
      <c r="I6" s="68" t="inlineStr">
        <is>
          <t>PASS 12</t>
        </is>
      </c>
      <c r="J6" s="67" t="inlineStr">
        <is>
          <t>FAIL 12</t>
        </is>
      </c>
    </row>
    <row r="7">
      <c r="A7" s="67" t="inlineStr">
        <is>
          <t>issue_671</t>
        </is>
      </c>
      <c r="B7" s="67" t="n">
        <v>5</v>
      </c>
      <c r="C7" s="67" t="inlineStr">
        <is>
          <t>strict</t>
        </is>
      </c>
      <c r="D7" s="67" t="inlineStr">
        <is>
          <t>671_relaxed_test.py</t>
        </is>
      </c>
      <c r="E7" s="67" t="n">
        <v>27</v>
      </c>
      <c r="F7" s="67" t="inlineStr">
        <is>
          <t>27 / 27</t>
        </is>
      </c>
      <c r="G7" s="67" t="inlineStr">
        <is>
          <t>ERROR 27</t>
        </is>
      </c>
      <c r="H7" s="67" t="inlineStr">
        <is>
          <t>PASS 27</t>
        </is>
      </c>
      <c r="I7" s="68" t="inlineStr">
        <is>
          <t>PASS 27</t>
        </is>
      </c>
      <c r="J7" s="67" t="inlineStr">
        <is>
          <t>FAIL 27</t>
        </is>
      </c>
    </row>
    <row r="8">
      <c r="A8" s="67" t="inlineStr">
        <is>
          <t>issue_775</t>
        </is>
      </c>
      <c r="B8" s="67" t="n">
        <v>5</v>
      </c>
      <c r="C8" s="67" t="inlineStr">
        <is>
          <t>strict</t>
        </is>
      </c>
      <c r="D8" s="67" t="inlineStr">
        <is>
          <t>775_relaxed_test.py</t>
        </is>
      </c>
      <c r="E8" s="67" t="n">
        <v>12</v>
      </c>
      <c r="F8" s="67" t="inlineStr">
        <is>
          <t>12 / 12</t>
        </is>
      </c>
      <c r="G8" s="67" t="inlineStr">
        <is>
          <t>ERROR 12</t>
        </is>
      </c>
      <c r="H8" s="67" t="inlineStr">
        <is>
          <t>PASS 12</t>
        </is>
      </c>
      <c r="I8" s="68" t="inlineStr">
        <is>
          <t>PASS 12</t>
        </is>
      </c>
      <c r="J8" s="67" t="inlineStr">
        <is>
          <t>ERROR 12</t>
        </is>
      </c>
    </row>
    <row r="9">
      <c r="A9" s="67" t="inlineStr">
        <is>
          <t>issue_810</t>
        </is>
      </c>
      <c r="B9" s="67" t="n">
        <v>6</v>
      </c>
      <c r="C9" s="67" t="inlineStr">
        <is>
          <t>strict</t>
        </is>
      </c>
      <c r="D9" s="67" t="inlineStr">
        <is>
          <t>810_relaxed_test.py</t>
        </is>
      </c>
      <c r="E9" s="67" t="n">
        <v>2</v>
      </c>
      <c r="F9" s="67" t="inlineStr">
        <is>
          <t>2 / 2</t>
        </is>
      </c>
      <c r="G9" s="67" t="inlineStr">
        <is>
          <t>FAIL 2</t>
        </is>
      </c>
      <c r="H9" s="67" t="inlineStr">
        <is>
          <t>PASS 2</t>
        </is>
      </c>
      <c r="I9" s="68" t="inlineStr">
        <is>
          <t>PASS 2</t>
        </is>
      </c>
      <c r="J9" s="67" t="inlineStr">
        <is>
          <t>FAIL 2</t>
        </is>
      </c>
    </row>
    <row r="10">
      <c r="A10" s="67" t="inlineStr">
        <is>
          <t>issue_886</t>
        </is>
      </c>
      <c r="B10" s="67" t="n">
        <v>6</v>
      </c>
      <c r="C10" s="67" t="inlineStr">
        <is>
          <t>strict</t>
        </is>
      </c>
      <c r="D10" s="67" t="inlineStr">
        <is>
          <t>886_relaxed_test.py</t>
        </is>
      </c>
      <c r="E10" s="67" t="n">
        <v>2</v>
      </c>
      <c r="F10" s="67" t="inlineStr">
        <is>
          <t>2 / 2</t>
        </is>
      </c>
      <c r="G10" s="67" t="inlineStr">
        <is>
          <t>ERROR 2</t>
        </is>
      </c>
      <c r="H10" s="67" t="inlineStr">
        <is>
          <t>PASS 2</t>
        </is>
      </c>
      <c r="I10" s="68" t="inlineStr">
        <is>
          <t>PASS 2</t>
        </is>
      </c>
      <c r="J10" s="67" t="inlineStr">
        <is>
          <t>FAIL 2</t>
        </is>
      </c>
    </row>
    <row r="11">
      <c r="A11" s="67" t="inlineStr">
        <is>
          <t>issue_911</t>
        </is>
      </c>
      <c r="B11" s="67" t="n">
        <v>6</v>
      </c>
      <c r="C11" s="67" t="inlineStr">
        <is>
          <t>strict</t>
        </is>
      </c>
      <c r="D11" s="67" t="inlineStr">
        <is>
          <t>911_relaxed_test.py</t>
        </is>
      </c>
      <c r="E11" s="67" t="n">
        <v>23</v>
      </c>
      <c r="F11" s="67" t="inlineStr">
        <is>
          <t>23 / 23</t>
        </is>
      </c>
      <c r="G11" s="67" t="inlineStr">
        <is>
          <t>ERROR 23</t>
        </is>
      </c>
      <c r="H11" s="67" t="inlineStr">
        <is>
          <t>PASS 23</t>
        </is>
      </c>
      <c r="I11" s="68" t="inlineStr">
        <is>
          <t>PASS 23</t>
        </is>
      </c>
      <c r="J11" s="67" t="inlineStr">
        <is>
          <t>ERROR 23</t>
        </is>
      </c>
    </row>
    <row r="12">
      <c r="A12" s="67" t="inlineStr">
        <is>
          <t>issue_944</t>
        </is>
      </c>
      <c r="B12" s="67" t="n">
        <v>6</v>
      </c>
      <c r="C12" s="67" t="inlineStr">
        <is>
          <t>strict</t>
        </is>
      </c>
      <c r="D12" s="67" t="inlineStr">
        <is>
          <t>944_relaxed_test.py</t>
        </is>
      </c>
      <c r="E12" s="67" t="n">
        <v>12</v>
      </c>
      <c r="F12" s="67" t="inlineStr">
        <is>
          <t>12 / 12</t>
        </is>
      </c>
      <c r="G12" s="67" t="inlineStr">
        <is>
          <t>ERROR 12</t>
        </is>
      </c>
      <c r="H12" s="67" t="inlineStr">
        <is>
          <t>PASS 12</t>
        </is>
      </c>
      <c r="I12" s="68" t="inlineStr">
        <is>
          <t>PASS 12</t>
        </is>
      </c>
      <c r="J12" s="67" t="inlineStr">
        <is>
          <t>ERROR 12</t>
        </is>
      </c>
    </row>
    <row r="13">
      <c r="A13" s="67" t="inlineStr">
        <is>
          <t>issue_977</t>
        </is>
      </c>
      <c r="B13" s="67" t="n">
        <v>7</v>
      </c>
      <c r="C13" s="67" t="inlineStr">
        <is>
          <t>strict</t>
        </is>
      </c>
      <c r="D13" s="67" t="inlineStr">
        <is>
          <t>977_relaxed_test.py</t>
        </is>
      </c>
      <c r="E13" s="67" t="n">
        <v>23</v>
      </c>
      <c r="F13" s="67" t="inlineStr">
        <is>
          <t>23 / 23</t>
        </is>
      </c>
      <c r="G13" s="67" t="inlineStr">
        <is>
          <t>ERROR 23</t>
        </is>
      </c>
      <c r="H13" s="67" t="inlineStr">
        <is>
          <t>PASS 23</t>
        </is>
      </c>
      <c r="I13" s="68" t="inlineStr">
        <is>
          <t>PASS 23</t>
        </is>
      </c>
      <c r="J13" s="67" t="inlineStr">
        <is>
          <t>ERROR 23</t>
        </is>
      </c>
    </row>
    <row r="14">
      <c r="A14" s="67" t="inlineStr">
        <is>
          <t>issue_994</t>
        </is>
      </c>
      <c r="B14" s="67" t="n">
        <v>7</v>
      </c>
      <c r="C14" s="67" t="inlineStr">
        <is>
          <t>strict</t>
        </is>
      </c>
      <c r="D14" s="67" t="inlineStr">
        <is>
          <t>994_relaxed_test.py</t>
        </is>
      </c>
      <c r="E14" s="67" t="n">
        <v>4</v>
      </c>
      <c r="F14" s="67" t="inlineStr">
        <is>
          <t>4 / 4</t>
        </is>
      </c>
      <c r="G14" s="67" t="inlineStr">
        <is>
          <t>ERROR 4</t>
        </is>
      </c>
      <c r="H14" s="67" t="inlineStr">
        <is>
          <t>PASS 4</t>
        </is>
      </c>
      <c r="I14" s="68" t="inlineStr">
        <is>
          <t>PASS 4</t>
        </is>
      </c>
      <c r="J14" s="67" t="inlineStr">
        <is>
          <t>ERROR 4</t>
        </is>
      </c>
    </row>
    <row r="15">
      <c r="A15" s="67" t="inlineStr">
        <is>
          <t>issue_1035</t>
        </is>
      </c>
      <c r="B15" s="67" t="n">
        <v>7</v>
      </c>
      <c r="C15" s="67" t="inlineStr">
        <is>
          <t>strict</t>
        </is>
      </c>
      <c r="D15" s="67" t="inlineStr">
        <is>
          <t>1035_relaxed_test.py</t>
        </is>
      </c>
      <c r="E15" s="67" t="n">
        <v>8</v>
      </c>
      <c r="F15" s="67" t="inlineStr">
        <is>
          <t>8 / 8</t>
        </is>
      </c>
      <c r="G15" s="67" t="inlineStr">
        <is>
          <t>FAIL 8</t>
        </is>
      </c>
      <c r="H15" s="67" t="inlineStr">
        <is>
          <t>PASS 8</t>
        </is>
      </c>
      <c r="I15" s="68" t="inlineStr">
        <is>
          <t>PASS 8</t>
        </is>
      </c>
      <c r="J15" s="67" t="inlineStr">
        <is>
          <t>ERROR 8</t>
        </is>
      </c>
    </row>
    <row r="16">
      <c r="A16" s="67" t="inlineStr">
        <is>
          <t>issue_747</t>
        </is>
      </c>
      <c r="B16" s="67" t="n">
        <v>5</v>
      </c>
      <c r="C16" s="67" t="inlineStr">
        <is>
          <t>borderline</t>
        </is>
      </c>
      <c r="D16" s="67" t="inlineStr">
        <is>
          <t>747_relaxed_test.py</t>
        </is>
      </c>
      <c r="E16" s="67" t="n">
        <v>8</v>
      </c>
      <c r="F16" s="67" t="inlineStr">
        <is>
          <t>8 / 8</t>
        </is>
      </c>
      <c r="G16" s="67" t="inlineStr">
        <is>
          <t>ERROR 8</t>
        </is>
      </c>
      <c r="H16" s="67" t="inlineStr">
        <is>
          <t>PASS 8</t>
        </is>
      </c>
      <c r="I16" s="68" t="inlineStr">
        <is>
          <t>PASS 8</t>
        </is>
      </c>
      <c r="J16" s="67" t="inlineStr">
        <is>
          <t>FAIL 8</t>
        </is>
      </c>
    </row>
    <row r="17">
      <c r="A17" s="67" t="inlineStr">
        <is>
          <t>issue_985</t>
        </is>
      </c>
      <c r="B17" s="67" t="n">
        <v>7</v>
      </c>
      <c r="C17" s="67" t="inlineStr">
        <is>
          <t>debatable</t>
        </is>
      </c>
      <c r="D17" s="67" t="inlineStr">
        <is>
          <t>test_before.py</t>
        </is>
      </c>
      <c r="E17" s="67" t="n">
        <v>23</v>
      </c>
      <c r="F17" s="67" t="inlineStr">
        <is>
          <t>0 / 23</t>
        </is>
      </c>
      <c r="G17" s="67" t="inlineStr">
        <is>
          <t>ERROR 23</t>
        </is>
      </c>
      <c r="H17" s="67" t="inlineStr">
        <is>
          <t>FAIL 23</t>
        </is>
      </c>
      <c r="I17" s="68" t="inlineStr">
        <is>
          <t>PASS 23</t>
        </is>
      </c>
      <c r="J17" s="67" t="inlineStr">
        <is>
          <t>FAIL 23</t>
        </is>
      </c>
    </row>
    <row r="19">
      <c r="A19" s="60" t="inlineStr">
        <is>
          <t>Over-specific cases (11): relaxed test valid on 148 / 148 pairs; LLM fix passes 148 / 148.</t>
        </is>
      </c>
    </row>
  </sheetData>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2026-10-06T15:45:19Z</dcterms:modified>
  <cp:lastModifiedBy>Saumya Brahmbhatt</cp:lastModifiedBy>
</cp:coreProperties>
</file>