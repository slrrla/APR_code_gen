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516" yWindow="3360" windowWidth="17280" windowHeight="8880" tabRatio="600" firstSheet="0" activeTab="0" autoFilterDateGrouping="1"/>
  </bookViews>
  <sheets>
    <sheet name="Summary" sheetId="1" state="visible" r:id="rId1"/>
    <sheet name="Stats &amp; Notes" sheetId="2" state="visible" r:id="rId2"/>
    <sheet name="Test Review" sheetId="3" state="visible" r:id="rId3"/>
  </sheets>
  <definedNames/>
  <calcPr calcId="19102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FFFFFFFF"/>
      <sz val="10"/>
    </font>
    <font>
      <name val="Arial"/>
      <sz val="10"/>
    </font>
    <font>
      <name val="Arial"/>
      <b val="1"/>
      <sz val="14"/>
    </font>
    <font>
      <name val="Arial"/>
      <i val="1"/>
      <sz val="9"/>
    </font>
    <font>
      <name val="Arial"/>
      <b val="1"/>
      <sz val="12"/>
    </font>
    <font>
      <name val="Arial"/>
      <b val="1"/>
      <sz val="10"/>
    </font>
    <font>
      <name val="Arial"/>
      <i val="1"/>
      <sz val="10"/>
    </font>
    <font>
      <name val="Arial"/>
      <b val="1"/>
      <sz val="11"/>
    </font>
    <font>
      <name val="Arial"/>
      <sz val="11"/>
    </font>
    <font>
      <name val="Arial"/>
      <b val="1"/>
      <color rgb="00FFFFFF"/>
      <sz val="10"/>
    </font>
    <font>
      <b val="1"/>
      <color rgb="00FFFFFF"/>
    </font>
    <font>
      <b val="1"/>
    </font>
  </fonts>
  <fills count="15">
    <fill>
      <patternFill/>
    </fill>
    <fill>
      <patternFill patternType="gray125"/>
    </fill>
    <fill>
      <patternFill patternType="solid">
        <fgColor rgb="FF1F4E78"/>
      </patternFill>
    </fill>
    <fill>
      <patternFill patternType="solid">
        <fgColor rgb="FFEDEDED"/>
      </patternFill>
    </fill>
    <fill>
      <patternFill patternType="solid">
        <fgColor rgb="FFFFEB9C"/>
      </patternFill>
    </fill>
    <fill>
      <patternFill patternType="solid">
        <fgColor rgb="FFFFC7CE"/>
      </patternFill>
    </fill>
    <fill>
      <patternFill patternType="solid">
        <fgColor rgb="FFC6EFCE"/>
      </patternFill>
    </fill>
    <fill>
      <patternFill patternType="solid">
        <fgColor rgb="FFD9E1F2"/>
      </patternFill>
    </fill>
    <fill>
      <patternFill patternType="solid">
        <fgColor rgb="FFFFC7CE"/>
      </patternFill>
    </fill>
    <fill>
      <patternFill patternType="solid">
        <fgColor rgb="FFFFEB9C"/>
      </patternFill>
    </fill>
    <fill>
      <patternFill patternType="solid">
        <fgColor rgb="001F4E78"/>
      </patternFill>
    </fill>
    <fill>
      <patternFill patternType="solid">
        <fgColor rgb="00EDEDED"/>
      </patternFill>
    </fill>
    <fill>
      <patternFill patternType="solid">
        <fgColor rgb="00FFEB9C"/>
      </patternFill>
    </fill>
    <fill>
      <patternFill patternType="solid">
        <fgColor rgb="00FFC7CE"/>
      </patternFill>
    </fill>
    <fill>
      <patternFill patternType="solid">
        <fgColor rgb="00C6EFCE"/>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2">
    <xf numFmtId="0" fontId="0" fillId="0" borderId="0" pivotButton="0" quotePrefix="0" xfId="0"/>
    <xf numFmtId="0" fontId="1" fillId="2" borderId="0" applyAlignment="1" pivotButton="0" quotePrefix="0" xfId="0">
      <alignment vertical="center" wrapText="1"/>
    </xf>
    <xf numFmtId="0" fontId="2" fillId="0" borderId="1" pivotButton="0" quotePrefix="0" xfId="0"/>
    <xf numFmtId="0" fontId="2" fillId="3" borderId="1" applyAlignment="1" pivotButton="0" quotePrefix="0" xfId="0">
      <alignment horizontal="center"/>
    </xf>
    <xf numFmtId="0" fontId="2" fillId="5" borderId="1" applyAlignment="1" pivotButton="0" quotePrefix="0" xfId="0">
      <alignment horizontal="center"/>
    </xf>
    <xf numFmtId="0" fontId="2" fillId="6" borderId="1"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vertical="center" wrapText="1"/>
    </xf>
    <xf numFmtId="0" fontId="2" fillId="6" borderId="1" pivotButton="0" quotePrefix="0" xfId="0"/>
    <xf numFmtId="164" fontId="2" fillId="0" borderId="1" pivotButton="0" quotePrefix="0" xfId="0"/>
    <xf numFmtId="0" fontId="2" fillId="5" borderId="1" pivotButton="0" quotePrefix="0" xfId="0"/>
    <xf numFmtId="0" fontId="2" fillId="4" borderId="1" pivotButton="0" quotePrefix="0" xfId="0"/>
    <xf numFmtId="0" fontId="6" fillId="0" borderId="1" pivotButton="0" quotePrefix="0" xfId="0"/>
    <xf numFmtId="164" fontId="6" fillId="0" borderId="1" pivotButton="0" quotePrefix="0" xfId="0"/>
    <xf numFmtId="0" fontId="2" fillId="6"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0" fontId="2" fillId="4" borderId="1" applyAlignment="1" pivotButton="0" quotePrefix="0" xfId="0">
      <alignment vertical="top" wrapText="1"/>
    </xf>
    <xf numFmtId="0" fontId="8" fillId="7" borderId="2" applyAlignment="1" pivotButton="0" quotePrefix="0" xfId="0">
      <alignment vertical="center" wrapText="1"/>
    </xf>
    <xf numFmtId="0" fontId="8" fillId="0" borderId="2" applyAlignment="1" pivotButton="0" quotePrefix="0" xfId="0">
      <alignment vertical="top" wrapText="1"/>
    </xf>
    <xf numFmtId="0" fontId="8" fillId="8" borderId="2" applyAlignment="1" pivotButton="0" quotePrefix="0" xfId="0">
      <alignment vertical="top" wrapText="1"/>
    </xf>
    <xf numFmtId="0" fontId="9" fillId="8" borderId="2" applyAlignment="1" pivotButton="0" quotePrefix="0" xfId="0">
      <alignment vertical="top" wrapText="1"/>
    </xf>
    <xf numFmtId="0" fontId="9" fillId="0" borderId="2" applyAlignment="1" pivotButton="0" quotePrefix="0" xfId="0">
      <alignment vertical="top" wrapText="1"/>
    </xf>
    <xf numFmtId="0" fontId="9" fillId="0" borderId="2" applyAlignment="1" pivotButton="0" quotePrefix="0" xfId="0">
      <alignment horizontal="center" vertical="top"/>
    </xf>
    <xf numFmtId="0" fontId="8" fillId="9" borderId="2" applyAlignment="1" pivotButton="0" quotePrefix="0" xfId="0">
      <alignment vertical="top" wrapText="1"/>
    </xf>
    <xf numFmtId="0" fontId="9" fillId="9" borderId="2" applyAlignment="1" pivotButton="0" quotePrefix="0" xfId="0">
      <alignment vertical="top" wrapText="1"/>
    </xf>
    <xf numFmtId="0" fontId="8" fillId="0" borderId="0" pivotButton="0" quotePrefix="0" xfId="0"/>
    <xf numFmtId="0" fontId="2" fillId="9" borderId="1" applyAlignment="1" pivotButton="0" quotePrefix="0" xfId="0">
      <alignment horizontal="center"/>
    </xf>
    <xf numFmtId="0" fontId="2" fillId="8" borderId="1" applyAlignment="1" pivotButton="0" quotePrefix="0" xfId="0">
      <alignment horizontal="center"/>
    </xf>
    <xf numFmtId="0" fontId="2" fillId="8" borderId="1" pivotButton="0" quotePrefix="0" xfId="0"/>
    <xf numFmtId="0" fontId="2" fillId="0" borderId="1" applyAlignment="1" pivotButton="0" quotePrefix="0" xfId="0">
      <alignment vertical="top"/>
    </xf>
    <xf numFmtId="0" fontId="2" fillId="0" borderId="1" applyAlignment="1" pivotButton="0" quotePrefix="0" xfId="0">
      <alignment horizontal="center" vertical="top"/>
    </xf>
    <xf numFmtId="0" fontId="9" fillId="0" borderId="0" applyAlignment="1" pivotButton="0" quotePrefix="0" xfId="0">
      <alignment vertical="top" wrapText="1"/>
    </xf>
    <xf numFmtId="0" fontId="0" fillId="0" borderId="0" pivotButton="0" quotePrefix="0" xfId="0"/>
    <xf numFmtId="0" fontId="7" fillId="0" borderId="0" applyAlignment="1" pivotButton="0" quotePrefix="0" xfId="0">
      <alignment vertical="top" wrapText="1"/>
    </xf>
    <xf numFmtId="0" fontId="10" fillId="10" borderId="0" applyAlignment="1" pivotButton="0" quotePrefix="0" xfId="0">
      <alignment vertical="center" wrapText="1"/>
    </xf>
    <xf numFmtId="0" fontId="2" fillId="0" borderId="3" pivotButton="0" quotePrefix="0" xfId="0"/>
    <xf numFmtId="0" fontId="2" fillId="11" borderId="3" applyAlignment="1" pivotButton="0" quotePrefix="0" xfId="0">
      <alignment horizontal="center"/>
    </xf>
    <xf numFmtId="0" fontId="2" fillId="12" borderId="3" applyAlignment="1" pivotButton="0" quotePrefix="0" xfId="0">
      <alignment horizontal="center"/>
    </xf>
    <xf numFmtId="0" fontId="2" fillId="13" borderId="3" applyAlignment="1" pivotButton="0" quotePrefix="0" xfId="0">
      <alignment horizontal="center"/>
    </xf>
    <xf numFmtId="0" fontId="2" fillId="14" borderId="3" applyAlignment="1" pivotButton="0" quotePrefix="0" xfId="0">
      <alignment horizontal="center"/>
    </xf>
    <xf numFmtId="0" fontId="10" fillId="10" borderId="3" applyAlignment="1" pivotButton="0" quotePrefix="0" xfId="0">
      <alignment vertical="center" wrapText="1"/>
    </xf>
    <xf numFmtId="0" fontId="2" fillId="14" borderId="3" pivotButton="0" quotePrefix="0" xfId="0"/>
    <xf numFmtId="164" fontId="2" fillId="0" borderId="3" pivotButton="0" quotePrefix="0" xfId="0"/>
    <xf numFmtId="0" fontId="2" fillId="13" borderId="3" pivotButton="0" quotePrefix="0" xfId="0"/>
    <xf numFmtId="0" fontId="2" fillId="12" borderId="3" pivotButton="0" quotePrefix="0" xfId="0"/>
    <xf numFmtId="0" fontId="6" fillId="0" borderId="3" pivotButton="0" quotePrefix="0" xfId="0"/>
    <xf numFmtId="164" fontId="6" fillId="0" borderId="3" pivotButton="0" quotePrefix="0" xfId="0"/>
    <xf numFmtId="0" fontId="2" fillId="0" borderId="3" applyAlignment="1" pivotButton="0" quotePrefix="0" xfId="0">
      <alignment vertical="top" wrapText="1"/>
    </xf>
    <xf numFmtId="0" fontId="2" fillId="14" borderId="3" applyAlignment="1" pivotButton="0" quotePrefix="0" xfId="0">
      <alignment vertical="top" wrapText="1"/>
    </xf>
    <xf numFmtId="0" fontId="2" fillId="13" borderId="3" applyAlignment="1" pivotButton="0" quotePrefix="0" xfId="0">
      <alignment vertical="top" wrapText="1"/>
    </xf>
    <xf numFmtId="0" fontId="2" fillId="12" borderId="3" applyAlignment="1" pivotButton="0" quotePrefix="0" xfId="0">
      <alignment vertical="top" wrapText="1"/>
    </xf>
    <xf numFmtId="0" fontId="11" fillId="10" borderId="3" applyAlignment="1" pivotButton="0" quotePrefix="0" xfId="0">
      <alignment vertical="center" wrapText="1"/>
    </xf>
    <xf numFmtId="0" fontId="0" fillId="0" borderId="3" pivotButton="0" quotePrefix="0" xfId="0"/>
    <xf numFmtId="0" fontId="0" fillId="11" borderId="3" applyAlignment="1" pivotButton="0" quotePrefix="0" xfId="0">
      <alignment horizontal="center"/>
    </xf>
    <xf numFmtId="0" fontId="0" fillId="12" borderId="3" applyAlignment="1" pivotButton="0" quotePrefix="0" xfId="0">
      <alignment horizontal="center"/>
    </xf>
    <xf numFmtId="0" fontId="0" fillId="13" borderId="3" applyAlignment="1" pivotButton="0" quotePrefix="0" xfId="0">
      <alignment horizontal="center"/>
    </xf>
    <xf numFmtId="0" fontId="0" fillId="14" borderId="3" applyAlignment="1" pivotButton="0" quotePrefix="0" xfId="0">
      <alignment horizontal="center"/>
    </xf>
    <xf numFmtId="0" fontId="12" fillId="0" borderId="0" pivotButton="0" quotePrefix="0" xfId="0"/>
    <xf numFmtId="0" fontId="0" fillId="14" borderId="3" pivotButton="0" quotePrefix="0" xfId="0"/>
    <xf numFmtId="164" fontId="0" fillId="0" borderId="3" pivotButton="0" quotePrefix="0" xfId="0"/>
    <xf numFmtId="0" fontId="0" fillId="13" borderId="3" pivotButton="0" quotePrefix="0" xfId="0"/>
    <xf numFmtId="0" fontId="0" fillId="12" borderId="3" pivotButton="0" quotePrefix="0" xfId="0"/>
    <xf numFmtId="0" fontId="12" fillId="0" borderId="3" pivotButton="0" quotePrefix="0" xfId="0"/>
    <xf numFmtId="164" fontId="12" fillId="0" borderId="3" pivotButton="0" quotePrefix="0" xfId="0"/>
    <xf numFmtId="0" fontId="0" fillId="0" borderId="3" applyAlignment="1" pivotButton="0" quotePrefix="0" xfId="0">
      <alignment vertical="top" wrapText="1"/>
    </xf>
    <xf numFmtId="0" fontId="0" fillId="14" borderId="3" applyAlignment="1" pivotButton="0" quotePrefix="0" xfId="0">
      <alignment vertical="top" wrapText="1"/>
    </xf>
    <xf numFmtId="0" fontId="0" fillId="13" borderId="3" applyAlignment="1" pivotButton="0" quotePrefix="0" xfId="0">
      <alignment vertical="top" wrapText="1"/>
    </xf>
    <xf numFmtId="0" fontId="0" fillId="12" borderId="3"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dxfs count="4">
    <dxf>
      <fill>
        <patternFill patternType="solid">
          <fgColor rgb="FFFFC7CE"/>
        </patternFill>
      </fill>
    </dxf>
    <dxf>
      <fill>
        <patternFill patternType="solid">
          <fgColor rgb="FFC6EFCE"/>
        </patternFill>
      </fill>
    </dxf>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7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style="35" min="1" max="1"/>
    <col width="14" customWidth="1" style="35" min="2" max="2"/>
    <col width="14" customWidth="1" style="35" min="3" max="3"/>
    <col width="14" customWidth="1" style="35" min="4" max="4"/>
    <col width="14" customWidth="1" style="35" min="5" max="5"/>
    <col width="14" customWidth="1" style="35" min="6" max="6"/>
    <col width="14" customWidth="1" style="35" min="7" max="7"/>
    <col width="14" customWidth="1" style="35" min="8" max="8"/>
    <col width="14" customWidth="1" style="35" min="9" max="9"/>
    <col width="14" customWidth="1" style="35" min="10" max="10"/>
    <col width="14" customWidth="1" style="35" min="11" max="11"/>
    <col width="14" customWidth="1" style="35" min="12" max="12"/>
    <col width="14" customWidth="1" style="35" min="13" max="13"/>
    <col width="14" customWidth="1" style="35" min="14" max="14"/>
    <col width="14" customWidth="1" style="35" min="15" max="15"/>
    <col width="14" customWidth="1" style="35" min="16" max="16"/>
    <col width="14" customWidth="1" style="35" min="17" max="17"/>
    <col width="14" customWidth="1" style="35" min="18" max="18"/>
    <col width="14" customWidth="1" style="35" min="19" max="19"/>
    <col width="14" customWidth="1" style="35" min="20" max="20"/>
    <col width="14" customWidth="1" style="35" min="21" max="21"/>
    <col width="14" customWidth="1" style="35" min="22" max="22"/>
    <col width="14" customWidth="1" style="35" min="23" max="23"/>
    <col width="14" customWidth="1" style="35" min="24" max="24"/>
    <col width="14" customWidth="1" style="35" min="25" max="25"/>
    <col width="14" customWidth="1" style="35" min="26" max="26"/>
    <col width="14" customWidth="1" style="35" min="27" max="27"/>
    <col width="14" customWidth="1" style="35" min="28" max="28"/>
    <col width="28" customWidth="1" style="35" min="29" max="29"/>
    <col width="28" customWidth="1" style="35" min="30" max="30"/>
    <col width="28" customWidth="1" style="35" min="31" max="31"/>
    <col width="28" customWidth="1" style="35" min="32" max="32"/>
    <col width="28" customWidth="1" style="35" min="33" max="33"/>
    <col width="28" customWidth="1" style="35" min="34" max="34"/>
    <col width="28" customWidth="1" style="35" min="35" max="35"/>
    <col width="28" customWidth="1" style="35" min="36" max="36"/>
    <col width="28" customWidth="1" style="35" min="37" max="37"/>
    <col width="28" customWidth="1" style="35" min="38" max="38"/>
    <col width="28" customWidth="1" style="35" min="39" max="39"/>
    <col width="28" customWidth="1" style="35" min="40" max="40"/>
    <col width="28" customWidth="1" style="35" min="41" max="41"/>
    <col width="28" customWidth="1" style="35" min="42" max="42"/>
    <col width="28" customWidth="1" style="35" min="43" max="43"/>
    <col width="28" customWidth="1" style="35" min="44" max="44"/>
    <col width="28" customWidth="1" style="35" min="45" max="45"/>
    <col width="28" customWidth="1" style="35" min="46" max="46"/>
    <col width="28" customWidth="1" style="35" min="47" max="47"/>
    <col width="28" customWidth="1" style="35" min="48" max="48"/>
    <col width="28" customWidth="1" style="35" min="49" max="49"/>
    <col width="28" customWidth="1" style="35" min="50" max="50"/>
    <col width="28" customWidth="1" style="35" min="51" max="51"/>
    <col width="28" customWidth="1" style="35" min="52" max="52"/>
    <col width="28" customWidth="1" style="35" min="53" max="53"/>
    <col width="28" customWidth="1" style="35" min="54" max="54"/>
    <col width="28" customWidth="1" style="35" min="55" max="55"/>
    <col width="28" customWidth="1" style="35" min="56" max="56"/>
    <col width="28" customWidth="1" style="35" min="57" max="57"/>
    <col width="28" customWidth="1" style="35" min="58" max="58"/>
    <col width="28" customWidth="1" style="35" min="59" max="59"/>
    <col width="28" customWidth="1" style="35" min="60" max="60"/>
    <col width="28" customWidth="1" style="35" min="61" max="61"/>
    <col width="28" customWidth="1" style="35" min="62" max="62"/>
    <col width="28" customWidth="1" style="35" min="63" max="63"/>
    <col width="28" customWidth="1" style="35" min="64" max="64"/>
    <col width="28" customWidth="1" style="35" min="65" max="65"/>
    <col width="28" customWidth="1" style="35" min="66" max="66"/>
    <col width="28" customWidth="1" style="35" min="67" max="67"/>
    <col width="28" customWidth="1" style="35" min="68" max="68"/>
    <col width="28" customWidth="1" style="35" min="69" max="69"/>
    <col width="28" customWidth="1" style="35" min="70" max="70"/>
    <col width="28" customWidth="1" style="35" min="71" max="71"/>
    <col width="28" customWidth="1" style="35" min="72" max="72"/>
    <col width="28" customWidth="1" style="35" min="73" max="73"/>
    <col width="28" customWidth="1" style="35" min="74" max="74"/>
    <col width="28" customWidth="1" style="35" min="75" max="75"/>
    <col width="28" customWidth="1" style="35" min="76" max="76"/>
    <col width="28" customWidth="1" style="35" min="77" max="77"/>
    <col width="28" customWidth="1" style="35" min="78" max="78"/>
    <col width="28" customWidth="1" style="35" min="79" max="79"/>
    <col width="28" customWidth="1" style="35" min="80" max="80"/>
    <col width="28" customWidth="1" style="35" min="81" max="81"/>
    <col width="28" customWidth="1" style="35" min="82" max="82"/>
    <col width="28" customWidth="1" style="35" min="83" max="83"/>
    <col width="28" customWidth="1" style="35" min="84" max="84"/>
    <col width="28" customWidth="1" style="35" min="85" max="85"/>
    <col width="28" customWidth="1" style="35" min="86" max="86"/>
    <col width="28" customWidth="1" style="35" min="87" max="87"/>
    <col width="28" customWidth="1" style="35" min="88" max="88"/>
    <col width="28" customWidth="1" style="35" min="89" max="89"/>
    <col width="28" customWidth="1" style="35" min="90" max="90"/>
    <col width="28" customWidth="1" style="35" min="91" max="91"/>
    <col width="28" customWidth="1" style="35" min="92" max="92"/>
    <col width="28" customWidth="1" style="35" min="93" max="93"/>
    <col width="28" customWidth="1" style="35" min="94" max="94"/>
    <col width="28" customWidth="1" style="35" min="95" max="95"/>
    <col width="28" customWidth="1" style="35" min="96" max="96"/>
    <col width="28" customWidth="1" style="35" min="97" max="97"/>
    <col width="28" customWidth="1" style="35" min="98" max="98"/>
    <col width="28" customWidth="1" style="35" min="99" max="99"/>
    <col width="28" customWidth="1" style="35" min="100" max="100"/>
    <col width="28" customWidth="1" style="35" min="101" max="101"/>
    <col width="28" customWidth="1" style="35" min="102" max="102"/>
    <col width="28" customWidth="1" style="35" min="103" max="103"/>
    <col width="28" customWidth="1" style="35" min="104" max="104"/>
    <col width="28" customWidth="1" style="35" min="105" max="105"/>
    <col width="28" customWidth="1" style="35" min="106" max="106"/>
    <col width="28" customWidth="1" style="35" min="107" max="107"/>
    <col width="28" customWidth="1" style="35" min="108" max="108"/>
    <col width="28" customWidth="1" style="35" min="109" max="109"/>
  </cols>
  <sheetData>
    <row r="1">
      <c r="A1" s="54" t="inlineStr">
        <is>
          <t>case_id</t>
        </is>
      </c>
      <c r="B1" s="54" t="inlineStr">
        <is>
          <t>0.25.0</t>
        </is>
      </c>
      <c r="C1" s="54" t="inlineStr">
        <is>
          <t>0.25.1</t>
        </is>
      </c>
      <c r="D1" s="54" t="inlineStr">
        <is>
          <t>0.25.2</t>
        </is>
      </c>
      <c r="E1" s="54" t="inlineStr">
        <is>
          <t>0.25.3</t>
        </is>
      </c>
      <c r="F1" s="54" t="inlineStr">
        <is>
          <t>0.45.0</t>
        </is>
      </c>
      <c r="G1" s="54" t="inlineStr">
        <is>
          <t>0.45.1</t>
        </is>
      </c>
      <c r="H1" s="54" t="inlineStr">
        <is>
          <t>0.45.2</t>
        </is>
      </c>
      <c r="I1" s="54" t="inlineStr">
        <is>
          <t>0.45.3</t>
        </is>
      </c>
      <c r="J1" s="54" t="inlineStr">
        <is>
          <t>0.46.0</t>
        </is>
      </c>
      <c r="K1" s="54" t="inlineStr">
        <is>
          <t>0.46.1</t>
        </is>
      </c>
      <c r="L1" s="54" t="inlineStr">
        <is>
          <t>0.46.2</t>
        </is>
      </c>
      <c r="M1" s="54" t="inlineStr">
        <is>
          <t>0.46.3</t>
        </is>
      </c>
      <c r="N1" s="54" t="inlineStr">
        <is>
          <t>1.0.0</t>
        </is>
      </c>
      <c r="O1" s="54" t="inlineStr">
        <is>
          <t>1.0.1</t>
        </is>
      </c>
      <c r="P1" s="54" t="inlineStr">
        <is>
          <t>1.0.2</t>
        </is>
      </c>
      <c r="Q1" s="54" t="inlineStr">
        <is>
          <t>1.1.0</t>
        </is>
      </c>
      <c r="R1" s="54" t="inlineStr">
        <is>
          <t>1.1.1</t>
        </is>
      </c>
      <c r="S1" s="54" t="inlineStr">
        <is>
          <t>1.1.2</t>
        </is>
      </c>
      <c r="T1" s="54" t="inlineStr">
        <is>
          <t>1.2.0</t>
        </is>
      </c>
      <c r="U1" s="54" t="inlineStr">
        <is>
          <t>1.2.1</t>
        </is>
      </c>
      <c r="V1" s="54" t="inlineStr">
        <is>
          <t>1.2.2</t>
        </is>
      </c>
      <c r="W1" s="54" t="inlineStr">
        <is>
          <t>1.2.4</t>
        </is>
      </c>
      <c r="X1" s="54" t="inlineStr">
        <is>
          <t>2.0.0</t>
        </is>
      </c>
      <c r="Y1" s="54" t="inlineStr">
        <is>
          <t>2.2.0</t>
        </is>
      </c>
      <c r="Z1" s="54" t="inlineStr">
        <is>
          <t>2.3.0</t>
        </is>
      </c>
      <c r="AA1" s="54" t="inlineStr">
        <is>
          <t>2.4.0</t>
        </is>
      </c>
      <c r="AB1" s="54" t="inlineStr">
        <is>
          <t>2.5.0</t>
        </is>
      </c>
      <c r="AC1" s="54" t="inlineStr">
        <is>
          <t>error_type_0.25.0</t>
        </is>
      </c>
      <c r="AD1" s="54" t="inlineStr">
        <is>
          <t>error_message_0.25.0</t>
        </is>
      </c>
      <c r="AE1" s="54" t="inlineStr">
        <is>
          <t>error_description_0.25.0</t>
        </is>
      </c>
      <c r="AF1" s="54" t="inlineStr">
        <is>
          <t>error_type_0.25.1</t>
        </is>
      </c>
      <c r="AG1" s="54" t="inlineStr">
        <is>
          <t>error_message_0.25.1</t>
        </is>
      </c>
      <c r="AH1" s="54" t="inlineStr">
        <is>
          <t>error_description_0.25.1</t>
        </is>
      </c>
      <c r="AI1" s="54" t="inlineStr">
        <is>
          <t>error_type_0.25.2</t>
        </is>
      </c>
      <c r="AJ1" s="54" t="inlineStr">
        <is>
          <t>error_message_0.25.2</t>
        </is>
      </c>
      <c r="AK1" s="54" t="inlineStr">
        <is>
          <t>error_description_0.25.2</t>
        </is>
      </c>
      <c r="AL1" s="54" t="inlineStr">
        <is>
          <t>error_type_0.25.3</t>
        </is>
      </c>
      <c r="AM1" s="54" t="inlineStr">
        <is>
          <t>error_message_0.25.3</t>
        </is>
      </c>
      <c r="AN1" s="54" t="inlineStr">
        <is>
          <t>error_description_0.25.3</t>
        </is>
      </c>
      <c r="AO1" s="54" t="inlineStr">
        <is>
          <t>error_type_0.45.0</t>
        </is>
      </c>
      <c r="AP1" s="54" t="inlineStr">
        <is>
          <t>error_message_0.45.0</t>
        </is>
      </c>
      <c r="AQ1" s="54" t="inlineStr">
        <is>
          <t>error_description_0.45.0</t>
        </is>
      </c>
      <c r="AR1" s="54" t="inlineStr">
        <is>
          <t>error_type_0.45.1</t>
        </is>
      </c>
      <c r="AS1" s="54" t="inlineStr">
        <is>
          <t>error_message_0.45.1</t>
        </is>
      </c>
      <c r="AT1" s="54" t="inlineStr">
        <is>
          <t>error_description_0.45.1</t>
        </is>
      </c>
      <c r="AU1" s="54" t="inlineStr">
        <is>
          <t>error_type_0.45.2</t>
        </is>
      </c>
      <c r="AV1" s="54" t="inlineStr">
        <is>
          <t>error_message_0.45.2</t>
        </is>
      </c>
      <c r="AW1" s="54" t="inlineStr">
        <is>
          <t>error_description_0.45.2</t>
        </is>
      </c>
      <c r="AX1" s="54" t="inlineStr">
        <is>
          <t>error_type_0.45.3</t>
        </is>
      </c>
      <c r="AY1" s="54" t="inlineStr">
        <is>
          <t>error_message_0.45.3</t>
        </is>
      </c>
      <c r="AZ1" s="54" t="inlineStr">
        <is>
          <t>error_description_0.45.3</t>
        </is>
      </c>
      <c r="BA1" s="54" t="inlineStr">
        <is>
          <t>error_type_0.46.0</t>
        </is>
      </c>
      <c r="BB1" s="54" t="inlineStr">
        <is>
          <t>error_message_0.46.0</t>
        </is>
      </c>
      <c r="BC1" s="54" t="inlineStr">
        <is>
          <t>error_description_0.46.0</t>
        </is>
      </c>
      <c r="BD1" s="54" t="inlineStr">
        <is>
          <t>error_type_0.46.1</t>
        </is>
      </c>
      <c r="BE1" s="54" t="inlineStr">
        <is>
          <t>error_message_0.46.1</t>
        </is>
      </c>
      <c r="BF1" s="54" t="inlineStr">
        <is>
          <t>error_description_0.46.1</t>
        </is>
      </c>
      <c r="BG1" s="54" t="inlineStr">
        <is>
          <t>error_type_0.46.2</t>
        </is>
      </c>
      <c r="BH1" s="54" t="inlineStr">
        <is>
          <t>error_message_0.46.2</t>
        </is>
      </c>
      <c r="BI1" s="54" t="inlineStr">
        <is>
          <t>error_description_0.46.2</t>
        </is>
      </c>
      <c r="BJ1" s="54" t="inlineStr">
        <is>
          <t>error_type_0.46.3</t>
        </is>
      </c>
      <c r="BK1" s="54" t="inlineStr">
        <is>
          <t>error_message_0.46.3</t>
        </is>
      </c>
      <c r="BL1" s="54" t="inlineStr">
        <is>
          <t>error_description_0.46.3</t>
        </is>
      </c>
      <c r="BM1" s="54" t="inlineStr">
        <is>
          <t>error_type_1.0.0</t>
        </is>
      </c>
      <c r="BN1" s="54" t="inlineStr">
        <is>
          <t>error_message_1.0.0</t>
        </is>
      </c>
      <c r="BO1" s="54" t="inlineStr">
        <is>
          <t>error_description_1.0.0</t>
        </is>
      </c>
      <c r="BP1" s="54" t="inlineStr">
        <is>
          <t>error_type_1.0.1</t>
        </is>
      </c>
      <c r="BQ1" s="54" t="inlineStr">
        <is>
          <t>error_message_1.0.1</t>
        </is>
      </c>
      <c r="BR1" s="54" t="inlineStr">
        <is>
          <t>error_description_1.0.1</t>
        </is>
      </c>
      <c r="BS1" s="54" t="inlineStr">
        <is>
          <t>error_type_1.0.2</t>
        </is>
      </c>
      <c r="BT1" s="54" t="inlineStr">
        <is>
          <t>error_message_1.0.2</t>
        </is>
      </c>
      <c r="BU1" s="54" t="inlineStr">
        <is>
          <t>error_description_1.0.2</t>
        </is>
      </c>
      <c r="BV1" s="54" t="inlineStr">
        <is>
          <t>error_type_1.1.0</t>
        </is>
      </c>
      <c r="BW1" s="54" t="inlineStr">
        <is>
          <t>error_message_1.1.0</t>
        </is>
      </c>
      <c r="BX1" s="54" t="inlineStr">
        <is>
          <t>error_description_1.1.0</t>
        </is>
      </c>
      <c r="BY1" s="54" t="inlineStr">
        <is>
          <t>error_type_1.1.1</t>
        </is>
      </c>
      <c r="BZ1" s="54" t="inlineStr">
        <is>
          <t>error_message_1.1.1</t>
        </is>
      </c>
      <c r="CA1" s="54" t="inlineStr">
        <is>
          <t>error_description_1.1.1</t>
        </is>
      </c>
      <c r="CB1" s="54" t="inlineStr">
        <is>
          <t>error_type_1.1.2</t>
        </is>
      </c>
      <c r="CC1" s="54" t="inlineStr">
        <is>
          <t>error_message_1.1.2</t>
        </is>
      </c>
      <c r="CD1" s="54" t="inlineStr">
        <is>
          <t>error_description_1.1.2</t>
        </is>
      </c>
      <c r="CE1" s="54" t="inlineStr">
        <is>
          <t>error_type_1.2.0</t>
        </is>
      </c>
      <c r="CF1" s="54" t="inlineStr">
        <is>
          <t>error_message_1.2.0</t>
        </is>
      </c>
      <c r="CG1" s="54" t="inlineStr">
        <is>
          <t>error_description_1.2.0</t>
        </is>
      </c>
      <c r="CH1" s="54" t="inlineStr">
        <is>
          <t>error_type_1.2.1</t>
        </is>
      </c>
      <c r="CI1" s="54" t="inlineStr">
        <is>
          <t>error_message_1.2.1</t>
        </is>
      </c>
      <c r="CJ1" s="54" t="inlineStr">
        <is>
          <t>error_description_1.2.1</t>
        </is>
      </c>
      <c r="CK1" s="54" t="inlineStr">
        <is>
          <t>error_type_1.2.2</t>
        </is>
      </c>
      <c r="CL1" s="54" t="inlineStr">
        <is>
          <t>error_message_1.2.2</t>
        </is>
      </c>
      <c r="CM1" s="54" t="inlineStr">
        <is>
          <t>error_description_1.2.2</t>
        </is>
      </c>
      <c r="CN1" s="54" t="inlineStr">
        <is>
          <t>error_type_1.2.4</t>
        </is>
      </c>
      <c r="CO1" s="54" t="inlineStr">
        <is>
          <t>error_message_1.2.4</t>
        </is>
      </c>
      <c r="CP1" s="54" t="inlineStr">
        <is>
          <t>error_description_1.2.4</t>
        </is>
      </c>
      <c r="CQ1" s="54" t="inlineStr">
        <is>
          <t>error_type_2.0.0</t>
        </is>
      </c>
      <c r="CR1" s="54" t="inlineStr">
        <is>
          <t>error_message_2.0.0</t>
        </is>
      </c>
      <c r="CS1" s="54" t="inlineStr">
        <is>
          <t>error_description_2.0.0</t>
        </is>
      </c>
      <c r="CT1" s="54" t="inlineStr">
        <is>
          <t>error_type_2.2.0</t>
        </is>
      </c>
      <c r="CU1" s="54" t="inlineStr">
        <is>
          <t>error_message_2.2.0</t>
        </is>
      </c>
      <c r="CV1" s="54" t="inlineStr">
        <is>
          <t>error_description_2.2.0</t>
        </is>
      </c>
      <c r="CW1" s="54" t="inlineStr">
        <is>
          <t>error_type_2.3.0</t>
        </is>
      </c>
      <c r="CX1" s="54" t="inlineStr">
        <is>
          <t>error_message_2.3.0</t>
        </is>
      </c>
      <c r="CY1" s="54" t="inlineStr">
        <is>
          <t>error_description_2.3.0</t>
        </is>
      </c>
      <c r="CZ1" s="54" t="inlineStr">
        <is>
          <t>error_type_2.4.0</t>
        </is>
      </c>
      <c r="DA1" s="54" t="inlineStr">
        <is>
          <t>error_message_2.4.0</t>
        </is>
      </c>
      <c r="DB1" s="54" t="inlineStr">
        <is>
          <t>error_description_2.4.0</t>
        </is>
      </c>
      <c r="DC1" s="54" t="inlineStr">
        <is>
          <t>error_type_2.5.0</t>
        </is>
      </c>
      <c r="DD1" s="54" t="inlineStr">
        <is>
          <t>error_message_2.5.0</t>
        </is>
      </c>
      <c r="DE1" s="54" t="inlineStr">
        <is>
          <t>error_description_2.5.0</t>
        </is>
      </c>
    </row>
    <row r="2">
      <c r="A2" s="55" t="inlineStr">
        <is>
          <t>issue_009</t>
        </is>
      </c>
      <c r="B2" s="56" t="inlineStr">
        <is>
          <t>NOT_TESTED</t>
        </is>
      </c>
      <c r="C2" s="56" t="inlineStr">
        <is>
          <t>NOT_TESTED</t>
        </is>
      </c>
      <c r="D2" s="56" t="inlineStr">
        <is>
          <t>NOT_TESTED</t>
        </is>
      </c>
      <c r="E2" s="56" t="inlineStr">
        <is>
          <t>NOT_TESTED</t>
        </is>
      </c>
      <c r="F2" s="57" t="inlineStr">
        <is>
          <t>Runtime error</t>
        </is>
      </c>
      <c r="G2" s="57" t="inlineStr">
        <is>
          <t>Runtime error</t>
        </is>
      </c>
      <c r="H2" s="58" t="inlineStr">
        <is>
          <t>Failed on test</t>
        </is>
      </c>
      <c r="I2" s="58" t="inlineStr">
        <is>
          <t>Failed on test</t>
        </is>
      </c>
      <c r="J2" s="57" t="inlineStr">
        <is>
          <t>Runtime error</t>
        </is>
      </c>
      <c r="K2" s="57" t="inlineStr">
        <is>
          <t>Runtime error</t>
        </is>
      </c>
      <c r="L2" s="57" t="inlineStr">
        <is>
          <t>Runtime error</t>
        </is>
      </c>
      <c r="M2" s="57" t="inlineStr">
        <is>
          <t>Runtime error</t>
        </is>
      </c>
      <c r="N2" s="56" t="inlineStr">
        <is>
          <t>NOT_TESTED</t>
        </is>
      </c>
      <c r="O2" s="56" t="inlineStr">
        <is>
          <t>NOT_TESTED</t>
        </is>
      </c>
      <c r="P2" s="56" t="inlineStr">
        <is>
          <t>NOT_TESTED</t>
        </is>
      </c>
      <c r="Q2" s="56" t="inlineStr">
        <is>
          <t>NOT_TESTED</t>
        </is>
      </c>
      <c r="R2" s="56" t="inlineStr">
        <is>
          <t>NOT_TESTED</t>
        </is>
      </c>
      <c r="S2" s="56" t="inlineStr">
        <is>
          <t>NOT_TESTED</t>
        </is>
      </c>
      <c r="T2" s="56" t="inlineStr">
        <is>
          <t>NOT_TESTED</t>
        </is>
      </c>
      <c r="U2" s="56" t="inlineStr">
        <is>
          <t>NOT_TESTED</t>
        </is>
      </c>
      <c r="V2" s="56" t="inlineStr">
        <is>
          <t>NOT_TESTED</t>
        </is>
      </c>
      <c r="W2" s="56" t="inlineStr">
        <is>
          <t>NOT_TESTED</t>
        </is>
      </c>
      <c r="X2" s="56" t="inlineStr">
        <is>
          <t>NOT_TESTED</t>
        </is>
      </c>
      <c r="Y2" s="56" t="inlineStr">
        <is>
          <t>NOT_TESTED</t>
        </is>
      </c>
      <c r="Z2" s="56" t="inlineStr">
        <is>
          <t>NOT_TESTED</t>
        </is>
      </c>
      <c r="AA2" s="56" t="inlineStr">
        <is>
          <t>NOT_TESTED</t>
        </is>
      </c>
      <c r="AB2" s="56" t="inlineStr">
        <is>
          <t>NOT_TESTED</t>
        </is>
      </c>
      <c r="AC2" s="55" t="n"/>
      <c r="AD2" s="55" t="n"/>
      <c r="AE2" s="55" t="n"/>
      <c r="AF2" s="55" t="n"/>
      <c r="AG2" s="55" t="n"/>
      <c r="AH2" s="55" t="n"/>
      <c r="AI2" s="55" t="n"/>
      <c r="AJ2" s="55" t="n"/>
      <c r="AK2" s="55" t="n"/>
      <c r="AL2" s="55" t="n"/>
      <c r="AM2" s="55" t="n"/>
      <c r="AN2" s="55" t="n"/>
      <c r="AO2" s="55" t="inlineStr">
        <is>
          <t>TranspilerError</t>
        </is>
      </c>
      <c r="AP2" s="55" t="inlineStr">
        <is>
          <t>qiskit.transpiler.exceptions.TranspilerError: "The 'layout' must be full (with ancilla)."</t>
        </is>
      </c>
      <c r="AQ2" s="55" t="inlineStr">
        <is>
          <t>The LLM ran CSPLayout and ApplyLayout by hand in a PassManager but never added the passes that extend the 3-qubit layout to the backend's 5 qubits (FullAncillaAllocation / EnlargeWithAncilla), so ApplyLayout rejects the partial layout.</t>
        </is>
      </c>
      <c r="AR2" s="55" t="inlineStr">
        <is>
          <t>TranspilerError</t>
        </is>
      </c>
      <c r="AS2" s="55" t="inlineStr">
        <is>
          <t>qiskit.transpiler.exceptions.TranspilerError: "The 'layout' must be full (with ancilla)."</t>
        </is>
      </c>
      <c r="AT2" s="55" t="inlineStr">
        <is>
          <t>The LLM ran CSPLayout and ApplyLayout by hand in a PassManager but never added the passes that extend the 3-qubit layout to the backend's 5 qubits (FullAncillaAllocation / EnlargeWithAncilla), so ApplyLayout rejects the partial layout.</t>
        </is>
      </c>
      <c r="AU2" s="55" t="inlineStr">
        <is>
          <t>AssertionError</t>
        </is>
      </c>
      <c r="AV2" s="55" t="inlineStr">
        <is>
          <t>AssertionError: 3 != 5</t>
        </is>
      </c>
      <c r="AW2" s="55" t="inlineStr">
        <is>
          <t>The LLM ran CSPLayout and ApplyLayout by hand but never extended the layout to the backend's 5 qubits; here CSPLayout happened to pick physical qubits 0-2, so ApplyLayout accepted it and returned a 3-qubit circuit instead of one compiled for the 5-qubit backend.</t>
        </is>
      </c>
      <c r="AX2" s="55" t="inlineStr">
        <is>
          <t>AssertionError</t>
        </is>
      </c>
      <c r="AY2" s="55" t="inlineStr">
        <is>
          <t>AssertionError: 3 != 5</t>
        </is>
      </c>
      <c r="AZ2" s="55" t="inlineStr">
        <is>
          <t>The LLM ran CSPLayout and ApplyLayout by hand but never extended the layout to the backend's 5 qubits; here CSPLayout happened to pick physical qubits 0-2, so ApplyLayout accepted it and returned a 3-qubit circuit instead of one compiled for the 5-qubit backend.</t>
        </is>
      </c>
      <c r="BA2" s="55" t="inlineStr">
        <is>
          <t>TranspilerError</t>
        </is>
      </c>
      <c r="BB2" s="55" t="inlineStr">
        <is>
          <t>qiskit.transpiler.exceptions.TranspilerError: "The 'layout' must be full (with ancilla)."</t>
        </is>
      </c>
      <c r="BC2" s="55" t="inlineStr">
        <is>
          <t>The LLM ran CSPLayout and ApplyLayout by hand in a PassManager but never added the passes that extend the 3-qubit layout to the backend's 5 qubits (FullAncillaAllocation / EnlargeWithAncilla), so ApplyLayout rejects the partial layout.</t>
        </is>
      </c>
      <c r="BD2" s="55" t="inlineStr">
        <is>
          <t>TranspilerError</t>
        </is>
      </c>
      <c r="BE2" s="55" t="inlineStr">
        <is>
          <t>qiskit.transpiler.exceptions.TranspilerError: "The 'layout' must be full (with ancilla)."</t>
        </is>
      </c>
      <c r="BF2" s="55" t="inlineStr">
        <is>
          <t>The LLM ran CSPLayout and ApplyLayout by hand in a PassManager but never added the passes that extend the 3-qubit layout to the backend's 5 qubits (FullAncillaAllocation / EnlargeWithAncilla), so ApplyLayout rejects the partial layout.</t>
        </is>
      </c>
      <c r="BG2" s="55" t="inlineStr">
        <is>
          <t>TranspilerError</t>
        </is>
      </c>
      <c r="BH2" s="55" t="inlineStr">
        <is>
          <t>qiskit.transpiler.exceptions.TranspilerError: "The 'layout' must be full (with ancilla)."</t>
        </is>
      </c>
      <c r="BI2" s="55" t="inlineStr">
        <is>
          <t>The LLM ran CSPLayout and ApplyLayout by hand in a PassManager but never added the passes that extend the 3-qubit layout to the backend's 5 qubits (FullAncillaAllocation / EnlargeWithAncilla), so ApplyLayout rejects the partial layout.</t>
        </is>
      </c>
      <c r="BJ2" s="55" t="inlineStr">
        <is>
          <t>TranspilerError</t>
        </is>
      </c>
      <c r="BK2" s="55" t="inlineStr">
        <is>
          <t>qiskit.transpiler.exceptions.TranspilerError: "The 'layout' must be full (with ancilla)."</t>
        </is>
      </c>
      <c r="BL2" s="55" t="inlineStr">
        <is>
          <t>The LLM ran CSPLayout and ApplyLayout by hand in a PassManager but never added the passes that extend the 3-qubit layout to the backend's 5 qubits (FullAncillaAllocation / EnlargeWithAncilla), so ApplyLayout rejects the partial layout.</t>
        </is>
      </c>
      <c r="BM2" s="55" t="n"/>
      <c r="BN2" s="55" t="n"/>
      <c r="BO2" s="55" t="n"/>
      <c r="BP2" s="55" t="n"/>
      <c r="BQ2" s="55" t="n"/>
      <c r="BR2" s="55" t="n"/>
      <c r="BS2" s="55" t="n"/>
      <c r="BT2" s="55" t="n"/>
      <c r="BU2" s="55" t="n"/>
      <c r="BV2" s="55" t="n"/>
      <c r="BW2" s="55" t="n"/>
      <c r="BX2" s="55" t="n"/>
      <c r="BY2" s="55" t="n"/>
      <c r="BZ2" s="55" t="n"/>
      <c r="CA2" s="55" t="n"/>
      <c r="CB2" s="55" t="n"/>
      <c r="CC2" s="55" t="n"/>
      <c r="CD2" s="55" t="n"/>
      <c r="CE2" s="55" t="n"/>
      <c r="CF2" s="55" t="n"/>
      <c r="CG2" s="55" t="n"/>
      <c r="CH2" s="55" t="n"/>
      <c r="CI2" s="55" t="n"/>
      <c r="CJ2" s="55" t="n"/>
      <c r="CK2" s="55" t="n"/>
      <c r="CL2" s="55" t="n"/>
      <c r="CM2" s="55" t="n"/>
      <c r="CN2" s="55" t="n"/>
      <c r="CO2" s="55" t="n"/>
      <c r="CP2" s="55" t="n"/>
      <c r="CQ2" s="55" t="n"/>
      <c r="CR2" s="55" t="n"/>
      <c r="CS2" s="55" t="n"/>
      <c r="CT2" s="55" t="n"/>
      <c r="CU2" s="55" t="n"/>
      <c r="CV2" s="55" t="n"/>
      <c r="CW2" s="55" t="n"/>
      <c r="CX2" s="55" t="n"/>
      <c r="CY2" s="55" t="n"/>
      <c r="CZ2" s="55" t="n"/>
      <c r="DA2" s="55" t="n"/>
      <c r="DB2" s="55" t="n"/>
      <c r="DC2" s="55" t="n"/>
      <c r="DD2" s="55" t="n"/>
      <c r="DE2" s="55" t="n"/>
    </row>
    <row r="3">
      <c r="A3" s="55" t="inlineStr">
        <is>
          <t>issue_018_se</t>
        </is>
      </c>
      <c r="B3" s="56" t="inlineStr">
        <is>
          <t>NOT_TESTED</t>
        </is>
      </c>
      <c r="C3" s="56" t="inlineStr">
        <is>
          <t>NOT_TESTED</t>
        </is>
      </c>
      <c r="D3" s="56" t="inlineStr">
        <is>
          <t>NOT_TESTED</t>
        </is>
      </c>
      <c r="E3" s="56" t="inlineStr">
        <is>
          <t>NOT_TESTED</t>
        </is>
      </c>
      <c r="F3" s="56" t="inlineStr">
        <is>
          <t>NOT_TESTED</t>
        </is>
      </c>
      <c r="G3" s="56" t="inlineStr">
        <is>
          <t>NOT_TESTED</t>
        </is>
      </c>
      <c r="H3" s="56" t="inlineStr">
        <is>
          <t>NOT_TESTED</t>
        </is>
      </c>
      <c r="I3" s="56" t="inlineStr">
        <is>
          <t>NOT_TESTED</t>
        </is>
      </c>
      <c r="J3" s="56" t="inlineStr">
        <is>
          <t>NOT_TESTED</t>
        </is>
      </c>
      <c r="K3" s="56" t="inlineStr">
        <is>
          <t>NOT_TESTED</t>
        </is>
      </c>
      <c r="L3" s="56" t="inlineStr">
        <is>
          <t>NOT_TESTED</t>
        </is>
      </c>
      <c r="M3" s="56" t="inlineStr">
        <is>
          <t>NOT_TESTED</t>
        </is>
      </c>
      <c r="N3" s="58" t="inlineStr">
        <is>
          <t>Failed on test</t>
        </is>
      </c>
      <c r="O3" s="58" t="inlineStr">
        <is>
          <t>Failed on test</t>
        </is>
      </c>
      <c r="P3" s="58" t="inlineStr">
        <is>
          <t>Failed on test</t>
        </is>
      </c>
      <c r="Q3" s="58" t="inlineStr">
        <is>
          <t>Failed on test</t>
        </is>
      </c>
      <c r="R3" s="58" t="inlineStr">
        <is>
          <t>Failed on test</t>
        </is>
      </c>
      <c r="S3" s="58" t="inlineStr">
        <is>
          <t>Failed on test</t>
        </is>
      </c>
      <c r="T3" s="58" t="inlineStr">
        <is>
          <t>Failed on test</t>
        </is>
      </c>
      <c r="U3" s="58" t="inlineStr">
        <is>
          <t>Failed on test</t>
        </is>
      </c>
      <c r="V3" s="58" t="inlineStr">
        <is>
          <t>Failed on test</t>
        </is>
      </c>
      <c r="W3" s="58" t="inlineStr">
        <is>
          <t>Failed on test</t>
        </is>
      </c>
      <c r="X3" s="58" t="inlineStr">
        <is>
          <t>Failed on test</t>
        </is>
      </c>
      <c r="Y3" s="58" t="inlineStr">
        <is>
          <t>Failed on test</t>
        </is>
      </c>
      <c r="Z3" s="58" t="inlineStr">
        <is>
          <t>Failed on test</t>
        </is>
      </c>
      <c r="AA3" s="58" t="inlineStr">
        <is>
          <t>Failed on test</t>
        </is>
      </c>
      <c r="AB3" s="58" t="inlineStr">
        <is>
          <t>Failed on test</t>
        </is>
      </c>
      <c r="AC3" s="55" t="n"/>
      <c r="AD3" s="55" t="n"/>
      <c r="AE3" s="55" t="n"/>
      <c r="AF3" s="55" t="n"/>
      <c r="AG3" s="55" t="n"/>
      <c r="AH3" s="55" t="n"/>
      <c r="AI3" s="55" t="n"/>
      <c r="AJ3" s="55" t="n"/>
      <c r="AK3" s="55" t="n"/>
      <c r="AL3" s="55" t="n"/>
      <c r="AM3" s="55" t="n"/>
      <c r="AN3" s="55" t="n"/>
      <c r="AO3" s="55" t="n"/>
      <c r="AP3" s="55" t="n"/>
      <c r="AQ3" s="55" t="n"/>
      <c r="AR3" s="55" t="n"/>
      <c r="AS3" s="55" t="n"/>
      <c r="AT3" s="55" t="n"/>
      <c r="AU3" s="55" t="n"/>
      <c r="AV3" s="55" t="n"/>
      <c r="AW3" s="55" t="n"/>
      <c r="AX3" s="55" t="n"/>
      <c r="AY3" s="55" t="n"/>
      <c r="AZ3" s="55" t="n"/>
      <c r="BA3" s="55" t="n"/>
      <c r="BB3" s="55" t="n"/>
      <c r="BC3" s="55" t="n"/>
      <c r="BD3" s="55" t="n"/>
      <c r="BE3" s="55" t="n"/>
      <c r="BF3" s="55" t="n"/>
      <c r="BG3" s="55" t="n"/>
      <c r="BH3" s="55" t="n"/>
      <c r="BI3" s="55" t="n"/>
      <c r="BJ3" s="55" t="n"/>
      <c r="BK3" s="55" t="n"/>
      <c r="BL3" s="55" t="n"/>
      <c r="BM3" s="55" t="inlineStr">
        <is>
          <t>AssertionError</t>
        </is>
      </c>
      <c r="BN3" s="55" t="inlineStr">
        <is>
          <t xml:space="preserve">AssertionError: Not equal to tolerance rtol=0, atol=1e-12 The ideal magic-square strategy must win every input pair. Mismatched elements: 6 / 9 (66.7%) Max absolute difference: 0.5 Max relative difference: inf x: array([0. , 0.5, 0.5, 0.5, 0. , 0.5, </t>
        </is>
      </c>
      <c r="BO3" s="55" t="inlineStr">
        <is>
          <t>The LLM swapped which inputs choose Alice's and Bob's answers, so the strategy still loses 6 of the 9 input pairs half the time instead of always winning (the Aer simulator also crashes natively here, as it does for fixed.py).</t>
        </is>
      </c>
      <c r="BP3" s="55" t="inlineStr">
        <is>
          <t>AssertionError</t>
        </is>
      </c>
      <c r="BQ3" s="55" t="inlineStr">
        <is>
          <t xml:space="preserve">AssertionError: Not equal to tolerance rtol=0, atol=1e-12 The ideal magic-square strategy must win every input pair. Mismatched elements: 6 / 9 (66.7%) Max absolute difference: 0.5 Max relative difference: inf x: array([0. , 0.5, 0.5, 0.5, 0. , 0.5, </t>
        </is>
      </c>
      <c r="BR3" s="55" t="inlineStr">
        <is>
          <t>The LLM swapped which inputs choose Alice's and Bob's answers, so the strategy still loses 6 of the 9 input pairs half the time instead of always winning (the Aer simulator also crashes natively here, as it does for fixed.py).</t>
        </is>
      </c>
      <c r="BS3" s="55" t="inlineStr">
        <is>
          <t>AssertionError</t>
        </is>
      </c>
      <c r="BT3" s="55" t="inlineStr">
        <is>
          <t xml:space="preserve">AssertionError: Not equal to tolerance rtol=0, atol=1e-12 The ideal magic-square strategy must win every input pair. Mismatched elements: 6 / 9 (66.7%) Max absolute difference: 0.5 Max relative difference: inf x: array([0. , 0.5, 0.5, 0.5, 0. , 0.5, </t>
        </is>
      </c>
      <c r="BU3" s="55" t="inlineStr">
        <is>
          <t>The LLM swapped which inputs choose Alice's and Bob's answers, so the strategy still loses 6 of the 9 input pairs half the time instead of always winning (the Aer simulator also crashes natively here, as it does for fixed.py).</t>
        </is>
      </c>
      <c r="BV3" s="55" t="inlineStr">
        <is>
          <t>AssertionError</t>
        </is>
      </c>
      <c r="BW3" s="55" t="inlineStr">
        <is>
          <t>AssertionError: Not equal to tolerance rtol=0, atol=1e-12 The ideal magic-square strategy must win every input pair. Mismatched elements: 6 / 9 (66.7%) First 5 mismatches are at indices: [1]: 0.4999999999999999 (ACTUAL), 0.0 (DESIRED) [2]: 0.49999999</t>
        </is>
      </c>
      <c r="BX3" s="55" t="inlineStr">
        <is>
          <t>The LLM swapped which inputs choose Alice's and Bob's answers, so the strategy still loses 6 of the 9 input pairs half the time instead of always winning (the Aer simulator also crashes natively here, as it does for fixed.py).</t>
        </is>
      </c>
      <c r="BY3" s="55" t="inlineStr">
        <is>
          <t>AssertionError</t>
        </is>
      </c>
      <c r="BZ3" s="55" t="inlineStr">
        <is>
          <t>AssertionError: Not equal to tolerance rtol=0, atol=1e-12 The ideal magic-square strategy must win every input pair. Mismatched elements: 6 / 9 (66.7%) First 5 mismatches are at indices: [1]: 0.4999999999999999 (ACTUAL), 0.0 (DESIRED) [2]: 0.49999999</t>
        </is>
      </c>
      <c r="CA3" s="55" t="inlineStr">
        <is>
          <t>The LLM swapped which inputs choose Alice's and Bob's answers, so the strategy still loses 6 of the 9 input pairs half the time instead of always winning (the Aer simulator also crashes natively here, as it does for fixed.py).</t>
        </is>
      </c>
      <c r="CB3" s="55" t="inlineStr">
        <is>
          <t>AssertionError</t>
        </is>
      </c>
      <c r="CC3" s="55" t="inlineStr">
        <is>
          <t>AssertionError: Not equal to tolerance rtol=0, atol=1e-12 The ideal magic-square strategy must win every input pair. Mismatched elements: 6 / 9 (66.7%) First 5 mismatches are at indices: [1]: 0.4999999999999999 (ACTUAL), 0.0 (DESIRED) [2]: 0.49999999</t>
        </is>
      </c>
      <c r="CD3" s="55" t="inlineStr">
        <is>
          <t>The LLM swapped which inputs choose Alice's and Bob's answers, so the strategy still loses 6 of the 9 input pairs half the time instead of always winning (the Aer simulator also crashes natively here, as it does for fixed.py).</t>
        </is>
      </c>
      <c r="CE3" s="55" t="inlineStr">
        <is>
          <t>AssertionError</t>
        </is>
      </c>
      <c r="CF3" s="55" t="inlineStr">
        <is>
          <t>AssertionError: Not equal to tolerance rtol=0, atol=1e-12 The ideal magic-square strategy must win every input pair. Mismatched elements: 6 / 9 (66.7%) First 5 mismatches are at indices: [1]: 0.4999999999999999 (ACTUAL), 0.0 (DESIRED) [2]: 0.49999999</t>
        </is>
      </c>
      <c r="CG3" s="55" t="inlineStr">
        <is>
          <t>The LLM swapped which inputs choose Alice's and Bob's answers, so the strategy still loses 6 of the 9 input pairs half the time instead of always winning (the Aer simulator also crashes natively here, as it does for fixed.py).</t>
        </is>
      </c>
      <c r="CH3" s="55" t="inlineStr">
        <is>
          <t>AssertionError</t>
        </is>
      </c>
      <c r="CI3" s="55" t="inlineStr">
        <is>
          <t>AssertionError: Not equal to tolerance rtol=0, atol=1e-12 The ideal magic-square strategy must win every input pair. Mismatched elements: 6 / 9 (66.7%) First 5 mismatches are at indices: [1]: 0.4999999999999999 (ACTUAL), 0.0 (DESIRED) [2]: 0.49999999</t>
        </is>
      </c>
      <c r="CJ3" s="55" t="inlineStr">
        <is>
          <t>The LLM swapped which inputs choose Alice's and Bob's answers, so the strategy still loses 6 of the 9 input pairs half the time instead of always winning (the Aer simulator also crashes natively here, as it does for fixed.py).</t>
        </is>
      </c>
      <c r="CK3" s="55" t="inlineStr">
        <is>
          <t>AssertionError</t>
        </is>
      </c>
      <c r="CL3" s="55" t="inlineStr">
        <is>
          <t>AssertionError: Not equal to tolerance rtol=0, atol=1e-12 The ideal magic-square strategy must win every input pair. Mismatched elements: 6 / 9 (66.7%) First 5 mismatches are at indices: [1]: 0.4999999999999999 (ACTUAL), 0.0 (DESIRED) [2]: 0.49999999</t>
        </is>
      </c>
      <c r="CM3" s="55" t="inlineStr">
        <is>
          <t>The LLM swapped which inputs choose Alice's and Bob's answers, so the strategy still loses 6 of the 9 input pairs half the time instead of always winning (the Aer simulator also crashes natively here, as it does for fixed.py).</t>
        </is>
      </c>
      <c r="CN3" s="55" t="inlineStr">
        <is>
          <t>AssertionError</t>
        </is>
      </c>
      <c r="CO3" s="55" t="inlineStr">
        <is>
          <t>AssertionError: Not equal to tolerance rtol=0, atol=1e-12 The ideal magic-square strategy must win every input pair. Mismatched elements: 6 / 9 (66.7%) First 5 mismatches are at indices: [1]: 0.4999999999999999 (ACTUAL), 0.0 (DESIRED) [2]: 0.49999999</t>
        </is>
      </c>
      <c r="CP3" s="55" t="inlineStr">
        <is>
          <t>The LLM swapped which inputs choose Alice's and Bob's answers, so the strategy still loses 6 of the 9 input pairs half the time instead of always winning (the Aer simulator also crashes natively here, as it does for fixed.py).</t>
        </is>
      </c>
      <c r="CQ3" s="55" t="inlineStr">
        <is>
          <t>AssertionError</t>
        </is>
      </c>
      <c r="CR3" s="55" t="inlineStr">
        <is>
          <t>AssertionError: Not equal to tolerance rtol=0, atol=1e-12 The ideal magic-square strategy must win every input pair. Mismatched elements: 6 / 9 (66.7%) First 5 mismatches are at indices: [1]: 0.4999999999999999 (ACTUAL), 0.0 (DESIRED) [2]: 0.49999999</t>
        </is>
      </c>
      <c r="CS3" s="55" t="inlineStr">
        <is>
          <t>The LLM swapped which inputs choose Alice's and Bob's answers, so the strategy still loses 6 of the 9 input pairs half the time instead of always winning (the Aer simulator also crashes natively here, as it does for fixed.py).</t>
        </is>
      </c>
      <c r="CT3" s="55" t="inlineStr">
        <is>
          <t>AssertionError</t>
        </is>
      </c>
      <c r="CU3" s="55" t="inlineStr">
        <is>
          <t>AssertionError: Not equal to tolerance rtol=0, atol=1e-12 The ideal magic-square strategy must win every input pair. Mismatched elements: 6 / 9 (66.7%) First 5 mismatches are at indices: [1]: 0.4999999999999999 (ACTUAL), 0.0 (DESIRED) [2]: 0.49999999</t>
        </is>
      </c>
      <c r="CV3" s="55" t="inlineStr">
        <is>
          <t>The LLM swapped which inputs choose Alice's and Bob's answers, so the strategy still loses 6 of the 9 input pairs half the time instead of always winning (the Aer simulator also crashes natively here, as it does for fixed.py).</t>
        </is>
      </c>
      <c r="CW3" s="55" t="inlineStr">
        <is>
          <t>AssertionError</t>
        </is>
      </c>
      <c r="CX3" s="55" t="inlineStr">
        <is>
          <t>AssertionError: Not equal to tolerance rtol=0, atol=1e-12 The ideal magic-square strategy must win every input pair. Mismatched elements: 6 / 9 (66.7%) First 5 mismatches are at indices: [1]: 0.4999999999999999 (ACTUAL), 0.0 (DESIRED) [2]: 0.49999999</t>
        </is>
      </c>
      <c r="CY3" s="55" t="inlineStr">
        <is>
          <t>The LLM swapped which inputs choose Alice's and Bob's answers, so the strategy still loses 6 of the 9 input pairs half the time instead of always winning (the Aer simulator also crashes natively here, as it does for fixed.py).</t>
        </is>
      </c>
      <c r="CZ3" s="55" t="inlineStr">
        <is>
          <t>AssertionError</t>
        </is>
      </c>
      <c r="DA3" s="55" t="inlineStr">
        <is>
          <t>AssertionError: Not equal to tolerance rtol=0, atol=1e-12 The ideal magic-square strategy must win every input pair. Mismatched elements: 6 / 9 (66.7%) First 5 mismatches are at indices: [1]: 0.4999999999999999 (ACTUAL), 0.0 (DESIRED) [2]: 0.49999999</t>
        </is>
      </c>
      <c r="DB3" s="55" t="inlineStr">
        <is>
          <t>The LLM swapped which inputs choose Alice's and Bob's answers, so the strategy still loses 6 of the 9 input pairs half the time instead of always winning (the Aer simulator also crashes natively here, as it does for fixed.py).</t>
        </is>
      </c>
      <c r="DC3" s="55" t="inlineStr">
        <is>
          <t>AssertionError</t>
        </is>
      </c>
      <c r="DD3" s="55" t="inlineStr">
        <is>
          <t>AssertionError: Not equal to tolerance rtol=0, atol=1e-12 The ideal magic-square strategy must win every input pair. Mismatched elements: 6 / 9 (66.7%) First 5 mismatches are at indices: [1]: 0.4999999999999999 (ACTUAL), 0.0 (DESIRED) [2]: 0.49999999</t>
        </is>
      </c>
      <c r="DE3" s="55" t="inlineStr">
        <is>
          <t>The LLM swapped which inputs choose Alice's and Bob's answers, so the strategy still loses 6 of the 9 input pairs half the time instead of always winning (the Aer simulator also crashes natively here, as it does for fixed.py).</t>
        </is>
      </c>
    </row>
    <row r="4">
      <c r="A4" s="55" t="inlineStr">
        <is>
          <t>issue_021_se</t>
        </is>
      </c>
      <c r="B4" s="57" t="inlineStr">
        <is>
          <t>Runtime error</t>
        </is>
      </c>
      <c r="C4" s="57" t="inlineStr">
        <is>
          <t>Runtime error</t>
        </is>
      </c>
      <c r="D4" s="57" t="inlineStr">
        <is>
          <t>Runtime error</t>
        </is>
      </c>
      <c r="E4" s="57" t="inlineStr">
        <is>
          <t>Runtime error</t>
        </is>
      </c>
      <c r="F4" s="57" t="inlineStr">
        <is>
          <t>Runtime error</t>
        </is>
      </c>
      <c r="G4" s="57" t="inlineStr">
        <is>
          <t>Runtime error</t>
        </is>
      </c>
      <c r="H4" s="57" t="inlineStr">
        <is>
          <t>Runtime error</t>
        </is>
      </c>
      <c r="I4" s="57" t="inlineStr">
        <is>
          <t>Runtime error</t>
        </is>
      </c>
      <c r="J4" s="57" t="inlineStr">
        <is>
          <t>Runtime error</t>
        </is>
      </c>
      <c r="K4" s="57" t="inlineStr">
        <is>
          <t>Runtime error</t>
        </is>
      </c>
      <c r="L4" s="57" t="inlineStr">
        <is>
          <t>Runtime error</t>
        </is>
      </c>
      <c r="M4" s="57" t="inlineStr">
        <is>
          <t>Runtime error</t>
        </is>
      </c>
      <c r="N4" s="56" t="inlineStr">
        <is>
          <t>NOT_TESTED</t>
        </is>
      </c>
      <c r="O4" s="56" t="inlineStr">
        <is>
          <t>NOT_TESTED</t>
        </is>
      </c>
      <c r="P4" s="56" t="inlineStr">
        <is>
          <t>NOT_TESTED</t>
        </is>
      </c>
      <c r="Q4" s="56" t="inlineStr">
        <is>
          <t>NOT_TESTED</t>
        </is>
      </c>
      <c r="R4" s="56" t="inlineStr">
        <is>
          <t>NOT_TESTED</t>
        </is>
      </c>
      <c r="S4" s="56" t="inlineStr">
        <is>
          <t>NOT_TESTED</t>
        </is>
      </c>
      <c r="T4" s="56" t="inlineStr">
        <is>
          <t>NOT_TESTED</t>
        </is>
      </c>
      <c r="U4" s="56" t="inlineStr">
        <is>
          <t>NOT_TESTED</t>
        </is>
      </c>
      <c r="V4" s="56" t="inlineStr">
        <is>
          <t>NOT_TESTED</t>
        </is>
      </c>
      <c r="W4" s="56" t="inlineStr">
        <is>
          <t>NOT_TESTED</t>
        </is>
      </c>
      <c r="X4" s="56" t="inlineStr">
        <is>
          <t>NOT_TESTED</t>
        </is>
      </c>
      <c r="Y4" s="56" t="inlineStr">
        <is>
          <t>NOT_TESTED</t>
        </is>
      </c>
      <c r="Z4" s="56" t="inlineStr">
        <is>
          <t>NOT_TESTED</t>
        </is>
      </c>
      <c r="AA4" s="56" t="inlineStr">
        <is>
          <t>NOT_TESTED</t>
        </is>
      </c>
      <c r="AB4" s="56" t="inlineStr">
        <is>
          <t>NOT_TESTED</t>
        </is>
      </c>
      <c r="AC4" s="55" t="inlineStr">
        <is>
          <t>QiskitError</t>
        </is>
      </c>
      <c r="AD4" s="55" t="inlineStr">
        <is>
          <t>qiskit.exceptions.QiskitError: 'ERROR: [Experiment 0] Circuit contains invalid instructions {"gates": {disentangler_dg}} for "statevector" method , ERROR: Circuit contains invalid instructions {"gates": {disentangler_dg}} for "statevector" method'</t>
        </is>
      </c>
      <c r="AE4" s="55" t="inlineStr">
        <is>
          <t>Calling circuit.decompose() only unrolls one level, leaving a 'disentangler_dg' instruction that the Aer statevector simulator cannot run, so the simulation fails.</t>
        </is>
      </c>
      <c r="AF4" s="55" t="inlineStr">
        <is>
          <t>QiskitError</t>
        </is>
      </c>
      <c r="AG4" s="55" t="inlineStr">
        <is>
          <t>qiskit.exceptions.QiskitError: 'ERROR: [Experiment 0] Circuit contains invalid instructions {"gates": {disentangler_dg}} for "statevector" method , ERROR: Circuit contains invalid instructions {"gates": {disentangler_dg}} for "statevector" method'</t>
        </is>
      </c>
      <c r="AH4" s="55" t="inlineStr">
        <is>
          <t>Calling circuit.decompose() only unrolls one level, leaving a 'disentangler_dg' instruction that the Aer statevector simulator cannot run, so the simulation fails.</t>
        </is>
      </c>
      <c r="AI4" s="55" t="inlineStr">
        <is>
          <t>QiskitError</t>
        </is>
      </c>
      <c r="AJ4" s="55" t="inlineStr">
        <is>
          <t>qiskit.exceptions.QiskitError: 'ERROR: [Experiment 0] Circuit contains invalid instructions {"gates": {disentangler_dg}} for "statevector" method , ERROR: Circuit contains invalid instructions {"gates": {disentangler_dg}} for "statevector" method'</t>
        </is>
      </c>
      <c r="AK4" s="55" t="inlineStr">
        <is>
          <t>Calling circuit.decompose() only unrolls one level, leaving a 'disentangler_dg' instruction that the Aer statevector simulator cannot run, so the simulation fails.</t>
        </is>
      </c>
      <c r="AL4" s="55" t="inlineStr">
        <is>
          <t>QiskitError</t>
        </is>
      </c>
      <c r="AM4" s="55" t="inlineStr">
        <is>
          <t>qiskit.exceptions.QiskitError: 'ERROR: [Experiment 0] Circuit contains invalid instructions {"gates": {disentangler_dg}} for "statevector" method , ERROR: Circuit contains invalid instructions {"gates": {disentangler_dg}} for "statevector" method'</t>
        </is>
      </c>
      <c r="AN4" s="55" t="inlineStr">
        <is>
          <t>Calling circuit.decompose() only unrolls one level, leaving a 'disentangler_dg' instruction that the Aer statevector simulator cannot run, so the simulation fails.</t>
        </is>
      </c>
      <c r="AO4" s="55" t="inlineStr">
        <is>
          <t>QiskitError</t>
        </is>
      </c>
      <c r="AP4" s="55" t="inlineStr">
        <is>
          <t>qiskit.exceptions.QiskitError: 'You have to select a circuit or schedule when there is more than one available'</t>
        </is>
      </c>
      <c r="AQ4" s="55" t="inlineStr">
        <is>
          <t>Calling circuit.decompose() only unrolls one level, leaving a 'state_preparation' instruction that Aer cannot load, so the simulation fails and no statevector is returned.</t>
        </is>
      </c>
      <c r="AR4" s="55" t="inlineStr">
        <is>
          <t>QiskitError</t>
        </is>
      </c>
      <c r="AS4" s="55" t="inlineStr">
        <is>
          <t>qiskit.exceptions.QiskitError: 'You have to select a circuit or schedule when there is more than one available'</t>
        </is>
      </c>
      <c r="AT4" s="55" t="inlineStr">
        <is>
          <t>Calling circuit.decompose() only unrolls one level, leaving a 'state_preparation' instruction that Aer cannot load, so the simulation fails and no statevector is returned.</t>
        </is>
      </c>
      <c r="AU4" s="55" t="inlineStr">
        <is>
          <t>QiskitError</t>
        </is>
      </c>
      <c r="AV4" s="55" t="inlineStr">
        <is>
          <t>qiskit.exceptions.QiskitError: 'You have to select a circuit or schedule when there is more than one available'</t>
        </is>
      </c>
      <c r="AW4" s="55" t="inlineStr">
        <is>
          <t>Calling circuit.decompose() only unrolls one level, leaving a 'state_preparation' instruction that Aer cannot load, so the simulation fails and no statevector is returned.</t>
        </is>
      </c>
      <c r="AX4" s="55" t="inlineStr">
        <is>
          <t>QiskitError</t>
        </is>
      </c>
      <c r="AY4" s="55" t="inlineStr">
        <is>
          <t>qiskit.exceptions.QiskitError: 'You have to select a circuit or schedule when there is more than one available'</t>
        </is>
      </c>
      <c r="AZ4" s="55" t="inlineStr">
        <is>
          <t>Calling circuit.decompose() only unrolls one level, leaving a 'state_preparation' instruction that Aer cannot load, so the simulation fails and no statevector is returned.</t>
        </is>
      </c>
      <c r="BA4" s="55" t="inlineStr">
        <is>
          <t>QiskitError</t>
        </is>
      </c>
      <c r="BB4" s="55" t="inlineStr">
        <is>
          <t>qiskit.exceptions.QiskitError: 'You have to select a circuit or schedule when there is more than one available'</t>
        </is>
      </c>
      <c r="BC4" s="55" t="inlineStr">
        <is>
          <t>Calling circuit.decompose() only unrolls one level, leaving a 'state_preparation' instruction that Aer cannot load, so the simulation fails and no statevector is returned.</t>
        </is>
      </c>
      <c r="BD4" s="55" t="inlineStr">
        <is>
          <t>QiskitError</t>
        </is>
      </c>
      <c r="BE4" s="55" t="inlineStr">
        <is>
          <t>qiskit.exceptions.QiskitError: 'You have to select a circuit or schedule when there is more than one available'</t>
        </is>
      </c>
      <c r="BF4" s="55" t="inlineStr">
        <is>
          <t>Calling circuit.decompose() only unrolls one level, leaving a 'state_preparation' instruction that Aer cannot load, so the simulation fails and no statevector is returned.</t>
        </is>
      </c>
      <c r="BG4" s="55" t="inlineStr">
        <is>
          <t>QiskitError</t>
        </is>
      </c>
      <c r="BH4" s="55" t="inlineStr">
        <is>
          <t>qiskit.exceptions.QiskitError: 'You have to select a circuit or schedule when there is more than one available'</t>
        </is>
      </c>
      <c r="BI4" s="55" t="inlineStr">
        <is>
          <t>Calling circuit.decompose() only unrolls one level, leaving a 'state_preparation' instruction that Aer cannot load, so the simulation fails and no statevector is returned.</t>
        </is>
      </c>
      <c r="BJ4" s="55" t="inlineStr">
        <is>
          <t>QiskitError</t>
        </is>
      </c>
      <c r="BK4" s="55" t="inlineStr">
        <is>
          <t>qiskit.exceptions.QiskitError: 'You have to select a circuit or schedule when there is more than one available'</t>
        </is>
      </c>
      <c r="BL4" s="55" t="inlineStr">
        <is>
          <t>Calling circuit.decompose() only unrolls one level, leaving a 'state_preparation' instruction that Aer cannot load, so the simulation fails and no statevector is returned.</t>
        </is>
      </c>
      <c r="BM4" s="55" t="n"/>
      <c r="BN4" s="55" t="n"/>
      <c r="BO4" s="55" t="n"/>
      <c r="BP4" s="55" t="n"/>
      <c r="BQ4" s="55" t="n"/>
      <c r="BR4" s="55" t="n"/>
      <c r="BS4" s="55" t="n"/>
      <c r="BT4" s="55" t="n"/>
      <c r="BU4" s="55" t="n"/>
      <c r="BV4" s="55" t="n"/>
      <c r="BW4" s="55" t="n"/>
      <c r="BX4" s="55" t="n"/>
      <c r="BY4" s="55" t="n"/>
      <c r="BZ4" s="55" t="n"/>
      <c r="CA4" s="55" t="n"/>
      <c r="CB4" s="55" t="n"/>
      <c r="CC4" s="55" t="n"/>
      <c r="CD4" s="55" t="n"/>
      <c r="CE4" s="55" t="n"/>
      <c r="CF4" s="55" t="n"/>
      <c r="CG4" s="55" t="n"/>
      <c r="CH4" s="55" t="n"/>
      <c r="CI4" s="55" t="n"/>
      <c r="CJ4" s="55" t="n"/>
      <c r="CK4" s="55" t="n"/>
      <c r="CL4" s="55" t="n"/>
      <c r="CM4" s="55" t="n"/>
      <c r="CN4" s="55" t="n"/>
      <c r="CO4" s="55" t="n"/>
      <c r="CP4" s="55" t="n"/>
      <c r="CQ4" s="55" t="n"/>
      <c r="CR4" s="55" t="n"/>
      <c r="CS4" s="55" t="n"/>
      <c r="CT4" s="55" t="n"/>
      <c r="CU4" s="55" t="n"/>
      <c r="CV4" s="55" t="n"/>
      <c r="CW4" s="55" t="n"/>
      <c r="CX4" s="55" t="n"/>
      <c r="CY4" s="55" t="n"/>
      <c r="CZ4" s="55" t="n"/>
      <c r="DA4" s="55" t="n"/>
      <c r="DB4" s="55" t="n"/>
      <c r="DC4" s="55" t="n"/>
      <c r="DD4" s="55" t="n"/>
      <c r="DE4" s="55" t="n"/>
    </row>
    <row r="5">
      <c r="A5" s="55" t="inlineStr">
        <is>
          <t>issue_032_se</t>
        </is>
      </c>
      <c r="B5" s="59" t="inlineStr">
        <is>
          <t>Passed on test</t>
        </is>
      </c>
      <c r="C5" s="59" t="inlineStr">
        <is>
          <t>Passed on test</t>
        </is>
      </c>
      <c r="D5" s="59" t="inlineStr">
        <is>
          <t>Passed on test</t>
        </is>
      </c>
      <c r="E5" s="59" t="inlineStr">
        <is>
          <t>Passed on test</t>
        </is>
      </c>
      <c r="F5" s="56" t="inlineStr">
        <is>
          <t>NOT_TESTED</t>
        </is>
      </c>
      <c r="G5" s="56" t="inlineStr">
        <is>
          <t>NOT_TESTED</t>
        </is>
      </c>
      <c r="H5" s="56" t="inlineStr">
        <is>
          <t>NOT_TESTED</t>
        </is>
      </c>
      <c r="I5" s="56" t="inlineStr">
        <is>
          <t>NOT_TESTED</t>
        </is>
      </c>
      <c r="J5" s="56" t="inlineStr">
        <is>
          <t>NOT_TESTED</t>
        </is>
      </c>
      <c r="K5" s="56" t="inlineStr">
        <is>
          <t>NOT_TESTED</t>
        </is>
      </c>
      <c r="L5" s="56" t="inlineStr">
        <is>
          <t>NOT_TESTED</t>
        </is>
      </c>
      <c r="M5" s="56" t="inlineStr">
        <is>
          <t>NOT_TESTED</t>
        </is>
      </c>
      <c r="N5" s="56" t="inlineStr">
        <is>
          <t>NOT_TESTED</t>
        </is>
      </c>
      <c r="O5" s="56" t="inlineStr">
        <is>
          <t>NOT_TESTED</t>
        </is>
      </c>
      <c r="P5" s="56" t="inlineStr">
        <is>
          <t>NOT_TESTED</t>
        </is>
      </c>
      <c r="Q5" s="56" t="inlineStr">
        <is>
          <t>NOT_TESTED</t>
        </is>
      </c>
      <c r="R5" s="56" t="inlineStr">
        <is>
          <t>NOT_TESTED</t>
        </is>
      </c>
      <c r="S5" s="56" t="inlineStr">
        <is>
          <t>NOT_TESTED</t>
        </is>
      </c>
      <c r="T5" s="56" t="inlineStr">
        <is>
          <t>NOT_TESTED</t>
        </is>
      </c>
      <c r="U5" s="56" t="inlineStr">
        <is>
          <t>NOT_TESTED</t>
        </is>
      </c>
      <c r="V5" s="56" t="inlineStr">
        <is>
          <t>NOT_TESTED</t>
        </is>
      </c>
      <c r="W5" s="56" t="inlineStr">
        <is>
          <t>NOT_TESTED</t>
        </is>
      </c>
      <c r="X5" s="56" t="inlineStr">
        <is>
          <t>NOT_TESTED</t>
        </is>
      </c>
      <c r="Y5" s="56" t="inlineStr">
        <is>
          <t>NOT_TESTED</t>
        </is>
      </c>
      <c r="Z5" s="56" t="inlineStr">
        <is>
          <t>NOT_TESTED</t>
        </is>
      </c>
      <c r="AA5" s="56" t="inlineStr">
        <is>
          <t>NOT_TESTED</t>
        </is>
      </c>
      <c r="AB5" s="56" t="inlineStr">
        <is>
          <t>NOT_TESTED</t>
        </is>
      </c>
      <c r="AC5" s="55" t="n"/>
      <c r="AD5" s="55" t="n"/>
      <c r="AE5" s="55" t="n"/>
      <c r="AF5" s="55" t="n"/>
      <c r="AG5" s="55" t="n"/>
      <c r="AH5" s="55" t="n"/>
      <c r="AI5" s="55" t="n"/>
      <c r="AJ5" s="55" t="n"/>
      <c r="AK5" s="55" t="n"/>
      <c r="AL5" s="55" t="n"/>
      <c r="AM5" s="55" t="n"/>
      <c r="AN5" s="55" t="n"/>
      <c r="AO5" s="55" t="n"/>
      <c r="AP5" s="55" t="n"/>
      <c r="AQ5" s="55" t="n"/>
      <c r="AR5" s="55" t="n"/>
      <c r="AS5" s="55" t="n"/>
      <c r="AT5" s="55" t="n"/>
      <c r="AU5" s="55" t="n"/>
      <c r="AV5" s="55" t="n"/>
      <c r="AW5" s="55" t="n"/>
      <c r="AX5" s="55" t="n"/>
      <c r="AY5" s="55" t="n"/>
      <c r="AZ5" s="55" t="n"/>
      <c r="BA5" s="55" t="n"/>
      <c r="BB5" s="55" t="n"/>
      <c r="BC5" s="55" t="n"/>
      <c r="BD5" s="55" t="n"/>
      <c r="BE5" s="55" t="n"/>
      <c r="BF5" s="55" t="n"/>
      <c r="BG5" s="55" t="n"/>
      <c r="BH5" s="55" t="n"/>
      <c r="BI5" s="55" t="n"/>
      <c r="BJ5" s="55" t="n"/>
      <c r="BK5" s="55" t="n"/>
      <c r="BL5" s="55" t="n"/>
      <c r="BM5" s="55" t="n"/>
      <c r="BN5" s="55" t="n"/>
      <c r="BO5" s="55" t="n"/>
      <c r="BP5" s="55" t="n"/>
      <c r="BQ5" s="55" t="n"/>
      <c r="BR5" s="55" t="n"/>
      <c r="BS5" s="55" t="n"/>
      <c r="BT5" s="55" t="n"/>
      <c r="BU5" s="55" t="n"/>
      <c r="BV5" s="55" t="n"/>
      <c r="BW5" s="55" t="n"/>
      <c r="BX5" s="55" t="n"/>
      <c r="BY5" s="55" t="n"/>
      <c r="BZ5" s="55" t="n"/>
      <c r="CA5" s="55" t="n"/>
      <c r="CB5" s="55" t="n"/>
      <c r="CC5" s="55" t="n"/>
      <c r="CD5" s="55" t="n"/>
      <c r="CE5" s="55" t="n"/>
      <c r="CF5" s="55" t="n"/>
      <c r="CG5" s="55" t="n"/>
      <c r="CH5" s="55" t="n"/>
      <c r="CI5" s="55" t="n"/>
      <c r="CJ5" s="55" t="n"/>
      <c r="CK5" s="55" t="n"/>
      <c r="CL5" s="55" t="n"/>
      <c r="CM5" s="55" t="n"/>
      <c r="CN5" s="55" t="n"/>
      <c r="CO5" s="55" t="n"/>
      <c r="CP5" s="55" t="n"/>
      <c r="CQ5" s="55" t="n"/>
      <c r="CR5" s="55" t="n"/>
      <c r="CS5" s="55" t="n"/>
      <c r="CT5" s="55" t="n"/>
      <c r="CU5" s="55" t="n"/>
      <c r="CV5" s="55" t="n"/>
      <c r="CW5" s="55" t="n"/>
      <c r="CX5" s="55" t="n"/>
      <c r="CY5" s="55" t="n"/>
      <c r="CZ5" s="55" t="n"/>
      <c r="DA5" s="55" t="n"/>
      <c r="DB5" s="55" t="n"/>
      <c r="DC5" s="55" t="n"/>
      <c r="DD5" s="55" t="n"/>
      <c r="DE5" s="55" t="n"/>
    </row>
    <row r="6">
      <c r="A6" s="55" t="inlineStr">
        <is>
          <t>issue_034</t>
        </is>
      </c>
      <c r="B6" s="56" t="inlineStr">
        <is>
          <t>NOT_TESTED</t>
        </is>
      </c>
      <c r="C6" s="56" t="inlineStr">
        <is>
          <t>NOT_TESTED</t>
        </is>
      </c>
      <c r="D6" s="56" t="inlineStr">
        <is>
          <t>NOT_TESTED</t>
        </is>
      </c>
      <c r="E6" s="56" t="inlineStr">
        <is>
          <t>NOT_TESTED</t>
        </is>
      </c>
      <c r="F6" s="56" t="inlineStr">
        <is>
          <t>NOT_TESTED</t>
        </is>
      </c>
      <c r="G6" s="56" t="inlineStr">
        <is>
          <t>NOT_TESTED</t>
        </is>
      </c>
      <c r="H6" s="56" t="inlineStr">
        <is>
          <t>NOT_TESTED</t>
        </is>
      </c>
      <c r="I6" s="56" t="inlineStr">
        <is>
          <t>NOT_TESTED</t>
        </is>
      </c>
      <c r="J6" s="56" t="inlineStr">
        <is>
          <t>NOT_TESTED</t>
        </is>
      </c>
      <c r="K6" s="56" t="inlineStr">
        <is>
          <t>NOT_TESTED</t>
        </is>
      </c>
      <c r="L6" s="56" t="inlineStr">
        <is>
          <t>NOT_TESTED</t>
        </is>
      </c>
      <c r="M6" s="56" t="inlineStr">
        <is>
          <t>NOT_TESTED</t>
        </is>
      </c>
      <c r="N6" s="59" t="inlineStr">
        <is>
          <t>Passed on test</t>
        </is>
      </c>
      <c r="O6" s="59" t="inlineStr">
        <is>
          <t>Passed on test</t>
        </is>
      </c>
      <c r="P6" s="59" t="inlineStr">
        <is>
          <t>Passed on test</t>
        </is>
      </c>
      <c r="Q6" s="59" t="inlineStr">
        <is>
          <t>Passed on test</t>
        </is>
      </c>
      <c r="R6" s="59" t="inlineStr">
        <is>
          <t>Passed on test</t>
        </is>
      </c>
      <c r="S6" s="59" t="inlineStr">
        <is>
          <t>Passed on test</t>
        </is>
      </c>
      <c r="T6" s="59" t="inlineStr">
        <is>
          <t>Passed on test</t>
        </is>
      </c>
      <c r="U6" s="59" t="inlineStr">
        <is>
          <t>Passed on test</t>
        </is>
      </c>
      <c r="V6" s="59" t="inlineStr">
        <is>
          <t>Passed on test</t>
        </is>
      </c>
      <c r="W6" s="59" t="inlineStr">
        <is>
          <t>Passed on test</t>
        </is>
      </c>
      <c r="X6" s="59" t="inlineStr">
        <is>
          <t>Passed on test</t>
        </is>
      </c>
      <c r="Y6" s="59" t="inlineStr">
        <is>
          <t>Passed on test</t>
        </is>
      </c>
      <c r="Z6" s="59" t="inlineStr">
        <is>
          <t>Passed on test</t>
        </is>
      </c>
      <c r="AA6" s="59" t="inlineStr">
        <is>
          <t>Passed on test</t>
        </is>
      </c>
      <c r="AB6" s="59" t="inlineStr">
        <is>
          <t>Passed on test</t>
        </is>
      </c>
      <c r="AC6" s="55" t="n"/>
      <c r="AD6" s="55" t="n"/>
      <c r="AE6" s="55" t="n"/>
      <c r="AF6" s="55" t="n"/>
      <c r="AG6" s="55" t="n"/>
      <c r="AH6" s="55" t="n"/>
      <c r="AI6" s="55" t="n"/>
      <c r="AJ6" s="55" t="n"/>
      <c r="AK6" s="55" t="n"/>
      <c r="AL6" s="55" t="n"/>
      <c r="AM6" s="55" t="n"/>
      <c r="AN6" s="55" t="n"/>
      <c r="AO6" s="55" t="n"/>
      <c r="AP6" s="55" t="n"/>
      <c r="AQ6" s="55" t="n"/>
      <c r="AR6" s="55" t="n"/>
      <c r="AS6" s="55" t="n"/>
      <c r="AT6" s="55" t="n"/>
      <c r="AU6" s="55" t="n"/>
      <c r="AV6" s="55" t="n"/>
      <c r="AW6" s="55" t="n"/>
      <c r="AX6" s="55" t="n"/>
      <c r="AY6" s="55" t="n"/>
      <c r="AZ6" s="55" t="n"/>
      <c r="BA6" s="55" t="n"/>
      <c r="BB6" s="55" t="n"/>
      <c r="BC6" s="55" t="n"/>
      <c r="BD6" s="55" t="n"/>
      <c r="BE6" s="55" t="n"/>
      <c r="BF6" s="55" t="n"/>
      <c r="BG6" s="55" t="n"/>
      <c r="BH6" s="55" t="n"/>
      <c r="BI6" s="55" t="n"/>
      <c r="BJ6" s="55" t="n"/>
      <c r="BK6" s="55" t="n"/>
      <c r="BL6" s="55" t="n"/>
      <c r="BM6" s="55" t="n"/>
      <c r="BN6" s="55" t="n"/>
      <c r="BO6" s="55" t="n"/>
      <c r="BP6" s="55" t="n"/>
      <c r="BQ6" s="55" t="n"/>
      <c r="BR6" s="55" t="n"/>
      <c r="BS6" s="55" t="n"/>
      <c r="BT6" s="55" t="n"/>
      <c r="BU6" s="55" t="n"/>
      <c r="BV6" s="55" t="n"/>
      <c r="BW6" s="55" t="n"/>
      <c r="BX6" s="55" t="n"/>
      <c r="BY6" s="55" t="n"/>
      <c r="BZ6" s="55" t="n"/>
      <c r="CA6" s="55" t="n"/>
      <c r="CB6" s="55" t="n"/>
      <c r="CC6" s="55" t="n"/>
      <c r="CD6" s="55" t="n"/>
      <c r="CE6" s="55" t="n"/>
      <c r="CF6" s="55" t="n"/>
      <c r="CG6" s="55" t="n"/>
      <c r="CH6" s="55" t="n"/>
      <c r="CI6" s="55" t="n"/>
      <c r="CJ6" s="55" t="n"/>
      <c r="CK6" s="55" t="n"/>
      <c r="CL6" s="55" t="n"/>
      <c r="CM6" s="55" t="n"/>
      <c r="CN6" s="55" t="n"/>
      <c r="CO6" s="55" t="n"/>
      <c r="CP6" s="55" t="n"/>
      <c r="CQ6" s="55" t="n"/>
      <c r="CR6" s="55" t="n"/>
      <c r="CS6" s="55" t="n"/>
      <c r="CT6" s="55" t="n"/>
      <c r="CU6" s="55" t="n"/>
      <c r="CV6" s="55" t="n"/>
      <c r="CW6" s="55" t="n"/>
      <c r="CX6" s="55" t="n"/>
      <c r="CY6" s="55" t="n"/>
      <c r="CZ6" s="55" t="n"/>
      <c r="DA6" s="55" t="n"/>
      <c r="DB6" s="55" t="n"/>
      <c r="DC6" s="55" t="n"/>
      <c r="DD6" s="55" t="n"/>
      <c r="DE6" s="55" t="n"/>
    </row>
    <row r="7">
      <c r="A7" s="55" t="inlineStr">
        <is>
          <t>issue_036</t>
        </is>
      </c>
      <c r="B7" s="56" t="inlineStr">
        <is>
          <t>NOT_TESTED</t>
        </is>
      </c>
      <c r="C7" s="56" t="inlineStr">
        <is>
          <t>NOT_TESTED</t>
        </is>
      </c>
      <c r="D7" s="56" t="inlineStr">
        <is>
          <t>NOT_TESTED</t>
        </is>
      </c>
      <c r="E7" s="56" t="inlineStr">
        <is>
          <t>NOT_TESTED</t>
        </is>
      </c>
      <c r="F7" s="56" t="inlineStr">
        <is>
          <t>NOT_TESTED</t>
        </is>
      </c>
      <c r="G7" s="56" t="inlineStr">
        <is>
          <t>NOT_TESTED</t>
        </is>
      </c>
      <c r="H7" s="56" t="inlineStr">
        <is>
          <t>NOT_TESTED</t>
        </is>
      </c>
      <c r="I7" s="56" t="inlineStr">
        <is>
          <t>NOT_TESTED</t>
        </is>
      </c>
      <c r="J7" s="56" t="inlineStr">
        <is>
          <t>NOT_TESTED</t>
        </is>
      </c>
      <c r="K7" s="56" t="inlineStr">
        <is>
          <t>NOT_TESTED</t>
        </is>
      </c>
      <c r="L7" s="56" t="inlineStr">
        <is>
          <t>NOT_TESTED</t>
        </is>
      </c>
      <c r="M7" s="56" t="inlineStr">
        <is>
          <t>NOT_TESTED</t>
        </is>
      </c>
      <c r="N7" s="59" t="inlineStr">
        <is>
          <t>Passed on test</t>
        </is>
      </c>
      <c r="O7" s="59" t="inlineStr">
        <is>
          <t>Passed on test</t>
        </is>
      </c>
      <c r="P7" s="59" t="inlineStr">
        <is>
          <t>Passed on test</t>
        </is>
      </c>
      <c r="Q7" s="59" t="inlineStr">
        <is>
          <t>Passed on test</t>
        </is>
      </c>
      <c r="R7" s="59" t="inlineStr">
        <is>
          <t>Passed on test</t>
        </is>
      </c>
      <c r="S7" s="59" t="inlineStr">
        <is>
          <t>Passed on test</t>
        </is>
      </c>
      <c r="T7" s="59" t="inlineStr">
        <is>
          <t>Passed on test</t>
        </is>
      </c>
      <c r="U7" s="59" t="inlineStr">
        <is>
          <t>Passed on test</t>
        </is>
      </c>
      <c r="V7" s="59" t="inlineStr">
        <is>
          <t>Passed on test</t>
        </is>
      </c>
      <c r="W7" s="59" t="inlineStr">
        <is>
          <t>Passed on test</t>
        </is>
      </c>
      <c r="X7" s="59" t="inlineStr">
        <is>
          <t>Passed on test</t>
        </is>
      </c>
      <c r="Y7" s="59" t="inlineStr">
        <is>
          <t>Passed on test</t>
        </is>
      </c>
      <c r="Z7" s="59" t="inlineStr">
        <is>
          <t>Passed on test</t>
        </is>
      </c>
      <c r="AA7" s="59" t="inlineStr">
        <is>
          <t>Passed on test</t>
        </is>
      </c>
      <c r="AB7" s="59" t="inlineStr">
        <is>
          <t>Passed on test</t>
        </is>
      </c>
      <c r="AC7" s="55" t="n"/>
      <c r="AD7" s="55" t="n"/>
      <c r="AE7" s="55" t="n"/>
      <c r="AF7" s="55" t="n"/>
      <c r="AG7" s="55" t="n"/>
      <c r="AH7" s="55" t="n"/>
      <c r="AI7" s="55" t="n"/>
      <c r="AJ7" s="55" t="n"/>
      <c r="AK7" s="55" t="n"/>
      <c r="AL7" s="55" t="n"/>
      <c r="AM7" s="55" t="n"/>
      <c r="AN7" s="55" t="n"/>
      <c r="AO7" s="55" t="n"/>
      <c r="AP7" s="55" t="n"/>
      <c r="AQ7" s="55" t="n"/>
      <c r="AR7" s="55" t="n"/>
      <c r="AS7" s="55" t="n"/>
      <c r="AT7" s="55" t="n"/>
      <c r="AU7" s="55" t="n"/>
      <c r="AV7" s="55" t="n"/>
      <c r="AW7" s="55" t="n"/>
      <c r="AX7" s="55" t="n"/>
      <c r="AY7" s="55" t="n"/>
      <c r="AZ7" s="55" t="n"/>
      <c r="BA7" s="55" t="n"/>
      <c r="BB7" s="55" t="n"/>
      <c r="BC7" s="55" t="n"/>
      <c r="BD7" s="55" t="n"/>
      <c r="BE7" s="55" t="n"/>
      <c r="BF7" s="55" t="n"/>
      <c r="BG7" s="55" t="n"/>
      <c r="BH7" s="55" t="n"/>
      <c r="BI7" s="55" t="n"/>
      <c r="BJ7" s="55" t="n"/>
      <c r="BK7" s="55" t="n"/>
      <c r="BL7" s="55" t="n"/>
      <c r="BM7" s="55" t="n"/>
      <c r="BN7" s="55" t="n"/>
      <c r="BO7" s="55" t="n"/>
      <c r="BP7" s="55" t="n"/>
      <c r="BQ7" s="55" t="n"/>
      <c r="BR7" s="55" t="n"/>
      <c r="BS7" s="55" t="n"/>
      <c r="BT7" s="55" t="n"/>
      <c r="BU7" s="55" t="n"/>
      <c r="BV7" s="55" t="n"/>
      <c r="BW7" s="55" t="n"/>
      <c r="BX7" s="55" t="n"/>
      <c r="BY7" s="55" t="n"/>
      <c r="BZ7" s="55" t="n"/>
      <c r="CA7" s="55" t="n"/>
      <c r="CB7" s="55" t="n"/>
      <c r="CC7" s="55" t="n"/>
      <c r="CD7" s="55" t="n"/>
      <c r="CE7" s="55" t="n"/>
      <c r="CF7" s="55" t="n"/>
      <c r="CG7" s="55" t="n"/>
      <c r="CH7" s="55" t="n"/>
      <c r="CI7" s="55" t="n"/>
      <c r="CJ7" s="55" t="n"/>
      <c r="CK7" s="55" t="n"/>
      <c r="CL7" s="55" t="n"/>
      <c r="CM7" s="55" t="n"/>
      <c r="CN7" s="55" t="n"/>
      <c r="CO7" s="55" t="n"/>
      <c r="CP7" s="55" t="n"/>
      <c r="CQ7" s="55" t="n"/>
      <c r="CR7" s="55" t="n"/>
      <c r="CS7" s="55" t="n"/>
      <c r="CT7" s="55" t="n"/>
      <c r="CU7" s="55" t="n"/>
      <c r="CV7" s="55" t="n"/>
      <c r="CW7" s="55" t="n"/>
      <c r="CX7" s="55" t="n"/>
      <c r="CY7" s="55" t="n"/>
      <c r="CZ7" s="55" t="n"/>
      <c r="DA7" s="55" t="n"/>
      <c r="DB7" s="55" t="n"/>
      <c r="DC7" s="55" t="n"/>
      <c r="DD7" s="55" t="n"/>
      <c r="DE7" s="55" t="n"/>
    </row>
    <row r="8">
      <c r="A8" s="55" t="inlineStr">
        <is>
          <t>issue_058_se</t>
        </is>
      </c>
      <c r="B8" s="59" t="inlineStr">
        <is>
          <t>Passed on test</t>
        </is>
      </c>
      <c r="C8" s="59" t="inlineStr">
        <is>
          <t>Passed on test</t>
        </is>
      </c>
      <c r="D8" s="59" t="inlineStr">
        <is>
          <t>Passed on test</t>
        </is>
      </c>
      <c r="E8" s="59" t="inlineStr">
        <is>
          <t>Passed on test</t>
        </is>
      </c>
      <c r="F8" s="59" t="inlineStr">
        <is>
          <t>Passed on test</t>
        </is>
      </c>
      <c r="G8" s="59" t="inlineStr">
        <is>
          <t>Passed on test</t>
        </is>
      </c>
      <c r="H8" s="59" t="inlineStr">
        <is>
          <t>Passed on test</t>
        </is>
      </c>
      <c r="I8" s="59" t="inlineStr">
        <is>
          <t>Passed on test</t>
        </is>
      </c>
      <c r="J8" s="59" t="inlineStr">
        <is>
          <t>Passed on test</t>
        </is>
      </c>
      <c r="K8" s="59" t="inlineStr">
        <is>
          <t>Passed on test</t>
        </is>
      </c>
      <c r="L8" s="59" t="inlineStr">
        <is>
          <t>Passed on test</t>
        </is>
      </c>
      <c r="M8" s="59" t="inlineStr">
        <is>
          <t>Passed on test</t>
        </is>
      </c>
      <c r="N8" s="56" t="inlineStr">
        <is>
          <t>NOT_TESTED</t>
        </is>
      </c>
      <c r="O8" s="56" t="inlineStr">
        <is>
          <t>NOT_TESTED</t>
        </is>
      </c>
      <c r="P8" s="56" t="inlineStr">
        <is>
          <t>NOT_TESTED</t>
        </is>
      </c>
      <c r="Q8" s="56" t="inlineStr">
        <is>
          <t>NOT_TESTED</t>
        </is>
      </c>
      <c r="R8" s="56" t="inlineStr">
        <is>
          <t>NOT_TESTED</t>
        </is>
      </c>
      <c r="S8" s="56" t="inlineStr">
        <is>
          <t>NOT_TESTED</t>
        </is>
      </c>
      <c r="T8" s="56" t="inlineStr">
        <is>
          <t>NOT_TESTED</t>
        </is>
      </c>
      <c r="U8" s="56" t="inlineStr">
        <is>
          <t>NOT_TESTED</t>
        </is>
      </c>
      <c r="V8" s="56" t="inlineStr">
        <is>
          <t>NOT_TESTED</t>
        </is>
      </c>
      <c r="W8" s="56" t="inlineStr">
        <is>
          <t>NOT_TESTED</t>
        </is>
      </c>
      <c r="X8" s="56" t="inlineStr">
        <is>
          <t>NOT_TESTED</t>
        </is>
      </c>
      <c r="Y8" s="56" t="inlineStr">
        <is>
          <t>NOT_TESTED</t>
        </is>
      </c>
      <c r="Z8" s="56" t="inlineStr">
        <is>
          <t>NOT_TESTED</t>
        </is>
      </c>
      <c r="AA8" s="56" t="inlineStr">
        <is>
          <t>NOT_TESTED</t>
        </is>
      </c>
      <c r="AB8" s="56" t="inlineStr">
        <is>
          <t>NOT_TESTED</t>
        </is>
      </c>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c r="BX8" s="55" t="n"/>
      <c r="BY8" s="55" t="n"/>
      <c r="BZ8" s="55" t="n"/>
      <c r="CA8" s="55" t="n"/>
      <c r="CB8" s="55" t="n"/>
      <c r="CC8" s="55" t="n"/>
      <c r="CD8" s="55" t="n"/>
      <c r="CE8" s="55" t="n"/>
      <c r="CF8" s="55" t="n"/>
      <c r="CG8" s="55" t="n"/>
      <c r="CH8" s="55" t="n"/>
      <c r="CI8" s="55" t="n"/>
      <c r="CJ8" s="55" t="n"/>
      <c r="CK8" s="55" t="n"/>
      <c r="CL8" s="55" t="n"/>
      <c r="CM8" s="55" t="n"/>
      <c r="CN8" s="55" t="n"/>
      <c r="CO8" s="55" t="n"/>
      <c r="CP8" s="55" t="n"/>
      <c r="CQ8" s="55" t="n"/>
      <c r="CR8" s="55" t="n"/>
      <c r="CS8" s="55" t="n"/>
      <c r="CT8" s="55" t="n"/>
      <c r="CU8" s="55" t="n"/>
      <c r="CV8" s="55" t="n"/>
      <c r="CW8" s="55" t="n"/>
      <c r="CX8" s="55" t="n"/>
      <c r="CY8" s="55" t="n"/>
      <c r="CZ8" s="55" t="n"/>
      <c r="DA8" s="55" t="n"/>
      <c r="DB8" s="55" t="n"/>
      <c r="DC8" s="55" t="n"/>
      <c r="DD8" s="55" t="n"/>
      <c r="DE8" s="55" t="n"/>
    </row>
    <row r="9">
      <c r="A9" s="55" t="inlineStr">
        <is>
          <t>issue_061</t>
        </is>
      </c>
      <c r="B9" s="56" t="inlineStr">
        <is>
          <t>NOT_TESTED</t>
        </is>
      </c>
      <c r="C9" s="56" t="inlineStr">
        <is>
          <t>NOT_TESTED</t>
        </is>
      </c>
      <c r="D9" s="56" t="inlineStr">
        <is>
          <t>NOT_TESTED</t>
        </is>
      </c>
      <c r="E9" s="56" t="inlineStr">
        <is>
          <t>NOT_TESTED</t>
        </is>
      </c>
      <c r="F9" s="56" t="inlineStr">
        <is>
          <t>NOT_TESTED</t>
        </is>
      </c>
      <c r="G9" s="56" t="inlineStr">
        <is>
          <t>NOT_TESTED</t>
        </is>
      </c>
      <c r="H9" s="56" t="inlineStr">
        <is>
          <t>NOT_TESTED</t>
        </is>
      </c>
      <c r="I9" s="56" t="inlineStr">
        <is>
          <t>NOT_TESTED</t>
        </is>
      </c>
      <c r="J9" s="56" t="inlineStr">
        <is>
          <t>NOT_TESTED</t>
        </is>
      </c>
      <c r="K9" s="56" t="inlineStr">
        <is>
          <t>NOT_TESTED</t>
        </is>
      </c>
      <c r="L9" s="56" t="inlineStr">
        <is>
          <t>NOT_TESTED</t>
        </is>
      </c>
      <c r="M9" s="56" t="inlineStr">
        <is>
          <t>NOT_TESTED</t>
        </is>
      </c>
      <c r="N9" s="59" t="inlineStr">
        <is>
          <t>Passed on test</t>
        </is>
      </c>
      <c r="O9" s="59" t="inlineStr">
        <is>
          <t>Passed on test</t>
        </is>
      </c>
      <c r="P9" s="59" t="inlineStr">
        <is>
          <t>Passed on test</t>
        </is>
      </c>
      <c r="Q9" s="59" t="inlineStr">
        <is>
          <t>Passed on test</t>
        </is>
      </c>
      <c r="R9" s="59" t="inlineStr">
        <is>
          <t>Passed on test</t>
        </is>
      </c>
      <c r="S9" s="59" t="inlineStr">
        <is>
          <t>Passed on test</t>
        </is>
      </c>
      <c r="T9" s="59" t="inlineStr">
        <is>
          <t>Passed on test</t>
        </is>
      </c>
      <c r="U9" s="59" t="inlineStr">
        <is>
          <t>Passed on test</t>
        </is>
      </c>
      <c r="V9" s="59" t="inlineStr">
        <is>
          <t>Passed on test</t>
        </is>
      </c>
      <c r="W9" s="59" t="inlineStr">
        <is>
          <t>Passed on test</t>
        </is>
      </c>
      <c r="X9" s="59" t="inlineStr">
        <is>
          <t>Passed on test</t>
        </is>
      </c>
      <c r="Y9" s="59" t="inlineStr">
        <is>
          <t>Passed on test</t>
        </is>
      </c>
      <c r="Z9" s="59" t="inlineStr">
        <is>
          <t>Passed on test</t>
        </is>
      </c>
      <c r="AA9" s="59" t="inlineStr">
        <is>
          <t>Passed on test</t>
        </is>
      </c>
      <c r="AB9" s="59" t="inlineStr">
        <is>
          <t>Passed on test</t>
        </is>
      </c>
      <c r="AC9" s="55" t="n"/>
      <c r="AD9" s="55" t="n"/>
      <c r="AE9" s="55" t="n"/>
      <c r="AF9" s="55" t="n"/>
      <c r="AG9" s="55" t="n"/>
      <c r="AH9" s="55" t="n"/>
      <c r="AI9" s="55" t="n"/>
      <c r="AJ9" s="55" t="n"/>
      <c r="AK9" s="55" t="n"/>
      <c r="AL9" s="55" t="n"/>
      <c r="AM9" s="55" t="n"/>
      <c r="AN9" s="55" t="n"/>
      <c r="AO9" s="55" t="n"/>
      <c r="AP9" s="55" t="n"/>
      <c r="AQ9" s="55" t="n"/>
      <c r="AR9" s="55" t="n"/>
      <c r="AS9" s="55" t="n"/>
      <c r="AT9" s="55" t="n"/>
      <c r="AU9" s="55" t="n"/>
      <c r="AV9" s="55" t="n"/>
      <c r="AW9" s="55" t="n"/>
      <c r="AX9" s="55" t="n"/>
      <c r="AY9" s="55" t="n"/>
      <c r="AZ9" s="55" t="n"/>
      <c r="BA9" s="55" t="n"/>
      <c r="BB9" s="55" t="n"/>
      <c r="BC9" s="55" t="n"/>
      <c r="BD9" s="55" t="n"/>
      <c r="BE9" s="55" t="n"/>
      <c r="BF9" s="55" t="n"/>
      <c r="BG9" s="55" t="n"/>
      <c r="BH9" s="55" t="n"/>
      <c r="BI9" s="55" t="n"/>
      <c r="BJ9" s="55" t="n"/>
      <c r="BK9" s="55" t="n"/>
      <c r="BL9" s="55" t="n"/>
      <c r="BM9" s="55" t="n"/>
      <c r="BN9" s="55" t="n"/>
      <c r="BO9" s="55" t="n"/>
      <c r="BP9" s="55" t="n"/>
      <c r="BQ9" s="55" t="n"/>
      <c r="BR9" s="55" t="n"/>
      <c r="BS9" s="55" t="n"/>
      <c r="BT9" s="55" t="n"/>
      <c r="BU9" s="55" t="n"/>
      <c r="BV9" s="55" t="n"/>
      <c r="BW9" s="55" t="n"/>
      <c r="BX9" s="55" t="n"/>
      <c r="BY9" s="55" t="n"/>
      <c r="BZ9" s="55" t="n"/>
      <c r="CA9" s="55" t="n"/>
      <c r="CB9" s="55" t="n"/>
      <c r="CC9" s="55" t="n"/>
      <c r="CD9" s="55" t="n"/>
      <c r="CE9" s="55" t="n"/>
      <c r="CF9" s="55" t="n"/>
      <c r="CG9" s="55" t="n"/>
      <c r="CH9" s="55" t="n"/>
      <c r="CI9" s="55" t="n"/>
      <c r="CJ9" s="55" t="n"/>
      <c r="CK9" s="55" t="n"/>
      <c r="CL9" s="55" t="n"/>
      <c r="CM9" s="55" t="n"/>
      <c r="CN9" s="55" t="n"/>
      <c r="CO9" s="55" t="n"/>
      <c r="CP9" s="55" t="n"/>
      <c r="CQ9" s="55" t="n"/>
      <c r="CR9" s="55" t="n"/>
      <c r="CS9" s="55" t="n"/>
      <c r="CT9" s="55" t="n"/>
      <c r="CU9" s="55" t="n"/>
      <c r="CV9" s="55" t="n"/>
      <c r="CW9" s="55" t="n"/>
      <c r="CX9" s="55" t="n"/>
      <c r="CY9" s="55" t="n"/>
      <c r="CZ9" s="55" t="n"/>
      <c r="DA9" s="55" t="n"/>
      <c r="DB9" s="55" t="n"/>
      <c r="DC9" s="55" t="n"/>
      <c r="DD9" s="55" t="n"/>
      <c r="DE9" s="55" t="n"/>
    </row>
    <row r="10">
      <c r="A10" s="55" t="inlineStr">
        <is>
          <t>issue_072</t>
        </is>
      </c>
      <c r="B10" s="59" t="inlineStr">
        <is>
          <t>Passed on test</t>
        </is>
      </c>
      <c r="C10" s="59" t="inlineStr">
        <is>
          <t>Passed on test</t>
        </is>
      </c>
      <c r="D10" s="59" t="inlineStr">
        <is>
          <t>Passed on test</t>
        </is>
      </c>
      <c r="E10" s="59" t="inlineStr">
        <is>
          <t>Passed on test</t>
        </is>
      </c>
      <c r="F10" s="56" t="inlineStr">
        <is>
          <t>NOT_TESTED</t>
        </is>
      </c>
      <c r="G10" s="56" t="inlineStr">
        <is>
          <t>NOT_TESTED</t>
        </is>
      </c>
      <c r="H10" s="56" t="inlineStr">
        <is>
          <t>NOT_TESTED</t>
        </is>
      </c>
      <c r="I10" s="56" t="inlineStr">
        <is>
          <t>NOT_TESTED</t>
        </is>
      </c>
      <c r="J10" s="56" t="inlineStr">
        <is>
          <t>NOT_TESTED</t>
        </is>
      </c>
      <c r="K10" s="56" t="inlineStr">
        <is>
          <t>NOT_TESTED</t>
        </is>
      </c>
      <c r="L10" s="56" t="inlineStr">
        <is>
          <t>NOT_TESTED</t>
        </is>
      </c>
      <c r="M10" s="56" t="inlineStr">
        <is>
          <t>NOT_TESTED</t>
        </is>
      </c>
      <c r="N10" s="56" t="inlineStr">
        <is>
          <t>NOT_TESTED</t>
        </is>
      </c>
      <c r="O10" s="56" t="inlineStr">
        <is>
          <t>NOT_TESTED</t>
        </is>
      </c>
      <c r="P10" s="56" t="inlineStr">
        <is>
          <t>NOT_TESTED</t>
        </is>
      </c>
      <c r="Q10" s="56" t="inlineStr">
        <is>
          <t>NOT_TESTED</t>
        </is>
      </c>
      <c r="R10" s="56" t="inlineStr">
        <is>
          <t>NOT_TESTED</t>
        </is>
      </c>
      <c r="S10" s="56" t="inlineStr">
        <is>
          <t>NOT_TESTED</t>
        </is>
      </c>
      <c r="T10" s="56" t="inlineStr">
        <is>
          <t>NOT_TESTED</t>
        </is>
      </c>
      <c r="U10" s="56" t="inlineStr">
        <is>
          <t>NOT_TESTED</t>
        </is>
      </c>
      <c r="V10" s="56" t="inlineStr">
        <is>
          <t>NOT_TESTED</t>
        </is>
      </c>
      <c r="W10" s="56" t="inlineStr">
        <is>
          <t>NOT_TESTED</t>
        </is>
      </c>
      <c r="X10" s="56" t="inlineStr">
        <is>
          <t>NOT_TESTED</t>
        </is>
      </c>
      <c r="Y10" s="56" t="inlineStr">
        <is>
          <t>NOT_TESTED</t>
        </is>
      </c>
      <c r="Z10" s="56" t="inlineStr">
        <is>
          <t>NOT_TESTED</t>
        </is>
      </c>
      <c r="AA10" s="56" t="inlineStr">
        <is>
          <t>NOT_TESTED</t>
        </is>
      </c>
      <c r="AB10" s="56" t="inlineStr">
        <is>
          <t>NOT_TESTED</t>
        </is>
      </c>
      <c r="AC10" s="55" t="n"/>
      <c r="AD10" s="55" t="n"/>
      <c r="AE10" s="55" t="n"/>
      <c r="AF10" s="55" t="n"/>
      <c r="AG10" s="55" t="n"/>
      <c r="AH10" s="55" t="n"/>
      <c r="AI10" s="55" t="n"/>
      <c r="AJ10" s="55" t="n"/>
      <c r="AK10" s="55" t="n"/>
      <c r="AL10" s="55" t="n"/>
      <c r="AM10" s="55" t="n"/>
      <c r="AN10" s="55" t="n"/>
      <c r="AO10" s="55" t="n"/>
      <c r="AP10" s="55" t="n"/>
      <c r="AQ10" s="55" t="n"/>
      <c r="AR10" s="55" t="n"/>
      <c r="AS10" s="55" t="n"/>
      <c r="AT10" s="55" t="n"/>
      <c r="AU10" s="55" t="n"/>
      <c r="AV10" s="55" t="n"/>
      <c r="AW10" s="55" t="n"/>
      <c r="AX10" s="55" t="n"/>
      <c r="AY10" s="55" t="n"/>
      <c r="AZ10" s="55" t="n"/>
      <c r="BA10" s="55" t="n"/>
      <c r="BB10" s="55" t="n"/>
      <c r="BC10" s="55" t="n"/>
      <c r="BD10" s="55" t="n"/>
      <c r="BE10" s="55" t="n"/>
      <c r="BF10" s="55" t="n"/>
      <c r="BG10" s="55" t="n"/>
      <c r="BH10" s="55" t="n"/>
      <c r="BI10" s="55" t="n"/>
      <c r="BJ10" s="55" t="n"/>
      <c r="BK10" s="55" t="n"/>
      <c r="BL10" s="55" t="n"/>
      <c r="BM10" s="55" t="n"/>
      <c r="BN10" s="55" t="n"/>
      <c r="BO10" s="55" t="n"/>
      <c r="BP10" s="55" t="n"/>
      <c r="BQ10" s="55" t="n"/>
      <c r="BR10" s="55" t="n"/>
      <c r="BS10" s="55" t="n"/>
      <c r="BT10" s="55" t="n"/>
      <c r="BU10" s="55" t="n"/>
      <c r="BV10" s="55" t="n"/>
      <c r="BW10" s="55" t="n"/>
      <c r="BX10" s="55" t="n"/>
      <c r="BY10" s="55" t="n"/>
      <c r="BZ10" s="55" t="n"/>
      <c r="CA10" s="55" t="n"/>
      <c r="CB10" s="55" t="n"/>
      <c r="CC10" s="55" t="n"/>
      <c r="CD10" s="55" t="n"/>
      <c r="CE10" s="55" t="n"/>
      <c r="CF10" s="55" t="n"/>
      <c r="CG10" s="55" t="n"/>
      <c r="CH10" s="55" t="n"/>
      <c r="CI10" s="55" t="n"/>
      <c r="CJ10" s="55" t="n"/>
      <c r="CK10" s="55" t="n"/>
      <c r="CL10" s="55" t="n"/>
      <c r="CM10" s="55" t="n"/>
      <c r="CN10" s="55" t="n"/>
      <c r="CO10" s="55" t="n"/>
      <c r="CP10" s="55" t="n"/>
      <c r="CQ10" s="55" t="n"/>
      <c r="CR10" s="55" t="n"/>
      <c r="CS10" s="55" t="n"/>
      <c r="CT10" s="55" t="n"/>
      <c r="CU10" s="55" t="n"/>
      <c r="CV10" s="55" t="n"/>
      <c r="CW10" s="55" t="n"/>
      <c r="CX10" s="55" t="n"/>
      <c r="CY10" s="55" t="n"/>
      <c r="CZ10" s="55" t="n"/>
      <c r="DA10" s="55" t="n"/>
      <c r="DB10" s="55" t="n"/>
      <c r="DC10" s="55" t="n"/>
      <c r="DD10" s="55" t="n"/>
      <c r="DE10" s="55" t="n"/>
    </row>
    <row r="11">
      <c r="A11" s="55" t="inlineStr">
        <is>
          <t>issue_096</t>
        </is>
      </c>
      <c r="B11" s="58" t="inlineStr">
        <is>
          <t>Failed on test</t>
        </is>
      </c>
      <c r="C11" s="58" t="inlineStr">
        <is>
          <t>Failed on test</t>
        </is>
      </c>
      <c r="D11" s="58" t="inlineStr">
        <is>
          <t>Failed on test</t>
        </is>
      </c>
      <c r="E11" s="58" t="inlineStr">
        <is>
          <t>Failed on test</t>
        </is>
      </c>
      <c r="F11" s="58" t="inlineStr">
        <is>
          <t>Failed on test</t>
        </is>
      </c>
      <c r="G11" s="58" t="inlineStr">
        <is>
          <t>Failed on test</t>
        </is>
      </c>
      <c r="H11" s="58" t="inlineStr">
        <is>
          <t>Failed on test</t>
        </is>
      </c>
      <c r="I11" s="58" t="inlineStr">
        <is>
          <t>Failed on test</t>
        </is>
      </c>
      <c r="J11" s="58" t="inlineStr">
        <is>
          <t>Failed on test</t>
        </is>
      </c>
      <c r="K11" s="58" t="inlineStr">
        <is>
          <t>Failed on test</t>
        </is>
      </c>
      <c r="L11" s="58" t="inlineStr">
        <is>
          <t>Failed on test</t>
        </is>
      </c>
      <c r="M11" s="58" t="inlineStr">
        <is>
          <t>Failed on test</t>
        </is>
      </c>
      <c r="N11" s="58" t="inlineStr">
        <is>
          <t>Failed on test</t>
        </is>
      </c>
      <c r="O11" s="58" t="inlineStr">
        <is>
          <t>Failed on test</t>
        </is>
      </c>
      <c r="P11" s="58" t="inlineStr">
        <is>
          <t>Failed on test</t>
        </is>
      </c>
      <c r="Q11" s="58" t="inlineStr">
        <is>
          <t>Failed on test</t>
        </is>
      </c>
      <c r="R11" s="58" t="inlineStr">
        <is>
          <t>Failed on test</t>
        </is>
      </c>
      <c r="S11" s="58" t="inlineStr">
        <is>
          <t>Failed on test</t>
        </is>
      </c>
      <c r="T11" s="58" t="inlineStr">
        <is>
          <t>Failed on test</t>
        </is>
      </c>
      <c r="U11" s="58" t="inlineStr">
        <is>
          <t>Failed on test</t>
        </is>
      </c>
      <c r="V11" s="58" t="inlineStr">
        <is>
          <t>Failed on test</t>
        </is>
      </c>
      <c r="W11" s="58" t="inlineStr">
        <is>
          <t>Failed on test</t>
        </is>
      </c>
      <c r="X11" s="58" t="inlineStr">
        <is>
          <t>Failed on test</t>
        </is>
      </c>
      <c r="Y11" s="58" t="inlineStr">
        <is>
          <t>Failed on test</t>
        </is>
      </c>
      <c r="Z11" s="58" t="inlineStr">
        <is>
          <t>Failed on test</t>
        </is>
      </c>
      <c r="AA11" s="58" t="inlineStr">
        <is>
          <t>Failed on test</t>
        </is>
      </c>
      <c r="AB11" s="58" t="inlineStr">
        <is>
          <t>Failed on test</t>
        </is>
      </c>
      <c r="AC11" s="55" t="inlineStr">
        <is>
          <t>AssertionError</t>
        </is>
      </c>
      <c r="AD11" s="55" t="inlineStr">
        <is>
          <t>AssertionError: '' != '[default]\n' + [default] | AssertionError: False is not true : Missing ipython_kernel_config.py (even when the profile directory already exists)</t>
        </is>
      </c>
      <c r="AE11" s="55" t="inlineStr">
        <is>
          <t>The LLM creates an empty Qiskit settings file instead of one containing '[default]', and never creates the ipython_kernel_config.py file the user needed.</t>
        </is>
      </c>
      <c r="AF11" s="55" t="inlineStr">
        <is>
          <t>AssertionError</t>
        </is>
      </c>
      <c r="AG11" s="55" t="inlineStr">
        <is>
          <t>AssertionError: '' != '[default]\n' + [default] | AssertionError: False is not true : Missing ipython_kernel_config.py (even when the profile directory already exists)</t>
        </is>
      </c>
      <c r="AH11" s="55" t="inlineStr">
        <is>
          <t>The LLM creates an empty Qiskit settings file instead of one containing '[default]', and never creates the ipython_kernel_config.py file the user needed.</t>
        </is>
      </c>
      <c r="AI11" s="55" t="inlineStr">
        <is>
          <t>AssertionError</t>
        </is>
      </c>
      <c r="AJ11" s="55" t="inlineStr">
        <is>
          <t>AssertionError: '' != '[default]\n' + [default] | AssertionError: False is not true : Missing ipython_kernel_config.py (even when the profile directory already exists)</t>
        </is>
      </c>
      <c r="AK11" s="55" t="inlineStr">
        <is>
          <t>The LLM creates an empty Qiskit settings file instead of one containing '[default]', and never creates the ipython_kernel_config.py file the user needed.</t>
        </is>
      </c>
      <c r="AL11" s="55" t="inlineStr">
        <is>
          <t>AssertionError</t>
        </is>
      </c>
      <c r="AM11" s="55" t="inlineStr">
        <is>
          <t>AssertionError: '' != '[default]\n' + [default] | AssertionError: False is not true : Missing ipython_kernel_config.py (even when the profile directory already exists)</t>
        </is>
      </c>
      <c r="AN11" s="55" t="inlineStr">
        <is>
          <t>The LLM creates an empty Qiskit settings file instead of one containing '[default]', and never creates the ipython_kernel_config.py file the user needed.</t>
        </is>
      </c>
      <c r="AO11" s="55" t="inlineStr">
        <is>
          <t>AssertionError</t>
        </is>
      </c>
      <c r="AP11" s="55" t="inlineStr">
        <is>
          <t>AssertionError: '' != '[default]\n' + [default] | AssertionError: False is not true : Missing ipython_kernel_config.py (even when the profile directory already exists)</t>
        </is>
      </c>
      <c r="AQ11" s="55" t="inlineStr">
        <is>
          <t>The LLM creates an empty Qiskit settings file instead of one containing '[default]', and never creates the ipython_kernel_config.py file the user needed.</t>
        </is>
      </c>
      <c r="AR11" s="55" t="inlineStr">
        <is>
          <t>AssertionError</t>
        </is>
      </c>
      <c r="AS11" s="55" t="inlineStr">
        <is>
          <t>AssertionError: '' != '[default]\n' + [default] | AssertionError: False is not true : Missing ipython_kernel_config.py (even when the profile directory already exists)</t>
        </is>
      </c>
      <c r="AT11" s="55" t="inlineStr">
        <is>
          <t>The LLM creates an empty Qiskit settings file instead of one containing '[default]', and never creates the ipython_kernel_config.py file the user needed.</t>
        </is>
      </c>
      <c r="AU11" s="55" t="inlineStr">
        <is>
          <t>AssertionError</t>
        </is>
      </c>
      <c r="AV11" s="55" t="inlineStr">
        <is>
          <t>AssertionError: '' != '[default]\n' + [default] | AssertionError: False is not true : Missing ipython_kernel_config.py (even when the profile directory already exists)</t>
        </is>
      </c>
      <c r="AW11" s="55" t="inlineStr">
        <is>
          <t>The LLM creates an empty Qiskit settings file instead of one containing '[default]', and never creates the ipython_kernel_config.py file the user needed.</t>
        </is>
      </c>
      <c r="AX11" s="55" t="inlineStr">
        <is>
          <t>AssertionError</t>
        </is>
      </c>
      <c r="AY11" s="55" t="inlineStr">
        <is>
          <t>AssertionError: '' != '[default]\n' + [default] | AssertionError: False is not true : Missing ipython_kernel_config.py (even when the profile directory already exists)</t>
        </is>
      </c>
      <c r="AZ11" s="55" t="inlineStr">
        <is>
          <t>The LLM creates an empty Qiskit settings file instead of one containing '[default]', and never creates the ipython_kernel_config.py file the user needed.</t>
        </is>
      </c>
      <c r="BA11" s="55" t="inlineStr">
        <is>
          <t>AssertionError</t>
        </is>
      </c>
      <c r="BB11" s="55" t="inlineStr">
        <is>
          <t>AssertionError: '' != '[default]\n' + [default] | AssertionError: False is not true : Missing ipython_kernel_config.py (even when the profile directory already exists)</t>
        </is>
      </c>
      <c r="BC11" s="55" t="inlineStr">
        <is>
          <t>The LLM creates an empty Qiskit settings file instead of one containing '[default]', and never creates the ipython_kernel_config.py file the user needed.</t>
        </is>
      </c>
      <c r="BD11" s="55" t="inlineStr">
        <is>
          <t>AssertionError</t>
        </is>
      </c>
      <c r="BE11" s="55" t="inlineStr">
        <is>
          <t>AssertionError: '' != '[default]\n' + [default] | AssertionError: False is not true : Missing ipython_kernel_config.py (even when the profile directory already exists)</t>
        </is>
      </c>
      <c r="BF11" s="55" t="inlineStr">
        <is>
          <t>The LLM creates an empty Qiskit settings file instead of one containing '[default]', and never creates the ipython_kernel_config.py file the user needed.</t>
        </is>
      </c>
      <c r="BG11" s="55" t="inlineStr">
        <is>
          <t>AssertionError</t>
        </is>
      </c>
      <c r="BH11" s="55" t="inlineStr">
        <is>
          <t>AssertionError: '' != '[default]\n' + [default] | AssertionError: False is not true : Missing ipython_kernel_config.py (even when the profile directory already exists)</t>
        </is>
      </c>
      <c r="BI11" s="55" t="inlineStr">
        <is>
          <t>The LLM creates an empty Qiskit settings file instead of one containing '[default]', and never creates the ipython_kernel_config.py file the user needed.</t>
        </is>
      </c>
      <c r="BJ11" s="55" t="inlineStr">
        <is>
          <t>AssertionError</t>
        </is>
      </c>
      <c r="BK11" s="55" t="inlineStr">
        <is>
          <t>AssertionError: '' != '[default]\n' + [default] | AssertionError: False is not true : Missing ipython_kernel_config.py (even when the profile directory already exists)</t>
        </is>
      </c>
      <c r="BL11" s="55" t="inlineStr">
        <is>
          <t>The LLM creates an empty Qiskit settings file instead of one containing '[default]', and never creates the ipython_kernel_config.py file the user needed.</t>
        </is>
      </c>
      <c r="BM11" s="55" t="inlineStr">
        <is>
          <t>AssertionError</t>
        </is>
      </c>
      <c r="BN11" s="55" t="inlineStr">
        <is>
          <t>AssertionError: '' != '[default]\n' + [default] | AssertionError: False is not true : Missing ipython_kernel_config.py (even when the profile directory already exists)</t>
        </is>
      </c>
      <c r="BO11" s="55" t="inlineStr">
        <is>
          <t>The LLM creates an empty Qiskit settings file instead of one containing '[default]', and never creates the ipython_kernel_config.py file the user needed.</t>
        </is>
      </c>
      <c r="BP11" s="55" t="inlineStr">
        <is>
          <t>AssertionError</t>
        </is>
      </c>
      <c r="BQ11" s="55" t="inlineStr">
        <is>
          <t>AssertionError: '' != '[default]\n' + [default] | AssertionError: False is not true : Missing ipython_kernel_config.py (even when the profile directory already exists)</t>
        </is>
      </c>
      <c r="BR11" s="55" t="inlineStr">
        <is>
          <t>The LLM creates an empty Qiskit settings file instead of one containing '[default]', and never creates the ipython_kernel_config.py file the user needed.</t>
        </is>
      </c>
      <c r="BS11" s="55" t="inlineStr">
        <is>
          <t>AssertionError</t>
        </is>
      </c>
      <c r="BT11" s="55" t="inlineStr">
        <is>
          <t>AssertionError: '' != '[default]\n' + [default] | AssertionError: False is not true : Missing ipython_kernel_config.py (even when the profile directory already exists)</t>
        </is>
      </c>
      <c r="BU11" s="55" t="inlineStr">
        <is>
          <t>The LLM creates an empty Qiskit settings file instead of one containing '[default]', and never creates the ipython_kernel_config.py file the user needed.</t>
        </is>
      </c>
      <c r="BV11" s="55" t="inlineStr">
        <is>
          <t>AssertionError</t>
        </is>
      </c>
      <c r="BW11" s="55" t="inlineStr">
        <is>
          <t>AssertionError: '' != '[default]\n' + [default] | AssertionError: False is not true : Missing ipython_kernel_config.py (even when the profile directory already exists)</t>
        </is>
      </c>
      <c r="BX11" s="55" t="inlineStr">
        <is>
          <t>The LLM creates an empty Qiskit settings file instead of one containing '[default]', and never creates the ipython_kernel_config.py file the user needed.</t>
        </is>
      </c>
      <c r="BY11" s="55" t="inlineStr">
        <is>
          <t>AssertionError</t>
        </is>
      </c>
      <c r="BZ11" s="55" t="inlineStr">
        <is>
          <t>AssertionError: '' != '[default]\n' + [default] | AssertionError: False is not true : Missing ipython_kernel_config.py (even when the profile directory already exists)</t>
        </is>
      </c>
      <c r="CA11" s="55" t="inlineStr">
        <is>
          <t>The LLM creates an empty Qiskit settings file instead of one containing '[default]', and never creates the ipython_kernel_config.py file the user needed.</t>
        </is>
      </c>
      <c r="CB11" s="55" t="inlineStr">
        <is>
          <t>AssertionError</t>
        </is>
      </c>
      <c r="CC11" s="55" t="inlineStr">
        <is>
          <t>AssertionError: '' != '[default]\n' + [default] | AssertionError: False is not true : Missing ipython_kernel_config.py (even when the profile directory already exists)</t>
        </is>
      </c>
      <c r="CD11" s="55" t="inlineStr">
        <is>
          <t>The LLM creates an empty Qiskit settings file instead of one containing '[default]', and never creates the ipython_kernel_config.py file the user needed.</t>
        </is>
      </c>
      <c r="CE11" s="55" t="inlineStr">
        <is>
          <t>AssertionError</t>
        </is>
      </c>
      <c r="CF11" s="55" t="inlineStr">
        <is>
          <t>AssertionError: '' != '[default]\n' + [default] | AssertionError: False is not true : Missing ipython_kernel_config.py (even when the profile directory already exists)</t>
        </is>
      </c>
      <c r="CG11" s="55" t="inlineStr">
        <is>
          <t>The LLM creates an empty Qiskit settings file instead of one containing '[default]', and never creates the ipython_kernel_config.py file the user needed.</t>
        </is>
      </c>
      <c r="CH11" s="55" t="inlineStr">
        <is>
          <t>AssertionError</t>
        </is>
      </c>
      <c r="CI11" s="55" t="inlineStr">
        <is>
          <t>AssertionError: '' != '[default]\n' + [default] | AssertionError: False is not true : Missing ipython_kernel_config.py (even when the profile directory already exists)</t>
        </is>
      </c>
      <c r="CJ11" s="55" t="inlineStr">
        <is>
          <t>The LLM creates an empty Qiskit settings file instead of one containing '[default]', and never creates the ipython_kernel_config.py file the user needed.</t>
        </is>
      </c>
      <c r="CK11" s="55" t="inlineStr">
        <is>
          <t>AssertionError</t>
        </is>
      </c>
      <c r="CL11" s="55" t="inlineStr">
        <is>
          <t>AssertionError: '' != '[default]\n' + [default] | AssertionError: False is not true : Missing ipython_kernel_config.py (even when the profile directory already exists)</t>
        </is>
      </c>
      <c r="CM11" s="55" t="inlineStr">
        <is>
          <t>The LLM creates an empty Qiskit settings file instead of one containing '[default]', and never creates the ipython_kernel_config.py file the user needed.</t>
        </is>
      </c>
      <c r="CN11" s="55" t="inlineStr">
        <is>
          <t>AssertionError</t>
        </is>
      </c>
      <c r="CO11" s="55" t="inlineStr">
        <is>
          <t>AssertionError: '' != '[default]\n' + [default] | AssertionError: False is not true : Missing ipython_kernel_config.py (even when the profile directory already exists)</t>
        </is>
      </c>
      <c r="CP11" s="55" t="inlineStr">
        <is>
          <t>The LLM creates an empty Qiskit settings file instead of one containing '[default]', and never creates the ipython_kernel_config.py file the user needed.</t>
        </is>
      </c>
      <c r="CQ11" s="55" t="inlineStr">
        <is>
          <t>AssertionError</t>
        </is>
      </c>
      <c r="CR11" s="55" t="inlineStr">
        <is>
          <t>AssertionError: '' != '[default]\n' + [default] | AssertionError: False is not true : Missing ipython_kernel_config.py (even when the profile directory already exists)</t>
        </is>
      </c>
      <c r="CS11" s="55" t="inlineStr">
        <is>
          <t>The LLM creates an empty Qiskit settings file instead of one containing '[default]', and never creates the ipython_kernel_config.py file the user needed.</t>
        </is>
      </c>
      <c r="CT11" s="55" t="inlineStr">
        <is>
          <t>AssertionError</t>
        </is>
      </c>
      <c r="CU11" s="55" t="inlineStr">
        <is>
          <t>AssertionError: '' != '[default]\n' + [default] | AssertionError: False is not true : Missing ipython_kernel_config.py (even when the profile directory already exists)</t>
        </is>
      </c>
      <c r="CV11" s="55" t="inlineStr">
        <is>
          <t>The LLM creates an empty Qiskit settings file instead of one containing '[default]', and never creates the ipython_kernel_config.py file the user needed.</t>
        </is>
      </c>
      <c r="CW11" s="55" t="inlineStr">
        <is>
          <t>AssertionError</t>
        </is>
      </c>
      <c r="CX11" s="55" t="inlineStr">
        <is>
          <t>AssertionError: '' != '[default]\n' + [default] | AssertionError: False is not true : Missing ipython_kernel_config.py (even when the profile directory already exists)</t>
        </is>
      </c>
      <c r="CY11" s="55" t="inlineStr">
        <is>
          <t>The LLM creates an empty Qiskit settings file instead of one containing '[default]', and never creates the ipython_kernel_config.py file the user needed.</t>
        </is>
      </c>
      <c r="CZ11" s="55" t="inlineStr">
        <is>
          <t>AssertionError</t>
        </is>
      </c>
      <c r="DA11" s="55" t="inlineStr">
        <is>
          <t>AssertionError: '' != '[default]\n' + [default] | AssertionError: False is not true : Missing ipython_kernel_config.py (even when the profile directory already exists)</t>
        </is>
      </c>
      <c r="DB11" s="55" t="inlineStr">
        <is>
          <t>The LLM creates an empty Qiskit settings file instead of one containing '[default]', and never creates the ipython_kernel_config.py file the user needed.</t>
        </is>
      </c>
      <c r="DC11" s="55" t="inlineStr">
        <is>
          <t>AssertionError</t>
        </is>
      </c>
      <c r="DD11" s="55" t="inlineStr">
        <is>
          <t>AssertionError: '' != '[default]\n' + [default] | AssertionError: False is not true : Missing ipython_kernel_config.py (even when the profile directory already exists)</t>
        </is>
      </c>
      <c r="DE11" s="55" t="inlineStr">
        <is>
          <t>The LLM creates an empty Qiskit settings file instead of one containing '[default]', and never creates the ipython_kernel_config.py file the user needed.</t>
        </is>
      </c>
    </row>
    <row r="12">
      <c r="A12" s="55" t="inlineStr">
        <is>
          <t>issue_155</t>
        </is>
      </c>
      <c r="B12" s="59" t="inlineStr">
        <is>
          <t>Passed on test</t>
        </is>
      </c>
      <c r="C12" s="59" t="inlineStr">
        <is>
          <t>Passed on test</t>
        </is>
      </c>
      <c r="D12" s="59" t="inlineStr">
        <is>
          <t>Passed on test</t>
        </is>
      </c>
      <c r="E12" s="59" t="inlineStr">
        <is>
          <t>Passed on test</t>
        </is>
      </c>
      <c r="F12" s="59" t="inlineStr">
        <is>
          <t>Passed on test</t>
        </is>
      </c>
      <c r="G12" s="59" t="inlineStr">
        <is>
          <t>Passed on test</t>
        </is>
      </c>
      <c r="H12" s="59" t="inlineStr">
        <is>
          <t>Passed on test</t>
        </is>
      </c>
      <c r="I12" s="59" t="inlineStr">
        <is>
          <t>Passed on test</t>
        </is>
      </c>
      <c r="J12" s="59" t="inlineStr">
        <is>
          <t>Passed on test</t>
        </is>
      </c>
      <c r="K12" s="59" t="inlineStr">
        <is>
          <t>Passed on test</t>
        </is>
      </c>
      <c r="L12" s="59" t="inlineStr">
        <is>
          <t>Passed on test</t>
        </is>
      </c>
      <c r="M12" s="59" t="inlineStr">
        <is>
          <t>Passed on test</t>
        </is>
      </c>
      <c r="N12" s="56" t="inlineStr">
        <is>
          <t>NOT_TESTED</t>
        </is>
      </c>
      <c r="O12" s="56" t="inlineStr">
        <is>
          <t>NOT_TESTED</t>
        </is>
      </c>
      <c r="P12" s="56" t="inlineStr">
        <is>
          <t>NOT_TESTED</t>
        </is>
      </c>
      <c r="Q12" s="56" t="inlineStr">
        <is>
          <t>NOT_TESTED</t>
        </is>
      </c>
      <c r="R12" s="56" t="inlineStr">
        <is>
          <t>NOT_TESTED</t>
        </is>
      </c>
      <c r="S12" s="56" t="inlineStr">
        <is>
          <t>NOT_TESTED</t>
        </is>
      </c>
      <c r="T12" s="56" t="inlineStr">
        <is>
          <t>NOT_TESTED</t>
        </is>
      </c>
      <c r="U12" s="56" t="inlineStr">
        <is>
          <t>NOT_TESTED</t>
        </is>
      </c>
      <c r="V12" s="56" t="inlineStr">
        <is>
          <t>NOT_TESTED</t>
        </is>
      </c>
      <c r="W12" s="56" t="inlineStr">
        <is>
          <t>NOT_TESTED</t>
        </is>
      </c>
      <c r="X12" s="56" t="inlineStr">
        <is>
          <t>NOT_TESTED</t>
        </is>
      </c>
      <c r="Y12" s="56" t="inlineStr">
        <is>
          <t>NOT_TESTED</t>
        </is>
      </c>
      <c r="Z12" s="56" t="inlineStr">
        <is>
          <t>NOT_TESTED</t>
        </is>
      </c>
      <c r="AA12" s="56" t="inlineStr">
        <is>
          <t>NOT_TESTED</t>
        </is>
      </c>
      <c r="AB12" s="56" t="inlineStr">
        <is>
          <t>NOT_TESTED</t>
        </is>
      </c>
      <c r="AC12" s="55" t="n"/>
      <c r="AD12" s="55" t="n"/>
      <c r="AE12" s="55" t="n"/>
      <c r="AF12" s="55" t="n"/>
      <c r="AG12" s="55" t="n"/>
      <c r="AH12" s="55" t="n"/>
      <c r="AI12" s="55" t="n"/>
      <c r="AJ12" s="55" t="n"/>
      <c r="AK12" s="55" t="n"/>
      <c r="AL12" s="55" t="n"/>
      <c r="AM12" s="55" t="n"/>
      <c r="AN12" s="55" t="n"/>
      <c r="AO12" s="55" t="n"/>
      <c r="AP12" s="55" t="n"/>
      <c r="AQ12" s="55" t="n"/>
      <c r="AR12" s="55" t="n"/>
      <c r="AS12" s="55" t="n"/>
      <c r="AT12" s="55" t="n"/>
      <c r="AU12" s="55" t="n"/>
      <c r="AV12" s="55" t="n"/>
      <c r="AW12" s="55" t="n"/>
      <c r="AX12" s="55" t="n"/>
      <c r="AY12" s="55" t="n"/>
      <c r="AZ12" s="55" t="n"/>
      <c r="BA12" s="55" t="n"/>
      <c r="BB12" s="55" t="n"/>
      <c r="BC12" s="55" t="n"/>
      <c r="BD12" s="55" t="n"/>
      <c r="BE12" s="55" t="n"/>
      <c r="BF12" s="55" t="n"/>
      <c r="BG12" s="55" t="n"/>
      <c r="BH12" s="55" t="n"/>
      <c r="BI12" s="55" t="n"/>
      <c r="BJ12" s="55" t="n"/>
      <c r="BK12" s="55" t="n"/>
      <c r="BL12" s="55" t="n"/>
      <c r="BM12" s="55" t="n"/>
      <c r="BN12" s="55" t="n"/>
      <c r="BO12" s="55" t="n"/>
      <c r="BP12" s="55" t="n"/>
      <c r="BQ12" s="55" t="n"/>
      <c r="BR12" s="55" t="n"/>
      <c r="BS12" s="55" t="n"/>
      <c r="BT12" s="55" t="n"/>
      <c r="BU12" s="55" t="n"/>
      <c r="BV12" s="55" t="n"/>
      <c r="BW12" s="55" t="n"/>
      <c r="BX12" s="55" t="n"/>
      <c r="BY12" s="55" t="n"/>
      <c r="BZ12" s="55" t="n"/>
      <c r="CA12" s="55" t="n"/>
      <c r="CB12" s="55" t="n"/>
      <c r="CC12" s="55" t="n"/>
      <c r="CD12" s="55" t="n"/>
      <c r="CE12" s="55" t="n"/>
      <c r="CF12" s="55" t="n"/>
      <c r="CG12" s="55" t="n"/>
      <c r="CH12" s="55" t="n"/>
      <c r="CI12" s="55" t="n"/>
      <c r="CJ12" s="55" t="n"/>
      <c r="CK12" s="55" t="n"/>
      <c r="CL12" s="55" t="n"/>
      <c r="CM12" s="55" t="n"/>
      <c r="CN12" s="55" t="n"/>
      <c r="CO12" s="55" t="n"/>
      <c r="CP12" s="55" t="n"/>
      <c r="CQ12" s="55" t="n"/>
      <c r="CR12" s="55" t="n"/>
      <c r="CS12" s="55" t="n"/>
      <c r="CT12" s="55" t="n"/>
      <c r="CU12" s="55" t="n"/>
      <c r="CV12" s="55" t="n"/>
      <c r="CW12" s="55" t="n"/>
      <c r="CX12" s="55" t="n"/>
      <c r="CY12" s="55" t="n"/>
      <c r="CZ12" s="55" t="n"/>
      <c r="DA12" s="55" t="n"/>
      <c r="DB12" s="55" t="n"/>
      <c r="DC12" s="55" t="n"/>
      <c r="DD12" s="55" t="n"/>
      <c r="DE12" s="55" t="n"/>
    </row>
    <row r="13">
      <c r="A13" s="55" t="inlineStr">
        <is>
          <t>issue_157</t>
        </is>
      </c>
      <c r="B13" s="57" t="inlineStr">
        <is>
          <t>Runtime error</t>
        </is>
      </c>
      <c r="C13" s="57" t="inlineStr">
        <is>
          <t>Runtime error</t>
        </is>
      </c>
      <c r="D13" s="57" t="inlineStr">
        <is>
          <t>Runtime error</t>
        </is>
      </c>
      <c r="E13" s="57" t="inlineStr">
        <is>
          <t>Runtime error</t>
        </is>
      </c>
      <c r="F13" s="59" t="inlineStr">
        <is>
          <t>Passed on test</t>
        </is>
      </c>
      <c r="G13" s="59" t="inlineStr">
        <is>
          <t>Passed on test</t>
        </is>
      </c>
      <c r="H13" s="59" t="inlineStr">
        <is>
          <t>Passed on test</t>
        </is>
      </c>
      <c r="I13" s="59" t="inlineStr">
        <is>
          <t>Passed on test</t>
        </is>
      </c>
      <c r="J13" s="59" t="inlineStr">
        <is>
          <t>Passed on test</t>
        </is>
      </c>
      <c r="K13" s="59" t="inlineStr">
        <is>
          <t>Passed on test</t>
        </is>
      </c>
      <c r="L13" s="59" t="inlineStr">
        <is>
          <t>Passed on test</t>
        </is>
      </c>
      <c r="M13" s="59" t="inlineStr">
        <is>
          <t>Passed on test</t>
        </is>
      </c>
      <c r="N13" s="56" t="inlineStr">
        <is>
          <t>NOT_TESTED</t>
        </is>
      </c>
      <c r="O13" s="56" t="inlineStr">
        <is>
          <t>NOT_TESTED</t>
        </is>
      </c>
      <c r="P13" s="56" t="inlineStr">
        <is>
          <t>NOT_TESTED</t>
        </is>
      </c>
      <c r="Q13" s="56" t="inlineStr">
        <is>
          <t>NOT_TESTED</t>
        </is>
      </c>
      <c r="R13" s="56" t="inlineStr">
        <is>
          <t>NOT_TESTED</t>
        </is>
      </c>
      <c r="S13" s="56" t="inlineStr">
        <is>
          <t>NOT_TESTED</t>
        </is>
      </c>
      <c r="T13" s="56" t="inlineStr">
        <is>
          <t>NOT_TESTED</t>
        </is>
      </c>
      <c r="U13" s="56" t="inlineStr">
        <is>
          <t>NOT_TESTED</t>
        </is>
      </c>
      <c r="V13" s="56" t="inlineStr">
        <is>
          <t>NOT_TESTED</t>
        </is>
      </c>
      <c r="W13" s="56" t="inlineStr">
        <is>
          <t>NOT_TESTED</t>
        </is>
      </c>
      <c r="X13" s="56" t="inlineStr">
        <is>
          <t>NOT_TESTED</t>
        </is>
      </c>
      <c r="Y13" s="56" t="inlineStr">
        <is>
          <t>NOT_TESTED</t>
        </is>
      </c>
      <c r="Z13" s="56" t="inlineStr">
        <is>
          <t>NOT_TESTED</t>
        </is>
      </c>
      <c r="AA13" s="56" t="inlineStr">
        <is>
          <t>NOT_TESTED</t>
        </is>
      </c>
      <c r="AB13" s="56" t="inlineStr">
        <is>
          <t>NOT_TESTED</t>
        </is>
      </c>
      <c r="AC13" s="55" t="inlineStr">
        <is>
          <t>AttributeError</t>
        </is>
      </c>
      <c r="AD13" s="55" t="inlineStr">
        <is>
          <t>AttributeError: 'QuantumCircuit' object has no attribute 'prepare_state'</t>
        </is>
      </c>
      <c r="AE13" s="55" t="inlineStr">
        <is>
          <t>The LLM replaced initialize() with QuantumCircuit.prepare_state(), which does not exist yet in Qiskit 0.25 (Terra 0.17), so the script crashes with AttributeError before the gate is built.</t>
        </is>
      </c>
      <c r="AF13" s="55" t="inlineStr">
        <is>
          <t>AttributeError</t>
        </is>
      </c>
      <c r="AG13" s="55" t="inlineStr">
        <is>
          <t>AttributeError: 'QuantumCircuit' object has no attribute 'prepare_state'</t>
        </is>
      </c>
      <c r="AH13" s="55" t="inlineStr">
        <is>
          <t>The LLM replaced initialize() with QuantumCircuit.prepare_state(), which does not exist yet in Qiskit 0.25 (Terra 0.17), so the script crashes with AttributeError before the gate is built.</t>
        </is>
      </c>
      <c r="AI13" s="55" t="inlineStr">
        <is>
          <t>AttributeError</t>
        </is>
      </c>
      <c r="AJ13" s="55" t="inlineStr">
        <is>
          <t>AttributeError: 'QuantumCircuit' object has no attribute 'prepare_state'</t>
        </is>
      </c>
      <c r="AK13" s="55" t="inlineStr">
        <is>
          <t>The LLM replaced initialize() with QuantumCircuit.prepare_state(), which does not exist yet in Qiskit 0.25 (Terra 0.17), so the script crashes with AttributeError before the gate is built.</t>
        </is>
      </c>
      <c r="AL13" s="55" t="inlineStr">
        <is>
          <t>AttributeError</t>
        </is>
      </c>
      <c r="AM13" s="55" t="inlineStr">
        <is>
          <t>AttributeError: 'QuantumCircuit' object has no attribute 'prepare_state'</t>
        </is>
      </c>
      <c r="AN13" s="55" t="inlineStr">
        <is>
          <t>The LLM replaced initialize() with QuantumCircuit.prepare_state(), which does not exist yet in Qiskit 0.25 (Terra 0.17), so the script crashes with AttributeError before the gate is built.</t>
        </is>
      </c>
      <c r="AO13" s="55" t="n"/>
      <c r="AP13" s="55" t="n"/>
      <c r="AQ13" s="55" t="n"/>
      <c r="AR13" s="55" t="n"/>
      <c r="AS13" s="55" t="n"/>
      <c r="AT13" s="55" t="n"/>
      <c r="AU13" s="55" t="n"/>
      <c r="AV13" s="55" t="n"/>
      <c r="AW13" s="55" t="n"/>
      <c r="AX13" s="55" t="n"/>
      <c r="AY13" s="55" t="n"/>
      <c r="AZ13" s="55" t="n"/>
      <c r="BA13" s="55" t="n"/>
      <c r="BB13" s="55" t="n"/>
      <c r="BC13" s="55" t="n"/>
      <c r="BD13" s="55" t="n"/>
      <c r="BE13" s="55" t="n"/>
      <c r="BF13" s="55" t="n"/>
      <c r="BG13" s="55" t="n"/>
      <c r="BH13" s="55" t="n"/>
      <c r="BI13" s="55" t="n"/>
      <c r="BJ13" s="55" t="n"/>
      <c r="BK13" s="55" t="n"/>
      <c r="BL13" s="55" t="n"/>
      <c r="BM13" s="55" t="n"/>
      <c r="BN13" s="55" t="n"/>
      <c r="BO13" s="55" t="n"/>
      <c r="BP13" s="55" t="n"/>
      <c r="BQ13" s="55" t="n"/>
      <c r="BR13" s="55" t="n"/>
      <c r="BS13" s="55" t="n"/>
      <c r="BT13" s="55" t="n"/>
      <c r="BU13" s="55" t="n"/>
      <c r="BV13" s="55" t="n"/>
      <c r="BW13" s="55" t="n"/>
      <c r="BX13" s="55" t="n"/>
      <c r="BY13" s="55" t="n"/>
      <c r="BZ13" s="55" t="n"/>
      <c r="CA13" s="55" t="n"/>
      <c r="CB13" s="55" t="n"/>
      <c r="CC13" s="55" t="n"/>
      <c r="CD13" s="55" t="n"/>
      <c r="CE13" s="55" t="n"/>
      <c r="CF13" s="55" t="n"/>
      <c r="CG13" s="55" t="n"/>
      <c r="CH13" s="55" t="n"/>
      <c r="CI13" s="55" t="n"/>
      <c r="CJ13" s="55" t="n"/>
      <c r="CK13" s="55" t="n"/>
      <c r="CL13" s="55" t="n"/>
      <c r="CM13" s="55" t="n"/>
      <c r="CN13" s="55" t="n"/>
      <c r="CO13" s="55" t="n"/>
      <c r="CP13" s="55" t="n"/>
      <c r="CQ13" s="55" t="n"/>
      <c r="CR13" s="55" t="n"/>
      <c r="CS13" s="55" t="n"/>
      <c r="CT13" s="55" t="n"/>
      <c r="CU13" s="55" t="n"/>
      <c r="CV13" s="55" t="n"/>
      <c r="CW13" s="55" t="n"/>
      <c r="CX13" s="55" t="n"/>
      <c r="CY13" s="55" t="n"/>
      <c r="CZ13" s="55" t="n"/>
      <c r="DA13" s="55" t="n"/>
      <c r="DB13" s="55" t="n"/>
      <c r="DC13" s="55" t="n"/>
      <c r="DD13" s="55" t="n"/>
      <c r="DE13" s="55" t="n"/>
    </row>
    <row r="14">
      <c r="A14" s="55" t="inlineStr">
        <is>
          <t>issue_174</t>
        </is>
      </c>
      <c r="B14" s="57" t="inlineStr">
        <is>
          <t>Runtime error</t>
        </is>
      </c>
      <c r="C14" s="57" t="inlineStr">
        <is>
          <t>Runtime error</t>
        </is>
      </c>
      <c r="D14" s="57" t="inlineStr">
        <is>
          <t>Runtime error</t>
        </is>
      </c>
      <c r="E14" s="57" t="inlineStr">
        <is>
          <t>Runtime error</t>
        </is>
      </c>
      <c r="F14" s="57" t="inlineStr">
        <is>
          <t>Runtime error</t>
        </is>
      </c>
      <c r="G14" s="57" t="inlineStr">
        <is>
          <t>Runtime error</t>
        </is>
      </c>
      <c r="H14" s="57" t="inlineStr">
        <is>
          <t>Runtime error</t>
        </is>
      </c>
      <c r="I14" s="57" t="inlineStr">
        <is>
          <t>Runtime error</t>
        </is>
      </c>
      <c r="J14" s="57" t="inlineStr">
        <is>
          <t>Runtime error</t>
        </is>
      </c>
      <c r="K14" s="57" t="inlineStr">
        <is>
          <t>Runtime error</t>
        </is>
      </c>
      <c r="L14" s="57" t="inlineStr">
        <is>
          <t>Runtime error</t>
        </is>
      </c>
      <c r="M14" s="57" t="inlineStr">
        <is>
          <t>Runtime error</t>
        </is>
      </c>
      <c r="N14" s="56" t="inlineStr">
        <is>
          <t>NOT_TESTED</t>
        </is>
      </c>
      <c r="O14" s="56" t="inlineStr">
        <is>
          <t>NOT_TESTED</t>
        </is>
      </c>
      <c r="P14" s="56" t="inlineStr">
        <is>
          <t>NOT_TESTED</t>
        </is>
      </c>
      <c r="Q14" s="56" t="inlineStr">
        <is>
          <t>NOT_TESTED</t>
        </is>
      </c>
      <c r="R14" s="56" t="inlineStr">
        <is>
          <t>NOT_TESTED</t>
        </is>
      </c>
      <c r="S14" s="56" t="inlineStr">
        <is>
          <t>NOT_TESTED</t>
        </is>
      </c>
      <c r="T14" s="56" t="inlineStr">
        <is>
          <t>NOT_TESTED</t>
        </is>
      </c>
      <c r="U14" s="56" t="inlineStr">
        <is>
          <t>NOT_TESTED</t>
        </is>
      </c>
      <c r="V14" s="56" t="inlineStr">
        <is>
          <t>NOT_TESTED</t>
        </is>
      </c>
      <c r="W14" s="56" t="inlineStr">
        <is>
          <t>NOT_TESTED</t>
        </is>
      </c>
      <c r="X14" s="56" t="inlineStr">
        <is>
          <t>NOT_TESTED</t>
        </is>
      </c>
      <c r="Y14" s="56" t="inlineStr">
        <is>
          <t>NOT_TESTED</t>
        </is>
      </c>
      <c r="Z14" s="56" t="inlineStr">
        <is>
          <t>NOT_TESTED</t>
        </is>
      </c>
      <c r="AA14" s="56" t="inlineStr">
        <is>
          <t>NOT_TESTED</t>
        </is>
      </c>
      <c r="AB14" s="56" t="inlineStr">
        <is>
          <t>NOT_TESTED</t>
        </is>
      </c>
      <c r="AC14" s="55" t="inlineStr">
        <is>
          <t>QasmError</t>
        </is>
      </c>
      <c r="AD14" s="55" t="inlineStr">
        <is>
          <t>qiskit.qasm.exceptions.QasmError: 'Unable to match any token rule, got --&gt;#&lt;-- Check your OPENQASM source and any include statements.'</t>
        </is>
      </c>
      <c r="AE14" s="55" t="inlineStr">
        <is>
          <t>The LLM's QASM change (if (c==1) instead of if (c[0]==1)) is the same as the reference, but it put its '# FIX:' comment inside the OpenQASM string, where '#' is not valid syntax, so the QASM parser rejects the program. With that one line removed the fix passes.</t>
        </is>
      </c>
      <c r="AF14" s="55" t="inlineStr">
        <is>
          <t>QasmError</t>
        </is>
      </c>
      <c r="AG14" s="55" t="inlineStr">
        <is>
          <t>qiskit.qasm.exceptions.QasmError: 'Unable to match any token rule, got --&gt;#&lt;-- Check your OPENQASM source and any include statements.'</t>
        </is>
      </c>
      <c r="AH14" s="55" t="inlineStr">
        <is>
          <t>The LLM's QASM change (if (c==1) instead of if (c[0]==1)) is the same as the reference, but it put its '# FIX:' comment inside the OpenQASM string, where '#' is not valid syntax, so the QASM parser rejects the program. With that one line removed the fix passes.</t>
        </is>
      </c>
      <c r="AI14" s="55" t="inlineStr">
        <is>
          <t>QasmError</t>
        </is>
      </c>
      <c r="AJ14" s="55" t="inlineStr">
        <is>
          <t>qiskit.qasm.exceptions.QasmError: 'Unable to match any token rule, got --&gt;#&lt;-- Check your OPENQASM source and any include statements.'</t>
        </is>
      </c>
      <c r="AK14" s="55" t="inlineStr">
        <is>
          <t>The LLM's QASM change (if (c==1) instead of if (c[0]==1)) is the same as the reference, but it put its '# FIX:' comment inside the OpenQASM string, where '#' is not valid syntax, so the QASM parser rejects the program. With that one line removed the fix passes.</t>
        </is>
      </c>
      <c r="AL14" s="55" t="inlineStr">
        <is>
          <t>QasmError</t>
        </is>
      </c>
      <c r="AM14" s="55" t="inlineStr">
        <is>
          <t>qiskit.qasm.exceptions.QasmError: 'Unable to match any token rule, got --&gt;#&lt;-- Check your OPENQASM source and any include statements.'</t>
        </is>
      </c>
      <c r="AN14" s="55" t="inlineStr">
        <is>
          <t>The LLM's QASM change (if (c==1) instead of if (c[0]==1)) is the same as the reference, but it put its '# FIX:' comment inside the OpenQASM string, where '#' is not valid syntax, so the QASM parser rejects the program. With that one line removed the fix passes.</t>
        </is>
      </c>
      <c r="AO14" s="55" t="inlineStr">
        <is>
          <t>QASM2ParseError</t>
        </is>
      </c>
      <c r="AP14" s="55" t="inlineStr">
        <is>
          <t>qiskit.qasm2.exceptions.QASM2ParseError: "&lt;input&gt;:10,0: encountered '#', which doesn't match any valid tokens"</t>
        </is>
      </c>
      <c r="AQ14" s="55" t="inlineStr">
        <is>
          <t>The LLM's QASM change (if (c==1) instead of if (c[0]==1)) is the same as the reference, but it put its '# FIX:' comment inside the OpenQASM string, where '#' is not valid syntax, so the QASM parser rejects the program. With that one line removed the fix passes.</t>
        </is>
      </c>
      <c r="AR14" s="55" t="inlineStr">
        <is>
          <t>QASM2ParseError</t>
        </is>
      </c>
      <c r="AS14" s="55" t="inlineStr">
        <is>
          <t>qiskit.qasm2.exceptions.QASM2ParseError: "&lt;input&gt;:10,0: encountered '#', which doesn't match any valid tokens"</t>
        </is>
      </c>
      <c r="AT14" s="55" t="inlineStr">
        <is>
          <t>The LLM's QASM change (if (c==1) instead of if (c[0]==1)) is the same as the reference, but it put its '# FIX:' comment inside the OpenQASM string, where '#' is not valid syntax, so the QASM parser rejects the program. With that one line removed the fix passes.</t>
        </is>
      </c>
      <c r="AU14" s="55" t="inlineStr">
        <is>
          <t>QASM2ParseError</t>
        </is>
      </c>
      <c r="AV14" s="55" t="inlineStr">
        <is>
          <t>qiskit.qasm2.exceptions.QASM2ParseError: "&lt;input&gt;:10,0: encountered '#', which doesn't match any valid tokens"</t>
        </is>
      </c>
      <c r="AW14" s="55" t="inlineStr">
        <is>
          <t>The LLM's QASM change (if (c==1) instead of if (c[0]==1)) is the same as the reference, but it put its '# FIX:' comment inside the OpenQASM string, where '#' is not valid syntax, so the QASM parser rejects the program. With that one line removed the fix passes.</t>
        </is>
      </c>
      <c r="AX14" s="55" t="inlineStr">
        <is>
          <t>QASM2ParseError</t>
        </is>
      </c>
      <c r="AY14" s="55" t="inlineStr">
        <is>
          <t>qiskit.qasm2.exceptions.QASM2ParseError: "&lt;input&gt;:10,0: encountered '#', which doesn't match any valid tokens"</t>
        </is>
      </c>
      <c r="AZ14" s="55" t="inlineStr">
        <is>
          <t>The LLM's QASM change (if (c==1) instead of if (c[0]==1)) is the same as the reference, but it put its '# FIX:' comment inside the OpenQASM string, where '#' is not valid syntax, so the QASM parser rejects the program. With that one line removed the fix passes.</t>
        </is>
      </c>
      <c r="BA14" s="55" t="inlineStr">
        <is>
          <t>QASM2ParseError</t>
        </is>
      </c>
      <c r="BB14" s="55" t="inlineStr">
        <is>
          <t>qiskit.qasm2.exceptions.QASM2ParseError: "&lt;input&gt;:10,0: encountered '#', which doesn't match any valid tokens"</t>
        </is>
      </c>
      <c r="BC14" s="55" t="inlineStr">
        <is>
          <t>The LLM's QASM change (if (c==1) instead of if (c[0]==1)) is the same as the reference, but it put its '# FIX:' comment inside the OpenQASM string, where '#' is not valid syntax, so the QASM parser rejects the program. With that one line removed the fix passes.</t>
        </is>
      </c>
      <c r="BD14" s="55" t="inlineStr">
        <is>
          <t>QASM2ParseError</t>
        </is>
      </c>
      <c r="BE14" s="55" t="inlineStr">
        <is>
          <t>qiskit.qasm2.exceptions.QASM2ParseError: "&lt;input&gt;:10,0: encountered '#', which doesn't match any valid tokens"</t>
        </is>
      </c>
      <c r="BF14" s="55" t="inlineStr">
        <is>
          <t>The LLM's QASM change (if (c==1) instead of if (c[0]==1)) is the same as the reference, but it put its '# FIX:' comment inside the OpenQASM string, where '#' is not valid syntax, so the QASM parser rejects the program. With that one line removed the fix passes.</t>
        </is>
      </c>
      <c r="BG14" s="55" t="inlineStr">
        <is>
          <t>QASM2ParseError</t>
        </is>
      </c>
      <c r="BH14" s="55" t="inlineStr">
        <is>
          <t>qiskit.qasm2.exceptions.QASM2ParseError: "&lt;input&gt;:10,0: encountered '#', which doesn't match any valid tokens"</t>
        </is>
      </c>
      <c r="BI14" s="55" t="inlineStr">
        <is>
          <t>The LLM's QASM change (if (c==1) instead of if (c[0]==1)) is the same as the reference, but it put its '# FIX:' comment inside the OpenQASM string, where '#' is not valid syntax, so the QASM parser rejects the program. With that one line removed the fix passes.</t>
        </is>
      </c>
      <c r="BJ14" s="55" t="inlineStr">
        <is>
          <t>QASM2ParseError</t>
        </is>
      </c>
      <c r="BK14" s="55" t="inlineStr">
        <is>
          <t>qiskit.qasm2.exceptions.QASM2ParseError: "&lt;input&gt;:10,0: encountered '#', which doesn't match any valid tokens"</t>
        </is>
      </c>
      <c r="BL14" s="55" t="inlineStr">
        <is>
          <t>The LLM's QASM change (if (c==1) instead of if (c[0]==1)) is the same as the reference, but it put its '# FIX:' comment inside the OpenQASM string, where '#' is not valid syntax, so the QASM parser rejects the program. With that one line removed the fix passes.</t>
        </is>
      </c>
      <c r="BM14" s="55" t="n"/>
      <c r="BN14" s="55" t="n"/>
      <c r="BO14" s="55" t="n"/>
      <c r="BP14" s="55" t="n"/>
      <c r="BQ14" s="55" t="n"/>
      <c r="BR14" s="55" t="n"/>
      <c r="BS14" s="55" t="n"/>
      <c r="BT14" s="55" t="n"/>
      <c r="BU14" s="55" t="n"/>
      <c r="BV14" s="55" t="n"/>
      <c r="BW14" s="55" t="n"/>
      <c r="BX14" s="55" t="n"/>
      <c r="BY14" s="55" t="n"/>
      <c r="BZ14" s="55" t="n"/>
      <c r="CA14" s="55" t="n"/>
      <c r="CB14" s="55" t="n"/>
      <c r="CC14" s="55" t="n"/>
      <c r="CD14" s="55" t="n"/>
      <c r="CE14" s="55" t="n"/>
      <c r="CF14" s="55" t="n"/>
      <c r="CG14" s="55" t="n"/>
      <c r="CH14" s="55" t="n"/>
      <c r="CI14" s="55" t="n"/>
      <c r="CJ14" s="55" t="n"/>
      <c r="CK14" s="55" t="n"/>
      <c r="CL14" s="55" t="n"/>
      <c r="CM14" s="55" t="n"/>
      <c r="CN14" s="55" t="n"/>
      <c r="CO14" s="55" t="n"/>
      <c r="CP14" s="55" t="n"/>
      <c r="CQ14" s="55" t="n"/>
      <c r="CR14" s="55" t="n"/>
      <c r="CS14" s="55" t="n"/>
      <c r="CT14" s="55" t="n"/>
      <c r="CU14" s="55" t="n"/>
      <c r="CV14" s="55" t="n"/>
      <c r="CW14" s="55" t="n"/>
      <c r="CX14" s="55" t="n"/>
      <c r="CY14" s="55" t="n"/>
      <c r="CZ14" s="55" t="n"/>
      <c r="DA14" s="55" t="n"/>
      <c r="DB14" s="55" t="n"/>
      <c r="DC14" s="55" t="n"/>
      <c r="DD14" s="55" t="n"/>
      <c r="DE14" s="55" t="n"/>
    </row>
    <row r="15">
      <c r="A15" s="55" t="inlineStr">
        <is>
          <t>issue_189</t>
        </is>
      </c>
      <c r="B15" s="56" t="inlineStr">
        <is>
          <t>NOT_TESTED</t>
        </is>
      </c>
      <c r="C15" s="56" t="inlineStr">
        <is>
          <t>NOT_TESTED</t>
        </is>
      </c>
      <c r="D15" s="56" t="inlineStr">
        <is>
          <t>NOT_TESTED</t>
        </is>
      </c>
      <c r="E15" s="56" t="inlineStr">
        <is>
          <t>NOT_TESTED</t>
        </is>
      </c>
      <c r="F15" s="59" t="inlineStr">
        <is>
          <t>Passed on test</t>
        </is>
      </c>
      <c r="G15" s="59" t="inlineStr">
        <is>
          <t>Passed on test</t>
        </is>
      </c>
      <c r="H15" s="59" t="inlineStr">
        <is>
          <t>Passed on test</t>
        </is>
      </c>
      <c r="I15" s="59" t="inlineStr">
        <is>
          <t>Passed on test</t>
        </is>
      </c>
      <c r="J15" s="59" t="inlineStr">
        <is>
          <t>Passed on test</t>
        </is>
      </c>
      <c r="K15" s="59" t="inlineStr">
        <is>
          <t>Passed on test</t>
        </is>
      </c>
      <c r="L15" s="59" t="inlineStr">
        <is>
          <t>Passed on test</t>
        </is>
      </c>
      <c r="M15" s="59" t="inlineStr">
        <is>
          <t>Passed on test</t>
        </is>
      </c>
      <c r="N15" s="59" t="inlineStr">
        <is>
          <t>Passed on test</t>
        </is>
      </c>
      <c r="O15" s="59" t="inlineStr">
        <is>
          <t>Passed on test</t>
        </is>
      </c>
      <c r="P15" s="59" t="inlineStr">
        <is>
          <t>Passed on test</t>
        </is>
      </c>
      <c r="Q15" s="59" t="inlineStr">
        <is>
          <t>Passed on test</t>
        </is>
      </c>
      <c r="R15" s="59" t="inlineStr">
        <is>
          <t>Passed on test</t>
        </is>
      </c>
      <c r="S15" s="59" t="inlineStr">
        <is>
          <t>Passed on test</t>
        </is>
      </c>
      <c r="T15" s="59" t="inlineStr">
        <is>
          <t>Passed on test</t>
        </is>
      </c>
      <c r="U15" s="59" t="inlineStr">
        <is>
          <t>Passed on test</t>
        </is>
      </c>
      <c r="V15" s="59" t="inlineStr">
        <is>
          <t>Passed on test</t>
        </is>
      </c>
      <c r="W15" s="59" t="inlineStr">
        <is>
          <t>Passed on test</t>
        </is>
      </c>
      <c r="X15" s="59" t="inlineStr">
        <is>
          <t>Passed on test</t>
        </is>
      </c>
      <c r="Y15" s="59" t="inlineStr">
        <is>
          <t>Passed on test</t>
        </is>
      </c>
      <c r="Z15" s="59" t="inlineStr">
        <is>
          <t>Passed on test</t>
        </is>
      </c>
      <c r="AA15" s="59" t="inlineStr">
        <is>
          <t>Passed on test</t>
        </is>
      </c>
      <c r="AB15" s="59" t="inlineStr">
        <is>
          <t>Passed on test</t>
        </is>
      </c>
      <c r="AC15" s="55" t="n"/>
      <c r="AD15" s="55" t="n"/>
      <c r="AE15" s="55" t="n"/>
      <c r="AF15" s="55" t="n"/>
      <c r="AG15" s="55" t="n"/>
      <c r="AH15" s="55" t="n"/>
      <c r="AI15" s="55" t="n"/>
      <c r="AJ15" s="55" t="n"/>
      <c r="AK15" s="55" t="n"/>
      <c r="AL15" s="55" t="n"/>
      <c r="AM15" s="55" t="n"/>
      <c r="AN15" s="55" t="n"/>
      <c r="AO15" s="55" t="inlineStr">
        <is>
          <t>AssertionError</t>
        </is>
      </c>
      <c r="AP15" s="55" t="inlineStr">
        <is>
          <t>AssertionError: Lists differ: [2, 3, 4, 5, 6, 7, 8] != [0, 3, 4, 5, 6, 7, 8]</t>
        </is>
      </c>
      <c r="AQ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AR15" s="55" t="inlineStr">
        <is>
          <t>AssertionError</t>
        </is>
      </c>
      <c r="AS15" s="55" t="inlineStr">
        <is>
          <t>AssertionError: Lists differ: [2, 3, 4, 5, 6, 7, 8] != [0, 3, 4, 5, 6, 7, 8]</t>
        </is>
      </c>
      <c r="AT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AU15" s="55" t="inlineStr">
        <is>
          <t>AssertionError</t>
        </is>
      </c>
      <c r="AV15" s="55" t="inlineStr">
        <is>
          <t>AssertionError: Lists differ: [2, 3, 4, 5, 6, 7, 8] != [0, 3, 4, 5, 6, 7, 8]</t>
        </is>
      </c>
      <c r="AW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AX15" s="55" t="inlineStr">
        <is>
          <t>AssertionError</t>
        </is>
      </c>
      <c r="AY15" s="55" t="inlineStr">
        <is>
          <t>AssertionError: Lists differ: [2, 3, 4, 5, 6, 7, 8] != [0, 3, 4, 5, 6, 7, 8]</t>
        </is>
      </c>
      <c r="AZ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BA15" s="55" t="inlineStr">
        <is>
          <t>AssertionError</t>
        </is>
      </c>
      <c r="BB15" s="55" t="inlineStr">
        <is>
          <t>AssertionError: Lists differ: [2, 3, 4, 5, 6, 7, 8] != [0, 3, 4, 5, 6, 7, 8]</t>
        </is>
      </c>
      <c r="BC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BD15" s="55" t="inlineStr">
        <is>
          <t>AssertionError</t>
        </is>
      </c>
      <c r="BE15" s="55" t="inlineStr">
        <is>
          <t>AssertionError: Lists differ: [2, 3, 4, 5, 6, 7, 8] != [0, 3, 4, 5, 6, 7, 8]</t>
        </is>
      </c>
      <c r="BF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BG15" s="55" t="inlineStr">
        <is>
          <t>AssertionError</t>
        </is>
      </c>
      <c r="BH15" s="55" t="inlineStr">
        <is>
          <t>AssertionError: Lists differ: [2, 3, 4, 5, 6, 7, 8] != [0, 3, 4, 5, 6, 7, 8]</t>
        </is>
      </c>
      <c r="BI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BJ15" s="55" t="inlineStr">
        <is>
          <t>AssertionError</t>
        </is>
      </c>
      <c r="BK15" s="55" t="inlineStr">
        <is>
          <t>AssertionError: Lists differ: [2, 3, 4, 5, 6, 7, 8] != [0, 3, 4, 5, 6, 7, 8]</t>
        </is>
      </c>
      <c r="BL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BM15" s="55" t="inlineStr">
        <is>
          <t>AssertionError</t>
        </is>
      </c>
      <c r="BN15" s="55" t="inlineStr">
        <is>
          <t>AssertionError: Lists differ: [2, 3, 4, 5, 6, 7, 8] != [0, 3, 4, 5, 6, 7, 8]</t>
        </is>
      </c>
      <c r="BO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BP15" s="55" t="inlineStr">
        <is>
          <t>AssertionError</t>
        </is>
      </c>
      <c r="BQ15" s="55" t="inlineStr">
        <is>
          <t>AssertionError: Lists differ: [2, 3, 4, 5, 6, 7, 8] != [0, 3, 4, 5, 6, 7, 8]</t>
        </is>
      </c>
      <c r="BR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BS15" s="55" t="inlineStr">
        <is>
          <t>AssertionError</t>
        </is>
      </c>
      <c r="BT15" s="55" t="inlineStr">
        <is>
          <t>AssertionError: Lists differ: [2, 3, 4, 5, 6, 7, 8] != [0, 3, 4, 5, 6, 7, 8]</t>
        </is>
      </c>
      <c r="BU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BV15" s="55" t="inlineStr">
        <is>
          <t>AssertionError</t>
        </is>
      </c>
      <c r="BW15" s="55" t="inlineStr">
        <is>
          <t>AssertionError: Lists differ: [2, 3, 4, 5, 6, 7, 8] != [0, 3, 4, 5, 6, 7, 8]</t>
        </is>
      </c>
      <c r="BX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BY15" s="55" t="inlineStr">
        <is>
          <t>AssertionError</t>
        </is>
      </c>
      <c r="BZ15" s="55" t="inlineStr">
        <is>
          <t>AssertionError: Lists differ: [2, 3, 4, 5, 6, 7, 8] != [0, 3, 4, 5, 6, 7, 8]</t>
        </is>
      </c>
      <c r="CA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CB15" s="55" t="inlineStr">
        <is>
          <t>AssertionError</t>
        </is>
      </c>
      <c r="CC15" s="55" t="inlineStr">
        <is>
          <t>AssertionError: Lists differ: [2, 3, 4, 5, 6, 7, 8] != [0, 3, 4, 5, 6, 7, 8]</t>
        </is>
      </c>
      <c r="CD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CE15" s="55" t="inlineStr">
        <is>
          <t>AssertionError</t>
        </is>
      </c>
      <c r="CF15" s="55" t="inlineStr">
        <is>
          <t>AssertionError: Lists differ: [2, 3, 4, 5, 6, 7, 8] != [0, 3, 4, 5, 6, 7, 8]</t>
        </is>
      </c>
      <c r="CG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CH15" s="55" t="inlineStr">
        <is>
          <t>AssertionError</t>
        </is>
      </c>
      <c r="CI15" s="55" t="inlineStr">
        <is>
          <t>AssertionError: Lists differ: [2, 3, 4, 5, 6, 7, 8] != [0, 3, 4, 5, 6, 7, 8]</t>
        </is>
      </c>
      <c r="CJ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CK15" s="55" t="inlineStr">
        <is>
          <t>AssertionError</t>
        </is>
      </c>
      <c r="CL15" s="55" t="inlineStr">
        <is>
          <t>AssertionError: Lists differ: [2, 3, 4, 5, 6, 7, 8] != [0, 3, 4, 5, 6, 7, 8]</t>
        </is>
      </c>
      <c r="CM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CN15" s="55" t="inlineStr">
        <is>
          <t>AssertionError</t>
        </is>
      </c>
      <c r="CO15" s="55" t="inlineStr">
        <is>
          <t>AssertionError: Lists differ: [2, 3, 4, 5, 6, 7, 8] != [0, 3, 4, 5, 6, 7, 8]</t>
        </is>
      </c>
      <c r="CP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CQ15" s="55" t="inlineStr">
        <is>
          <t>AssertionError</t>
        </is>
      </c>
      <c r="CR15" s="55" t="inlineStr">
        <is>
          <t>AssertionError: Lists differ: [2, 3, 4, 5, 6, 7, 8] != [0, 3, 4, 5, 6, 7, 8]</t>
        </is>
      </c>
      <c r="CS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CT15" s="55" t="inlineStr">
        <is>
          <t>AssertionError</t>
        </is>
      </c>
      <c r="CU15" s="55" t="inlineStr">
        <is>
          <t>AssertionError: Lists differ: [2, 3, 4, 5, 6, 7, 8] != [0, 3, 4, 5, 6, 7, 8]</t>
        </is>
      </c>
      <c r="CV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CW15" s="55" t="inlineStr">
        <is>
          <t>AssertionError</t>
        </is>
      </c>
      <c r="CX15" s="55" t="inlineStr">
        <is>
          <t>AssertionError: Lists differ: [2, 3, 4, 5, 6, 7, 8] != [0, 3, 4, 5, 6, 7, 8]</t>
        </is>
      </c>
      <c r="CY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CZ15" s="55" t="inlineStr">
        <is>
          <t>AssertionError</t>
        </is>
      </c>
      <c r="DA15" s="55" t="inlineStr">
        <is>
          <t>AssertionError: Lists differ: [2, 3, 4, 5, 6, 7, 8] != [0, 3, 4, 5, 6, 7, 8]</t>
        </is>
      </c>
      <c r="DB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c r="DC15" s="55" t="inlineStr">
        <is>
          <t>AssertionError</t>
        </is>
      </c>
      <c r="DD15" s="55" t="inlineStr">
        <is>
          <t>AssertionError: Lists differ: [2, 3, 4, 5, 6, 7, 8] != [0, 3, 4, 5, 6, 7, 8]</t>
        </is>
      </c>
      <c r="DE15" s="55" t="inlineStr">
        <is>
          <t>The LLM fixed the qubit count (one control plus the six target qubits) but kept the original code's control order, so control qubit k gets the power 2^k (the usual QPE layout, and every gate matrix is correct). The test only accepts the Stack Overflow answer's order (control i gets 2^(2-i)), so it reports [2, 3, ..., 8] instead of [0, 3, ..., 8].</t>
        </is>
      </c>
    </row>
    <row r="16">
      <c r="A16" s="55" t="inlineStr">
        <is>
          <t>issue_225</t>
        </is>
      </c>
      <c r="B16" s="56" t="inlineStr">
        <is>
          <t>NOT_TESTED</t>
        </is>
      </c>
      <c r="C16" s="56" t="inlineStr">
        <is>
          <t>NOT_TESTED</t>
        </is>
      </c>
      <c r="D16" s="56" t="inlineStr">
        <is>
          <t>NOT_TESTED</t>
        </is>
      </c>
      <c r="E16" s="56" t="inlineStr">
        <is>
          <t>NOT_TESTED</t>
        </is>
      </c>
      <c r="F16" s="59" t="inlineStr">
        <is>
          <t>Passed on test</t>
        </is>
      </c>
      <c r="G16" s="59" t="inlineStr">
        <is>
          <t>Passed on test</t>
        </is>
      </c>
      <c r="H16" s="59" t="inlineStr">
        <is>
          <t>Passed on test</t>
        </is>
      </c>
      <c r="I16" s="59" t="inlineStr">
        <is>
          <t>Passed on test</t>
        </is>
      </c>
      <c r="J16" s="59" t="inlineStr">
        <is>
          <t>Passed on test</t>
        </is>
      </c>
      <c r="K16" s="59" t="inlineStr">
        <is>
          <t>Passed on test</t>
        </is>
      </c>
      <c r="L16" s="59" t="inlineStr">
        <is>
          <t>Passed on test</t>
        </is>
      </c>
      <c r="M16" s="59" t="inlineStr">
        <is>
          <t>Passed on test</t>
        </is>
      </c>
      <c r="N16" s="56" t="inlineStr">
        <is>
          <t>NOT_TESTED</t>
        </is>
      </c>
      <c r="O16" s="56" t="inlineStr">
        <is>
          <t>NOT_TESTED</t>
        </is>
      </c>
      <c r="P16" s="56" t="inlineStr">
        <is>
          <t>NOT_TESTED</t>
        </is>
      </c>
      <c r="Q16" s="56" t="inlineStr">
        <is>
          <t>NOT_TESTED</t>
        </is>
      </c>
      <c r="R16" s="56" t="inlineStr">
        <is>
          <t>NOT_TESTED</t>
        </is>
      </c>
      <c r="S16" s="56" t="inlineStr">
        <is>
          <t>NOT_TESTED</t>
        </is>
      </c>
      <c r="T16" s="56" t="inlineStr">
        <is>
          <t>NOT_TESTED</t>
        </is>
      </c>
      <c r="U16" s="56" t="inlineStr">
        <is>
          <t>NOT_TESTED</t>
        </is>
      </c>
      <c r="V16" s="56" t="inlineStr">
        <is>
          <t>NOT_TESTED</t>
        </is>
      </c>
      <c r="W16" s="56" t="inlineStr">
        <is>
          <t>NOT_TESTED</t>
        </is>
      </c>
      <c r="X16" s="56" t="inlineStr">
        <is>
          <t>NOT_TESTED</t>
        </is>
      </c>
      <c r="Y16" s="56" t="inlineStr">
        <is>
          <t>NOT_TESTED</t>
        </is>
      </c>
      <c r="Z16" s="56" t="inlineStr">
        <is>
          <t>NOT_TESTED</t>
        </is>
      </c>
      <c r="AA16" s="56" t="inlineStr">
        <is>
          <t>NOT_TESTED</t>
        </is>
      </c>
      <c r="AB16" s="56" t="inlineStr">
        <is>
          <t>NOT_TESTED</t>
        </is>
      </c>
      <c r="AC16" s="55" t="n"/>
      <c r="AD16" s="55" t="n"/>
      <c r="AE16" s="55" t="n"/>
      <c r="AF16" s="55" t="n"/>
      <c r="AG16" s="55" t="n"/>
      <c r="AH16" s="55" t="n"/>
      <c r="AI16" s="55" t="n"/>
      <c r="AJ16" s="55" t="n"/>
      <c r="AK16" s="55" t="n"/>
      <c r="AL16" s="55" t="n"/>
      <c r="AM16" s="55" t="n"/>
      <c r="AN16" s="55" t="n"/>
      <c r="AO16" s="55" t="n"/>
      <c r="AP16" s="55" t="n"/>
      <c r="AQ16" s="55" t="n"/>
      <c r="AR16" s="55" t="n"/>
      <c r="AS16" s="55" t="n"/>
      <c r="AT16" s="55" t="n"/>
      <c r="AU16" s="55" t="n"/>
      <c r="AV16" s="55" t="n"/>
      <c r="AW16" s="55" t="n"/>
      <c r="AX16" s="55" t="n"/>
      <c r="AY16" s="55" t="n"/>
      <c r="AZ16" s="55" t="n"/>
      <c r="BA16" s="55" t="n"/>
      <c r="BB16" s="55" t="n"/>
      <c r="BC16" s="55" t="n"/>
      <c r="BD16" s="55" t="n"/>
      <c r="BE16" s="55" t="n"/>
      <c r="BF16" s="55" t="n"/>
      <c r="BG16" s="55" t="n"/>
      <c r="BH16" s="55" t="n"/>
      <c r="BI16" s="55" t="n"/>
      <c r="BJ16" s="55" t="n"/>
      <c r="BK16" s="55" t="n"/>
      <c r="BL16" s="55" t="n"/>
      <c r="BM16" s="55" t="n"/>
      <c r="BN16" s="55" t="n"/>
      <c r="BO16" s="55" t="n"/>
      <c r="BP16" s="55" t="n"/>
      <c r="BQ16" s="55" t="n"/>
      <c r="BR16" s="55" t="n"/>
      <c r="BS16" s="55" t="n"/>
      <c r="BT16" s="55" t="n"/>
      <c r="BU16" s="55" t="n"/>
      <c r="BV16" s="55" t="n"/>
      <c r="BW16" s="55" t="n"/>
      <c r="BX16" s="55" t="n"/>
      <c r="BY16" s="55" t="n"/>
      <c r="BZ16" s="55" t="n"/>
      <c r="CA16" s="55" t="n"/>
      <c r="CB16" s="55" t="n"/>
      <c r="CC16" s="55" t="n"/>
      <c r="CD16" s="55" t="n"/>
      <c r="CE16" s="55" t="n"/>
      <c r="CF16" s="55" t="n"/>
      <c r="CG16" s="55" t="n"/>
      <c r="CH16" s="55" t="n"/>
      <c r="CI16" s="55" t="n"/>
      <c r="CJ16" s="55" t="n"/>
      <c r="CK16" s="55" t="n"/>
      <c r="CL16" s="55" t="n"/>
      <c r="CM16" s="55" t="n"/>
      <c r="CN16" s="55" t="n"/>
      <c r="CO16" s="55" t="n"/>
      <c r="CP16" s="55" t="n"/>
      <c r="CQ16" s="55" t="n"/>
      <c r="CR16" s="55" t="n"/>
      <c r="CS16" s="55" t="n"/>
      <c r="CT16" s="55" t="n"/>
      <c r="CU16" s="55" t="n"/>
      <c r="CV16" s="55" t="n"/>
      <c r="CW16" s="55" t="n"/>
      <c r="CX16" s="55" t="n"/>
      <c r="CY16" s="55" t="n"/>
      <c r="CZ16" s="55" t="n"/>
      <c r="DA16" s="55" t="n"/>
      <c r="DB16" s="55" t="n"/>
      <c r="DC16" s="55" t="n"/>
      <c r="DD16" s="55" t="n"/>
      <c r="DE16" s="55" t="n"/>
    </row>
    <row r="17">
      <c r="A17" s="55" t="inlineStr">
        <is>
          <t>issue_233</t>
        </is>
      </c>
      <c r="B17" s="57" t="inlineStr">
        <is>
          <t>Runtime error</t>
        </is>
      </c>
      <c r="C17" s="57" t="inlineStr">
        <is>
          <t>Runtime error</t>
        </is>
      </c>
      <c r="D17" s="57" t="inlineStr">
        <is>
          <t>Runtime error</t>
        </is>
      </c>
      <c r="E17" s="57" t="inlineStr">
        <is>
          <t>Runtime error</t>
        </is>
      </c>
      <c r="F17" s="57" t="inlineStr">
        <is>
          <t>Runtime error</t>
        </is>
      </c>
      <c r="G17" s="57" t="inlineStr">
        <is>
          <t>Runtime error</t>
        </is>
      </c>
      <c r="H17" s="57" t="inlineStr">
        <is>
          <t>Runtime error</t>
        </is>
      </c>
      <c r="I17" s="57" t="inlineStr">
        <is>
          <t>Runtime error</t>
        </is>
      </c>
      <c r="J17" s="57" t="inlineStr">
        <is>
          <t>Runtime error</t>
        </is>
      </c>
      <c r="K17" s="57" t="inlineStr">
        <is>
          <t>Runtime error</t>
        </is>
      </c>
      <c r="L17" s="57" t="inlineStr">
        <is>
          <t>Runtime error</t>
        </is>
      </c>
      <c r="M17" s="57" t="inlineStr">
        <is>
          <t>Runtime error</t>
        </is>
      </c>
      <c r="N17" s="57" t="inlineStr">
        <is>
          <t>Runtime error</t>
        </is>
      </c>
      <c r="O17" s="57" t="inlineStr">
        <is>
          <t>Runtime error</t>
        </is>
      </c>
      <c r="P17" s="57" t="inlineStr">
        <is>
          <t>Runtime error</t>
        </is>
      </c>
      <c r="Q17" s="57" t="inlineStr">
        <is>
          <t>Runtime error</t>
        </is>
      </c>
      <c r="R17" s="57" t="inlineStr">
        <is>
          <t>Runtime error</t>
        </is>
      </c>
      <c r="S17" s="57" t="inlineStr">
        <is>
          <t>Runtime error</t>
        </is>
      </c>
      <c r="T17" s="57" t="inlineStr">
        <is>
          <t>Runtime error</t>
        </is>
      </c>
      <c r="U17" s="57" t="inlineStr">
        <is>
          <t>Runtime error</t>
        </is>
      </c>
      <c r="V17" s="57" t="inlineStr">
        <is>
          <t>Runtime error</t>
        </is>
      </c>
      <c r="W17" s="57" t="inlineStr">
        <is>
          <t>Runtime error</t>
        </is>
      </c>
      <c r="X17" s="57" t="inlineStr">
        <is>
          <t>Runtime error</t>
        </is>
      </c>
      <c r="Y17" s="57" t="inlineStr">
        <is>
          <t>Runtime error</t>
        </is>
      </c>
      <c r="Z17" s="57" t="inlineStr">
        <is>
          <t>Runtime error</t>
        </is>
      </c>
      <c r="AA17" s="57" t="inlineStr">
        <is>
          <t>Runtime error</t>
        </is>
      </c>
      <c r="AB17" s="57" t="inlineStr">
        <is>
          <t>Runtime error</t>
        </is>
      </c>
      <c r="AC17" s="55" t="inlineStr">
        <is>
          <t>TypeError</t>
        </is>
      </c>
      <c r="AD17" s="55" t="inlineStr">
        <is>
          <t>TypeError: 'int' object is not callable</t>
        </is>
      </c>
      <c r="AE17" s="55" t="inlineStr">
        <is>
          <t>The LLM replaced only the second rot.num_parameters_settable() call (with len(rot.parameters)) and left the first one; num_parameters_settable is a property that returns an int, so calling it raises TypeError before anything is printed.</t>
        </is>
      </c>
      <c r="AF17" s="55" t="inlineStr">
        <is>
          <t>TypeError</t>
        </is>
      </c>
      <c r="AG17" s="55" t="inlineStr">
        <is>
          <t>TypeError: 'int' object is not callable</t>
        </is>
      </c>
      <c r="AH17" s="55" t="inlineStr">
        <is>
          <t>The LLM replaced only the second rot.num_parameters_settable() call (with len(rot.parameters)) and left the first one; num_parameters_settable is a property that returns an int, so calling it raises TypeError before anything is printed.</t>
        </is>
      </c>
      <c r="AI17" s="55" t="inlineStr">
        <is>
          <t>TypeError</t>
        </is>
      </c>
      <c r="AJ17" s="55" t="inlineStr">
        <is>
          <t>TypeError: 'int' object is not callable</t>
        </is>
      </c>
      <c r="AK17" s="55" t="inlineStr">
        <is>
          <t>The LLM replaced only the second rot.num_parameters_settable() call (with len(rot.parameters)) and left the first one; num_parameters_settable is a property that returns an int, so calling it raises TypeError before anything is printed.</t>
        </is>
      </c>
      <c r="AL17" s="55" t="inlineStr">
        <is>
          <t>TypeError</t>
        </is>
      </c>
      <c r="AM17" s="55" t="inlineStr">
        <is>
          <t>TypeError: 'int' object is not callable</t>
        </is>
      </c>
      <c r="AN17" s="55" t="inlineStr">
        <is>
          <t>The LLM replaced only the second rot.num_parameters_settable() call (with len(rot.parameters)) and left the first one; num_parameters_settable is a property that returns an int, so calling it raises TypeError before anything is printed.</t>
        </is>
      </c>
      <c r="AO17" s="55" t="inlineStr">
        <is>
          <t>TypeError</t>
        </is>
      </c>
      <c r="AP17" s="55" t="inlineStr">
        <is>
          <t>TypeError: 'int' object is not callable</t>
        </is>
      </c>
      <c r="AQ17" s="55" t="inlineStr">
        <is>
          <t>The LLM replaced only the second rot.num_parameters_settable() call (with len(rot.parameters)) and left the first one; num_parameters_settable is a property that returns an int, so calling it raises TypeError before anything is printed.</t>
        </is>
      </c>
      <c r="AR17" s="55" t="inlineStr">
        <is>
          <t>TypeError</t>
        </is>
      </c>
      <c r="AS17" s="55" t="inlineStr">
        <is>
          <t>TypeError: 'int' object is not callable</t>
        </is>
      </c>
      <c r="AT17" s="55" t="inlineStr">
        <is>
          <t>The LLM replaced only the second rot.num_parameters_settable() call (with len(rot.parameters)) and left the first one; num_parameters_settable is a property that returns an int, so calling it raises TypeError before anything is printed.</t>
        </is>
      </c>
      <c r="AU17" s="55" t="inlineStr">
        <is>
          <t>TypeError</t>
        </is>
      </c>
      <c r="AV17" s="55" t="inlineStr">
        <is>
          <t>TypeError: 'int' object is not callable</t>
        </is>
      </c>
      <c r="AW17" s="55" t="inlineStr">
        <is>
          <t>The LLM replaced only the second rot.num_parameters_settable() call (with len(rot.parameters)) and left the first one; num_parameters_settable is a property that returns an int, so calling it raises TypeError before anything is printed.</t>
        </is>
      </c>
      <c r="AX17" s="55" t="inlineStr">
        <is>
          <t>TypeError</t>
        </is>
      </c>
      <c r="AY17" s="55" t="inlineStr">
        <is>
          <t>TypeError: 'int' object is not callable</t>
        </is>
      </c>
      <c r="AZ17" s="55" t="inlineStr">
        <is>
          <t>The LLM replaced only the second rot.num_parameters_settable() call (with len(rot.parameters)) and left the first one; num_parameters_settable is a property that returns an int, so calling it raises TypeError before anything is printed.</t>
        </is>
      </c>
      <c r="BA17" s="55" t="inlineStr">
        <is>
          <t>TypeError</t>
        </is>
      </c>
      <c r="BB17" s="55" t="inlineStr">
        <is>
          <t>TypeError: 'int' object is not callable</t>
        </is>
      </c>
      <c r="BC17" s="55" t="inlineStr">
        <is>
          <t>The LLM replaced only the second rot.num_parameters_settable() call (with len(rot.parameters)) and left the first one; num_parameters_settable is a property that returns an int, so calling it raises TypeError before anything is printed.</t>
        </is>
      </c>
      <c r="BD17" s="55" t="inlineStr">
        <is>
          <t>TypeError</t>
        </is>
      </c>
      <c r="BE17" s="55" t="inlineStr">
        <is>
          <t>TypeError: 'int' object is not callable</t>
        </is>
      </c>
      <c r="BF17" s="55" t="inlineStr">
        <is>
          <t>The LLM replaced only the second rot.num_parameters_settable() call (with len(rot.parameters)) and left the first one; num_parameters_settable is a property that returns an int, so calling it raises TypeError before anything is printed.</t>
        </is>
      </c>
      <c r="BG17" s="55" t="inlineStr">
        <is>
          <t>TypeError</t>
        </is>
      </c>
      <c r="BH17" s="55" t="inlineStr">
        <is>
          <t>TypeError: 'int' object is not callable</t>
        </is>
      </c>
      <c r="BI17" s="55" t="inlineStr">
        <is>
          <t>The LLM replaced only the second rot.num_parameters_settable() call (with len(rot.parameters)) and left the first one; num_parameters_settable is a property that returns an int, so calling it raises TypeError before anything is printed.</t>
        </is>
      </c>
      <c r="BJ17" s="55" t="inlineStr">
        <is>
          <t>TypeError</t>
        </is>
      </c>
      <c r="BK17" s="55" t="inlineStr">
        <is>
          <t>TypeError: 'int' object is not callable</t>
        </is>
      </c>
      <c r="BL17" s="55" t="inlineStr">
        <is>
          <t>The LLM replaced only the second rot.num_parameters_settable() call (with len(rot.parameters)) and left the first one; num_parameters_settable is a property that returns an int, so calling it raises TypeError before anything is printed.</t>
        </is>
      </c>
      <c r="BM17" s="55" t="inlineStr">
        <is>
          <t>TypeError</t>
        </is>
      </c>
      <c r="BN17" s="55" t="inlineStr">
        <is>
          <t>TypeError: 'int' object is not callable</t>
        </is>
      </c>
      <c r="BO17" s="55" t="inlineStr">
        <is>
          <t>The LLM replaced only the second rot.num_parameters_settable() call (with len(rot.parameters)) and left the first one; num_parameters_settable is a property that returns an int, so calling it raises TypeError before anything is printed.</t>
        </is>
      </c>
      <c r="BP17" s="55" t="inlineStr">
        <is>
          <t>TypeError</t>
        </is>
      </c>
      <c r="BQ17" s="55" t="inlineStr">
        <is>
          <t>TypeError: 'int' object is not callable</t>
        </is>
      </c>
      <c r="BR17" s="55" t="inlineStr">
        <is>
          <t>The LLM replaced only the second rot.num_parameters_settable() call (with len(rot.parameters)) and left the first one; num_parameters_settable is a property that returns an int, so calling it raises TypeError before anything is printed.</t>
        </is>
      </c>
      <c r="BS17" s="55" t="inlineStr">
        <is>
          <t>TypeError</t>
        </is>
      </c>
      <c r="BT17" s="55" t="inlineStr">
        <is>
          <t>TypeError: 'int' object is not callable</t>
        </is>
      </c>
      <c r="BU17" s="55" t="inlineStr">
        <is>
          <t>The LLM replaced only the second rot.num_parameters_settable() call (with len(rot.parameters)) and left the first one; num_parameters_settable is a property that returns an int, so calling it raises TypeError before anything is printed.</t>
        </is>
      </c>
      <c r="BV17" s="55" t="inlineStr">
        <is>
          <t>TypeError</t>
        </is>
      </c>
      <c r="BW17" s="55" t="inlineStr">
        <is>
          <t>TypeError: 'int' object is not callable</t>
        </is>
      </c>
      <c r="BX17" s="55" t="inlineStr">
        <is>
          <t>The LLM replaced only the second rot.num_parameters_settable() call (with len(rot.parameters)) and left the first one; num_parameters_settable is a property that returns an int, so calling it raises TypeError before anything is printed.</t>
        </is>
      </c>
      <c r="BY17" s="55" t="inlineStr">
        <is>
          <t>TypeError</t>
        </is>
      </c>
      <c r="BZ17" s="55" t="inlineStr">
        <is>
          <t>TypeError: 'int' object is not callable</t>
        </is>
      </c>
      <c r="CA17" s="55" t="inlineStr">
        <is>
          <t>The LLM replaced only the second rot.num_parameters_settable() call (with len(rot.parameters)) and left the first one; num_parameters_settable is a property that returns an int, so calling it raises TypeError before anything is printed.</t>
        </is>
      </c>
      <c r="CB17" s="55" t="inlineStr">
        <is>
          <t>TypeError</t>
        </is>
      </c>
      <c r="CC17" s="55" t="inlineStr">
        <is>
          <t>TypeError: 'int' object is not callable</t>
        </is>
      </c>
      <c r="CD17" s="55" t="inlineStr">
        <is>
          <t>The LLM replaced only the second rot.num_parameters_settable() call (with len(rot.parameters)) and left the first one; num_parameters_settable is a property that returns an int, so calling it raises TypeError before anything is printed.</t>
        </is>
      </c>
      <c r="CE17" s="55" t="inlineStr">
        <is>
          <t>TypeError</t>
        </is>
      </c>
      <c r="CF17" s="55" t="inlineStr">
        <is>
          <t>TypeError: 'int' object is not callable</t>
        </is>
      </c>
      <c r="CG17" s="55" t="inlineStr">
        <is>
          <t>The LLM replaced only the second rot.num_parameters_settable() call (with len(rot.parameters)) and left the first one; num_parameters_settable is a property that returns an int, so calling it raises TypeError before anything is printed.</t>
        </is>
      </c>
      <c r="CH17" s="55" t="inlineStr">
        <is>
          <t>TypeError</t>
        </is>
      </c>
      <c r="CI17" s="55" t="inlineStr">
        <is>
          <t>TypeError: 'int' object is not callable</t>
        </is>
      </c>
      <c r="CJ17" s="55" t="inlineStr">
        <is>
          <t>The LLM replaced only the second rot.num_parameters_settable() call (with len(rot.parameters)) and left the first one; num_parameters_settable is a property that returns an int, so calling it raises TypeError before anything is printed.</t>
        </is>
      </c>
      <c r="CK17" s="55" t="inlineStr">
        <is>
          <t>TypeError</t>
        </is>
      </c>
      <c r="CL17" s="55" t="inlineStr">
        <is>
          <t>TypeError: 'int' object is not callable</t>
        </is>
      </c>
      <c r="CM17" s="55" t="inlineStr">
        <is>
          <t>The LLM replaced only the second rot.num_parameters_settable() call (with len(rot.parameters)) and left the first one; num_parameters_settable is a property that returns an int, so calling it raises TypeError before anything is printed.</t>
        </is>
      </c>
      <c r="CN17" s="55" t="inlineStr">
        <is>
          <t>TypeError</t>
        </is>
      </c>
      <c r="CO17" s="55" t="inlineStr">
        <is>
          <t>TypeError: 'int' object is not callable</t>
        </is>
      </c>
      <c r="CP17" s="55" t="inlineStr">
        <is>
          <t>The LLM replaced only the second rot.num_parameters_settable() call (with len(rot.parameters)) and left the first one; num_parameters_settable is a property that returns an int, so calling it raises TypeError before anything is printed.</t>
        </is>
      </c>
      <c r="CQ17" s="55" t="inlineStr">
        <is>
          <t>TypeError</t>
        </is>
      </c>
      <c r="CR17" s="55" t="inlineStr">
        <is>
          <t>TypeError: 'int' object is not callable</t>
        </is>
      </c>
      <c r="CS17" s="55" t="inlineStr">
        <is>
          <t>The LLM replaced only the second rot.num_parameters_settable() call (with len(rot.parameters)) and left the first one; num_parameters_settable is a property that returns an int, so calling it raises TypeError before anything is printed.</t>
        </is>
      </c>
      <c r="CT17" s="55" t="inlineStr">
        <is>
          <t>TypeError</t>
        </is>
      </c>
      <c r="CU17" s="55" t="inlineStr">
        <is>
          <t>TypeError: 'int' object is not callable</t>
        </is>
      </c>
      <c r="CV17" s="55" t="inlineStr">
        <is>
          <t>The LLM replaced only the second rot.num_parameters_settable() call (with len(rot.parameters)) and left the first one; num_parameters_settable is a property that returns an int, so calling it raises TypeError before anything is printed.</t>
        </is>
      </c>
      <c r="CW17" s="55" t="inlineStr">
        <is>
          <t>TypeError</t>
        </is>
      </c>
      <c r="CX17" s="55" t="inlineStr">
        <is>
          <t>TypeError: 'int' object is not callable</t>
        </is>
      </c>
      <c r="CY17" s="55" t="inlineStr">
        <is>
          <t>The LLM replaced only the second rot.num_parameters_settable() call (with len(rot.parameters)) and left the first one; num_parameters_settable is a property that returns an int, so calling it raises TypeError before anything is printed.</t>
        </is>
      </c>
      <c r="CZ17" s="55" t="inlineStr">
        <is>
          <t>TypeError</t>
        </is>
      </c>
      <c r="DA17" s="55" t="inlineStr">
        <is>
          <t>TypeError: 'int' object is not callable</t>
        </is>
      </c>
      <c r="DB17" s="55" t="inlineStr">
        <is>
          <t>The LLM replaced only the second rot.num_parameters_settable() call (with len(rot.parameters)) and left the first one; num_parameters_settable is a property that returns an int, so calling it raises TypeError before anything is printed.</t>
        </is>
      </c>
      <c r="DC17" s="55" t="inlineStr">
        <is>
          <t>TypeError</t>
        </is>
      </c>
      <c r="DD17" s="55" t="inlineStr">
        <is>
          <t>TypeError: 'int' object is not callable</t>
        </is>
      </c>
      <c r="DE17" s="55" t="inlineStr">
        <is>
          <t>The LLM replaced only the second rot.num_parameters_settable() call (with len(rot.parameters)) and left the first one; num_parameters_settable is a property that returns an int, so calling it raises TypeError before anything is printed.</t>
        </is>
      </c>
    </row>
    <row r="18">
      <c r="A18" s="55" t="inlineStr">
        <is>
          <t>issue_261</t>
        </is>
      </c>
      <c r="B18" s="59" t="inlineStr">
        <is>
          <t>Passed on test</t>
        </is>
      </c>
      <c r="C18" s="59" t="inlineStr">
        <is>
          <t>Passed on test</t>
        </is>
      </c>
      <c r="D18" s="59" t="inlineStr">
        <is>
          <t>Passed on test</t>
        </is>
      </c>
      <c r="E18" s="59" t="inlineStr">
        <is>
          <t>Passed on test</t>
        </is>
      </c>
      <c r="F18" s="59" t="inlineStr">
        <is>
          <t>Passed on test</t>
        </is>
      </c>
      <c r="G18" s="59" t="inlineStr">
        <is>
          <t>Passed on test</t>
        </is>
      </c>
      <c r="H18" s="59" t="inlineStr">
        <is>
          <t>Passed on test</t>
        </is>
      </c>
      <c r="I18" s="59" t="inlineStr">
        <is>
          <t>Passed on test</t>
        </is>
      </c>
      <c r="J18" s="59" t="inlineStr">
        <is>
          <t>Passed on test</t>
        </is>
      </c>
      <c r="K18" s="59" t="inlineStr">
        <is>
          <t>Passed on test</t>
        </is>
      </c>
      <c r="L18" s="59" t="inlineStr">
        <is>
          <t>Passed on test</t>
        </is>
      </c>
      <c r="M18" s="59" t="inlineStr">
        <is>
          <t>Passed on test</t>
        </is>
      </c>
      <c r="N18" s="56" t="inlineStr">
        <is>
          <t>NOT_TESTED</t>
        </is>
      </c>
      <c r="O18" s="56" t="inlineStr">
        <is>
          <t>NOT_TESTED</t>
        </is>
      </c>
      <c r="P18" s="56" t="inlineStr">
        <is>
          <t>NOT_TESTED</t>
        </is>
      </c>
      <c r="Q18" s="56" t="inlineStr">
        <is>
          <t>NOT_TESTED</t>
        </is>
      </c>
      <c r="R18" s="56" t="inlineStr">
        <is>
          <t>NOT_TESTED</t>
        </is>
      </c>
      <c r="S18" s="56" t="inlineStr">
        <is>
          <t>NOT_TESTED</t>
        </is>
      </c>
      <c r="T18" s="56" t="inlineStr">
        <is>
          <t>NOT_TESTED</t>
        </is>
      </c>
      <c r="U18" s="56" t="inlineStr">
        <is>
          <t>NOT_TESTED</t>
        </is>
      </c>
      <c r="V18" s="56" t="inlineStr">
        <is>
          <t>NOT_TESTED</t>
        </is>
      </c>
      <c r="W18" s="56" t="inlineStr">
        <is>
          <t>NOT_TESTED</t>
        </is>
      </c>
      <c r="X18" s="56" t="inlineStr">
        <is>
          <t>NOT_TESTED</t>
        </is>
      </c>
      <c r="Y18" s="56" t="inlineStr">
        <is>
          <t>NOT_TESTED</t>
        </is>
      </c>
      <c r="Z18" s="56" t="inlineStr">
        <is>
          <t>NOT_TESTED</t>
        </is>
      </c>
      <c r="AA18" s="56" t="inlineStr">
        <is>
          <t>NOT_TESTED</t>
        </is>
      </c>
      <c r="AB18" s="56" t="inlineStr">
        <is>
          <t>NOT_TESTED</t>
        </is>
      </c>
      <c r="AC18" s="55" t="n"/>
      <c r="AD18" s="55" t="n"/>
      <c r="AE18" s="55" t="n"/>
      <c r="AF18" s="55" t="n"/>
      <c r="AG18" s="55" t="n"/>
      <c r="AH18" s="55" t="n"/>
      <c r="AI18" s="55" t="n"/>
      <c r="AJ18" s="55" t="n"/>
      <c r="AK18" s="55" t="n"/>
      <c r="AL18" s="55" t="n"/>
      <c r="AM18" s="55" t="n"/>
      <c r="AN18" s="55" t="n"/>
      <c r="AO18" s="55" t="n"/>
      <c r="AP18" s="55" t="n"/>
      <c r="AQ18" s="55" t="n"/>
      <c r="AR18" s="55" t="n"/>
      <c r="AS18" s="55" t="n"/>
      <c r="AT18" s="55" t="n"/>
      <c r="AU18" s="55" t="n"/>
      <c r="AV18" s="55" t="n"/>
      <c r="AW18" s="55" t="n"/>
      <c r="AX18" s="55" t="n"/>
      <c r="AY18" s="55" t="n"/>
      <c r="AZ18" s="55" t="n"/>
      <c r="BA18" s="55" t="n"/>
      <c r="BB18" s="55" t="n"/>
      <c r="BC18" s="55" t="n"/>
      <c r="BD18" s="55" t="n"/>
      <c r="BE18" s="55" t="n"/>
      <c r="BF18" s="55" t="n"/>
      <c r="BG18" s="55" t="n"/>
      <c r="BH18" s="55" t="n"/>
      <c r="BI18" s="55" t="n"/>
      <c r="BJ18" s="55" t="n"/>
      <c r="BK18" s="55" t="n"/>
      <c r="BL18" s="55" t="n"/>
      <c r="BM18" s="55" t="n"/>
      <c r="BN18" s="55" t="n"/>
      <c r="BO18" s="55" t="n"/>
      <c r="BP18" s="55" t="n"/>
      <c r="BQ18" s="55" t="n"/>
      <c r="BR18" s="55" t="n"/>
      <c r="BS18" s="55" t="n"/>
      <c r="BT18" s="55" t="n"/>
      <c r="BU18" s="55" t="n"/>
      <c r="BV18" s="55" t="n"/>
      <c r="BW18" s="55" t="n"/>
      <c r="BX18" s="55" t="n"/>
      <c r="BY18" s="55" t="n"/>
      <c r="BZ18" s="55" t="n"/>
      <c r="CA18" s="55" t="n"/>
      <c r="CB18" s="55" t="n"/>
      <c r="CC18" s="55" t="n"/>
      <c r="CD18" s="55" t="n"/>
      <c r="CE18" s="55" t="n"/>
      <c r="CF18" s="55" t="n"/>
      <c r="CG18" s="55" t="n"/>
      <c r="CH18" s="55" t="n"/>
      <c r="CI18" s="55" t="n"/>
      <c r="CJ18" s="55" t="n"/>
      <c r="CK18" s="55" t="n"/>
      <c r="CL18" s="55" t="n"/>
      <c r="CM18" s="55" t="n"/>
      <c r="CN18" s="55" t="n"/>
      <c r="CO18" s="55" t="n"/>
      <c r="CP18" s="55" t="n"/>
      <c r="CQ18" s="55" t="n"/>
      <c r="CR18" s="55" t="n"/>
      <c r="CS18" s="55" t="n"/>
      <c r="CT18" s="55" t="n"/>
      <c r="CU18" s="55" t="n"/>
      <c r="CV18" s="55" t="n"/>
      <c r="CW18" s="55" t="n"/>
      <c r="CX18" s="55" t="n"/>
      <c r="CY18" s="55" t="n"/>
      <c r="CZ18" s="55" t="n"/>
      <c r="DA18" s="55" t="n"/>
      <c r="DB18" s="55" t="n"/>
      <c r="DC18" s="55" t="n"/>
      <c r="DD18" s="55" t="n"/>
      <c r="DE18" s="55" t="n"/>
    </row>
    <row r="19">
      <c r="A19" s="55" t="inlineStr">
        <is>
          <t>issue_280</t>
        </is>
      </c>
      <c r="B19" s="59" t="inlineStr">
        <is>
          <t>Passed on test</t>
        </is>
      </c>
      <c r="C19" s="59" t="inlineStr">
        <is>
          <t>Passed on test</t>
        </is>
      </c>
      <c r="D19" s="59" t="inlineStr">
        <is>
          <t>Passed on test</t>
        </is>
      </c>
      <c r="E19" s="59" t="inlineStr">
        <is>
          <t>Passed on test</t>
        </is>
      </c>
      <c r="F19" s="59" t="inlineStr">
        <is>
          <t>Passed on test</t>
        </is>
      </c>
      <c r="G19" s="59" t="inlineStr">
        <is>
          <t>Passed on test</t>
        </is>
      </c>
      <c r="H19" s="59" t="inlineStr">
        <is>
          <t>Passed on test</t>
        </is>
      </c>
      <c r="I19" s="59" t="inlineStr">
        <is>
          <t>Passed on test</t>
        </is>
      </c>
      <c r="J19" s="59" t="inlineStr">
        <is>
          <t>Passed on test</t>
        </is>
      </c>
      <c r="K19" s="59" t="inlineStr">
        <is>
          <t>Passed on test</t>
        </is>
      </c>
      <c r="L19" s="59" t="inlineStr">
        <is>
          <t>Passed on test</t>
        </is>
      </c>
      <c r="M19" s="59" t="inlineStr">
        <is>
          <t>Passed on test</t>
        </is>
      </c>
      <c r="N19" s="56" t="inlineStr">
        <is>
          <t>NOT_TESTED</t>
        </is>
      </c>
      <c r="O19" s="56" t="inlineStr">
        <is>
          <t>NOT_TESTED</t>
        </is>
      </c>
      <c r="P19" s="56" t="inlineStr">
        <is>
          <t>NOT_TESTED</t>
        </is>
      </c>
      <c r="Q19" s="56" t="inlineStr">
        <is>
          <t>NOT_TESTED</t>
        </is>
      </c>
      <c r="R19" s="56" t="inlineStr">
        <is>
          <t>NOT_TESTED</t>
        </is>
      </c>
      <c r="S19" s="56" t="inlineStr">
        <is>
          <t>NOT_TESTED</t>
        </is>
      </c>
      <c r="T19" s="56" t="inlineStr">
        <is>
          <t>NOT_TESTED</t>
        </is>
      </c>
      <c r="U19" s="56" t="inlineStr">
        <is>
          <t>NOT_TESTED</t>
        </is>
      </c>
      <c r="V19" s="56" t="inlineStr">
        <is>
          <t>NOT_TESTED</t>
        </is>
      </c>
      <c r="W19" s="56" t="inlineStr">
        <is>
          <t>NOT_TESTED</t>
        </is>
      </c>
      <c r="X19" s="56" t="inlineStr">
        <is>
          <t>NOT_TESTED</t>
        </is>
      </c>
      <c r="Y19" s="56" t="inlineStr">
        <is>
          <t>NOT_TESTED</t>
        </is>
      </c>
      <c r="Z19" s="56" t="inlineStr">
        <is>
          <t>NOT_TESTED</t>
        </is>
      </c>
      <c r="AA19" s="56" t="inlineStr">
        <is>
          <t>NOT_TESTED</t>
        </is>
      </c>
      <c r="AB19" s="56" t="inlineStr">
        <is>
          <t>NOT_TESTED</t>
        </is>
      </c>
      <c r="AC19" s="55" t="n"/>
      <c r="AD19" s="55" t="n"/>
      <c r="AE19" s="55" t="n"/>
      <c r="AF19" s="55" t="n"/>
      <c r="AG19" s="55" t="n"/>
      <c r="AH19" s="55" t="n"/>
      <c r="AI19" s="55" t="n"/>
      <c r="AJ19" s="55" t="n"/>
      <c r="AK19" s="55" t="n"/>
      <c r="AL19" s="55" t="n"/>
      <c r="AM19" s="55" t="n"/>
      <c r="AN19" s="55" t="n"/>
      <c r="AO19" s="55" t="n"/>
      <c r="AP19" s="55" t="n"/>
      <c r="AQ19" s="55" t="n"/>
      <c r="AR19" s="55" t="n"/>
      <c r="AS19" s="55" t="n"/>
      <c r="AT19" s="55" t="n"/>
      <c r="AU19" s="55" t="n"/>
      <c r="AV19" s="55" t="n"/>
      <c r="AW19" s="55" t="n"/>
      <c r="AX19" s="55" t="n"/>
      <c r="AY19" s="55" t="n"/>
      <c r="AZ19" s="55" t="n"/>
      <c r="BA19" s="55" t="n"/>
      <c r="BB19" s="55" t="n"/>
      <c r="BC19" s="55" t="n"/>
      <c r="BD19" s="55" t="n"/>
      <c r="BE19" s="55" t="n"/>
      <c r="BF19" s="55" t="n"/>
      <c r="BG19" s="55" t="n"/>
      <c r="BH19" s="55" t="n"/>
      <c r="BI19" s="55" t="n"/>
      <c r="BJ19" s="55" t="n"/>
      <c r="BK19" s="55" t="n"/>
      <c r="BL19" s="55" t="n"/>
      <c r="BM19" s="55" t="n"/>
      <c r="BN19" s="55" t="n"/>
      <c r="BO19" s="55" t="n"/>
      <c r="BP19" s="55" t="n"/>
      <c r="BQ19" s="55" t="n"/>
      <c r="BR19" s="55" t="n"/>
      <c r="BS19" s="55" t="n"/>
      <c r="BT19" s="55" t="n"/>
      <c r="BU19" s="55" t="n"/>
      <c r="BV19" s="55" t="n"/>
      <c r="BW19" s="55" t="n"/>
      <c r="BX19" s="55" t="n"/>
      <c r="BY19" s="55" t="n"/>
      <c r="BZ19" s="55" t="n"/>
      <c r="CA19" s="55" t="n"/>
      <c r="CB19" s="55" t="n"/>
      <c r="CC19" s="55" t="n"/>
      <c r="CD19" s="55" t="n"/>
      <c r="CE19" s="55" t="n"/>
      <c r="CF19" s="55" t="n"/>
      <c r="CG19" s="55" t="n"/>
      <c r="CH19" s="55" t="n"/>
      <c r="CI19" s="55" t="n"/>
      <c r="CJ19" s="55" t="n"/>
      <c r="CK19" s="55" t="n"/>
      <c r="CL19" s="55" t="n"/>
      <c r="CM19" s="55" t="n"/>
      <c r="CN19" s="55" t="n"/>
      <c r="CO19" s="55" t="n"/>
      <c r="CP19" s="55" t="n"/>
      <c r="CQ19" s="55" t="n"/>
      <c r="CR19" s="55" t="n"/>
      <c r="CS19" s="55" t="n"/>
      <c r="CT19" s="55" t="n"/>
      <c r="CU19" s="55" t="n"/>
      <c r="CV19" s="55" t="n"/>
      <c r="CW19" s="55" t="n"/>
      <c r="CX19" s="55" t="n"/>
      <c r="CY19" s="55" t="n"/>
      <c r="CZ19" s="55" t="n"/>
      <c r="DA19" s="55" t="n"/>
      <c r="DB19" s="55" t="n"/>
      <c r="DC19" s="55" t="n"/>
      <c r="DD19" s="55" t="n"/>
      <c r="DE19" s="55" t="n"/>
    </row>
    <row r="20">
      <c r="A20" s="55" t="inlineStr">
        <is>
          <t>issue_295</t>
        </is>
      </c>
      <c r="B20" s="56" t="inlineStr">
        <is>
          <t>NOT_TESTED</t>
        </is>
      </c>
      <c r="C20" s="56" t="inlineStr">
        <is>
          <t>NOT_TESTED</t>
        </is>
      </c>
      <c r="D20" s="56" t="inlineStr">
        <is>
          <t>NOT_TESTED</t>
        </is>
      </c>
      <c r="E20" s="56" t="inlineStr">
        <is>
          <t>NOT_TESTED</t>
        </is>
      </c>
      <c r="F20" s="59" t="inlineStr">
        <is>
          <t>Passed on test</t>
        </is>
      </c>
      <c r="G20" s="59" t="inlineStr">
        <is>
          <t>Passed on test</t>
        </is>
      </c>
      <c r="H20" s="59" t="inlineStr">
        <is>
          <t>Passed on test</t>
        </is>
      </c>
      <c r="I20" s="59" t="inlineStr">
        <is>
          <t>Passed on test</t>
        </is>
      </c>
      <c r="J20" s="59" t="inlineStr">
        <is>
          <t>Passed on test</t>
        </is>
      </c>
      <c r="K20" s="59" t="inlineStr">
        <is>
          <t>Passed on test</t>
        </is>
      </c>
      <c r="L20" s="59" t="inlineStr">
        <is>
          <t>Passed on test</t>
        </is>
      </c>
      <c r="M20" s="59" t="inlineStr">
        <is>
          <t>Passed on test</t>
        </is>
      </c>
      <c r="N20" s="56" t="inlineStr">
        <is>
          <t>NOT_TESTED</t>
        </is>
      </c>
      <c r="O20" s="56" t="inlineStr">
        <is>
          <t>NOT_TESTED</t>
        </is>
      </c>
      <c r="P20" s="56" t="inlineStr">
        <is>
          <t>NOT_TESTED</t>
        </is>
      </c>
      <c r="Q20" s="56" t="inlineStr">
        <is>
          <t>NOT_TESTED</t>
        </is>
      </c>
      <c r="R20" s="56" t="inlineStr">
        <is>
          <t>NOT_TESTED</t>
        </is>
      </c>
      <c r="S20" s="56" t="inlineStr">
        <is>
          <t>NOT_TESTED</t>
        </is>
      </c>
      <c r="T20" s="56" t="inlineStr">
        <is>
          <t>NOT_TESTED</t>
        </is>
      </c>
      <c r="U20" s="56" t="inlineStr">
        <is>
          <t>NOT_TESTED</t>
        </is>
      </c>
      <c r="V20" s="56" t="inlineStr">
        <is>
          <t>NOT_TESTED</t>
        </is>
      </c>
      <c r="W20" s="56" t="inlineStr">
        <is>
          <t>NOT_TESTED</t>
        </is>
      </c>
      <c r="X20" s="56" t="inlineStr">
        <is>
          <t>NOT_TESTED</t>
        </is>
      </c>
      <c r="Y20" s="56" t="inlineStr">
        <is>
          <t>NOT_TESTED</t>
        </is>
      </c>
      <c r="Z20" s="56" t="inlineStr">
        <is>
          <t>NOT_TESTED</t>
        </is>
      </c>
      <c r="AA20" s="56" t="inlineStr">
        <is>
          <t>NOT_TESTED</t>
        </is>
      </c>
      <c r="AB20" s="56" t="inlineStr">
        <is>
          <t>NOT_TESTED</t>
        </is>
      </c>
      <c r="AC20" s="55" t="n"/>
      <c r="AD20" s="55" t="n"/>
      <c r="AE20" s="55" t="n"/>
      <c r="AF20" s="55" t="n"/>
      <c r="AG20" s="55" t="n"/>
      <c r="AH20" s="55" t="n"/>
      <c r="AI20" s="55" t="n"/>
      <c r="AJ20" s="55" t="n"/>
      <c r="AK20" s="55" t="n"/>
      <c r="AL20" s="55" t="n"/>
      <c r="AM20" s="55" t="n"/>
      <c r="AN20" s="55" t="n"/>
      <c r="AO20" s="55" t="n"/>
      <c r="AP20" s="55" t="n"/>
      <c r="AQ20" s="55" t="n"/>
      <c r="AR20" s="55" t="n"/>
      <c r="AS20" s="55" t="n"/>
      <c r="AT20" s="55" t="n"/>
      <c r="AU20" s="55" t="n"/>
      <c r="AV20" s="55" t="n"/>
      <c r="AW20" s="55" t="n"/>
      <c r="AX20" s="55" t="n"/>
      <c r="AY20" s="55" t="n"/>
      <c r="AZ20" s="55" t="n"/>
      <c r="BA20" s="55" t="n"/>
      <c r="BB20" s="55" t="n"/>
      <c r="BC20" s="55" t="n"/>
      <c r="BD20" s="55" t="n"/>
      <c r="BE20" s="55" t="n"/>
      <c r="BF20" s="55" t="n"/>
      <c r="BG20" s="55" t="n"/>
      <c r="BH20" s="55" t="n"/>
      <c r="BI20" s="55" t="n"/>
      <c r="BJ20" s="55" t="n"/>
      <c r="BK20" s="55" t="n"/>
      <c r="BL20" s="55" t="n"/>
      <c r="BM20" s="55" t="n"/>
      <c r="BN20" s="55" t="n"/>
      <c r="BO20" s="55" t="n"/>
      <c r="BP20" s="55" t="n"/>
      <c r="BQ20" s="55" t="n"/>
      <c r="BR20" s="55" t="n"/>
      <c r="BS20" s="55" t="n"/>
      <c r="BT20" s="55" t="n"/>
      <c r="BU20" s="55" t="n"/>
      <c r="BV20" s="55" t="n"/>
      <c r="BW20" s="55" t="n"/>
      <c r="BX20" s="55" t="n"/>
      <c r="BY20" s="55" t="n"/>
      <c r="BZ20" s="55" t="n"/>
      <c r="CA20" s="55" t="n"/>
      <c r="CB20" s="55" t="n"/>
      <c r="CC20" s="55" t="n"/>
      <c r="CD20" s="55" t="n"/>
      <c r="CE20" s="55" t="n"/>
      <c r="CF20" s="55" t="n"/>
      <c r="CG20" s="55" t="n"/>
      <c r="CH20" s="55" t="n"/>
      <c r="CI20" s="55" t="n"/>
      <c r="CJ20" s="55" t="n"/>
      <c r="CK20" s="55" t="n"/>
      <c r="CL20" s="55" t="n"/>
      <c r="CM20" s="55" t="n"/>
      <c r="CN20" s="55" t="n"/>
      <c r="CO20" s="55" t="n"/>
      <c r="CP20" s="55" t="n"/>
      <c r="CQ20" s="55" t="n"/>
      <c r="CR20" s="55" t="n"/>
      <c r="CS20" s="55" t="n"/>
      <c r="CT20" s="55" t="n"/>
      <c r="CU20" s="55" t="n"/>
      <c r="CV20" s="55" t="n"/>
      <c r="CW20" s="55" t="n"/>
      <c r="CX20" s="55" t="n"/>
      <c r="CY20" s="55" t="n"/>
      <c r="CZ20" s="55" t="n"/>
      <c r="DA20" s="55" t="n"/>
      <c r="DB20" s="55" t="n"/>
      <c r="DC20" s="55" t="n"/>
      <c r="DD20" s="55" t="n"/>
      <c r="DE20" s="55" t="n"/>
    </row>
    <row r="21">
      <c r="A21" s="55" t="inlineStr">
        <is>
          <t>issue_315</t>
        </is>
      </c>
      <c r="B21" s="56" t="inlineStr">
        <is>
          <t>NOT_TESTED</t>
        </is>
      </c>
      <c r="C21" s="56" t="inlineStr">
        <is>
          <t>NOT_TESTED</t>
        </is>
      </c>
      <c r="D21" s="56" t="inlineStr">
        <is>
          <t>NOT_TESTED</t>
        </is>
      </c>
      <c r="E21" s="56" t="inlineStr">
        <is>
          <t>NOT_TESTED</t>
        </is>
      </c>
      <c r="F21" s="57" t="inlineStr">
        <is>
          <t>Runtime error</t>
        </is>
      </c>
      <c r="G21" s="57" t="inlineStr">
        <is>
          <t>Runtime error</t>
        </is>
      </c>
      <c r="H21" s="57" t="inlineStr">
        <is>
          <t>Runtime error</t>
        </is>
      </c>
      <c r="I21" s="57" t="inlineStr">
        <is>
          <t>Runtime error</t>
        </is>
      </c>
      <c r="J21" s="57" t="inlineStr">
        <is>
          <t>Runtime error</t>
        </is>
      </c>
      <c r="K21" s="57" t="inlineStr">
        <is>
          <t>Runtime error</t>
        </is>
      </c>
      <c r="L21" s="57" t="inlineStr">
        <is>
          <t>Runtime error</t>
        </is>
      </c>
      <c r="M21" s="57" t="inlineStr">
        <is>
          <t>Runtime error</t>
        </is>
      </c>
      <c r="N21" s="57" t="inlineStr">
        <is>
          <t>Runtime error</t>
        </is>
      </c>
      <c r="O21" s="57" t="inlineStr">
        <is>
          <t>Runtime error</t>
        </is>
      </c>
      <c r="P21" s="57" t="inlineStr">
        <is>
          <t>Runtime error</t>
        </is>
      </c>
      <c r="Q21" s="57" t="inlineStr">
        <is>
          <t>Runtime error</t>
        </is>
      </c>
      <c r="R21" s="57" t="inlineStr">
        <is>
          <t>Runtime error</t>
        </is>
      </c>
      <c r="S21" s="57" t="inlineStr">
        <is>
          <t>Runtime error</t>
        </is>
      </c>
      <c r="T21" s="57" t="inlineStr">
        <is>
          <t>Runtime error</t>
        </is>
      </c>
      <c r="U21" s="57" t="inlineStr">
        <is>
          <t>Runtime error</t>
        </is>
      </c>
      <c r="V21" s="57" t="inlineStr">
        <is>
          <t>Runtime error</t>
        </is>
      </c>
      <c r="W21" s="57" t="inlineStr">
        <is>
          <t>Runtime error</t>
        </is>
      </c>
      <c r="X21" s="57" t="inlineStr">
        <is>
          <t>Runtime error</t>
        </is>
      </c>
      <c r="Y21" s="57" t="inlineStr">
        <is>
          <t>Runtime error</t>
        </is>
      </c>
      <c r="Z21" s="57" t="inlineStr">
        <is>
          <t>Runtime error</t>
        </is>
      </c>
      <c r="AA21" s="57" t="inlineStr">
        <is>
          <t>Runtime error</t>
        </is>
      </c>
      <c r="AB21" s="57" t="inlineStr">
        <is>
          <t>Runtime error</t>
        </is>
      </c>
      <c r="AC21" s="55" t="n"/>
      <c r="AD21" s="55" t="n"/>
      <c r="AE21" s="55" t="n"/>
      <c r="AF21" s="55" t="n"/>
      <c r="AG21" s="55" t="n"/>
      <c r="AH21" s="55" t="n"/>
      <c r="AI21" s="55" t="n"/>
      <c r="AJ21" s="55" t="n"/>
      <c r="AK21" s="55" t="n"/>
      <c r="AL21" s="55" t="n"/>
      <c r="AM21" s="55" t="n"/>
      <c r="AN21" s="55" t="n"/>
      <c r="AO21" s="55" t="inlineStr">
        <is>
          <t>ModuleNotFoundError</t>
        </is>
      </c>
      <c r="AP21" s="55" t="inlineStr">
        <is>
          <t>ModuleNotFoundError: No module named 'qiskit.providers.basic_provider'</t>
        </is>
      </c>
      <c r="AQ21" s="55" t="inlineStr">
        <is>
          <t>The LLM kept the BasicProvider import, and qiskit.providers.basic_provider does not exist before Qiskit 0.46, so the script crashes on import (it also deleted the parallel options the user wanted instead of switching to AerSimulator).</t>
        </is>
      </c>
      <c r="AR21" s="55" t="inlineStr">
        <is>
          <t>ModuleNotFoundError</t>
        </is>
      </c>
      <c r="AS21" s="55" t="inlineStr">
        <is>
          <t>ModuleNotFoundError: No module named 'qiskit.providers.basic_provider'</t>
        </is>
      </c>
      <c r="AT21" s="55" t="inlineStr">
        <is>
          <t>The LLM kept the BasicProvider import, and qiskit.providers.basic_provider does not exist before Qiskit 0.46, so the script crashes on import (it also deleted the parallel options the user wanted instead of switching to AerSimulator).</t>
        </is>
      </c>
      <c r="AU21" s="55" t="inlineStr">
        <is>
          <t>ModuleNotFoundError</t>
        </is>
      </c>
      <c r="AV21" s="55" t="inlineStr">
        <is>
          <t>ModuleNotFoundError: No module named 'qiskit.providers.basic_provider'</t>
        </is>
      </c>
      <c r="AW21" s="55" t="inlineStr">
        <is>
          <t>The LLM kept the BasicProvider import, and qiskit.providers.basic_provider does not exist before Qiskit 0.46, so the script crashes on import (it also deleted the parallel options the user wanted instead of switching to AerSimulator).</t>
        </is>
      </c>
      <c r="AX21" s="55" t="inlineStr">
        <is>
          <t>ModuleNotFoundError</t>
        </is>
      </c>
      <c r="AY21" s="55" t="inlineStr">
        <is>
          <t>ModuleNotFoundError: No module named 'qiskit.providers.basic_provider'</t>
        </is>
      </c>
      <c r="AZ21" s="55" t="inlineStr">
        <is>
          <t>The LLM kept the BasicProvider import, and qiskit.providers.basic_provider does not exist before Qiskit 0.46, so the script crashes on import (it also deleted the parallel options the user wanted instead of switching to AerSimulator).</t>
        </is>
      </c>
      <c r="BA21" s="55" t="inlineStr">
        <is>
          <t>AttributeError</t>
        </is>
      </c>
      <c r="BB21" s="55" t="inlineStr">
        <is>
          <t>AttributeError: Option max_parallel_threads is not defined</t>
        </is>
      </c>
      <c r="BC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BD21" s="55" t="inlineStr">
        <is>
          <t>AttributeError</t>
        </is>
      </c>
      <c r="BE21" s="55" t="inlineStr">
        <is>
          <t>AttributeError: Option max_parallel_threads is not defined</t>
        </is>
      </c>
      <c r="BF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BG21" s="55" t="inlineStr">
        <is>
          <t>AttributeError</t>
        </is>
      </c>
      <c r="BH21" s="55" t="inlineStr">
        <is>
          <t>AttributeError: Option max_parallel_threads is not defined</t>
        </is>
      </c>
      <c r="BI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BJ21" s="55" t="inlineStr">
        <is>
          <t>AttributeError</t>
        </is>
      </c>
      <c r="BK21" s="55" t="inlineStr">
        <is>
          <t>AttributeError: Option max_parallel_threads is not defined</t>
        </is>
      </c>
      <c r="BL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BM21" s="55" t="inlineStr">
        <is>
          <t>AttributeError</t>
        </is>
      </c>
      <c r="BN21" s="55" t="inlineStr">
        <is>
          <t>AttributeError: Option max_parallel_threads is not defined</t>
        </is>
      </c>
      <c r="BO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BP21" s="55" t="inlineStr">
        <is>
          <t>AttributeError</t>
        </is>
      </c>
      <c r="BQ21" s="55" t="inlineStr">
        <is>
          <t>AttributeError: Option max_parallel_threads is not defined</t>
        </is>
      </c>
      <c r="BR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BS21" s="55" t="inlineStr">
        <is>
          <t>AttributeError</t>
        </is>
      </c>
      <c r="BT21" s="55" t="inlineStr">
        <is>
          <t>AttributeError: Option max_parallel_threads is not defined</t>
        </is>
      </c>
      <c r="BU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BV21" s="55" t="inlineStr">
        <is>
          <t>AttributeError</t>
        </is>
      </c>
      <c r="BW21" s="55" t="inlineStr">
        <is>
          <t>AttributeError: Option max_parallel_threads is not defined</t>
        </is>
      </c>
      <c r="BX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BY21" s="55" t="inlineStr">
        <is>
          <t>AttributeError</t>
        </is>
      </c>
      <c r="BZ21" s="55" t="inlineStr">
        <is>
          <t>AttributeError: Option max_parallel_threads is not defined</t>
        </is>
      </c>
      <c r="CA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CB21" s="55" t="inlineStr">
        <is>
          <t>AttributeError</t>
        </is>
      </c>
      <c r="CC21" s="55" t="inlineStr">
        <is>
          <t>AttributeError: Option max_parallel_threads is not defined</t>
        </is>
      </c>
      <c r="CD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CE21" s="55" t="inlineStr">
        <is>
          <t>AttributeError</t>
        </is>
      </c>
      <c r="CF21" s="55" t="inlineStr">
        <is>
          <t>AttributeError: Option max_parallel_threads is not defined</t>
        </is>
      </c>
      <c r="CG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CH21" s="55" t="inlineStr">
        <is>
          <t>AttributeError</t>
        </is>
      </c>
      <c r="CI21" s="55" t="inlineStr">
        <is>
          <t>AttributeError: Option max_parallel_threads is not defined</t>
        </is>
      </c>
      <c r="CJ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CK21" s="55" t="inlineStr">
        <is>
          <t>AttributeError</t>
        </is>
      </c>
      <c r="CL21" s="55" t="inlineStr">
        <is>
          <t>AttributeError: Option max_parallel_threads is not defined</t>
        </is>
      </c>
      <c r="CM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CN21" s="55" t="inlineStr">
        <is>
          <t>AttributeError</t>
        </is>
      </c>
      <c r="CO21" s="55" t="inlineStr">
        <is>
          <t>AttributeError: Option max_parallel_threads is not defined</t>
        </is>
      </c>
      <c r="CP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CQ21" s="55" t="inlineStr">
        <is>
          <t>AttributeError</t>
        </is>
      </c>
      <c r="CR21" s="55" t="inlineStr">
        <is>
          <t>AttributeError: Option max_parallel_threads is not defined</t>
        </is>
      </c>
      <c r="CS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CT21" s="55" t="inlineStr">
        <is>
          <t>AttributeError</t>
        </is>
      </c>
      <c r="CU21" s="55" t="inlineStr">
        <is>
          <t>AttributeError: Option max_parallel_threads is not defined</t>
        </is>
      </c>
      <c r="CV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CW21" s="55" t="inlineStr">
        <is>
          <t>AttributeError</t>
        </is>
      </c>
      <c r="CX21" s="55" t="inlineStr">
        <is>
          <t>AttributeError: Option max_parallel_threads is not defined</t>
        </is>
      </c>
      <c r="CY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CZ21" s="55" t="inlineStr">
        <is>
          <t>AttributeError</t>
        </is>
      </c>
      <c r="DA21" s="55" t="inlineStr">
        <is>
          <t>AttributeError: Option max_parallel_threads is not defined</t>
        </is>
      </c>
      <c r="DB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DC21" s="55" t="inlineStr">
        <is>
          <t>AttributeError</t>
        </is>
      </c>
      <c r="DD21" s="55" t="inlineStr">
        <is>
          <t>AttributeError: Option max_parallel_threads is not defined</t>
        </is>
      </c>
      <c r="DE21" s="55"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row>
    <row r="22">
      <c r="A22" s="55" t="inlineStr">
        <is>
          <t>issue_344</t>
        </is>
      </c>
      <c r="B22" s="57" t="inlineStr">
        <is>
          <t>Runtime error</t>
        </is>
      </c>
      <c r="C22" s="57" t="inlineStr">
        <is>
          <t>Runtime error</t>
        </is>
      </c>
      <c r="D22" s="57" t="inlineStr">
        <is>
          <t>Runtime error</t>
        </is>
      </c>
      <c r="E22" s="57" t="inlineStr">
        <is>
          <t>Runtime error</t>
        </is>
      </c>
      <c r="F22" s="57" t="inlineStr">
        <is>
          <t>Runtime error</t>
        </is>
      </c>
      <c r="G22" s="57" t="inlineStr">
        <is>
          <t>Runtime error</t>
        </is>
      </c>
      <c r="H22" s="57" t="inlineStr">
        <is>
          <t>Runtime error</t>
        </is>
      </c>
      <c r="I22" s="57" t="inlineStr">
        <is>
          <t>Runtime error</t>
        </is>
      </c>
      <c r="J22" s="57" t="inlineStr">
        <is>
          <t>Runtime error</t>
        </is>
      </c>
      <c r="K22" s="57" t="inlineStr">
        <is>
          <t>Runtime error</t>
        </is>
      </c>
      <c r="L22" s="57" t="inlineStr">
        <is>
          <t>Runtime error</t>
        </is>
      </c>
      <c r="M22" s="57" t="inlineStr">
        <is>
          <t>Runtime error</t>
        </is>
      </c>
      <c r="N22" s="56" t="inlineStr">
        <is>
          <t>NOT_TESTED</t>
        </is>
      </c>
      <c r="O22" s="56" t="inlineStr">
        <is>
          <t>NOT_TESTED</t>
        </is>
      </c>
      <c r="P22" s="56" t="inlineStr">
        <is>
          <t>NOT_TESTED</t>
        </is>
      </c>
      <c r="Q22" s="56" t="inlineStr">
        <is>
          <t>NOT_TESTED</t>
        </is>
      </c>
      <c r="R22" s="56" t="inlineStr">
        <is>
          <t>NOT_TESTED</t>
        </is>
      </c>
      <c r="S22" s="56" t="inlineStr">
        <is>
          <t>NOT_TESTED</t>
        </is>
      </c>
      <c r="T22" s="56" t="inlineStr">
        <is>
          <t>NOT_TESTED</t>
        </is>
      </c>
      <c r="U22" s="56" t="inlineStr">
        <is>
          <t>NOT_TESTED</t>
        </is>
      </c>
      <c r="V22" s="56" t="inlineStr">
        <is>
          <t>NOT_TESTED</t>
        </is>
      </c>
      <c r="W22" s="56" t="inlineStr">
        <is>
          <t>NOT_TESTED</t>
        </is>
      </c>
      <c r="X22" s="56" t="inlineStr">
        <is>
          <t>NOT_TESTED</t>
        </is>
      </c>
      <c r="Y22" s="56" t="inlineStr">
        <is>
          <t>NOT_TESTED</t>
        </is>
      </c>
      <c r="Z22" s="56" t="inlineStr">
        <is>
          <t>NOT_TESTED</t>
        </is>
      </c>
      <c r="AA22" s="56" t="inlineStr">
        <is>
          <t>NOT_TESTED</t>
        </is>
      </c>
      <c r="AB22" s="56" t="inlineStr">
        <is>
          <t>NOT_TESTED</t>
        </is>
      </c>
      <c r="AC22" s="55" t="inlineStr">
        <is>
          <t>QiskitError</t>
        </is>
      </c>
      <c r="AD22" s="55" t="inlineStr">
        <is>
          <t>qiskit.exceptions.QiskitError: 'Input quantum state is not a valid'</t>
        </is>
      </c>
      <c r="AE22" s="55" t="inlineStr">
        <is>
          <t>The LLM passed the Statevector object to entropy() but kept get_statevector(..., decimals=3); the rounded amplitudes are no longer normalized, so Qiskit rejects the state ('Input quantum state is not a valid'). The reference also removes decimals=3.</t>
        </is>
      </c>
      <c r="AF22" s="55" t="inlineStr">
        <is>
          <t>QiskitError</t>
        </is>
      </c>
      <c r="AG22" s="55" t="inlineStr">
        <is>
          <t>qiskit.exceptions.QiskitError: 'Input quantum state is not a valid'</t>
        </is>
      </c>
      <c r="AH22" s="55" t="inlineStr">
        <is>
          <t>The LLM passed the Statevector object to entropy() but kept get_statevector(..., decimals=3); the rounded amplitudes are no longer normalized, so Qiskit rejects the state ('Input quantum state is not a valid'). The reference also removes decimals=3.</t>
        </is>
      </c>
      <c r="AI22" s="55" t="inlineStr">
        <is>
          <t>QiskitError</t>
        </is>
      </c>
      <c r="AJ22" s="55" t="inlineStr">
        <is>
          <t>qiskit.exceptions.QiskitError: 'Input quantum state is not a valid'</t>
        </is>
      </c>
      <c r="AK22" s="55" t="inlineStr">
        <is>
          <t>The LLM passed the Statevector object to entropy() but kept get_statevector(..., decimals=3); the rounded amplitudes are no longer normalized, so Qiskit rejects the state ('Input quantum state is not a valid'). The reference also removes decimals=3.</t>
        </is>
      </c>
      <c r="AL22" s="55" t="inlineStr">
        <is>
          <t>QiskitError</t>
        </is>
      </c>
      <c r="AM22" s="55" t="inlineStr">
        <is>
          <t>qiskit.exceptions.QiskitError: 'Input quantum state is not a valid'</t>
        </is>
      </c>
      <c r="AN22" s="55" t="inlineStr">
        <is>
          <t>The LLM passed the Statevector object to entropy() but kept get_statevector(..., decimals=3); the rounded amplitudes are no longer normalized, so Qiskit rejects the state ('Input quantum state is not a valid'). The reference also removes decimals=3.</t>
        </is>
      </c>
      <c r="AO22" s="55" t="inlineStr">
        <is>
          <t>QiskitError</t>
        </is>
      </c>
      <c r="AP22" s="55" t="inlineStr">
        <is>
          <t>qiskit.exceptions.QiskitError: 'Input quantum state is not a valid'</t>
        </is>
      </c>
      <c r="AQ22" s="55" t="inlineStr">
        <is>
          <t>The LLM passed the Statevector object to entropy() but kept get_statevector(..., decimals=3); the rounded amplitudes are no longer normalized, so Qiskit rejects the state ('Input quantum state is not a valid'). The reference also removes decimals=3.</t>
        </is>
      </c>
      <c r="AR22" s="55" t="inlineStr">
        <is>
          <t>QiskitError</t>
        </is>
      </c>
      <c r="AS22" s="55" t="inlineStr">
        <is>
          <t>qiskit.exceptions.QiskitError: 'Input quantum state is not a valid'</t>
        </is>
      </c>
      <c r="AT22" s="55" t="inlineStr">
        <is>
          <t>The LLM passed the Statevector object to entropy() but kept get_statevector(..., decimals=3); the rounded amplitudes are no longer normalized, so Qiskit rejects the state ('Input quantum state is not a valid'). The reference also removes decimals=3.</t>
        </is>
      </c>
      <c r="AU22" s="55" t="inlineStr">
        <is>
          <t>QiskitError</t>
        </is>
      </c>
      <c r="AV22" s="55" t="inlineStr">
        <is>
          <t>qiskit.exceptions.QiskitError: 'Input quantum state is not a valid'</t>
        </is>
      </c>
      <c r="AW22" s="55" t="inlineStr">
        <is>
          <t>The LLM passed the Statevector object to entropy() but kept get_statevector(..., decimals=3); the rounded amplitudes are no longer normalized, so Qiskit rejects the state ('Input quantum state is not a valid'). The reference also removes decimals=3.</t>
        </is>
      </c>
      <c r="AX22" s="55" t="inlineStr">
        <is>
          <t>QiskitError</t>
        </is>
      </c>
      <c r="AY22" s="55" t="inlineStr">
        <is>
          <t>qiskit.exceptions.QiskitError: 'Input quantum state is not a valid'</t>
        </is>
      </c>
      <c r="AZ22" s="55" t="inlineStr">
        <is>
          <t>The LLM passed the Statevector object to entropy() but kept get_statevector(..., decimals=3); the rounded amplitudes are no longer normalized, so Qiskit rejects the state ('Input quantum state is not a valid'). The reference also removes decimals=3.</t>
        </is>
      </c>
      <c r="BA22" s="55" t="inlineStr">
        <is>
          <t>QiskitError</t>
        </is>
      </c>
      <c r="BB22" s="55" t="inlineStr">
        <is>
          <t>qiskit.exceptions.QiskitError: 'Input quantum state is not a valid'</t>
        </is>
      </c>
      <c r="BC22" s="55" t="inlineStr">
        <is>
          <t>The LLM passed the Statevector object to entropy() but kept get_statevector(..., decimals=3); the rounded amplitudes are no longer normalized, so Qiskit rejects the state ('Input quantum state is not a valid'). The reference also removes decimals=3.</t>
        </is>
      </c>
      <c r="BD22" s="55" t="inlineStr">
        <is>
          <t>QiskitError</t>
        </is>
      </c>
      <c r="BE22" s="55" t="inlineStr">
        <is>
          <t>qiskit.exceptions.QiskitError: 'Input quantum state is not a valid'</t>
        </is>
      </c>
      <c r="BF22" s="55" t="inlineStr">
        <is>
          <t>The LLM passed the Statevector object to entropy() but kept get_statevector(..., decimals=3); the rounded amplitudes are no longer normalized, so Qiskit rejects the state ('Input quantum state is not a valid'). The reference also removes decimals=3.</t>
        </is>
      </c>
      <c r="BG22" s="55" t="inlineStr">
        <is>
          <t>QiskitError</t>
        </is>
      </c>
      <c r="BH22" s="55" t="inlineStr">
        <is>
          <t>qiskit.exceptions.QiskitError: 'Input quantum state is not a valid'</t>
        </is>
      </c>
      <c r="BI22" s="55" t="inlineStr">
        <is>
          <t>The LLM passed the Statevector object to entropy() but kept get_statevector(..., decimals=3); the rounded amplitudes are no longer normalized, so Qiskit rejects the state ('Input quantum state is not a valid'). The reference also removes decimals=3.</t>
        </is>
      </c>
      <c r="BJ22" s="55" t="inlineStr">
        <is>
          <t>QiskitError</t>
        </is>
      </c>
      <c r="BK22" s="55" t="inlineStr">
        <is>
          <t>qiskit.exceptions.QiskitError: 'Input quantum state is not a valid'</t>
        </is>
      </c>
      <c r="BL22" s="55" t="inlineStr">
        <is>
          <t>The LLM passed the Statevector object to entropy() but kept get_statevector(..., decimals=3); the rounded amplitudes are no longer normalized, so Qiskit rejects the state ('Input quantum state is not a valid'). The reference also removes decimals=3.</t>
        </is>
      </c>
      <c r="BM22" s="55" t="n"/>
      <c r="BN22" s="55" t="n"/>
      <c r="BO22" s="55" t="n"/>
      <c r="BP22" s="55" t="n"/>
      <c r="BQ22" s="55" t="n"/>
      <c r="BR22" s="55" t="n"/>
      <c r="BS22" s="55" t="n"/>
      <c r="BT22" s="55" t="n"/>
      <c r="BU22" s="55" t="n"/>
      <c r="BV22" s="55" t="n"/>
      <c r="BW22" s="55" t="n"/>
      <c r="BX22" s="55" t="n"/>
      <c r="BY22" s="55" t="n"/>
      <c r="BZ22" s="55" t="n"/>
      <c r="CA22" s="55" t="n"/>
      <c r="CB22" s="55" t="n"/>
      <c r="CC22" s="55" t="n"/>
      <c r="CD22" s="55" t="n"/>
      <c r="CE22" s="55" t="n"/>
      <c r="CF22" s="55" t="n"/>
      <c r="CG22" s="55" t="n"/>
      <c r="CH22" s="55" t="n"/>
      <c r="CI22" s="55" t="n"/>
      <c r="CJ22" s="55" t="n"/>
      <c r="CK22" s="55" t="n"/>
      <c r="CL22" s="55" t="n"/>
      <c r="CM22" s="55" t="n"/>
      <c r="CN22" s="55" t="n"/>
      <c r="CO22" s="55" t="n"/>
      <c r="CP22" s="55" t="n"/>
      <c r="CQ22" s="55" t="n"/>
      <c r="CR22" s="55" t="n"/>
      <c r="CS22" s="55" t="n"/>
      <c r="CT22" s="55" t="n"/>
      <c r="CU22" s="55" t="n"/>
      <c r="CV22" s="55" t="n"/>
      <c r="CW22" s="55" t="n"/>
      <c r="CX22" s="55" t="n"/>
      <c r="CY22" s="55" t="n"/>
      <c r="CZ22" s="55" t="n"/>
      <c r="DA22" s="55" t="n"/>
      <c r="DB22" s="55" t="n"/>
      <c r="DC22" s="55" t="n"/>
      <c r="DD22" s="55" t="n"/>
      <c r="DE22" s="55" t="n"/>
    </row>
    <row r="23">
      <c r="A23" s="55" t="inlineStr">
        <is>
          <t>issue_362</t>
        </is>
      </c>
      <c r="B23" s="56" t="inlineStr">
        <is>
          <t>NOT_TESTED</t>
        </is>
      </c>
      <c r="C23" s="56" t="inlineStr">
        <is>
          <t>NOT_TESTED</t>
        </is>
      </c>
      <c r="D23" s="56" t="inlineStr">
        <is>
          <t>NOT_TESTED</t>
        </is>
      </c>
      <c r="E23" s="56" t="inlineStr">
        <is>
          <t>NOT_TESTED</t>
        </is>
      </c>
      <c r="F23" s="59" t="inlineStr">
        <is>
          <t>Passed on test</t>
        </is>
      </c>
      <c r="G23" s="59" t="inlineStr">
        <is>
          <t>Passed on test</t>
        </is>
      </c>
      <c r="H23" s="59" t="inlineStr">
        <is>
          <t>Passed on test</t>
        </is>
      </c>
      <c r="I23" s="59" t="inlineStr">
        <is>
          <t>Passed on test</t>
        </is>
      </c>
      <c r="J23" s="59" t="inlineStr">
        <is>
          <t>Passed on test</t>
        </is>
      </c>
      <c r="K23" s="59" t="inlineStr">
        <is>
          <t>Passed on test</t>
        </is>
      </c>
      <c r="L23" s="59" t="inlineStr">
        <is>
          <t>Passed on test</t>
        </is>
      </c>
      <c r="M23" s="59" t="inlineStr">
        <is>
          <t>Passed on test</t>
        </is>
      </c>
      <c r="N23" s="59" t="inlineStr">
        <is>
          <t>Passed on test</t>
        </is>
      </c>
      <c r="O23" s="59" t="inlineStr">
        <is>
          <t>Passed on test</t>
        </is>
      </c>
      <c r="P23" s="59" t="inlineStr">
        <is>
          <t>Passed on test</t>
        </is>
      </c>
      <c r="Q23" s="59" t="inlineStr">
        <is>
          <t>Passed on test</t>
        </is>
      </c>
      <c r="R23" s="59" t="inlineStr">
        <is>
          <t>Passed on test</t>
        </is>
      </c>
      <c r="S23" s="59" t="inlineStr">
        <is>
          <t>Passed on test</t>
        </is>
      </c>
      <c r="T23" s="59" t="inlineStr">
        <is>
          <t>Passed on test</t>
        </is>
      </c>
      <c r="U23" s="59" t="inlineStr">
        <is>
          <t>Passed on test</t>
        </is>
      </c>
      <c r="V23" s="59" t="inlineStr">
        <is>
          <t>Passed on test</t>
        </is>
      </c>
      <c r="W23" s="59" t="inlineStr">
        <is>
          <t>Passed on test</t>
        </is>
      </c>
      <c r="X23" s="59" t="inlineStr">
        <is>
          <t>Passed on test</t>
        </is>
      </c>
      <c r="Y23" s="59" t="inlineStr">
        <is>
          <t>Passed on test</t>
        </is>
      </c>
      <c r="Z23" s="59" t="inlineStr">
        <is>
          <t>Passed on test</t>
        </is>
      </c>
      <c r="AA23" s="59" t="inlineStr">
        <is>
          <t>Passed on test</t>
        </is>
      </c>
      <c r="AB23" s="59" t="inlineStr">
        <is>
          <t>Passed on test</t>
        </is>
      </c>
      <c r="AC23" s="55" t="n"/>
      <c r="AD23" s="55" t="n"/>
      <c r="AE23" s="55" t="n"/>
      <c r="AF23" s="55" t="n"/>
      <c r="AG23" s="55" t="n"/>
      <c r="AH23" s="55" t="n"/>
      <c r="AI23" s="55" t="n"/>
      <c r="AJ23" s="55" t="n"/>
      <c r="AK23" s="55" t="n"/>
      <c r="AL23" s="55" t="n"/>
      <c r="AM23" s="55" t="n"/>
      <c r="AN23" s="55" t="n"/>
      <c r="AO23" s="55" t="n"/>
      <c r="AP23" s="55" t="n"/>
      <c r="AQ23" s="55" t="n"/>
      <c r="AR23" s="55" t="n"/>
      <c r="AS23" s="55" t="n"/>
      <c r="AT23" s="55" t="n"/>
      <c r="AU23" s="55" t="n"/>
      <c r="AV23" s="55" t="n"/>
      <c r="AW23" s="55" t="n"/>
      <c r="AX23" s="55" t="n"/>
      <c r="AY23" s="55" t="n"/>
      <c r="AZ23" s="55" t="n"/>
      <c r="BA23" s="55" t="n"/>
      <c r="BB23" s="55" t="n"/>
      <c r="BC23" s="55" t="n"/>
      <c r="BD23" s="55" t="n"/>
      <c r="BE23" s="55" t="n"/>
      <c r="BF23" s="55" t="n"/>
      <c r="BG23" s="55" t="n"/>
      <c r="BH23" s="55" t="n"/>
      <c r="BI23" s="55" t="n"/>
      <c r="BJ23" s="55" t="n"/>
      <c r="BK23" s="55" t="n"/>
      <c r="BL23" s="55" t="n"/>
      <c r="BM23" s="55" t="n"/>
      <c r="BN23" s="55" t="n"/>
      <c r="BO23" s="55" t="n"/>
      <c r="BP23" s="55" t="n"/>
      <c r="BQ23" s="55" t="n"/>
      <c r="BR23" s="55" t="n"/>
      <c r="BS23" s="55" t="n"/>
      <c r="BT23" s="55" t="n"/>
      <c r="BU23" s="55" t="n"/>
      <c r="BV23" s="55" t="n"/>
      <c r="BW23" s="55" t="n"/>
      <c r="BX23" s="55" t="n"/>
      <c r="BY23" s="55" t="n"/>
      <c r="BZ23" s="55" t="n"/>
      <c r="CA23" s="55" t="n"/>
      <c r="CB23" s="55" t="n"/>
      <c r="CC23" s="55" t="n"/>
      <c r="CD23" s="55" t="n"/>
      <c r="CE23" s="55" t="n"/>
      <c r="CF23" s="55" t="n"/>
      <c r="CG23" s="55" t="n"/>
      <c r="CH23" s="55" t="n"/>
      <c r="CI23" s="55" t="n"/>
      <c r="CJ23" s="55" t="n"/>
      <c r="CK23" s="55" t="n"/>
      <c r="CL23" s="55" t="n"/>
      <c r="CM23" s="55" t="n"/>
      <c r="CN23" s="55" t="n"/>
      <c r="CO23" s="55" t="n"/>
      <c r="CP23" s="55" t="n"/>
      <c r="CQ23" s="55" t="n"/>
      <c r="CR23" s="55" t="n"/>
      <c r="CS23" s="55" t="n"/>
      <c r="CT23" s="55" t="n"/>
      <c r="CU23" s="55" t="n"/>
      <c r="CV23" s="55" t="n"/>
      <c r="CW23" s="55" t="n"/>
      <c r="CX23" s="55" t="n"/>
      <c r="CY23" s="55" t="n"/>
      <c r="CZ23" s="55" t="n"/>
      <c r="DA23" s="55" t="n"/>
      <c r="DB23" s="55" t="n"/>
      <c r="DC23" s="55" t="n"/>
      <c r="DD23" s="55" t="n"/>
      <c r="DE23" s="55" t="n"/>
    </row>
    <row r="24">
      <c r="A24" s="55" t="inlineStr">
        <is>
          <t>issue_369</t>
        </is>
      </c>
      <c r="B24" s="57" t="inlineStr">
        <is>
          <t>Runtime error</t>
        </is>
      </c>
      <c r="C24" s="57" t="inlineStr">
        <is>
          <t>Runtime error</t>
        </is>
      </c>
      <c r="D24" s="57" t="inlineStr">
        <is>
          <t>Runtime error</t>
        </is>
      </c>
      <c r="E24" s="57" t="inlineStr">
        <is>
          <t>Runtime error</t>
        </is>
      </c>
      <c r="F24" s="57" t="inlineStr">
        <is>
          <t>Runtime error</t>
        </is>
      </c>
      <c r="G24" s="57" t="inlineStr">
        <is>
          <t>Runtime error</t>
        </is>
      </c>
      <c r="H24" s="57" t="inlineStr">
        <is>
          <t>Runtime error</t>
        </is>
      </c>
      <c r="I24" s="57" t="inlineStr">
        <is>
          <t>Runtime error</t>
        </is>
      </c>
      <c r="J24" s="57" t="inlineStr">
        <is>
          <t>Runtime error</t>
        </is>
      </c>
      <c r="K24" s="57" t="inlineStr">
        <is>
          <t>Runtime error</t>
        </is>
      </c>
      <c r="L24" s="57" t="inlineStr">
        <is>
          <t>Runtime error</t>
        </is>
      </c>
      <c r="M24" s="57" t="inlineStr">
        <is>
          <t>Runtime error</t>
        </is>
      </c>
      <c r="N24" s="57" t="inlineStr">
        <is>
          <t>Runtime error</t>
        </is>
      </c>
      <c r="O24" s="57" t="inlineStr">
        <is>
          <t>Runtime error</t>
        </is>
      </c>
      <c r="P24" s="57" t="inlineStr">
        <is>
          <t>Runtime error</t>
        </is>
      </c>
      <c r="Q24" s="57" t="inlineStr">
        <is>
          <t>Runtime error</t>
        </is>
      </c>
      <c r="R24" s="57" t="inlineStr">
        <is>
          <t>Runtime error</t>
        </is>
      </c>
      <c r="S24" s="57" t="inlineStr">
        <is>
          <t>Runtime error</t>
        </is>
      </c>
      <c r="T24" s="57" t="inlineStr">
        <is>
          <t>Runtime error</t>
        </is>
      </c>
      <c r="U24" s="57" t="inlineStr">
        <is>
          <t>Runtime error</t>
        </is>
      </c>
      <c r="V24" s="57" t="inlineStr">
        <is>
          <t>Runtime error</t>
        </is>
      </c>
      <c r="W24" s="57" t="inlineStr">
        <is>
          <t>Runtime error</t>
        </is>
      </c>
      <c r="X24" s="57" t="inlineStr">
        <is>
          <t>Runtime error</t>
        </is>
      </c>
      <c r="Y24" s="57" t="inlineStr">
        <is>
          <t>Runtime error</t>
        </is>
      </c>
      <c r="Z24" s="57" t="inlineStr">
        <is>
          <t>Runtime error</t>
        </is>
      </c>
      <c r="AA24" s="57" t="inlineStr">
        <is>
          <t>Runtime error</t>
        </is>
      </c>
      <c r="AB24" s="57" t="inlineStr">
        <is>
          <t>Runtime error</t>
        </is>
      </c>
      <c r="AC24" s="55" t="inlineStr">
        <is>
          <t>CircuitError</t>
        </is>
      </c>
      <c r="AD24" s="55" t="inlineStr">
        <is>
          <t>qiskit.circuit.exceptions.CircuitError: 'The amount of qubit(3)/clbit(0) arguments does not match the gate expectation (4).'</t>
        </is>
      </c>
      <c r="AE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AF24" s="55" t="inlineStr">
        <is>
          <t>CircuitError</t>
        </is>
      </c>
      <c r="AG24" s="55" t="inlineStr">
        <is>
          <t>qiskit.circuit.exceptions.CircuitError: 'The amount of qubit(3)/clbit(0) arguments does not match the gate expectation (4).'</t>
        </is>
      </c>
      <c r="AH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AI24" s="55" t="inlineStr">
        <is>
          <t>CircuitError</t>
        </is>
      </c>
      <c r="AJ24" s="55" t="inlineStr">
        <is>
          <t>qiskit.circuit.exceptions.CircuitError: 'The amount of qubit(3)/clbit(0) arguments does not match the gate expectation (4).'</t>
        </is>
      </c>
      <c r="AK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AL24" s="55" t="inlineStr">
        <is>
          <t>CircuitError</t>
        </is>
      </c>
      <c r="AM24" s="55" t="inlineStr">
        <is>
          <t>qiskit.circuit.exceptions.CircuitError: 'The amount of qubit(3)/clbit(0) arguments does not match the gate expectation (4).'</t>
        </is>
      </c>
      <c r="AN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AO24" s="55" t="inlineStr">
        <is>
          <t>CircuitError</t>
        </is>
      </c>
      <c r="AP24" s="55" t="inlineStr">
        <is>
          <t>qiskit.circuit.exceptions.CircuitError: 'The amount of qubit(3)/clbit(0) arguments does not match the gate expectation (4).'</t>
        </is>
      </c>
      <c r="AQ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AR24" s="55" t="inlineStr">
        <is>
          <t>CircuitError</t>
        </is>
      </c>
      <c r="AS24" s="55" t="inlineStr">
        <is>
          <t>qiskit.circuit.exceptions.CircuitError: 'The amount of qubit(3)/clbit(0) arguments does not match the gate expectation (4).'</t>
        </is>
      </c>
      <c r="AT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AU24" s="55" t="inlineStr">
        <is>
          <t>CircuitError</t>
        </is>
      </c>
      <c r="AV24" s="55" t="inlineStr">
        <is>
          <t>qiskit.circuit.exceptions.CircuitError: 'The amount of qubit(3)/clbit(0) arguments does not match the gate expectation (4).'</t>
        </is>
      </c>
      <c r="AW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AX24" s="55" t="inlineStr">
        <is>
          <t>CircuitError</t>
        </is>
      </c>
      <c r="AY24" s="55" t="inlineStr">
        <is>
          <t>qiskit.circuit.exceptions.CircuitError: 'The amount of qubit(3)/clbit(0) arguments does not match the gate expectation (4).'</t>
        </is>
      </c>
      <c r="AZ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BA24" s="55" t="inlineStr">
        <is>
          <t>CircuitError</t>
        </is>
      </c>
      <c r="BB24" s="55" t="inlineStr">
        <is>
          <t>qiskit.circuit.exceptions.CircuitError: 'The amount of qubit(3)/clbit(0) arguments does not match the gate expectation (4).'</t>
        </is>
      </c>
      <c r="BC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BD24" s="55" t="inlineStr">
        <is>
          <t>CircuitError</t>
        </is>
      </c>
      <c r="BE24" s="55" t="inlineStr">
        <is>
          <t>qiskit.circuit.exceptions.CircuitError: 'The amount of qubit(3)/clbit(0) arguments does not match the gate expectation (4).'</t>
        </is>
      </c>
      <c r="BF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BG24" s="55" t="inlineStr">
        <is>
          <t>CircuitError</t>
        </is>
      </c>
      <c r="BH24" s="55" t="inlineStr">
        <is>
          <t>qiskit.circuit.exceptions.CircuitError: 'The amount of qubit(3)/clbit(0) arguments does not match the gate expectation (4).'</t>
        </is>
      </c>
      <c r="BI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BJ24" s="55" t="inlineStr">
        <is>
          <t>CircuitError</t>
        </is>
      </c>
      <c r="BK24" s="55" t="inlineStr">
        <is>
          <t>qiskit.circuit.exceptions.CircuitError: 'The amount of qubit(3)/clbit(0) arguments does not match the gate expectation (4).'</t>
        </is>
      </c>
      <c r="BL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BM24" s="55" t="inlineStr">
        <is>
          <t>CircuitError</t>
        </is>
      </c>
      <c r="BN24" s="55" t="inlineStr">
        <is>
          <t>qiskit.circuit.exceptions.CircuitError: 'The amount of qubit(3)/clbit(0) arguments does not match the gate expectation (4).'</t>
        </is>
      </c>
      <c r="BO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BP24" s="55" t="inlineStr">
        <is>
          <t>CircuitError</t>
        </is>
      </c>
      <c r="BQ24" s="55" t="inlineStr">
        <is>
          <t>qiskit.circuit.exceptions.CircuitError: 'The amount of qubit(3)/clbit(0) arguments does not match the gate expectation (4).'</t>
        </is>
      </c>
      <c r="BR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BS24" s="55" t="inlineStr">
        <is>
          <t>CircuitError</t>
        </is>
      </c>
      <c r="BT24" s="55" t="inlineStr">
        <is>
          <t>qiskit.circuit.exceptions.CircuitError: 'The amount of qubit(3)/clbit(0) arguments does not match the gate expectation (4).'</t>
        </is>
      </c>
      <c r="BU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BV24" s="55" t="inlineStr">
        <is>
          <t>CircuitError</t>
        </is>
      </c>
      <c r="BW24" s="55" t="inlineStr">
        <is>
          <t>qiskit.circuit.exceptions.CircuitError: 'The amount of qubit(3)/clbit(0) arguments does not match the gate expectation (4).'</t>
        </is>
      </c>
      <c r="BX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BY24" s="55" t="inlineStr">
        <is>
          <t>CircuitError</t>
        </is>
      </c>
      <c r="BZ24" s="55" t="inlineStr">
        <is>
          <t>qiskit.circuit.exceptions.CircuitError: 'The amount of qubit(3)/clbit(0) arguments does not match the gate expectation (4).'</t>
        </is>
      </c>
      <c r="CA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CB24" s="55" t="inlineStr">
        <is>
          <t>CircuitError</t>
        </is>
      </c>
      <c r="CC24" s="55" t="inlineStr">
        <is>
          <t>qiskit.circuit.exceptions.CircuitError: 'The amount of qubit(3)/clbit(0) arguments does not match the gate expectation (4).'</t>
        </is>
      </c>
      <c r="CD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CE24" s="55" t="inlineStr">
        <is>
          <t>CircuitError</t>
        </is>
      </c>
      <c r="CF24" s="55" t="inlineStr">
        <is>
          <t>qiskit.circuit.exceptions.CircuitError: 'The amount of qubit(3)/clbit(0) arguments does not match the gate expectation (4).'</t>
        </is>
      </c>
      <c r="CG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CH24" s="55" t="inlineStr">
        <is>
          <t>CircuitError</t>
        </is>
      </c>
      <c r="CI24" s="55" t="inlineStr">
        <is>
          <t>qiskit.circuit.exceptions.CircuitError: 'The amount of qubit(3)/clbit(0) arguments does not match the gate expectation (4).'</t>
        </is>
      </c>
      <c r="CJ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CK24" s="55" t="inlineStr">
        <is>
          <t>CircuitError</t>
        </is>
      </c>
      <c r="CL24" s="55" t="inlineStr">
        <is>
          <t>qiskit.circuit.exceptions.CircuitError: 'The amount of qubit(3)/clbit(0) arguments does not match the gate expectation (4).'</t>
        </is>
      </c>
      <c r="CM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CN24" s="55" t="inlineStr">
        <is>
          <t>CircuitError</t>
        </is>
      </c>
      <c r="CO24" s="55" t="inlineStr">
        <is>
          <t>qiskit.circuit.exceptions.CircuitError: 'The amount of qubit(3)/clbit(0) arguments does not match the gate expectation (4).'</t>
        </is>
      </c>
      <c r="CP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CQ24" s="55" t="inlineStr">
        <is>
          <t>CircuitError</t>
        </is>
      </c>
      <c r="CR24" s="55" t="inlineStr">
        <is>
          <t>qiskit.circuit.exceptions.CircuitError: 'The amount of qubit(3)/clbit(0) arguments does not match the gate expectation (4).'</t>
        </is>
      </c>
      <c r="CS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CT24" s="55" t="inlineStr">
        <is>
          <t>CircuitError</t>
        </is>
      </c>
      <c r="CU24" s="55" t="inlineStr">
        <is>
          <t>qiskit.circuit.exceptions.CircuitError: 'The amount of qubit(3)/clbit(0) arguments does not match the gate expectation (4).'</t>
        </is>
      </c>
      <c r="CV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CW24" s="55" t="inlineStr">
        <is>
          <t>CircuitError</t>
        </is>
      </c>
      <c r="CX24" s="55" t="inlineStr">
        <is>
          <t>qiskit.circuit.exceptions.CircuitError: 'The amount of qubit(3)/clbit(0) arguments does not match the gate expectation (4).'</t>
        </is>
      </c>
      <c r="CY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CZ24" s="55" t="inlineStr">
        <is>
          <t>CircuitError</t>
        </is>
      </c>
      <c r="DA24" s="55" t="inlineStr">
        <is>
          <t>qiskit.circuit.exceptions.CircuitError: 'The amount of qubit(3)/clbit(0) arguments does not match the gate expectation (4).'</t>
        </is>
      </c>
      <c r="DB24" s="55" t="inlineStr">
        <is>
          <t>The LLM's compose fix (all 17 qubits instead of [i]) matches the reference, but it also invented an extra line, sub.append(C3XGate(), [14, 6, 7]), which gives a 4-qubit gate only 3 qubits, so building the circuit raises CircuitError. With that line removed the fix passes.</t>
        </is>
      </c>
      <c r="DC24" s="55" t="inlineStr">
        <is>
          <t>CircuitError</t>
        </is>
      </c>
      <c r="DD24" s="55" t="inlineStr">
        <is>
          <t>qiskit.circuit.exceptions.CircuitError: 'The amount of qubit(3)/clbit(0) arguments does not match the gate expectation (4).'</t>
        </is>
      </c>
      <c r="DE24" s="55" t="inlineStr">
        <is>
          <t>The LLM's compose fix (all 17 qubits instead of [i]) matches the reference, but it also invented an extra line, sub.append(C3XGate(), [14, 6, 7]), which gives a 4-qubit gate only 3 qubits, so building the circuit raises CircuitError. With that line removed the fix passes.</t>
        </is>
      </c>
    </row>
    <row r="25">
      <c r="A25" s="55" t="inlineStr">
        <is>
          <t>issue_396</t>
        </is>
      </c>
      <c r="B25" s="59" t="inlineStr">
        <is>
          <t>Passed on test</t>
        </is>
      </c>
      <c r="C25" s="59" t="inlineStr">
        <is>
          <t>Passed on test</t>
        </is>
      </c>
      <c r="D25" s="59" t="inlineStr">
        <is>
          <t>Passed on test</t>
        </is>
      </c>
      <c r="E25" s="59" t="inlineStr">
        <is>
          <t>Passed on test</t>
        </is>
      </c>
      <c r="F25" s="59" t="inlineStr">
        <is>
          <t>Passed on test</t>
        </is>
      </c>
      <c r="G25" s="59" t="inlineStr">
        <is>
          <t>Passed on test</t>
        </is>
      </c>
      <c r="H25" s="59" t="inlineStr">
        <is>
          <t>Passed on test</t>
        </is>
      </c>
      <c r="I25" s="59" t="inlineStr">
        <is>
          <t>Passed on test</t>
        </is>
      </c>
      <c r="J25" s="59" t="inlineStr">
        <is>
          <t>Passed on test</t>
        </is>
      </c>
      <c r="K25" s="59" t="inlineStr">
        <is>
          <t>Passed on test</t>
        </is>
      </c>
      <c r="L25" s="59" t="inlineStr">
        <is>
          <t>Passed on test</t>
        </is>
      </c>
      <c r="M25" s="59" t="inlineStr">
        <is>
          <t>Passed on test</t>
        </is>
      </c>
      <c r="N25" s="57" t="inlineStr">
        <is>
          <t>Runtime error</t>
        </is>
      </c>
      <c r="O25" s="57" t="inlineStr">
        <is>
          <t>Runtime error</t>
        </is>
      </c>
      <c r="P25" s="57" t="inlineStr">
        <is>
          <t>Runtime error</t>
        </is>
      </c>
      <c r="Q25" s="57" t="inlineStr">
        <is>
          <t>Runtime error</t>
        </is>
      </c>
      <c r="R25" s="57" t="inlineStr">
        <is>
          <t>Runtime error</t>
        </is>
      </c>
      <c r="S25" s="57" t="inlineStr">
        <is>
          <t>Runtime error</t>
        </is>
      </c>
      <c r="T25" s="57" t="inlineStr">
        <is>
          <t>Runtime error</t>
        </is>
      </c>
      <c r="U25" s="57" t="inlineStr">
        <is>
          <t>Runtime error</t>
        </is>
      </c>
      <c r="V25" s="57" t="inlineStr">
        <is>
          <t>Runtime error</t>
        </is>
      </c>
      <c r="W25" s="57" t="inlineStr">
        <is>
          <t>Runtime error</t>
        </is>
      </c>
      <c r="X25" s="57" t="inlineStr">
        <is>
          <t>Runtime error</t>
        </is>
      </c>
      <c r="Y25" s="57" t="inlineStr">
        <is>
          <t>Runtime error</t>
        </is>
      </c>
      <c r="Z25" s="57" t="inlineStr">
        <is>
          <t>Runtime error</t>
        </is>
      </c>
      <c r="AA25" s="57" t="inlineStr">
        <is>
          <t>Runtime error</t>
        </is>
      </c>
      <c r="AB25" s="57" t="inlineStr">
        <is>
          <t>Runtime error</t>
        </is>
      </c>
      <c r="AC25" s="55" t="n"/>
      <c r="AD25" s="55" t="n"/>
      <c r="AE25" s="55" t="n"/>
      <c r="AF25" s="55" t="n"/>
      <c r="AG25" s="55" t="n"/>
      <c r="AH25" s="55" t="n"/>
      <c r="AI25" s="55" t="n"/>
      <c r="AJ25" s="55" t="n"/>
      <c r="AK25" s="55" t="n"/>
      <c r="AL25" s="55" t="n"/>
      <c r="AM25" s="55" t="n"/>
      <c r="AN25" s="55" t="n"/>
      <c r="AO25" s="55" t="n"/>
      <c r="AP25" s="55" t="n"/>
      <c r="AQ25" s="55" t="n"/>
      <c r="AR25" s="55" t="n"/>
      <c r="AS25" s="55" t="n"/>
      <c r="AT25" s="55" t="n"/>
      <c r="AU25" s="55" t="n"/>
      <c r="AV25" s="55" t="n"/>
      <c r="AW25" s="55" t="n"/>
      <c r="AX25" s="55" t="n"/>
      <c r="AY25" s="55" t="n"/>
      <c r="AZ25" s="55" t="n"/>
      <c r="BA25" s="55" t="n"/>
      <c r="BB25" s="55" t="n"/>
      <c r="BC25" s="55" t="n"/>
      <c r="BD25" s="55" t="n"/>
      <c r="BE25" s="55" t="n"/>
      <c r="BF25" s="55" t="n"/>
      <c r="BG25" s="55" t="n"/>
      <c r="BH25" s="55" t="n"/>
      <c r="BI25" s="55" t="n"/>
      <c r="BJ25" s="55" t="n"/>
      <c r="BK25" s="55" t="n"/>
      <c r="BL25" s="55" t="n"/>
      <c r="BM25" s="55" t="inlineStr">
        <is>
          <t>AttributeError</t>
        </is>
      </c>
      <c r="BN25" s="55" t="inlineStr">
        <is>
          <t>AttributeError: 'QuantumCircuit' object has no attribute 'diagonal'</t>
        </is>
      </c>
      <c r="BO25" s="55" t="inlineStr">
        <is>
          <t>The LLM built the oracle with QuantumCircuit.diagonal(), which was removed in Qiskit 1.0, so the script crashes with AttributeError on 1.x and 2.x.</t>
        </is>
      </c>
      <c r="BP25" s="55" t="inlineStr">
        <is>
          <t>AttributeError</t>
        </is>
      </c>
      <c r="BQ25" s="55" t="inlineStr">
        <is>
          <t>AttributeError: 'QuantumCircuit' object has no attribute 'diagonal'</t>
        </is>
      </c>
      <c r="BR25" s="55" t="inlineStr">
        <is>
          <t>The LLM built the oracle with QuantumCircuit.diagonal(), which was removed in Qiskit 1.0, so the script crashes with AttributeError on 1.x and 2.x.</t>
        </is>
      </c>
      <c r="BS25" s="55" t="inlineStr">
        <is>
          <t>AttributeError</t>
        </is>
      </c>
      <c r="BT25" s="55" t="inlineStr">
        <is>
          <t>AttributeError: 'QuantumCircuit' object has no attribute 'diagonal'</t>
        </is>
      </c>
      <c r="BU25" s="55" t="inlineStr">
        <is>
          <t>The LLM built the oracle with QuantumCircuit.diagonal(), which was removed in Qiskit 1.0, so the script crashes with AttributeError on 1.x and 2.x.</t>
        </is>
      </c>
      <c r="BV25" s="55" t="inlineStr">
        <is>
          <t>AttributeError</t>
        </is>
      </c>
      <c r="BW25" s="55" t="inlineStr">
        <is>
          <t>AttributeError: 'QuantumCircuit' object has no attribute 'diagonal'</t>
        </is>
      </c>
      <c r="BX25" s="55" t="inlineStr">
        <is>
          <t>The LLM built the oracle with QuantumCircuit.diagonal(), which was removed in Qiskit 1.0, so the script crashes with AttributeError on 1.x and 2.x.</t>
        </is>
      </c>
      <c r="BY25" s="55" t="inlineStr">
        <is>
          <t>AttributeError</t>
        </is>
      </c>
      <c r="BZ25" s="55" t="inlineStr">
        <is>
          <t>AttributeError: 'QuantumCircuit' object has no attribute 'diagonal'</t>
        </is>
      </c>
      <c r="CA25" s="55" t="inlineStr">
        <is>
          <t>The LLM built the oracle with QuantumCircuit.diagonal(), which was removed in Qiskit 1.0, so the script crashes with AttributeError on 1.x and 2.x.</t>
        </is>
      </c>
      <c r="CB25" s="55" t="inlineStr">
        <is>
          <t>AttributeError</t>
        </is>
      </c>
      <c r="CC25" s="55" t="inlineStr">
        <is>
          <t>AttributeError: 'QuantumCircuit' object has no attribute 'diagonal'</t>
        </is>
      </c>
      <c r="CD25" s="55" t="inlineStr">
        <is>
          <t>The LLM built the oracle with QuantumCircuit.diagonal(), which was removed in Qiskit 1.0, so the script crashes with AttributeError on 1.x and 2.x.</t>
        </is>
      </c>
      <c r="CE25" s="55" t="inlineStr">
        <is>
          <t>AttributeError</t>
        </is>
      </c>
      <c r="CF25" s="55" t="inlineStr">
        <is>
          <t>AttributeError: 'QuantumCircuit' object has no attribute 'diagonal'</t>
        </is>
      </c>
      <c r="CG25" s="55" t="inlineStr">
        <is>
          <t>The LLM built the oracle with QuantumCircuit.diagonal(), which was removed in Qiskit 1.0, so the script crashes with AttributeError on 1.x and 2.x.</t>
        </is>
      </c>
      <c r="CH25" s="55" t="inlineStr">
        <is>
          <t>AttributeError</t>
        </is>
      </c>
      <c r="CI25" s="55" t="inlineStr">
        <is>
          <t>AttributeError: 'QuantumCircuit' object has no attribute 'diagonal'</t>
        </is>
      </c>
      <c r="CJ25" s="55" t="inlineStr">
        <is>
          <t>The LLM built the oracle with QuantumCircuit.diagonal(), which was removed in Qiskit 1.0, so the script crashes with AttributeError on 1.x and 2.x.</t>
        </is>
      </c>
      <c r="CK25" s="55" t="inlineStr">
        <is>
          <t>AttributeError</t>
        </is>
      </c>
      <c r="CL25" s="55" t="inlineStr">
        <is>
          <t>AttributeError: 'QuantumCircuit' object has no attribute 'diagonal'</t>
        </is>
      </c>
      <c r="CM25" s="55" t="inlineStr">
        <is>
          <t>The LLM built the oracle with QuantumCircuit.diagonal(), which was removed in Qiskit 1.0, so the script crashes with AttributeError on 1.x and 2.x.</t>
        </is>
      </c>
      <c r="CN25" s="55" t="inlineStr">
        <is>
          <t>AttributeError</t>
        </is>
      </c>
      <c r="CO25" s="55" t="inlineStr">
        <is>
          <t>AttributeError: 'QuantumCircuit' object has no attribute 'diagonal'</t>
        </is>
      </c>
      <c r="CP25" s="55" t="inlineStr">
        <is>
          <t>The LLM built the oracle with QuantumCircuit.diagonal(), which was removed in Qiskit 1.0, so the script crashes with AttributeError on 1.x and 2.x.</t>
        </is>
      </c>
      <c r="CQ25" s="55" t="inlineStr">
        <is>
          <t>AttributeError</t>
        </is>
      </c>
      <c r="CR25" s="55" t="inlineStr">
        <is>
          <t>AttributeError: 'QuantumCircuit' object has no attribute 'diagonal'</t>
        </is>
      </c>
      <c r="CS25" s="55" t="inlineStr">
        <is>
          <t>The LLM built the oracle with QuantumCircuit.diagonal(), which was removed in Qiskit 1.0, so the script crashes with AttributeError on 1.x and 2.x.</t>
        </is>
      </c>
      <c r="CT25" s="55" t="inlineStr">
        <is>
          <t>AttributeError</t>
        </is>
      </c>
      <c r="CU25" s="55" t="inlineStr">
        <is>
          <t>AttributeError: 'QuantumCircuit' object has no attribute 'diagonal'</t>
        </is>
      </c>
      <c r="CV25" s="55" t="inlineStr">
        <is>
          <t>The LLM built the oracle with QuantumCircuit.diagonal(), which was removed in Qiskit 1.0, so the script crashes with AttributeError on 1.x and 2.x.</t>
        </is>
      </c>
      <c r="CW25" s="55" t="inlineStr">
        <is>
          <t>AttributeError</t>
        </is>
      </c>
      <c r="CX25" s="55" t="inlineStr">
        <is>
          <t>AttributeError: 'QuantumCircuit' object has no attribute 'diagonal'</t>
        </is>
      </c>
      <c r="CY25" s="55" t="inlineStr">
        <is>
          <t>The LLM built the oracle with QuantumCircuit.diagonal(), which was removed in Qiskit 1.0, so the script crashes with AttributeError on 1.x and 2.x.</t>
        </is>
      </c>
      <c r="CZ25" s="55" t="inlineStr">
        <is>
          <t>AttributeError</t>
        </is>
      </c>
      <c r="DA25" s="55" t="inlineStr">
        <is>
          <t>AttributeError: 'QuantumCircuit' object has no attribute 'diagonal'</t>
        </is>
      </c>
      <c r="DB25" s="55" t="inlineStr">
        <is>
          <t>The LLM built the oracle with QuantumCircuit.diagonal(), which was removed in Qiskit 1.0, so the script crashes with AttributeError on 1.x and 2.x.</t>
        </is>
      </c>
      <c r="DC25" s="55" t="inlineStr">
        <is>
          <t>AttributeError</t>
        </is>
      </c>
      <c r="DD25" s="55" t="inlineStr">
        <is>
          <t>AttributeError: 'QuantumCircuit' object has no attribute 'diagonal'</t>
        </is>
      </c>
      <c r="DE25" s="55" t="inlineStr">
        <is>
          <t>The LLM built the oracle with QuantumCircuit.diagonal(), which was removed in Qiskit 1.0, so the script crashes with AttributeError on 1.x and 2.x.</t>
        </is>
      </c>
    </row>
    <row r="26">
      <c r="A26" s="55" t="inlineStr">
        <is>
          <t>issue_415</t>
        </is>
      </c>
      <c r="B26" s="58" t="inlineStr">
        <is>
          <t>Failed on test</t>
        </is>
      </c>
      <c r="C26" s="58" t="inlineStr">
        <is>
          <t>Failed on test</t>
        </is>
      </c>
      <c r="D26" s="58" t="inlineStr">
        <is>
          <t>Failed on test</t>
        </is>
      </c>
      <c r="E26" s="58" t="inlineStr">
        <is>
          <t>Failed on test</t>
        </is>
      </c>
      <c r="F26" s="56" t="inlineStr">
        <is>
          <t>NOT_TESTED</t>
        </is>
      </c>
      <c r="G26" s="56" t="inlineStr">
        <is>
          <t>NOT_TESTED</t>
        </is>
      </c>
      <c r="H26" s="56" t="inlineStr">
        <is>
          <t>NOT_TESTED</t>
        </is>
      </c>
      <c r="I26" s="56" t="inlineStr">
        <is>
          <t>NOT_TESTED</t>
        </is>
      </c>
      <c r="J26" s="56" t="inlineStr">
        <is>
          <t>NOT_TESTED</t>
        </is>
      </c>
      <c r="K26" s="56" t="inlineStr">
        <is>
          <t>NOT_TESTED</t>
        </is>
      </c>
      <c r="L26" s="56" t="inlineStr">
        <is>
          <t>NOT_TESTED</t>
        </is>
      </c>
      <c r="M26" s="56" t="inlineStr">
        <is>
          <t>NOT_TESTED</t>
        </is>
      </c>
      <c r="N26" s="56" t="inlineStr">
        <is>
          <t>NOT_TESTED</t>
        </is>
      </c>
      <c r="O26" s="56" t="inlineStr">
        <is>
          <t>NOT_TESTED</t>
        </is>
      </c>
      <c r="P26" s="56" t="inlineStr">
        <is>
          <t>NOT_TESTED</t>
        </is>
      </c>
      <c r="Q26" s="56" t="inlineStr">
        <is>
          <t>NOT_TESTED</t>
        </is>
      </c>
      <c r="R26" s="56" t="inlineStr">
        <is>
          <t>NOT_TESTED</t>
        </is>
      </c>
      <c r="S26" s="56" t="inlineStr">
        <is>
          <t>NOT_TESTED</t>
        </is>
      </c>
      <c r="T26" s="56" t="inlineStr">
        <is>
          <t>NOT_TESTED</t>
        </is>
      </c>
      <c r="U26" s="56" t="inlineStr">
        <is>
          <t>NOT_TESTED</t>
        </is>
      </c>
      <c r="V26" s="56" t="inlineStr">
        <is>
          <t>NOT_TESTED</t>
        </is>
      </c>
      <c r="W26" s="56" t="inlineStr">
        <is>
          <t>NOT_TESTED</t>
        </is>
      </c>
      <c r="X26" s="56" t="inlineStr">
        <is>
          <t>NOT_TESTED</t>
        </is>
      </c>
      <c r="Y26" s="56" t="inlineStr">
        <is>
          <t>NOT_TESTED</t>
        </is>
      </c>
      <c r="Z26" s="56" t="inlineStr">
        <is>
          <t>NOT_TESTED</t>
        </is>
      </c>
      <c r="AA26" s="56" t="inlineStr">
        <is>
          <t>NOT_TESTED</t>
        </is>
      </c>
      <c r="AB26" s="56" t="inlineStr">
        <is>
          <t>NOT_TESTED</t>
        </is>
      </c>
      <c r="AC26" s="55" t="inlineStr">
        <is>
          <t>AssertionError</t>
        </is>
      </c>
      <c r="AD26" s="55" t="inlineStr">
        <is>
          <t>AssertionError: Not equal to tolerance rtol=1e-07, atol=1e-12</t>
        </is>
      </c>
      <c r="AE26" s="55" t="inlineStr">
        <is>
          <t>The LLM made theta real correctly but computed phi from the |1&gt; amplitude alone (phi = -pi/2), ignoring the pi/4 phase of the |0&gt; amplitude; the relative phase should be 5*pi/4, so the circuit prepares the wrong state (the global_phase line it added cannot fix a relative phase).</t>
        </is>
      </c>
      <c r="AF26" s="55" t="inlineStr">
        <is>
          <t>AssertionError</t>
        </is>
      </c>
      <c r="AG26" s="55" t="inlineStr">
        <is>
          <t>AssertionError: Not equal to tolerance rtol=1e-07, atol=1e-12</t>
        </is>
      </c>
      <c r="AH26" s="55" t="inlineStr">
        <is>
          <t>The LLM made theta real correctly but computed phi from the |1&gt; amplitude alone (phi = -pi/2), ignoring the pi/4 phase of the |0&gt; amplitude; the relative phase should be 5*pi/4, so the circuit prepares the wrong state (the global_phase line it added cannot fix a relative phase).</t>
        </is>
      </c>
      <c r="AI26" s="55" t="inlineStr">
        <is>
          <t>AssertionError</t>
        </is>
      </c>
      <c r="AJ26" s="55" t="inlineStr">
        <is>
          <t>AssertionError: Not equal to tolerance rtol=1e-07, atol=1e-12</t>
        </is>
      </c>
      <c r="AK26" s="55" t="inlineStr">
        <is>
          <t>The LLM made theta real correctly but computed phi from the |1&gt; amplitude alone (phi = -pi/2), ignoring the pi/4 phase of the |0&gt; amplitude; the relative phase should be 5*pi/4, so the circuit prepares the wrong state (the global_phase line it added cannot fix a relative phase).</t>
        </is>
      </c>
      <c r="AL26" s="55" t="inlineStr">
        <is>
          <t>AssertionError</t>
        </is>
      </c>
      <c r="AM26" s="55" t="inlineStr">
        <is>
          <t>AssertionError: Not equal to tolerance rtol=1e-07, atol=1e-12</t>
        </is>
      </c>
      <c r="AN26" s="55" t="inlineStr">
        <is>
          <t>The LLM made theta real correctly but computed phi from the |1&gt; amplitude alone (phi = -pi/2), ignoring the pi/4 phase of the |0&gt; amplitude; the relative phase should be 5*pi/4, so the circuit prepares the wrong state (the global_phase line it added cannot fix a relative phase).</t>
        </is>
      </c>
      <c r="AO26" s="55" t="n"/>
      <c r="AP26" s="55" t="n"/>
      <c r="AQ26" s="55" t="n"/>
      <c r="AR26" s="55" t="n"/>
      <c r="AS26" s="55" t="n"/>
      <c r="AT26" s="55" t="n"/>
      <c r="AU26" s="55" t="n"/>
      <c r="AV26" s="55" t="n"/>
      <c r="AW26" s="55" t="n"/>
      <c r="AX26" s="55" t="n"/>
      <c r="AY26" s="55" t="n"/>
      <c r="AZ26" s="55" t="n"/>
      <c r="BA26" s="55" t="n"/>
      <c r="BB26" s="55" t="n"/>
      <c r="BC26" s="55" t="n"/>
      <c r="BD26" s="55" t="n"/>
      <c r="BE26" s="55" t="n"/>
      <c r="BF26" s="55" t="n"/>
      <c r="BG26" s="55" t="n"/>
      <c r="BH26" s="55" t="n"/>
      <c r="BI26" s="55" t="n"/>
      <c r="BJ26" s="55" t="n"/>
      <c r="BK26" s="55" t="n"/>
      <c r="BL26" s="55" t="n"/>
      <c r="BM26" s="55" t="n"/>
      <c r="BN26" s="55" t="n"/>
      <c r="BO26" s="55" t="n"/>
      <c r="BP26" s="55" t="n"/>
      <c r="BQ26" s="55" t="n"/>
      <c r="BR26" s="55" t="n"/>
      <c r="BS26" s="55" t="n"/>
      <c r="BT26" s="55" t="n"/>
      <c r="BU26" s="55" t="n"/>
      <c r="BV26" s="55" t="n"/>
      <c r="BW26" s="55" t="n"/>
      <c r="BX26" s="55" t="n"/>
      <c r="BY26" s="55" t="n"/>
      <c r="BZ26" s="55" t="n"/>
      <c r="CA26" s="55" t="n"/>
      <c r="CB26" s="55" t="n"/>
      <c r="CC26" s="55" t="n"/>
      <c r="CD26" s="55" t="n"/>
      <c r="CE26" s="55" t="n"/>
      <c r="CF26" s="55" t="n"/>
      <c r="CG26" s="55" t="n"/>
      <c r="CH26" s="55" t="n"/>
      <c r="CI26" s="55" t="n"/>
      <c r="CJ26" s="55" t="n"/>
      <c r="CK26" s="55" t="n"/>
      <c r="CL26" s="55" t="n"/>
      <c r="CM26" s="55" t="n"/>
      <c r="CN26" s="55" t="n"/>
      <c r="CO26" s="55" t="n"/>
      <c r="CP26" s="55" t="n"/>
      <c r="CQ26" s="55" t="n"/>
      <c r="CR26" s="55" t="n"/>
      <c r="CS26" s="55" t="n"/>
      <c r="CT26" s="55" t="n"/>
      <c r="CU26" s="55" t="n"/>
      <c r="CV26" s="55" t="n"/>
      <c r="CW26" s="55" t="n"/>
      <c r="CX26" s="55" t="n"/>
      <c r="CY26" s="55" t="n"/>
      <c r="CZ26" s="55" t="n"/>
      <c r="DA26" s="55" t="n"/>
      <c r="DB26" s="55" t="n"/>
      <c r="DC26" s="55" t="n"/>
      <c r="DD26" s="55" t="n"/>
      <c r="DE26" s="55" t="n"/>
    </row>
    <row r="27">
      <c r="A27" s="55" t="inlineStr">
        <is>
          <t>issue_436</t>
        </is>
      </c>
      <c r="B27" s="59" t="inlineStr">
        <is>
          <t>Passed on test</t>
        </is>
      </c>
      <c r="C27" s="59" t="inlineStr">
        <is>
          <t>Passed on test</t>
        </is>
      </c>
      <c r="D27" s="59" t="inlineStr">
        <is>
          <t>Passed on test</t>
        </is>
      </c>
      <c r="E27" s="59" t="inlineStr">
        <is>
          <t>Passed on test</t>
        </is>
      </c>
      <c r="F27" s="56" t="inlineStr">
        <is>
          <t>NOT_TESTED</t>
        </is>
      </c>
      <c r="G27" s="56" t="inlineStr">
        <is>
          <t>NOT_TESTED</t>
        </is>
      </c>
      <c r="H27" s="56" t="inlineStr">
        <is>
          <t>NOT_TESTED</t>
        </is>
      </c>
      <c r="I27" s="56" t="inlineStr">
        <is>
          <t>NOT_TESTED</t>
        </is>
      </c>
      <c r="J27" s="56" t="inlineStr">
        <is>
          <t>NOT_TESTED</t>
        </is>
      </c>
      <c r="K27" s="56" t="inlineStr">
        <is>
          <t>NOT_TESTED</t>
        </is>
      </c>
      <c r="L27" s="56" t="inlineStr">
        <is>
          <t>NOT_TESTED</t>
        </is>
      </c>
      <c r="M27" s="56" t="inlineStr">
        <is>
          <t>NOT_TESTED</t>
        </is>
      </c>
      <c r="N27" s="56" t="inlineStr">
        <is>
          <t>NOT_TESTED</t>
        </is>
      </c>
      <c r="O27" s="56" t="inlineStr">
        <is>
          <t>NOT_TESTED</t>
        </is>
      </c>
      <c r="P27" s="56" t="inlineStr">
        <is>
          <t>NOT_TESTED</t>
        </is>
      </c>
      <c r="Q27" s="56" t="inlineStr">
        <is>
          <t>NOT_TESTED</t>
        </is>
      </c>
      <c r="R27" s="56" t="inlineStr">
        <is>
          <t>NOT_TESTED</t>
        </is>
      </c>
      <c r="S27" s="56" t="inlineStr">
        <is>
          <t>NOT_TESTED</t>
        </is>
      </c>
      <c r="T27" s="56" t="inlineStr">
        <is>
          <t>NOT_TESTED</t>
        </is>
      </c>
      <c r="U27" s="56" t="inlineStr">
        <is>
          <t>NOT_TESTED</t>
        </is>
      </c>
      <c r="V27" s="56" t="inlineStr">
        <is>
          <t>NOT_TESTED</t>
        </is>
      </c>
      <c r="W27" s="56" t="inlineStr">
        <is>
          <t>NOT_TESTED</t>
        </is>
      </c>
      <c r="X27" s="56" t="inlineStr">
        <is>
          <t>NOT_TESTED</t>
        </is>
      </c>
      <c r="Y27" s="56" t="inlineStr">
        <is>
          <t>NOT_TESTED</t>
        </is>
      </c>
      <c r="Z27" s="56" t="inlineStr">
        <is>
          <t>NOT_TESTED</t>
        </is>
      </c>
      <c r="AA27" s="56" t="inlineStr">
        <is>
          <t>NOT_TESTED</t>
        </is>
      </c>
      <c r="AB27" s="56" t="inlineStr">
        <is>
          <t>NOT_TESTED</t>
        </is>
      </c>
      <c r="AC27" s="55" t="n"/>
      <c r="AD27" s="55" t="n"/>
      <c r="AE27" s="55" t="n"/>
      <c r="AF27" s="55" t="n"/>
      <c r="AG27" s="55" t="n"/>
      <c r="AH27" s="55" t="n"/>
      <c r="AI27" s="55" t="n"/>
      <c r="AJ27" s="55" t="n"/>
      <c r="AK27" s="55" t="n"/>
      <c r="AL27" s="55" t="n"/>
      <c r="AM27" s="55" t="n"/>
      <c r="AN27" s="55" t="n"/>
      <c r="AO27" s="55" t="n"/>
      <c r="AP27" s="55" t="n"/>
      <c r="AQ27" s="55" t="n"/>
      <c r="AR27" s="55" t="n"/>
      <c r="AS27" s="55" t="n"/>
      <c r="AT27" s="55" t="n"/>
      <c r="AU27" s="55" t="n"/>
      <c r="AV27" s="55" t="n"/>
      <c r="AW27" s="55" t="n"/>
      <c r="AX27" s="55" t="n"/>
      <c r="AY27" s="55" t="n"/>
      <c r="AZ27" s="55" t="n"/>
      <c r="BA27" s="55" t="n"/>
      <c r="BB27" s="55" t="n"/>
      <c r="BC27" s="55" t="n"/>
      <c r="BD27" s="55" t="n"/>
      <c r="BE27" s="55" t="n"/>
      <c r="BF27" s="55" t="n"/>
      <c r="BG27" s="55" t="n"/>
      <c r="BH27" s="55" t="n"/>
      <c r="BI27" s="55" t="n"/>
      <c r="BJ27" s="55" t="n"/>
      <c r="BK27" s="55" t="n"/>
      <c r="BL27" s="55" t="n"/>
      <c r="BM27" s="55" t="n"/>
      <c r="BN27" s="55" t="n"/>
      <c r="BO27" s="55" t="n"/>
      <c r="BP27" s="55" t="n"/>
      <c r="BQ27" s="55" t="n"/>
      <c r="BR27" s="55" t="n"/>
      <c r="BS27" s="55" t="n"/>
      <c r="BT27" s="55" t="n"/>
      <c r="BU27" s="55" t="n"/>
      <c r="BV27" s="55" t="n"/>
      <c r="BW27" s="55" t="n"/>
      <c r="BX27" s="55" t="n"/>
      <c r="BY27" s="55" t="n"/>
      <c r="BZ27" s="55" t="n"/>
      <c r="CA27" s="55" t="n"/>
      <c r="CB27" s="55" t="n"/>
      <c r="CC27" s="55" t="n"/>
      <c r="CD27" s="55" t="n"/>
      <c r="CE27" s="55" t="n"/>
      <c r="CF27" s="55" t="n"/>
      <c r="CG27" s="55" t="n"/>
      <c r="CH27" s="55" t="n"/>
      <c r="CI27" s="55" t="n"/>
      <c r="CJ27" s="55" t="n"/>
      <c r="CK27" s="55" t="n"/>
      <c r="CL27" s="55" t="n"/>
      <c r="CM27" s="55" t="n"/>
      <c r="CN27" s="55" t="n"/>
      <c r="CO27" s="55" t="n"/>
      <c r="CP27" s="55" t="n"/>
      <c r="CQ27" s="55" t="n"/>
      <c r="CR27" s="55" t="n"/>
      <c r="CS27" s="55" t="n"/>
      <c r="CT27" s="55" t="n"/>
      <c r="CU27" s="55" t="n"/>
      <c r="CV27" s="55" t="n"/>
      <c r="CW27" s="55" t="n"/>
      <c r="CX27" s="55" t="n"/>
      <c r="CY27" s="55" t="n"/>
      <c r="CZ27" s="55" t="n"/>
      <c r="DA27" s="55" t="n"/>
      <c r="DB27" s="55" t="n"/>
      <c r="DC27" s="55" t="n"/>
      <c r="DD27" s="55" t="n"/>
      <c r="DE27" s="55" t="n"/>
    </row>
    <row r="28">
      <c r="A28" s="55" t="inlineStr">
        <is>
          <t>issue_443</t>
        </is>
      </c>
      <c r="B28" s="59" t="inlineStr">
        <is>
          <t>Passed on test</t>
        </is>
      </c>
      <c r="C28" s="59" t="inlineStr">
        <is>
          <t>Passed on test</t>
        </is>
      </c>
      <c r="D28" s="59" t="inlineStr">
        <is>
          <t>Passed on test</t>
        </is>
      </c>
      <c r="E28" s="59" t="inlineStr">
        <is>
          <t>Passed on test</t>
        </is>
      </c>
      <c r="F28" s="59" t="inlineStr">
        <is>
          <t>Passed on test</t>
        </is>
      </c>
      <c r="G28" s="59" t="inlineStr">
        <is>
          <t>Passed on test</t>
        </is>
      </c>
      <c r="H28" s="59" t="inlineStr">
        <is>
          <t>Passed on test</t>
        </is>
      </c>
      <c r="I28" s="59" t="inlineStr">
        <is>
          <t>Passed on test</t>
        </is>
      </c>
      <c r="J28" s="59" t="inlineStr">
        <is>
          <t>Passed on test</t>
        </is>
      </c>
      <c r="K28" s="59" t="inlineStr">
        <is>
          <t>Passed on test</t>
        </is>
      </c>
      <c r="L28" s="59" t="inlineStr">
        <is>
          <t>Passed on test</t>
        </is>
      </c>
      <c r="M28" s="59" t="inlineStr">
        <is>
          <t>Passed on test</t>
        </is>
      </c>
      <c r="N28" s="59" t="inlineStr">
        <is>
          <t>Passed on test</t>
        </is>
      </c>
      <c r="O28" s="59" t="inlineStr">
        <is>
          <t>Passed on test</t>
        </is>
      </c>
      <c r="P28" s="59" t="inlineStr">
        <is>
          <t>Passed on test</t>
        </is>
      </c>
      <c r="Q28" s="59" t="inlineStr">
        <is>
          <t>Passed on test</t>
        </is>
      </c>
      <c r="R28" s="59" t="inlineStr">
        <is>
          <t>Passed on test</t>
        </is>
      </c>
      <c r="S28" s="59" t="inlineStr">
        <is>
          <t>Passed on test</t>
        </is>
      </c>
      <c r="T28" s="59" t="inlineStr">
        <is>
          <t>Passed on test</t>
        </is>
      </c>
      <c r="U28" s="59" t="inlineStr">
        <is>
          <t>Passed on test</t>
        </is>
      </c>
      <c r="V28" s="59" t="inlineStr">
        <is>
          <t>Passed on test</t>
        </is>
      </c>
      <c r="W28" s="59" t="inlineStr">
        <is>
          <t>Passed on test</t>
        </is>
      </c>
      <c r="X28" s="59" t="inlineStr">
        <is>
          <t>Passed on test</t>
        </is>
      </c>
      <c r="Y28" s="59" t="inlineStr">
        <is>
          <t>Passed on test</t>
        </is>
      </c>
      <c r="Z28" s="59" t="inlineStr">
        <is>
          <t>Passed on test</t>
        </is>
      </c>
      <c r="AA28" s="59" t="inlineStr">
        <is>
          <t>Passed on test</t>
        </is>
      </c>
      <c r="AB28" s="59" t="inlineStr">
        <is>
          <t>Passed on test</t>
        </is>
      </c>
      <c r="AC28" s="55" t="n"/>
      <c r="AD28" s="55" t="n"/>
      <c r="AE28" s="55" t="n"/>
      <c r="AF28" s="55" t="n"/>
      <c r="AG28" s="55" t="n"/>
      <c r="AH28" s="55" t="n"/>
      <c r="AI28" s="55" t="n"/>
      <c r="AJ28" s="55" t="n"/>
      <c r="AK28" s="55" t="n"/>
      <c r="AL28" s="55" t="n"/>
      <c r="AM28" s="55" t="n"/>
      <c r="AN28" s="55" t="n"/>
      <c r="AO28" s="55" t="n"/>
      <c r="AP28" s="55" t="n"/>
      <c r="AQ28" s="55" t="n"/>
      <c r="AR28" s="55" t="n"/>
      <c r="AS28" s="55" t="n"/>
      <c r="AT28" s="55" t="n"/>
      <c r="AU28" s="55" t="n"/>
      <c r="AV28" s="55" t="n"/>
      <c r="AW28" s="55" t="n"/>
      <c r="AX28" s="55" t="n"/>
      <c r="AY28" s="55" t="n"/>
      <c r="AZ28" s="55" t="n"/>
      <c r="BA28" s="55" t="n"/>
      <c r="BB28" s="55" t="n"/>
      <c r="BC28" s="55" t="n"/>
      <c r="BD28" s="55" t="n"/>
      <c r="BE28" s="55" t="n"/>
      <c r="BF28" s="55" t="n"/>
      <c r="BG28" s="55" t="n"/>
      <c r="BH28" s="55" t="n"/>
      <c r="BI28" s="55" t="n"/>
      <c r="BJ28" s="55" t="n"/>
      <c r="BK28" s="55" t="n"/>
      <c r="BL28" s="55" t="n"/>
      <c r="BM28" s="55" t="n"/>
      <c r="BN28" s="55" t="n"/>
      <c r="BO28" s="55" t="n"/>
      <c r="BP28" s="55" t="n"/>
      <c r="BQ28" s="55" t="n"/>
      <c r="BR28" s="55" t="n"/>
      <c r="BS28" s="55" t="n"/>
      <c r="BT28" s="55" t="n"/>
      <c r="BU28" s="55" t="n"/>
      <c r="BV28" s="55" t="n"/>
      <c r="BW28" s="55" t="n"/>
      <c r="BX28" s="55" t="n"/>
      <c r="BY28" s="55" t="n"/>
      <c r="BZ28" s="55" t="n"/>
      <c r="CA28" s="55" t="n"/>
      <c r="CB28" s="55" t="n"/>
      <c r="CC28" s="55" t="n"/>
      <c r="CD28" s="55" t="n"/>
      <c r="CE28" s="55" t="n"/>
      <c r="CF28" s="55" t="n"/>
      <c r="CG28" s="55" t="n"/>
      <c r="CH28" s="55" t="n"/>
      <c r="CI28" s="55" t="n"/>
      <c r="CJ28" s="55" t="n"/>
      <c r="CK28" s="55" t="n"/>
      <c r="CL28" s="55" t="n"/>
      <c r="CM28" s="55" t="n"/>
      <c r="CN28" s="55" t="n"/>
      <c r="CO28" s="55" t="n"/>
      <c r="CP28" s="55" t="n"/>
      <c r="CQ28" s="55" t="n"/>
      <c r="CR28" s="55" t="n"/>
      <c r="CS28" s="55" t="n"/>
      <c r="CT28" s="55" t="n"/>
      <c r="CU28" s="55" t="n"/>
      <c r="CV28" s="55" t="n"/>
      <c r="CW28" s="55" t="n"/>
      <c r="CX28" s="55" t="n"/>
      <c r="CY28" s="55" t="n"/>
      <c r="CZ28" s="55" t="n"/>
      <c r="DA28" s="55" t="n"/>
      <c r="DB28" s="55" t="n"/>
      <c r="DC28" s="55" t="n"/>
      <c r="DD28" s="55" t="n"/>
      <c r="DE28" s="55" t="n"/>
    </row>
    <row r="29">
      <c r="A29" s="55" t="inlineStr">
        <is>
          <t>issue_453</t>
        </is>
      </c>
      <c r="B29" s="56" t="inlineStr">
        <is>
          <t>NOT_TESTED</t>
        </is>
      </c>
      <c r="C29" s="56" t="inlineStr">
        <is>
          <t>NOT_TESTED</t>
        </is>
      </c>
      <c r="D29" s="56" t="inlineStr">
        <is>
          <t>NOT_TESTED</t>
        </is>
      </c>
      <c r="E29" s="56" t="inlineStr">
        <is>
          <t>NOT_TESTED</t>
        </is>
      </c>
      <c r="F29" s="58" t="inlineStr">
        <is>
          <t>Failed on test</t>
        </is>
      </c>
      <c r="G29" s="58" t="inlineStr">
        <is>
          <t>Failed on test</t>
        </is>
      </c>
      <c r="H29" s="58" t="inlineStr">
        <is>
          <t>Failed on test</t>
        </is>
      </c>
      <c r="I29" s="58" t="inlineStr">
        <is>
          <t>Failed on test</t>
        </is>
      </c>
      <c r="J29" s="58" t="inlineStr">
        <is>
          <t>Failed on test</t>
        </is>
      </c>
      <c r="K29" s="58" t="inlineStr">
        <is>
          <t>Failed on test</t>
        </is>
      </c>
      <c r="L29" s="58" t="inlineStr">
        <is>
          <t>Failed on test</t>
        </is>
      </c>
      <c r="M29" s="58" t="inlineStr">
        <is>
          <t>Failed on test</t>
        </is>
      </c>
      <c r="N29" s="58" t="inlineStr">
        <is>
          <t>Failed on test</t>
        </is>
      </c>
      <c r="O29" s="58" t="inlineStr">
        <is>
          <t>Failed on test</t>
        </is>
      </c>
      <c r="P29" s="58" t="inlineStr">
        <is>
          <t>Failed on test</t>
        </is>
      </c>
      <c r="Q29" s="58" t="inlineStr">
        <is>
          <t>Failed on test</t>
        </is>
      </c>
      <c r="R29" s="58" t="inlineStr">
        <is>
          <t>Failed on test</t>
        </is>
      </c>
      <c r="S29" s="58" t="inlineStr">
        <is>
          <t>Failed on test</t>
        </is>
      </c>
      <c r="T29" s="58" t="inlineStr">
        <is>
          <t>Failed on test</t>
        </is>
      </c>
      <c r="U29" s="58" t="inlineStr">
        <is>
          <t>Failed on test</t>
        </is>
      </c>
      <c r="V29" s="58" t="inlineStr">
        <is>
          <t>Failed on test</t>
        </is>
      </c>
      <c r="W29" s="58" t="inlineStr">
        <is>
          <t>Failed on test</t>
        </is>
      </c>
      <c r="X29" s="58" t="inlineStr">
        <is>
          <t>Failed on test</t>
        </is>
      </c>
      <c r="Y29" s="58" t="inlineStr">
        <is>
          <t>Failed on test</t>
        </is>
      </c>
      <c r="Z29" s="58" t="inlineStr">
        <is>
          <t>Failed on test</t>
        </is>
      </c>
      <c r="AA29" s="58" t="inlineStr">
        <is>
          <t>Failed on test</t>
        </is>
      </c>
      <c r="AB29" s="58" t="inlineStr">
        <is>
          <t>Failed on test</t>
        </is>
      </c>
      <c r="AC29" s="55" t="n"/>
      <c r="AD29" s="55" t="n"/>
      <c r="AE29" s="55" t="n"/>
      <c r="AF29" s="55" t="n"/>
      <c r="AG29" s="55" t="n"/>
      <c r="AH29" s="55" t="n"/>
      <c r="AI29" s="55" t="n"/>
      <c r="AJ29" s="55" t="n"/>
      <c r="AK29" s="55" t="n"/>
      <c r="AL29" s="55" t="n"/>
      <c r="AM29" s="55" t="n"/>
      <c r="AN29" s="55" t="n"/>
      <c r="AO29" s="55" t="inlineStr">
        <is>
          <t>AssertionError</t>
        </is>
      </c>
      <c r="AP29" s="55" t="inlineStr">
        <is>
          <t>AssertionError: 0 != 2</t>
        </is>
      </c>
      <c r="AQ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AR29" s="55" t="inlineStr">
        <is>
          <t>AssertionError</t>
        </is>
      </c>
      <c r="AS29" s="55" t="inlineStr">
        <is>
          <t>AssertionError: 0 != 2</t>
        </is>
      </c>
      <c r="AT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AU29" s="55" t="inlineStr">
        <is>
          <t>AssertionError</t>
        </is>
      </c>
      <c r="AV29" s="55" t="inlineStr">
        <is>
          <t>AssertionError: 0 != 2</t>
        </is>
      </c>
      <c r="AW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AX29" s="55" t="inlineStr">
        <is>
          <t>AssertionError</t>
        </is>
      </c>
      <c r="AY29" s="55" t="inlineStr">
        <is>
          <t>AssertionError: 0 != 2</t>
        </is>
      </c>
      <c r="AZ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BA29" s="55" t="inlineStr">
        <is>
          <t>AssertionError</t>
        </is>
      </c>
      <c r="BB29" s="55" t="inlineStr">
        <is>
          <t>AssertionError: 0 != 2</t>
        </is>
      </c>
      <c r="BC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BD29" s="55" t="inlineStr">
        <is>
          <t>AssertionError</t>
        </is>
      </c>
      <c r="BE29" s="55" t="inlineStr">
        <is>
          <t>AssertionError: 0 != 2</t>
        </is>
      </c>
      <c r="BF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BG29" s="55" t="inlineStr">
        <is>
          <t>AssertionError</t>
        </is>
      </c>
      <c r="BH29" s="55" t="inlineStr">
        <is>
          <t>AssertionError: 0 != 2</t>
        </is>
      </c>
      <c r="BI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BJ29" s="55" t="inlineStr">
        <is>
          <t>AssertionError</t>
        </is>
      </c>
      <c r="BK29" s="55" t="inlineStr">
        <is>
          <t>AssertionError: 0 != 2</t>
        </is>
      </c>
      <c r="BL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BM29" s="55" t="inlineStr">
        <is>
          <t>AssertionError</t>
        </is>
      </c>
      <c r="BN29" s="55" t="inlineStr">
        <is>
          <t>AssertionError: 0 != 2</t>
        </is>
      </c>
      <c r="BO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BP29" s="55" t="inlineStr">
        <is>
          <t>AssertionError</t>
        </is>
      </c>
      <c r="BQ29" s="55" t="inlineStr">
        <is>
          <t>AssertionError: 0 != 2</t>
        </is>
      </c>
      <c r="BR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BS29" s="55" t="inlineStr">
        <is>
          <t>AssertionError</t>
        </is>
      </c>
      <c r="BT29" s="55" t="inlineStr">
        <is>
          <t>AssertionError: 0 != 2</t>
        </is>
      </c>
      <c r="BU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BV29" s="55" t="inlineStr">
        <is>
          <t>AssertionError</t>
        </is>
      </c>
      <c r="BW29" s="55" t="inlineStr">
        <is>
          <t>AssertionError: 0 != 2</t>
        </is>
      </c>
      <c r="BX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BY29" s="55" t="inlineStr">
        <is>
          <t>AssertionError</t>
        </is>
      </c>
      <c r="BZ29" s="55" t="inlineStr">
        <is>
          <t>AssertionError: 0 != 2</t>
        </is>
      </c>
      <c r="CA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CB29" s="55" t="inlineStr">
        <is>
          <t>AssertionError</t>
        </is>
      </c>
      <c r="CC29" s="55" t="inlineStr">
        <is>
          <t>AssertionError: 0 != 2</t>
        </is>
      </c>
      <c r="CD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CE29" s="55" t="inlineStr">
        <is>
          <t>AssertionError</t>
        </is>
      </c>
      <c r="CF29" s="55" t="inlineStr">
        <is>
          <t>AssertionError: 0 != 2</t>
        </is>
      </c>
      <c r="CG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CH29" s="55" t="inlineStr">
        <is>
          <t>AssertionError</t>
        </is>
      </c>
      <c r="CI29" s="55" t="inlineStr">
        <is>
          <t>AssertionError: 0 != 2</t>
        </is>
      </c>
      <c r="CJ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CK29" s="55" t="inlineStr">
        <is>
          <t>AssertionError</t>
        </is>
      </c>
      <c r="CL29" s="55" t="inlineStr">
        <is>
          <t>AssertionError: 0 != 2</t>
        </is>
      </c>
      <c r="CM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CN29" s="55" t="inlineStr">
        <is>
          <t>AssertionError</t>
        </is>
      </c>
      <c r="CO29" s="55" t="inlineStr">
        <is>
          <t>AssertionError: 0 != 2</t>
        </is>
      </c>
      <c r="CP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CQ29" s="55" t="inlineStr">
        <is>
          <t>AssertionError</t>
        </is>
      </c>
      <c r="CR29" s="55" t="inlineStr">
        <is>
          <t>AssertionError: 0 != 2</t>
        </is>
      </c>
      <c r="CS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CT29" s="55" t="inlineStr">
        <is>
          <t>AssertionError</t>
        </is>
      </c>
      <c r="CU29" s="55" t="inlineStr">
        <is>
          <t>AssertionError: 0 != 2</t>
        </is>
      </c>
      <c r="CV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CW29" s="55" t="inlineStr">
        <is>
          <t>AssertionError</t>
        </is>
      </c>
      <c r="CX29" s="55" t="inlineStr">
        <is>
          <t>AssertionError: 0 != 2</t>
        </is>
      </c>
      <c r="CY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CZ29" s="55" t="inlineStr">
        <is>
          <t>AssertionError</t>
        </is>
      </c>
      <c r="DA29" s="55" t="inlineStr">
        <is>
          <t>AssertionError: 0 != 2</t>
        </is>
      </c>
      <c r="DB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DC29" s="55" t="inlineStr">
        <is>
          <t>AssertionError</t>
        </is>
      </c>
      <c r="DD29" s="55" t="inlineStr">
        <is>
          <t>AssertionError: 0 != 2</t>
        </is>
      </c>
      <c r="DE29" s="55"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row>
    <row r="30">
      <c r="A30" s="55" t="inlineStr">
        <is>
          <t>issue_468</t>
        </is>
      </c>
      <c r="B30" s="57" t="inlineStr">
        <is>
          <t>Runtime error</t>
        </is>
      </c>
      <c r="C30" s="57" t="inlineStr">
        <is>
          <t>Runtime error</t>
        </is>
      </c>
      <c r="D30" s="57" t="inlineStr">
        <is>
          <t>Runtime error</t>
        </is>
      </c>
      <c r="E30" s="57" t="inlineStr">
        <is>
          <t>Runtime error</t>
        </is>
      </c>
      <c r="F30" s="56" t="inlineStr">
        <is>
          <t>NOT_TESTED</t>
        </is>
      </c>
      <c r="G30" s="56" t="inlineStr">
        <is>
          <t>NOT_TESTED</t>
        </is>
      </c>
      <c r="H30" s="56" t="inlineStr">
        <is>
          <t>NOT_TESTED</t>
        </is>
      </c>
      <c r="I30" s="56" t="inlineStr">
        <is>
          <t>NOT_TESTED</t>
        </is>
      </c>
      <c r="J30" s="56" t="inlineStr">
        <is>
          <t>NOT_TESTED</t>
        </is>
      </c>
      <c r="K30" s="56" t="inlineStr">
        <is>
          <t>NOT_TESTED</t>
        </is>
      </c>
      <c r="L30" s="56" t="inlineStr">
        <is>
          <t>NOT_TESTED</t>
        </is>
      </c>
      <c r="M30" s="56" t="inlineStr">
        <is>
          <t>NOT_TESTED</t>
        </is>
      </c>
      <c r="N30" s="56" t="inlineStr">
        <is>
          <t>NOT_TESTED</t>
        </is>
      </c>
      <c r="O30" s="56" t="inlineStr">
        <is>
          <t>NOT_TESTED</t>
        </is>
      </c>
      <c r="P30" s="56" t="inlineStr">
        <is>
          <t>NOT_TESTED</t>
        </is>
      </c>
      <c r="Q30" s="56" t="inlineStr">
        <is>
          <t>NOT_TESTED</t>
        </is>
      </c>
      <c r="R30" s="56" t="inlineStr">
        <is>
          <t>NOT_TESTED</t>
        </is>
      </c>
      <c r="S30" s="56" t="inlineStr">
        <is>
          <t>NOT_TESTED</t>
        </is>
      </c>
      <c r="T30" s="56" t="inlineStr">
        <is>
          <t>NOT_TESTED</t>
        </is>
      </c>
      <c r="U30" s="56" t="inlineStr">
        <is>
          <t>NOT_TESTED</t>
        </is>
      </c>
      <c r="V30" s="56" t="inlineStr">
        <is>
          <t>NOT_TESTED</t>
        </is>
      </c>
      <c r="W30" s="56" t="inlineStr">
        <is>
          <t>NOT_TESTED</t>
        </is>
      </c>
      <c r="X30" s="56" t="inlineStr">
        <is>
          <t>NOT_TESTED</t>
        </is>
      </c>
      <c r="Y30" s="56" t="inlineStr">
        <is>
          <t>NOT_TESTED</t>
        </is>
      </c>
      <c r="Z30" s="56" t="inlineStr">
        <is>
          <t>NOT_TESTED</t>
        </is>
      </c>
      <c r="AA30" s="56" t="inlineStr">
        <is>
          <t>NOT_TESTED</t>
        </is>
      </c>
      <c r="AB30" s="56" t="inlineStr">
        <is>
          <t>NOT_TESTED</t>
        </is>
      </c>
      <c r="AC30" s="55" t="inlineStr">
        <is>
          <t>ValueError</t>
        </is>
      </c>
      <c r="AD30" s="55" t="inlineStr">
        <is>
          <t>ValueError: Operators can only be scalar multiplied by float or complex, not Operator([[1.+0.j, 0.+0.j], [0.+0.j, 0.+0.j]], input_dims=(2,), output_dims=(2,)) of type &lt;class 'qiskit.aqua.operators.primitive_ops.matrix_op.MatrixOp'&gt;.</t>
        </is>
      </c>
      <c r="AE30" s="55" t="inlineStr">
        <is>
          <t>The LLM wrapped the density matrices in MatrixOp, but Aqua's legacy commutator() multiplies its inputs with *, which for MatrixOp means scalar multiplication, so it raises ValueError; the reference rewrites the two operators as WeightedPauliOperators.</t>
        </is>
      </c>
      <c r="AF30" s="55" t="inlineStr">
        <is>
          <t>ValueError</t>
        </is>
      </c>
      <c r="AG30" s="55" t="inlineStr">
        <is>
          <t>ValueError: Operators can only be scalar multiplied by float or complex, not Operator([[1.+0.j, 0.+0.j], [0.+0.j, 0.+0.j]], input_dims=(2,), output_dims=(2,)) of type &lt;class 'qiskit.aqua.operators.primitive_ops.matrix_op.MatrixOp'&gt;.</t>
        </is>
      </c>
      <c r="AH30" s="55" t="inlineStr">
        <is>
          <t>The LLM wrapped the density matrices in MatrixOp, but Aqua's legacy commutator() multiplies its inputs with *, which for MatrixOp means scalar multiplication, so it raises ValueError; the reference rewrites the two operators as WeightedPauliOperators.</t>
        </is>
      </c>
      <c r="AI30" s="55" t="inlineStr">
        <is>
          <t>ValueError</t>
        </is>
      </c>
      <c r="AJ30" s="55" t="inlineStr">
        <is>
          <t>ValueError: Operators can only be scalar multiplied by float or complex, not Operator([[1.+0.j, 0.+0.j], [0.+0.j, 0.+0.j]], input_dims=(2,), output_dims=(2,)) of type &lt;class 'qiskit.aqua.operators.primitive_ops.matrix_op.MatrixOp'&gt;.</t>
        </is>
      </c>
      <c r="AK30" s="55" t="inlineStr">
        <is>
          <t>The LLM wrapped the density matrices in MatrixOp, but Aqua's legacy commutator() multiplies its inputs with *, which for MatrixOp means scalar multiplication, so it raises ValueError; the reference rewrites the two operators as WeightedPauliOperators.</t>
        </is>
      </c>
      <c r="AL30" s="55" t="inlineStr">
        <is>
          <t>ValueError</t>
        </is>
      </c>
      <c r="AM30" s="55" t="inlineStr">
        <is>
          <t>ValueError: Operators can only be scalar multiplied by float or complex, not Operator([[1.+0.j, 0.+0.j], [0.+0.j, 0.+0.j]], input_dims=(2,), output_dims=(2,)) of type &lt;class 'qiskit.aqua.operators.primitive_ops.matrix_op.MatrixOp'&gt;.</t>
        </is>
      </c>
      <c r="AN30" s="55" t="inlineStr">
        <is>
          <t>The LLM wrapped the density matrices in MatrixOp, but Aqua's legacy commutator() multiplies its inputs with *, which for MatrixOp means scalar multiplication, so it raises ValueError; the reference rewrites the two operators as WeightedPauliOperators.</t>
        </is>
      </c>
      <c r="AO30" s="55" t="n"/>
      <c r="AP30" s="55" t="n"/>
      <c r="AQ30" s="55" t="n"/>
      <c r="AR30" s="55" t="n"/>
      <c r="AS30" s="55" t="n"/>
      <c r="AT30" s="55" t="n"/>
      <c r="AU30" s="55" t="n"/>
      <c r="AV30" s="55" t="n"/>
      <c r="AW30" s="55" t="n"/>
      <c r="AX30" s="55" t="n"/>
      <c r="AY30" s="55" t="n"/>
      <c r="AZ30" s="55" t="n"/>
      <c r="BA30" s="55" t="n"/>
      <c r="BB30" s="55" t="n"/>
      <c r="BC30" s="55" t="n"/>
      <c r="BD30" s="55" t="n"/>
      <c r="BE30" s="55" t="n"/>
      <c r="BF30" s="55" t="n"/>
      <c r="BG30" s="55" t="n"/>
      <c r="BH30" s="55" t="n"/>
      <c r="BI30" s="55" t="n"/>
      <c r="BJ30" s="55" t="n"/>
      <c r="BK30" s="55" t="n"/>
      <c r="BL30" s="55" t="n"/>
      <c r="BM30" s="55" t="n"/>
      <c r="BN30" s="55" t="n"/>
      <c r="BO30" s="55" t="n"/>
      <c r="BP30" s="55" t="n"/>
      <c r="BQ30" s="55" t="n"/>
      <c r="BR30" s="55" t="n"/>
      <c r="BS30" s="55" t="n"/>
      <c r="BT30" s="55" t="n"/>
      <c r="BU30" s="55" t="n"/>
      <c r="BV30" s="55" t="n"/>
      <c r="BW30" s="55" t="n"/>
      <c r="BX30" s="55" t="n"/>
      <c r="BY30" s="55" t="n"/>
      <c r="BZ30" s="55" t="n"/>
      <c r="CA30" s="55" t="n"/>
      <c r="CB30" s="55" t="n"/>
      <c r="CC30" s="55" t="n"/>
      <c r="CD30" s="55" t="n"/>
      <c r="CE30" s="55" t="n"/>
      <c r="CF30" s="55" t="n"/>
      <c r="CG30" s="55" t="n"/>
      <c r="CH30" s="55" t="n"/>
      <c r="CI30" s="55" t="n"/>
      <c r="CJ30" s="55" t="n"/>
      <c r="CK30" s="55" t="n"/>
      <c r="CL30" s="55" t="n"/>
      <c r="CM30" s="55" t="n"/>
      <c r="CN30" s="55" t="n"/>
      <c r="CO30" s="55" t="n"/>
      <c r="CP30" s="55" t="n"/>
      <c r="CQ30" s="55" t="n"/>
      <c r="CR30" s="55" t="n"/>
      <c r="CS30" s="55" t="n"/>
      <c r="CT30" s="55" t="n"/>
      <c r="CU30" s="55" t="n"/>
      <c r="CV30" s="55" t="n"/>
      <c r="CW30" s="55" t="n"/>
      <c r="CX30" s="55" t="n"/>
      <c r="CY30" s="55" t="n"/>
      <c r="CZ30" s="55" t="n"/>
      <c r="DA30" s="55" t="n"/>
      <c r="DB30" s="55" t="n"/>
      <c r="DC30" s="55" t="n"/>
      <c r="DD30" s="55" t="n"/>
      <c r="DE30" s="55" t="n"/>
    </row>
    <row r="31">
      <c r="A31" s="55" t="inlineStr">
        <is>
          <t>issue_497</t>
        </is>
      </c>
      <c r="B31" s="59" t="inlineStr">
        <is>
          <t>Passed on test</t>
        </is>
      </c>
      <c r="C31" s="59" t="inlineStr">
        <is>
          <t>Passed on test</t>
        </is>
      </c>
      <c r="D31" s="59" t="inlineStr">
        <is>
          <t>Passed on test</t>
        </is>
      </c>
      <c r="E31" s="59" t="inlineStr">
        <is>
          <t>Passed on test</t>
        </is>
      </c>
      <c r="F31" s="56" t="inlineStr">
        <is>
          <t>NOT_TESTED</t>
        </is>
      </c>
      <c r="G31" s="56" t="inlineStr">
        <is>
          <t>NOT_TESTED</t>
        </is>
      </c>
      <c r="H31" s="56" t="inlineStr">
        <is>
          <t>NOT_TESTED</t>
        </is>
      </c>
      <c r="I31" s="56" t="inlineStr">
        <is>
          <t>NOT_TESTED</t>
        </is>
      </c>
      <c r="J31" s="56" t="inlineStr">
        <is>
          <t>NOT_TESTED</t>
        </is>
      </c>
      <c r="K31" s="56" t="inlineStr">
        <is>
          <t>NOT_TESTED</t>
        </is>
      </c>
      <c r="L31" s="56" t="inlineStr">
        <is>
          <t>NOT_TESTED</t>
        </is>
      </c>
      <c r="M31" s="56" t="inlineStr">
        <is>
          <t>NOT_TESTED</t>
        </is>
      </c>
      <c r="N31" s="56" t="inlineStr">
        <is>
          <t>NOT_TESTED</t>
        </is>
      </c>
      <c r="O31" s="56" t="inlineStr">
        <is>
          <t>NOT_TESTED</t>
        </is>
      </c>
      <c r="P31" s="56" t="inlineStr">
        <is>
          <t>NOT_TESTED</t>
        </is>
      </c>
      <c r="Q31" s="56" t="inlineStr">
        <is>
          <t>NOT_TESTED</t>
        </is>
      </c>
      <c r="R31" s="56" t="inlineStr">
        <is>
          <t>NOT_TESTED</t>
        </is>
      </c>
      <c r="S31" s="56" t="inlineStr">
        <is>
          <t>NOT_TESTED</t>
        </is>
      </c>
      <c r="T31" s="56" t="inlineStr">
        <is>
          <t>NOT_TESTED</t>
        </is>
      </c>
      <c r="U31" s="56" t="inlineStr">
        <is>
          <t>NOT_TESTED</t>
        </is>
      </c>
      <c r="V31" s="56" t="inlineStr">
        <is>
          <t>NOT_TESTED</t>
        </is>
      </c>
      <c r="W31" s="56" t="inlineStr">
        <is>
          <t>NOT_TESTED</t>
        </is>
      </c>
      <c r="X31" s="56" t="inlineStr">
        <is>
          <t>NOT_TESTED</t>
        </is>
      </c>
      <c r="Y31" s="56" t="inlineStr">
        <is>
          <t>NOT_TESTED</t>
        </is>
      </c>
      <c r="Z31" s="56" t="inlineStr">
        <is>
          <t>NOT_TESTED</t>
        </is>
      </c>
      <c r="AA31" s="56" t="inlineStr">
        <is>
          <t>NOT_TESTED</t>
        </is>
      </c>
      <c r="AB31" s="56" t="inlineStr">
        <is>
          <t>NOT_TESTED</t>
        </is>
      </c>
      <c r="AC31" s="55" t="n"/>
      <c r="AD31" s="55" t="n"/>
      <c r="AE31" s="55" t="n"/>
      <c r="AF31" s="55" t="n"/>
      <c r="AG31" s="55" t="n"/>
      <c r="AH31" s="55" t="n"/>
      <c r="AI31" s="55" t="n"/>
      <c r="AJ31" s="55" t="n"/>
      <c r="AK31" s="55" t="n"/>
      <c r="AL31" s="55" t="n"/>
      <c r="AM31" s="55" t="n"/>
      <c r="AN31" s="55" t="n"/>
      <c r="AO31" s="55" t="n"/>
      <c r="AP31" s="55" t="n"/>
      <c r="AQ31" s="55" t="n"/>
      <c r="AR31" s="55" t="n"/>
      <c r="AS31" s="55" t="n"/>
      <c r="AT31" s="55" t="n"/>
      <c r="AU31" s="55" t="n"/>
      <c r="AV31" s="55" t="n"/>
      <c r="AW31" s="55" t="n"/>
      <c r="AX31" s="55" t="n"/>
      <c r="AY31" s="55" t="n"/>
      <c r="AZ31" s="55" t="n"/>
      <c r="BA31" s="55" t="n"/>
      <c r="BB31" s="55" t="n"/>
      <c r="BC31" s="55" t="n"/>
      <c r="BD31" s="55" t="n"/>
      <c r="BE31" s="55" t="n"/>
      <c r="BF31" s="55" t="n"/>
      <c r="BG31" s="55" t="n"/>
      <c r="BH31" s="55" t="n"/>
      <c r="BI31" s="55" t="n"/>
      <c r="BJ31" s="55" t="n"/>
      <c r="BK31" s="55" t="n"/>
      <c r="BL31" s="55" t="n"/>
      <c r="BM31" s="55" t="n"/>
      <c r="BN31" s="55" t="n"/>
      <c r="BO31" s="55" t="n"/>
      <c r="BP31" s="55" t="n"/>
      <c r="BQ31" s="55" t="n"/>
      <c r="BR31" s="55" t="n"/>
      <c r="BS31" s="55" t="n"/>
      <c r="BT31" s="55" t="n"/>
      <c r="BU31" s="55" t="n"/>
      <c r="BV31" s="55" t="n"/>
      <c r="BW31" s="55" t="n"/>
      <c r="BX31" s="55" t="n"/>
      <c r="BY31" s="55" t="n"/>
      <c r="BZ31" s="55" t="n"/>
      <c r="CA31" s="55" t="n"/>
      <c r="CB31" s="55" t="n"/>
      <c r="CC31" s="55" t="n"/>
      <c r="CD31" s="55" t="n"/>
      <c r="CE31" s="55" t="n"/>
      <c r="CF31" s="55" t="n"/>
      <c r="CG31" s="55" t="n"/>
      <c r="CH31" s="55" t="n"/>
      <c r="CI31" s="55" t="n"/>
      <c r="CJ31" s="55" t="n"/>
      <c r="CK31" s="55" t="n"/>
      <c r="CL31" s="55" t="n"/>
      <c r="CM31" s="55" t="n"/>
      <c r="CN31" s="55" t="n"/>
      <c r="CO31" s="55" t="n"/>
      <c r="CP31" s="55" t="n"/>
      <c r="CQ31" s="55" t="n"/>
      <c r="CR31" s="55" t="n"/>
      <c r="CS31" s="55" t="n"/>
      <c r="CT31" s="55" t="n"/>
      <c r="CU31" s="55" t="n"/>
      <c r="CV31" s="55" t="n"/>
      <c r="CW31" s="55" t="n"/>
      <c r="CX31" s="55" t="n"/>
      <c r="CY31" s="55" t="n"/>
      <c r="CZ31" s="55" t="n"/>
      <c r="DA31" s="55" t="n"/>
      <c r="DB31" s="55" t="n"/>
      <c r="DC31" s="55" t="n"/>
      <c r="DD31" s="55" t="n"/>
      <c r="DE31" s="55" t="n"/>
    </row>
    <row r="32">
      <c r="A32" s="55" t="inlineStr">
        <is>
          <t>issue_504</t>
        </is>
      </c>
      <c r="B32" s="56" t="inlineStr">
        <is>
          <t>NOT_TESTED</t>
        </is>
      </c>
      <c r="C32" s="56" t="inlineStr">
        <is>
          <t>NOT_TESTED</t>
        </is>
      </c>
      <c r="D32" s="56" t="inlineStr">
        <is>
          <t>NOT_TESTED</t>
        </is>
      </c>
      <c r="E32" s="56" t="inlineStr">
        <is>
          <t>NOT_TESTED</t>
        </is>
      </c>
      <c r="F32" s="59" t="inlineStr">
        <is>
          <t>Passed on test</t>
        </is>
      </c>
      <c r="G32" s="59" t="inlineStr">
        <is>
          <t>Passed on test</t>
        </is>
      </c>
      <c r="H32" s="59" t="inlineStr">
        <is>
          <t>Passed on test</t>
        </is>
      </c>
      <c r="I32" s="59" t="inlineStr">
        <is>
          <t>Passed on test</t>
        </is>
      </c>
      <c r="J32" s="59" t="inlineStr">
        <is>
          <t>Passed on test</t>
        </is>
      </c>
      <c r="K32" s="59" t="inlineStr">
        <is>
          <t>Passed on test</t>
        </is>
      </c>
      <c r="L32" s="59" t="inlineStr">
        <is>
          <t>Passed on test</t>
        </is>
      </c>
      <c r="M32" s="59" t="inlineStr">
        <is>
          <t>Passed on test</t>
        </is>
      </c>
      <c r="N32" s="59" t="inlineStr">
        <is>
          <t>Passed on test</t>
        </is>
      </c>
      <c r="O32" s="59" t="inlineStr">
        <is>
          <t>Passed on test</t>
        </is>
      </c>
      <c r="P32" s="59" t="inlineStr">
        <is>
          <t>Passed on test</t>
        </is>
      </c>
      <c r="Q32" s="59" t="inlineStr">
        <is>
          <t>Passed on test</t>
        </is>
      </c>
      <c r="R32" s="59" t="inlineStr">
        <is>
          <t>Passed on test</t>
        </is>
      </c>
      <c r="S32" s="59" t="inlineStr">
        <is>
          <t>Passed on test</t>
        </is>
      </c>
      <c r="T32" s="59" t="inlineStr">
        <is>
          <t>Passed on test</t>
        </is>
      </c>
      <c r="U32" s="59" t="inlineStr">
        <is>
          <t>Passed on test</t>
        </is>
      </c>
      <c r="V32" s="59" t="inlineStr">
        <is>
          <t>Passed on test</t>
        </is>
      </c>
      <c r="W32" s="59" t="inlineStr">
        <is>
          <t>Passed on test</t>
        </is>
      </c>
      <c r="X32" s="59" t="inlineStr">
        <is>
          <t>Passed on test</t>
        </is>
      </c>
      <c r="Y32" s="59" t="inlineStr">
        <is>
          <t>Passed on test</t>
        </is>
      </c>
      <c r="Z32" s="59" t="inlineStr">
        <is>
          <t>Passed on test</t>
        </is>
      </c>
      <c r="AA32" s="59" t="inlineStr">
        <is>
          <t>Passed on test</t>
        </is>
      </c>
      <c r="AB32" s="59" t="inlineStr">
        <is>
          <t>Passed on test</t>
        </is>
      </c>
      <c r="AC32" s="55" t="n"/>
      <c r="AD32" s="55" t="n"/>
      <c r="AE32" s="55" t="n"/>
      <c r="AF32" s="55" t="n"/>
      <c r="AG32" s="55" t="n"/>
      <c r="AH32" s="55" t="n"/>
      <c r="AI32" s="55" t="n"/>
      <c r="AJ32" s="55" t="n"/>
      <c r="AK32" s="55" t="n"/>
      <c r="AL32" s="55" t="n"/>
      <c r="AM32" s="55" t="n"/>
      <c r="AN32" s="55" t="n"/>
      <c r="AO32" s="55" t="n"/>
      <c r="AP32" s="55" t="n"/>
      <c r="AQ32" s="55" t="n"/>
      <c r="AR32" s="55" t="n"/>
      <c r="AS32" s="55" t="n"/>
      <c r="AT32" s="55" t="n"/>
      <c r="AU32" s="55" t="n"/>
      <c r="AV32" s="55" t="n"/>
      <c r="AW32" s="55" t="n"/>
      <c r="AX32" s="55" t="n"/>
      <c r="AY32" s="55" t="n"/>
      <c r="AZ32" s="55" t="n"/>
      <c r="BA32" s="55" t="n"/>
      <c r="BB32" s="55" t="n"/>
      <c r="BC32" s="55" t="n"/>
      <c r="BD32" s="55" t="n"/>
      <c r="BE32" s="55" t="n"/>
      <c r="BF32" s="55" t="n"/>
      <c r="BG32" s="55" t="n"/>
      <c r="BH32" s="55" t="n"/>
      <c r="BI32" s="55" t="n"/>
      <c r="BJ32" s="55" t="n"/>
      <c r="BK32" s="55" t="n"/>
      <c r="BL32" s="55" t="n"/>
      <c r="BM32" s="55" t="n"/>
      <c r="BN32" s="55" t="n"/>
      <c r="BO32" s="55" t="n"/>
      <c r="BP32" s="55" t="n"/>
      <c r="BQ32" s="55" t="n"/>
      <c r="BR32" s="55" t="n"/>
      <c r="BS32" s="55" t="n"/>
      <c r="BT32" s="55" t="n"/>
      <c r="BU32" s="55" t="n"/>
      <c r="BV32" s="55" t="n"/>
      <c r="BW32" s="55" t="n"/>
      <c r="BX32" s="55" t="n"/>
      <c r="BY32" s="55" t="n"/>
      <c r="BZ32" s="55" t="n"/>
      <c r="CA32" s="55" t="n"/>
      <c r="CB32" s="55" t="n"/>
      <c r="CC32" s="55" t="n"/>
      <c r="CD32" s="55" t="n"/>
      <c r="CE32" s="55" t="n"/>
      <c r="CF32" s="55" t="n"/>
      <c r="CG32" s="55" t="n"/>
      <c r="CH32" s="55" t="n"/>
      <c r="CI32" s="55" t="n"/>
      <c r="CJ32" s="55" t="n"/>
      <c r="CK32" s="55" t="n"/>
      <c r="CL32" s="55" t="n"/>
      <c r="CM32" s="55" t="n"/>
      <c r="CN32" s="55" t="n"/>
      <c r="CO32" s="55" t="n"/>
      <c r="CP32" s="55" t="n"/>
      <c r="CQ32" s="55" t="n"/>
      <c r="CR32" s="55" t="n"/>
      <c r="CS32" s="55" t="n"/>
      <c r="CT32" s="55" t="n"/>
      <c r="CU32" s="55" t="n"/>
      <c r="CV32" s="55" t="n"/>
      <c r="CW32" s="55" t="n"/>
      <c r="CX32" s="55" t="n"/>
      <c r="CY32" s="55" t="n"/>
      <c r="CZ32" s="55" t="n"/>
      <c r="DA32" s="55" t="n"/>
      <c r="DB32" s="55" t="n"/>
      <c r="DC32" s="55" t="n"/>
      <c r="DD32" s="55" t="n"/>
      <c r="DE32" s="55" t="n"/>
    </row>
    <row r="33">
      <c r="A33" s="55" t="inlineStr">
        <is>
          <t>issue_505</t>
        </is>
      </c>
      <c r="B33" s="56" t="inlineStr">
        <is>
          <t>NOT_TESTED</t>
        </is>
      </c>
      <c r="C33" s="56" t="inlineStr">
        <is>
          <t>NOT_TESTED</t>
        </is>
      </c>
      <c r="D33" s="56" t="inlineStr">
        <is>
          <t>NOT_TESTED</t>
        </is>
      </c>
      <c r="E33" s="56" t="inlineStr">
        <is>
          <t>NOT_TESTED</t>
        </is>
      </c>
      <c r="F33" s="59" t="inlineStr">
        <is>
          <t>Passed on test</t>
        </is>
      </c>
      <c r="G33" s="59" t="inlineStr">
        <is>
          <t>Passed on test</t>
        </is>
      </c>
      <c r="H33" s="59" t="inlineStr">
        <is>
          <t>Passed on test</t>
        </is>
      </c>
      <c r="I33" s="59" t="inlineStr">
        <is>
          <t>Passed on test</t>
        </is>
      </c>
      <c r="J33" s="59" t="inlineStr">
        <is>
          <t>Passed on test</t>
        </is>
      </c>
      <c r="K33" s="59" t="inlineStr">
        <is>
          <t>Passed on test</t>
        </is>
      </c>
      <c r="L33" s="59" t="inlineStr">
        <is>
          <t>Passed on test</t>
        </is>
      </c>
      <c r="M33" s="59" t="inlineStr">
        <is>
          <t>Passed on test</t>
        </is>
      </c>
      <c r="N33" s="56" t="inlineStr">
        <is>
          <t>NOT_TESTED</t>
        </is>
      </c>
      <c r="O33" s="56" t="inlineStr">
        <is>
          <t>NOT_TESTED</t>
        </is>
      </c>
      <c r="P33" s="56" t="inlineStr">
        <is>
          <t>NOT_TESTED</t>
        </is>
      </c>
      <c r="Q33" s="56" t="inlineStr">
        <is>
          <t>NOT_TESTED</t>
        </is>
      </c>
      <c r="R33" s="56" t="inlineStr">
        <is>
          <t>NOT_TESTED</t>
        </is>
      </c>
      <c r="S33" s="56" t="inlineStr">
        <is>
          <t>NOT_TESTED</t>
        </is>
      </c>
      <c r="T33" s="56" t="inlineStr">
        <is>
          <t>NOT_TESTED</t>
        </is>
      </c>
      <c r="U33" s="56" t="inlineStr">
        <is>
          <t>NOT_TESTED</t>
        </is>
      </c>
      <c r="V33" s="56" t="inlineStr">
        <is>
          <t>NOT_TESTED</t>
        </is>
      </c>
      <c r="W33" s="56" t="inlineStr">
        <is>
          <t>NOT_TESTED</t>
        </is>
      </c>
      <c r="X33" s="56" t="inlineStr">
        <is>
          <t>NOT_TESTED</t>
        </is>
      </c>
      <c r="Y33" s="56" t="inlineStr">
        <is>
          <t>NOT_TESTED</t>
        </is>
      </c>
      <c r="Z33" s="56" t="inlineStr">
        <is>
          <t>NOT_TESTED</t>
        </is>
      </c>
      <c r="AA33" s="56" t="inlineStr">
        <is>
          <t>NOT_TESTED</t>
        </is>
      </c>
      <c r="AB33" s="56" t="inlineStr">
        <is>
          <t>NOT_TESTED</t>
        </is>
      </c>
      <c r="AC33" s="55" t="n"/>
      <c r="AD33" s="55" t="n"/>
      <c r="AE33" s="55" t="n"/>
      <c r="AF33" s="55" t="n"/>
      <c r="AG33" s="55" t="n"/>
      <c r="AH33" s="55" t="n"/>
      <c r="AI33" s="55" t="n"/>
      <c r="AJ33" s="55" t="n"/>
      <c r="AK33" s="55" t="n"/>
      <c r="AL33" s="55" t="n"/>
      <c r="AM33" s="55" t="n"/>
      <c r="AN33" s="55" t="n"/>
      <c r="AO33" s="55" t="n"/>
      <c r="AP33" s="55" t="n"/>
      <c r="AQ33" s="55" t="n"/>
      <c r="AR33" s="55" t="n"/>
      <c r="AS33" s="55" t="n"/>
      <c r="AT33" s="55" t="n"/>
      <c r="AU33" s="55" t="n"/>
      <c r="AV33" s="55" t="n"/>
      <c r="AW33" s="55" t="n"/>
      <c r="AX33" s="55" t="n"/>
      <c r="AY33" s="55" t="n"/>
      <c r="AZ33" s="55" t="n"/>
      <c r="BA33" s="55" t="n"/>
      <c r="BB33" s="55" t="n"/>
      <c r="BC33" s="55" t="n"/>
      <c r="BD33" s="55" t="n"/>
      <c r="BE33" s="55" t="n"/>
      <c r="BF33" s="55" t="n"/>
      <c r="BG33" s="55" t="n"/>
      <c r="BH33" s="55" t="n"/>
      <c r="BI33" s="55" t="n"/>
      <c r="BJ33" s="55" t="n"/>
      <c r="BK33" s="55" t="n"/>
      <c r="BL33" s="55" t="n"/>
      <c r="BM33" s="55" t="n"/>
      <c r="BN33" s="55" t="n"/>
      <c r="BO33" s="55" t="n"/>
      <c r="BP33" s="55" t="n"/>
      <c r="BQ33" s="55" t="n"/>
      <c r="BR33" s="55" t="n"/>
      <c r="BS33" s="55" t="n"/>
      <c r="BT33" s="55" t="n"/>
      <c r="BU33" s="55" t="n"/>
      <c r="BV33" s="55" t="n"/>
      <c r="BW33" s="55" t="n"/>
      <c r="BX33" s="55" t="n"/>
      <c r="BY33" s="55" t="n"/>
      <c r="BZ33" s="55" t="n"/>
      <c r="CA33" s="55" t="n"/>
      <c r="CB33" s="55" t="n"/>
      <c r="CC33" s="55" t="n"/>
      <c r="CD33" s="55" t="n"/>
      <c r="CE33" s="55" t="n"/>
      <c r="CF33" s="55" t="n"/>
      <c r="CG33" s="55" t="n"/>
      <c r="CH33" s="55" t="n"/>
      <c r="CI33" s="55" t="n"/>
      <c r="CJ33" s="55" t="n"/>
      <c r="CK33" s="55" t="n"/>
      <c r="CL33" s="55" t="n"/>
      <c r="CM33" s="55" t="n"/>
      <c r="CN33" s="55" t="n"/>
      <c r="CO33" s="55" t="n"/>
      <c r="CP33" s="55" t="n"/>
      <c r="CQ33" s="55" t="n"/>
      <c r="CR33" s="55" t="n"/>
      <c r="CS33" s="55" t="n"/>
      <c r="CT33" s="55" t="n"/>
      <c r="CU33" s="55" t="n"/>
      <c r="CV33" s="55" t="n"/>
      <c r="CW33" s="55" t="n"/>
      <c r="CX33" s="55" t="n"/>
      <c r="CY33" s="55" t="n"/>
      <c r="CZ33" s="55" t="n"/>
      <c r="DA33" s="55" t="n"/>
      <c r="DB33" s="55" t="n"/>
      <c r="DC33" s="55" t="n"/>
      <c r="DD33" s="55" t="n"/>
      <c r="DE33" s="55" t="n"/>
    </row>
    <row r="34">
      <c r="A34" s="55" t="inlineStr">
        <is>
          <t>issue_565</t>
        </is>
      </c>
      <c r="B34" s="57" t="inlineStr">
        <is>
          <t>Runtime error</t>
        </is>
      </c>
      <c r="C34" s="57" t="inlineStr">
        <is>
          <t>Runtime error</t>
        </is>
      </c>
      <c r="D34" s="57" t="inlineStr">
        <is>
          <t>Runtime error</t>
        </is>
      </c>
      <c r="E34" s="57" t="inlineStr">
        <is>
          <t>Runtime error</t>
        </is>
      </c>
      <c r="F34" s="56" t="inlineStr">
        <is>
          <t>NOT_TESTED</t>
        </is>
      </c>
      <c r="G34" s="56" t="inlineStr">
        <is>
          <t>NOT_TESTED</t>
        </is>
      </c>
      <c r="H34" s="56" t="inlineStr">
        <is>
          <t>NOT_TESTED</t>
        </is>
      </c>
      <c r="I34" s="56" t="inlineStr">
        <is>
          <t>NOT_TESTED</t>
        </is>
      </c>
      <c r="J34" s="56" t="inlineStr">
        <is>
          <t>NOT_TESTED</t>
        </is>
      </c>
      <c r="K34" s="56" t="inlineStr">
        <is>
          <t>NOT_TESTED</t>
        </is>
      </c>
      <c r="L34" s="56" t="inlineStr">
        <is>
          <t>NOT_TESTED</t>
        </is>
      </c>
      <c r="M34" s="56" t="inlineStr">
        <is>
          <t>NOT_TESTED</t>
        </is>
      </c>
      <c r="N34" s="56" t="inlineStr">
        <is>
          <t>NOT_TESTED</t>
        </is>
      </c>
      <c r="O34" s="56" t="inlineStr">
        <is>
          <t>NOT_TESTED</t>
        </is>
      </c>
      <c r="P34" s="56" t="inlineStr">
        <is>
          <t>NOT_TESTED</t>
        </is>
      </c>
      <c r="Q34" s="56" t="inlineStr">
        <is>
          <t>NOT_TESTED</t>
        </is>
      </c>
      <c r="R34" s="56" t="inlineStr">
        <is>
          <t>NOT_TESTED</t>
        </is>
      </c>
      <c r="S34" s="56" t="inlineStr">
        <is>
          <t>NOT_TESTED</t>
        </is>
      </c>
      <c r="T34" s="56" t="inlineStr">
        <is>
          <t>NOT_TESTED</t>
        </is>
      </c>
      <c r="U34" s="56" t="inlineStr">
        <is>
          <t>NOT_TESTED</t>
        </is>
      </c>
      <c r="V34" s="56" t="inlineStr">
        <is>
          <t>NOT_TESTED</t>
        </is>
      </c>
      <c r="W34" s="56" t="inlineStr">
        <is>
          <t>NOT_TESTED</t>
        </is>
      </c>
      <c r="X34" s="56" t="inlineStr">
        <is>
          <t>NOT_TESTED</t>
        </is>
      </c>
      <c r="Y34" s="56" t="inlineStr">
        <is>
          <t>NOT_TESTED</t>
        </is>
      </c>
      <c r="Z34" s="56" t="inlineStr">
        <is>
          <t>NOT_TESTED</t>
        </is>
      </c>
      <c r="AA34" s="56" t="inlineStr">
        <is>
          <t>NOT_TESTED</t>
        </is>
      </c>
      <c r="AB34" s="56" t="inlineStr">
        <is>
          <t>NOT_TESTED</t>
        </is>
      </c>
      <c r="AC34" s="55" t="inlineStr">
        <is>
          <t>ValueError</t>
        </is>
      </c>
      <c r="AD34" s="55" t="inlineStr">
        <is>
          <t>ValueError: Operators can only be scalar multiplied by float or complex, not SummedOp([ IIIXIIIII, IIIYIIIII ]) of type &lt;class 'qiskit.aqua.operators.list_ops.summed_op.SummedOp'&gt;.</t>
        </is>
      </c>
      <c r="AE34" s="55" t="inlineStr">
        <is>
          <t>The LLM wrapped each Pauli in Aqua's PauliOp but kept the *= products; in Aqua, * means scalar multiplication (composition is @ / compose), so multiplying two operators raises ValueError while the mixer is built. The reference rewrites the mixer as a hand-expanded sum of Pauli terms.</t>
        </is>
      </c>
      <c r="AF34" s="55" t="inlineStr">
        <is>
          <t>ValueError</t>
        </is>
      </c>
      <c r="AG34" s="55" t="inlineStr">
        <is>
          <t>ValueError: Operators can only be scalar multiplied by float or complex, not SummedOp([ IIIXIIIII, IIIYIIIII ]) of type &lt;class 'qiskit.aqua.operators.list_ops.summed_op.SummedOp'&gt;.</t>
        </is>
      </c>
      <c r="AH34" s="55" t="inlineStr">
        <is>
          <t>The LLM wrapped each Pauli in Aqua's PauliOp but kept the *= products; in Aqua, * means scalar multiplication (composition is @ / compose), so multiplying two operators raises ValueError while the mixer is built. The reference rewrites the mixer as a hand-expanded sum of Pauli terms.</t>
        </is>
      </c>
      <c r="AI34" s="55" t="inlineStr">
        <is>
          <t>ValueError</t>
        </is>
      </c>
      <c r="AJ34" s="55" t="inlineStr">
        <is>
          <t>ValueError: Operators can only be scalar multiplied by float or complex, not SummedOp([ IIIXIIIII, IIIYIIIII ]) of type &lt;class 'qiskit.aqua.operators.list_ops.summed_op.SummedOp'&gt;.</t>
        </is>
      </c>
      <c r="AK34" s="55" t="inlineStr">
        <is>
          <t>The LLM wrapped each Pauli in Aqua's PauliOp but kept the *= products; in Aqua, * means scalar multiplication (composition is @ / compose), so multiplying two operators raises ValueError while the mixer is built. The reference rewrites the mixer as a hand-expanded sum of Pauli terms.</t>
        </is>
      </c>
      <c r="AL34" s="55" t="inlineStr">
        <is>
          <t>ValueError</t>
        </is>
      </c>
      <c r="AM34" s="55" t="inlineStr">
        <is>
          <t>ValueError: Operators can only be scalar multiplied by float or complex, not SummedOp([ IIIXIIIII, IIIYIIIII ]) of type &lt;class 'qiskit.aqua.operators.list_ops.summed_op.SummedOp'&gt;.</t>
        </is>
      </c>
      <c r="AN34" s="55" t="inlineStr">
        <is>
          <t>The LLM wrapped each Pauli in Aqua's PauliOp but kept the *= products; in Aqua, * means scalar multiplication (composition is @ / compose), so multiplying two operators raises ValueError while the mixer is built. The reference rewrites the mixer as a hand-expanded sum of Pauli terms.</t>
        </is>
      </c>
      <c r="AO34" s="55" t="n"/>
      <c r="AP34" s="55" t="n"/>
      <c r="AQ34" s="55" t="n"/>
      <c r="AR34" s="55" t="n"/>
      <c r="AS34" s="55" t="n"/>
      <c r="AT34" s="55" t="n"/>
      <c r="AU34" s="55" t="n"/>
      <c r="AV34" s="55" t="n"/>
      <c r="AW34" s="55" t="n"/>
      <c r="AX34" s="55" t="n"/>
      <c r="AY34" s="55" t="n"/>
      <c r="AZ34" s="55" t="n"/>
      <c r="BA34" s="55" t="n"/>
      <c r="BB34" s="55" t="n"/>
      <c r="BC34" s="55" t="n"/>
      <c r="BD34" s="55" t="n"/>
      <c r="BE34" s="55" t="n"/>
      <c r="BF34" s="55" t="n"/>
      <c r="BG34" s="55" t="n"/>
      <c r="BH34" s="55" t="n"/>
      <c r="BI34" s="55" t="n"/>
      <c r="BJ34" s="55" t="n"/>
      <c r="BK34" s="55" t="n"/>
      <c r="BL34" s="55" t="n"/>
      <c r="BM34" s="55" t="n"/>
      <c r="BN34" s="55" t="n"/>
      <c r="BO34" s="55" t="n"/>
      <c r="BP34" s="55" t="n"/>
      <c r="BQ34" s="55" t="n"/>
      <c r="BR34" s="55" t="n"/>
      <c r="BS34" s="55" t="n"/>
      <c r="BT34" s="55" t="n"/>
      <c r="BU34" s="55" t="n"/>
      <c r="BV34" s="55" t="n"/>
      <c r="BW34" s="55" t="n"/>
      <c r="BX34" s="55" t="n"/>
      <c r="BY34" s="55" t="n"/>
      <c r="BZ34" s="55" t="n"/>
      <c r="CA34" s="55" t="n"/>
      <c r="CB34" s="55" t="n"/>
      <c r="CC34" s="55" t="n"/>
      <c r="CD34" s="55" t="n"/>
      <c r="CE34" s="55" t="n"/>
      <c r="CF34" s="55" t="n"/>
      <c r="CG34" s="55" t="n"/>
      <c r="CH34" s="55" t="n"/>
      <c r="CI34" s="55" t="n"/>
      <c r="CJ34" s="55" t="n"/>
      <c r="CK34" s="55" t="n"/>
      <c r="CL34" s="55" t="n"/>
      <c r="CM34" s="55" t="n"/>
      <c r="CN34" s="55" t="n"/>
      <c r="CO34" s="55" t="n"/>
      <c r="CP34" s="55" t="n"/>
      <c r="CQ34" s="55" t="n"/>
      <c r="CR34" s="55" t="n"/>
      <c r="CS34" s="55" t="n"/>
      <c r="CT34" s="55" t="n"/>
      <c r="CU34" s="55" t="n"/>
      <c r="CV34" s="55" t="n"/>
      <c r="CW34" s="55" t="n"/>
      <c r="CX34" s="55" t="n"/>
      <c r="CY34" s="55" t="n"/>
      <c r="CZ34" s="55" t="n"/>
      <c r="DA34" s="55" t="n"/>
      <c r="DB34" s="55" t="n"/>
      <c r="DC34" s="55" t="n"/>
      <c r="DD34" s="55" t="n"/>
      <c r="DE34" s="55" t="n"/>
    </row>
    <row r="35">
      <c r="A35" s="55" t="inlineStr">
        <is>
          <t>issue_595</t>
        </is>
      </c>
      <c r="B35" s="56" t="inlineStr">
        <is>
          <t>NOT_TESTED</t>
        </is>
      </c>
      <c r="C35" s="56" t="inlineStr">
        <is>
          <t>NOT_TESTED</t>
        </is>
      </c>
      <c r="D35" s="56" t="inlineStr">
        <is>
          <t>NOT_TESTED</t>
        </is>
      </c>
      <c r="E35" s="56" t="inlineStr">
        <is>
          <t>NOT_TESTED</t>
        </is>
      </c>
      <c r="F35" s="59" t="inlineStr">
        <is>
          <t>Passed on test</t>
        </is>
      </c>
      <c r="G35" s="59" t="inlineStr">
        <is>
          <t>Passed on test</t>
        </is>
      </c>
      <c r="H35" s="59" t="inlineStr">
        <is>
          <t>Passed on test</t>
        </is>
      </c>
      <c r="I35" s="59" t="inlineStr">
        <is>
          <t>Passed on test</t>
        </is>
      </c>
      <c r="J35" s="59" t="inlineStr">
        <is>
          <t>Passed on test</t>
        </is>
      </c>
      <c r="K35" s="59" t="inlineStr">
        <is>
          <t>Passed on test</t>
        </is>
      </c>
      <c r="L35" s="59" t="inlineStr">
        <is>
          <t>Passed on test</t>
        </is>
      </c>
      <c r="M35" s="59" t="inlineStr">
        <is>
          <t>Passed on test</t>
        </is>
      </c>
      <c r="N35" s="59" t="inlineStr">
        <is>
          <t>Passed on test</t>
        </is>
      </c>
      <c r="O35" s="59" t="inlineStr">
        <is>
          <t>Passed on test</t>
        </is>
      </c>
      <c r="P35" s="59" t="inlineStr">
        <is>
          <t>Passed on test</t>
        </is>
      </c>
      <c r="Q35" s="59" t="inlineStr">
        <is>
          <t>Passed on test</t>
        </is>
      </c>
      <c r="R35" s="59" t="inlineStr">
        <is>
          <t>Passed on test</t>
        </is>
      </c>
      <c r="S35" s="59" t="inlineStr">
        <is>
          <t>Passed on test</t>
        </is>
      </c>
      <c r="T35" s="59" t="inlineStr">
        <is>
          <t>Passed on test</t>
        </is>
      </c>
      <c r="U35" s="59" t="inlineStr">
        <is>
          <t>Passed on test</t>
        </is>
      </c>
      <c r="V35" s="59" t="inlineStr">
        <is>
          <t>Passed on test</t>
        </is>
      </c>
      <c r="W35" s="59" t="inlineStr">
        <is>
          <t>Passed on test</t>
        </is>
      </c>
      <c r="X35" s="59" t="inlineStr">
        <is>
          <t>Passed on test</t>
        </is>
      </c>
      <c r="Y35" s="59" t="inlineStr">
        <is>
          <t>Passed on test</t>
        </is>
      </c>
      <c r="Z35" s="59" t="inlineStr">
        <is>
          <t>Passed on test</t>
        </is>
      </c>
      <c r="AA35" s="59" t="inlineStr">
        <is>
          <t>Passed on test</t>
        </is>
      </c>
      <c r="AB35" s="59" t="inlineStr">
        <is>
          <t>Passed on test</t>
        </is>
      </c>
      <c r="AC35" s="55" t="n"/>
      <c r="AD35" s="55" t="n"/>
      <c r="AE35" s="55" t="n"/>
      <c r="AF35" s="55" t="n"/>
      <c r="AG35" s="55" t="n"/>
      <c r="AH35" s="55" t="n"/>
      <c r="AI35" s="55" t="n"/>
      <c r="AJ35" s="55" t="n"/>
      <c r="AK35" s="55" t="n"/>
      <c r="AL35" s="55" t="n"/>
      <c r="AM35" s="55" t="n"/>
      <c r="AN35" s="55" t="n"/>
      <c r="AO35" s="55" t="n"/>
      <c r="AP35" s="55" t="n"/>
      <c r="AQ35" s="55" t="n"/>
      <c r="AR35" s="55" t="n"/>
      <c r="AS35" s="55" t="n"/>
      <c r="AT35" s="55" t="n"/>
      <c r="AU35" s="55" t="n"/>
      <c r="AV35" s="55" t="n"/>
      <c r="AW35" s="55" t="n"/>
      <c r="AX35" s="55" t="n"/>
      <c r="AY35" s="55" t="n"/>
      <c r="AZ35" s="55" t="n"/>
      <c r="BA35" s="55" t="n"/>
      <c r="BB35" s="55" t="n"/>
      <c r="BC35" s="55" t="n"/>
      <c r="BD35" s="55" t="n"/>
      <c r="BE35" s="55" t="n"/>
      <c r="BF35" s="55" t="n"/>
      <c r="BG35" s="55" t="n"/>
      <c r="BH35" s="55" t="n"/>
      <c r="BI35" s="55" t="n"/>
      <c r="BJ35" s="55" t="n"/>
      <c r="BK35" s="55" t="n"/>
      <c r="BL35" s="55" t="n"/>
      <c r="BM35" s="55" t="n"/>
      <c r="BN35" s="55" t="n"/>
      <c r="BO35" s="55" t="n"/>
      <c r="BP35" s="55" t="n"/>
      <c r="BQ35" s="55" t="n"/>
      <c r="BR35" s="55" t="n"/>
      <c r="BS35" s="55" t="n"/>
      <c r="BT35" s="55" t="n"/>
      <c r="BU35" s="55" t="n"/>
      <c r="BV35" s="55" t="n"/>
      <c r="BW35" s="55" t="n"/>
      <c r="BX35" s="55" t="n"/>
      <c r="BY35" s="55" t="n"/>
      <c r="BZ35" s="55" t="n"/>
      <c r="CA35" s="55" t="n"/>
      <c r="CB35" s="55" t="n"/>
      <c r="CC35" s="55" t="n"/>
      <c r="CD35" s="55" t="n"/>
      <c r="CE35" s="55" t="n"/>
      <c r="CF35" s="55" t="n"/>
      <c r="CG35" s="55" t="n"/>
      <c r="CH35" s="55" t="n"/>
      <c r="CI35" s="55" t="n"/>
      <c r="CJ35" s="55" t="n"/>
      <c r="CK35" s="55" t="n"/>
      <c r="CL35" s="55" t="n"/>
      <c r="CM35" s="55" t="n"/>
      <c r="CN35" s="55" t="n"/>
      <c r="CO35" s="55" t="n"/>
      <c r="CP35" s="55" t="n"/>
      <c r="CQ35" s="55" t="n"/>
      <c r="CR35" s="55" t="n"/>
      <c r="CS35" s="55" t="n"/>
      <c r="CT35" s="55" t="n"/>
      <c r="CU35" s="55" t="n"/>
      <c r="CV35" s="55" t="n"/>
      <c r="CW35" s="55" t="n"/>
      <c r="CX35" s="55" t="n"/>
      <c r="CY35" s="55" t="n"/>
      <c r="CZ35" s="55" t="n"/>
      <c r="DA35" s="55" t="n"/>
      <c r="DB35" s="55" t="n"/>
      <c r="DC35" s="55" t="n"/>
      <c r="DD35" s="55" t="n"/>
      <c r="DE35" s="55" t="n"/>
    </row>
    <row r="36">
      <c r="A36" s="55" t="inlineStr">
        <is>
          <t>issue_596</t>
        </is>
      </c>
      <c r="B36" s="59" t="inlineStr">
        <is>
          <t>Passed on test</t>
        </is>
      </c>
      <c r="C36" s="59" t="inlineStr">
        <is>
          <t>Passed on test</t>
        </is>
      </c>
      <c r="D36" s="59" t="inlineStr">
        <is>
          <t>Passed on test</t>
        </is>
      </c>
      <c r="E36" s="59" t="inlineStr">
        <is>
          <t>Passed on test</t>
        </is>
      </c>
      <c r="F36" s="59" t="inlineStr">
        <is>
          <t>Passed on test</t>
        </is>
      </c>
      <c r="G36" s="59" t="inlineStr">
        <is>
          <t>Passed on test</t>
        </is>
      </c>
      <c r="H36" s="59" t="inlineStr">
        <is>
          <t>Passed on test</t>
        </is>
      </c>
      <c r="I36" s="59" t="inlineStr">
        <is>
          <t>Passed on test</t>
        </is>
      </c>
      <c r="J36" s="59" t="inlineStr">
        <is>
          <t>Passed on test</t>
        </is>
      </c>
      <c r="K36" s="59" t="inlineStr">
        <is>
          <t>Passed on test</t>
        </is>
      </c>
      <c r="L36" s="59" t="inlineStr">
        <is>
          <t>Passed on test</t>
        </is>
      </c>
      <c r="M36" s="59" t="inlineStr">
        <is>
          <t>Passed on test</t>
        </is>
      </c>
      <c r="N36" s="56" t="inlineStr">
        <is>
          <t>NOT_TESTED</t>
        </is>
      </c>
      <c r="O36" s="56" t="inlineStr">
        <is>
          <t>NOT_TESTED</t>
        </is>
      </c>
      <c r="P36" s="56" t="inlineStr">
        <is>
          <t>NOT_TESTED</t>
        </is>
      </c>
      <c r="Q36" s="56" t="inlineStr">
        <is>
          <t>NOT_TESTED</t>
        </is>
      </c>
      <c r="R36" s="56" t="inlineStr">
        <is>
          <t>NOT_TESTED</t>
        </is>
      </c>
      <c r="S36" s="56" t="inlineStr">
        <is>
          <t>NOT_TESTED</t>
        </is>
      </c>
      <c r="T36" s="56" t="inlineStr">
        <is>
          <t>NOT_TESTED</t>
        </is>
      </c>
      <c r="U36" s="56" t="inlineStr">
        <is>
          <t>NOT_TESTED</t>
        </is>
      </c>
      <c r="V36" s="56" t="inlineStr">
        <is>
          <t>NOT_TESTED</t>
        </is>
      </c>
      <c r="W36" s="56" t="inlineStr">
        <is>
          <t>NOT_TESTED</t>
        </is>
      </c>
      <c r="X36" s="56" t="inlineStr">
        <is>
          <t>NOT_TESTED</t>
        </is>
      </c>
      <c r="Y36" s="56" t="inlineStr">
        <is>
          <t>NOT_TESTED</t>
        </is>
      </c>
      <c r="Z36" s="56" t="inlineStr">
        <is>
          <t>NOT_TESTED</t>
        </is>
      </c>
      <c r="AA36" s="56" t="inlineStr">
        <is>
          <t>NOT_TESTED</t>
        </is>
      </c>
      <c r="AB36" s="56" t="inlineStr">
        <is>
          <t>NOT_TESTED</t>
        </is>
      </c>
      <c r="AC36" s="55" t="n"/>
      <c r="AD36" s="55" t="n"/>
      <c r="AE36" s="55" t="n"/>
      <c r="AF36" s="55" t="n"/>
      <c r="AG36" s="55" t="n"/>
      <c r="AH36" s="55" t="n"/>
      <c r="AI36" s="55" t="n"/>
      <c r="AJ36" s="55" t="n"/>
      <c r="AK36" s="55" t="n"/>
      <c r="AL36" s="55" t="n"/>
      <c r="AM36" s="55" t="n"/>
      <c r="AN36" s="55" t="n"/>
      <c r="AO36" s="55" t="n"/>
      <c r="AP36" s="55" t="n"/>
      <c r="AQ36" s="55" t="n"/>
      <c r="AR36" s="55" t="n"/>
      <c r="AS36" s="55" t="n"/>
      <c r="AT36" s="55" t="n"/>
      <c r="AU36" s="55" t="n"/>
      <c r="AV36" s="55" t="n"/>
      <c r="AW36" s="55" t="n"/>
      <c r="AX36" s="55" t="n"/>
      <c r="AY36" s="55" t="n"/>
      <c r="AZ36" s="55" t="n"/>
      <c r="BA36" s="55" t="n"/>
      <c r="BB36" s="55" t="n"/>
      <c r="BC36" s="55" t="n"/>
      <c r="BD36" s="55" t="n"/>
      <c r="BE36" s="55" t="n"/>
      <c r="BF36" s="55" t="n"/>
      <c r="BG36" s="55" t="n"/>
      <c r="BH36" s="55" t="n"/>
      <c r="BI36" s="55" t="n"/>
      <c r="BJ36" s="55" t="n"/>
      <c r="BK36" s="55" t="n"/>
      <c r="BL36" s="55" t="n"/>
      <c r="BM36" s="55" t="n"/>
      <c r="BN36" s="55" t="n"/>
      <c r="BO36" s="55" t="n"/>
      <c r="BP36" s="55" t="n"/>
      <c r="BQ36" s="55" t="n"/>
      <c r="BR36" s="55" t="n"/>
      <c r="BS36" s="55" t="n"/>
      <c r="BT36" s="55" t="n"/>
      <c r="BU36" s="55" t="n"/>
      <c r="BV36" s="55" t="n"/>
      <c r="BW36" s="55" t="n"/>
      <c r="BX36" s="55" t="n"/>
      <c r="BY36" s="55" t="n"/>
      <c r="BZ36" s="55" t="n"/>
      <c r="CA36" s="55" t="n"/>
      <c r="CB36" s="55" t="n"/>
      <c r="CC36" s="55" t="n"/>
      <c r="CD36" s="55" t="n"/>
      <c r="CE36" s="55" t="n"/>
      <c r="CF36" s="55" t="n"/>
      <c r="CG36" s="55" t="n"/>
      <c r="CH36" s="55" t="n"/>
      <c r="CI36" s="55" t="n"/>
      <c r="CJ36" s="55" t="n"/>
      <c r="CK36" s="55" t="n"/>
      <c r="CL36" s="55" t="n"/>
      <c r="CM36" s="55" t="n"/>
      <c r="CN36" s="55" t="n"/>
      <c r="CO36" s="55" t="n"/>
      <c r="CP36" s="55" t="n"/>
      <c r="CQ36" s="55" t="n"/>
      <c r="CR36" s="55" t="n"/>
      <c r="CS36" s="55" t="n"/>
      <c r="CT36" s="55" t="n"/>
      <c r="CU36" s="55" t="n"/>
      <c r="CV36" s="55" t="n"/>
      <c r="CW36" s="55" t="n"/>
      <c r="CX36" s="55" t="n"/>
      <c r="CY36" s="55" t="n"/>
      <c r="CZ36" s="55" t="n"/>
      <c r="DA36" s="55" t="n"/>
      <c r="DB36" s="55" t="n"/>
      <c r="DC36" s="55" t="n"/>
      <c r="DD36" s="55" t="n"/>
      <c r="DE36" s="55" t="n"/>
    </row>
    <row r="37">
      <c r="A37" s="55" t="inlineStr">
        <is>
          <t>issue_600</t>
        </is>
      </c>
      <c r="B37" s="57" t="inlineStr">
        <is>
          <t>Runtime error</t>
        </is>
      </c>
      <c r="C37" s="57" t="inlineStr">
        <is>
          <t>Runtime error</t>
        </is>
      </c>
      <c r="D37" s="57" t="inlineStr">
        <is>
          <t>Runtime error</t>
        </is>
      </c>
      <c r="E37" s="57" t="inlineStr">
        <is>
          <t>Runtime error</t>
        </is>
      </c>
      <c r="F37" s="59" t="inlineStr">
        <is>
          <t>Passed on test</t>
        </is>
      </c>
      <c r="G37" s="59" t="inlineStr">
        <is>
          <t>Passed on test</t>
        </is>
      </c>
      <c r="H37" s="59" t="inlineStr">
        <is>
          <t>Passed on test</t>
        </is>
      </c>
      <c r="I37" s="59" t="inlineStr">
        <is>
          <t>Passed on test</t>
        </is>
      </c>
      <c r="J37" s="59" t="inlineStr">
        <is>
          <t>Passed on test</t>
        </is>
      </c>
      <c r="K37" s="59" t="inlineStr">
        <is>
          <t>Passed on test</t>
        </is>
      </c>
      <c r="L37" s="59" t="inlineStr">
        <is>
          <t>Passed on test</t>
        </is>
      </c>
      <c r="M37" s="59" t="inlineStr">
        <is>
          <t>Passed on test</t>
        </is>
      </c>
      <c r="N37" s="56" t="inlineStr">
        <is>
          <t>NOT_TESTED</t>
        </is>
      </c>
      <c r="O37" s="56" t="inlineStr">
        <is>
          <t>NOT_TESTED</t>
        </is>
      </c>
      <c r="P37" s="56" t="inlineStr">
        <is>
          <t>NOT_TESTED</t>
        </is>
      </c>
      <c r="Q37" s="56" t="inlineStr">
        <is>
          <t>NOT_TESTED</t>
        </is>
      </c>
      <c r="R37" s="56" t="inlineStr">
        <is>
          <t>NOT_TESTED</t>
        </is>
      </c>
      <c r="S37" s="56" t="inlineStr">
        <is>
          <t>NOT_TESTED</t>
        </is>
      </c>
      <c r="T37" s="56" t="inlineStr">
        <is>
          <t>NOT_TESTED</t>
        </is>
      </c>
      <c r="U37" s="56" t="inlineStr">
        <is>
          <t>NOT_TESTED</t>
        </is>
      </c>
      <c r="V37" s="56" t="inlineStr">
        <is>
          <t>NOT_TESTED</t>
        </is>
      </c>
      <c r="W37" s="56" t="inlineStr">
        <is>
          <t>NOT_TESTED</t>
        </is>
      </c>
      <c r="X37" s="56" t="inlineStr">
        <is>
          <t>NOT_TESTED</t>
        </is>
      </c>
      <c r="Y37" s="56" t="inlineStr">
        <is>
          <t>NOT_TESTED</t>
        </is>
      </c>
      <c r="Z37" s="56" t="inlineStr">
        <is>
          <t>NOT_TESTED</t>
        </is>
      </c>
      <c r="AA37" s="56" t="inlineStr">
        <is>
          <t>NOT_TESTED</t>
        </is>
      </c>
      <c r="AB37" s="56" t="inlineStr">
        <is>
          <t>NOT_TESTED</t>
        </is>
      </c>
      <c r="AC37" s="55" t="inlineStr">
        <is>
          <t>ImportError</t>
        </is>
      </c>
      <c r="AD37" s="55" t="inlineStr">
        <is>
          <t>ImportError: cannot import name 'PauliGate' from 'qiskit.circuit.library' (C:\qiskit_envs\q0250\lib\site-packages\qiskit\circuit\library\__init__.py)</t>
        </is>
      </c>
      <c r="AE37" s="55" t="inlineStr">
        <is>
          <t>The LLM kept the now-unused import of PauliGate, which does not exist in Qiskit 0.25 (Terra 0.17), so the script crashes on import. PauliEvolutionGate, which it switched to, does not exist there either (it was added in Terra 0.19). The reference drops the import and uses rxx/ryy/rzz, which exist in 0.25.</t>
        </is>
      </c>
      <c r="AF37" s="55" t="inlineStr">
        <is>
          <t>ImportError</t>
        </is>
      </c>
      <c r="AG37" s="55" t="inlineStr">
        <is>
          <t>ImportError: cannot import name 'PauliGate' from 'qiskit.circuit.library' (C:\qiskit_envs\q0251\lib\site-packages\qiskit\circuit\library\__init__.py)</t>
        </is>
      </c>
      <c r="AH37" s="55" t="inlineStr">
        <is>
          <t>The LLM kept the now-unused import of PauliGate, which does not exist in Qiskit 0.25 (Terra 0.17), so the script crashes on import. PauliEvolutionGate, which it switched to, does not exist there either (it was added in Terra 0.19). The reference drops the import and uses rxx/ryy/rzz, which exist in 0.25.</t>
        </is>
      </c>
      <c r="AI37" s="55" t="inlineStr">
        <is>
          <t>ImportError</t>
        </is>
      </c>
      <c r="AJ37" s="55" t="inlineStr">
        <is>
          <t>ImportError: cannot import name 'PauliGate' from 'qiskit.circuit.library' (C:\qiskit_envs\q0252\lib\site-packages\qiskit\circuit\library\__init__.py)</t>
        </is>
      </c>
      <c r="AK37" s="55" t="inlineStr">
        <is>
          <t>The LLM kept the now-unused import of PauliGate, which does not exist in Qiskit 0.25 (Terra 0.17), so the script crashes on import. PauliEvolutionGate, which it switched to, does not exist there either (it was added in Terra 0.19). The reference drops the import and uses rxx/ryy/rzz, which exist in 0.25.</t>
        </is>
      </c>
      <c r="AL37" s="55" t="inlineStr">
        <is>
          <t>ImportError</t>
        </is>
      </c>
      <c r="AM37" s="55" t="inlineStr">
        <is>
          <t>ImportError: cannot import name 'PauliGate' from 'qiskit.circuit.library' (C:\qiskit_envs\q0253\lib\site-packages\qiskit\circuit\library\__init__.py)</t>
        </is>
      </c>
      <c r="AN37" s="55" t="inlineStr">
        <is>
          <t>The LLM kept the now-unused import of PauliGate, which does not exist in Qiskit 0.25 (Terra 0.17), so the script crashes on import. PauliEvolutionGate, which it switched to, does not exist there either (it was added in Terra 0.19). The reference drops the import and uses rxx/ryy/rzz, which exist in 0.25.</t>
        </is>
      </c>
      <c r="AO37" s="55" t="n"/>
      <c r="AP37" s="55" t="n"/>
      <c r="AQ37" s="55" t="n"/>
      <c r="AR37" s="55" t="n"/>
      <c r="AS37" s="55" t="n"/>
      <c r="AT37" s="55" t="n"/>
      <c r="AU37" s="55" t="n"/>
      <c r="AV37" s="55" t="n"/>
      <c r="AW37" s="55" t="n"/>
      <c r="AX37" s="55" t="n"/>
      <c r="AY37" s="55" t="n"/>
      <c r="AZ37" s="55" t="n"/>
      <c r="BA37" s="55" t="n"/>
      <c r="BB37" s="55" t="n"/>
      <c r="BC37" s="55" t="n"/>
      <c r="BD37" s="55" t="n"/>
      <c r="BE37" s="55" t="n"/>
      <c r="BF37" s="55" t="n"/>
      <c r="BG37" s="55" t="n"/>
      <c r="BH37" s="55" t="n"/>
      <c r="BI37" s="55" t="n"/>
      <c r="BJ37" s="55" t="n"/>
      <c r="BK37" s="55" t="n"/>
      <c r="BL37" s="55" t="n"/>
      <c r="BM37" s="55" t="n"/>
      <c r="BN37" s="55" t="n"/>
      <c r="BO37" s="55" t="n"/>
      <c r="BP37" s="55" t="n"/>
      <c r="BQ37" s="55" t="n"/>
      <c r="BR37" s="55" t="n"/>
      <c r="BS37" s="55" t="n"/>
      <c r="BT37" s="55" t="n"/>
      <c r="BU37" s="55" t="n"/>
      <c r="BV37" s="55" t="n"/>
      <c r="BW37" s="55" t="n"/>
      <c r="BX37" s="55" t="n"/>
      <c r="BY37" s="55" t="n"/>
      <c r="BZ37" s="55" t="n"/>
      <c r="CA37" s="55" t="n"/>
      <c r="CB37" s="55" t="n"/>
      <c r="CC37" s="55" t="n"/>
      <c r="CD37" s="55" t="n"/>
      <c r="CE37" s="55" t="n"/>
      <c r="CF37" s="55" t="n"/>
      <c r="CG37" s="55" t="n"/>
      <c r="CH37" s="55" t="n"/>
      <c r="CI37" s="55" t="n"/>
      <c r="CJ37" s="55" t="n"/>
      <c r="CK37" s="55" t="n"/>
      <c r="CL37" s="55" t="n"/>
      <c r="CM37" s="55" t="n"/>
      <c r="CN37" s="55" t="n"/>
      <c r="CO37" s="55" t="n"/>
      <c r="CP37" s="55" t="n"/>
      <c r="CQ37" s="55" t="n"/>
      <c r="CR37" s="55" t="n"/>
      <c r="CS37" s="55" t="n"/>
      <c r="CT37" s="55" t="n"/>
      <c r="CU37" s="55" t="n"/>
      <c r="CV37" s="55" t="n"/>
      <c r="CW37" s="55" t="n"/>
      <c r="CX37" s="55" t="n"/>
      <c r="CY37" s="55" t="n"/>
      <c r="CZ37" s="55" t="n"/>
      <c r="DA37" s="55" t="n"/>
      <c r="DB37" s="55" t="n"/>
      <c r="DC37" s="55" t="n"/>
      <c r="DD37" s="55" t="n"/>
      <c r="DE37" s="55" t="n"/>
    </row>
    <row r="38">
      <c r="A38" s="55" t="inlineStr">
        <is>
          <t>issue_622</t>
        </is>
      </c>
      <c r="B38" s="59" t="inlineStr">
        <is>
          <t>Passed on test</t>
        </is>
      </c>
      <c r="C38" s="59" t="inlineStr">
        <is>
          <t>Passed on test</t>
        </is>
      </c>
      <c r="D38" s="59" t="inlineStr">
        <is>
          <t>Passed on test</t>
        </is>
      </c>
      <c r="E38" s="59" t="inlineStr">
        <is>
          <t>Passed on test</t>
        </is>
      </c>
      <c r="F38" s="59" t="inlineStr">
        <is>
          <t>Passed on test</t>
        </is>
      </c>
      <c r="G38" s="59" t="inlineStr">
        <is>
          <t>Passed on test</t>
        </is>
      </c>
      <c r="H38" s="59" t="inlineStr">
        <is>
          <t>Passed on test</t>
        </is>
      </c>
      <c r="I38" s="59" t="inlineStr">
        <is>
          <t>Passed on test</t>
        </is>
      </c>
      <c r="J38" s="59" t="inlineStr">
        <is>
          <t>Passed on test</t>
        </is>
      </c>
      <c r="K38" s="59" t="inlineStr">
        <is>
          <t>Passed on test</t>
        </is>
      </c>
      <c r="L38" s="59" t="inlineStr">
        <is>
          <t>Passed on test</t>
        </is>
      </c>
      <c r="M38" s="59" t="inlineStr">
        <is>
          <t>Passed on test</t>
        </is>
      </c>
      <c r="N38" s="56" t="inlineStr">
        <is>
          <t>NOT_TESTED</t>
        </is>
      </c>
      <c r="O38" s="56" t="inlineStr">
        <is>
          <t>NOT_TESTED</t>
        </is>
      </c>
      <c r="P38" s="56" t="inlineStr">
        <is>
          <t>NOT_TESTED</t>
        </is>
      </c>
      <c r="Q38" s="56" t="inlineStr">
        <is>
          <t>NOT_TESTED</t>
        </is>
      </c>
      <c r="R38" s="56" t="inlineStr">
        <is>
          <t>NOT_TESTED</t>
        </is>
      </c>
      <c r="S38" s="56" t="inlineStr">
        <is>
          <t>NOT_TESTED</t>
        </is>
      </c>
      <c r="T38" s="56" t="inlineStr">
        <is>
          <t>NOT_TESTED</t>
        </is>
      </c>
      <c r="U38" s="56" t="inlineStr">
        <is>
          <t>NOT_TESTED</t>
        </is>
      </c>
      <c r="V38" s="56" t="inlineStr">
        <is>
          <t>NOT_TESTED</t>
        </is>
      </c>
      <c r="W38" s="56" t="inlineStr">
        <is>
          <t>NOT_TESTED</t>
        </is>
      </c>
      <c r="X38" s="56" t="inlineStr">
        <is>
          <t>NOT_TESTED</t>
        </is>
      </c>
      <c r="Y38" s="56" t="inlineStr">
        <is>
          <t>NOT_TESTED</t>
        </is>
      </c>
      <c r="Z38" s="56" t="inlineStr">
        <is>
          <t>NOT_TESTED</t>
        </is>
      </c>
      <c r="AA38" s="56" t="inlineStr">
        <is>
          <t>NOT_TESTED</t>
        </is>
      </c>
      <c r="AB38" s="56" t="inlineStr">
        <is>
          <t>NOT_TESTED</t>
        </is>
      </c>
      <c r="AC38" s="55" t="inlineStr">
        <is>
          <t>AssertionError</t>
        </is>
      </c>
      <c r="AD38" s="55" t="inlineStr">
        <is>
          <t>AssertionError: Items in the first set but not the second: '01' '10'</t>
        </is>
      </c>
      <c r="AE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AF38" s="55" t="inlineStr">
        <is>
          <t>AssertionError</t>
        </is>
      </c>
      <c r="AG38" s="55" t="inlineStr">
        <is>
          <t>AssertionError: Items in the first set but not the second: '10' '01'</t>
        </is>
      </c>
      <c r="AH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AI38" s="55" t="inlineStr">
        <is>
          <t>AssertionError</t>
        </is>
      </c>
      <c r="AJ38" s="55" t="inlineStr">
        <is>
          <t>AssertionError: Items in the first set but not the second: '01' '10'</t>
        </is>
      </c>
      <c r="AK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AL38" s="55" t="inlineStr">
        <is>
          <t>AssertionError</t>
        </is>
      </c>
      <c r="AM38" s="55" t="inlineStr">
        <is>
          <t>AssertionError: Items in the first set but not the second: '10' '01'</t>
        </is>
      </c>
      <c r="AN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AO38" s="55" t="inlineStr">
        <is>
          <t>AssertionError</t>
        </is>
      </c>
      <c r="AP38" s="55" t="inlineStr">
        <is>
          <t>AssertionError: Items in the first set but not the second: '10' '01'</t>
        </is>
      </c>
      <c r="AQ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AR38" s="55" t="inlineStr">
        <is>
          <t>AssertionError</t>
        </is>
      </c>
      <c r="AS38" s="55" t="inlineStr">
        <is>
          <t>AssertionError: Items in the first set but not the second: '10' '01'</t>
        </is>
      </c>
      <c r="AT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AU38" s="55" t="inlineStr">
        <is>
          <t>AssertionError</t>
        </is>
      </c>
      <c r="AV38" s="55" t="inlineStr">
        <is>
          <t>AssertionError: Items in the first set but not the second: '01' '10'</t>
        </is>
      </c>
      <c r="AW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AX38" s="55" t="inlineStr">
        <is>
          <t>AssertionError</t>
        </is>
      </c>
      <c r="AY38" s="55" t="inlineStr">
        <is>
          <t>AssertionError: Items in the first set but not the second: '01' '10'</t>
        </is>
      </c>
      <c r="AZ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BA38" s="55" t="inlineStr">
        <is>
          <t>AssertionError</t>
        </is>
      </c>
      <c r="BB38" s="55" t="inlineStr">
        <is>
          <t>AssertionError: Items in the first set but not the second: '01' '10'</t>
        </is>
      </c>
      <c r="BC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BD38" s="55" t="inlineStr">
        <is>
          <t>AssertionError</t>
        </is>
      </c>
      <c r="BE38" s="55" t="inlineStr">
        <is>
          <t>AssertionError: Items in the first set but not the second: '10' '01'</t>
        </is>
      </c>
      <c r="BF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BG38" s="55" t="inlineStr">
        <is>
          <t>AssertionError</t>
        </is>
      </c>
      <c r="BH38" s="55" t="inlineStr">
        <is>
          <t>AssertionError: Items in the first set but not the second: '10' '01'</t>
        </is>
      </c>
      <c r="BI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BJ38" s="55" t="inlineStr">
        <is>
          <t>AssertionError</t>
        </is>
      </c>
      <c r="BK38" s="55" t="inlineStr">
        <is>
          <t>AssertionError: Items in the first set but not the second: '10' '01'</t>
        </is>
      </c>
      <c r="BL38" s="55" t="inlineStr">
        <is>
          <t>The LLM swapped the 1-qubit FakeArmonk for the 5-qubit FakeYorktown, which fixes the qubit-count error, but fake backends simulate the device's noise, so about 9% of shots come out as '01' or '10'. The test requires only '00' and '11' (a noise-free simulator, like the reference's Aer qasm_simulator); every other check passes.</t>
        </is>
      </c>
      <c r="BM38" s="55" t="n"/>
      <c r="BN38" s="55" t="n"/>
      <c r="BO38" s="55" t="n"/>
      <c r="BP38" s="55" t="n"/>
      <c r="BQ38" s="55" t="n"/>
      <c r="BR38" s="55" t="n"/>
      <c r="BS38" s="55" t="n"/>
      <c r="BT38" s="55" t="n"/>
      <c r="BU38" s="55" t="n"/>
      <c r="BV38" s="55" t="n"/>
      <c r="BW38" s="55" t="n"/>
      <c r="BX38" s="55" t="n"/>
      <c r="BY38" s="55" t="n"/>
      <c r="BZ38" s="55" t="n"/>
      <c r="CA38" s="55" t="n"/>
      <c r="CB38" s="55" t="n"/>
      <c r="CC38" s="55" t="n"/>
      <c r="CD38" s="55" t="n"/>
      <c r="CE38" s="55" t="n"/>
      <c r="CF38" s="55" t="n"/>
      <c r="CG38" s="55" t="n"/>
      <c r="CH38" s="55" t="n"/>
      <c r="CI38" s="55" t="n"/>
      <c r="CJ38" s="55" t="n"/>
      <c r="CK38" s="55" t="n"/>
      <c r="CL38" s="55" t="n"/>
      <c r="CM38" s="55" t="n"/>
      <c r="CN38" s="55" t="n"/>
      <c r="CO38" s="55" t="n"/>
      <c r="CP38" s="55" t="n"/>
      <c r="CQ38" s="55" t="n"/>
      <c r="CR38" s="55" t="n"/>
      <c r="CS38" s="55" t="n"/>
      <c r="CT38" s="55" t="n"/>
      <c r="CU38" s="55" t="n"/>
      <c r="CV38" s="55" t="n"/>
      <c r="CW38" s="55" t="n"/>
      <c r="CX38" s="55" t="n"/>
      <c r="CY38" s="55" t="n"/>
      <c r="CZ38" s="55" t="n"/>
      <c r="DA38" s="55" t="n"/>
      <c r="DB38" s="55" t="n"/>
      <c r="DC38" s="55" t="n"/>
      <c r="DD38" s="55" t="n"/>
      <c r="DE38" s="55" t="n"/>
    </row>
    <row r="39">
      <c r="A39" s="55" t="inlineStr">
        <is>
          <t>issue_624</t>
        </is>
      </c>
      <c r="B39" s="57" t="inlineStr">
        <is>
          <t>Runtime error</t>
        </is>
      </c>
      <c r="C39" s="57" t="inlineStr">
        <is>
          <t>Runtime error</t>
        </is>
      </c>
      <c r="D39" s="57" t="inlineStr">
        <is>
          <t>Runtime error</t>
        </is>
      </c>
      <c r="E39" s="57" t="inlineStr">
        <is>
          <t>Runtime error</t>
        </is>
      </c>
      <c r="F39" s="57" t="inlineStr">
        <is>
          <t>Runtime error</t>
        </is>
      </c>
      <c r="G39" s="57" t="inlineStr">
        <is>
          <t>Runtime error</t>
        </is>
      </c>
      <c r="H39" s="57" t="inlineStr">
        <is>
          <t>Runtime error</t>
        </is>
      </c>
      <c r="I39" s="57" t="inlineStr">
        <is>
          <t>Runtime error</t>
        </is>
      </c>
      <c r="J39" s="57" t="inlineStr">
        <is>
          <t>Runtime error</t>
        </is>
      </c>
      <c r="K39" s="57" t="inlineStr">
        <is>
          <t>Runtime error</t>
        </is>
      </c>
      <c r="L39" s="57" t="inlineStr">
        <is>
          <t>Runtime error</t>
        </is>
      </c>
      <c r="M39" s="57" t="inlineStr">
        <is>
          <t>Runtime error</t>
        </is>
      </c>
      <c r="N39" s="56" t="inlineStr">
        <is>
          <t>NOT_TESTED</t>
        </is>
      </c>
      <c r="O39" s="56" t="inlineStr">
        <is>
          <t>NOT_TESTED</t>
        </is>
      </c>
      <c r="P39" s="56" t="inlineStr">
        <is>
          <t>NOT_TESTED</t>
        </is>
      </c>
      <c r="Q39" s="56" t="inlineStr">
        <is>
          <t>NOT_TESTED</t>
        </is>
      </c>
      <c r="R39" s="56" t="inlineStr">
        <is>
          <t>NOT_TESTED</t>
        </is>
      </c>
      <c r="S39" s="56" t="inlineStr">
        <is>
          <t>NOT_TESTED</t>
        </is>
      </c>
      <c r="T39" s="56" t="inlineStr">
        <is>
          <t>NOT_TESTED</t>
        </is>
      </c>
      <c r="U39" s="56" t="inlineStr">
        <is>
          <t>NOT_TESTED</t>
        </is>
      </c>
      <c r="V39" s="56" t="inlineStr">
        <is>
          <t>NOT_TESTED</t>
        </is>
      </c>
      <c r="W39" s="56" t="inlineStr">
        <is>
          <t>NOT_TESTED</t>
        </is>
      </c>
      <c r="X39" s="56" t="inlineStr">
        <is>
          <t>NOT_TESTED</t>
        </is>
      </c>
      <c r="Y39" s="56" t="inlineStr">
        <is>
          <t>NOT_TESTED</t>
        </is>
      </c>
      <c r="Z39" s="56" t="inlineStr">
        <is>
          <t>NOT_TESTED</t>
        </is>
      </c>
      <c r="AA39" s="56" t="inlineStr">
        <is>
          <t>NOT_TESTED</t>
        </is>
      </c>
      <c r="AB39" s="56" t="inlineStr">
        <is>
          <t>NOT_TESTED</t>
        </is>
      </c>
      <c r="AC39" s="55" t="inlineStr">
        <is>
          <t>ValueError</t>
        </is>
      </c>
      <c r="AD39" s="55" t="inlineStr">
        <is>
          <t>ValueError: Evolutions of mixed Operators not yet supported.</t>
        </is>
      </c>
      <c r="AE39" s="55" t="inlineStr">
        <is>
          <t>The LLM wrapped the circuit in CircuitOp, which is an OperatorBase with the right matrix, but QAOA cannot build the evolution of a CircuitOp ('Evolutions of mixed Operators not yet supported'). The reference converts it with MatrixOp(Operator(H)).</t>
        </is>
      </c>
      <c r="AF39" s="55" t="inlineStr">
        <is>
          <t>ValueError</t>
        </is>
      </c>
      <c r="AG39" s="55" t="inlineStr">
        <is>
          <t>ValueError: Evolutions of mixed Operators not yet supported.</t>
        </is>
      </c>
      <c r="AH39" s="55" t="inlineStr">
        <is>
          <t>The LLM wrapped the circuit in CircuitOp, which is an OperatorBase with the right matrix, but QAOA cannot build the evolution of a CircuitOp ('Evolutions of mixed Operators not yet supported'). The reference converts it with MatrixOp(Operator(H)).</t>
        </is>
      </c>
      <c r="AI39" s="55" t="inlineStr">
        <is>
          <t>ValueError</t>
        </is>
      </c>
      <c r="AJ39" s="55" t="inlineStr">
        <is>
          <t>ValueError: Evolutions of mixed Operators not yet supported.</t>
        </is>
      </c>
      <c r="AK39" s="55" t="inlineStr">
        <is>
          <t>The LLM wrapped the circuit in CircuitOp, which is an OperatorBase with the right matrix, but QAOA cannot build the evolution of a CircuitOp ('Evolutions of mixed Operators not yet supported'). The reference converts it with MatrixOp(Operator(H)).</t>
        </is>
      </c>
      <c r="AL39" s="55" t="inlineStr">
        <is>
          <t>ValueError</t>
        </is>
      </c>
      <c r="AM39" s="55" t="inlineStr">
        <is>
          <t>ValueError: Evolutions of mixed Operators not yet supported.</t>
        </is>
      </c>
      <c r="AN39" s="55" t="inlineStr">
        <is>
          <t>The LLM wrapped the circuit in CircuitOp, which is an OperatorBase with the right matrix, but QAOA cannot build the evolution of a CircuitOp ('Evolutions of mixed Operators not yet supported'). The reference converts it with MatrixOp(Operator(H)).</t>
        </is>
      </c>
      <c r="AO39" s="55" t="inlineStr">
        <is>
          <t>TypeError</t>
        </is>
      </c>
      <c r="AP39" s="55" t="inlineStr">
        <is>
          <t>TypeError: ParameterExpression with unbound parameters (dict_keys([Parameter(c)])) cannot be cast to a float.</t>
        </is>
      </c>
      <c r="AQ39" s="55" t="inlineStr">
        <is>
          <t>The LLM wrapped the circuit in CircuitOp, which is an OperatorBase with the right matrix, but QAOA cannot evolve a CircuitOp: building the parameterized evolution tries to cast the unbound parameter to a float and raises TypeError. The reference converts it with MatrixOp(Operator(H)).</t>
        </is>
      </c>
      <c r="AR39" s="55" t="inlineStr">
        <is>
          <t>TypeError</t>
        </is>
      </c>
      <c r="AS39" s="55" t="inlineStr">
        <is>
          <t>TypeError: ParameterExpression with unbound parameters (dict_keys([Parameter(c)])) cannot be cast to a float.</t>
        </is>
      </c>
      <c r="AT39" s="55" t="inlineStr">
        <is>
          <t>The LLM wrapped the circuit in CircuitOp, which is an OperatorBase with the right matrix, but QAOA cannot evolve a CircuitOp: building the parameterized evolution tries to cast the unbound parameter to a float and raises TypeError. The reference converts it with MatrixOp(Operator(H)).</t>
        </is>
      </c>
      <c r="AU39" s="55" t="inlineStr">
        <is>
          <t>TypeError</t>
        </is>
      </c>
      <c r="AV39" s="55" t="inlineStr">
        <is>
          <t>TypeError: ParameterExpression with unbound parameters (dict_keys([Parameter(c)])) cannot be cast to a float.</t>
        </is>
      </c>
      <c r="AW39" s="55" t="inlineStr">
        <is>
          <t>The LLM wrapped the circuit in CircuitOp, which is an OperatorBase with the right matrix, but QAOA cannot evolve a CircuitOp: building the parameterized evolution tries to cast the unbound parameter to a float and raises TypeError. The reference converts it with MatrixOp(Operator(H)).</t>
        </is>
      </c>
      <c r="AX39" s="55" t="inlineStr">
        <is>
          <t>TypeError</t>
        </is>
      </c>
      <c r="AY39" s="55" t="inlineStr">
        <is>
          <t>TypeError: ParameterExpression with unbound parameters (dict_keys([Parameter(c)])) cannot be cast to a float.</t>
        </is>
      </c>
      <c r="AZ39" s="55" t="inlineStr">
        <is>
          <t>The LLM wrapped the circuit in CircuitOp, which is an OperatorBase with the right matrix, but QAOA cannot evolve a CircuitOp: building the parameterized evolution tries to cast the unbound parameter to a float and raises TypeError. The reference converts it with MatrixOp(Operator(H)).</t>
        </is>
      </c>
      <c r="BA39" s="55" t="inlineStr">
        <is>
          <t>TypeError</t>
        </is>
      </c>
      <c r="BB39" s="55" t="inlineStr">
        <is>
          <t>TypeError: ParameterExpression with unbound parameters (dict_keys([Parameter(c)])) cannot be cast to a float.</t>
        </is>
      </c>
      <c r="BC39" s="55" t="inlineStr">
        <is>
          <t>The LLM wrapped the circuit in CircuitOp, which is an OperatorBase with the right matrix, but QAOA cannot evolve a CircuitOp: building the parameterized evolution tries to cast the unbound parameter to a float and raises TypeError. The reference converts it with MatrixOp(Operator(H)).</t>
        </is>
      </c>
      <c r="BD39" s="55" t="inlineStr">
        <is>
          <t>TypeError</t>
        </is>
      </c>
      <c r="BE39" s="55" t="inlineStr">
        <is>
          <t>TypeError: ParameterExpression with unbound parameters (dict_keys([Parameter(c)])) cannot be cast to a float.</t>
        </is>
      </c>
      <c r="BF39" s="55" t="inlineStr">
        <is>
          <t>The LLM wrapped the circuit in CircuitOp, which is an OperatorBase with the right matrix, but QAOA cannot evolve a CircuitOp: building the parameterized evolution tries to cast the unbound parameter to a float and raises TypeError. The reference converts it with MatrixOp(Operator(H)).</t>
        </is>
      </c>
      <c r="BG39" s="55" t="inlineStr">
        <is>
          <t>TypeError</t>
        </is>
      </c>
      <c r="BH39" s="55" t="inlineStr">
        <is>
          <t>TypeError: ParameterExpression with unbound parameters (dict_keys([Parameter(c)])) cannot be cast to a float.</t>
        </is>
      </c>
      <c r="BI39" s="55" t="inlineStr">
        <is>
          <t>The LLM wrapped the circuit in CircuitOp, which is an OperatorBase with the right matrix, but QAOA cannot evolve a CircuitOp: building the parameterized evolution tries to cast the unbound parameter to a float and raises TypeError. The reference converts it with MatrixOp(Operator(H)).</t>
        </is>
      </c>
      <c r="BJ39" s="55" t="inlineStr">
        <is>
          <t>TypeError</t>
        </is>
      </c>
      <c r="BK39" s="55" t="inlineStr">
        <is>
          <t>TypeError: ParameterExpression with unbound parameters (dict_keys([Parameter(c)])) cannot be cast to a float.</t>
        </is>
      </c>
      <c r="BL39" s="55" t="inlineStr">
        <is>
          <t>The LLM wrapped the circuit in CircuitOp, which is an OperatorBase with the right matrix, but QAOA cannot evolve a CircuitOp: building the parameterized evolution tries to cast the unbound parameter to a float and raises TypeError. The reference converts it with MatrixOp(Operator(H)).</t>
        </is>
      </c>
      <c r="BM39" s="55" t="n"/>
      <c r="BN39" s="55" t="n"/>
      <c r="BO39" s="55" t="n"/>
      <c r="BP39" s="55" t="n"/>
      <c r="BQ39" s="55" t="n"/>
      <c r="BR39" s="55" t="n"/>
      <c r="BS39" s="55" t="n"/>
      <c r="BT39" s="55" t="n"/>
      <c r="BU39" s="55" t="n"/>
      <c r="BV39" s="55" t="n"/>
      <c r="BW39" s="55" t="n"/>
      <c r="BX39" s="55" t="n"/>
      <c r="BY39" s="55" t="n"/>
      <c r="BZ39" s="55" t="n"/>
      <c r="CA39" s="55" t="n"/>
      <c r="CB39" s="55" t="n"/>
      <c r="CC39" s="55" t="n"/>
      <c r="CD39" s="55" t="n"/>
      <c r="CE39" s="55" t="n"/>
      <c r="CF39" s="55" t="n"/>
      <c r="CG39" s="55" t="n"/>
      <c r="CH39" s="55" t="n"/>
      <c r="CI39" s="55" t="n"/>
      <c r="CJ39" s="55" t="n"/>
      <c r="CK39" s="55" t="n"/>
      <c r="CL39" s="55" t="n"/>
      <c r="CM39" s="55" t="n"/>
      <c r="CN39" s="55" t="n"/>
      <c r="CO39" s="55" t="n"/>
      <c r="CP39" s="55" t="n"/>
      <c r="CQ39" s="55" t="n"/>
      <c r="CR39" s="55" t="n"/>
      <c r="CS39" s="55" t="n"/>
      <c r="CT39" s="55" t="n"/>
      <c r="CU39" s="55" t="n"/>
      <c r="CV39" s="55" t="n"/>
      <c r="CW39" s="55" t="n"/>
      <c r="CX39" s="55" t="n"/>
      <c r="CY39" s="55" t="n"/>
      <c r="CZ39" s="55" t="n"/>
      <c r="DA39" s="55" t="n"/>
      <c r="DB39" s="55" t="n"/>
      <c r="DC39" s="55" t="n"/>
      <c r="DD39" s="55" t="n"/>
      <c r="DE39" s="55" t="n"/>
    </row>
    <row r="40">
      <c r="A40" s="55" t="inlineStr">
        <is>
          <t>issue_635</t>
        </is>
      </c>
      <c r="B40" s="58" t="inlineStr">
        <is>
          <t>Failed on test</t>
        </is>
      </c>
      <c r="C40" s="58" t="inlineStr">
        <is>
          <t>Failed on test</t>
        </is>
      </c>
      <c r="D40" s="58" t="inlineStr">
        <is>
          <t>Failed on test</t>
        </is>
      </c>
      <c r="E40" s="58" t="inlineStr">
        <is>
          <t>Failed on test</t>
        </is>
      </c>
      <c r="F40" s="56" t="inlineStr">
        <is>
          <t>NOT_TESTED</t>
        </is>
      </c>
      <c r="G40" s="56" t="inlineStr">
        <is>
          <t>NOT_TESTED</t>
        </is>
      </c>
      <c r="H40" s="56" t="inlineStr">
        <is>
          <t>NOT_TESTED</t>
        </is>
      </c>
      <c r="I40" s="56" t="inlineStr">
        <is>
          <t>NOT_TESTED</t>
        </is>
      </c>
      <c r="J40" s="56" t="inlineStr">
        <is>
          <t>NOT_TESTED</t>
        </is>
      </c>
      <c r="K40" s="56" t="inlineStr">
        <is>
          <t>NOT_TESTED</t>
        </is>
      </c>
      <c r="L40" s="56" t="inlineStr">
        <is>
          <t>NOT_TESTED</t>
        </is>
      </c>
      <c r="M40" s="56" t="inlineStr">
        <is>
          <t>NOT_TESTED</t>
        </is>
      </c>
      <c r="N40" s="56" t="inlineStr">
        <is>
          <t>NOT_TESTED</t>
        </is>
      </c>
      <c r="O40" s="56" t="inlineStr">
        <is>
          <t>NOT_TESTED</t>
        </is>
      </c>
      <c r="P40" s="56" t="inlineStr">
        <is>
          <t>NOT_TESTED</t>
        </is>
      </c>
      <c r="Q40" s="56" t="inlineStr">
        <is>
          <t>NOT_TESTED</t>
        </is>
      </c>
      <c r="R40" s="56" t="inlineStr">
        <is>
          <t>NOT_TESTED</t>
        </is>
      </c>
      <c r="S40" s="56" t="inlineStr">
        <is>
          <t>NOT_TESTED</t>
        </is>
      </c>
      <c r="T40" s="56" t="inlineStr">
        <is>
          <t>NOT_TESTED</t>
        </is>
      </c>
      <c r="U40" s="56" t="inlineStr">
        <is>
          <t>NOT_TESTED</t>
        </is>
      </c>
      <c r="V40" s="56" t="inlineStr">
        <is>
          <t>NOT_TESTED</t>
        </is>
      </c>
      <c r="W40" s="56" t="inlineStr">
        <is>
          <t>NOT_TESTED</t>
        </is>
      </c>
      <c r="X40" s="56" t="inlineStr">
        <is>
          <t>NOT_TESTED</t>
        </is>
      </c>
      <c r="Y40" s="56" t="inlineStr">
        <is>
          <t>NOT_TESTED</t>
        </is>
      </c>
      <c r="Z40" s="56" t="inlineStr">
        <is>
          <t>NOT_TESTED</t>
        </is>
      </c>
      <c r="AA40" s="56" t="inlineStr">
        <is>
          <t>NOT_TESTED</t>
        </is>
      </c>
      <c r="AB40" s="56" t="inlineStr">
        <is>
          <t>NOT_TESTED</t>
        </is>
      </c>
      <c r="AC40" s="55" t="inlineStr">
        <is>
          <t>AssertionError</t>
        </is>
      </c>
      <c r="AD40" s="55" t="inlineStr">
        <is>
          <t>AssertionError: Items in the first set but not the second: 0 Items in the second set but not the first: 1 : Conditional AND failed for basis 001</t>
        </is>
      </c>
      <c r="AE40" s="55" t="inlineStr">
        <is>
          <t>The LLM conditioned the X on q[0] on the whole register equal to 1 and the X on q[1] on it equal to 2, so each X fires on a different single-bit pattern. The question wants both X gates when c[0]=1 and c[1]=1 (register value 3, as in the reference); the fix is already wrong for input 001.</t>
        </is>
      </c>
      <c r="AF40" s="55" t="inlineStr">
        <is>
          <t>AssertionError</t>
        </is>
      </c>
      <c r="AG40" s="55" t="inlineStr">
        <is>
          <t>AssertionError: Items in the first set but not the second: 0 Items in the second set but not the first: 1 : Conditional AND failed for basis 001</t>
        </is>
      </c>
      <c r="AH40" s="55" t="inlineStr">
        <is>
          <t>The LLM conditioned the X on q[0] on the whole register equal to 1 and the X on q[1] on it equal to 2, so each X fires on a different single-bit pattern. The question wants both X gates when c[0]=1 and c[1]=1 (register value 3, as in the reference); the fix is already wrong for input 001.</t>
        </is>
      </c>
      <c r="AI40" s="55" t="inlineStr">
        <is>
          <t>AssertionError</t>
        </is>
      </c>
      <c r="AJ40" s="55" t="inlineStr">
        <is>
          <t>AssertionError: Items in the first set but not the second: 0 Items in the second set but not the first: 1 : Conditional AND failed for basis 001</t>
        </is>
      </c>
      <c r="AK40" s="55" t="inlineStr">
        <is>
          <t>The LLM conditioned the X on q[0] on the whole register equal to 1 and the X on q[1] on it equal to 2, so each X fires on a different single-bit pattern. The question wants both X gates when c[0]=1 and c[1]=1 (register value 3, as in the reference); the fix is already wrong for input 001.</t>
        </is>
      </c>
      <c r="AL40" s="55" t="inlineStr">
        <is>
          <t>AssertionError</t>
        </is>
      </c>
      <c r="AM40" s="55" t="inlineStr">
        <is>
          <t>AssertionError: Items in the first set but not the second: 0 Items in the second set but not the first: 1 : Conditional AND failed for basis 001</t>
        </is>
      </c>
      <c r="AN40" s="55" t="inlineStr">
        <is>
          <t>The LLM conditioned the X on q[0] on the whole register equal to 1 and the X on q[1] on it equal to 2, so each X fires on a different single-bit pattern. The question wants both X gates when c[0]=1 and c[1]=1 (register value 3, as in the reference); the fix is already wrong for input 001.</t>
        </is>
      </c>
      <c r="AO40" s="55" t="n"/>
      <c r="AP40" s="55" t="n"/>
      <c r="AQ40" s="55" t="n"/>
      <c r="AR40" s="55" t="n"/>
      <c r="AS40" s="55" t="n"/>
      <c r="AT40" s="55" t="n"/>
      <c r="AU40" s="55" t="n"/>
      <c r="AV40" s="55" t="n"/>
      <c r="AW40" s="55" t="n"/>
      <c r="AX40" s="55" t="n"/>
      <c r="AY40" s="55" t="n"/>
      <c r="AZ40" s="55" t="n"/>
      <c r="BA40" s="55" t="n"/>
      <c r="BB40" s="55" t="n"/>
      <c r="BC40" s="55" t="n"/>
      <c r="BD40" s="55" t="n"/>
      <c r="BE40" s="55" t="n"/>
      <c r="BF40" s="55" t="n"/>
      <c r="BG40" s="55" t="n"/>
      <c r="BH40" s="55" t="n"/>
      <c r="BI40" s="55" t="n"/>
      <c r="BJ40" s="55" t="n"/>
      <c r="BK40" s="55" t="n"/>
      <c r="BL40" s="55" t="n"/>
      <c r="BM40" s="55" t="n"/>
      <c r="BN40" s="55" t="n"/>
      <c r="BO40" s="55" t="n"/>
      <c r="BP40" s="55" t="n"/>
      <c r="BQ40" s="55" t="n"/>
      <c r="BR40" s="55" t="n"/>
      <c r="BS40" s="55" t="n"/>
      <c r="BT40" s="55" t="n"/>
      <c r="BU40" s="55" t="n"/>
      <c r="BV40" s="55" t="n"/>
      <c r="BW40" s="55" t="n"/>
      <c r="BX40" s="55" t="n"/>
      <c r="BY40" s="55" t="n"/>
      <c r="BZ40" s="55" t="n"/>
      <c r="CA40" s="55" t="n"/>
      <c r="CB40" s="55" t="n"/>
      <c r="CC40" s="55" t="n"/>
      <c r="CD40" s="55" t="n"/>
      <c r="CE40" s="55" t="n"/>
      <c r="CF40" s="55" t="n"/>
      <c r="CG40" s="55" t="n"/>
      <c r="CH40" s="55" t="n"/>
      <c r="CI40" s="55" t="n"/>
      <c r="CJ40" s="55" t="n"/>
      <c r="CK40" s="55" t="n"/>
      <c r="CL40" s="55" t="n"/>
      <c r="CM40" s="55" t="n"/>
      <c r="CN40" s="55" t="n"/>
      <c r="CO40" s="55" t="n"/>
      <c r="CP40" s="55" t="n"/>
      <c r="CQ40" s="55" t="n"/>
      <c r="CR40" s="55" t="n"/>
      <c r="CS40" s="55" t="n"/>
      <c r="CT40" s="55" t="n"/>
      <c r="CU40" s="55" t="n"/>
      <c r="CV40" s="55" t="n"/>
      <c r="CW40" s="55" t="n"/>
      <c r="CX40" s="55" t="n"/>
      <c r="CY40" s="55" t="n"/>
      <c r="CZ40" s="55" t="n"/>
      <c r="DA40" s="55" t="n"/>
      <c r="DB40" s="55" t="n"/>
      <c r="DC40" s="55" t="n"/>
      <c r="DD40" s="55" t="n"/>
      <c r="DE40" s="55" t="n"/>
    </row>
    <row r="41">
      <c r="A41" s="55" t="inlineStr">
        <is>
          <t>issue_662</t>
        </is>
      </c>
      <c r="B41" s="56" t="inlineStr">
        <is>
          <t>NOT_TESTED</t>
        </is>
      </c>
      <c r="C41" s="56" t="inlineStr">
        <is>
          <t>NOT_TESTED</t>
        </is>
      </c>
      <c r="D41" s="56" t="inlineStr">
        <is>
          <t>NOT_TESTED</t>
        </is>
      </c>
      <c r="E41" s="56" t="inlineStr">
        <is>
          <t>NOT_TESTED</t>
        </is>
      </c>
      <c r="F41" s="57" t="inlineStr">
        <is>
          <t>Runtime error</t>
        </is>
      </c>
      <c r="G41" s="57" t="inlineStr">
        <is>
          <t>Runtime error</t>
        </is>
      </c>
      <c r="H41" s="57" t="inlineStr">
        <is>
          <t>Runtime error</t>
        </is>
      </c>
      <c r="I41" s="57" t="inlineStr">
        <is>
          <t>Runtime error</t>
        </is>
      </c>
      <c r="J41" s="57" t="inlineStr">
        <is>
          <t>Runtime error</t>
        </is>
      </c>
      <c r="K41" s="57" t="inlineStr">
        <is>
          <t>Runtime error</t>
        </is>
      </c>
      <c r="L41" s="57" t="inlineStr">
        <is>
          <t>Runtime error</t>
        </is>
      </c>
      <c r="M41" s="57" t="inlineStr">
        <is>
          <t>Runtime error</t>
        </is>
      </c>
      <c r="N41" s="57" t="inlineStr">
        <is>
          <t>Runtime error</t>
        </is>
      </c>
      <c r="O41" s="57" t="inlineStr">
        <is>
          <t>Runtime error</t>
        </is>
      </c>
      <c r="P41" s="57" t="inlineStr">
        <is>
          <t>Runtime error</t>
        </is>
      </c>
      <c r="Q41" s="57" t="inlineStr">
        <is>
          <t>Runtime error</t>
        </is>
      </c>
      <c r="R41" s="57" t="inlineStr">
        <is>
          <t>Runtime error</t>
        </is>
      </c>
      <c r="S41" s="57" t="inlineStr">
        <is>
          <t>Runtime error</t>
        </is>
      </c>
      <c r="T41" s="57" t="inlineStr">
        <is>
          <t>Runtime error</t>
        </is>
      </c>
      <c r="U41" s="57" t="inlineStr">
        <is>
          <t>Runtime error</t>
        </is>
      </c>
      <c r="V41" s="57" t="inlineStr">
        <is>
          <t>Runtime error</t>
        </is>
      </c>
      <c r="W41" s="57" t="inlineStr">
        <is>
          <t>Runtime error</t>
        </is>
      </c>
      <c r="X41" s="57" t="inlineStr">
        <is>
          <t>Runtime error</t>
        </is>
      </c>
      <c r="Y41" s="57" t="inlineStr">
        <is>
          <t>Runtime error</t>
        </is>
      </c>
      <c r="Z41" s="57" t="inlineStr">
        <is>
          <t>Runtime error</t>
        </is>
      </c>
      <c r="AA41" s="57" t="inlineStr">
        <is>
          <t>Runtime error</t>
        </is>
      </c>
      <c r="AB41" s="57" t="inlineStr">
        <is>
          <t>Runtime error</t>
        </is>
      </c>
      <c r="AC41" s="55" t="n"/>
      <c r="AD41" s="55" t="n"/>
      <c r="AE41" s="55" t="n"/>
      <c r="AF41" s="55" t="n"/>
      <c r="AG41" s="55" t="n"/>
      <c r="AH41" s="55" t="n"/>
      <c r="AI41" s="55" t="n"/>
      <c r="AJ41" s="55" t="n"/>
      <c r="AK41" s="55" t="n"/>
      <c r="AL41" s="55" t="n"/>
      <c r="AM41" s="55" t="n"/>
      <c r="AN41" s="55" t="n"/>
      <c r="AO41" s="55" t="inlineStr">
        <is>
          <t>AttributeError</t>
        </is>
      </c>
      <c r="AP41" s="55" t="inlineStr">
        <is>
          <t>AttributeError: 'DAGOpNode' object has no attribute 'type'</t>
        </is>
      </c>
      <c r="AQ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AR41" s="55" t="inlineStr">
        <is>
          <t>AttributeError</t>
        </is>
      </c>
      <c r="AS41" s="55" t="inlineStr">
        <is>
          <t>AttributeError: 'DAGOpNode' object has no attribute 'type'</t>
        </is>
      </c>
      <c r="AT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AU41" s="55" t="inlineStr">
        <is>
          <t>AttributeError</t>
        </is>
      </c>
      <c r="AV41" s="55" t="inlineStr">
        <is>
          <t>AttributeError: 'DAGOpNode' object has no attribute 'type'</t>
        </is>
      </c>
      <c r="AW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AX41" s="55" t="inlineStr">
        <is>
          <t>AttributeError</t>
        </is>
      </c>
      <c r="AY41" s="55" t="inlineStr">
        <is>
          <t>AttributeError: 'DAGOpNode' object has no attribute 'type'</t>
        </is>
      </c>
      <c r="AZ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BA41" s="55" t="inlineStr">
        <is>
          <t>AttributeError</t>
        </is>
      </c>
      <c r="BB41" s="55" t="inlineStr">
        <is>
          <t>AttributeError: 'DAGOpNode' object has no attribute 'type'</t>
        </is>
      </c>
      <c r="BC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BD41" s="55" t="inlineStr">
        <is>
          <t>AttributeError</t>
        </is>
      </c>
      <c r="BE41" s="55" t="inlineStr">
        <is>
          <t>AttributeError: 'DAGOpNode' object has no attribute 'type'</t>
        </is>
      </c>
      <c r="BF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BG41" s="55" t="inlineStr">
        <is>
          <t>AttributeError</t>
        </is>
      </c>
      <c r="BH41" s="55" t="inlineStr">
        <is>
          <t>AttributeError: 'DAGOpNode' object has no attribute 'type'</t>
        </is>
      </c>
      <c r="BI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BJ41" s="55" t="inlineStr">
        <is>
          <t>AttributeError</t>
        </is>
      </c>
      <c r="BK41" s="55" t="inlineStr">
        <is>
          <t>AttributeError: 'DAGOpNode' object has no attribute 'type'</t>
        </is>
      </c>
      <c r="BL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BM41" s="55" t="inlineStr">
        <is>
          <t>AttributeError</t>
        </is>
      </c>
      <c r="BN41" s="55" t="inlineStr">
        <is>
          <t>AttributeError: 'DAGOpNode' object has no attribute 'type'</t>
        </is>
      </c>
      <c r="BO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BP41" s="55" t="inlineStr">
        <is>
          <t>AttributeError</t>
        </is>
      </c>
      <c r="BQ41" s="55" t="inlineStr">
        <is>
          <t>AttributeError: 'DAGOpNode' object has no attribute 'type'</t>
        </is>
      </c>
      <c r="BR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BS41" s="55" t="inlineStr">
        <is>
          <t>AttributeError</t>
        </is>
      </c>
      <c r="BT41" s="55" t="inlineStr">
        <is>
          <t>AttributeError: 'DAGOpNode' object has no attribute 'type'</t>
        </is>
      </c>
      <c r="BU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BV41" s="55" t="inlineStr">
        <is>
          <t>AttributeError</t>
        </is>
      </c>
      <c r="BW41" s="55" t="inlineStr">
        <is>
          <t>AttributeError: 'DAGOpNode' object has no attribute 'type'</t>
        </is>
      </c>
      <c r="BX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BY41" s="55" t="inlineStr">
        <is>
          <t>AttributeError</t>
        </is>
      </c>
      <c r="BZ41" s="55" t="inlineStr">
        <is>
          <t>AttributeError: 'DAGOpNode' object has no attribute 'type'</t>
        </is>
      </c>
      <c r="CA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CB41" s="55" t="inlineStr">
        <is>
          <t>AttributeError</t>
        </is>
      </c>
      <c r="CC41" s="55" t="inlineStr">
        <is>
          <t>AttributeError: 'DAGOpNode' object has no attribute 'type'</t>
        </is>
      </c>
      <c r="CD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CE41" s="55" t="inlineStr">
        <is>
          <t>AttributeError</t>
        </is>
      </c>
      <c r="CF41" s="55" t="inlineStr">
        <is>
          <t>AttributeError: 'qiskit._accelerate.circuit.DAGOpNode' object has no attribute 'type'</t>
        </is>
      </c>
      <c r="CG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CH41" s="55" t="inlineStr">
        <is>
          <t>AttributeError</t>
        </is>
      </c>
      <c r="CI41" s="55" t="inlineStr">
        <is>
          <t>AttributeError: 'qiskit._accelerate.circuit.DAGOpNode' object has no attribute 'type'</t>
        </is>
      </c>
      <c r="CJ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CK41" s="55" t="inlineStr">
        <is>
          <t>AttributeError</t>
        </is>
      </c>
      <c r="CL41" s="55" t="inlineStr">
        <is>
          <t>AttributeError: 'qiskit._accelerate.circuit.DAGOpNode' object has no attribute 'type'</t>
        </is>
      </c>
      <c r="CM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CN41" s="55" t="inlineStr">
        <is>
          <t>AttributeError</t>
        </is>
      </c>
      <c r="CO41" s="55" t="inlineStr">
        <is>
          <t>AttributeError: 'qiskit._accelerate.circuit.DAGOpNode' object has no attribute 'type'</t>
        </is>
      </c>
      <c r="CP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CQ41" s="55" t="inlineStr">
        <is>
          <t>AttributeError</t>
        </is>
      </c>
      <c r="CR41" s="55" t="inlineStr">
        <is>
          <t>AttributeError: 'qiskit._accelerate.circuit.DAGOpNode' object has no attribute 'type'</t>
        </is>
      </c>
      <c r="CS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CT41" s="55" t="inlineStr">
        <is>
          <t>AttributeError</t>
        </is>
      </c>
      <c r="CU41" s="55" t="inlineStr">
        <is>
          <t>AttributeError: 'qiskit._accelerate.circuit.DAGOpNode' object has no attribute 'type'</t>
        </is>
      </c>
      <c r="CV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CW41" s="55" t="inlineStr">
        <is>
          <t>AttributeError</t>
        </is>
      </c>
      <c r="CX41" s="55" t="inlineStr">
        <is>
          <t>AttributeError: 'qiskit._accelerate.circuit.DAGOpNode' object has no attribute 'type'</t>
        </is>
      </c>
      <c r="CY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CZ41" s="55" t="inlineStr">
        <is>
          <t>AttributeError</t>
        </is>
      </c>
      <c r="DA41" s="55" t="inlineStr">
        <is>
          <t>AttributeError: 'qiskit._accelerate.circuit.DAGOpNode' object has no attribute 'type'</t>
        </is>
      </c>
      <c r="DB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c r="DC41" s="55" t="inlineStr">
        <is>
          <t>AttributeError</t>
        </is>
      </c>
      <c r="DD41" s="55" t="inlineStr">
        <is>
          <t>AttributeError: 'qiskit._accelerate.circuit.DAGOpNode' object has no attribute 'type'</t>
        </is>
      </c>
      <c r="DE41" s="55"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The reference uses circ.count_ops().</t>
        </is>
      </c>
    </row>
    <row r="42">
      <c r="A42" s="55" t="inlineStr">
        <is>
          <t>issue_663</t>
        </is>
      </c>
      <c r="B42" s="56" t="inlineStr">
        <is>
          <t>NOT_TESTED</t>
        </is>
      </c>
      <c r="C42" s="56" t="inlineStr">
        <is>
          <t>NOT_TESTED</t>
        </is>
      </c>
      <c r="D42" s="56" t="inlineStr">
        <is>
          <t>NOT_TESTED</t>
        </is>
      </c>
      <c r="E42" s="56" t="inlineStr">
        <is>
          <t>NOT_TESTED</t>
        </is>
      </c>
      <c r="F42" s="59" t="inlineStr">
        <is>
          <t>Passed on test</t>
        </is>
      </c>
      <c r="G42" s="59" t="inlineStr">
        <is>
          <t>Passed on test</t>
        </is>
      </c>
      <c r="H42" s="59" t="inlineStr">
        <is>
          <t>Passed on test</t>
        </is>
      </c>
      <c r="I42" s="59" t="inlineStr">
        <is>
          <t>Passed on test</t>
        </is>
      </c>
      <c r="J42" s="59" t="inlineStr">
        <is>
          <t>Passed on test</t>
        </is>
      </c>
      <c r="K42" s="59" t="inlineStr">
        <is>
          <t>Passed on test</t>
        </is>
      </c>
      <c r="L42" s="59" t="inlineStr">
        <is>
          <t>Passed on test</t>
        </is>
      </c>
      <c r="M42" s="59" t="inlineStr">
        <is>
          <t>Passed on test</t>
        </is>
      </c>
      <c r="N42" s="56" t="inlineStr">
        <is>
          <t>NOT_TESTED</t>
        </is>
      </c>
      <c r="O42" s="56" t="inlineStr">
        <is>
          <t>NOT_TESTED</t>
        </is>
      </c>
      <c r="P42" s="56" t="inlineStr">
        <is>
          <t>NOT_TESTED</t>
        </is>
      </c>
      <c r="Q42" s="56" t="inlineStr">
        <is>
          <t>NOT_TESTED</t>
        </is>
      </c>
      <c r="R42" s="56" t="inlineStr">
        <is>
          <t>NOT_TESTED</t>
        </is>
      </c>
      <c r="S42" s="56" t="inlineStr">
        <is>
          <t>NOT_TESTED</t>
        </is>
      </c>
      <c r="T42" s="56" t="inlineStr">
        <is>
          <t>NOT_TESTED</t>
        </is>
      </c>
      <c r="U42" s="56" t="inlineStr">
        <is>
          <t>NOT_TESTED</t>
        </is>
      </c>
      <c r="V42" s="56" t="inlineStr">
        <is>
          <t>NOT_TESTED</t>
        </is>
      </c>
      <c r="W42" s="56" t="inlineStr">
        <is>
          <t>NOT_TESTED</t>
        </is>
      </c>
      <c r="X42" s="56" t="inlineStr">
        <is>
          <t>NOT_TESTED</t>
        </is>
      </c>
      <c r="Y42" s="56" t="inlineStr">
        <is>
          <t>NOT_TESTED</t>
        </is>
      </c>
      <c r="Z42" s="56" t="inlineStr">
        <is>
          <t>NOT_TESTED</t>
        </is>
      </c>
      <c r="AA42" s="56" t="inlineStr">
        <is>
          <t>NOT_TESTED</t>
        </is>
      </c>
      <c r="AB42" s="56" t="inlineStr">
        <is>
          <t>NOT_TESTED</t>
        </is>
      </c>
      <c r="AC42" s="55" t="n"/>
      <c r="AD42" s="55" t="n"/>
      <c r="AE42" s="55" t="n"/>
      <c r="AF42" s="55" t="n"/>
      <c r="AG42" s="55" t="n"/>
      <c r="AH42" s="55" t="n"/>
      <c r="AI42" s="55" t="n"/>
      <c r="AJ42" s="55" t="n"/>
      <c r="AK42" s="55" t="n"/>
      <c r="AL42" s="55" t="n"/>
      <c r="AM42" s="55" t="n"/>
      <c r="AN42" s="55" t="n"/>
      <c r="AO42" s="55" t="n"/>
      <c r="AP42" s="55" t="n"/>
      <c r="AQ42" s="55" t="n"/>
      <c r="AR42" s="55" t="n"/>
      <c r="AS42" s="55" t="n"/>
      <c r="AT42" s="55" t="n"/>
      <c r="AU42" s="55" t="n"/>
      <c r="AV42" s="55" t="n"/>
      <c r="AW42" s="55" t="n"/>
      <c r="AX42" s="55" t="n"/>
      <c r="AY42" s="55" t="n"/>
      <c r="AZ42" s="55" t="n"/>
      <c r="BA42" s="55" t="n"/>
      <c r="BB42" s="55" t="n"/>
      <c r="BC42" s="55" t="n"/>
      <c r="BD42" s="55" t="n"/>
      <c r="BE42" s="55" t="n"/>
      <c r="BF42" s="55" t="n"/>
      <c r="BG42" s="55" t="n"/>
      <c r="BH42" s="55" t="n"/>
      <c r="BI42" s="55" t="n"/>
      <c r="BJ42" s="55" t="n"/>
      <c r="BK42" s="55" t="n"/>
      <c r="BL42" s="55" t="n"/>
      <c r="BM42" s="55" t="n"/>
      <c r="BN42" s="55" t="n"/>
      <c r="BO42" s="55" t="n"/>
      <c r="BP42" s="55" t="n"/>
      <c r="BQ42" s="55" t="n"/>
      <c r="BR42" s="55" t="n"/>
      <c r="BS42" s="55" t="n"/>
      <c r="BT42" s="55" t="n"/>
      <c r="BU42" s="55" t="n"/>
      <c r="BV42" s="55" t="n"/>
      <c r="BW42" s="55" t="n"/>
      <c r="BX42" s="55" t="n"/>
      <c r="BY42" s="55" t="n"/>
      <c r="BZ42" s="55" t="n"/>
      <c r="CA42" s="55" t="n"/>
      <c r="CB42" s="55" t="n"/>
      <c r="CC42" s="55" t="n"/>
      <c r="CD42" s="55" t="n"/>
      <c r="CE42" s="55" t="n"/>
      <c r="CF42" s="55" t="n"/>
      <c r="CG42" s="55" t="n"/>
      <c r="CH42" s="55" t="n"/>
      <c r="CI42" s="55" t="n"/>
      <c r="CJ42" s="55" t="n"/>
      <c r="CK42" s="55" t="n"/>
      <c r="CL42" s="55" t="n"/>
      <c r="CM42" s="55" t="n"/>
      <c r="CN42" s="55" t="n"/>
      <c r="CO42" s="55" t="n"/>
      <c r="CP42" s="55" t="n"/>
      <c r="CQ42" s="55" t="n"/>
      <c r="CR42" s="55" t="n"/>
      <c r="CS42" s="55" t="n"/>
      <c r="CT42" s="55" t="n"/>
      <c r="CU42" s="55" t="n"/>
      <c r="CV42" s="55" t="n"/>
      <c r="CW42" s="55" t="n"/>
      <c r="CX42" s="55" t="n"/>
      <c r="CY42" s="55" t="n"/>
      <c r="CZ42" s="55" t="n"/>
      <c r="DA42" s="55" t="n"/>
      <c r="DB42" s="55" t="n"/>
      <c r="DC42" s="55" t="n"/>
      <c r="DD42" s="55" t="n"/>
      <c r="DE42" s="55" t="n"/>
    </row>
    <row r="43">
      <c r="A43" s="55" t="inlineStr">
        <is>
          <t>issue_671</t>
        </is>
      </c>
      <c r="B43" s="59" t="inlineStr">
        <is>
          <t>Passed on test</t>
        </is>
      </c>
      <c r="C43" s="59" t="inlineStr">
        <is>
          <t>Passed on test</t>
        </is>
      </c>
      <c r="D43" s="59" t="inlineStr">
        <is>
          <t>Passed on test</t>
        </is>
      </c>
      <c r="E43" s="59" t="inlineStr">
        <is>
          <t>Passed on test</t>
        </is>
      </c>
      <c r="F43" s="59" t="inlineStr">
        <is>
          <t>Passed on test</t>
        </is>
      </c>
      <c r="G43" s="59" t="inlineStr">
        <is>
          <t>Passed on test</t>
        </is>
      </c>
      <c r="H43" s="59" t="inlineStr">
        <is>
          <t>Passed on test</t>
        </is>
      </c>
      <c r="I43" s="59" t="inlineStr">
        <is>
          <t>Passed on test</t>
        </is>
      </c>
      <c r="J43" s="59" t="inlineStr">
        <is>
          <t>Passed on test</t>
        </is>
      </c>
      <c r="K43" s="59" t="inlineStr">
        <is>
          <t>Passed on test</t>
        </is>
      </c>
      <c r="L43" s="59" t="inlineStr">
        <is>
          <t>Passed on test</t>
        </is>
      </c>
      <c r="M43" s="59" t="inlineStr">
        <is>
          <t>Passed on test</t>
        </is>
      </c>
      <c r="N43" s="59" t="inlineStr">
        <is>
          <t>Passed on test</t>
        </is>
      </c>
      <c r="O43" s="59" t="inlineStr">
        <is>
          <t>Passed on test</t>
        </is>
      </c>
      <c r="P43" s="59" t="inlineStr">
        <is>
          <t>Passed on test</t>
        </is>
      </c>
      <c r="Q43" s="59" t="inlineStr">
        <is>
          <t>Passed on test</t>
        </is>
      </c>
      <c r="R43" s="59" t="inlineStr">
        <is>
          <t>Passed on test</t>
        </is>
      </c>
      <c r="S43" s="59" t="inlineStr">
        <is>
          <t>Passed on test</t>
        </is>
      </c>
      <c r="T43" s="59" t="inlineStr">
        <is>
          <t>Passed on test</t>
        </is>
      </c>
      <c r="U43" s="59" t="inlineStr">
        <is>
          <t>Passed on test</t>
        </is>
      </c>
      <c r="V43" s="59" t="inlineStr">
        <is>
          <t>Passed on test</t>
        </is>
      </c>
      <c r="W43" s="59" t="inlineStr">
        <is>
          <t>Passed on test</t>
        </is>
      </c>
      <c r="X43" s="59" t="inlineStr">
        <is>
          <t>Passed on test</t>
        </is>
      </c>
      <c r="Y43" s="59" t="inlineStr">
        <is>
          <t>Passed on test</t>
        </is>
      </c>
      <c r="Z43" s="59" t="inlineStr">
        <is>
          <t>Passed on test</t>
        </is>
      </c>
      <c r="AA43" s="59" t="inlineStr">
        <is>
          <t>Passed on test</t>
        </is>
      </c>
      <c r="AB43" s="59" t="inlineStr">
        <is>
          <t>Passed on test</t>
        </is>
      </c>
      <c r="AC43" s="55" t="inlineStr">
        <is>
          <t>AssertionError</t>
        </is>
      </c>
      <c r="AD43" s="55" t="inlineStr">
        <is>
          <t>AssertionError: Not equal to tolerance rtol=1e-07, atol=1e-10</t>
        </is>
      </c>
      <c r="AE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AF43" s="55" t="inlineStr">
        <is>
          <t>AssertionError</t>
        </is>
      </c>
      <c r="AG43" s="55" t="inlineStr">
        <is>
          <t>AssertionError: Not equal to tolerance rtol=1e-07, atol=1e-10</t>
        </is>
      </c>
      <c r="AH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AI43" s="55" t="inlineStr">
        <is>
          <t>AssertionError</t>
        </is>
      </c>
      <c r="AJ43" s="55" t="inlineStr">
        <is>
          <t>AssertionError: Not equal to tolerance rtol=1e-07, atol=1e-10</t>
        </is>
      </c>
      <c r="AK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AL43" s="55" t="inlineStr">
        <is>
          <t>AssertionError</t>
        </is>
      </c>
      <c r="AM43" s="55" t="inlineStr">
        <is>
          <t>AssertionError: Not equal to tolerance rtol=1e-07, atol=1e-10</t>
        </is>
      </c>
      <c r="AN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AO43" s="55" t="inlineStr">
        <is>
          <t>AssertionError</t>
        </is>
      </c>
      <c r="AP43" s="55" t="inlineStr">
        <is>
          <t>AssertionError: Not equal to tolerance rtol=1e-07, atol=1e-10</t>
        </is>
      </c>
      <c r="AQ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AR43" s="55" t="inlineStr">
        <is>
          <t>AssertionError</t>
        </is>
      </c>
      <c r="AS43" s="55" t="inlineStr">
        <is>
          <t>AssertionError: Not equal to tolerance rtol=1e-07, atol=1e-10</t>
        </is>
      </c>
      <c r="AT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AU43" s="55" t="inlineStr">
        <is>
          <t>AssertionError</t>
        </is>
      </c>
      <c r="AV43" s="55" t="inlineStr">
        <is>
          <t>AssertionError: Not equal to tolerance rtol=1e-07, atol=1e-10</t>
        </is>
      </c>
      <c r="AW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AX43" s="55" t="inlineStr">
        <is>
          <t>AssertionError</t>
        </is>
      </c>
      <c r="AY43" s="55" t="inlineStr">
        <is>
          <t>AssertionError: Not equal to tolerance rtol=1e-07, atol=1e-10</t>
        </is>
      </c>
      <c r="AZ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BA43" s="55" t="inlineStr">
        <is>
          <t>AssertionError</t>
        </is>
      </c>
      <c r="BB43" s="55" t="inlineStr">
        <is>
          <t>AssertionError: Not equal to tolerance rtol=1e-07, atol=1e-10</t>
        </is>
      </c>
      <c r="BC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BD43" s="55" t="inlineStr">
        <is>
          <t>AssertionError</t>
        </is>
      </c>
      <c r="BE43" s="55" t="inlineStr">
        <is>
          <t>AssertionError: Not equal to tolerance rtol=1e-07, atol=1e-10</t>
        </is>
      </c>
      <c r="BF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BG43" s="55" t="inlineStr">
        <is>
          <t>AssertionError</t>
        </is>
      </c>
      <c r="BH43" s="55" t="inlineStr">
        <is>
          <t>AssertionError: Not equal to tolerance rtol=1e-07, atol=1e-10</t>
        </is>
      </c>
      <c r="BI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BJ43" s="55" t="inlineStr">
        <is>
          <t>AssertionError</t>
        </is>
      </c>
      <c r="BK43" s="55" t="inlineStr">
        <is>
          <t>AssertionError: Not equal to tolerance rtol=1e-07, atol=1e-10</t>
        </is>
      </c>
      <c r="BL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BM43" s="55" t="inlineStr">
        <is>
          <t>AssertionError</t>
        </is>
      </c>
      <c r="BN43" s="55" t="inlineStr">
        <is>
          <t>AssertionError: Not equal to tolerance rtol=1e-07, atol=1e-10</t>
        </is>
      </c>
      <c r="BO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BP43" s="55" t="inlineStr">
        <is>
          <t>AssertionError</t>
        </is>
      </c>
      <c r="BQ43" s="55" t="inlineStr">
        <is>
          <t>AssertionError: Not equal to tolerance rtol=1e-07, atol=1e-10</t>
        </is>
      </c>
      <c r="BR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BS43" s="55" t="inlineStr">
        <is>
          <t>AssertionError</t>
        </is>
      </c>
      <c r="BT43" s="55" t="inlineStr">
        <is>
          <t>AssertionError: Not equal to tolerance rtol=1e-07, atol=1e-10</t>
        </is>
      </c>
      <c r="BU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BV43" s="55" t="inlineStr">
        <is>
          <t>AssertionError</t>
        </is>
      </c>
      <c r="BW43" s="55" t="inlineStr">
        <is>
          <t>AssertionError: Not equal to tolerance rtol=1e-07, atol=1e-10</t>
        </is>
      </c>
      <c r="BX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BY43" s="55" t="inlineStr">
        <is>
          <t>AssertionError</t>
        </is>
      </c>
      <c r="BZ43" s="55" t="inlineStr">
        <is>
          <t>AssertionError: Not equal to tolerance rtol=1e-07, atol=1e-10</t>
        </is>
      </c>
      <c r="CA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CB43" s="55" t="inlineStr">
        <is>
          <t>AssertionError</t>
        </is>
      </c>
      <c r="CC43" s="55" t="inlineStr">
        <is>
          <t>AssertionError: Not equal to tolerance rtol=1e-07, atol=1e-10</t>
        </is>
      </c>
      <c r="CD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CE43" s="55" t="inlineStr">
        <is>
          <t>AssertionError</t>
        </is>
      </c>
      <c r="CF43" s="55" t="inlineStr">
        <is>
          <t>AssertionError: Not equal to tolerance rtol=1e-07, atol=1e-10</t>
        </is>
      </c>
      <c r="CG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CH43" s="55" t="inlineStr">
        <is>
          <t>AssertionError</t>
        </is>
      </c>
      <c r="CI43" s="55" t="inlineStr">
        <is>
          <t>AssertionError: Not equal to tolerance rtol=1e-07, atol=1e-10</t>
        </is>
      </c>
      <c r="CJ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CK43" s="55" t="inlineStr">
        <is>
          <t>AssertionError</t>
        </is>
      </c>
      <c r="CL43" s="55" t="inlineStr">
        <is>
          <t>AssertionError: Not equal to tolerance rtol=1e-07, atol=1e-10</t>
        </is>
      </c>
      <c r="CM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CN43" s="55" t="inlineStr">
        <is>
          <t>AssertionError</t>
        </is>
      </c>
      <c r="CO43" s="55" t="inlineStr">
        <is>
          <t>AssertionError: Not equal to tolerance rtol=1e-07, atol=1e-10</t>
        </is>
      </c>
      <c r="CP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CQ43" s="55" t="inlineStr">
        <is>
          <t>AssertionError</t>
        </is>
      </c>
      <c r="CR43" s="55" t="inlineStr">
        <is>
          <t>AssertionError: Not equal to tolerance rtol=1e-07, atol=1e-10</t>
        </is>
      </c>
      <c r="CS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CT43" s="55" t="inlineStr">
        <is>
          <t>AssertionError</t>
        </is>
      </c>
      <c r="CU43" s="55" t="inlineStr">
        <is>
          <t>AssertionError: Not equal to tolerance rtol=1e-07, atol=1e-10</t>
        </is>
      </c>
      <c r="CV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CW43" s="55" t="inlineStr">
        <is>
          <t>AssertionError</t>
        </is>
      </c>
      <c r="CX43" s="55" t="inlineStr">
        <is>
          <t>AssertionError: Not equal to tolerance rtol=1e-07, atol=1e-10</t>
        </is>
      </c>
      <c r="CY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CZ43" s="55" t="inlineStr">
        <is>
          <t>AssertionError</t>
        </is>
      </c>
      <c r="DA43" s="55" t="inlineStr">
        <is>
          <t>AssertionError: Not equal to tolerance rtol=1e-07, atol=1e-10</t>
        </is>
      </c>
      <c r="DB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c r="DC43" s="55" t="inlineStr">
        <is>
          <t>AssertionError</t>
        </is>
      </c>
      <c r="DD43" s="55" t="inlineStr">
        <is>
          <t>AssertionError: Not equal to tolerance rtol=1e-07, atol=1e-10</t>
        </is>
      </c>
      <c r="DE43" s="55" t="inlineStr">
        <is>
          <t>The LLM unpacked the list with QuantumCircuit(a, *v, b), which builds exactly the registers the question asks for (a, v0..v3, b in that order), and every register check passes. The test then compares the full 512x512 unitary against the answer's example gates x(v0[0]) and cx(v1[0], a[0]), which are not in the buggy code, so the LLM's empty circuit fails. A test without the unitary check passes the LLM fix and still fails the buggy code.</t>
        </is>
      </c>
    </row>
    <row r="44">
      <c r="A44" s="55" t="inlineStr">
        <is>
          <t>issue_727</t>
        </is>
      </c>
      <c r="B44" s="59" t="inlineStr">
        <is>
          <t>Passed on test</t>
        </is>
      </c>
      <c r="C44" s="59" t="inlineStr">
        <is>
          <t>Passed on test</t>
        </is>
      </c>
      <c r="D44" s="59" t="inlineStr">
        <is>
          <t>Passed on test</t>
        </is>
      </c>
      <c r="E44" s="59" t="inlineStr">
        <is>
          <t>Passed on test</t>
        </is>
      </c>
      <c r="F44" s="59" t="inlineStr">
        <is>
          <t>Passed on test</t>
        </is>
      </c>
      <c r="G44" s="59" t="inlineStr">
        <is>
          <t>Passed on test</t>
        </is>
      </c>
      <c r="H44" s="59" t="inlineStr">
        <is>
          <t>Passed on test</t>
        </is>
      </c>
      <c r="I44" s="59" t="inlineStr">
        <is>
          <t>Passed on test</t>
        </is>
      </c>
      <c r="J44" s="59" t="inlineStr">
        <is>
          <t>Passed on test</t>
        </is>
      </c>
      <c r="K44" s="59" t="inlineStr">
        <is>
          <t>Passed on test</t>
        </is>
      </c>
      <c r="L44" s="59" t="inlineStr">
        <is>
          <t>Passed on test</t>
        </is>
      </c>
      <c r="M44" s="59" t="inlineStr">
        <is>
          <t>Passed on test</t>
        </is>
      </c>
      <c r="N44" s="56" t="inlineStr">
        <is>
          <t>NOT_TESTED</t>
        </is>
      </c>
      <c r="O44" s="56" t="inlineStr">
        <is>
          <t>NOT_TESTED</t>
        </is>
      </c>
      <c r="P44" s="56" t="inlineStr">
        <is>
          <t>NOT_TESTED</t>
        </is>
      </c>
      <c r="Q44" s="56" t="inlineStr">
        <is>
          <t>NOT_TESTED</t>
        </is>
      </c>
      <c r="R44" s="56" t="inlineStr">
        <is>
          <t>NOT_TESTED</t>
        </is>
      </c>
      <c r="S44" s="56" t="inlineStr">
        <is>
          <t>NOT_TESTED</t>
        </is>
      </c>
      <c r="T44" s="56" t="inlineStr">
        <is>
          <t>NOT_TESTED</t>
        </is>
      </c>
      <c r="U44" s="56" t="inlineStr">
        <is>
          <t>NOT_TESTED</t>
        </is>
      </c>
      <c r="V44" s="56" t="inlineStr">
        <is>
          <t>NOT_TESTED</t>
        </is>
      </c>
      <c r="W44" s="56" t="inlineStr">
        <is>
          <t>NOT_TESTED</t>
        </is>
      </c>
      <c r="X44" s="56" t="inlineStr">
        <is>
          <t>NOT_TESTED</t>
        </is>
      </c>
      <c r="Y44" s="56" t="inlineStr">
        <is>
          <t>NOT_TESTED</t>
        </is>
      </c>
      <c r="Z44" s="56" t="inlineStr">
        <is>
          <t>NOT_TESTED</t>
        </is>
      </c>
      <c r="AA44" s="56" t="inlineStr">
        <is>
          <t>NOT_TESTED</t>
        </is>
      </c>
      <c r="AB44" s="56" t="inlineStr">
        <is>
          <t>NOT_TESTED</t>
        </is>
      </c>
      <c r="AC44" s="55" t="n"/>
      <c r="AD44" s="55" t="n"/>
      <c r="AE44" s="55" t="n"/>
      <c r="AF44" s="55" t="n"/>
      <c r="AG44" s="55" t="n"/>
      <c r="AH44" s="55" t="n"/>
      <c r="AI44" s="55" t="n"/>
      <c r="AJ44" s="55" t="n"/>
      <c r="AK44" s="55" t="n"/>
      <c r="AL44" s="55" t="n"/>
      <c r="AM44" s="55" t="n"/>
      <c r="AN44" s="55" t="n"/>
      <c r="AO44" s="55" t="n"/>
      <c r="AP44" s="55" t="n"/>
      <c r="AQ44" s="55" t="n"/>
      <c r="AR44" s="55" t="n"/>
      <c r="AS44" s="55" t="n"/>
      <c r="AT44" s="55" t="n"/>
      <c r="AU44" s="55" t="n"/>
      <c r="AV44" s="55" t="n"/>
      <c r="AW44" s="55" t="n"/>
      <c r="AX44" s="55" t="n"/>
      <c r="AY44" s="55" t="n"/>
      <c r="AZ44" s="55" t="n"/>
      <c r="BA44" s="55" t="n"/>
      <c r="BB44" s="55" t="n"/>
      <c r="BC44" s="55" t="n"/>
      <c r="BD44" s="55" t="n"/>
      <c r="BE44" s="55" t="n"/>
      <c r="BF44" s="55" t="n"/>
      <c r="BG44" s="55" t="n"/>
      <c r="BH44" s="55" t="n"/>
      <c r="BI44" s="55" t="n"/>
      <c r="BJ44" s="55" t="n"/>
      <c r="BK44" s="55" t="n"/>
      <c r="BL44" s="55" t="n"/>
      <c r="BM44" s="55" t="n"/>
      <c r="BN44" s="55" t="n"/>
      <c r="BO44" s="55" t="n"/>
      <c r="BP44" s="55" t="n"/>
      <c r="BQ44" s="55" t="n"/>
      <c r="BR44" s="55" t="n"/>
      <c r="BS44" s="55" t="n"/>
      <c r="BT44" s="55" t="n"/>
      <c r="BU44" s="55" t="n"/>
      <c r="BV44" s="55" t="n"/>
      <c r="BW44" s="55" t="n"/>
      <c r="BX44" s="55" t="n"/>
      <c r="BY44" s="55" t="n"/>
      <c r="BZ44" s="55" t="n"/>
      <c r="CA44" s="55" t="n"/>
      <c r="CB44" s="55" t="n"/>
      <c r="CC44" s="55" t="n"/>
      <c r="CD44" s="55" t="n"/>
      <c r="CE44" s="55" t="n"/>
      <c r="CF44" s="55" t="n"/>
      <c r="CG44" s="55" t="n"/>
      <c r="CH44" s="55" t="n"/>
      <c r="CI44" s="55" t="n"/>
      <c r="CJ44" s="55" t="n"/>
      <c r="CK44" s="55" t="n"/>
      <c r="CL44" s="55" t="n"/>
      <c r="CM44" s="55" t="n"/>
      <c r="CN44" s="55" t="n"/>
      <c r="CO44" s="55" t="n"/>
      <c r="CP44" s="55" t="n"/>
      <c r="CQ44" s="55" t="n"/>
      <c r="CR44" s="55" t="n"/>
      <c r="CS44" s="55" t="n"/>
      <c r="CT44" s="55" t="n"/>
      <c r="CU44" s="55" t="n"/>
      <c r="CV44" s="55" t="n"/>
      <c r="CW44" s="55" t="n"/>
      <c r="CX44" s="55" t="n"/>
      <c r="CY44" s="55" t="n"/>
      <c r="CZ44" s="55" t="n"/>
      <c r="DA44" s="55" t="n"/>
      <c r="DB44" s="55" t="n"/>
      <c r="DC44" s="55" t="n"/>
      <c r="DD44" s="55" t="n"/>
      <c r="DE44" s="55" t="n"/>
    </row>
    <row r="45">
      <c r="A45" s="55" t="inlineStr">
        <is>
          <t>issue_742</t>
        </is>
      </c>
      <c r="B45" s="56" t="inlineStr">
        <is>
          <t>NOT_TESTED</t>
        </is>
      </c>
      <c r="C45" s="56" t="inlineStr">
        <is>
          <t>NOT_TESTED</t>
        </is>
      </c>
      <c r="D45" s="56" t="inlineStr">
        <is>
          <t>NOT_TESTED</t>
        </is>
      </c>
      <c r="E45" s="56" t="inlineStr">
        <is>
          <t>NOT_TESTED</t>
        </is>
      </c>
      <c r="F45" s="56" t="inlineStr">
        <is>
          <t>NOT_TESTED</t>
        </is>
      </c>
      <c r="G45" s="56" t="inlineStr">
        <is>
          <t>NOT_TESTED</t>
        </is>
      </c>
      <c r="H45" s="56" t="inlineStr">
        <is>
          <t>NOT_TESTED</t>
        </is>
      </c>
      <c r="I45" s="56" t="inlineStr">
        <is>
          <t>NOT_TESTED</t>
        </is>
      </c>
      <c r="J45" s="56" t="inlineStr">
        <is>
          <t>NOT_TESTED</t>
        </is>
      </c>
      <c r="K45" s="56" t="inlineStr">
        <is>
          <t>NOT_TESTED</t>
        </is>
      </c>
      <c r="L45" s="56" t="inlineStr">
        <is>
          <t>NOT_TESTED</t>
        </is>
      </c>
      <c r="M45" s="56" t="inlineStr">
        <is>
          <t>NOT_TESTED</t>
        </is>
      </c>
      <c r="N45" s="56" t="inlineStr">
        <is>
          <t>NOT_TESTED</t>
        </is>
      </c>
      <c r="O45" s="56" t="inlineStr">
        <is>
          <t>NOT_TESTED</t>
        </is>
      </c>
      <c r="P45" s="56" t="inlineStr">
        <is>
          <t>NOT_TESTED</t>
        </is>
      </c>
      <c r="Q45" s="59" t="inlineStr">
        <is>
          <t>Passed on test</t>
        </is>
      </c>
      <c r="R45" s="59" t="inlineStr">
        <is>
          <t>Passed on test</t>
        </is>
      </c>
      <c r="S45" s="59" t="inlineStr">
        <is>
          <t>Passed on test</t>
        </is>
      </c>
      <c r="T45" s="59" t="inlineStr">
        <is>
          <t>Passed on test</t>
        </is>
      </c>
      <c r="U45" s="59" t="inlineStr">
        <is>
          <t>Passed on test</t>
        </is>
      </c>
      <c r="V45" s="59" t="inlineStr">
        <is>
          <t>Passed on test</t>
        </is>
      </c>
      <c r="W45" s="59" t="inlineStr">
        <is>
          <t>Passed on test</t>
        </is>
      </c>
      <c r="X45" s="59" t="inlineStr">
        <is>
          <t>Passed on test</t>
        </is>
      </c>
      <c r="Y45" s="59" t="inlineStr">
        <is>
          <t>Passed on test</t>
        </is>
      </c>
      <c r="Z45" s="59" t="inlineStr">
        <is>
          <t>Passed on test</t>
        </is>
      </c>
      <c r="AA45" s="59" t="inlineStr">
        <is>
          <t>Passed on test</t>
        </is>
      </c>
      <c r="AB45" s="59" t="inlineStr">
        <is>
          <t>Passed on test</t>
        </is>
      </c>
      <c r="AC45" s="55" t="n"/>
      <c r="AD45" s="55" t="n"/>
      <c r="AE45" s="55" t="n"/>
      <c r="AF45" s="55" t="n"/>
      <c r="AG45" s="55" t="n"/>
      <c r="AH45" s="55" t="n"/>
      <c r="AI45" s="55" t="n"/>
      <c r="AJ45" s="55" t="n"/>
      <c r="AK45" s="55" t="n"/>
      <c r="AL45" s="55" t="n"/>
      <c r="AM45" s="55" t="n"/>
      <c r="AN45" s="55" t="n"/>
      <c r="AO45" s="55" t="n"/>
      <c r="AP45" s="55" t="n"/>
      <c r="AQ45" s="55" t="n"/>
      <c r="AR45" s="55" t="n"/>
      <c r="AS45" s="55" t="n"/>
      <c r="AT45" s="55" t="n"/>
      <c r="AU45" s="55" t="n"/>
      <c r="AV45" s="55" t="n"/>
      <c r="AW45" s="55" t="n"/>
      <c r="AX45" s="55" t="n"/>
      <c r="AY45" s="55" t="n"/>
      <c r="AZ45" s="55" t="n"/>
      <c r="BA45" s="55" t="n"/>
      <c r="BB45" s="55" t="n"/>
      <c r="BC45" s="55" t="n"/>
      <c r="BD45" s="55" t="n"/>
      <c r="BE45" s="55" t="n"/>
      <c r="BF45" s="55" t="n"/>
      <c r="BG45" s="55" t="n"/>
      <c r="BH45" s="55" t="n"/>
      <c r="BI45" s="55" t="n"/>
      <c r="BJ45" s="55" t="n"/>
      <c r="BK45" s="55" t="n"/>
      <c r="BL45" s="55" t="n"/>
      <c r="BM45" s="55" t="n"/>
      <c r="BN45" s="55" t="n"/>
      <c r="BO45" s="55" t="n"/>
      <c r="BP45" s="55" t="n"/>
      <c r="BQ45" s="55" t="n"/>
      <c r="BR45" s="55" t="n"/>
      <c r="BS45" s="55" t="n"/>
      <c r="BT45" s="55" t="n"/>
      <c r="BU45" s="55" t="n"/>
      <c r="BV45" s="55" t="n"/>
      <c r="BW45" s="55" t="n"/>
      <c r="BX45" s="55" t="n"/>
      <c r="BY45" s="55" t="n"/>
      <c r="BZ45" s="55" t="n"/>
      <c r="CA45" s="55" t="n"/>
      <c r="CB45" s="55" t="n"/>
      <c r="CC45" s="55" t="n"/>
      <c r="CD45" s="55" t="n"/>
      <c r="CE45" s="55" t="n"/>
      <c r="CF45" s="55" t="n"/>
      <c r="CG45" s="55" t="n"/>
      <c r="CH45" s="55" t="n"/>
      <c r="CI45" s="55" t="n"/>
      <c r="CJ45" s="55" t="n"/>
      <c r="CK45" s="55" t="n"/>
      <c r="CL45" s="55" t="n"/>
      <c r="CM45" s="55" t="n"/>
      <c r="CN45" s="55" t="n"/>
      <c r="CO45" s="55" t="n"/>
      <c r="CP45" s="55" t="n"/>
      <c r="CQ45" s="55" t="n"/>
      <c r="CR45" s="55" t="n"/>
      <c r="CS45" s="55" t="n"/>
      <c r="CT45" s="55" t="n"/>
      <c r="CU45" s="55" t="n"/>
      <c r="CV45" s="55" t="n"/>
      <c r="CW45" s="55" t="n"/>
      <c r="CX45" s="55" t="n"/>
      <c r="CY45" s="55" t="n"/>
      <c r="CZ45" s="55" t="n"/>
      <c r="DA45" s="55" t="n"/>
      <c r="DB45" s="55" t="n"/>
      <c r="DC45" s="55" t="n"/>
      <c r="DD45" s="55" t="n"/>
      <c r="DE45" s="55" t="n"/>
    </row>
    <row r="46">
      <c r="A46" s="55" t="inlineStr">
        <is>
          <t>issue_747</t>
        </is>
      </c>
      <c r="B46" s="56" t="inlineStr">
        <is>
          <t>NOT_TESTED</t>
        </is>
      </c>
      <c r="C46" s="56" t="inlineStr">
        <is>
          <t>NOT_TESTED</t>
        </is>
      </c>
      <c r="D46" s="56" t="inlineStr">
        <is>
          <t>NOT_TESTED</t>
        </is>
      </c>
      <c r="E46" s="56" t="inlineStr">
        <is>
          <t>NOT_TESTED</t>
        </is>
      </c>
      <c r="F46" s="59" t="inlineStr">
        <is>
          <t>Passed on test</t>
        </is>
      </c>
      <c r="G46" s="59" t="inlineStr">
        <is>
          <t>Passed on test</t>
        </is>
      </c>
      <c r="H46" s="59" t="inlineStr">
        <is>
          <t>Passed on test</t>
        </is>
      </c>
      <c r="I46" s="59" t="inlineStr">
        <is>
          <t>Passed on test</t>
        </is>
      </c>
      <c r="J46" s="59" t="inlineStr">
        <is>
          <t>Passed on test</t>
        </is>
      </c>
      <c r="K46" s="59" t="inlineStr">
        <is>
          <t>Passed on test</t>
        </is>
      </c>
      <c r="L46" s="59" t="inlineStr">
        <is>
          <t>Passed on test</t>
        </is>
      </c>
      <c r="M46" s="59" t="inlineStr">
        <is>
          <t>Passed on test</t>
        </is>
      </c>
      <c r="N46" s="56" t="inlineStr">
        <is>
          <t>NOT_TESTED</t>
        </is>
      </c>
      <c r="O46" s="56" t="inlineStr">
        <is>
          <t>NOT_TESTED</t>
        </is>
      </c>
      <c r="P46" s="56" t="inlineStr">
        <is>
          <t>NOT_TESTED</t>
        </is>
      </c>
      <c r="Q46" s="56" t="inlineStr">
        <is>
          <t>NOT_TESTED</t>
        </is>
      </c>
      <c r="R46" s="56" t="inlineStr">
        <is>
          <t>NOT_TESTED</t>
        </is>
      </c>
      <c r="S46" s="56" t="inlineStr">
        <is>
          <t>NOT_TESTED</t>
        </is>
      </c>
      <c r="T46" s="56" t="inlineStr">
        <is>
          <t>NOT_TESTED</t>
        </is>
      </c>
      <c r="U46" s="56" t="inlineStr">
        <is>
          <t>NOT_TESTED</t>
        </is>
      </c>
      <c r="V46" s="56" t="inlineStr">
        <is>
          <t>NOT_TESTED</t>
        </is>
      </c>
      <c r="W46" s="56" t="inlineStr">
        <is>
          <t>NOT_TESTED</t>
        </is>
      </c>
      <c r="X46" s="56" t="inlineStr">
        <is>
          <t>NOT_TESTED</t>
        </is>
      </c>
      <c r="Y46" s="56" t="inlineStr">
        <is>
          <t>NOT_TESTED</t>
        </is>
      </c>
      <c r="Z46" s="56" t="inlineStr">
        <is>
          <t>NOT_TESTED</t>
        </is>
      </c>
      <c r="AA46" s="56" t="inlineStr">
        <is>
          <t>NOT_TESTED</t>
        </is>
      </c>
      <c r="AB46" s="56" t="inlineStr">
        <is>
          <t>NOT_TESTED</t>
        </is>
      </c>
      <c r="AC46" s="55" t="n"/>
      <c r="AD46" s="55" t="n"/>
      <c r="AE46" s="55" t="n"/>
      <c r="AF46" s="55" t="n"/>
      <c r="AG46" s="55" t="n"/>
      <c r="AH46" s="55" t="n"/>
      <c r="AI46" s="55" t="n"/>
      <c r="AJ46" s="55" t="n"/>
      <c r="AK46" s="55" t="n"/>
      <c r="AL46" s="55" t="n"/>
      <c r="AM46" s="55" t="n"/>
      <c r="AN46" s="55" t="n"/>
      <c r="AO46" s="55" t="inlineStr">
        <is>
          <t>AssertionError</t>
        </is>
      </c>
      <c r="AP46" s="55" t="inlineStr">
        <is>
          <t>AssertionError: Items in the first set but not the second: '000 000' '111 000' Items in the second set but not the first: '000' '111'</t>
        </is>
      </c>
      <c r="AQ46" s="55" t="inlineStr">
        <is>
          <t>The LLM added circ.measure_all(), which measures the GHZ state correctly but adds a second 3-bit register instead of using the circuit's existing 3 classical bits, so the counts keys are '000 000' and '111 000' instead of '000' and '111'. The reference measures into the existing bits. A test that ignores the unused register passes the LLM fix.</t>
        </is>
      </c>
      <c r="AR46" s="55" t="inlineStr">
        <is>
          <t>AssertionError</t>
        </is>
      </c>
      <c r="AS46" s="55" t="inlineStr">
        <is>
          <t>AssertionError: Items in the first set but not the second: '000 000' '111 000' Items in the second set but not the first: '000' '111'</t>
        </is>
      </c>
      <c r="AT46" s="55" t="inlineStr">
        <is>
          <t>The LLM added circ.measure_all(), which measures the GHZ state correctly but adds a second 3-bit register instead of using the circuit's existing 3 classical bits, so the counts keys are '000 000' and '111 000' instead of '000' and '111'. The reference measures into the existing bits. A test that ignores the unused register passes the LLM fix.</t>
        </is>
      </c>
      <c r="AU46" s="55" t="inlineStr">
        <is>
          <t>AssertionError</t>
        </is>
      </c>
      <c r="AV46" s="55" t="inlineStr">
        <is>
          <t>AssertionError: Items in the first set but not the second: '111 000' '000 000' Items in the second set but not the first: '000' '111'</t>
        </is>
      </c>
      <c r="AW46" s="55" t="inlineStr">
        <is>
          <t>The LLM added circ.measure_all(), which measures the GHZ state correctly but adds a second 3-bit register instead of using the circuit's existing 3 classical bits, so the counts keys are '000 000' and '111 000' instead of '000' and '111'. The reference measures into the existing bits. A test that ignores the unused register passes the LLM fix.</t>
        </is>
      </c>
      <c r="AX46" s="55" t="inlineStr">
        <is>
          <t>AssertionError</t>
        </is>
      </c>
      <c r="AY46" s="55" t="inlineStr">
        <is>
          <t>AssertionError: Items in the first set but not the second: '111 000' '000 000' Items in the second set but not the first: '111' '000'</t>
        </is>
      </c>
      <c r="AZ46" s="55" t="inlineStr">
        <is>
          <t>The LLM added circ.measure_all(), which measures the GHZ state correctly but adds a second 3-bit register instead of using the circuit's existing 3 classical bits, so the counts keys are '000 000' and '111 000' instead of '000' and '111'. The reference measures into the existing bits. A test that ignores the unused register passes the LLM fix.</t>
        </is>
      </c>
      <c r="BA46" s="55" t="inlineStr">
        <is>
          <t>AssertionError</t>
        </is>
      </c>
      <c r="BB46" s="55" t="inlineStr">
        <is>
          <t>AssertionError: Items in the first set but not the second: '000 000' '111 000' Items in the second set but not the first: '111' '000'</t>
        </is>
      </c>
      <c r="BC46" s="55" t="inlineStr">
        <is>
          <t>The LLM added circ.measure_all(), which measures the GHZ state correctly but adds a second 3-bit register instead of using the circuit's existing 3 classical bits, so the counts keys are '000 000' and '111 000' instead of '000' and '111'. The reference measures into the existing bits. A test that ignores the unused register passes the LLM fix.</t>
        </is>
      </c>
      <c r="BD46" s="55" t="inlineStr">
        <is>
          <t>AssertionError</t>
        </is>
      </c>
      <c r="BE46" s="55" t="inlineStr">
        <is>
          <t>AssertionError: Items in the first set but not the second: '000 000' '111 000' Items in the second set but not the first: '000' '111'</t>
        </is>
      </c>
      <c r="BF46" s="55" t="inlineStr">
        <is>
          <t>The LLM added circ.measure_all(), which measures the GHZ state correctly but adds a second 3-bit register instead of using the circuit's existing 3 classical bits, so the counts keys are '000 000' and '111 000' instead of '000' and '111'. The reference measures into the existing bits. A test that ignores the unused register passes the LLM fix.</t>
        </is>
      </c>
      <c r="BG46" s="55" t="inlineStr">
        <is>
          <t>AssertionError</t>
        </is>
      </c>
      <c r="BH46" s="55" t="inlineStr">
        <is>
          <t>AssertionError: Items in the first set but not the second: '000 000' '111 000' Items in the second set but not the first: '000' '111'</t>
        </is>
      </c>
      <c r="BI46" s="55" t="inlineStr">
        <is>
          <t>The LLM added circ.measure_all(), which measures the GHZ state correctly but adds a second 3-bit register instead of using the circuit's existing 3 classical bits, so the counts keys are '000 000' and '111 000' instead of '000' and '111'. The reference measures into the existing bits. A test that ignores the unused register passes the LLM fix.</t>
        </is>
      </c>
      <c r="BJ46" s="55" t="inlineStr">
        <is>
          <t>AssertionError</t>
        </is>
      </c>
      <c r="BK46" s="55" t="inlineStr">
        <is>
          <t>AssertionError: Items in the first set but not the second: '111 000' '000 000' Items in the second set but not the first: '000' '111'</t>
        </is>
      </c>
      <c r="BL46" s="55" t="inlineStr">
        <is>
          <t>The LLM added circ.measure_all(), which measures the GHZ state correctly but adds a second 3-bit register instead of using the circuit's existing 3 classical bits, so the counts keys are '000 000' and '111 000' instead of '000' and '111'. The reference measures into the existing bits. A test that ignores the unused register passes the LLM fix.</t>
        </is>
      </c>
      <c r="BM46" s="55" t="n"/>
      <c r="BN46" s="55" t="n"/>
      <c r="BO46" s="55" t="n"/>
      <c r="BP46" s="55" t="n"/>
      <c r="BQ46" s="55" t="n"/>
      <c r="BR46" s="55" t="n"/>
      <c r="BS46" s="55" t="n"/>
      <c r="BT46" s="55" t="n"/>
      <c r="BU46" s="55" t="n"/>
      <c r="BV46" s="55" t="n"/>
      <c r="BW46" s="55" t="n"/>
      <c r="BX46" s="55" t="n"/>
      <c r="BY46" s="55" t="n"/>
      <c r="BZ46" s="55" t="n"/>
      <c r="CA46" s="55" t="n"/>
      <c r="CB46" s="55" t="n"/>
      <c r="CC46" s="55" t="n"/>
      <c r="CD46" s="55" t="n"/>
      <c r="CE46" s="55" t="n"/>
      <c r="CF46" s="55" t="n"/>
      <c r="CG46" s="55" t="n"/>
      <c r="CH46" s="55" t="n"/>
      <c r="CI46" s="55" t="n"/>
      <c r="CJ46" s="55" t="n"/>
      <c r="CK46" s="55" t="n"/>
      <c r="CL46" s="55" t="n"/>
      <c r="CM46" s="55" t="n"/>
      <c r="CN46" s="55" t="n"/>
      <c r="CO46" s="55" t="n"/>
      <c r="CP46" s="55" t="n"/>
      <c r="CQ46" s="55" t="n"/>
      <c r="CR46" s="55" t="n"/>
      <c r="CS46" s="55" t="n"/>
      <c r="CT46" s="55" t="n"/>
      <c r="CU46" s="55" t="n"/>
      <c r="CV46" s="55" t="n"/>
      <c r="CW46" s="55" t="n"/>
      <c r="CX46" s="55" t="n"/>
      <c r="CY46" s="55" t="n"/>
      <c r="CZ46" s="55" t="n"/>
      <c r="DA46" s="55" t="n"/>
      <c r="DB46" s="55" t="n"/>
      <c r="DC46" s="55" t="n"/>
      <c r="DD46" s="55" t="n"/>
      <c r="DE46" s="55" t="n"/>
    </row>
    <row r="47">
      <c r="A47" s="55" t="inlineStr">
        <is>
          <t>issue_750</t>
        </is>
      </c>
      <c r="B47" s="56" t="inlineStr">
        <is>
          <t>NOT_TESTED</t>
        </is>
      </c>
      <c r="C47" s="56" t="inlineStr">
        <is>
          <t>NOT_TESTED</t>
        </is>
      </c>
      <c r="D47" s="56" t="inlineStr">
        <is>
          <t>NOT_TESTED</t>
        </is>
      </c>
      <c r="E47" s="56" t="inlineStr">
        <is>
          <t>NOT_TESTED</t>
        </is>
      </c>
      <c r="F47" s="57" t="inlineStr">
        <is>
          <t>Runtime error</t>
        </is>
      </c>
      <c r="G47" s="57" t="inlineStr">
        <is>
          <t>Runtime error</t>
        </is>
      </c>
      <c r="H47" s="57" t="inlineStr">
        <is>
          <t>Runtime error</t>
        </is>
      </c>
      <c r="I47" s="57" t="inlineStr">
        <is>
          <t>Runtime error</t>
        </is>
      </c>
      <c r="J47" s="57" t="inlineStr">
        <is>
          <t>Runtime error</t>
        </is>
      </c>
      <c r="K47" s="57" t="inlineStr">
        <is>
          <t>Runtime error</t>
        </is>
      </c>
      <c r="L47" s="57" t="inlineStr">
        <is>
          <t>Runtime error</t>
        </is>
      </c>
      <c r="M47" s="57" t="inlineStr">
        <is>
          <t>Runtime error</t>
        </is>
      </c>
      <c r="N47" s="57" t="inlineStr">
        <is>
          <t>Runtime error</t>
        </is>
      </c>
      <c r="O47" s="57" t="inlineStr">
        <is>
          <t>Runtime error</t>
        </is>
      </c>
      <c r="P47" s="57" t="inlineStr">
        <is>
          <t>Runtime error</t>
        </is>
      </c>
      <c r="Q47" s="57" t="inlineStr">
        <is>
          <t>Runtime error</t>
        </is>
      </c>
      <c r="R47" s="57" t="inlineStr">
        <is>
          <t>Runtime error</t>
        </is>
      </c>
      <c r="S47" s="57" t="inlineStr">
        <is>
          <t>Runtime error</t>
        </is>
      </c>
      <c r="T47" s="57" t="inlineStr">
        <is>
          <t>Runtime error</t>
        </is>
      </c>
      <c r="U47" s="57" t="inlineStr">
        <is>
          <t>Runtime error</t>
        </is>
      </c>
      <c r="V47" s="57" t="inlineStr">
        <is>
          <t>Runtime error</t>
        </is>
      </c>
      <c r="W47" s="57" t="inlineStr">
        <is>
          <t>Runtime error</t>
        </is>
      </c>
      <c r="X47" s="57" t="inlineStr">
        <is>
          <t>Runtime error</t>
        </is>
      </c>
      <c r="Y47" s="57" t="inlineStr">
        <is>
          <t>Runtime error</t>
        </is>
      </c>
      <c r="Z47" s="57" t="inlineStr">
        <is>
          <t>Runtime error</t>
        </is>
      </c>
      <c r="AA47" s="57" t="inlineStr">
        <is>
          <t>Runtime error</t>
        </is>
      </c>
      <c r="AB47" s="57" t="inlineStr">
        <is>
          <t>Runtime error</t>
        </is>
      </c>
      <c r="AC47" s="55" t="n"/>
      <c r="AD47" s="55" t="n"/>
      <c r="AE47" s="55" t="n"/>
      <c r="AF47" s="55" t="n"/>
      <c r="AG47" s="55" t="n"/>
      <c r="AH47" s="55" t="n"/>
      <c r="AI47" s="55" t="n"/>
      <c r="AJ47" s="55" t="n"/>
      <c r="AK47" s="55" t="n"/>
      <c r="AL47" s="55" t="n"/>
      <c r="AM47" s="55" t="n"/>
      <c r="AN47" s="55" t="n"/>
      <c r="AO47" s="55" t="inlineStr">
        <is>
          <t>TypeError</t>
        </is>
      </c>
      <c r="AP47" s="55" t="inlineStr">
        <is>
          <t>TypeError: Pauli.__init__() got an unexpected keyword argument 'label'</t>
        </is>
      </c>
      <c r="AQ47" s="55" t="inlineStr">
        <is>
          <t>The LLM answered NO BUG and kept Pauli(label='XZ'); the math is right, but the label keyword was removed from Pauli in these versions, so the script raises TypeError. The reference builds the operator with Pauli('X')/Pauli('Z') and tensor/expand.</t>
        </is>
      </c>
      <c r="AR47" s="55" t="inlineStr">
        <is>
          <t>TypeError</t>
        </is>
      </c>
      <c r="AS47" s="55" t="inlineStr">
        <is>
          <t>TypeError: Pauli.__init__() got an unexpected keyword argument 'label'</t>
        </is>
      </c>
      <c r="AT47" s="55" t="inlineStr">
        <is>
          <t>The LLM answered NO BUG and kept Pauli(label='XZ'); the math is right, but the label keyword was removed from Pauli in these versions, so the script raises TypeError. The reference builds the operator with Pauli('X')/Pauli('Z') and tensor/expand.</t>
        </is>
      </c>
      <c r="AU47" s="55" t="inlineStr">
        <is>
          <t>TypeError</t>
        </is>
      </c>
      <c r="AV47" s="55" t="inlineStr">
        <is>
          <t>TypeError: Pauli.__init__() got an unexpected keyword argument 'label'</t>
        </is>
      </c>
      <c r="AW47" s="55" t="inlineStr">
        <is>
          <t>The LLM answered NO BUG and kept Pauli(label='XZ'); the math is right, but the label keyword was removed from Pauli in these versions, so the script raises TypeError. The reference builds the operator with Pauli('X')/Pauli('Z') and tensor/expand.</t>
        </is>
      </c>
      <c r="AX47" s="55" t="inlineStr">
        <is>
          <t>TypeError</t>
        </is>
      </c>
      <c r="AY47" s="55" t="inlineStr">
        <is>
          <t>TypeError: Pauli.__init__() got an unexpected keyword argument 'label'</t>
        </is>
      </c>
      <c r="AZ47" s="55" t="inlineStr">
        <is>
          <t>The LLM answered NO BUG and kept Pauli(label='XZ'); the math is right, but the label keyword was removed from Pauli in these versions, so the script raises TypeError. The reference builds the operator with Pauli('X')/Pauli('Z') and tensor/expand.</t>
        </is>
      </c>
      <c r="BA47" s="55" t="inlineStr">
        <is>
          <t>TypeError</t>
        </is>
      </c>
      <c r="BB47" s="55" t="inlineStr">
        <is>
          <t>TypeError: Pauli.__init__() got an unexpected keyword argument 'label'</t>
        </is>
      </c>
      <c r="BC47" s="55" t="inlineStr">
        <is>
          <t>The LLM answered NO BUG and kept Pauli(label='XZ'); the math is right, but the label keyword was removed from Pauli in these versions, so the script raises TypeError. The reference builds the operator with Pauli('X')/Pauli('Z') and tensor/expand.</t>
        </is>
      </c>
      <c r="BD47" s="55" t="inlineStr">
        <is>
          <t>TypeError</t>
        </is>
      </c>
      <c r="BE47" s="55" t="inlineStr">
        <is>
          <t>TypeError: Pauli.__init__() got an unexpected keyword argument 'label'</t>
        </is>
      </c>
      <c r="BF47" s="55" t="inlineStr">
        <is>
          <t>The LLM answered NO BUG and kept Pauli(label='XZ'); the math is right, but the label keyword was removed from Pauli in these versions, so the script raises TypeError. The reference builds the operator with Pauli('X')/Pauli('Z') and tensor/expand.</t>
        </is>
      </c>
      <c r="BG47" s="55" t="inlineStr">
        <is>
          <t>TypeError</t>
        </is>
      </c>
      <c r="BH47" s="55" t="inlineStr">
        <is>
          <t>TypeError: Pauli.__init__() got an unexpected keyword argument 'label'</t>
        </is>
      </c>
      <c r="BI47" s="55" t="inlineStr">
        <is>
          <t>The LLM answered NO BUG and kept Pauli(label='XZ'); the math is right, but the label keyword was removed from Pauli in these versions, so the script raises TypeError. The reference builds the operator with Pauli('X')/Pauli('Z') and tensor/expand.</t>
        </is>
      </c>
      <c r="BJ47" s="55" t="inlineStr">
        <is>
          <t>TypeError</t>
        </is>
      </c>
      <c r="BK47" s="55" t="inlineStr">
        <is>
          <t>TypeError: Pauli.__init__() got an unexpected keyword argument 'label'</t>
        </is>
      </c>
      <c r="BL47" s="55" t="inlineStr">
        <is>
          <t>The LLM answered NO BUG and kept Pauli(label='XZ'); the math is right, but the label keyword was removed from Pauli in these versions, so the script raises TypeError. The reference builds the operator with Pauli('X')/Pauli('Z') and tensor/expand.</t>
        </is>
      </c>
      <c r="BM47" s="55" t="inlineStr">
        <is>
          <t>TypeError</t>
        </is>
      </c>
      <c r="BN47" s="55" t="inlineStr">
        <is>
          <t>TypeError: Pauli.__init__() got an unexpected keyword argument 'label'</t>
        </is>
      </c>
      <c r="BO47" s="55" t="inlineStr">
        <is>
          <t>The LLM answered NO BUG and kept Pauli(label='XZ'); the math is right, but the label keyword was removed from Pauli in these versions, so the script raises TypeError. The reference builds the operator with Pauli('X')/Pauli('Z') and tensor/expand.</t>
        </is>
      </c>
      <c r="BP47" s="55" t="inlineStr">
        <is>
          <t>TypeError</t>
        </is>
      </c>
      <c r="BQ47" s="55" t="inlineStr">
        <is>
          <t>TypeError: Pauli.__init__() got an unexpected keyword argument 'label'</t>
        </is>
      </c>
      <c r="BR47" s="55" t="inlineStr">
        <is>
          <t>The LLM answered NO BUG and kept Pauli(label='XZ'); the math is right, but the label keyword was removed from Pauli in these versions, so the script raises TypeError. The reference builds the operator with Pauli('X')/Pauli('Z') and tensor/expand.</t>
        </is>
      </c>
      <c r="BS47" s="55" t="inlineStr">
        <is>
          <t>TypeError</t>
        </is>
      </c>
      <c r="BT47" s="55" t="inlineStr">
        <is>
          <t>TypeError: Pauli.__init__() got an unexpected keyword argument 'label'</t>
        </is>
      </c>
      <c r="BU47" s="55" t="inlineStr">
        <is>
          <t>The LLM answered NO BUG and kept Pauli(label='XZ'); the math is right, but the label keyword was removed from Pauli in these versions, so the script raises TypeError. The reference builds the operator with Pauli('X')/Pauli('Z') and tensor/expand.</t>
        </is>
      </c>
      <c r="BV47" s="55" t="inlineStr">
        <is>
          <t>TypeError</t>
        </is>
      </c>
      <c r="BW47" s="55" t="inlineStr">
        <is>
          <t>TypeError: Pauli.__init__() got an unexpected keyword argument 'label'</t>
        </is>
      </c>
      <c r="BX47" s="55" t="inlineStr">
        <is>
          <t>The LLM answered NO BUG and kept Pauli(label='XZ'); the math is right, but the label keyword was removed from Pauli in these versions, so the script raises TypeError. The reference builds the operator with Pauli('X')/Pauli('Z') and tensor/expand.</t>
        </is>
      </c>
      <c r="BY47" s="55" t="inlineStr">
        <is>
          <t>TypeError</t>
        </is>
      </c>
      <c r="BZ47" s="55" t="inlineStr">
        <is>
          <t>TypeError: Pauli.__init__() got an unexpected keyword argument 'label'</t>
        </is>
      </c>
      <c r="CA47" s="55" t="inlineStr">
        <is>
          <t>The LLM answered NO BUG and kept Pauli(label='XZ'); the math is right, but the label keyword was removed from Pauli in these versions, so the script raises TypeError. The reference builds the operator with Pauli('X')/Pauli('Z') and tensor/expand.</t>
        </is>
      </c>
      <c r="CB47" s="55" t="inlineStr">
        <is>
          <t>TypeError</t>
        </is>
      </c>
      <c r="CC47" s="55" t="inlineStr">
        <is>
          <t>TypeError: Pauli.__init__() got an unexpected keyword argument 'label'</t>
        </is>
      </c>
      <c r="CD47" s="55" t="inlineStr">
        <is>
          <t>The LLM answered NO BUG and kept Pauli(label='XZ'); the math is right, but the label keyword was removed from Pauli in these versions, so the script raises TypeError. The reference builds the operator with Pauli('X')/Pauli('Z') and tensor/expand.</t>
        </is>
      </c>
      <c r="CE47" s="55" t="inlineStr">
        <is>
          <t>TypeError</t>
        </is>
      </c>
      <c r="CF47" s="55" t="inlineStr">
        <is>
          <t>TypeError: Pauli.__init__() got an unexpected keyword argument 'label'</t>
        </is>
      </c>
      <c r="CG47" s="55" t="inlineStr">
        <is>
          <t>The LLM answered NO BUG and kept Pauli(label='XZ'); the math is right, but the label keyword was removed from Pauli in these versions, so the script raises TypeError. The reference builds the operator with Pauli('X')/Pauli('Z') and tensor/expand.</t>
        </is>
      </c>
      <c r="CH47" s="55" t="inlineStr">
        <is>
          <t>TypeError</t>
        </is>
      </c>
      <c r="CI47" s="55" t="inlineStr">
        <is>
          <t>TypeError: Pauli.__init__() got an unexpected keyword argument 'label'</t>
        </is>
      </c>
      <c r="CJ47" s="55" t="inlineStr">
        <is>
          <t>The LLM answered NO BUG and kept Pauli(label='XZ'); the math is right, but the label keyword was removed from Pauli in these versions, so the script raises TypeError. The reference builds the operator with Pauli('X')/Pauli('Z') and tensor/expand.</t>
        </is>
      </c>
      <c r="CK47" s="55" t="inlineStr">
        <is>
          <t>TypeError</t>
        </is>
      </c>
      <c r="CL47" s="55" t="inlineStr">
        <is>
          <t>TypeError: Pauli.__init__() got an unexpected keyword argument 'label'</t>
        </is>
      </c>
      <c r="CM47" s="55" t="inlineStr">
        <is>
          <t>The LLM answered NO BUG and kept Pauli(label='XZ'); the math is right, but the label keyword was removed from Pauli in these versions, so the script raises TypeError. The reference builds the operator with Pauli('X')/Pauli('Z') and tensor/expand.</t>
        </is>
      </c>
      <c r="CN47" s="55" t="inlineStr">
        <is>
          <t>TypeError</t>
        </is>
      </c>
      <c r="CO47" s="55" t="inlineStr">
        <is>
          <t>TypeError: Pauli.__init__() got an unexpected keyword argument 'label'</t>
        </is>
      </c>
      <c r="CP47" s="55" t="inlineStr">
        <is>
          <t>The LLM answered NO BUG and kept Pauli(label='XZ'); the math is right, but the label keyword was removed from Pauli in these versions, so the script raises TypeError. The reference builds the operator with Pauli('X')/Pauli('Z') and tensor/expand.</t>
        </is>
      </c>
      <c r="CQ47" s="55" t="inlineStr">
        <is>
          <t>TypeError</t>
        </is>
      </c>
      <c r="CR47" s="55" t="inlineStr">
        <is>
          <t>TypeError: Pauli.__init__() got an unexpected keyword argument 'label'</t>
        </is>
      </c>
      <c r="CS47" s="55" t="inlineStr">
        <is>
          <t>The LLM answered NO BUG and kept Pauli(label='XZ'); the math is right, but the label keyword was removed from Pauli in these versions, so the script raises TypeError. The reference builds the operator with Pauli('X')/Pauli('Z') and tensor/expand.</t>
        </is>
      </c>
      <c r="CT47" s="55" t="inlineStr">
        <is>
          <t>TypeError</t>
        </is>
      </c>
      <c r="CU47" s="55" t="inlineStr">
        <is>
          <t>TypeError: Pauli.__init__() got an unexpected keyword argument 'label'</t>
        </is>
      </c>
      <c r="CV47" s="55" t="inlineStr">
        <is>
          <t>The LLM answered NO BUG and kept Pauli(label='XZ'); the math is right, but the label keyword was removed from Pauli in these versions, so the script raises TypeError. The reference builds the operator with Pauli('X')/Pauli('Z') and tensor/expand.</t>
        </is>
      </c>
      <c r="CW47" s="55" t="inlineStr">
        <is>
          <t>TypeError</t>
        </is>
      </c>
      <c r="CX47" s="55" t="inlineStr">
        <is>
          <t>TypeError: Pauli.__init__() got an unexpected keyword argument 'label'</t>
        </is>
      </c>
      <c r="CY47" s="55" t="inlineStr">
        <is>
          <t>The LLM answered NO BUG and kept Pauli(label='XZ'); the math is right, but the label keyword was removed from Pauli in these versions, so the script raises TypeError. The reference builds the operator with Pauli('X')/Pauli('Z') and tensor/expand.</t>
        </is>
      </c>
      <c r="CZ47" s="55" t="inlineStr">
        <is>
          <t>TypeError</t>
        </is>
      </c>
      <c r="DA47" s="55" t="inlineStr">
        <is>
          <t>TypeError: Pauli.__init__() got an unexpected keyword argument 'label'</t>
        </is>
      </c>
      <c r="DB47" s="55" t="inlineStr">
        <is>
          <t>The LLM answered NO BUG and kept Pauli(label='XZ'); the math is right, but the label keyword was removed from Pauli in these versions, so the script raises TypeError. The reference builds the operator with Pauli('X')/Pauli('Z') and tensor/expand.</t>
        </is>
      </c>
      <c r="DC47" s="55" t="inlineStr">
        <is>
          <t>TypeError</t>
        </is>
      </c>
      <c r="DD47" s="55" t="inlineStr">
        <is>
          <t>TypeError: Pauli.__init__() got an unexpected keyword argument 'label'</t>
        </is>
      </c>
      <c r="DE47" s="55" t="inlineStr">
        <is>
          <t>The LLM answered NO BUG and kept Pauli(label='XZ'); the math is right, but the label keyword was removed from Pauli in these versions, so the script raises TypeError. The reference builds the operator with Pauli('X')/Pauli('Z') and tensor/expand.</t>
        </is>
      </c>
    </row>
    <row r="48">
      <c r="A48" s="55" t="inlineStr">
        <is>
          <t>issue_769</t>
        </is>
      </c>
      <c r="B48" s="56" t="inlineStr">
        <is>
          <t>NOT_TESTED</t>
        </is>
      </c>
      <c r="C48" s="56" t="inlineStr">
        <is>
          <t>NOT_TESTED</t>
        </is>
      </c>
      <c r="D48" s="56" t="inlineStr">
        <is>
          <t>NOT_TESTED</t>
        </is>
      </c>
      <c r="E48" s="56" t="inlineStr">
        <is>
          <t>NOT_TESTED</t>
        </is>
      </c>
      <c r="F48" s="56" t="inlineStr">
        <is>
          <t>NOT_TESTED</t>
        </is>
      </c>
      <c r="G48" s="56" t="inlineStr">
        <is>
          <t>NOT_TESTED</t>
        </is>
      </c>
      <c r="H48" s="56" t="inlineStr">
        <is>
          <t>NOT_TESTED</t>
        </is>
      </c>
      <c r="I48" s="56" t="inlineStr">
        <is>
          <t>NOT_TESTED</t>
        </is>
      </c>
      <c r="J48" s="56" t="inlineStr">
        <is>
          <t>NOT_TESTED</t>
        </is>
      </c>
      <c r="K48" s="56" t="inlineStr">
        <is>
          <t>NOT_TESTED</t>
        </is>
      </c>
      <c r="L48" s="56" t="inlineStr">
        <is>
          <t>NOT_TESTED</t>
        </is>
      </c>
      <c r="M48" s="56" t="inlineStr">
        <is>
          <t>NOT_TESTED</t>
        </is>
      </c>
      <c r="N48" s="57" t="inlineStr">
        <is>
          <t>Runtime error</t>
        </is>
      </c>
      <c r="O48" s="57" t="inlineStr">
        <is>
          <t>Runtime error</t>
        </is>
      </c>
      <c r="P48" s="57" t="inlineStr">
        <is>
          <t>Runtime error</t>
        </is>
      </c>
      <c r="Q48" s="57" t="inlineStr">
        <is>
          <t>Runtime error</t>
        </is>
      </c>
      <c r="R48" s="57" t="inlineStr">
        <is>
          <t>Runtime error</t>
        </is>
      </c>
      <c r="S48" s="57" t="inlineStr">
        <is>
          <t>Runtime error</t>
        </is>
      </c>
      <c r="T48" s="57" t="inlineStr">
        <is>
          <t>Runtime error</t>
        </is>
      </c>
      <c r="U48" s="57" t="inlineStr">
        <is>
          <t>Runtime error</t>
        </is>
      </c>
      <c r="V48" s="57" t="inlineStr">
        <is>
          <t>Runtime error</t>
        </is>
      </c>
      <c r="W48" s="57" t="inlineStr">
        <is>
          <t>Runtime error</t>
        </is>
      </c>
      <c r="X48" s="57" t="inlineStr">
        <is>
          <t>Runtime error</t>
        </is>
      </c>
      <c r="Y48" s="57" t="inlineStr">
        <is>
          <t>Runtime error</t>
        </is>
      </c>
      <c r="Z48" s="57" t="inlineStr">
        <is>
          <t>Runtime error</t>
        </is>
      </c>
      <c r="AA48" s="57" t="inlineStr">
        <is>
          <t>Runtime error</t>
        </is>
      </c>
      <c r="AB48" s="57" t="inlineStr">
        <is>
          <t>Runtime error</t>
        </is>
      </c>
      <c r="AC48" s="55" t="n"/>
      <c r="AD48" s="55" t="n"/>
      <c r="AE48" s="55" t="n"/>
      <c r="AF48" s="55" t="n"/>
      <c r="AG48" s="55" t="n"/>
      <c r="AH48" s="55" t="n"/>
      <c r="AI48" s="55" t="n"/>
      <c r="AJ48" s="55" t="n"/>
      <c r="AK48" s="55" t="n"/>
      <c r="AL48" s="55" t="n"/>
      <c r="AM48" s="55" t="n"/>
      <c r="AN48" s="55" t="n"/>
      <c r="AO48" s="55" t="n"/>
      <c r="AP48" s="55" t="n"/>
      <c r="AQ48" s="55" t="n"/>
      <c r="AR48" s="55" t="n"/>
      <c r="AS48" s="55" t="n"/>
      <c r="AT48" s="55" t="n"/>
      <c r="AU48" s="55" t="n"/>
      <c r="AV48" s="55" t="n"/>
      <c r="AW48" s="55" t="n"/>
      <c r="AX48" s="55" t="n"/>
      <c r="AY48" s="55" t="n"/>
      <c r="AZ48" s="55" t="n"/>
      <c r="BA48" s="55" t="n"/>
      <c r="BB48" s="55" t="n"/>
      <c r="BC48" s="55" t="n"/>
      <c r="BD48" s="55" t="n"/>
      <c r="BE48" s="55" t="n"/>
      <c r="BF48" s="55" t="n"/>
      <c r="BG48" s="55" t="n"/>
      <c r="BH48" s="55" t="n"/>
      <c r="BI48" s="55" t="n"/>
      <c r="BJ48" s="55" t="n"/>
      <c r="BK48" s="55" t="n"/>
      <c r="BL48" s="55" t="n"/>
      <c r="BM48" s="55" t="inlineStr">
        <is>
          <t>KeyError</t>
        </is>
      </c>
      <c r="BN48" s="55" t="inlineStr">
        <is>
          <t>KeyError: 'get_qiskit_gate'</t>
        </is>
      </c>
      <c r="BO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BP48" s="55" t="inlineStr">
        <is>
          <t>KeyError</t>
        </is>
      </c>
      <c r="BQ48" s="55" t="inlineStr">
        <is>
          <t>KeyError: 'get_qiskit_gate'</t>
        </is>
      </c>
      <c r="BR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BS48" s="55" t="inlineStr">
        <is>
          <t>KeyError</t>
        </is>
      </c>
      <c r="BT48" s="55" t="inlineStr">
        <is>
          <t>KeyError: 'get_qiskit_gate'</t>
        </is>
      </c>
      <c r="BU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BV48" s="55" t="inlineStr">
        <is>
          <t>KeyError</t>
        </is>
      </c>
      <c r="BW48" s="55" t="inlineStr">
        <is>
          <t>KeyError: 'get_qiskit_gate'</t>
        </is>
      </c>
      <c r="BX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BY48" s="55" t="inlineStr">
        <is>
          <t>KeyError</t>
        </is>
      </c>
      <c r="BZ48" s="55" t="inlineStr">
        <is>
          <t>KeyError: 'get_qiskit_gate'</t>
        </is>
      </c>
      <c r="CA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CB48" s="55" t="inlineStr">
        <is>
          <t>KeyError</t>
        </is>
      </c>
      <c r="CC48" s="55" t="inlineStr">
        <is>
          <t>KeyError: 'get_qiskit_gate'</t>
        </is>
      </c>
      <c r="CD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CE48" s="55" t="inlineStr">
        <is>
          <t>KeyError</t>
        </is>
      </c>
      <c r="CF48" s="55" t="inlineStr">
        <is>
          <t>KeyError: 'get_qiskit_gate'</t>
        </is>
      </c>
      <c r="CG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CH48" s="55" t="inlineStr">
        <is>
          <t>KeyError</t>
        </is>
      </c>
      <c r="CI48" s="55" t="inlineStr">
        <is>
          <t>KeyError: 'get_qiskit_gate'</t>
        </is>
      </c>
      <c r="CJ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CK48" s="55" t="inlineStr">
        <is>
          <t>KeyError</t>
        </is>
      </c>
      <c r="CL48" s="55" t="inlineStr">
        <is>
          <t>KeyError: 'get_qiskit_gate'</t>
        </is>
      </c>
      <c r="CM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CN48" s="55" t="inlineStr">
        <is>
          <t>KeyError</t>
        </is>
      </c>
      <c r="CO48" s="55" t="inlineStr">
        <is>
          <t>KeyError: 'get_qiskit_gate'</t>
        </is>
      </c>
      <c r="CP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CQ48" s="55" t="inlineStr">
        <is>
          <t>KeyError</t>
        </is>
      </c>
      <c r="CR48" s="55" t="inlineStr">
        <is>
          <t>KeyError: 'get_qiskit_gate'</t>
        </is>
      </c>
      <c r="CS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CT48" s="55" t="inlineStr">
        <is>
          <t>KeyError</t>
        </is>
      </c>
      <c r="CU48" s="55" t="inlineStr">
        <is>
          <t>KeyError: 'get_qiskit_gate'</t>
        </is>
      </c>
      <c r="CV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CW48" s="55" t="inlineStr">
        <is>
          <t>KeyError</t>
        </is>
      </c>
      <c r="CX48" s="55" t="inlineStr">
        <is>
          <t>KeyError: 'get_qiskit_gate'</t>
        </is>
      </c>
      <c r="CY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CZ48" s="55" t="inlineStr">
        <is>
          <t>KeyError</t>
        </is>
      </c>
      <c r="DA48" s="55" t="inlineStr">
        <is>
          <t>KeyError: 'get_qiskit_gate'</t>
        </is>
      </c>
      <c r="DB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DC48" s="55" t="inlineStr">
        <is>
          <t>KeyError</t>
        </is>
      </c>
      <c r="DD48" s="55" t="inlineStr">
        <is>
          <t>KeyError: 'get_qiskit_gate'</t>
        </is>
      </c>
      <c r="DE48" s="55"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row>
    <row r="49">
      <c r="A49" s="55" t="inlineStr">
        <is>
          <t>issue_773</t>
        </is>
      </c>
      <c r="B49" s="56" t="inlineStr">
        <is>
          <t>NOT_TESTED</t>
        </is>
      </c>
      <c r="C49" s="56" t="inlineStr">
        <is>
          <t>NOT_TESTED</t>
        </is>
      </c>
      <c r="D49" s="56" t="inlineStr">
        <is>
          <t>NOT_TESTED</t>
        </is>
      </c>
      <c r="E49" s="56" t="inlineStr">
        <is>
          <t>NOT_TESTED</t>
        </is>
      </c>
      <c r="F49" s="59" t="inlineStr">
        <is>
          <t>Passed on test</t>
        </is>
      </c>
      <c r="G49" s="59" t="inlineStr">
        <is>
          <t>Passed on test</t>
        </is>
      </c>
      <c r="H49" s="59" t="inlineStr">
        <is>
          <t>Passed on test</t>
        </is>
      </c>
      <c r="I49" s="59" t="inlineStr">
        <is>
          <t>Passed on test</t>
        </is>
      </c>
      <c r="J49" s="59" t="inlineStr">
        <is>
          <t>Passed on test</t>
        </is>
      </c>
      <c r="K49" s="59" t="inlineStr">
        <is>
          <t>Passed on test</t>
        </is>
      </c>
      <c r="L49" s="59" t="inlineStr">
        <is>
          <t>Passed on test</t>
        </is>
      </c>
      <c r="M49" s="59" t="inlineStr">
        <is>
          <t>Passed on test</t>
        </is>
      </c>
      <c r="N49" s="56" t="inlineStr">
        <is>
          <t>NOT_TESTED</t>
        </is>
      </c>
      <c r="O49" s="56" t="inlineStr">
        <is>
          <t>NOT_TESTED</t>
        </is>
      </c>
      <c r="P49" s="56" t="inlineStr">
        <is>
          <t>NOT_TESTED</t>
        </is>
      </c>
      <c r="Q49" s="56" t="inlineStr">
        <is>
          <t>NOT_TESTED</t>
        </is>
      </c>
      <c r="R49" s="56" t="inlineStr">
        <is>
          <t>NOT_TESTED</t>
        </is>
      </c>
      <c r="S49" s="56" t="inlineStr">
        <is>
          <t>NOT_TESTED</t>
        </is>
      </c>
      <c r="T49" s="56" t="inlineStr">
        <is>
          <t>NOT_TESTED</t>
        </is>
      </c>
      <c r="U49" s="56" t="inlineStr">
        <is>
          <t>NOT_TESTED</t>
        </is>
      </c>
      <c r="V49" s="56" t="inlineStr">
        <is>
          <t>NOT_TESTED</t>
        </is>
      </c>
      <c r="W49" s="56" t="inlineStr">
        <is>
          <t>NOT_TESTED</t>
        </is>
      </c>
      <c r="X49" s="56" t="inlineStr">
        <is>
          <t>NOT_TESTED</t>
        </is>
      </c>
      <c r="Y49" s="56" t="inlineStr">
        <is>
          <t>NOT_TESTED</t>
        </is>
      </c>
      <c r="Z49" s="56" t="inlineStr">
        <is>
          <t>NOT_TESTED</t>
        </is>
      </c>
      <c r="AA49" s="56" t="inlineStr">
        <is>
          <t>NOT_TESTED</t>
        </is>
      </c>
      <c r="AB49" s="56" t="inlineStr">
        <is>
          <t>NOT_TESTED</t>
        </is>
      </c>
      <c r="AC49" s="55" t="n"/>
      <c r="AD49" s="55" t="n"/>
      <c r="AE49" s="55" t="n"/>
      <c r="AF49" s="55" t="n"/>
      <c r="AG49" s="55" t="n"/>
      <c r="AH49" s="55" t="n"/>
      <c r="AI49" s="55" t="n"/>
      <c r="AJ49" s="55" t="n"/>
      <c r="AK49" s="55" t="n"/>
      <c r="AL49" s="55" t="n"/>
      <c r="AM49" s="55" t="n"/>
      <c r="AN49" s="55" t="n"/>
      <c r="AO49" s="55" t="n"/>
      <c r="AP49" s="55" t="n"/>
      <c r="AQ49" s="55" t="n"/>
      <c r="AR49" s="55" t="n"/>
      <c r="AS49" s="55" t="n"/>
      <c r="AT49" s="55" t="n"/>
      <c r="AU49" s="55" t="n"/>
      <c r="AV49" s="55" t="n"/>
      <c r="AW49" s="55" t="n"/>
      <c r="AX49" s="55" t="n"/>
      <c r="AY49" s="55" t="n"/>
      <c r="AZ49" s="55" t="n"/>
      <c r="BA49" s="55" t="n"/>
      <c r="BB49" s="55" t="n"/>
      <c r="BC49" s="55" t="n"/>
      <c r="BD49" s="55" t="n"/>
      <c r="BE49" s="55" t="n"/>
      <c r="BF49" s="55" t="n"/>
      <c r="BG49" s="55" t="n"/>
      <c r="BH49" s="55" t="n"/>
      <c r="BI49" s="55" t="n"/>
      <c r="BJ49" s="55" t="n"/>
      <c r="BK49" s="55" t="n"/>
      <c r="BL49" s="55" t="n"/>
      <c r="BM49" s="55" t="n"/>
      <c r="BN49" s="55" t="n"/>
      <c r="BO49" s="55" t="n"/>
      <c r="BP49" s="55" t="n"/>
      <c r="BQ49" s="55" t="n"/>
      <c r="BR49" s="55" t="n"/>
      <c r="BS49" s="55" t="n"/>
      <c r="BT49" s="55" t="n"/>
      <c r="BU49" s="55" t="n"/>
      <c r="BV49" s="55" t="n"/>
      <c r="BW49" s="55" t="n"/>
      <c r="BX49" s="55" t="n"/>
      <c r="BY49" s="55" t="n"/>
      <c r="BZ49" s="55" t="n"/>
      <c r="CA49" s="55" t="n"/>
      <c r="CB49" s="55" t="n"/>
      <c r="CC49" s="55" t="n"/>
      <c r="CD49" s="55" t="n"/>
      <c r="CE49" s="55" t="n"/>
      <c r="CF49" s="55" t="n"/>
      <c r="CG49" s="55" t="n"/>
      <c r="CH49" s="55" t="n"/>
      <c r="CI49" s="55" t="n"/>
      <c r="CJ49" s="55" t="n"/>
      <c r="CK49" s="55" t="n"/>
      <c r="CL49" s="55" t="n"/>
      <c r="CM49" s="55" t="n"/>
      <c r="CN49" s="55" t="n"/>
      <c r="CO49" s="55" t="n"/>
      <c r="CP49" s="55" t="n"/>
      <c r="CQ49" s="55" t="n"/>
      <c r="CR49" s="55" t="n"/>
      <c r="CS49" s="55" t="n"/>
      <c r="CT49" s="55" t="n"/>
      <c r="CU49" s="55" t="n"/>
      <c r="CV49" s="55" t="n"/>
      <c r="CW49" s="55" t="n"/>
      <c r="CX49" s="55" t="n"/>
      <c r="CY49" s="55" t="n"/>
      <c r="CZ49" s="55" t="n"/>
      <c r="DA49" s="55" t="n"/>
      <c r="DB49" s="55" t="n"/>
      <c r="DC49" s="55" t="n"/>
      <c r="DD49" s="55" t="n"/>
      <c r="DE49" s="55" t="n"/>
    </row>
    <row r="50">
      <c r="A50" s="55" t="inlineStr">
        <is>
          <t>issue_775</t>
        </is>
      </c>
      <c r="B50" s="59" t="inlineStr">
        <is>
          <t>Passed on test</t>
        </is>
      </c>
      <c r="C50" s="59" t="inlineStr">
        <is>
          <t>Passed on test</t>
        </is>
      </c>
      <c r="D50" s="59" t="inlineStr">
        <is>
          <t>Passed on test</t>
        </is>
      </c>
      <c r="E50" s="59" t="inlineStr">
        <is>
          <t>Passed on test</t>
        </is>
      </c>
      <c r="F50" s="59" t="inlineStr">
        <is>
          <t>Passed on test</t>
        </is>
      </c>
      <c r="G50" s="59" t="inlineStr">
        <is>
          <t>Passed on test</t>
        </is>
      </c>
      <c r="H50" s="59" t="inlineStr">
        <is>
          <t>Passed on test</t>
        </is>
      </c>
      <c r="I50" s="59" t="inlineStr">
        <is>
          <t>Passed on test</t>
        </is>
      </c>
      <c r="J50" s="59" t="inlineStr">
        <is>
          <t>Passed on test</t>
        </is>
      </c>
      <c r="K50" s="59" t="inlineStr">
        <is>
          <t>Passed on test</t>
        </is>
      </c>
      <c r="L50" s="59" t="inlineStr">
        <is>
          <t>Passed on test</t>
        </is>
      </c>
      <c r="M50" s="59" t="inlineStr">
        <is>
          <t>Passed on test</t>
        </is>
      </c>
      <c r="N50" s="56" t="inlineStr">
        <is>
          <t>NOT_TESTED</t>
        </is>
      </c>
      <c r="O50" s="56" t="inlineStr">
        <is>
          <t>NOT_TESTED</t>
        </is>
      </c>
      <c r="P50" s="56" t="inlineStr">
        <is>
          <t>NOT_TESTED</t>
        </is>
      </c>
      <c r="Q50" s="56" t="inlineStr">
        <is>
          <t>NOT_TESTED</t>
        </is>
      </c>
      <c r="R50" s="56" t="inlineStr">
        <is>
          <t>NOT_TESTED</t>
        </is>
      </c>
      <c r="S50" s="56" t="inlineStr">
        <is>
          <t>NOT_TESTED</t>
        </is>
      </c>
      <c r="T50" s="56" t="inlineStr">
        <is>
          <t>NOT_TESTED</t>
        </is>
      </c>
      <c r="U50" s="56" t="inlineStr">
        <is>
          <t>NOT_TESTED</t>
        </is>
      </c>
      <c r="V50" s="56" t="inlineStr">
        <is>
          <t>NOT_TESTED</t>
        </is>
      </c>
      <c r="W50" s="56" t="inlineStr">
        <is>
          <t>NOT_TESTED</t>
        </is>
      </c>
      <c r="X50" s="56" t="inlineStr">
        <is>
          <t>NOT_TESTED</t>
        </is>
      </c>
      <c r="Y50" s="56" t="inlineStr">
        <is>
          <t>NOT_TESTED</t>
        </is>
      </c>
      <c r="Z50" s="56" t="inlineStr">
        <is>
          <t>NOT_TESTED</t>
        </is>
      </c>
      <c r="AA50" s="56" t="inlineStr">
        <is>
          <t>NOT_TESTED</t>
        </is>
      </c>
      <c r="AB50" s="56" t="inlineStr">
        <is>
          <t>NOT_TESTED</t>
        </is>
      </c>
      <c r="AC50" s="55" t="inlineStr">
        <is>
          <t>KeyError</t>
        </is>
      </c>
      <c r="AD50" s="55" t="inlineStr">
        <is>
          <t>KeyError: 'qc'</t>
        </is>
      </c>
      <c r="AE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AF50" s="55" t="inlineStr">
        <is>
          <t>KeyError</t>
        </is>
      </c>
      <c r="AG50" s="55" t="inlineStr">
        <is>
          <t>KeyError: 'qc'</t>
        </is>
      </c>
      <c r="AH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AI50" s="55" t="inlineStr">
        <is>
          <t>KeyError</t>
        </is>
      </c>
      <c r="AJ50" s="55" t="inlineStr">
        <is>
          <t>KeyError: 'qc'</t>
        </is>
      </c>
      <c r="AK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AL50" s="55" t="inlineStr">
        <is>
          <t>KeyError</t>
        </is>
      </c>
      <c r="AM50" s="55" t="inlineStr">
        <is>
          <t>KeyError: 'qc'</t>
        </is>
      </c>
      <c r="AN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AO50" s="55" t="inlineStr">
        <is>
          <t>KeyError</t>
        </is>
      </c>
      <c r="AP50" s="55" t="inlineStr">
        <is>
          <t>KeyError: 'qc'</t>
        </is>
      </c>
      <c r="AQ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AR50" s="55" t="inlineStr">
        <is>
          <t>KeyError</t>
        </is>
      </c>
      <c r="AS50" s="55" t="inlineStr">
        <is>
          <t>KeyError: 'qc'</t>
        </is>
      </c>
      <c r="AT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AU50" s="55" t="inlineStr">
        <is>
          <t>KeyError</t>
        </is>
      </c>
      <c r="AV50" s="55" t="inlineStr">
        <is>
          <t>KeyError: 'qc'</t>
        </is>
      </c>
      <c r="AW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AX50" s="55" t="inlineStr">
        <is>
          <t>KeyError</t>
        </is>
      </c>
      <c r="AY50" s="55" t="inlineStr">
        <is>
          <t>KeyError: 'qc'</t>
        </is>
      </c>
      <c r="AZ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BA50" s="55" t="inlineStr">
        <is>
          <t>KeyError</t>
        </is>
      </c>
      <c r="BB50" s="55" t="inlineStr">
        <is>
          <t>KeyError: 'qc'</t>
        </is>
      </c>
      <c r="BC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BD50" s="55" t="inlineStr">
        <is>
          <t>KeyError</t>
        </is>
      </c>
      <c r="BE50" s="55" t="inlineStr">
        <is>
          <t>KeyError: 'qc'</t>
        </is>
      </c>
      <c r="BF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BG50" s="55" t="inlineStr">
        <is>
          <t>KeyError</t>
        </is>
      </c>
      <c r="BH50" s="55" t="inlineStr">
        <is>
          <t>KeyError: 'qc'</t>
        </is>
      </c>
      <c r="BI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BJ50" s="55" t="inlineStr">
        <is>
          <t>KeyError</t>
        </is>
      </c>
      <c r="BK50" s="55" t="inlineStr">
        <is>
          <t>KeyError: 'qc'</t>
        </is>
      </c>
      <c r="BL50" s="55" t="inlineStr">
        <is>
          <t>The LLM parsed the QASM with QuantumCircuit.from_qasm_str and executed it, which is the right fix, but inlined the call inside execute(...) instead of storing it in a variable. The test reads the variable qc from the reference, so it raises KeyError. A test that checks the executed result instead passes the LLM fix and still fails the buggy code.</t>
        </is>
      </c>
      <c r="BM50" s="55" t="n"/>
      <c r="BN50" s="55" t="n"/>
      <c r="BO50" s="55" t="n"/>
      <c r="BP50" s="55" t="n"/>
      <c r="BQ50" s="55" t="n"/>
      <c r="BR50" s="55" t="n"/>
      <c r="BS50" s="55" t="n"/>
      <c r="BT50" s="55" t="n"/>
      <c r="BU50" s="55" t="n"/>
      <c r="BV50" s="55" t="n"/>
      <c r="BW50" s="55" t="n"/>
      <c r="BX50" s="55" t="n"/>
      <c r="BY50" s="55" t="n"/>
      <c r="BZ50" s="55" t="n"/>
      <c r="CA50" s="55" t="n"/>
      <c r="CB50" s="55" t="n"/>
      <c r="CC50" s="55" t="n"/>
      <c r="CD50" s="55" t="n"/>
      <c r="CE50" s="55" t="n"/>
      <c r="CF50" s="55" t="n"/>
      <c r="CG50" s="55" t="n"/>
      <c r="CH50" s="55" t="n"/>
      <c r="CI50" s="55" t="n"/>
      <c r="CJ50" s="55" t="n"/>
      <c r="CK50" s="55" t="n"/>
      <c r="CL50" s="55" t="n"/>
      <c r="CM50" s="55" t="n"/>
      <c r="CN50" s="55" t="n"/>
      <c r="CO50" s="55" t="n"/>
      <c r="CP50" s="55" t="n"/>
      <c r="CQ50" s="55" t="n"/>
      <c r="CR50" s="55" t="n"/>
      <c r="CS50" s="55" t="n"/>
      <c r="CT50" s="55" t="n"/>
      <c r="CU50" s="55" t="n"/>
      <c r="CV50" s="55" t="n"/>
      <c r="CW50" s="55" t="n"/>
      <c r="CX50" s="55" t="n"/>
      <c r="CY50" s="55" t="n"/>
      <c r="CZ50" s="55" t="n"/>
      <c r="DA50" s="55" t="n"/>
      <c r="DB50" s="55" t="n"/>
      <c r="DC50" s="55" t="n"/>
      <c r="DD50" s="55" t="n"/>
      <c r="DE50" s="55" t="n"/>
    </row>
    <row r="51">
      <c r="A51" s="55" t="inlineStr">
        <is>
          <t>issue_795</t>
        </is>
      </c>
      <c r="B51" s="59" t="inlineStr">
        <is>
          <t>Passed on test</t>
        </is>
      </c>
      <c r="C51" s="59" t="inlineStr">
        <is>
          <t>Passed on test</t>
        </is>
      </c>
      <c r="D51" s="59" t="inlineStr">
        <is>
          <t>Passed on test</t>
        </is>
      </c>
      <c r="E51" s="59" t="inlineStr">
        <is>
          <t>Passed on test</t>
        </is>
      </c>
      <c r="F51" s="59" t="inlineStr">
        <is>
          <t>Passed on test</t>
        </is>
      </c>
      <c r="G51" s="59" t="inlineStr">
        <is>
          <t>Passed on test</t>
        </is>
      </c>
      <c r="H51" s="59" t="inlineStr">
        <is>
          <t>Passed on test</t>
        </is>
      </c>
      <c r="I51" s="59" t="inlineStr">
        <is>
          <t>Passed on test</t>
        </is>
      </c>
      <c r="J51" s="59" t="inlineStr">
        <is>
          <t>Passed on test</t>
        </is>
      </c>
      <c r="K51" s="59" t="inlineStr">
        <is>
          <t>Passed on test</t>
        </is>
      </c>
      <c r="L51" s="59" t="inlineStr">
        <is>
          <t>Passed on test</t>
        </is>
      </c>
      <c r="M51" s="59" t="inlineStr">
        <is>
          <t>Passed on test</t>
        </is>
      </c>
      <c r="N51" s="56" t="inlineStr">
        <is>
          <t>NOT_TESTED</t>
        </is>
      </c>
      <c r="O51" s="56" t="inlineStr">
        <is>
          <t>NOT_TESTED</t>
        </is>
      </c>
      <c r="P51" s="56" t="inlineStr">
        <is>
          <t>NOT_TESTED</t>
        </is>
      </c>
      <c r="Q51" s="56" t="inlineStr">
        <is>
          <t>NOT_TESTED</t>
        </is>
      </c>
      <c r="R51" s="56" t="inlineStr">
        <is>
          <t>NOT_TESTED</t>
        </is>
      </c>
      <c r="S51" s="56" t="inlineStr">
        <is>
          <t>NOT_TESTED</t>
        </is>
      </c>
      <c r="T51" s="56" t="inlineStr">
        <is>
          <t>NOT_TESTED</t>
        </is>
      </c>
      <c r="U51" s="56" t="inlineStr">
        <is>
          <t>NOT_TESTED</t>
        </is>
      </c>
      <c r="V51" s="56" t="inlineStr">
        <is>
          <t>NOT_TESTED</t>
        </is>
      </c>
      <c r="W51" s="56" t="inlineStr">
        <is>
          <t>NOT_TESTED</t>
        </is>
      </c>
      <c r="X51" s="56" t="inlineStr">
        <is>
          <t>NOT_TESTED</t>
        </is>
      </c>
      <c r="Y51" s="56" t="inlineStr">
        <is>
          <t>NOT_TESTED</t>
        </is>
      </c>
      <c r="Z51" s="56" t="inlineStr">
        <is>
          <t>NOT_TESTED</t>
        </is>
      </c>
      <c r="AA51" s="56" t="inlineStr">
        <is>
          <t>NOT_TESTED</t>
        </is>
      </c>
      <c r="AB51" s="56" t="inlineStr">
        <is>
          <t>NOT_TESTED</t>
        </is>
      </c>
      <c r="AC51" s="55" t="n"/>
      <c r="AD51" s="55" t="n"/>
      <c r="AE51" s="55" t="n"/>
      <c r="AF51" s="55" t="n"/>
      <c r="AG51" s="55" t="n"/>
      <c r="AH51" s="55" t="n"/>
      <c r="AI51" s="55" t="n"/>
      <c r="AJ51" s="55" t="n"/>
      <c r="AK51" s="55" t="n"/>
      <c r="AL51" s="55" t="n"/>
      <c r="AM51" s="55" t="n"/>
      <c r="AN51" s="55" t="n"/>
      <c r="AO51" s="55" t="n"/>
      <c r="AP51" s="55" t="n"/>
      <c r="AQ51" s="55" t="n"/>
      <c r="AR51" s="55" t="n"/>
      <c r="AS51" s="55" t="n"/>
      <c r="AT51" s="55" t="n"/>
      <c r="AU51" s="55" t="n"/>
      <c r="AV51" s="55" t="n"/>
      <c r="AW51" s="55" t="n"/>
      <c r="AX51" s="55" t="n"/>
      <c r="AY51" s="55" t="n"/>
      <c r="AZ51" s="55" t="n"/>
      <c r="BA51" s="55" t="n"/>
      <c r="BB51" s="55" t="n"/>
      <c r="BC51" s="55" t="n"/>
      <c r="BD51" s="55" t="n"/>
      <c r="BE51" s="55" t="n"/>
      <c r="BF51" s="55" t="n"/>
      <c r="BG51" s="55" t="n"/>
      <c r="BH51" s="55" t="n"/>
      <c r="BI51" s="55" t="n"/>
      <c r="BJ51" s="55" t="n"/>
      <c r="BK51" s="55" t="n"/>
      <c r="BL51" s="55" t="n"/>
      <c r="BM51" s="55" t="n"/>
      <c r="BN51" s="55" t="n"/>
      <c r="BO51" s="55" t="n"/>
      <c r="BP51" s="55" t="n"/>
      <c r="BQ51" s="55" t="n"/>
      <c r="BR51" s="55" t="n"/>
      <c r="BS51" s="55" t="n"/>
      <c r="BT51" s="55" t="n"/>
      <c r="BU51" s="55" t="n"/>
      <c r="BV51" s="55" t="n"/>
      <c r="BW51" s="55" t="n"/>
      <c r="BX51" s="55" t="n"/>
      <c r="BY51" s="55" t="n"/>
      <c r="BZ51" s="55" t="n"/>
      <c r="CA51" s="55" t="n"/>
      <c r="CB51" s="55" t="n"/>
      <c r="CC51" s="55" t="n"/>
      <c r="CD51" s="55" t="n"/>
      <c r="CE51" s="55" t="n"/>
      <c r="CF51" s="55" t="n"/>
      <c r="CG51" s="55" t="n"/>
      <c r="CH51" s="55" t="n"/>
      <c r="CI51" s="55" t="n"/>
      <c r="CJ51" s="55" t="n"/>
      <c r="CK51" s="55" t="n"/>
      <c r="CL51" s="55" t="n"/>
      <c r="CM51" s="55" t="n"/>
      <c r="CN51" s="55" t="n"/>
      <c r="CO51" s="55" t="n"/>
      <c r="CP51" s="55" t="n"/>
      <c r="CQ51" s="55" t="n"/>
      <c r="CR51" s="55" t="n"/>
      <c r="CS51" s="55" t="n"/>
      <c r="CT51" s="55" t="n"/>
      <c r="CU51" s="55" t="n"/>
      <c r="CV51" s="55" t="n"/>
      <c r="CW51" s="55" t="n"/>
      <c r="CX51" s="55" t="n"/>
      <c r="CY51" s="55" t="n"/>
      <c r="CZ51" s="55" t="n"/>
      <c r="DA51" s="55" t="n"/>
      <c r="DB51" s="55" t="n"/>
      <c r="DC51" s="55" t="n"/>
      <c r="DD51" s="55" t="n"/>
      <c r="DE51" s="55" t="n"/>
    </row>
    <row r="52">
      <c r="A52" s="55" t="inlineStr">
        <is>
          <t>issue_803</t>
        </is>
      </c>
      <c r="B52" s="58" t="inlineStr">
        <is>
          <t>Failed on test</t>
        </is>
      </c>
      <c r="C52" s="58" t="inlineStr">
        <is>
          <t>Failed on test</t>
        </is>
      </c>
      <c r="D52" s="58" t="inlineStr">
        <is>
          <t>Failed on test</t>
        </is>
      </c>
      <c r="E52" s="58" t="inlineStr">
        <is>
          <t>Failed on test</t>
        </is>
      </c>
      <c r="F52" s="57" t="inlineStr">
        <is>
          <t>Runtime error</t>
        </is>
      </c>
      <c r="G52" s="57" t="inlineStr">
        <is>
          <t>Runtime error</t>
        </is>
      </c>
      <c r="H52" s="57" t="inlineStr">
        <is>
          <t>Runtime error</t>
        </is>
      </c>
      <c r="I52" s="57" t="inlineStr">
        <is>
          <t>Runtime error</t>
        </is>
      </c>
      <c r="J52" s="57" t="inlineStr">
        <is>
          <t>Runtime error</t>
        </is>
      </c>
      <c r="K52" s="57" t="inlineStr">
        <is>
          <t>Runtime error</t>
        </is>
      </c>
      <c r="L52" s="57" t="inlineStr">
        <is>
          <t>Runtime error</t>
        </is>
      </c>
      <c r="M52" s="57" t="inlineStr">
        <is>
          <t>Runtime error</t>
        </is>
      </c>
      <c r="N52" s="56" t="inlineStr">
        <is>
          <t>NOT_TESTED</t>
        </is>
      </c>
      <c r="O52" s="56" t="inlineStr">
        <is>
          <t>NOT_TESTED</t>
        </is>
      </c>
      <c r="P52" s="56" t="inlineStr">
        <is>
          <t>NOT_TESTED</t>
        </is>
      </c>
      <c r="Q52" s="56" t="inlineStr">
        <is>
          <t>NOT_TESTED</t>
        </is>
      </c>
      <c r="R52" s="56" t="inlineStr">
        <is>
          <t>NOT_TESTED</t>
        </is>
      </c>
      <c r="S52" s="56" t="inlineStr">
        <is>
          <t>NOT_TESTED</t>
        </is>
      </c>
      <c r="T52" s="56" t="inlineStr">
        <is>
          <t>NOT_TESTED</t>
        </is>
      </c>
      <c r="U52" s="56" t="inlineStr">
        <is>
          <t>NOT_TESTED</t>
        </is>
      </c>
      <c r="V52" s="56" t="inlineStr">
        <is>
          <t>NOT_TESTED</t>
        </is>
      </c>
      <c r="W52" s="56" t="inlineStr">
        <is>
          <t>NOT_TESTED</t>
        </is>
      </c>
      <c r="X52" s="56" t="inlineStr">
        <is>
          <t>NOT_TESTED</t>
        </is>
      </c>
      <c r="Y52" s="56" t="inlineStr">
        <is>
          <t>NOT_TESTED</t>
        </is>
      </c>
      <c r="Z52" s="56" t="inlineStr">
        <is>
          <t>NOT_TESTED</t>
        </is>
      </c>
      <c r="AA52" s="56" t="inlineStr">
        <is>
          <t>NOT_TESTED</t>
        </is>
      </c>
      <c r="AB52" s="56" t="inlineStr">
        <is>
          <t>NOT_TESTED</t>
        </is>
      </c>
      <c r="AC52" s="55" t="inlineStr">
        <is>
          <t>AssertionError</t>
        </is>
      </c>
      <c r="AD52" s="55" t="inlineStr">
        <is>
          <t>AssertionError: array([list([52, 48]), list([100]), list([100])], dtype=object) is not an instance of &lt;class 'list'&gt;</t>
        </is>
      </c>
      <c r="AE52" s="55" t="inlineStr">
        <is>
          <t>The LLM turned the list of count dictionaries into a NumPy array of their values, which throws away which outcome ('0' or '1') each count belongs to. On this NumPy version the uneven lists become an object array, so the test's check that run() returns a list of count dictionaries fails. The reference returns the list of dictionaries.</t>
        </is>
      </c>
      <c r="AF52" s="55" t="inlineStr">
        <is>
          <t>AssertionError</t>
        </is>
      </c>
      <c r="AG52" s="55" t="inlineStr">
        <is>
          <t>AssertionError: array([list([40, 60]), list([100]), list([100])], dtype=object) is not an instance of &lt;class 'list'&gt;</t>
        </is>
      </c>
      <c r="AH52" s="55" t="inlineStr">
        <is>
          <t>The LLM turned the list of count dictionaries into a NumPy array of their values, which throws away which outcome ('0' or '1') each count belongs to. On this NumPy version the uneven lists become an object array, so the test's check that run() returns a list of count dictionaries fails. The reference returns the list of dictionaries.</t>
        </is>
      </c>
      <c r="AI52" s="55" t="inlineStr">
        <is>
          <t>AssertionError</t>
        </is>
      </c>
      <c r="AJ52" s="55" t="inlineStr">
        <is>
          <t>AssertionError: array([list([47, 53]), list([100]), list([100])], dtype=object) is not an instance of &lt;class 'list'&gt;</t>
        </is>
      </c>
      <c r="AK52" s="55" t="inlineStr">
        <is>
          <t>The LLM turned the list of count dictionaries into a NumPy array of their values, which throws away which outcome ('0' or '1') each count belongs to. On this NumPy version the uneven lists become an object array, so the test's check that run() returns a list of count dictionaries fails. The reference returns the list of dictionaries.</t>
        </is>
      </c>
      <c r="AL52" s="55" t="inlineStr">
        <is>
          <t>AssertionError</t>
        </is>
      </c>
      <c r="AM52" s="55" t="inlineStr">
        <is>
          <t>AssertionError: array([list([49, 51]), list([100]), list([100])], dtype=object) is not an instance of &lt;class 'list'&gt;</t>
        </is>
      </c>
      <c r="AN52" s="55" t="inlineStr">
        <is>
          <t>The LLM turned the list of count dictionaries into a NumPy array of their values, which throws away which outcome ('0' or '1') each count belongs to. On this NumPy version the uneven lists become an object array, so the test's check that run() returns a list of count dictionaries fails. The reference returns the list of dictionaries.</t>
        </is>
      </c>
      <c r="AO52" s="55" t="inlineStr">
        <is>
          <t>ValueError</t>
        </is>
      </c>
      <c r="AP52" s="55" t="inlineStr">
        <is>
          <t xml:space="preserve">ValueError: The truth value of an array with more than one element is ambiguous. Use a.any() or a.all() | ValueError: setting an array element with a sequence. The requested array has an inhomogeneous shape after 1 dimensions. The detected shape was </t>
        </is>
      </c>
      <c r="AQ52" s="55" t="inlineStr">
        <is>
          <t>The LLM turned the list of count dictionaries into a NumPy array of their values, which throws away which outcome each count belongs to. Newer NumPy refuses to build an array from lists of different lengths ('inhomogeneous shape'), so run() raises ValueError. The reference returns the list of dictionaries.</t>
        </is>
      </c>
      <c r="AR52" s="55" t="inlineStr">
        <is>
          <t>ValueError</t>
        </is>
      </c>
      <c r="AS52" s="55" t="inlineStr">
        <is>
          <t xml:space="preserve">ValueError: The truth value of an array with more than one element is ambiguous. Use a.any() or a.all() | ValueError: setting an array element with a sequence. The requested array has an inhomogeneous shape after 1 dimensions. The detected shape was </t>
        </is>
      </c>
      <c r="AT52" s="55" t="inlineStr">
        <is>
          <t>The LLM turned the list of count dictionaries into a NumPy array of their values, which throws away which outcome each count belongs to. Newer NumPy refuses to build an array from lists of different lengths ('inhomogeneous shape'), so run() raises ValueError. The reference returns the list of dictionaries.</t>
        </is>
      </c>
      <c r="AU52" s="55" t="inlineStr">
        <is>
          <t>ValueError</t>
        </is>
      </c>
      <c r="AV52" s="55" t="inlineStr">
        <is>
          <t xml:space="preserve">ValueError: The truth value of an array with more than one element is ambiguous. Use a.any() or a.all() | ValueError: setting an array element with a sequence. The requested array has an inhomogeneous shape after 1 dimensions. The detected shape was </t>
        </is>
      </c>
      <c r="AW52" s="55" t="inlineStr">
        <is>
          <t>The LLM turned the list of count dictionaries into a NumPy array of their values, which throws away which outcome each count belongs to. Newer NumPy refuses to build an array from lists of different lengths ('inhomogeneous shape'), so run() raises ValueError. The reference returns the list of dictionaries.</t>
        </is>
      </c>
      <c r="AX52" s="55" t="inlineStr">
        <is>
          <t>ValueError</t>
        </is>
      </c>
      <c r="AY52" s="55" t="inlineStr">
        <is>
          <t xml:space="preserve">ValueError: The truth value of an array with more than one element is ambiguous. Use a.any() or a.all() | ValueError: setting an array element with a sequence. The requested array has an inhomogeneous shape after 1 dimensions. The detected shape was </t>
        </is>
      </c>
      <c r="AZ52" s="55" t="inlineStr">
        <is>
          <t>The LLM turned the list of count dictionaries into a NumPy array of their values, which throws away which outcome each count belongs to. Newer NumPy refuses to build an array from lists of different lengths ('inhomogeneous shape'), so run() raises ValueError. The reference returns the list of dictionaries.</t>
        </is>
      </c>
      <c r="BA52" s="55" t="inlineStr">
        <is>
          <t>ValueError</t>
        </is>
      </c>
      <c r="BB52" s="55" t="inlineStr">
        <is>
          <t xml:space="preserve">ValueError: The truth value of an array with more than one element is ambiguous. Use a.any() or a.all() | ValueError: setting an array element with a sequence. The requested array has an inhomogeneous shape after 1 dimensions. The detected shape was </t>
        </is>
      </c>
      <c r="BC52" s="55" t="inlineStr">
        <is>
          <t>The LLM turned the list of count dictionaries into a NumPy array of their values, which throws away which outcome each count belongs to. Newer NumPy refuses to build an array from lists of different lengths ('inhomogeneous shape'), so run() raises ValueError. The reference returns the list of dictionaries.</t>
        </is>
      </c>
      <c r="BD52" s="55" t="inlineStr">
        <is>
          <t>ValueError</t>
        </is>
      </c>
      <c r="BE52" s="55" t="inlineStr">
        <is>
          <t xml:space="preserve">ValueError: The truth value of an array with more than one element is ambiguous. Use a.any() or a.all() | ValueError: setting an array element with a sequence. The requested array has an inhomogeneous shape after 1 dimensions. The detected shape was </t>
        </is>
      </c>
      <c r="BF52" s="55" t="inlineStr">
        <is>
          <t>The LLM turned the list of count dictionaries into a NumPy array of their values, which throws away which outcome each count belongs to. Newer NumPy refuses to build an array from lists of different lengths ('inhomogeneous shape'), so run() raises ValueError. The reference returns the list of dictionaries.</t>
        </is>
      </c>
      <c r="BG52" s="55" t="inlineStr">
        <is>
          <t>ValueError</t>
        </is>
      </c>
      <c r="BH52" s="55" t="inlineStr">
        <is>
          <t xml:space="preserve">ValueError: The truth value of an array with more than one element is ambiguous. Use a.any() or a.all() | ValueError: setting an array element with a sequence. The requested array has an inhomogeneous shape after 1 dimensions. The detected shape was </t>
        </is>
      </c>
      <c r="BI52" s="55" t="inlineStr">
        <is>
          <t>The LLM turned the list of count dictionaries into a NumPy array of their values, which throws away which outcome each count belongs to. Newer NumPy refuses to build an array from lists of different lengths ('inhomogeneous shape'), so run() raises ValueError. The reference returns the list of dictionaries.</t>
        </is>
      </c>
      <c r="BJ52" s="55" t="inlineStr">
        <is>
          <t>ValueError</t>
        </is>
      </c>
      <c r="BK52" s="55" t="inlineStr">
        <is>
          <t xml:space="preserve">ValueError: The truth value of an array with more than one element is ambiguous. Use a.any() or a.all() | ValueError: setting an array element with a sequence. The requested array has an inhomogeneous shape after 1 dimensions. The detected shape was </t>
        </is>
      </c>
      <c r="BL52" s="55" t="inlineStr">
        <is>
          <t>The LLM turned the list of count dictionaries into a NumPy array of their values, which throws away which outcome each count belongs to. Newer NumPy refuses to build an array from lists of different lengths ('inhomogeneous shape'), so run() raises ValueError. The reference returns the list of dictionaries.</t>
        </is>
      </c>
      <c r="BM52" s="55" t="n"/>
      <c r="BN52" s="55" t="n"/>
      <c r="BO52" s="55" t="n"/>
      <c r="BP52" s="55" t="n"/>
      <c r="BQ52" s="55" t="n"/>
      <c r="BR52" s="55" t="n"/>
      <c r="BS52" s="55" t="n"/>
      <c r="BT52" s="55" t="n"/>
      <c r="BU52" s="55" t="n"/>
      <c r="BV52" s="55" t="n"/>
      <c r="BW52" s="55" t="n"/>
      <c r="BX52" s="55" t="n"/>
      <c r="BY52" s="55" t="n"/>
      <c r="BZ52" s="55" t="n"/>
      <c r="CA52" s="55" t="n"/>
      <c r="CB52" s="55" t="n"/>
      <c r="CC52" s="55" t="n"/>
      <c r="CD52" s="55" t="n"/>
      <c r="CE52" s="55" t="n"/>
      <c r="CF52" s="55" t="n"/>
      <c r="CG52" s="55" t="n"/>
      <c r="CH52" s="55" t="n"/>
      <c r="CI52" s="55" t="n"/>
      <c r="CJ52" s="55" t="n"/>
      <c r="CK52" s="55" t="n"/>
      <c r="CL52" s="55" t="n"/>
      <c r="CM52" s="55" t="n"/>
      <c r="CN52" s="55" t="n"/>
      <c r="CO52" s="55" t="n"/>
      <c r="CP52" s="55" t="n"/>
      <c r="CQ52" s="55" t="n"/>
      <c r="CR52" s="55" t="n"/>
      <c r="CS52" s="55" t="n"/>
      <c r="CT52" s="55" t="n"/>
      <c r="CU52" s="55" t="n"/>
      <c r="CV52" s="55" t="n"/>
      <c r="CW52" s="55" t="n"/>
      <c r="CX52" s="55" t="n"/>
      <c r="CY52" s="55" t="n"/>
      <c r="CZ52" s="55" t="n"/>
      <c r="DA52" s="55" t="n"/>
      <c r="DB52" s="55" t="n"/>
      <c r="DC52" s="55" t="n"/>
      <c r="DD52" s="55" t="n"/>
      <c r="DE52" s="55" t="n"/>
    </row>
    <row r="53">
      <c r="A53" s="55" t="inlineStr">
        <is>
          <t>issue_810</t>
        </is>
      </c>
      <c r="B53" s="56" t="inlineStr">
        <is>
          <t>NOT_TESTED</t>
        </is>
      </c>
      <c r="C53" s="56" t="inlineStr">
        <is>
          <t>NOT_TESTED</t>
        </is>
      </c>
      <c r="D53" s="56" t="inlineStr">
        <is>
          <t>NOT_TESTED</t>
        </is>
      </c>
      <c r="E53" s="56" t="inlineStr">
        <is>
          <t>NOT_TESTED</t>
        </is>
      </c>
      <c r="F53" s="56" t="inlineStr">
        <is>
          <t>NOT_TESTED</t>
        </is>
      </c>
      <c r="G53" s="59" t="inlineStr">
        <is>
          <t>Passed on test</t>
        </is>
      </c>
      <c r="H53" s="56" t="inlineStr">
        <is>
          <t>NOT_TESTED</t>
        </is>
      </c>
      <c r="I53" s="56" t="inlineStr">
        <is>
          <t>NOT_TESTED</t>
        </is>
      </c>
      <c r="J53" s="56" t="inlineStr">
        <is>
          <t>NOT_TESTED</t>
        </is>
      </c>
      <c r="K53" s="56" t="inlineStr">
        <is>
          <t>NOT_TESTED</t>
        </is>
      </c>
      <c r="L53" s="59" t="inlineStr">
        <is>
          <t>Passed on test</t>
        </is>
      </c>
      <c r="M53" s="56" t="inlineStr">
        <is>
          <t>NOT_TESTED</t>
        </is>
      </c>
      <c r="N53" s="56" t="inlineStr">
        <is>
          <t>NOT_TESTED</t>
        </is>
      </c>
      <c r="O53" s="56" t="inlineStr">
        <is>
          <t>NOT_TESTED</t>
        </is>
      </c>
      <c r="P53" s="56" t="inlineStr">
        <is>
          <t>NOT_TESTED</t>
        </is>
      </c>
      <c r="Q53" s="56" t="inlineStr">
        <is>
          <t>NOT_TESTED</t>
        </is>
      </c>
      <c r="R53" s="56" t="inlineStr">
        <is>
          <t>NOT_TESTED</t>
        </is>
      </c>
      <c r="S53" s="56" t="inlineStr">
        <is>
          <t>NOT_TESTED</t>
        </is>
      </c>
      <c r="T53" s="56" t="inlineStr">
        <is>
          <t>NOT_TESTED</t>
        </is>
      </c>
      <c r="U53" s="56" t="inlineStr">
        <is>
          <t>NOT_TESTED</t>
        </is>
      </c>
      <c r="V53" s="56" t="inlineStr">
        <is>
          <t>NOT_TESTED</t>
        </is>
      </c>
      <c r="W53" s="56" t="inlineStr">
        <is>
          <t>NOT_TESTED</t>
        </is>
      </c>
      <c r="X53" s="56" t="inlineStr">
        <is>
          <t>NOT_TESTED</t>
        </is>
      </c>
      <c r="Y53" s="56" t="inlineStr">
        <is>
          <t>NOT_TESTED</t>
        </is>
      </c>
      <c r="Z53" s="56" t="inlineStr">
        <is>
          <t>NOT_TESTED</t>
        </is>
      </c>
      <c r="AA53" s="56" t="inlineStr">
        <is>
          <t>NOT_TESTED</t>
        </is>
      </c>
      <c r="AB53" s="56" t="inlineStr">
        <is>
          <t>NOT_TESTED</t>
        </is>
      </c>
      <c r="AC53" s="55" t="n"/>
      <c r="AD53" s="55" t="n"/>
      <c r="AE53" s="55" t="n"/>
      <c r="AF53" s="55" t="n"/>
      <c r="AG53" s="55" t="n"/>
      <c r="AH53" s="55" t="n"/>
      <c r="AI53" s="55" t="n"/>
      <c r="AJ53" s="55" t="n"/>
      <c r="AK53" s="55" t="n"/>
      <c r="AL53" s="55" t="n"/>
      <c r="AM53" s="55" t="n"/>
      <c r="AN53" s="55" t="n"/>
      <c r="AO53" s="55" t="n"/>
      <c r="AP53" s="55" t="n"/>
      <c r="AQ53" s="55" t="n"/>
      <c r="AR53" s="55" t="inlineStr">
        <is>
          <t>AssertionError</t>
        </is>
      </c>
      <c r="AS53" s="55" t="inlineStr">
        <is>
          <t>AssertionError: None is not an instance of &lt;class 'dict'&gt; : Expose a raw counts dictionary, not the Result object</t>
        </is>
      </c>
      <c r="AT53" s="55" t="inlineStr">
        <is>
          <t>The LLM replaced job.result(job) with job.result().get_counts(), which returns the raw counts dictionary, the same call as the reference. The test reads the reference's variable name counts_dict and expects exactly 100 shots (the reference changed the shots from 1024 to 100), so it finds None. A test that accepts any variable name and the script's own shot count passes the LLM fix and still fails the buggy code.</t>
        </is>
      </c>
      <c r="AU53" s="55" t="n"/>
      <c r="AV53" s="55" t="n"/>
      <c r="AW53" s="55" t="n"/>
      <c r="AX53" s="55" t="n"/>
      <c r="AY53" s="55" t="n"/>
      <c r="AZ53" s="55" t="n"/>
      <c r="BA53" s="55" t="n"/>
      <c r="BB53" s="55" t="n"/>
      <c r="BC53" s="55" t="n"/>
      <c r="BD53" s="55" t="n"/>
      <c r="BE53" s="55" t="n"/>
      <c r="BF53" s="55" t="n"/>
      <c r="BG53" s="55" t="inlineStr">
        <is>
          <t>AssertionError</t>
        </is>
      </c>
      <c r="BH53" s="55" t="inlineStr">
        <is>
          <t>AssertionError: None is not an instance of &lt;class 'dict'&gt; : Expose a raw counts dictionary, not the Result object</t>
        </is>
      </c>
      <c r="BI53" s="55" t="inlineStr">
        <is>
          <t>The LLM replaced job.result(job) with job.result().get_counts(), which returns the raw counts dictionary, the same call as the reference. The test reads the reference's variable name counts_dict and expects exactly 100 shots (the reference changed the shots from 1024 to 100), so it finds None. A test that accepts any variable name and the script's own shot count passes the LLM fix and still fails the buggy code.</t>
        </is>
      </c>
      <c r="BJ53" s="55" t="n"/>
      <c r="BK53" s="55" t="n"/>
      <c r="BL53" s="55" t="n"/>
      <c r="BM53" s="55" t="n"/>
      <c r="BN53" s="55" t="n"/>
      <c r="BO53" s="55" t="n"/>
      <c r="BP53" s="55" t="n"/>
      <c r="BQ53" s="55" t="n"/>
      <c r="BR53" s="55" t="n"/>
      <c r="BS53" s="55" t="n"/>
      <c r="BT53" s="55" t="n"/>
      <c r="BU53" s="55" t="n"/>
      <c r="BV53" s="55" t="n"/>
      <c r="BW53" s="55" t="n"/>
      <c r="BX53" s="55" t="n"/>
      <c r="BY53" s="55" t="n"/>
      <c r="BZ53" s="55" t="n"/>
      <c r="CA53" s="55" t="n"/>
      <c r="CB53" s="55" t="n"/>
      <c r="CC53" s="55" t="n"/>
      <c r="CD53" s="55" t="n"/>
      <c r="CE53" s="55" t="n"/>
      <c r="CF53" s="55" t="n"/>
      <c r="CG53" s="55" t="n"/>
      <c r="CH53" s="55" t="n"/>
      <c r="CI53" s="55" t="n"/>
      <c r="CJ53" s="55" t="n"/>
      <c r="CK53" s="55" t="n"/>
      <c r="CL53" s="55" t="n"/>
      <c r="CM53" s="55" t="n"/>
      <c r="CN53" s="55" t="n"/>
      <c r="CO53" s="55" t="n"/>
      <c r="CP53" s="55" t="n"/>
      <c r="CQ53" s="55" t="n"/>
      <c r="CR53" s="55" t="n"/>
      <c r="CS53" s="55" t="n"/>
      <c r="CT53" s="55" t="n"/>
      <c r="CU53" s="55" t="n"/>
      <c r="CV53" s="55" t="n"/>
      <c r="CW53" s="55" t="n"/>
      <c r="CX53" s="55" t="n"/>
      <c r="CY53" s="55" t="n"/>
      <c r="CZ53" s="55" t="n"/>
      <c r="DA53" s="55" t="n"/>
      <c r="DB53" s="55" t="n"/>
      <c r="DC53" s="55" t="n"/>
      <c r="DD53" s="55" t="n"/>
      <c r="DE53" s="55" t="n"/>
    </row>
    <row r="54">
      <c r="A54" s="55" t="inlineStr">
        <is>
          <t>issue_816</t>
        </is>
      </c>
      <c r="B54" s="56" t="inlineStr">
        <is>
          <t>NOT_TESTED</t>
        </is>
      </c>
      <c r="C54" s="56" t="inlineStr">
        <is>
          <t>NOT_TESTED</t>
        </is>
      </c>
      <c r="D54" s="56" t="inlineStr">
        <is>
          <t>NOT_TESTED</t>
        </is>
      </c>
      <c r="E54" s="56" t="inlineStr">
        <is>
          <t>NOT_TESTED</t>
        </is>
      </c>
      <c r="F54" s="59" t="inlineStr">
        <is>
          <t>Passed on test</t>
        </is>
      </c>
      <c r="G54" s="59" t="inlineStr">
        <is>
          <t>Passed on test</t>
        </is>
      </c>
      <c r="H54" s="59" t="inlineStr">
        <is>
          <t>Passed on test</t>
        </is>
      </c>
      <c r="I54" s="59" t="inlineStr">
        <is>
          <t>Passed on test</t>
        </is>
      </c>
      <c r="J54" s="59" t="inlineStr">
        <is>
          <t>Passed on test</t>
        </is>
      </c>
      <c r="K54" s="59" t="inlineStr">
        <is>
          <t>Passed on test</t>
        </is>
      </c>
      <c r="L54" s="59" t="inlineStr">
        <is>
          <t>Passed on test</t>
        </is>
      </c>
      <c r="M54" s="59" t="inlineStr">
        <is>
          <t>Passed on test</t>
        </is>
      </c>
      <c r="N54" s="59" t="inlineStr">
        <is>
          <t>Passed on test</t>
        </is>
      </c>
      <c r="O54" s="59" t="inlineStr">
        <is>
          <t>Passed on test</t>
        </is>
      </c>
      <c r="P54" s="59" t="inlineStr">
        <is>
          <t>Passed on test</t>
        </is>
      </c>
      <c r="Q54" s="59" t="inlineStr">
        <is>
          <t>Passed on test</t>
        </is>
      </c>
      <c r="R54" s="59" t="inlineStr">
        <is>
          <t>Passed on test</t>
        </is>
      </c>
      <c r="S54" s="59" t="inlineStr">
        <is>
          <t>Passed on test</t>
        </is>
      </c>
      <c r="T54" s="59" t="inlineStr">
        <is>
          <t>Passed on test</t>
        </is>
      </c>
      <c r="U54" s="59" t="inlineStr">
        <is>
          <t>Passed on test</t>
        </is>
      </c>
      <c r="V54" s="59" t="inlineStr">
        <is>
          <t>Passed on test</t>
        </is>
      </c>
      <c r="W54" s="59" t="inlineStr">
        <is>
          <t>Passed on test</t>
        </is>
      </c>
      <c r="X54" s="59" t="inlineStr">
        <is>
          <t>Passed on test</t>
        </is>
      </c>
      <c r="Y54" s="59" t="inlineStr">
        <is>
          <t>Passed on test</t>
        </is>
      </c>
      <c r="Z54" s="59" t="inlineStr">
        <is>
          <t>Passed on test</t>
        </is>
      </c>
      <c r="AA54" s="59" t="inlineStr">
        <is>
          <t>Passed on test</t>
        </is>
      </c>
      <c r="AB54" s="59" t="inlineStr">
        <is>
          <t>Passed on test</t>
        </is>
      </c>
      <c r="AC54" s="55" t="n"/>
      <c r="AD54" s="55" t="n"/>
      <c r="AE54" s="55" t="n"/>
      <c r="AF54" s="55" t="n"/>
      <c r="AG54" s="55" t="n"/>
      <c r="AH54" s="55" t="n"/>
      <c r="AI54" s="55" t="n"/>
      <c r="AJ54" s="55" t="n"/>
      <c r="AK54" s="55" t="n"/>
      <c r="AL54" s="55" t="n"/>
      <c r="AM54" s="55" t="n"/>
      <c r="AN54" s="55" t="n"/>
      <c r="AO54" s="55" t="n"/>
      <c r="AP54" s="55" t="n"/>
      <c r="AQ54" s="55" t="n"/>
      <c r="AR54" s="55" t="n"/>
      <c r="AS54" s="55" t="n"/>
      <c r="AT54" s="55" t="n"/>
      <c r="AU54" s="55" t="n"/>
      <c r="AV54" s="55" t="n"/>
      <c r="AW54" s="55" t="n"/>
      <c r="AX54" s="55" t="n"/>
      <c r="AY54" s="55" t="n"/>
      <c r="AZ54" s="55" t="n"/>
      <c r="BA54" s="55" t="n"/>
      <c r="BB54" s="55" t="n"/>
      <c r="BC54" s="55" t="n"/>
      <c r="BD54" s="55" t="n"/>
      <c r="BE54" s="55" t="n"/>
      <c r="BF54" s="55" t="n"/>
      <c r="BG54" s="55" t="n"/>
      <c r="BH54" s="55" t="n"/>
      <c r="BI54" s="55" t="n"/>
      <c r="BJ54" s="55" t="n"/>
      <c r="BK54" s="55" t="n"/>
      <c r="BL54" s="55" t="n"/>
      <c r="BM54" s="55" t="n"/>
      <c r="BN54" s="55" t="n"/>
      <c r="BO54" s="55" t="n"/>
      <c r="BP54" s="55" t="n"/>
      <c r="BQ54" s="55" t="n"/>
      <c r="BR54" s="55" t="n"/>
      <c r="BS54" s="55" t="n"/>
      <c r="BT54" s="55" t="n"/>
      <c r="BU54" s="55" t="n"/>
      <c r="BV54" s="55" t="n"/>
      <c r="BW54" s="55" t="n"/>
      <c r="BX54" s="55" t="n"/>
      <c r="BY54" s="55" t="n"/>
      <c r="BZ54" s="55" t="n"/>
      <c r="CA54" s="55" t="n"/>
      <c r="CB54" s="55" t="n"/>
      <c r="CC54" s="55" t="n"/>
      <c r="CD54" s="55" t="n"/>
      <c r="CE54" s="55" t="n"/>
      <c r="CF54" s="55" t="n"/>
      <c r="CG54" s="55" t="n"/>
      <c r="CH54" s="55" t="n"/>
      <c r="CI54" s="55" t="n"/>
      <c r="CJ54" s="55" t="n"/>
      <c r="CK54" s="55" t="n"/>
      <c r="CL54" s="55" t="n"/>
      <c r="CM54" s="55" t="n"/>
      <c r="CN54" s="55" t="n"/>
      <c r="CO54" s="55" t="n"/>
      <c r="CP54" s="55" t="n"/>
      <c r="CQ54" s="55" t="n"/>
      <c r="CR54" s="55" t="n"/>
      <c r="CS54" s="55" t="n"/>
      <c r="CT54" s="55" t="n"/>
      <c r="CU54" s="55" t="n"/>
      <c r="CV54" s="55" t="n"/>
      <c r="CW54" s="55" t="n"/>
      <c r="CX54" s="55" t="n"/>
      <c r="CY54" s="55" t="n"/>
      <c r="CZ54" s="55" t="n"/>
      <c r="DA54" s="55" t="n"/>
      <c r="DB54" s="55" t="n"/>
      <c r="DC54" s="55" t="n"/>
      <c r="DD54" s="55" t="n"/>
      <c r="DE54" s="55" t="n"/>
    </row>
    <row r="55">
      <c r="A55" s="55" t="inlineStr">
        <is>
          <t>issue_876</t>
        </is>
      </c>
      <c r="B55" s="56" t="inlineStr">
        <is>
          <t>NOT_TESTED</t>
        </is>
      </c>
      <c r="C55" s="56" t="inlineStr">
        <is>
          <t>NOT_TESTED</t>
        </is>
      </c>
      <c r="D55" s="56" t="inlineStr">
        <is>
          <t>NOT_TESTED</t>
        </is>
      </c>
      <c r="E55" s="56" t="inlineStr">
        <is>
          <t>NOT_TESTED</t>
        </is>
      </c>
      <c r="F55" s="56" t="inlineStr">
        <is>
          <t>NOT_TESTED</t>
        </is>
      </c>
      <c r="G55" s="56" t="inlineStr">
        <is>
          <t>NOT_TESTED</t>
        </is>
      </c>
      <c r="H55" s="56" t="inlineStr">
        <is>
          <t>NOT_TESTED</t>
        </is>
      </c>
      <c r="I55" s="56" t="inlineStr">
        <is>
          <t>NOT_TESTED</t>
        </is>
      </c>
      <c r="J55" s="56" t="inlineStr">
        <is>
          <t>NOT_TESTED</t>
        </is>
      </c>
      <c r="K55" s="56" t="inlineStr">
        <is>
          <t>NOT_TESTED</t>
        </is>
      </c>
      <c r="L55" s="56" t="inlineStr">
        <is>
          <t>NOT_TESTED</t>
        </is>
      </c>
      <c r="M55" s="56" t="inlineStr">
        <is>
          <t>NOT_TESTED</t>
        </is>
      </c>
      <c r="N55" s="57" t="inlineStr">
        <is>
          <t>Runtime error</t>
        </is>
      </c>
      <c r="O55" s="57" t="inlineStr">
        <is>
          <t>Runtime error</t>
        </is>
      </c>
      <c r="P55" s="57" t="inlineStr">
        <is>
          <t>Runtime error</t>
        </is>
      </c>
      <c r="Q55" s="57" t="inlineStr">
        <is>
          <t>Runtime error</t>
        </is>
      </c>
      <c r="R55" s="57" t="inlineStr">
        <is>
          <t>Runtime error</t>
        </is>
      </c>
      <c r="S55" s="57" t="inlineStr">
        <is>
          <t>Runtime error</t>
        </is>
      </c>
      <c r="T55" s="57" t="inlineStr">
        <is>
          <t>Runtime error</t>
        </is>
      </c>
      <c r="U55" s="57" t="inlineStr">
        <is>
          <t>Runtime error</t>
        </is>
      </c>
      <c r="V55" s="57" t="inlineStr">
        <is>
          <t>Runtime error</t>
        </is>
      </c>
      <c r="W55" s="57" t="inlineStr">
        <is>
          <t>Runtime error</t>
        </is>
      </c>
      <c r="X55" s="57" t="inlineStr">
        <is>
          <t>Runtime error</t>
        </is>
      </c>
      <c r="Y55" s="57" t="inlineStr">
        <is>
          <t>Runtime error</t>
        </is>
      </c>
      <c r="Z55" s="57" t="inlineStr">
        <is>
          <t>Runtime error</t>
        </is>
      </c>
      <c r="AA55" s="57" t="inlineStr">
        <is>
          <t>Runtime error</t>
        </is>
      </c>
      <c r="AB55" s="57" t="inlineStr">
        <is>
          <t>Runtime error</t>
        </is>
      </c>
      <c r="AC55" s="55" t="n"/>
      <c r="AD55" s="55" t="n"/>
      <c r="AE55" s="55" t="n"/>
      <c r="AF55" s="55" t="n"/>
      <c r="AG55" s="55" t="n"/>
      <c r="AH55" s="55" t="n"/>
      <c r="AI55" s="55" t="n"/>
      <c r="AJ55" s="55" t="n"/>
      <c r="AK55" s="55" t="n"/>
      <c r="AL55" s="55" t="n"/>
      <c r="AM55" s="55" t="n"/>
      <c r="AN55" s="55" t="n"/>
      <c r="AO55" s="55" t="n"/>
      <c r="AP55" s="55" t="n"/>
      <c r="AQ55" s="55" t="n"/>
      <c r="AR55" s="55" t="n"/>
      <c r="AS55" s="55" t="n"/>
      <c r="AT55" s="55" t="n"/>
      <c r="AU55" s="55" t="n"/>
      <c r="AV55" s="55" t="n"/>
      <c r="AW55" s="55" t="n"/>
      <c r="AX55" s="55" t="n"/>
      <c r="AY55" s="55" t="n"/>
      <c r="AZ55" s="55" t="n"/>
      <c r="BA55" s="55" t="n"/>
      <c r="BB55" s="55" t="n"/>
      <c r="BC55" s="55" t="n"/>
      <c r="BD55" s="55" t="n"/>
      <c r="BE55" s="55" t="n"/>
      <c r="BF55" s="55" t="n"/>
      <c r="BG55" s="55" t="n"/>
      <c r="BH55" s="55" t="n"/>
      <c r="BI55" s="55" t="n"/>
      <c r="BJ55" s="55" t="n"/>
      <c r="BK55" s="55" t="n"/>
      <c r="BL55" s="55" t="n"/>
      <c r="BM55" s="55" t="inlineStr">
        <is>
          <t>ModuleNotFoundError</t>
        </is>
      </c>
      <c r="BN55" s="55" t="inlineStr">
        <is>
          <t>ModuleNotFoundError: No module named 'qiskit.ibm_runtime'</t>
        </is>
      </c>
      <c r="BO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BP55" s="55" t="inlineStr">
        <is>
          <t>ModuleNotFoundError</t>
        </is>
      </c>
      <c r="BQ55" s="55" t="inlineStr">
        <is>
          <t>ModuleNotFoundError: No module named 'qiskit.ibm_runtime'</t>
        </is>
      </c>
      <c r="BR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BS55" s="55" t="inlineStr">
        <is>
          <t>ModuleNotFoundError</t>
        </is>
      </c>
      <c r="BT55" s="55" t="inlineStr">
        <is>
          <t>ModuleNotFoundError: No module named 'qiskit.ibm_runtime'</t>
        </is>
      </c>
      <c r="BU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BV55" s="55" t="inlineStr">
        <is>
          <t>ModuleNotFoundError</t>
        </is>
      </c>
      <c r="BW55" s="55" t="inlineStr">
        <is>
          <t>ModuleNotFoundError: No module named 'qiskit.ibm_runtime'</t>
        </is>
      </c>
      <c r="BX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BY55" s="55" t="inlineStr">
        <is>
          <t>ModuleNotFoundError</t>
        </is>
      </c>
      <c r="BZ55" s="55" t="inlineStr">
        <is>
          <t>ModuleNotFoundError: No module named 'qiskit.ibm_runtime'</t>
        </is>
      </c>
      <c r="CA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CB55" s="55" t="inlineStr">
        <is>
          <t>ModuleNotFoundError</t>
        </is>
      </c>
      <c r="CC55" s="55" t="inlineStr">
        <is>
          <t>ModuleNotFoundError: No module named 'qiskit.ibm_runtime'</t>
        </is>
      </c>
      <c r="CD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CE55" s="55" t="inlineStr">
        <is>
          <t>ModuleNotFoundError</t>
        </is>
      </c>
      <c r="CF55" s="55" t="inlineStr">
        <is>
          <t>ModuleNotFoundError: No module named 'qiskit.ibm_runtime'</t>
        </is>
      </c>
      <c r="CG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CH55" s="55" t="inlineStr">
        <is>
          <t>ModuleNotFoundError</t>
        </is>
      </c>
      <c r="CI55" s="55" t="inlineStr">
        <is>
          <t>ModuleNotFoundError: No module named 'qiskit.ibm_runtime'</t>
        </is>
      </c>
      <c r="CJ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CK55" s="55" t="inlineStr">
        <is>
          <t>ModuleNotFoundError</t>
        </is>
      </c>
      <c r="CL55" s="55" t="inlineStr">
        <is>
          <t>ModuleNotFoundError: No module named 'qiskit.ibm_runtime'</t>
        </is>
      </c>
      <c r="CM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CN55" s="55" t="inlineStr">
        <is>
          <t>ModuleNotFoundError</t>
        </is>
      </c>
      <c r="CO55" s="55" t="inlineStr">
        <is>
          <t>ModuleNotFoundError: No module named 'qiskit.ibm_runtime'</t>
        </is>
      </c>
      <c r="CP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CQ55" s="55" t="inlineStr">
        <is>
          <t>ModuleNotFoundError</t>
        </is>
      </c>
      <c r="CR55" s="55" t="inlineStr">
        <is>
          <t>ModuleNotFoundError: No module named 'qiskit.ibm_runtime'</t>
        </is>
      </c>
      <c r="CS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CT55" s="55" t="inlineStr">
        <is>
          <t>ModuleNotFoundError</t>
        </is>
      </c>
      <c r="CU55" s="55" t="inlineStr">
        <is>
          <t>ModuleNotFoundError: No module named 'qiskit.ibm_runtime'</t>
        </is>
      </c>
      <c r="CV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CW55" s="55" t="inlineStr">
        <is>
          <t>ModuleNotFoundError</t>
        </is>
      </c>
      <c r="CX55" s="55" t="inlineStr">
        <is>
          <t>ModuleNotFoundError: No module named 'qiskit.ibm_runtime'</t>
        </is>
      </c>
      <c r="CY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CZ55" s="55" t="inlineStr">
        <is>
          <t>ModuleNotFoundError</t>
        </is>
      </c>
      <c r="DA55" s="55" t="inlineStr">
        <is>
          <t>ModuleNotFoundError: No module named 'qiskit.ibm_runtime'</t>
        </is>
      </c>
      <c r="DB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c r="DC55" s="55" t="inlineStr">
        <is>
          <t>ModuleNotFoundError</t>
        </is>
      </c>
      <c r="DD55" s="55" t="inlineStr">
        <is>
          <t>ModuleNotFoundError: No module named 'qiskit.ibm_runtime'</t>
        </is>
      </c>
      <c r="DE55" s="55" t="inlineStr">
        <is>
          <t>The LLM changed the buggy code's import from qiskit_ibm_runtime to qiskit.ibm_runtime, a module that does not exist, so the script stops at import. With the import corrected it still crashes: it simulates the 127-qubit FakeBrisbane layout on an ideal statevector simulator (out of memory) and never adds the noise model the question is about. The reference builds NoiseModel.from_backend(FakeBrisbane()) and simulates the density matrix.</t>
        </is>
      </c>
    </row>
    <row r="56">
      <c r="A56" s="55" t="inlineStr">
        <is>
          <t>issue_877</t>
        </is>
      </c>
      <c r="B56" s="56" t="inlineStr">
        <is>
          <t>NOT_TESTED</t>
        </is>
      </c>
      <c r="C56" s="56" t="inlineStr">
        <is>
          <t>NOT_TESTED</t>
        </is>
      </c>
      <c r="D56" s="56" t="inlineStr">
        <is>
          <t>NOT_TESTED</t>
        </is>
      </c>
      <c r="E56" s="56" t="inlineStr">
        <is>
          <t>NOT_TESTED</t>
        </is>
      </c>
      <c r="F56" s="57" t="inlineStr">
        <is>
          <t>Runtime error</t>
        </is>
      </c>
      <c r="G56" s="57" t="inlineStr">
        <is>
          <t>Runtime error</t>
        </is>
      </c>
      <c r="H56" s="57" t="inlineStr">
        <is>
          <t>Runtime error</t>
        </is>
      </c>
      <c r="I56" s="57" t="inlineStr">
        <is>
          <t>Runtime error</t>
        </is>
      </c>
      <c r="J56" s="57" t="inlineStr">
        <is>
          <t>Runtime error</t>
        </is>
      </c>
      <c r="K56" s="57" t="inlineStr">
        <is>
          <t>Runtime error</t>
        </is>
      </c>
      <c r="L56" s="57" t="inlineStr">
        <is>
          <t>Runtime error</t>
        </is>
      </c>
      <c r="M56" s="57" t="inlineStr">
        <is>
          <t>Runtime error</t>
        </is>
      </c>
      <c r="N56" s="56" t="inlineStr">
        <is>
          <t>NOT_TESTED</t>
        </is>
      </c>
      <c r="O56" s="56" t="inlineStr">
        <is>
          <t>NOT_TESTED</t>
        </is>
      </c>
      <c r="P56" s="56" t="inlineStr">
        <is>
          <t>NOT_TESTED</t>
        </is>
      </c>
      <c r="Q56" s="56" t="inlineStr">
        <is>
          <t>NOT_TESTED</t>
        </is>
      </c>
      <c r="R56" s="56" t="inlineStr">
        <is>
          <t>NOT_TESTED</t>
        </is>
      </c>
      <c r="S56" s="56" t="inlineStr">
        <is>
          <t>NOT_TESTED</t>
        </is>
      </c>
      <c r="T56" s="56" t="inlineStr">
        <is>
          <t>NOT_TESTED</t>
        </is>
      </c>
      <c r="U56" s="56" t="inlineStr">
        <is>
          <t>NOT_TESTED</t>
        </is>
      </c>
      <c r="V56" s="56" t="inlineStr">
        <is>
          <t>NOT_TESTED</t>
        </is>
      </c>
      <c r="W56" s="56" t="inlineStr">
        <is>
          <t>NOT_TESTED</t>
        </is>
      </c>
      <c r="X56" s="56" t="inlineStr">
        <is>
          <t>NOT_TESTED</t>
        </is>
      </c>
      <c r="Y56" s="56" t="inlineStr">
        <is>
          <t>NOT_TESTED</t>
        </is>
      </c>
      <c r="Z56" s="56" t="inlineStr">
        <is>
          <t>NOT_TESTED</t>
        </is>
      </c>
      <c r="AA56" s="56" t="inlineStr">
        <is>
          <t>NOT_TESTED</t>
        </is>
      </c>
      <c r="AB56" s="56" t="inlineStr">
        <is>
          <t>NOT_TESTED</t>
        </is>
      </c>
      <c r="AC56" s="55" t="n"/>
      <c r="AD56" s="55" t="n"/>
      <c r="AE56" s="55" t="n"/>
      <c r="AF56" s="55" t="n"/>
      <c r="AG56" s="55" t="n"/>
      <c r="AH56" s="55" t="n"/>
      <c r="AI56" s="55" t="n"/>
      <c r="AJ56" s="55" t="n"/>
      <c r="AK56" s="55" t="n"/>
      <c r="AL56" s="55" t="n"/>
      <c r="AM56" s="55" t="n"/>
      <c r="AN56" s="55" t="n"/>
      <c r="AO56" s="55" t="inlineStr">
        <is>
          <t>KeyError</t>
        </is>
      </c>
      <c r="AP56" s="55" t="inlineStr">
        <is>
          <t>KeyError: 'backend'</t>
        </is>
      </c>
      <c r="AQ56" s="55" t="inlineStr">
        <is>
          <t>The LLM replaced the undefined backend with an empty NoiseModel(), which has no noise at all, and removed the backend variable, so the test raises KeyError: 'backend'. The question asks for a real-device noise model; the reference builds it from the 27-qubit FakeKolkata.</t>
        </is>
      </c>
      <c r="AR56" s="55" t="inlineStr">
        <is>
          <t>KeyError</t>
        </is>
      </c>
      <c r="AS56" s="55" t="inlineStr">
        <is>
          <t>KeyError: 'backend'</t>
        </is>
      </c>
      <c r="AT56" s="55" t="inlineStr">
        <is>
          <t>The LLM replaced the undefined backend with an empty NoiseModel(), which has no noise at all, and removed the backend variable, so the test raises KeyError: 'backend'. The question asks for a real-device noise model; the reference builds it from the 27-qubit FakeKolkata.</t>
        </is>
      </c>
      <c r="AU56" s="55" t="inlineStr">
        <is>
          <t>KeyError</t>
        </is>
      </c>
      <c r="AV56" s="55" t="inlineStr">
        <is>
          <t>KeyError: 'backend'</t>
        </is>
      </c>
      <c r="AW56" s="55" t="inlineStr">
        <is>
          <t>The LLM replaced the undefined backend with an empty NoiseModel(), which has no noise at all, and removed the backend variable, so the test raises KeyError: 'backend'. The question asks for a real-device noise model; the reference builds it from the 27-qubit FakeKolkata.</t>
        </is>
      </c>
      <c r="AX56" s="55" t="inlineStr">
        <is>
          <t>KeyError</t>
        </is>
      </c>
      <c r="AY56" s="55" t="inlineStr">
        <is>
          <t>KeyError: 'backend'</t>
        </is>
      </c>
      <c r="AZ56" s="55" t="inlineStr">
        <is>
          <t>The LLM replaced the undefined backend with an empty NoiseModel(), which has no noise at all, and removed the backend variable, so the test raises KeyError: 'backend'. The question asks for a real-device noise model; the reference builds it from the 27-qubit FakeKolkata.</t>
        </is>
      </c>
      <c r="BA56" s="55" t="inlineStr">
        <is>
          <t>KeyError</t>
        </is>
      </c>
      <c r="BB56" s="55" t="inlineStr">
        <is>
          <t>KeyError: 'backend'</t>
        </is>
      </c>
      <c r="BC56" s="55" t="inlineStr">
        <is>
          <t>The LLM replaced the undefined backend with an empty NoiseModel(), which has no noise at all, and removed the backend variable, so the test raises KeyError: 'backend'. The question asks for a real-device noise model; the reference builds it from the 27-qubit FakeKolkata.</t>
        </is>
      </c>
      <c r="BD56" s="55" t="inlineStr">
        <is>
          <t>KeyError</t>
        </is>
      </c>
      <c r="BE56" s="55" t="inlineStr">
        <is>
          <t>KeyError: 'backend'</t>
        </is>
      </c>
      <c r="BF56" s="55" t="inlineStr">
        <is>
          <t>The LLM replaced the undefined backend with an empty NoiseModel(), which has no noise at all, and removed the backend variable, so the test raises KeyError: 'backend'. The question asks for a real-device noise model; the reference builds it from the 27-qubit FakeKolkata.</t>
        </is>
      </c>
      <c r="BG56" s="55" t="inlineStr">
        <is>
          <t>KeyError</t>
        </is>
      </c>
      <c r="BH56" s="55" t="inlineStr">
        <is>
          <t>KeyError: 'backend'</t>
        </is>
      </c>
      <c r="BI56" s="55" t="inlineStr">
        <is>
          <t>The LLM replaced the undefined backend with an empty NoiseModel(), which has no noise at all, and removed the backend variable, so the test raises KeyError: 'backend'. The question asks for a real-device noise model; the reference builds it from the 27-qubit FakeKolkata.</t>
        </is>
      </c>
      <c r="BJ56" s="55" t="inlineStr">
        <is>
          <t>KeyError</t>
        </is>
      </c>
      <c r="BK56" s="55" t="inlineStr">
        <is>
          <t>KeyError: 'backend'</t>
        </is>
      </c>
      <c r="BL56" s="55" t="inlineStr">
        <is>
          <t>The LLM replaced the undefined backend with an empty NoiseModel(), which has no noise at all, and removed the backend variable, so the test raises KeyError: 'backend'. The question asks for a real-device noise model; the reference builds it from the 27-qubit FakeKolkata.</t>
        </is>
      </c>
      <c r="BM56" s="55" t="n"/>
      <c r="BN56" s="55" t="n"/>
      <c r="BO56" s="55" t="n"/>
      <c r="BP56" s="55" t="n"/>
      <c r="BQ56" s="55" t="n"/>
      <c r="BR56" s="55" t="n"/>
      <c r="BS56" s="55" t="n"/>
      <c r="BT56" s="55" t="n"/>
      <c r="BU56" s="55" t="n"/>
      <c r="BV56" s="55" t="n"/>
      <c r="BW56" s="55" t="n"/>
      <c r="BX56" s="55" t="n"/>
      <c r="BY56" s="55" t="n"/>
      <c r="BZ56" s="55" t="n"/>
      <c r="CA56" s="55" t="n"/>
      <c r="CB56" s="55" t="n"/>
      <c r="CC56" s="55" t="n"/>
      <c r="CD56" s="55" t="n"/>
      <c r="CE56" s="55" t="n"/>
      <c r="CF56" s="55" t="n"/>
      <c r="CG56" s="55" t="n"/>
      <c r="CH56" s="55" t="n"/>
      <c r="CI56" s="55" t="n"/>
      <c r="CJ56" s="55" t="n"/>
      <c r="CK56" s="55" t="n"/>
      <c r="CL56" s="55" t="n"/>
      <c r="CM56" s="55" t="n"/>
      <c r="CN56" s="55" t="n"/>
      <c r="CO56" s="55" t="n"/>
      <c r="CP56" s="55" t="n"/>
      <c r="CQ56" s="55" t="n"/>
      <c r="CR56" s="55" t="n"/>
      <c r="CS56" s="55" t="n"/>
      <c r="CT56" s="55" t="n"/>
      <c r="CU56" s="55" t="n"/>
      <c r="CV56" s="55" t="n"/>
      <c r="CW56" s="55" t="n"/>
      <c r="CX56" s="55" t="n"/>
      <c r="CY56" s="55" t="n"/>
      <c r="CZ56" s="55" t="n"/>
      <c r="DA56" s="55" t="n"/>
      <c r="DB56" s="55" t="n"/>
      <c r="DC56" s="55" t="n"/>
      <c r="DD56" s="55" t="n"/>
      <c r="DE56" s="55" t="n"/>
    </row>
    <row r="57">
      <c r="A57" s="55" t="inlineStr">
        <is>
          <t>issue_886</t>
        </is>
      </c>
      <c r="B57" s="56" t="inlineStr">
        <is>
          <t>NOT_TESTED</t>
        </is>
      </c>
      <c r="C57" s="56" t="inlineStr">
        <is>
          <t>NOT_TESTED</t>
        </is>
      </c>
      <c r="D57" s="56" t="inlineStr">
        <is>
          <t>NOT_TESTED</t>
        </is>
      </c>
      <c r="E57" s="56" t="inlineStr">
        <is>
          <t>NOT_TESTED</t>
        </is>
      </c>
      <c r="F57" s="59" t="inlineStr">
        <is>
          <t>Passed on test</t>
        </is>
      </c>
      <c r="G57" s="59" t="inlineStr">
        <is>
          <t>Passed on test</t>
        </is>
      </c>
      <c r="H57" s="56" t="inlineStr">
        <is>
          <t>NOT_TESTED</t>
        </is>
      </c>
      <c r="I57" s="56" t="inlineStr">
        <is>
          <t>NOT_TESTED</t>
        </is>
      </c>
      <c r="J57" s="56" t="inlineStr">
        <is>
          <t>NOT_TESTED</t>
        </is>
      </c>
      <c r="K57" s="56" t="inlineStr">
        <is>
          <t>NOT_TESTED</t>
        </is>
      </c>
      <c r="L57" s="56" t="inlineStr">
        <is>
          <t>NOT_TESTED</t>
        </is>
      </c>
      <c r="M57" s="56" t="inlineStr">
        <is>
          <t>NOT_TESTED</t>
        </is>
      </c>
      <c r="N57" s="56" t="inlineStr">
        <is>
          <t>NOT_TESTED</t>
        </is>
      </c>
      <c r="O57" s="56" t="inlineStr">
        <is>
          <t>NOT_TESTED</t>
        </is>
      </c>
      <c r="P57" s="56" t="inlineStr">
        <is>
          <t>NOT_TESTED</t>
        </is>
      </c>
      <c r="Q57" s="56" t="inlineStr">
        <is>
          <t>NOT_TESTED</t>
        </is>
      </c>
      <c r="R57" s="56" t="inlineStr">
        <is>
          <t>NOT_TESTED</t>
        </is>
      </c>
      <c r="S57" s="56" t="inlineStr">
        <is>
          <t>NOT_TESTED</t>
        </is>
      </c>
      <c r="T57" s="56" t="inlineStr">
        <is>
          <t>NOT_TESTED</t>
        </is>
      </c>
      <c r="U57" s="56" t="inlineStr">
        <is>
          <t>NOT_TESTED</t>
        </is>
      </c>
      <c r="V57" s="56" t="inlineStr">
        <is>
          <t>NOT_TESTED</t>
        </is>
      </c>
      <c r="W57" s="56" t="inlineStr">
        <is>
          <t>NOT_TESTED</t>
        </is>
      </c>
      <c r="X57" s="56" t="inlineStr">
        <is>
          <t>NOT_TESTED</t>
        </is>
      </c>
      <c r="Y57" s="56" t="inlineStr">
        <is>
          <t>NOT_TESTED</t>
        </is>
      </c>
      <c r="Z57" s="56" t="inlineStr">
        <is>
          <t>NOT_TESTED</t>
        </is>
      </c>
      <c r="AA57" s="56" t="inlineStr">
        <is>
          <t>NOT_TESTED</t>
        </is>
      </c>
      <c r="AB57" s="56" t="inlineStr">
        <is>
          <t>NOT_TESTED</t>
        </is>
      </c>
      <c r="AC57" s="55" t="n"/>
      <c r="AD57" s="55" t="n"/>
      <c r="AE57" s="55" t="n"/>
      <c r="AF57" s="55" t="n"/>
      <c r="AG57" s="55" t="n"/>
      <c r="AH57" s="55" t="n"/>
      <c r="AI57" s="55" t="n"/>
      <c r="AJ57" s="55" t="n"/>
      <c r="AK57" s="55" t="n"/>
      <c r="AL57" s="55" t="n"/>
      <c r="AM57" s="55" t="n"/>
      <c r="AN57" s="55" t="n"/>
      <c r="AO57" s="55" t="inlineStr">
        <is>
          <t>AssertionError</t>
        </is>
      </c>
      <c r="AP57" s="55" t="inlineStr">
        <is>
          <t>AssertionError: {'00 00': 1024} != {'00': 1024}</t>
        </is>
      </c>
      <c r="AQ57" s="55" t="inlineStr">
        <is>
          <t>The LLM transpiled the circuit before running it on qasm_simulator, which is the fix the answer gives. It kept the buggy code's QuantumCircuit(2, 2) plus measure_all(), so the counts keys are '00 00' instead of '00' (the reference also removed the classical register), and it stored the transpiled circuit inline instead of in transpile_circ. A test that ignores the unused register and the variable name passes the LLM fix.</t>
        </is>
      </c>
      <c r="AR57" s="55" t="inlineStr">
        <is>
          <t>AssertionError</t>
        </is>
      </c>
      <c r="AS57" s="55" t="inlineStr">
        <is>
          <t>AssertionError: {'00 00': 1024} != {'00': 1024}</t>
        </is>
      </c>
      <c r="AT57" s="55" t="inlineStr">
        <is>
          <t>The LLM transpiled the circuit before running it on qasm_simulator, which is the fix the answer gives. It kept the buggy code's QuantumCircuit(2, 2) plus measure_all(), so the counts keys are '00 00' instead of '00' (the reference also removed the classical register), and it stored the transpiled circuit inline instead of in transpile_circ. A test that ignores the unused register and the variable name passes the LLM fix.</t>
        </is>
      </c>
      <c r="AU57" s="55" t="n"/>
      <c r="AV57" s="55" t="n"/>
      <c r="AW57" s="55" t="n"/>
      <c r="AX57" s="55" t="n"/>
      <c r="AY57" s="55" t="n"/>
      <c r="AZ57" s="55" t="n"/>
      <c r="BA57" s="55" t="n"/>
      <c r="BB57" s="55" t="n"/>
      <c r="BC57" s="55" t="n"/>
      <c r="BD57" s="55" t="n"/>
      <c r="BE57" s="55" t="n"/>
      <c r="BF57" s="55" t="n"/>
      <c r="BG57" s="55" t="n"/>
      <c r="BH57" s="55" t="n"/>
      <c r="BI57" s="55" t="n"/>
      <c r="BJ57" s="55" t="n"/>
      <c r="BK57" s="55" t="n"/>
      <c r="BL57" s="55" t="n"/>
      <c r="BM57" s="55" t="n"/>
      <c r="BN57" s="55" t="n"/>
      <c r="BO57" s="55" t="n"/>
      <c r="BP57" s="55" t="n"/>
      <c r="BQ57" s="55" t="n"/>
      <c r="BR57" s="55" t="n"/>
      <c r="BS57" s="55" t="n"/>
      <c r="BT57" s="55" t="n"/>
      <c r="BU57" s="55" t="n"/>
      <c r="BV57" s="55" t="n"/>
      <c r="BW57" s="55" t="n"/>
      <c r="BX57" s="55" t="n"/>
      <c r="BY57" s="55" t="n"/>
      <c r="BZ57" s="55" t="n"/>
      <c r="CA57" s="55" t="n"/>
      <c r="CB57" s="55" t="n"/>
      <c r="CC57" s="55" t="n"/>
      <c r="CD57" s="55" t="n"/>
      <c r="CE57" s="55" t="n"/>
      <c r="CF57" s="55" t="n"/>
      <c r="CG57" s="55" t="n"/>
      <c r="CH57" s="55" t="n"/>
      <c r="CI57" s="55" t="n"/>
      <c r="CJ57" s="55" t="n"/>
      <c r="CK57" s="55" t="n"/>
      <c r="CL57" s="55" t="n"/>
      <c r="CM57" s="55" t="n"/>
      <c r="CN57" s="55" t="n"/>
      <c r="CO57" s="55" t="n"/>
      <c r="CP57" s="55" t="n"/>
      <c r="CQ57" s="55" t="n"/>
      <c r="CR57" s="55" t="n"/>
      <c r="CS57" s="55" t="n"/>
      <c r="CT57" s="55" t="n"/>
      <c r="CU57" s="55" t="n"/>
      <c r="CV57" s="55" t="n"/>
      <c r="CW57" s="55" t="n"/>
      <c r="CX57" s="55" t="n"/>
      <c r="CY57" s="55" t="n"/>
      <c r="CZ57" s="55" t="n"/>
      <c r="DA57" s="55" t="n"/>
      <c r="DB57" s="55" t="n"/>
      <c r="DC57" s="55" t="n"/>
      <c r="DD57" s="55" t="n"/>
      <c r="DE57" s="55" t="n"/>
    </row>
    <row r="58">
      <c r="A58" s="55" t="inlineStr">
        <is>
          <t>issue_889</t>
        </is>
      </c>
      <c r="B58" s="57" t="inlineStr">
        <is>
          <t>Runtime error</t>
        </is>
      </c>
      <c r="C58" s="57" t="inlineStr">
        <is>
          <t>Runtime error</t>
        </is>
      </c>
      <c r="D58" s="57" t="inlineStr">
        <is>
          <t>Runtime error</t>
        </is>
      </c>
      <c r="E58" s="57" t="inlineStr">
        <is>
          <t>Runtime error</t>
        </is>
      </c>
      <c r="F58" s="58" t="inlineStr">
        <is>
          <t>Failed on test</t>
        </is>
      </c>
      <c r="G58" s="58" t="inlineStr">
        <is>
          <t>Failed on test</t>
        </is>
      </c>
      <c r="H58" s="58" t="inlineStr">
        <is>
          <t>Failed on test</t>
        </is>
      </c>
      <c r="I58" s="58" t="inlineStr">
        <is>
          <t>Failed on test</t>
        </is>
      </c>
      <c r="J58" s="58" t="inlineStr">
        <is>
          <t>Failed on test</t>
        </is>
      </c>
      <c r="K58" s="58" t="inlineStr">
        <is>
          <t>Failed on test</t>
        </is>
      </c>
      <c r="L58" s="58" t="inlineStr">
        <is>
          <t>Failed on test</t>
        </is>
      </c>
      <c r="M58" s="58" t="inlineStr">
        <is>
          <t>Failed on test</t>
        </is>
      </c>
      <c r="N58" s="56" t="inlineStr">
        <is>
          <t>NOT_TESTED</t>
        </is>
      </c>
      <c r="O58" s="56" t="inlineStr">
        <is>
          <t>NOT_TESTED</t>
        </is>
      </c>
      <c r="P58" s="56" t="inlineStr">
        <is>
          <t>NOT_TESTED</t>
        </is>
      </c>
      <c r="Q58" s="56" t="inlineStr">
        <is>
          <t>NOT_TESTED</t>
        </is>
      </c>
      <c r="R58" s="56" t="inlineStr">
        <is>
          <t>NOT_TESTED</t>
        </is>
      </c>
      <c r="S58" s="56" t="inlineStr">
        <is>
          <t>NOT_TESTED</t>
        </is>
      </c>
      <c r="T58" s="56" t="inlineStr">
        <is>
          <t>NOT_TESTED</t>
        </is>
      </c>
      <c r="U58" s="56" t="inlineStr">
        <is>
          <t>NOT_TESTED</t>
        </is>
      </c>
      <c r="V58" s="56" t="inlineStr">
        <is>
          <t>NOT_TESTED</t>
        </is>
      </c>
      <c r="W58" s="56" t="inlineStr">
        <is>
          <t>NOT_TESTED</t>
        </is>
      </c>
      <c r="X58" s="56" t="inlineStr">
        <is>
          <t>NOT_TESTED</t>
        </is>
      </c>
      <c r="Y58" s="56" t="inlineStr">
        <is>
          <t>NOT_TESTED</t>
        </is>
      </c>
      <c r="Z58" s="56" t="inlineStr">
        <is>
          <t>NOT_TESTED</t>
        </is>
      </c>
      <c r="AA58" s="56" t="inlineStr">
        <is>
          <t>NOT_TESTED</t>
        </is>
      </c>
      <c r="AB58" s="56" t="inlineStr">
        <is>
          <t>NOT_TESTED</t>
        </is>
      </c>
      <c r="AC58" s="55" t="inlineStr">
        <is>
          <t>ExtensionError</t>
        </is>
      </c>
      <c r="AD58" s="55" t="inlineStr">
        <is>
          <t>qiskit.extensions.exceptions.ExtensionError: 'Input matrix is not unitary.'</t>
        </is>
      </c>
      <c r="AE58" s="55" t="inlineStr">
        <is>
          <t>The LLM evolved the Hamiltonian with (-time_ * H).exp_i(), but exp_i() already computes exp(-iX), so this is exp(+iHt), the wrong sign. On Qiskit 0.25 the resulting instruction is rejected as non-unitary. The reference uses circ.hamiltonian(H, time_, ...).</t>
        </is>
      </c>
      <c r="AF58" s="55" t="inlineStr">
        <is>
          <t>ExtensionError</t>
        </is>
      </c>
      <c r="AG58" s="55" t="inlineStr">
        <is>
          <t>qiskit.extensions.exceptions.ExtensionError: 'Input matrix is not unitary.'</t>
        </is>
      </c>
      <c r="AH58" s="55" t="inlineStr">
        <is>
          <t>The LLM evolved the Hamiltonian with (-time_ * H).exp_i(), but exp_i() already computes exp(-iX), so this is exp(+iHt), the wrong sign. On Qiskit 0.25 the resulting instruction is rejected as non-unitary. The reference uses circ.hamiltonian(H, time_, ...).</t>
        </is>
      </c>
      <c r="AI58" s="55" t="inlineStr">
        <is>
          <t>ExtensionError</t>
        </is>
      </c>
      <c r="AJ58" s="55" t="inlineStr">
        <is>
          <t>qiskit.extensions.exceptions.ExtensionError: 'Input matrix is not unitary.'</t>
        </is>
      </c>
      <c r="AK58" s="55" t="inlineStr">
        <is>
          <t>The LLM evolved the Hamiltonian with (-time_ * H).exp_i(), but exp_i() already computes exp(-iX), so this is exp(+iHt), the wrong sign. On Qiskit 0.25 the resulting instruction is rejected as non-unitary. The reference uses circ.hamiltonian(H, time_, ...).</t>
        </is>
      </c>
      <c r="AL58" s="55" t="inlineStr">
        <is>
          <t>ExtensionError</t>
        </is>
      </c>
      <c r="AM58" s="55" t="inlineStr">
        <is>
          <t>qiskit.extensions.exceptions.ExtensionError: 'Input matrix is not unitary.'</t>
        </is>
      </c>
      <c r="AN58" s="55" t="inlineStr">
        <is>
          <t>The LLM evolved the Hamiltonian with (-time_ * H).exp_i(), but exp_i() already computes exp(-iX), so this is exp(+iHt), the wrong sign. On Qiskit 0.25 the resulting instruction is rejected as non-unitary. The reference uses circ.hamiltonian(H, time_, ...).</t>
        </is>
      </c>
      <c r="AO58" s="55" t="inlineStr">
        <is>
          <t>AssertionError</t>
        </is>
      </c>
      <c r="AP58" s="55" t="inlineStr">
        <is>
          <t>AssertionError: Not equal to tolerance rtol=1e-07, atol=1e-09</t>
        </is>
      </c>
      <c r="AQ58" s="55" t="inlineStr">
        <is>
          <t>The LLM evolved the Hamiltonian with (-time_ * H).exp_i(), but exp_i() already computes exp(-iX), so the circuit implements exp(+iHt) instead of exp(-iHt) and the unitary check fails. With the sign flipped the same fix passes on 0.45.0 and 0.46.3. The reference uses circ.hamiltonian(H, time_, ...).</t>
        </is>
      </c>
      <c r="AR58" s="55" t="inlineStr">
        <is>
          <t>AssertionError</t>
        </is>
      </c>
      <c r="AS58" s="55" t="inlineStr">
        <is>
          <t>AssertionError: Not equal to tolerance rtol=1e-07, atol=1e-09</t>
        </is>
      </c>
      <c r="AT58" s="55" t="inlineStr">
        <is>
          <t>The LLM evolved the Hamiltonian with (-time_ * H).exp_i(), but exp_i() already computes exp(-iX), so the circuit implements exp(+iHt) instead of exp(-iHt) and the unitary check fails. With the sign flipped the same fix passes on 0.45.0 and 0.46.3. The reference uses circ.hamiltonian(H, time_, ...).</t>
        </is>
      </c>
      <c r="AU58" s="55" t="inlineStr">
        <is>
          <t>AssertionError</t>
        </is>
      </c>
      <c r="AV58" s="55" t="inlineStr">
        <is>
          <t>AssertionError: Not equal to tolerance rtol=1e-07, atol=1e-09</t>
        </is>
      </c>
      <c r="AW58" s="55" t="inlineStr">
        <is>
          <t>The LLM evolved the Hamiltonian with (-time_ * H).exp_i(), but exp_i() already computes exp(-iX), so the circuit implements exp(+iHt) instead of exp(-iHt) and the unitary check fails. With the sign flipped the same fix passes on 0.45.0 and 0.46.3. The reference uses circ.hamiltonian(H, time_, ...).</t>
        </is>
      </c>
      <c r="AX58" s="55" t="inlineStr">
        <is>
          <t>AssertionError</t>
        </is>
      </c>
      <c r="AY58" s="55" t="inlineStr">
        <is>
          <t>AssertionError: Not equal to tolerance rtol=1e-07, atol=1e-09</t>
        </is>
      </c>
      <c r="AZ58" s="55" t="inlineStr">
        <is>
          <t>The LLM evolved the Hamiltonian with (-time_ * H).exp_i(), but exp_i() already computes exp(-iX), so the circuit implements exp(+iHt) instead of exp(-iHt) and the unitary check fails. With the sign flipped the same fix passes on 0.45.0 and 0.46.3. The reference uses circ.hamiltonian(H, time_, ...).</t>
        </is>
      </c>
      <c r="BA58" s="55" t="inlineStr">
        <is>
          <t>AssertionError</t>
        </is>
      </c>
      <c r="BB58" s="55" t="inlineStr">
        <is>
          <t>AssertionError: Not equal to tolerance rtol=1e-07, atol=1e-09</t>
        </is>
      </c>
      <c r="BC58" s="55" t="inlineStr">
        <is>
          <t>The LLM evolved the Hamiltonian with (-time_ * H).exp_i(), but exp_i() already computes exp(-iX), so the circuit implements exp(+iHt) instead of exp(-iHt) and the unitary check fails. With the sign flipped the same fix passes on 0.45.0 and 0.46.3. The reference uses circ.hamiltonian(H, time_, ...).</t>
        </is>
      </c>
      <c r="BD58" s="55" t="inlineStr">
        <is>
          <t>AssertionError</t>
        </is>
      </c>
      <c r="BE58" s="55" t="inlineStr">
        <is>
          <t>AssertionError: Not equal to tolerance rtol=1e-07, atol=1e-09</t>
        </is>
      </c>
      <c r="BF58" s="55" t="inlineStr">
        <is>
          <t>The LLM evolved the Hamiltonian with (-time_ * H).exp_i(), but exp_i() already computes exp(-iX), so the circuit implements exp(+iHt) instead of exp(-iHt) and the unitary check fails. With the sign flipped the same fix passes on 0.45.0 and 0.46.3. The reference uses circ.hamiltonian(H, time_, ...).</t>
        </is>
      </c>
      <c r="BG58" s="55" t="inlineStr">
        <is>
          <t>AssertionError</t>
        </is>
      </c>
      <c r="BH58" s="55" t="inlineStr">
        <is>
          <t>AssertionError: Not equal to tolerance rtol=1e-07, atol=1e-09</t>
        </is>
      </c>
      <c r="BI58" s="55" t="inlineStr">
        <is>
          <t>The LLM evolved the Hamiltonian with (-time_ * H).exp_i(), but exp_i() already computes exp(-iX), so the circuit implements exp(+iHt) instead of exp(-iHt) and the unitary check fails. With the sign flipped the same fix passes on 0.45.0 and 0.46.3. The reference uses circ.hamiltonian(H, time_, ...).</t>
        </is>
      </c>
      <c r="BJ58" s="55" t="inlineStr">
        <is>
          <t>AssertionError</t>
        </is>
      </c>
      <c r="BK58" s="55" t="inlineStr">
        <is>
          <t>AssertionError: Not equal to tolerance rtol=1e-07, atol=1e-09</t>
        </is>
      </c>
      <c r="BL58" s="55" t="inlineStr">
        <is>
          <t>The LLM evolved the Hamiltonian with (-time_ * H).exp_i(), but exp_i() already computes exp(-iX), so the circuit implements exp(+iHt) instead of exp(-iHt) and the unitary check fails. With the sign flipped the same fix passes on 0.45.0 and 0.46.3. The reference uses circ.hamiltonian(H, time_, ...).</t>
        </is>
      </c>
      <c r="BM58" s="55" t="n"/>
      <c r="BN58" s="55" t="n"/>
      <c r="BO58" s="55" t="n"/>
      <c r="BP58" s="55" t="n"/>
      <c r="BQ58" s="55" t="n"/>
      <c r="BR58" s="55" t="n"/>
      <c r="BS58" s="55" t="n"/>
      <c r="BT58" s="55" t="n"/>
      <c r="BU58" s="55" t="n"/>
      <c r="BV58" s="55" t="n"/>
      <c r="BW58" s="55" t="n"/>
      <c r="BX58" s="55" t="n"/>
      <c r="BY58" s="55" t="n"/>
      <c r="BZ58" s="55" t="n"/>
      <c r="CA58" s="55" t="n"/>
      <c r="CB58" s="55" t="n"/>
      <c r="CC58" s="55" t="n"/>
      <c r="CD58" s="55" t="n"/>
      <c r="CE58" s="55" t="n"/>
      <c r="CF58" s="55" t="n"/>
      <c r="CG58" s="55" t="n"/>
      <c r="CH58" s="55" t="n"/>
      <c r="CI58" s="55" t="n"/>
      <c r="CJ58" s="55" t="n"/>
      <c r="CK58" s="55" t="n"/>
      <c r="CL58" s="55" t="n"/>
      <c r="CM58" s="55" t="n"/>
      <c r="CN58" s="55" t="n"/>
      <c r="CO58" s="55" t="n"/>
      <c r="CP58" s="55" t="n"/>
      <c r="CQ58" s="55" t="n"/>
      <c r="CR58" s="55" t="n"/>
      <c r="CS58" s="55" t="n"/>
      <c r="CT58" s="55" t="n"/>
      <c r="CU58" s="55" t="n"/>
      <c r="CV58" s="55" t="n"/>
      <c r="CW58" s="55" t="n"/>
      <c r="CX58" s="55" t="n"/>
      <c r="CY58" s="55" t="n"/>
      <c r="CZ58" s="55" t="n"/>
      <c r="DA58" s="55" t="n"/>
      <c r="DB58" s="55" t="n"/>
      <c r="DC58" s="55" t="n"/>
      <c r="DD58" s="55" t="n"/>
      <c r="DE58" s="55" t="n"/>
    </row>
    <row r="59">
      <c r="A59" s="55" t="inlineStr">
        <is>
          <t>issue_911</t>
        </is>
      </c>
      <c r="B59" s="56" t="inlineStr">
        <is>
          <t>NOT_TESTED</t>
        </is>
      </c>
      <c r="C59" s="56" t="inlineStr">
        <is>
          <t>NOT_TESTED</t>
        </is>
      </c>
      <c r="D59" s="56" t="inlineStr">
        <is>
          <t>NOT_TESTED</t>
        </is>
      </c>
      <c r="E59" s="56" t="inlineStr">
        <is>
          <t>NOT_TESTED</t>
        </is>
      </c>
      <c r="F59" s="59" t="inlineStr">
        <is>
          <t>Passed on test</t>
        </is>
      </c>
      <c r="G59" s="59" t="inlineStr">
        <is>
          <t>Passed on test</t>
        </is>
      </c>
      <c r="H59" s="59" t="inlineStr">
        <is>
          <t>Passed on test</t>
        </is>
      </c>
      <c r="I59" s="59" t="inlineStr">
        <is>
          <t>Passed on test</t>
        </is>
      </c>
      <c r="J59" s="59" t="inlineStr">
        <is>
          <t>Passed on test</t>
        </is>
      </c>
      <c r="K59" s="59" t="inlineStr">
        <is>
          <t>Passed on test</t>
        </is>
      </c>
      <c r="L59" s="59" t="inlineStr">
        <is>
          <t>Passed on test</t>
        </is>
      </c>
      <c r="M59" s="59" t="inlineStr">
        <is>
          <t>Passed on test</t>
        </is>
      </c>
      <c r="N59" s="59" t="inlineStr">
        <is>
          <t>Passed on test</t>
        </is>
      </c>
      <c r="O59" s="59" t="inlineStr">
        <is>
          <t>Passed on test</t>
        </is>
      </c>
      <c r="P59" s="59" t="inlineStr">
        <is>
          <t>Passed on test</t>
        </is>
      </c>
      <c r="Q59" s="59" t="inlineStr">
        <is>
          <t>Passed on test</t>
        </is>
      </c>
      <c r="R59" s="59" t="inlineStr">
        <is>
          <t>Passed on test</t>
        </is>
      </c>
      <c r="S59" s="59" t="inlineStr">
        <is>
          <t>Passed on test</t>
        </is>
      </c>
      <c r="T59" s="59" t="inlineStr">
        <is>
          <t>Passed on test</t>
        </is>
      </c>
      <c r="U59" s="59" t="inlineStr">
        <is>
          <t>Passed on test</t>
        </is>
      </c>
      <c r="V59" s="59" t="inlineStr">
        <is>
          <t>Passed on test</t>
        </is>
      </c>
      <c r="W59" s="59" t="inlineStr">
        <is>
          <t>Passed on test</t>
        </is>
      </c>
      <c r="X59" s="59" t="inlineStr">
        <is>
          <t>Passed on test</t>
        </is>
      </c>
      <c r="Y59" s="59" t="inlineStr">
        <is>
          <t>Passed on test</t>
        </is>
      </c>
      <c r="Z59" s="59" t="inlineStr">
        <is>
          <t>Passed on test</t>
        </is>
      </c>
      <c r="AA59" s="59" t="inlineStr">
        <is>
          <t>Passed on test</t>
        </is>
      </c>
      <c r="AB59" s="59" t="inlineStr">
        <is>
          <t>Passed on test</t>
        </is>
      </c>
      <c r="AC59" s="55" t="n"/>
      <c r="AD59" s="55" t="n"/>
      <c r="AE59" s="55" t="n"/>
      <c r="AF59" s="55" t="n"/>
      <c r="AG59" s="55" t="n"/>
      <c r="AH59" s="55" t="n"/>
      <c r="AI59" s="55" t="n"/>
      <c r="AJ59" s="55" t="n"/>
      <c r="AK59" s="55" t="n"/>
      <c r="AL59" s="55" t="n"/>
      <c r="AM59" s="55" t="n"/>
      <c r="AN59" s="55" t="n"/>
      <c r="AO59" s="55" t="inlineStr">
        <is>
          <t>ValueError</t>
        </is>
      </c>
      <c r="AP59" s="55" t="inlineStr">
        <is>
          <t>ValueError: malformed node or string on line 1: &lt;ast.Call object at 0x000001994F5AB2E0&gt;</t>
        </is>
      </c>
      <c r="AQ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AR59" s="55" t="inlineStr">
        <is>
          <t>ValueError</t>
        </is>
      </c>
      <c r="AS59" s="55" t="inlineStr">
        <is>
          <t>ValueError: malformed node or string on line 1: &lt;ast.Call object at 0x0000025AA332CE80&gt;</t>
        </is>
      </c>
      <c r="AT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AU59" s="55" t="inlineStr">
        <is>
          <t>ValueError</t>
        </is>
      </c>
      <c r="AV59" s="55" t="inlineStr">
        <is>
          <t>ValueError: malformed node or string on line 1: &lt;ast.Call object at 0x000002710DF9CD30&gt;</t>
        </is>
      </c>
      <c r="AW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AX59" s="55" t="inlineStr">
        <is>
          <t>ValueError</t>
        </is>
      </c>
      <c r="AY59" s="55" t="inlineStr">
        <is>
          <t>ValueError: malformed node or string on line 1: &lt;ast.Call object at 0x000001DD14C36050&gt;</t>
        </is>
      </c>
      <c r="AZ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BA59" s="55" t="inlineStr">
        <is>
          <t>ValueError</t>
        </is>
      </c>
      <c r="BB59" s="55" t="inlineStr">
        <is>
          <t>ValueError: malformed node or string on line 1: &lt;ast.Call object at 0x000002520C2D23B0&gt;</t>
        </is>
      </c>
      <c r="BC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BD59" s="55" t="inlineStr">
        <is>
          <t>ValueError</t>
        </is>
      </c>
      <c r="BE59" s="55" t="inlineStr">
        <is>
          <t>ValueError: malformed node or string on line 1: &lt;ast.Call object at 0x000002412723F100&gt;</t>
        </is>
      </c>
      <c r="BF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BG59" s="55" t="inlineStr">
        <is>
          <t>ValueError</t>
        </is>
      </c>
      <c r="BH59" s="55" t="inlineStr">
        <is>
          <t>ValueError: malformed node or string on line 1: &lt;ast.Call object at 0x000001FE96B52110&gt;</t>
        </is>
      </c>
      <c r="BI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BJ59" s="55" t="inlineStr">
        <is>
          <t>ValueError</t>
        </is>
      </c>
      <c r="BK59" s="55" t="inlineStr">
        <is>
          <t>ValueError: malformed node or string on line 1: &lt;ast.Call object at 0x000002387B54E5F0&gt;</t>
        </is>
      </c>
      <c r="BL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BM59" s="55" t="inlineStr">
        <is>
          <t>ValueError</t>
        </is>
      </c>
      <c r="BN59" s="55" t="inlineStr">
        <is>
          <t>ValueError: malformed node or string on line 1: &lt;ast.Call object at 0x0000022DA18A7D60&gt;</t>
        </is>
      </c>
      <c r="BO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BP59" s="55" t="inlineStr">
        <is>
          <t>ValueError</t>
        </is>
      </c>
      <c r="BQ59" s="55" t="inlineStr">
        <is>
          <t>ValueError: malformed node or string on line 1: &lt;ast.Call object at 0x00000205D5A030D0&gt;</t>
        </is>
      </c>
      <c r="BR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BS59" s="55" t="inlineStr">
        <is>
          <t>ValueError</t>
        </is>
      </c>
      <c r="BT59" s="55" t="inlineStr">
        <is>
          <t>ValueError: malformed node or string on line 1: &lt;ast.Call object at 0x000001CEE0BDBAF0&gt;</t>
        </is>
      </c>
      <c r="BU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BV59" s="55" t="inlineStr">
        <is>
          <t>ValueError</t>
        </is>
      </c>
      <c r="BW59" s="55" t="inlineStr">
        <is>
          <t>ValueError: malformed node or string on line 1: &lt;ast.Call object at 0x0000016EA5521C60&gt;</t>
        </is>
      </c>
      <c r="BX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BY59" s="55" t="inlineStr">
        <is>
          <t>ValueError</t>
        </is>
      </c>
      <c r="BZ59" s="55" t="inlineStr">
        <is>
          <t>ValueError: malformed node or string on line 1: &lt;ast.Call object at 0x0000022CCA2251E0&gt;</t>
        </is>
      </c>
      <c r="CA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CB59" s="55" t="inlineStr">
        <is>
          <t>ValueError</t>
        </is>
      </c>
      <c r="CC59" s="55" t="inlineStr">
        <is>
          <t>ValueError: malformed node or string on line 1: &lt;ast.Call object at 0x000001E68EF39E40&gt;</t>
        </is>
      </c>
      <c r="CD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CE59" s="55" t="inlineStr">
        <is>
          <t>ValueError</t>
        </is>
      </c>
      <c r="CF59" s="55" t="inlineStr">
        <is>
          <t>ValueError: malformed node or string on line 1: &lt;ast.Call object at 0x0000023A7520CD60&gt;</t>
        </is>
      </c>
      <c r="CG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CH59" s="55" t="inlineStr">
        <is>
          <t>ValueError</t>
        </is>
      </c>
      <c r="CI59" s="55" t="inlineStr">
        <is>
          <t>ValueError: malformed node or string on line 1: &lt;ast.Call object at 0x000001A97E15B190&gt;</t>
        </is>
      </c>
      <c r="CJ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CK59" s="55" t="inlineStr">
        <is>
          <t>ValueError</t>
        </is>
      </c>
      <c r="CL59" s="55" t="inlineStr">
        <is>
          <t>ValueError: malformed node or string on line 1: &lt;ast.Call object at 0x000001FC3AD70760&gt;</t>
        </is>
      </c>
      <c r="CM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CN59" s="55" t="inlineStr">
        <is>
          <t>ValueError</t>
        </is>
      </c>
      <c r="CO59" s="55" t="inlineStr">
        <is>
          <t>ValueError: malformed node or string on line 1: &lt;ast.Call object at 0x000001941F168C50&gt;</t>
        </is>
      </c>
      <c r="CP59" s="55" t="inlineStr">
        <is>
          <t>The LLM looped over every operand and printed each qubit's register and index with qc.find_bit(), which is the information the question asks for. The test parses the reference's exact print format ('qargs : [0, 1]') with ast.literal_eval, and the LLM's 'qargs :' line still prints the Qubit objects, so parsing raises ValueError. A test that reads the printed indices in either format passes the LLM fix and still fails the buggy code.</t>
        </is>
      </c>
      <c r="CQ59" s="55" t="inlineStr">
        <is>
          <t>SyntaxError</t>
        </is>
      </c>
      <c r="CR59" s="55" t="inlineStr">
        <is>
          <t>SyntaxError: invalid syntax</t>
        </is>
      </c>
      <c r="CS59" s="55" t="inlineStr">
        <is>
          <t>The LLM looped over every operand and printed each qubit's register and index with qc.find_bit(), which is the information the question asks for. The test parses the reference's exact print format ('qargs : [0, 1]'), and in Qiskit 2.x the Qubit objects on the LLM's 'qargs :' line print in a form ast.literal_eval cannot read (SyntaxError). A test that reads the printed indices in either format passes the LLM fix.</t>
        </is>
      </c>
      <c r="CT59" s="55" t="inlineStr">
        <is>
          <t>SyntaxError</t>
        </is>
      </c>
      <c r="CU59" s="55" t="inlineStr">
        <is>
          <t>SyntaxError: invalid syntax</t>
        </is>
      </c>
      <c r="CV59" s="55" t="inlineStr">
        <is>
          <t>The LLM looped over every operand and printed each qubit's register and index with qc.find_bit(), which is the information the question asks for. The test parses the reference's exact print format ('qargs : [0, 1]'), and in Qiskit 2.x the Qubit objects on the LLM's 'qargs :' line print in a form ast.literal_eval cannot read (SyntaxError). A test that reads the printed indices in either format passes the LLM fix.</t>
        </is>
      </c>
      <c r="CW59" s="55" t="inlineStr">
        <is>
          <t>SyntaxError</t>
        </is>
      </c>
      <c r="CX59" s="55" t="inlineStr">
        <is>
          <t>SyntaxError: invalid syntax</t>
        </is>
      </c>
      <c r="CY59" s="55" t="inlineStr">
        <is>
          <t>The LLM looped over every operand and printed each qubit's register and index with qc.find_bit(), which is the information the question asks for. The test parses the reference's exact print format ('qargs : [0, 1]'), and in Qiskit 2.x the Qubit objects on the LLM's 'qargs :' line print in a form ast.literal_eval cannot read (SyntaxError). A test that reads the printed indices in either format passes the LLM fix.</t>
        </is>
      </c>
      <c r="CZ59" s="55" t="inlineStr">
        <is>
          <t>SyntaxError</t>
        </is>
      </c>
      <c r="DA59" s="55" t="inlineStr">
        <is>
          <t>SyntaxError: invalid syntax</t>
        </is>
      </c>
      <c r="DB59" s="55" t="inlineStr">
        <is>
          <t>The LLM looped over every operand and printed each qubit's register and index with qc.find_bit(), which is the information the question asks for. The test parses the reference's exact print format ('qargs : [0, 1]'), and in Qiskit 2.x the Qubit objects on the LLM's 'qargs :' line print in a form ast.literal_eval cannot read (SyntaxError). A test that reads the printed indices in either format passes the LLM fix.</t>
        </is>
      </c>
      <c r="DC59" s="55" t="inlineStr">
        <is>
          <t>SyntaxError</t>
        </is>
      </c>
      <c r="DD59" s="55" t="inlineStr">
        <is>
          <t>SyntaxError: invalid syntax</t>
        </is>
      </c>
      <c r="DE59" s="55" t="inlineStr">
        <is>
          <t>The LLM looped over every operand and printed each qubit's register and index with qc.find_bit(), which is the information the question asks for. The test parses the reference's exact print format ('qargs : [0, 1]'), and in Qiskit 2.x the Qubit objects on the LLM's 'qargs :' line print in a form ast.literal_eval cannot read (SyntaxError). A test that reads the printed indices in either format passes the LLM fix.</t>
        </is>
      </c>
    </row>
    <row r="60">
      <c r="A60" s="55" t="inlineStr">
        <is>
          <t>issue_925</t>
        </is>
      </c>
      <c r="B60" s="57" t="inlineStr">
        <is>
          <t>Runtime error</t>
        </is>
      </c>
      <c r="C60" s="57" t="inlineStr">
        <is>
          <t>Runtime error</t>
        </is>
      </c>
      <c r="D60" s="57" t="inlineStr">
        <is>
          <t>Runtime error</t>
        </is>
      </c>
      <c r="E60" s="57" t="inlineStr">
        <is>
          <t>Runtime error</t>
        </is>
      </c>
      <c r="F60" s="56" t="inlineStr">
        <is>
          <t>NOT_TESTED</t>
        </is>
      </c>
      <c r="G60" s="56" t="inlineStr">
        <is>
          <t>NOT_TESTED</t>
        </is>
      </c>
      <c r="H60" s="56" t="inlineStr">
        <is>
          <t>NOT_TESTED</t>
        </is>
      </c>
      <c r="I60" s="56" t="inlineStr">
        <is>
          <t>NOT_TESTED</t>
        </is>
      </c>
      <c r="J60" s="56" t="inlineStr">
        <is>
          <t>NOT_TESTED</t>
        </is>
      </c>
      <c r="K60" s="56" t="inlineStr">
        <is>
          <t>NOT_TESTED</t>
        </is>
      </c>
      <c r="L60" s="56" t="inlineStr">
        <is>
          <t>NOT_TESTED</t>
        </is>
      </c>
      <c r="M60" s="56" t="inlineStr">
        <is>
          <t>NOT_TESTED</t>
        </is>
      </c>
      <c r="N60" s="56" t="inlineStr">
        <is>
          <t>NOT_TESTED</t>
        </is>
      </c>
      <c r="O60" s="56" t="inlineStr">
        <is>
          <t>NOT_TESTED</t>
        </is>
      </c>
      <c r="P60" s="56" t="inlineStr">
        <is>
          <t>NOT_TESTED</t>
        </is>
      </c>
      <c r="Q60" s="56" t="inlineStr">
        <is>
          <t>NOT_TESTED</t>
        </is>
      </c>
      <c r="R60" s="56" t="inlineStr">
        <is>
          <t>NOT_TESTED</t>
        </is>
      </c>
      <c r="S60" s="56" t="inlineStr">
        <is>
          <t>NOT_TESTED</t>
        </is>
      </c>
      <c r="T60" s="56" t="inlineStr">
        <is>
          <t>NOT_TESTED</t>
        </is>
      </c>
      <c r="U60" s="56" t="inlineStr">
        <is>
          <t>NOT_TESTED</t>
        </is>
      </c>
      <c r="V60" s="56" t="inlineStr">
        <is>
          <t>NOT_TESTED</t>
        </is>
      </c>
      <c r="W60" s="56" t="inlineStr">
        <is>
          <t>NOT_TESTED</t>
        </is>
      </c>
      <c r="X60" s="56" t="inlineStr">
        <is>
          <t>NOT_TESTED</t>
        </is>
      </c>
      <c r="Y60" s="56" t="inlineStr">
        <is>
          <t>NOT_TESTED</t>
        </is>
      </c>
      <c r="Z60" s="56" t="inlineStr">
        <is>
          <t>NOT_TESTED</t>
        </is>
      </c>
      <c r="AA60" s="56" t="inlineStr">
        <is>
          <t>NOT_TESTED</t>
        </is>
      </c>
      <c r="AB60" s="56" t="inlineStr">
        <is>
          <t>NOT_TESTED</t>
        </is>
      </c>
      <c r="AC60" s="55" t="inlineStr">
        <is>
          <t>TranspilerError</t>
        </is>
      </c>
      <c r="AD60" s="55" t="inlineStr">
        <is>
          <t>qiskit.transpiler.exceptions.TranspilerError: 'Number of qubits (18) in Shor(N=15, a=2) is greater than maximum (14) in the coupling_map'</t>
        </is>
      </c>
      <c r="AE60" s="55" t="inlineStr">
        <is>
          <t>The LLM only added a comment saying to use a simulator with enough qubits; the code still runs Shor on FakeMelbourne, so the 18-qubit circuit fails to transpile onto its 14-qubit coupling map, exactly like the buggy code. The reference switches to Aer's qasm_simulator.</t>
        </is>
      </c>
      <c r="AF60" s="55" t="inlineStr">
        <is>
          <t>TranspilerError</t>
        </is>
      </c>
      <c r="AG60" s="55" t="inlineStr">
        <is>
          <t>qiskit.transpiler.exceptions.TranspilerError: 'Number of qubits (18) in Shor(N=15, a=2) is greater than maximum (14) in the coupling_map'</t>
        </is>
      </c>
      <c r="AH60" s="55" t="inlineStr">
        <is>
          <t>The LLM only added a comment saying to use a simulator with enough qubits; the code still runs Shor on FakeMelbourne, so the 18-qubit circuit fails to transpile onto its 14-qubit coupling map, exactly like the buggy code. The reference switches to Aer's qasm_simulator.</t>
        </is>
      </c>
      <c r="AI60" s="55" t="inlineStr">
        <is>
          <t>TranspilerError</t>
        </is>
      </c>
      <c r="AJ60" s="55" t="inlineStr">
        <is>
          <t>qiskit.transpiler.exceptions.TranspilerError: 'Number of qubits (18) in Shor(N=15, a=2) is greater than maximum (14) in the coupling_map'</t>
        </is>
      </c>
      <c r="AK60" s="55" t="inlineStr">
        <is>
          <t>The LLM only added a comment saying to use a simulator with enough qubits; the code still runs Shor on FakeMelbourne, so the 18-qubit circuit fails to transpile onto its 14-qubit coupling map, exactly like the buggy code. The reference switches to Aer's qasm_simulator.</t>
        </is>
      </c>
      <c r="AL60" s="55" t="inlineStr">
        <is>
          <t>TranspilerError</t>
        </is>
      </c>
      <c r="AM60" s="55" t="inlineStr">
        <is>
          <t>qiskit.transpiler.exceptions.TranspilerError: 'Number of qubits (18) in Shor(N=15, a=2) is greater than maximum (14) in the coupling_map'</t>
        </is>
      </c>
      <c r="AN60" s="55" t="inlineStr">
        <is>
          <t>The LLM only added a comment saying to use a simulator with enough qubits; the code still runs Shor on FakeMelbourne, so the 18-qubit circuit fails to transpile onto its 14-qubit coupling map, exactly like the buggy code. The reference switches to Aer's qasm_simulator.</t>
        </is>
      </c>
      <c r="AO60" s="55" t="n"/>
      <c r="AP60" s="55" t="n"/>
      <c r="AQ60" s="55" t="n"/>
      <c r="AR60" s="55" t="n"/>
      <c r="AS60" s="55" t="n"/>
      <c r="AT60" s="55" t="n"/>
      <c r="AU60" s="55" t="n"/>
      <c r="AV60" s="55" t="n"/>
      <c r="AW60" s="55" t="n"/>
      <c r="AX60" s="55" t="n"/>
      <c r="AY60" s="55" t="n"/>
      <c r="AZ60" s="55" t="n"/>
      <c r="BA60" s="55" t="n"/>
      <c r="BB60" s="55" t="n"/>
      <c r="BC60" s="55" t="n"/>
      <c r="BD60" s="55" t="n"/>
      <c r="BE60" s="55" t="n"/>
      <c r="BF60" s="55" t="n"/>
      <c r="BG60" s="55" t="n"/>
      <c r="BH60" s="55" t="n"/>
      <c r="BI60" s="55" t="n"/>
      <c r="BJ60" s="55" t="n"/>
      <c r="BK60" s="55" t="n"/>
      <c r="BL60" s="55" t="n"/>
      <c r="BM60" s="55" t="n"/>
      <c r="BN60" s="55" t="n"/>
      <c r="BO60" s="55" t="n"/>
      <c r="BP60" s="55" t="n"/>
      <c r="BQ60" s="55" t="n"/>
      <c r="BR60" s="55" t="n"/>
      <c r="BS60" s="55" t="n"/>
      <c r="BT60" s="55" t="n"/>
      <c r="BU60" s="55" t="n"/>
      <c r="BV60" s="55" t="n"/>
      <c r="BW60" s="55" t="n"/>
      <c r="BX60" s="55" t="n"/>
      <c r="BY60" s="55" t="n"/>
      <c r="BZ60" s="55" t="n"/>
      <c r="CA60" s="55" t="n"/>
      <c r="CB60" s="55" t="n"/>
      <c r="CC60" s="55" t="n"/>
      <c r="CD60" s="55" t="n"/>
      <c r="CE60" s="55" t="n"/>
      <c r="CF60" s="55" t="n"/>
      <c r="CG60" s="55" t="n"/>
      <c r="CH60" s="55" t="n"/>
      <c r="CI60" s="55" t="n"/>
      <c r="CJ60" s="55" t="n"/>
      <c r="CK60" s="55" t="n"/>
      <c r="CL60" s="55" t="n"/>
      <c r="CM60" s="55" t="n"/>
      <c r="CN60" s="55" t="n"/>
      <c r="CO60" s="55" t="n"/>
      <c r="CP60" s="55" t="n"/>
      <c r="CQ60" s="55" t="n"/>
      <c r="CR60" s="55" t="n"/>
      <c r="CS60" s="55" t="n"/>
      <c r="CT60" s="55" t="n"/>
      <c r="CU60" s="55" t="n"/>
      <c r="CV60" s="55" t="n"/>
      <c r="CW60" s="55" t="n"/>
      <c r="CX60" s="55" t="n"/>
      <c r="CY60" s="55" t="n"/>
      <c r="CZ60" s="55" t="n"/>
      <c r="DA60" s="55" t="n"/>
      <c r="DB60" s="55" t="n"/>
      <c r="DC60" s="55" t="n"/>
      <c r="DD60" s="55" t="n"/>
      <c r="DE60" s="55" t="n"/>
    </row>
    <row r="61">
      <c r="A61" s="55" t="inlineStr">
        <is>
          <t>issue_944</t>
        </is>
      </c>
      <c r="B61" s="59" t="inlineStr">
        <is>
          <t>Passed on test</t>
        </is>
      </c>
      <c r="C61" s="59" t="inlineStr">
        <is>
          <t>Passed on test</t>
        </is>
      </c>
      <c r="D61" s="59" t="inlineStr">
        <is>
          <t>Passed on test</t>
        </is>
      </c>
      <c r="E61" s="59" t="inlineStr">
        <is>
          <t>Passed on test</t>
        </is>
      </c>
      <c r="F61" s="59" t="inlineStr">
        <is>
          <t>Passed on test</t>
        </is>
      </c>
      <c r="G61" s="59" t="inlineStr">
        <is>
          <t>Passed on test</t>
        </is>
      </c>
      <c r="H61" s="59" t="inlineStr">
        <is>
          <t>Passed on test</t>
        </is>
      </c>
      <c r="I61" s="59" t="inlineStr">
        <is>
          <t>Passed on test</t>
        </is>
      </c>
      <c r="J61" s="59" t="inlineStr">
        <is>
          <t>Passed on test</t>
        </is>
      </c>
      <c r="K61" s="59" t="inlineStr">
        <is>
          <t>Passed on test</t>
        </is>
      </c>
      <c r="L61" s="59" t="inlineStr">
        <is>
          <t>Passed on test</t>
        </is>
      </c>
      <c r="M61" s="59" t="inlineStr">
        <is>
          <t>Passed on test</t>
        </is>
      </c>
      <c r="N61" s="56" t="inlineStr">
        <is>
          <t>NOT_TESTED</t>
        </is>
      </c>
      <c r="O61" s="56" t="inlineStr">
        <is>
          <t>NOT_TESTED</t>
        </is>
      </c>
      <c r="P61" s="56" t="inlineStr">
        <is>
          <t>NOT_TESTED</t>
        </is>
      </c>
      <c r="Q61" s="56" t="inlineStr">
        <is>
          <t>NOT_TESTED</t>
        </is>
      </c>
      <c r="R61" s="56" t="inlineStr">
        <is>
          <t>NOT_TESTED</t>
        </is>
      </c>
      <c r="S61" s="56" t="inlineStr">
        <is>
          <t>NOT_TESTED</t>
        </is>
      </c>
      <c r="T61" s="56" t="inlineStr">
        <is>
          <t>NOT_TESTED</t>
        </is>
      </c>
      <c r="U61" s="56" t="inlineStr">
        <is>
          <t>NOT_TESTED</t>
        </is>
      </c>
      <c r="V61" s="56" t="inlineStr">
        <is>
          <t>NOT_TESTED</t>
        </is>
      </c>
      <c r="W61" s="56" t="inlineStr">
        <is>
          <t>NOT_TESTED</t>
        </is>
      </c>
      <c r="X61" s="56" t="inlineStr">
        <is>
          <t>NOT_TESTED</t>
        </is>
      </c>
      <c r="Y61" s="56" t="inlineStr">
        <is>
          <t>NOT_TESTED</t>
        </is>
      </c>
      <c r="Z61" s="56" t="inlineStr">
        <is>
          <t>NOT_TESTED</t>
        </is>
      </c>
      <c r="AA61" s="56" t="inlineStr">
        <is>
          <t>NOT_TESTED</t>
        </is>
      </c>
      <c r="AB61" s="56" t="inlineStr">
        <is>
          <t>NOT_TESTED</t>
        </is>
      </c>
      <c r="AC61" s="55" t="inlineStr">
        <is>
          <t>AttributeError</t>
        </is>
      </c>
      <c r="AD61" s="55" t="inlineStr">
        <is>
          <t>AttributeError: 'PauliSumOp' object has no attribute 'data'</t>
        </is>
      </c>
      <c r="AE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AF61" s="55" t="inlineStr">
        <is>
          <t>AttributeError</t>
        </is>
      </c>
      <c r="AG61" s="55" t="inlineStr">
        <is>
          <t>AttributeError: 'PauliSumOp' object has no attribute 'data'</t>
        </is>
      </c>
      <c r="AH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AI61" s="55" t="inlineStr">
        <is>
          <t>AttributeError</t>
        </is>
      </c>
      <c r="AJ61" s="55" t="inlineStr">
        <is>
          <t>AttributeError: 'PauliSumOp' object has no attribute 'data'</t>
        </is>
      </c>
      <c r="AK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AL61" s="55" t="inlineStr">
        <is>
          <t>AttributeError</t>
        </is>
      </c>
      <c r="AM61" s="55" t="inlineStr">
        <is>
          <t>AttributeError: 'PauliSumOp' object has no attribute 'data'</t>
        </is>
      </c>
      <c r="AN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AO61" s="55" t="inlineStr">
        <is>
          <t>AttributeError</t>
        </is>
      </c>
      <c r="AP61" s="55" t="inlineStr">
        <is>
          <t>AttributeError: 'PauliSumOp' object has no attribute 'data'</t>
        </is>
      </c>
      <c r="AQ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AR61" s="55" t="inlineStr">
        <is>
          <t>AttributeError</t>
        </is>
      </c>
      <c r="AS61" s="55" t="inlineStr">
        <is>
          <t>AttributeError: 'PauliSumOp' object has no attribute 'data'</t>
        </is>
      </c>
      <c r="AT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AU61" s="55" t="inlineStr">
        <is>
          <t>AttributeError</t>
        </is>
      </c>
      <c r="AV61" s="55" t="inlineStr">
        <is>
          <t>AttributeError: 'PauliSumOp' object has no attribute 'data'</t>
        </is>
      </c>
      <c r="AW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AX61" s="55" t="inlineStr">
        <is>
          <t>AttributeError</t>
        </is>
      </c>
      <c r="AY61" s="55" t="inlineStr">
        <is>
          <t>AttributeError: 'PauliSumOp' object has no attribute 'data'</t>
        </is>
      </c>
      <c r="AZ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BA61" s="55" t="inlineStr">
        <is>
          <t>AttributeError</t>
        </is>
      </c>
      <c r="BB61" s="55" t="inlineStr">
        <is>
          <t>AttributeError: 'PauliSumOp' object has no attribute 'data'</t>
        </is>
      </c>
      <c r="BC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BD61" s="55" t="inlineStr">
        <is>
          <t>AttributeError</t>
        </is>
      </c>
      <c r="BE61" s="55" t="inlineStr">
        <is>
          <t>AttributeError: 'PauliSumOp' object has no attribute 'data'</t>
        </is>
      </c>
      <c r="BF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BG61" s="55" t="inlineStr">
        <is>
          <t>AttributeError</t>
        </is>
      </c>
      <c r="BH61" s="55" t="inlineStr">
        <is>
          <t>AttributeError: 'PauliSumOp' object has no attribute 'data'</t>
        </is>
      </c>
      <c r="BI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BJ61" s="55" t="inlineStr">
        <is>
          <t>AttributeError</t>
        </is>
      </c>
      <c r="BK61" s="55" t="inlineStr">
        <is>
          <t>AttributeError: 'PauliSumOp' object has no attribute 'data'</t>
        </is>
      </c>
      <c r="BL61" s="55" t="inlineStr">
        <is>
          <t>The LLM built |+&gt;&lt;+| as the opflow operator (I + X) / 2 and passed it to NumPyEigensolver, which gives the right projector and eigenvalues. The test reads proj.data, which only the reference's quantum_info Operator has, so it raises AttributeError (it also expects a variable named op). A test that accepts either operator type passes the LLM fix and still fails the buggy code.</t>
        </is>
      </c>
      <c r="BM61" s="55" t="n"/>
      <c r="BN61" s="55" t="n"/>
      <c r="BO61" s="55" t="n"/>
      <c r="BP61" s="55" t="n"/>
      <c r="BQ61" s="55" t="n"/>
      <c r="BR61" s="55" t="n"/>
      <c r="BS61" s="55" t="n"/>
      <c r="BT61" s="55" t="n"/>
      <c r="BU61" s="55" t="n"/>
      <c r="BV61" s="55" t="n"/>
      <c r="BW61" s="55" t="n"/>
      <c r="BX61" s="55" t="n"/>
      <c r="BY61" s="55" t="n"/>
      <c r="BZ61" s="55" t="n"/>
      <c r="CA61" s="55" t="n"/>
      <c r="CB61" s="55" t="n"/>
      <c r="CC61" s="55" t="n"/>
      <c r="CD61" s="55" t="n"/>
      <c r="CE61" s="55" t="n"/>
      <c r="CF61" s="55" t="n"/>
      <c r="CG61" s="55" t="n"/>
      <c r="CH61" s="55" t="n"/>
      <c r="CI61" s="55" t="n"/>
      <c r="CJ61" s="55" t="n"/>
      <c r="CK61" s="55" t="n"/>
      <c r="CL61" s="55" t="n"/>
      <c r="CM61" s="55" t="n"/>
      <c r="CN61" s="55" t="n"/>
      <c r="CO61" s="55" t="n"/>
      <c r="CP61" s="55" t="n"/>
      <c r="CQ61" s="55" t="n"/>
      <c r="CR61" s="55" t="n"/>
      <c r="CS61" s="55" t="n"/>
      <c r="CT61" s="55" t="n"/>
      <c r="CU61" s="55" t="n"/>
      <c r="CV61" s="55" t="n"/>
      <c r="CW61" s="55" t="n"/>
      <c r="CX61" s="55" t="n"/>
      <c r="CY61" s="55" t="n"/>
      <c r="CZ61" s="55" t="n"/>
      <c r="DA61" s="55" t="n"/>
      <c r="DB61" s="55" t="n"/>
      <c r="DC61" s="55" t="n"/>
      <c r="DD61" s="55" t="n"/>
      <c r="DE61" s="55" t="n"/>
    </row>
    <row r="62">
      <c r="A62" s="55" t="inlineStr">
        <is>
          <t>issue_950</t>
        </is>
      </c>
      <c r="B62" s="58" t="inlineStr">
        <is>
          <t>Failed on test</t>
        </is>
      </c>
      <c r="C62" s="58" t="inlineStr">
        <is>
          <t>Failed on test</t>
        </is>
      </c>
      <c r="D62" s="58" t="inlineStr">
        <is>
          <t>Failed on test</t>
        </is>
      </c>
      <c r="E62" s="58" t="inlineStr">
        <is>
          <t>Failed on test</t>
        </is>
      </c>
      <c r="F62" s="58" t="inlineStr">
        <is>
          <t>Failed on test</t>
        </is>
      </c>
      <c r="G62" s="58" t="inlineStr">
        <is>
          <t>Failed on test</t>
        </is>
      </c>
      <c r="H62" s="58" t="inlineStr">
        <is>
          <t>Failed on test</t>
        </is>
      </c>
      <c r="I62" s="58" t="inlineStr">
        <is>
          <t>Failed on test</t>
        </is>
      </c>
      <c r="J62" s="58" t="inlineStr">
        <is>
          <t>Failed on test</t>
        </is>
      </c>
      <c r="K62" s="58" t="inlineStr">
        <is>
          <t>Failed on test</t>
        </is>
      </c>
      <c r="L62" s="58" t="inlineStr">
        <is>
          <t>Failed on test</t>
        </is>
      </c>
      <c r="M62" s="58" t="inlineStr">
        <is>
          <t>Failed on test</t>
        </is>
      </c>
      <c r="N62" s="58" t="inlineStr">
        <is>
          <t>Failed on test</t>
        </is>
      </c>
      <c r="O62" s="58" t="inlineStr">
        <is>
          <t>Failed on test</t>
        </is>
      </c>
      <c r="P62" s="58" t="inlineStr">
        <is>
          <t>Failed on test</t>
        </is>
      </c>
      <c r="Q62" s="58" t="inlineStr">
        <is>
          <t>Failed on test</t>
        </is>
      </c>
      <c r="R62" s="58" t="inlineStr">
        <is>
          <t>Failed on test</t>
        </is>
      </c>
      <c r="S62" s="58" t="inlineStr">
        <is>
          <t>Failed on test</t>
        </is>
      </c>
      <c r="T62" s="58" t="inlineStr">
        <is>
          <t>Failed on test</t>
        </is>
      </c>
      <c r="U62" s="58" t="inlineStr">
        <is>
          <t>Failed on test</t>
        </is>
      </c>
      <c r="V62" s="58" t="inlineStr">
        <is>
          <t>Failed on test</t>
        </is>
      </c>
      <c r="W62" s="58" t="inlineStr">
        <is>
          <t>Failed on test</t>
        </is>
      </c>
      <c r="X62" s="58" t="inlineStr">
        <is>
          <t>Failed on test</t>
        </is>
      </c>
      <c r="Y62" s="58" t="inlineStr">
        <is>
          <t>Failed on test</t>
        </is>
      </c>
      <c r="Z62" s="58" t="inlineStr">
        <is>
          <t>Failed on test</t>
        </is>
      </c>
      <c r="AA62" s="58" t="inlineStr">
        <is>
          <t>Failed on test</t>
        </is>
      </c>
      <c r="AB62" s="58" t="inlineStr">
        <is>
          <t>Failed on test</t>
        </is>
      </c>
      <c r="AC62" s="55" t="inlineStr">
        <is>
          <t>AssertionError</t>
        </is>
      </c>
      <c r="AD62" s="55" t="inlineStr">
        <is>
          <t>AssertionError: Not equal to tolerance rtol=1e-07, atol=1e-12 | AssertionError: Not equal to tolerance rtol=1e-07, atol=1e-12 Requested Z on qubits 3..7, not on qubits 2..6 Mismatched elements: 1024 / 1024 (100%) Max absolute difference: 1. Max relat</t>
        </is>
      </c>
      <c r="AE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AF62" s="55" t="inlineStr">
        <is>
          <t>AssertionError</t>
        </is>
      </c>
      <c r="AG62" s="55" t="inlineStr">
        <is>
          <t>AssertionError: Not equal to tolerance rtol=1e-07, atol=1e-12 | AssertionError: Not equal to tolerance rtol=1e-07, atol=1e-12 Requested Z on qubits 3..7, not on qubits 2..6 Mismatched elements: 1024 / 1024 (100%) Max absolute difference: 1. Max relat</t>
        </is>
      </c>
      <c r="AH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AI62" s="55" t="inlineStr">
        <is>
          <t>AssertionError</t>
        </is>
      </c>
      <c r="AJ62" s="55" t="inlineStr">
        <is>
          <t>AssertionError: Not equal to tolerance rtol=1e-07, atol=1e-12 | AssertionError: Not equal to tolerance rtol=1e-07, atol=1e-12 Requested Z on qubits 3..7, not on qubits 2..6 Mismatched elements: 1024 / 1024 (100%) Max absolute difference: 1. Max relat</t>
        </is>
      </c>
      <c r="AK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AL62" s="55" t="inlineStr">
        <is>
          <t>AssertionError</t>
        </is>
      </c>
      <c r="AM62" s="55" t="inlineStr">
        <is>
          <t>AssertionError: Not equal to tolerance rtol=1e-07, atol=1e-12 | AssertionError: Not equal to tolerance rtol=1e-07, atol=1e-12 Requested Z on qubits 3..7, not on qubits 2..6 Mismatched elements: 1024 / 1024 (100%) Max absolute difference: 1. Max relat</t>
        </is>
      </c>
      <c r="AN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AO62" s="55" t="inlineStr">
        <is>
          <t>AssertionError</t>
        </is>
      </c>
      <c r="AP62" s="55" t="inlineStr">
        <is>
          <t>AssertionError: Not equal to tolerance rtol=1e-07, atol=1e-12 | AssertionError: Not equal to tolerance rtol=1e-07, atol=1e-12 Requested Z on qubits 3..7, not on qubits 2..6 Mismatched elements: 1024 / 1024 (100%) Max absolute difference: 1. Max relat</t>
        </is>
      </c>
      <c r="AQ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AR62" s="55" t="inlineStr">
        <is>
          <t>AssertionError</t>
        </is>
      </c>
      <c r="AS62" s="55" t="inlineStr">
        <is>
          <t>AssertionError: Not equal to tolerance rtol=1e-07, atol=1e-12 | AssertionError: Not equal to tolerance rtol=1e-07, atol=1e-12 Requested Z on qubits 3..7, not on qubits 2..6 Mismatched elements: 1024 / 1024 (100%) Max absolute difference: 1. Max relat</t>
        </is>
      </c>
      <c r="AT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AU62" s="55" t="inlineStr">
        <is>
          <t>AssertionError</t>
        </is>
      </c>
      <c r="AV62" s="55" t="inlineStr">
        <is>
          <t>AssertionError: Not equal to tolerance rtol=1e-07, atol=1e-12 | AssertionError: Not equal to tolerance rtol=1e-07, atol=1e-12 Requested Z on qubits 3..7, not on qubits 2..6 Mismatched elements: 1024 / 1024 (100%) Max absolute difference: 1. Max relat</t>
        </is>
      </c>
      <c r="AW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AX62" s="55" t="inlineStr">
        <is>
          <t>AssertionError</t>
        </is>
      </c>
      <c r="AY62" s="55" t="inlineStr">
        <is>
          <t>AssertionError: Not equal to tolerance rtol=1e-07, atol=1e-12 | AssertionError: Not equal to tolerance rtol=1e-07, atol=1e-12 Requested Z on qubits 3..7, not on qubits 2..6 Mismatched elements: 1024 / 1024 (100%) Max absolute difference: 1. Max relat</t>
        </is>
      </c>
      <c r="AZ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BA62" s="55" t="inlineStr">
        <is>
          <t>AssertionError</t>
        </is>
      </c>
      <c r="BB62" s="55" t="inlineStr">
        <is>
          <t>AssertionError: Not equal to tolerance rtol=1e-07, atol=1e-12 | AssertionError: Not equal to tolerance rtol=1e-07, atol=1e-12 Requested Z on qubits 3..7, not on qubits 2..6 Mismatched elements: 1024 / 1024 (100%) Max absolute difference: 1. Max relat</t>
        </is>
      </c>
      <c r="BC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BD62" s="55" t="inlineStr">
        <is>
          <t>AssertionError</t>
        </is>
      </c>
      <c r="BE62" s="55" t="inlineStr">
        <is>
          <t>AssertionError: Not equal to tolerance rtol=1e-07, atol=1e-12 | AssertionError: Not equal to tolerance rtol=1e-07, atol=1e-12 Requested Z on qubits 3..7, not on qubits 2..6 Mismatched elements: 1024 / 1024 (100%) Max absolute difference: 1. Max relat</t>
        </is>
      </c>
      <c r="BF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BG62" s="55" t="inlineStr">
        <is>
          <t>AssertionError</t>
        </is>
      </c>
      <c r="BH62" s="55" t="inlineStr">
        <is>
          <t>AssertionError: Not equal to tolerance rtol=1e-07, atol=1e-12 | AssertionError: Not equal to tolerance rtol=1e-07, atol=1e-12 Requested Z on qubits 3..7, not on qubits 2..6 Mismatched elements: 1024 / 1024 (100%) First 5 mismatches are at indices: [0</t>
        </is>
      </c>
      <c r="BI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BJ62" s="55" t="inlineStr">
        <is>
          <t>AssertionError</t>
        </is>
      </c>
      <c r="BK62" s="55" t="inlineStr">
        <is>
          <t>AssertionError: Not equal to tolerance rtol=1e-07, atol=1e-12 | AssertionError: Not equal to tolerance rtol=1e-07, atol=1e-12 Requested Z on qubits 3..7, not on qubits 2..6 Mismatched elements: 1024 / 1024 (100%) First 5 mismatches are at indices: [0</t>
        </is>
      </c>
      <c r="BL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BM62" s="55" t="inlineStr">
        <is>
          <t>AssertionError</t>
        </is>
      </c>
      <c r="BN62" s="55" t="inlineStr">
        <is>
          <t>AssertionError: Not equal to tolerance rtol=1e-07, atol=1e-12 | AssertionError: Not equal to tolerance rtol=1e-07, atol=1e-12 Requested Z on qubits 3..7, not on qubits 2..6 Mismatched elements: 1024 / 1024 (100%) Max absolute difference: 1. Max relat</t>
        </is>
      </c>
      <c r="BO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BP62" s="55" t="inlineStr">
        <is>
          <t>AssertionError</t>
        </is>
      </c>
      <c r="BQ62" s="55" t="inlineStr">
        <is>
          <t>AssertionError: Not equal to tolerance rtol=1e-07, atol=1e-12 | AssertionError: Not equal to tolerance rtol=1e-07, atol=1e-12 Requested Z on qubits 3..7, not on qubits 2..6 Mismatched elements: 1024 / 1024 (100%) Max absolute difference: 1. Max relat</t>
        </is>
      </c>
      <c r="BR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BS62" s="55" t="inlineStr">
        <is>
          <t>AssertionError</t>
        </is>
      </c>
      <c r="BT62" s="55" t="inlineStr">
        <is>
          <t>AssertionError: Not equal to tolerance rtol=1e-07, atol=1e-12 | AssertionError: Not equal to tolerance rtol=1e-07, atol=1e-12 Requested Z on qubits 3..7, not on qubits 2..6 Mismatched elements: 1024 / 1024 (100%) Max absolute difference: 1. Max relat</t>
        </is>
      </c>
      <c r="BU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BV62" s="55" t="inlineStr">
        <is>
          <t>AssertionError</t>
        </is>
      </c>
      <c r="BW62" s="55" t="inlineStr">
        <is>
          <t>AssertionError: Not equal to tolerance rtol=1e-07, atol=1e-12 | AssertionError: Not equal to tolerance rtol=1e-07, atol=1e-12 Requested Z on qubits 3..7, not on qubits 2..6 Mismatched elements: 1024 / 1024 (100%) First 5 mismatches are at indices: [0</t>
        </is>
      </c>
      <c r="BX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BY62" s="55" t="inlineStr">
        <is>
          <t>AssertionError</t>
        </is>
      </c>
      <c r="BZ62" s="55" t="inlineStr">
        <is>
          <t>AssertionError: Not equal to tolerance rtol=1e-07, atol=1e-12 | AssertionError: Not equal to tolerance rtol=1e-07, atol=1e-12 Requested Z on qubits 3..7, not on qubits 2..6 Mismatched elements: 1024 / 1024 (100%) First 5 mismatches are at indices: [0</t>
        </is>
      </c>
      <c r="CA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CB62" s="55" t="inlineStr">
        <is>
          <t>AssertionError</t>
        </is>
      </c>
      <c r="CC62" s="55" t="inlineStr">
        <is>
          <t>AssertionError: Not equal to tolerance rtol=1e-07, atol=1e-12 | AssertionError: Not equal to tolerance rtol=1e-07, atol=1e-12 Requested Z on qubits 3..7, not on qubits 2..6 Mismatched elements: 1024 / 1024 (100%) First 5 mismatches are at indices: [0</t>
        </is>
      </c>
      <c r="CD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CE62" s="55" t="inlineStr">
        <is>
          <t>AssertionError</t>
        </is>
      </c>
      <c r="CF62" s="55" t="inlineStr">
        <is>
          <t>AssertionError: Not equal to tolerance rtol=1e-07, atol=1e-12 | AssertionError: Not equal to tolerance rtol=1e-07, atol=1e-12 Requested Z on qubits 3..7, not on qubits 2..6 Mismatched elements: 1024 / 1024 (100%) First 5 mismatches are at indices: [0</t>
        </is>
      </c>
      <c r="CG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CH62" s="55" t="inlineStr">
        <is>
          <t>AssertionError</t>
        </is>
      </c>
      <c r="CI62" s="55" t="inlineStr">
        <is>
          <t>AssertionError: Not equal to tolerance rtol=1e-07, atol=1e-12 | AssertionError: Not equal to tolerance rtol=1e-07, atol=1e-12 Requested Z on qubits 3..7, not on qubits 2..6 Mismatched elements: 1024 / 1024 (100%) First 5 mismatches are at indices: [0</t>
        </is>
      </c>
      <c r="CJ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CK62" s="55" t="inlineStr">
        <is>
          <t>AssertionError</t>
        </is>
      </c>
      <c r="CL62" s="55" t="inlineStr">
        <is>
          <t>AssertionError: Not equal to tolerance rtol=1e-07, atol=1e-12 | AssertionError: Not equal to tolerance rtol=1e-07, atol=1e-12 Requested Z on qubits 3..7, not on qubits 2..6 Mismatched elements: 1024 / 1024 (100%) First 5 mismatches are at indices: [0</t>
        </is>
      </c>
      <c r="CM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CN62" s="55" t="inlineStr">
        <is>
          <t>AssertionError</t>
        </is>
      </c>
      <c r="CO62" s="55" t="inlineStr">
        <is>
          <t>AssertionError: Not equal to tolerance rtol=1e-07, atol=1e-12 | AssertionError: Not equal to tolerance rtol=1e-07, atol=1e-12 Requested Z on qubits 3..7, not on qubits 2..6 Mismatched elements: 1024 / 1024 (100%) First 5 mismatches are at indices: [0</t>
        </is>
      </c>
      <c r="CP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CQ62" s="55" t="inlineStr">
        <is>
          <t>AssertionError</t>
        </is>
      </c>
      <c r="CR62" s="55" t="inlineStr">
        <is>
          <t>AssertionError: Not equal to tolerance rtol=1e-07, atol=1e-12 | AssertionError: Not equal to tolerance rtol=1e-07, atol=1e-12 Requested Z on qubits 3..7, not on qubits 2..6 Mismatched elements: 1024 / 1024 (100%) First 5 mismatches are at indices: [0</t>
        </is>
      </c>
      <c r="CS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CT62" s="55" t="inlineStr">
        <is>
          <t>AssertionError</t>
        </is>
      </c>
      <c r="CU62" s="55" t="inlineStr">
        <is>
          <t>AssertionError: Not equal to tolerance rtol=1e-07, atol=1e-12 | AssertionError: Not equal to tolerance rtol=1e-07, atol=1e-12 Requested Z on qubits 3..7, not on qubits 2..6 Mismatched elements: 1024 / 1024 (100%) First 5 mismatches are at indices: [0</t>
        </is>
      </c>
      <c r="CV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CW62" s="55" t="inlineStr">
        <is>
          <t>AssertionError</t>
        </is>
      </c>
      <c r="CX62" s="55" t="inlineStr">
        <is>
          <t>AssertionError: Not equal to tolerance rtol=1e-07, atol=1e-12 | AssertionError: Not equal to tolerance rtol=1e-07, atol=1e-12 Requested Z on qubits 3..7, not on qubits 2..6 Mismatched elements: 1024 / 1024 (100%) First 5 mismatches are at indices: [0</t>
        </is>
      </c>
      <c r="CY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CZ62" s="55" t="inlineStr">
        <is>
          <t>AssertionError</t>
        </is>
      </c>
      <c r="DA62" s="55" t="inlineStr">
        <is>
          <t>AssertionError: Not equal to tolerance rtol=1e-07, atol=1e-12 | AssertionError: Not equal to tolerance rtol=1e-07, atol=1e-12 Requested Z on qubits 3..7, not on qubits 2..6 Mismatched elements: 1024 / 1024 (100%) First 5 mismatches are at indices: [0</t>
        </is>
      </c>
      <c r="DB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c r="DC62" s="55" t="inlineStr">
        <is>
          <t>AssertionError</t>
        </is>
      </c>
      <c r="DD62" s="55" t="inlineStr">
        <is>
          <t>AssertionError: Not equal to tolerance rtol=1e-07, atol=1e-12 | AssertionError: Not equal to tolerance rtol=1e-07, atol=1e-12 Requested Z on qubits 3..7, not on qubits 2..6 Mismatched elements: 1024 / 1024 (100%) First 5 mismatches are at indices: [0</t>
        </is>
      </c>
      <c r="DE62" s="55" t="inlineStr">
        <is>
          <t>The LLM made the identity N qubits wide, which removes the size mismatch, but kept Operator._add(), which adds the two operators instead of placing Z on qubits 3 to 7. The result is I + Z...Z, whose diagonal holds 2 and 0 instead of +1 and -1, so both checks fail. The reference builds the full Pauli label ('I' * (N - j) + 'Z' * (j - i - 1) + 'I' * (i + 1)) and calls Operator.from_label once.</t>
        </is>
      </c>
    </row>
    <row r="63">
      <c r="A63" s="55" t="inlineStr">
        <is>
          <t>issue_958</t>
        </is>
      </c>
      <c r="B63" s="56" t="inlineStr">
        <is>
          <t>NOT_TESTED</t>
        </is>
      </c>
      <c r="C63" s="56" t="inlineStr">
        <is>
          <t>NOT_TESTED</t>
        </is>
      </c>
      <c r="D63" s="56" t="inlineStr">
        <is>
          <t>NOT_TESTED</t>
        </is>
      </c>
      <c r="E63" s="56" t="inlineStr">
        <is>
          <t>NOT_TESTED</t>
        </is>
      </c>
      <c r="F63" s="58" t="inlineStr">
        <is>
          <t>Failed on test</t>
        </is>
      </c>
      <c r="G63" s="58" t="inlineStr">
        <is>
          <t>Failed on test</t>
        </is>
      </c>
      <c r="H63" s="58" t="inlineStr">
        <is>
          <t>Failed on test</t>
        </is>
      </c>
      <c r="I63" s="58" t="inlineStr">
        <is>
          <t>Failed on test</t>
        </is>
      </c>
      <c r="J63" s="58" t="inlineStr">
        <is>
          <t>Failed on test</t>
        </is>
      </c>
      <c r="K63" s="58" t="inlineStr">
        <is>
          <t>Failed on test</t>
        </is>
      </c>
      <c r="L63" s="58" t="inlineStr">
        <is>
          <t>Failed on test</t>
        </is>
      </c>
      <c r="M63" s="58" t="inlineStr">
        <is>
          <t>Failed on test</t>
        </is>
      </c>
      <c r="N63" s="58" t="inlineStr">
        <is>
          <t>Failed on test</t>
        </is>
      </c>
      <c r="O63" s="58" t="inlineStr">
        <is>
          <t>Failed on test</t>
        </is>
      </c>
      <c r="P63" s="58" t="inlineStr">
        <is>
          <t>Failed on test</t>
        </is>
      </c>
      <c r="Q63" s="58" t="inlineStr">
        <is>
          <t>Failed on test</t>
        </is>
      </c>
      <c r="R63" s="58" t="inlineStr">
        <is>
          <t>Failed on test</t>
        </is>
      </c>
      <c r="S63" s="58" t="inlineStr">
        <is>
          <t>Failed on test</t>
        </is>
      </c>
      <c r="T63" s="58" t="inlineStr">
        <is>
          <t>Failed on test</t>
        </is>
      </c>
      <c r="U63" s="58" t="inlineStr">
        <is>
          <t>Failed on test</t>
        </is>
      </c>
      <c r="V63" s="58" t="inlineStr">
        <is>
          <t>Failed on test</t>
        </is>
      </c>
      <c r="W63" s="58" t="inlineStr">
        <is>
          <t>Failed on test</t>
        </is>
      </c>
      <c r="X63" s="58" t="inlineStr">
        <is>
          <t>Failed on test</t>
        </is>
      </c>
      <c r="Y63" s="58" t="inlineStr">
        <is>
          <t>Failed on test</t>
        </is>
      </c>
      <c r="Z63" s="58" t="inlineStr">
        <is>
          <t>Failed on test</t>
        </is>
      </c>
      <c r="AA63" s="58" t="inlineStr">
        <is>
          <t>Failed on test</t>
        </is>
      </c>
      <c r="AB63" s="58" t="inlineStr">
        <is>
          <t>Failed on test</t>
        </is>
      </c>
      <c r="AC63" s="55" t="n"/>
      <c r="AD63" s="55" t="n"/>
      <c r="AE63" s="55" t="n"/>
      <c r="AF63" s="55" t="n"/>
      <c r="AG63" s="55" t="n"/>
      <c r="AH63" s="55" t="n"/>
      <c r="AI63" s="55" t="n"/>
      <c r="AJ63" s="55" t="n"/>
      <c r="AK63" s="55" t="n"/>
      <c r="AL63" s="55" t="n"/>
      <c r="AM63" s="55" t="n"/>
      <c r="AN63" s="55" t="n"/>
      <c r="AO63" s="55" t="inlineStr">
        <is>
          <t>AssertionError</t>
        </is>
      </c>
      <c r="AP63" s="55" t="inlineStr">
        <is>
          <t>AssertionError: Not equal to tolerance rtol=1e-07, atol=1e-12</t>
        </is>
      </c>
      <c r="AQ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AR63" s="55" t="inlineStr">
        <is>
          <t>AssertionError</t>
        </is>
      </c>
      <c r="AS63" s="55" t="inlineStr">
        <is>
          <t>AssertionError: Not equal to tolerance rtol=1e-07, atol=1e-12</t>
        </is>
      </c>
      <c r="AT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AU63" s="55" t="inlineStr">
        <is>
          <t>AssertionError</t>
        </is>
      </c>
      <c r="AV63" s="55" t="inlineStr">
        <is>
          <t>AssertionError: Not equal to tolerance rtol=1e-07, atol=1e-12</t>
        </is>
      </c>
      <c r="AW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AX63" s="55" t="inlineStr">
        <is>
          <t>AssertionError</t>
        </is>
      </c>
      <c r="AY63" s="55" t="inlineStr">
        <is>
          <t>AssertionError: Not equal to tolerance rtol=1e-07, atol=1e-12</t>
        </is>
      </c>
      <c r="AZ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BA63" s="55" t="inlineStr">
        <is>
          <t>AssertionError</t>
        </is>
      </c>
      <c r="BB63" s="55" t="inlineStr">
        <is>
          <t>AssertionError: Not equal to tolerance rtol=1e-07, atol=1e-12</t>
        </is>
      </c>
      <c r="BC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BD63" s="55" t="inlineStr">
        <is>
          <t>AssertionError</t>
        </is>
      </c>
      <c r="BE63" s="55" t="inlineStr">
        <is>
          <t>AssertionError: Not equal to tolerance rtol=1e-07, atol=1e-12</t>
        </is>
      </c>
      <c r="BF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BG63" s="55" t="inlineStr">
        <is>
          <t>AssertionError</t>
        </is>
      </c>
      <c r="BH63" s="55" t="inlineStr">
        <is>
          <t>AssertionError: Not equal to tolerance rtol=1e-07, atol=1e-12</t>
        </is>
      </c>
      <c r="BI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BJ63" s="55" t="inlineStr">
        <is>
          <t>AssertionError</t>
        </is>
      </c>
      <c r="BK63" s="55" t="inlineStr">
        <is>
          <t>AssertionError: Not equal to tolerance rtol=1e-07, atol=1e-12</t>
        </is>
      </c>
      <c r="BL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BM63" s="55" t="inlineStr">
        <is>
          <t>AssertionError</t>
        </is>
      </c>
      <c r="BN63" s="55" t="inlineStr">
        <is>
          <t>AssertionError: Not equal to tolerance rtol=1e-07, atol=1e-12</t>
        </is>
      </c>
      <c r="BO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BP63" s="55" t="inlineStr">
        <is>
          <t>AssertionError</t>
        </is>
      </c>
      <c r="BQ63" s="55" t="inlineStr">
        <is>
          <t>AssertionError: Not equal to tolerance rtol=1e-07, atol=1e-12</t>
        </is>
      </c>
      <c r="BR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BS63" s="55" t="inlineStr">
        <is>
          <t>AssertionError</t>
        </is>
      </c>
      <c r="BT63" s="55" t="inlineStr">
        <is>
          <t>AssertionError: Not equal to tolerance rtol=1e-07, atol=1e-12</t>
        </is>
      </c>
      <c r="BU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BV63" s="55" t="inlineStr">
        <is>
          <t>AssertionError</t>
        </is>
      </c>
      <c r="BW63" s="55" t="inlineStr">
        <is>
          <t>AssertionError: Not equal to tolerance rtol=1e-07, atol=1e-12</t>
        </is>
      </c>
      <c r="BX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BY63" s="55" t="inlineStr">
        <is>
          <t>AssertionError</t>
        </is>
      </c>
      <c r="BZ63" s="55" t="inlineStr">
        <is>
          <t>AssertionError: Not equal to tolerance rtol=1e-07, atol=1e-12</t>
        </is>
      </c>
      <c r="CA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CB63" s="55" t="inlineStr">
        <is>
          <t>AssertionError</t>
        </is>
      </c>
      <c r="CC63" s="55" t="inlineStr">
        <is>
          <t>AssertionError: Not equal to tolerance rtol=1e-07, atol=1e-12</t>
        </is>
      </c>
      <c r="CD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CE63" s="55" t="inlineStr">
        <is>
          <t>AssertionError</t>
        </is>
      </c>
      <c r="CF63" s="55" t="inlineStr">
        <is>
          <t>AssertionError: Not equal to tolerance rtol=1e-07, atol=1e-12</t>
        </is>
      </c>
      <c r="CG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CH63" s="55" t="inlineStr">
        <is>
          <t>AssertionError</t>
        </is>
      </c>
      <c r="CI63" s="55" t="inlineStr">
        <is>
          <t>AssertionError: Not equal to tolerance rtol=1e-07, atol=1e-12</t>
        </is>
      </c>
      <c r="CJ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CK63" s="55" t="inlineStr">
        <is>
          <t>AssertionError</t>
        </is>
      </c>
      <c r="CL63" s="55" t="inlineStr">
        <is>
          <t>AssertionError: Not equal to tolerance rtol=1e-07, atol=1e-12</t>
        </is>
      </c>
      <c r="CM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CN63" s="55" t="inlineStr">
        <is>
          <t>AssertionError</t>
        </is>
      </c>
      <c r="CO63" s="55" t="inlineStr">
        <is>
          <t>AssertionError: Not equal to tolerance rtol=1e-07, atol=1e-12</t>
        </is>
      </c>
      <c r="CP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CQ63" s="55" t="inlineStr">
        <is>
          <t>AssertionError</t>
        </is>
      </c>
      <c r="CR63" s="55" t="inlineStr">
        <is>
          <t>AssertionError: Not equal to tolerance rtol=1e-07, atol=1e-12</t>
        </is>
      </c>
      <c r="CS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CT63" s="55" t="inlineStr">
        <is>
          <t>AssertionError</t>
        </is>
      </c>
      <c r="CU63" s="55" t="inlineStr">
        <is>
          <t>AssertionError: Not equal to tolerance rtol=1e-07, atol=1e-12</t>
        </is>
      </c>
      <c r="CV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CW63" s="55" t="inlineStr">
        <is>
          <t>AssertionError</t>
        </is>
      </c>
      <c r="CX63" s="55" t="inlineStr">
        <is>
          <t>AssertionError: Not equal to tolerance rtol=1e-07, atol=1e-12</t>
        </is>
      </c>
      <c r="CY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CZ63" s="55" t="inlineStr">
        <is>
          <t>AssertionError</t>
        </is>
      </c>
      <c r="DA63" s="55" t="inlineStr">
        <is>
          <t>AssertionError: Not equal to tolerance rtol=1e-07, atol=1e-12</t>
        </is>
      </c>
      <c r="DB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c r="DC63" s="55" t="inlineStr">
        <is>
          <t>AssertionError</t>
        </is>
      </c>
      <c r="DD63" s="55" t="inlineStr">
        <is>
          <t>AssertionError: Not equal to tolerance rtol=1e-07, atol=1e-12</t>
        </is>
      </c>
      <c r="DE63" s="55" t="inlineStr">
        <is>
          <t>The LLM replaced -1 * gate1 with gate1([0, 1]).inverse(), which just applies H to both qubits a second time (and calls inverse() on the returned instruction set). H twice is the identity, so the circuit is I instead of -(H x H) and the -1 phase the question asks for never appears. The test also expects the reference's second circuit qc2 (KeyError), but the LLM fix already fails the check on qc. The reference adds a GlobalPhaseGate(pi).</t>
        </is>
      </c>
    </row>
    <row r="64">
      <c r="A64" s="55" t="inlineStr">
        <is>
          <t>issue_977</t>
        </is>
      </c>
      <c r="B64" s="56" t="inlineStr">
        <is>
          <t>NOT_TESTED</t>
        </is>
      </c>
      <c r="C64" s="56" t="inlineStr">
        <is>
          <t>NOT_TESTED</t>
        </is>
      </c>
      <c r="D64" s="56" t="inlineStr">
        <is>
          <t>NOT_TESTED</t>
        </is>
      </c>
      <c r="E64" s="56" t="inlineStr">
        <is>
          <t>NOT_TESTED</t>
        </is>
      </c>
      <c r="F64" s="59" t="inlineStr">
        <is>
          <t>Passed on test</t>
        </is>
      </c>
      <c r="G64" s="59" t="inlineStr">
        <is>
          <t>Passed on test</t>
        </is>
      </c>
      <c r="H64" s="59" t="inlineStr">
        <is>
          <t>Passed on test</t>
        </is>
      </c>
      <c r="I64" s="59" t="inlineStr">
        <is>
          <t>Passed on test</t>
        </is>
      </c>
      <c r="J64" s="59" t="inlineStr">
        <is>
          <t>Passed on test</t>
        </is>
      </c>
      <c r="K64" s="59" t="inlineStr">
        <is>
          <t>Passed on test</t>
        </is>
      </c>
      <c r="L64" s="59" t="inlineStr">
        <is>
          <t>Passed on test</t>
        </is>
      </c>
      <c r="M64" s="59" t="inlineStr">
        <is>
          <t>Passed on test</t>
        </is>
      </c>
      <c r="N64" s="59" t="inlineStr">
        <is>
          <t>Passed on test</t>
        </is>
      </c>
      <c r="O64" s="59" t="inlineStr">
        <is>
          <t>Passed on test</t>
        </is>
      </c>
      <c r="P64" s="59" t="inlineStr">
        <is>
          <t>Passed on test</t>
        </is>
      </c>
      <c r="Q64" s="59" t="inlineStr">
        <is>
          <t>Passed on test</t>
        </is>
      </c>
      <c r="R64" s="59" t="inlineStr">
        <is>
          <t>Passed on test</t>
        </is>
      </c>
      <c r="S64" s="59" t="inlineStr">
        <is>
          <t>Passed on test</t>
        </is>
      </c>
      <c r="T64" s="59" t="inlineStr">
        <is>
          <t>Passed on test</t>
        </is>
      </c>
      <c r="U64" s="59" t="inlineStr">
        <is>
          <t>Passed on test</t>
        </is>
      </c>
      <c r="V64" s="59" t="inlineStr">
        <is>
          <t>Passed on test</t>
        </is>
      </c>
      <c r="W64" s="59" t="inlineStr">
        <is>
          <t>Passed on test</t>
        </is>
      </c>
      <c r="X64" s="59" t="inlineStr">
        <is>
          <t>Passed on test</t>
        </is>
      </c>
      <c r="Y64" s="59" t="inlineStr">
        <is>
          <t>Passed on test</t>
        </is>
      </c>
      <c r="Z64" s="59" t="inlineStr">
        <is>
          <t>Passed on test</t>
        </is>
      </c>
      <c r="AA64" s="59" t="inlineStr">
        <is>
          <t>Passed on test</t>
        </is>
      </c>
      <c r="AB64" s="59" t="inlineStr">
        <is>
          <t>Passed on test</t>
        </is>
      </c>
      <c r="AC64" s="55" t="n"/>
      <c r="AD64" s="55" t="n"/>
      <c r="AE64" s="55" t="n"/>
      <c r="AF64" s="55" t="n"/>
      <c r="AG64" s="55" t="n"/>
      <c r="AH64" s="55" t="n"/>
      <c r="AI64" s="55" t="n"/>
      <c r="AJ64" s="55" t="n"/>
      <c r="AK64" s="55" t="n"/>
      <c r="AL64" s="55" t="n"/>
      <c r="AM64" s="55" t="n"/>
      <c r="AN64" s="55" t="n"/>
      <c r="AO64" s="55" t="inlineStr">
        <is>
          <t>KeyError</t>
        </is>
      </c>
      <c r="AP64" s="55" t="inlineStr">
        <is>
          <t>KeyError: 'op'</t>
        </is>
      </c>
      <c r="AQ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AR64" s="55" t="inlineStr">
        <is>
          <t>KeyError</t>
        </is>
      </c>
      <c r="AS64" s="55" t="inlineStr">
        <is>
          <t>KeyError: 'op'</t>
        </is>
      </c>
      <c r="AT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AU64" s="55" t="inlineStr">
        <is>
          <t>KeyError</t>
        </is>
      </c>
      <c r="AV64" s="55" t="inlineStr">
        <is>
          <t>KeyError: 'op'</t>
        </is>
      </c>
      <c r="AW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AX64" s="55" t="inlineStr">
        <is>
          <t>KeyError</t>
        </is>
      </c>
      <c r="AY64" s="55" t="inlineStr">
        <is>
          <t>KeyError: 'op'</t>
        </is>
      </c>
      <c r="AZ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BA64" s="55" t="inlineStr">
        <is>
          <t>KeyError</t>
        </is>
      </c>
      <c r="BB64" s="55" t="inlineStr">
        <is>
          <t>KeyError: 'op'</t>
        </is>
      </c>
      <c r="BC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BD64" s="55" t="inlineStr">
        <is>
          <t>KeyError</t>
        </is>
      </c>
      <c r="BE64" s="55" t="inlineStr">
        <is>
          <t>KeyError: 'op'</t>
        </is>
      </c>
      <c r="BF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BG64" s="55" t="inlineStr">
        <is>
          <t>KeyError</t>
        </is>
      </c>
      <c r="BH64" s="55" t="inlineStr">
        <is>
          <t>KeyError: 'op'</t>
        </is>
      </c>
      <c r="BI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BJ64" s="55" t="inlineStr">
        <is>
          <t>KeyError</t>
        </is>
      </c>
      <c r="BK64" s="55" t="inlineStr">
        <is>
          <t>KeyError: 'op'</t>
        </is>
      </c>
      <c r="BL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BM64" s="55" t="inlineStr">
        <is>
          <t>KeyError</t>
        </is>
      </c>
      <c r="BN64" s="55" t="inlineStr">
        <is>
          <t>KeyError: 'op'</t>
        </is>
      </c>
      <c r="BO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BP64" s="55" t="inlineStr">
        <is>
          <t>KeyError</t>
        </is>
      </c>
      <c r="BQ64" s="55" t="inlineStr">
        <is>
          <t>KeyError: 'op'</t>
        </is>
      </c>
      <c r="BR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BS64" s="55" t="inlineStr">
        <is>
          <t>KeyError</t>
        </is>
      </c>
      <c r="BT64" s="55" t="inlineStr">
        <is>
          <t>KeyError: 'op'</t>
        </is>
      </c>
      <c r="BU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BV64" s="55" t="inlineStr">
        <is>
          <t>KeyError</t>
        </is>
      </c>
      <c r="BW64" s="55" t="inlineStr">
        <is>
          <t>KeyError: 'op'</t>
        </is>
      </c>
      <c r="BX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BY64" s="55" t="inlineStr">
        <is>
          <t>KeyError</t>
        </is>
      </c>
      <c r="BZ64" s="55" t="inlineStr">
        <is>
          <t>KeyError: 'op'</t>
        </is>
      </c>
      <c r="CA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CB64" s="55" t="inlineStr">
        <is>
          <t>KeyError</t>
        </is>
      </c>
      <c r="CC64" s="55" t="inlineStr">
        <is>
          <t>KeyError: 'op'</t>
        </is>
      </c>
      <c r="CD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CE64" s="55" t="inlineStr">
        <is>
          <t>KeyError</t>
        </is>
      </c>
      <c r="CF64" s="55" t="inlineStr">
        <is>
          <t>KeyError: 'op'</t>
        </is>
      </c>
      <c r="CG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CH64" s="55" t="inlineStr">
        <is>
          <t>KeyError</t>
        </is>
      </c>
      <c r="CI64" s="55" t="inlineStr">
        <is>
          <t>KeyError: 'op'</t>
        </is>
      </c>
      <c r="CJ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CK64" s="55" t="inlineStr">
        <is>
          <t>KeyError</t>
        </is>
      </c>
      <c r="CL64" s="55" t="inlineStr">
        <is>
          <t>KeyError: 'op'</t>
        </is>
      </c>
      <c r="CM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CN64" s="55" t="inlineStr">
        <is>
          <t>KeyError</t>
        </is>
      </c>
      <c r="CO64" s="55" t="inlineStr">
        <is>
          <t>KeyError: 'op'</t>
        </is>
      </c>
      <c r="CP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CQ64" s="55" t="inlineStr">
        <is>
          <t>KeyError</t>
        </is>
      </c>
      <c r="CR64" s="55" t="inlineStr">
        <is>
          <t>KeyError: 'op'</t>
        </is>
      </c>
      <c r="CS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CT64" s="55" t="inlineStr">
        <is>
          <t>KeyError</t>
        </is>
      </c>
      <c r="CU64" s="55" t="inlineStr">
        <is>
          <t>KeyError: 'op'</t>
        </is>
      </c>
      <c r="CV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CW64" s="55" t="inlineStr">
        <is>
          <t>KeyError</t>
        </is>
      </c>
      <c r="CX64" s="55" t="inlineStr">
        <is>
          <t>KeyError: 'op'</t>
        </is>
      </c>
      <c r="CY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CZ64" s="55" t="inlineStr">
        <is>
          <t>KeyError</t>
        </is>
      </c>
      <c r="DA64" s="55" t="inlineStr">
        <is>
          <t>KeyError: 'op'</t>
        </is>
      </c>
      <c r="DB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c r="DC64" s="55" t="inlineStr">
        <is>
          <t>KeyError</t>
        </is>
      </c>
      <c r="DD64" s="55" t="inlineStr">
        <is>
          <t>KeyError: 'op'</t>
        </is>
      </c>
      <c r="DE64" s="55" t="inlineStr">
        <is>
          <t>The LLM replaced SparsePauliOp(Hamiltonian).to_operator() with SparsePauliOp.from_operator(Hamiltonian), the same call as the reference, and kept the buggy code's variable name H_op. The test reads the reference's variable name op, so it raises KeyError: 'op'. A test that accepts any variable name passes the LLM fix and still fails the buggy code.</t>
        </is>
      </c>
    </row>
    <row r="65">
      <c r="A65" s="55" t="inlineStr">
        <is>
          <t>issue_985</t>
        </is>
      </c>
      <c r="B65" s="56" t="inlineStr">
        <is>
          <t>NOT_TESTED</t>
        </is>
      </c>
      <c r="C65" s="56" t="inlineStr">
        <is>
          <t>NOT_TESTED</t>
        </is>
      </c>
      <c r="D65" s="56" t="inlineStr">
        <is>
          <t>NOT_TESTED</t>
        </is>
      </c>
      <c r="E65" s="56" t="inlineStr">
        <is>
          <t>NOT_TESTED</t>
        </is>
      </c>
      <c r="F65" s="58" t="inlineStr">
        <is>
          <t>Failed on test</t>
        </is>
      </c>
      <c r="G65" s="58" t="inlineStr">
        <is>
          <t>Failed on test</t>
        </is>
      </c>
      <c r="H65" s="58" t="inlineStr">
        <is>
          <t>Failed on test</t>
        </is>
      </c>
      <c r="I65" s="58" t="inlineStr">
        <is>
          <t>Failed on test</t>
        </is>
      </c>
      <c r="J65" s="58" t="inlineStr">
        <is>
          <t>Failed on test</t>
        </is>
      </c>
      <c r="K65" s="58" t="inlineStr">
        <is>
          <t>Failed on test</t>
        </is>
      </c>
      <c r="L65" s="58" t="inlineStr">
        <is>
          <t>Failed on test</t>
        </is>
      </c>
      <c r="M65" s="58" t="inlineStr">
        <is>
          <t>Failed on test</t>
        </is>
      </c>
      <c r="N65" s="58" t="inlineStr">
        <is>
          <t>Failed on test</t>
        </is>
      </c>
      <c r="O65" s="58" t="inlineStr">
        <is>
          <t>Failed on test</t>
        </is>
      </c>
      <c r="P65" s="58" t="inlineStr">
        <is>
          <t>Failed on test</t>
        </is>
      </c>
      <c r="Q65" s="58" t="inlineStr">
        <is>
          <t>Failed on test</t>
        </is>
      </c>
      <c r="R65" s="58" t="inlineStr">
        <is>
          <t>Failed on test</t>
        </is>
      </c>
      <c r="S65" s="58" t="inlineStr">
        <is>
          <t>Failed on test</t>
        </is>
      </c>
      <c r="T65" s="58" t="inlineStr">
        <is>
          <t>Failed on test</t>
        </is>
      </c>
      <c r="U65" s="58" t="inlineStr">
        <is>
          <t>Failed on test</t>
        </is>
      </c>
      <c r="V65" s="58" t="inlineStr">
        <is>
          <t>Failed on test</t>
        </is>
      </c>
      <c r="W65" s="58" t="inlineStr">
        <is>
          <t>Failed on test</t>
        </is>
      </c>
      <c r="X65" s="58" t="inlineStr">
        <is>
          <t>Failed on test</t>
        </is>
      </c>
      <c r="Y65" s="58" t="inlineStr">
        <is>
          <t>Failed on test</t>
        </is>
      </c>
      <c r="Z65" s="58" t="inlineStr">
        <is>
          <t>Failed on test</t>
        </is>
      </c>
      <c r="AA65" s="58" t="inlineStr">
        <is>
          <t>Failed on test</t>
        </is>
      </c>
      <c r="AB65" s="58" t="inlineStr">
        <is>
          <t>Failed on test</t>
        </is>
      </c>
      <c r="AC65" s="55" t="n"/>
      <c r="AD65" s="55" t="n"/>
      <c r="AE65" s="55" t="n"/>
      <c r="AF65" s="55" t="n"/>
      <c r="AG65" s="55" t="n"/>
      <c r="AH65" s="55" t="n"/>
      <c r="AI65" s="55" t="n"/>
      <c r="AJ65" s="55" t="n"/>
      <c r="AK65" s="55" t="n"/>
      <c r="AL65" s="55" t="n"/>
      <c r="AM65" s="55" t="n"/>
      <c r="AN65" s="55" t="n"/>
      <c r="AO65" s="55" t="inlineStr">
        <is>
          <t>AssertionError</t>
        </is>
      </c>
      <c r="AP65" s="55" t="inlineStr">
        <is>
          <t>AssertionError: Not equal to tolerance rtol=1e-07, atol=1e-12</t>
        </is>
      </c>
      <c r="AQ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AR65" s="55" t="inlineStr">
        <is>
          <t>AssertionError</t>
        </is>
      </c>
      <c r="AS65" s="55" t="inlineStr">
        <is>
          <t>AssertionError: Not equal to tolerance rtol=1e-07, atol=1e-12</t>
        </is>
      </c>
      <c r="AT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AU65" s="55" t="inlineStr">
        <is>
          <t>AssertionError</t>
        </is>
      </c>
      <c r="AV65" s="55" t="inlineStr">
        <is>
          <t>AssertionError: Not equal to tolerance rtol=1e-07, atol=1e-12</t>
        </is>
      </c>
      <c r="AW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AX65" s="55" t="inlineStr">
        <is>
          <t>AssertionError</t>
        </is>
      </c>
      <c r="AY65" s="55" t="inlineStr">
        <is>
          <t>AssertionError: Not equal to tolerance rtol=1e-07, atol=1e-12</t>
        </is>
      </c>
      <c r="AZ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BA65" s="55" t="inlineStr">
        <is>
          <t>AssertionError</t>
        </is>
      </c>
      <c r="BB65" s="55" t="inlineStr">
        <is>
          <t>AssertionError: Not equal to tolerance rtol=1e-07, atol=1e-12</t>
        </is>
      </c>
      <c r="BC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BD65" s="55" t="inlineStr">
        <is>
          <t>AssertionError</t>
        </is>
      </c>
      <c r="BE65" s="55" t="inlineStr">
        <is>
          <t>AssertionError: Not equal to tolerance rtol=1e-07, atol=1e-12</t>
        </is>
      </c>
      <c r="BF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BG65" s="55" t="inlineStr">
        <is>
          <t>AssertionError</t>
        </is>
      </c>
      <c r="BH65" s="55" t="inlineStr">
        <is>
          <t>AssertionError: Not equal to tolerance rtol=1e-07, atol=1e-12</t>
        </is>
      </c>
      <c r="BI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BJ65" s="55" t="inlineStr">
        <is>
          <t>AssertionError</t>
        </is>
      </c>
      <c r="BK65" s="55" t="inlineStr">
        <is>
          <t>AssertionError: Not equal to tolerance rtol=1e-07, atol=1e-12</t>
        </is>
      </c>
      <c r="BL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BM65" s="55" t="inlineStr">
        <is>
          <t>AssertionError</t>
        </is>
      </c>
      <c r="BN65" s="55" t="inlineStr">
        <is>
          <t>AssertionError: Not equal to tolerance rtol=1e-07, atol=1e-12</t>
        </is>
      </c>
      <c r="BO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BP65" s="55" t="inlineStr">
        <is>
          <t>AssertionError</t>
        </is>
      </c>
      <c r="BQ65" s="55" t="inlineStr">
        <is>
          <t>AssertionError: Not equal to tolerance rtol=1e-07, atol=1e-12</t>
        </is>
      </c>
      <c r="BR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BS65" s="55" t="inlineStr">
        <is>
          <t>AssertionError</t>
        </is>
      </c>
      <c r="BT65" s="55" t="inlineStr">
        <is>
          <t>AssertionError: Not equal to tolerance rtol=1e-07, atol=1e-12</t>
        </is>
      </c>
      <c r="BU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BV65" s="55" t="inlineStr">
        <is>
          <t>AssertionError</t>
        </is>
      </c>
      <c r="BW65" s="55" t="inlineStr">
        <is>
          <t>AssertionError: Not equal to tolerance rtol=1e-07, atol=1e-12</t>
        </is>
      </c>
      <c r="BX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BY65" s="55" t="inlineStr">
        <is>
          <t>AssertionError</t>
        </is>
      </c>
      <c r="BZ65" s="55" t="inlineStr">
        <is>
          <t>AssertionError: Not equal to tolerance rtol=1e-07, atol=1e-12</t>
        </is>
      </c>
      <c r="CA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CB65" s="55" t="inlineStr">
        <is>
          <t>AssertionError</t>
        </is>
      </c>
      <c r="CC65" s="55" t="inlineStr">
        <is>
          <t>AssertionError: Not equal to tolerance rtol=1e-07, atol=1e-12</t>
        </is>
      </c>
      <c r="CD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CE65" s="55" t="inlineStr">
        <is>
          <t>AssertionError</t>
        </is>
      </c>
      <c r="CF65" s="55" t="inlineStr">
        <is>
          <t>AssertionError: Not equal to tolerance rtol=1e-07, atol=1e-12</t>
        </is>
      </c>
      <c r="CG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CH65" s="55" t="inlineStr">
        <is>
          <t>AssertionError</t>
        </is>
      </c>
      <c r="CI65" s="55" t="inlineStr">
        <is>
          <t>AssertionError: Not equal to tolerance rtol=1e-07, atol=1e-12</t>
        </is>
      </c>
      <c r="CJ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CK65" s="55" t="inlineStr">
        <is>
          <t>AssertionError</t>
        </is>
      </c>
      <c r="CL65" s="55" t="inlineStr">
        <is>
          <t>AssertionError: Not equal to tolerance rtol=1e-07, atol=1e-12</t>
        </is>
      </c>
      <c r="CM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CN65" s="55" t="inlineStr">
        <is>
          <t>AssertionError</t>
        </is>
      </c>
      <c r="CO65" s="55" t="inlineStr">
        <is>
          <t>AssertionError: Not equal to tolerance rtol=1e-07, atol=1e-12</t>
        </is>
      </c>
      <c r="CP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CQ65" s="55" t="inlineStr">
        <is>
          <t>AssertionError</t>
        </is>
      </c>
      <c r="CR65" s="55" t="inlineStr">
        <is>
          <t>AssertionError: Not equal to tolerance rtol=1e-07, atol=1e-12</t>
        </is>
      </c>
      <c r="CS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CT65" s="55" t="inlineStr">
        <is>
          <t>AssertionError</t>
        </is>
      </c>
      <c r="CU65" s="55" t="inlineStr">
        <is>
          <t>AssertionError: Not equal to tolerance rtol=1e-07, atol=1e-12</t>
        </is>
      </c>
      <c r="CV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CW65" s="55" t="inlineStr">
        <is>
          <t>AssertionError</t>
        </is>
      </c>
      <c r="CX65" s="55" t="inlineStr">
        <is>
          <t>AssertionError: Not equal to tolerance rtol=1e-07, atol=1e-12</t>
        </is>
      </c>
      <c r="CY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CZ65" s="55" t="inlineStr">
        <is>
          <t>AssertionError</t>
        </is>
      </c>
      <c r="DA65" s="55" t="inlineStr">
        <is>
          <t>AssertionError: Not equal to tolerance rtol=1e-07, atol=1e-12</t>
        </is>
      </c>
      <c r="DB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c r="DC65" s="55" t="inlineStr">
        <is>
          <t>AssertionError</t>
        </is>
      </c>
      <c r="DD65" s="55" t="inlineStr">
        <is>
          <t>AssertionError: Not equal to tolerance rtol=1e-07, atol=1e-12</t>
        </is>
      </c>
      <c r="DE65" s="55" t="inlineStr">
        <is>
          <t>The LLM replaced u1 with rz and set qc.global_phase = lam / 2, so the transpiled circuit uses only rx/ry/rz gates and equals U1(0.5) exactly, phase included, which is what the question asks for. The current test instead requires the phase to be missing (determinant 1), following the answer's point that rotation gates alone cannot carry it; the reference uses rz without the phase. The team's earlier test (test_before.py) required the exact phase: the LLM fix passes it and the reference fails it.</t>
        </is>
      </c>
    </row>
    <row r="66">
      <c r="A66" s="55" t="inlineStr">
        <is>
          <t>issue_989</t>
        </is>
      </c>
      <c r="B66" s="56" t="inlineStr">
        <is>
          <t>NOT_TESTED</t>
        </is>
      </c>
      <c r="C66" s="56" t="inlineStr">
        <is>
          <t>NOT_TESTED</t>
        </is>
      </c>
      <c r="D66" s="56" t="inlineStr">
        <is>
          <t>NOT_TESTED</t>
        </is>
      </c>
      <c r="E66" s="56" t="inlineStr">
        <is>
          <t>NOT_TESTED</t>
        </is>
      </c>
      <c r="F66" s="56" t="inlineStr">
        <is>
          <t>NOT_TESTED</t>
        </is>
      </c>
      <c r="G66" s="56" t="inlineStr">
        <is>
          <t>NOT_TESTED</t>
        </is>
      </c>
      <c r="H66" s="56" t="inlineStr">
        <is>
          <t>NOT_TESTED</t>
        </is>
      </c>
      <c r="I66" s="56" t="inlineStr">
        <is>
          <t>NOT_TESTED</t>
        </is>
      </c>
      <c r="J66" s="56" t="inlineStr">
        <is>
          <t>NOT_TESTED</t>
        </is>
      </c>
      <c r="K66" s="56" t="inlineStr">
        <is>
          <t>NOT_TESTED</t>
        </is>
      </c>
      <c r="L66" s="56" t="inlineStr">
        <is>
          <t>NOT_TESTED</t>
        </is>
      </c>
      <c r="M66" s="56" t="inlineStr">
        <is>
          <t>NOT_TESTED</t>
        </is>
      </c>
      <c r="N66" s="59" t="inlineStr">
        <is>
          <t>Passed on test</t>
        </is>
      </c>
      <c r="O66" s="59" t="inlineStr">
        <is>
          <t>Passed on test</t>
        </is>
      </c>
      <c r="P66" s="59" t="inlineStr">
        <is>
          <t>Passed on test</t>
        </is>
      </c>
      <c r="Q66" s="59" t="inlineStr">
        <is>
          <t>Passed on test</t>
        </is>
      </c>
      <c r="R66" s="59" t="inlineStr">
        <is>
          <t>Passed on test</t>
        </is>
      </c>
      <c r="S66" s="59" t="inlineStr">
        <is>
          <t>Passed on test</t>
        </is>
      </c>
      <c r="T66" s="59" t="inlineStr">
        <is>
          <t>Passed on test</t>
        </is>
      </c>
      <c r="U66" s="59" t="inlineStr">
        <is>
          <t>Passed on test</t>
        </is>
      </c>
      <c r="V66" s="59" t="inlineStr">
        <is>
          <t>Passed on test</t>
        </is>
      </c>
      <c r="W66" s="59" t="inlineStr">
        <is>
          <t>Passed on test</t>
        </is>
      </c>
      <c r="X66" s="59" t="inlineStr">
        <is>
          <t>Passed on test</t>
        </is>
      </c>
      <c r="Y66" s="59" t="inlineStr">
        <is>
          <t>Passed on test</t>
        </is>
      </c>
      <c r="Z66" s="59" t="inlineStr">
        <is>
          <t>Passed on test</t>
        </is>
      </c>
      <c r="AA66" s="59" t="inlineStr">
        <is>
          <t>Passed on test</t>
        </is>
      </c>
      <c r="AB66" s="59" t="inlineStr">
        <is>
          <t>Passed on test</t>
        </is>
      </c>
      <c r="AC66" s="55" t="n"/>
      <c r="AD66" s="55" t="n"/>
      <c r="AE66" s="55" t="n"/>
      <c r="AF66" s="55" t="n"/>
      <c r="AG66" s="55" t="n"/>
      <c r="AH66" s="55" t="n"/>
      <c r="AI66" s="55" t="n"/>
      <c r="AJ66" s="55" t="n"/>
      <c r="AK66" s="55" t="n"/>
      <c r="AL66" s="55" t="n"/>
      <c r="AM66" s="55" t="n"/>
      <c r="AN66" s="55" t="n"/>
      <c r="AO66" s="55" t="n"/>
      <c r="AP66" s="55" t="n"/>
      <c r="AQ66" s="55" t="n"/>
      <c r="AR66" s="55" t="n"/>
      <c r="AS66" s="55" t="n"/>
      <c r="AT66" s="55" t="n"/>
      <c r="AU66" s="55" t="n"/>
      <c r="AV66" s="55" t="n"/>
      <c r="AW66" s="55" t="n"/>
      <c r="AX66" s="55" t="n"/>
      <c r="AY66" s="55" t="n"/>
      <c r="AZ66" s="55" t="n"/>
      <c r="BA66" s="55" t="n"/>
      <c r="BB66" s="55" t="n"/>
      <c r="BC66" s="55" t="n"/>
      <c r="BD66" s="55" t="n"/>
      <c r="BE66" s="55" t="n"/>
      <c r="BF66" s="55" t="n"/>
      <c r="BG66" s="55" t="n"/>
      <c r="BH66" s="55" t="n"/>
      <c r="BI66" s="55" t="n"/>
      <c r="BJ66" s="55" t="n"/>
      <c r="BK66" s="55" t="n"/>
      <c r="BL66" s="55" t="n"/>
      <c r="BM66" s="55" t="n"/>
      <c r="BN66" s="55" t="n"/>
      <c r="BO66" s="55" t="n"/>
      <c r="BP66" s="55" t="n"/>
      <c r="BQ66" s="55" t="n"/>
      <c r="BR66" s="55" t="n"/>
      <c r="BS66" s="55" t="n"/>
      <c r="BT66" s="55" t="n"/>
      <c r="BU66" s="55" t="n"/>
      <c r="BV66" s="55" t="n"/>
      <c r="BW66" s="55" t="n"/>
      <c r="BX66" s="55" t="n"/>
      <c r="BY66" s="55" t="n"/>
      <c r="BZ66" s="55" t="n"/>
      <c r="CA66" s="55" t="n"/>
      <c r="CB66" s="55" t="n"/>
      <c r="CC66" s="55" t="n"/>
      <c r="CD66" s="55" t="n"/>
      <c r="CE66" s="55" t="n"/>
      <c r="CF66" s="55" t="n"/>
      <c r="CG66" s="55" t="n"/>
      <c r="CH66" s="55" t="n"/>
      <c r="CI66" s="55" t="n"/>
      <c r="CJ66" s="55" t="n"/>
      <c r="CK66" s="55" t="n"/>
      <c r="CL66" s="55" t="n"/>
      <c r="CM66" s="55" t="n"/>
      <c r="CN66" s="55" t="n"/>
      <c r="CO66" s="55" t="n"/>
      <c r="CP66" s="55" t="n"/>
      <c r="CQ66" s="55" t="n"/>
      <c r="CR66" s="55" t="n"/>
      <c r="CS66" s="55" t="n"/>
      <c r="CT66" s="55" t="n"/>
      <c r="CU66" s="55" t="n"/>
      <c r="CV66" s="55" t="n"/>
      <c r="CW66" s="55" t="n"/>
      <c r="CX66" s="55" t="n"/>
      <c r="CY66" s="55" t="n"/>
      <c r="CZ66" s="55" t="n"/>
      <c r="DA66" s="55" t="n"/>
      <c r="DB66" s="55" t="n"/>
      <c r="DC66" s="55" t="n"/>
      <c r="DD66" s="55" t="n"/>
      <c r="DE66" s="55" t="n"/>
    </row>
    <row r="67">
      <c r="A67" s="55" t="inlineStr">
        <is>
          <t>issue_994</t>
        </is>
      </c>
      <c r="B67" s="59" t="inlineStr">
        <is>
          <t>Passed on test</t>
        </is>
      </c>
      <c r="C67" s="59" t="inlineStr">
        <is>
          <t>Passed on test</t>
        </is>
      </c>
      <c r="D67" s="59" t="inlineStr">
        <is>
          <t>Passed on test</t>
        </is>
      </c>
      <c r="E67" s="59" t="inlineStr">
        <is>
          <t>Passed on test</t>
        </is>
      </c>
      <c r="F67" s="56" t="inlineStr">
        <is>
          <t>NOT_TESTED</t>
        </is>
      </c>
      <c r="G67" s="56" t="inlineStr">
        <is>
          <t>NOT_TESTED</t>
        </is>
      </c>
      <c r="H67" s="56" t="inlineStr">
        <is>
          <t>NOT_TESTED</t>
        </is>
      </c>
      <c r="I67" s="56" t="inlineStr">
        <is>
          <t>NOT_TESTED</t>
        </is>
      </c>
      <c r="J67" s="56" t="inlineStr">
        <is>
          <t>NOT_TESTED</t>
        </is>
      </c>
      <c r="K67" s="56" t="inlineStr">
        <is>
          <t>NOT_TESTED</t>
        </is>
      </c>
      <c r="L67" s="56" t="inlineStr">
        <is>
          <t>NOT_TESTED</t>
        </is>
      </c>
      <c r="M67" s="56" t="inlineStr">
        <is>
          <t>NOT_TESTED</t>
        </is>
      </c>
      <c r="N67" s="56" t="inlineStr">
        <is>
          <t>NOT_TESTED</t>
        </is>
      </c>
      <c r="O67" s="56" t="inlineStr">
        <is>
          <t>NOT_TESTED</t>
        </is>
      </c>
      <c r="P67" s="56" t="inlineStr">
        <is>
          <t>NOT_TESTED</t>
        </is>
      </c>
      <c r="Q67" s="56" t="inlineStr">
        <is>
          <t>NOT_TESTED</t>
        </is>
      </c>
      <c r="R67" s="56" t="inlineStr">
        <is>
          <t>NOT_TESTED</t>
        </is>
      </c>
      <c r="S67" s="56" t="inlineStr">
        <is>
          <t>NOT_TESTED</t>
        </is>
      </c>
      <c r="T67" s="56" t="inlineStr">
        <is>
          <t>NOT_TESTED</t>
        </is>
      </c>
      <c r="U67" s="56" t="inlineStr">
        <is>
          <t>NOT_TESTED</t>
        </is>
      </c>
      <c r="V67" s="56" t="inlineStr">
        <is>
          <t>NOT_TESTED</t>
        </is>
      </c>
      <c r="W67" s="56" t="inlineStr">
        <is>
          <t>NOT_TESTED</t>
        </is>
      </c>
      <c r="X67" s="56" t="inlineStr">
        <is>
          <t>NOT_TESTED</t>
        </is>
      </c>
      <c r="Y67" s="56" t="inlineStr">
        <is>
          <t>NOT_TESTED</t>
        </is>
      </c>
      <c r="Z67" s="56" t="inlineStr">
        <is>
          <t>NOT_TESTED</t>
        </is>
      </c>
      <c r="AA67" s="56" t="inlineStr">
        <is>
          <t>NOT_TESTED</t>
        </is>
      </c>
      <c r="AB67" s="56" t="inlineStr">
        <is>
          <t>NOT_TESTED</t>
        </is>
      </c>
      <c r="AC67" s="55" t="inlineStr">
        <is>
          <t>KeyError</t>
        </is>
      </c>
      <c r="AD67" s="55" t="inlineStr">
        <is>
          <t>KeyError: 'statevector'</t>
        </is>
      </c>
      <c r="AE67" s="55" t="inlineStr">
        <is>
          <t>The LLM added qc.save_statevector() so that get_statevector() works on the QasmSimulator, and the script prints the Bell state. The test reads the reference's variable statevector and its snapshot data, so it raises KeyError: 'statevector'. A test that takes the statevector from either the variable or get_statevector() passes the LLM fix and still fails the buggy code.</t>
        </is>
      </c>
      <c r="AF67" s="55" t="inlineStr">
        <is>
          <t>KeyError</t>
        </is>
      </c>
      <c r="AG67" s="55" t="inlineStr">
        <is>
          <t>KeyError: 'statevector'</t>
        </is>
      </c>
      <c r="AH67" s="55" t="inlineStr">
        <is>
          <t>The LLM added qc.save_statevector() so that get_statevector() works on the QasmSimulator, and the script prints the Bell state. The test reads the reference's variable statevector and its snapshot data, so it raises KeyError: 'statevector'. A test that takes the statevector from either the variable or get_statevector() passes the LLM fix and still fails the buggy code.</t>
        </is>
      </c>
      <c r="AI67" s="55" t="inlineStr">
        <is>
          <t>KeyError</t>
        </is>
      </c>
      <c r="AJ67" s="55" t="inlineStr">
        <is>
          <t>KeyError: 'statevector'</t>
        </is>
      </c>
      <c r="AK67" s="55" t="inlineStr">
        <is>
          <t>The LLM added qc.save_statevector() so that get_statevector() works on the QasmSimulator, and the script prints the Bell state. The test reads the reference's variable statevector and its snapshot data, so it raises KeyError: 'statevector'. A test that takes the statevector from either the variable or get_statevector() passes the LLM fix and still fails the buggy code.</t>
        </is>
      </c>
      <c r="AL67" s="55" t="inlineStr">
        <is>
          <t>KeyError</t>
        </is>
      </c>
      <c r="AM67" s="55" t="inlineStr">
        <is>
          <t>KeyError: 'statevector'</t>
        </is>
      </c>
      <c r="AN67" s="55" t="inlineStr">
        <is>
          <t>The LLM added qc.save_statevector() so that get_statevector() works on the QasmSimulator, and the script prints the Bell state. The test reads the reference's variable statevector and its snapshot data, so it raises KeyError: 'statevector'. A test that takes the statevector from either the variable or get_statevector() passes the LLM fix and still fails the buggy code.</t>
        </is>
      </c>
      <c r="AO67" s="55" t="n"/>
      <c r="AP67" s="55" t="n"/>
      <c r="AQ67" s="55" t="n"/>
      <c r="AR67" s="55" t="n"/>
      <c r="AS67" s="55" t="n"/>
      <c r="AT67" s="55" t="n"/>
      <c r="AU67" s="55" t="n"/>
      <c r="AV67" s="55" t="n"/>
      <c r="AW67" s="55" t="n"/>
      <c r="AX67" s="55" t="n"/>
      <c r="AY67" s="55" t="n"/>
      <c r="AZ67" s="55" t="n"/>
      <c r="BA67" s="55" t="n"/>
      <c r="BB67" s="55" t="n"/>
      <c r="BC67" s="55" t="n"/>
      <c r="BD67" s="55" t="n"/>
      <c r="BE67" s="55" t="n"/>
      <c r="BF67" s="55" t="n"/>
      <c r="BG67" s="55" t="n"/>
      <c r="BH67" s="55" t="n"/>
      <c r="BI67" s="55" t="n"/>
      <c r="BJ67" s="55" t="n"/>
      <c r="BK67" s="55" t="n"/>
      <c r="BL67" s="55" t="n"/>
      <c r="BM67" s="55" t="n"/>
      <c r="BN67" s="55" t="n"/>
      <c r="BO67" s="55" t="n"/>
      <c r="BP67" s="55" t="n"/>
      <c r="BQ67" s="55" t="n"/>
      <c r="BR67" s="55" t="n"/>
      <c r="BS67" s="55" t="n"/>
      <c r="BT67" s="55" t="n"/>
      <c r="BU67" s="55" t="n"/>
      <c r="BV67" s="55" t="n"/>
      <c r="BW67" s="55" t="n"/>
      <c r="BX67" s="55" t="n"/>
      <c r="BY67" s="55" t="n"/>
      <c r="BZ67" s="55" t="n"/>
      <c r="CA67" s="55" t="n"/>
      <c r="CB67" s="55" t="n"/>
      <c r="CC67" s="55" t="n"/>
      <c r="CD67" s="55" t="n"/>
      <c r="CE67" s="55" t="n"/>
      <c r="CF67" s="55" t="n"/>
      <c r="CG67" s="55" t="n"/>
      <c r="CH67" s="55" t="n"/>
      <c r="CI67" s="55" t="n"/>
      <c r="CJ67" s="55" t="n"/>
      <c r="CK67" s="55" t="n"/>
      <c r="CL67" s="55" t="n"/>
      <c r="CM67" s="55" t="n"/>
      <c r="CN67" s="55" t="n"/>
      <c r="CO67" s="55" t="n"/>
      <c r="CP67" s="55" t="n"/>
      <c r="CQ67" s="55" t="n"/>
      <c r="CR67" s="55" t="n"/>
      <c r="CS67" s="55" t="n"/>
      <c r="CT67" s="55" t="n"/>
      <c r="CU67" s="55" t="n"/>
      <c r="CV67" s="55" t="n"/>
      <c r="CW67" s="55" t="n"/>
      <c r="CX67" s="55" t="n"/>
      <c r="CY67" s="55" t="n"/>
      <c r="CZ67" s="55" t="n"/>
      <c r="DA67" s="55" t="n"/>
      <c r="DB67" s="55" t="n"/>
      <c r="DC67" s="55" t="n"/>
      <c r="DD67" s="55" t="n"/>
      <c r="DE67" s="55" t="n"/>
    </row>
    <row r="68">
      <c r="A68" s="55" t="inlineStr">
        <is>
          <t>issue_1035</t>
        </is>
      </c>
      <c r="B68" s="56" t="inlineStr">
        <is>
          <t>NOT_TESTED</t>
        </is>
      </c>
      <c r="C68" s="56" t="inlineStr">
        <is>
          <t>NOT_TESTED</t>
        </is>
      </c>
      <c r="D68" s="56" t="inlineStr">
        <is>
          <t>NOT_TESTED</t>
        </is>
      </c>
      <c r="E68" s="56" t="inlineStr">
        <is>
          <t>NOT_TESTED</t>
        </is>
      </c>
      <c r="F68" s="59" t="inlineStr">
        <is>
          <t>Passed on test</t>
        </is>
      </c>
      <c r="G68" s="59" t="inlineStr">
        <is>
          <t>Passed on test</t>
        </is>
      </c>
      <c r="H68" s="59" t="inlineStr">
        <is>
          <t>Passed on test</t>
        </is>
      </c>
      <c r="I68" s="59" t="inlineStr">
        <is>
          <t>Passed on test</t>
        </is>
      </c>
      <c r="J68" s="59" t="inlineStr">
        <is>
          <t>Passed on test</t>
        </is>
      </c>
      <c r="K68" s="59" t="inlineStr">
        <is>
          <t>Passed on test</t>
        </is>
      </c>
      <c r="L68" s="59" t="inlineStr">
        <is>
          <t>Passed on test</t>
        </is>
      </c>
      <c r="M68" s="59" t="inlineStr">
        <is>
          <t>Passed on test</t>
        </is>
      </c>
      <c r="N68" s="56" t="inlineStr">
        <is>
          <t>NOT_TESTED</t>
        </is>
      </c>
      <c r="O68" s="56" t="inlineStr">
        <is>
          <t>NOT_TESTED</t>
        </is>
      </c>
      <c r="P68" s="56" t="inlineStr">
        <is>
          <t>NOT_TESTED</t>
        </is>
      </c>
      <c r="Q68" s="56" t="inlineStr">
        <is>
          <t>NOT_TESTED</t>
        </is>
      </c>
      <c r="R68" s="56" t="inlineStr">
        <is>
          <t>NOT_TESTED</t>
        </is>
      </c>
      <c r="S68" s="56" t="inlineStr">
        <is>
          <t>NOT_TESTED</t>
        </is>
      </c>
      <c r="T68" s="56" t="inlineStr">
        <is>
          <t>NOT_TESTED</t>
        </is>
      </c>
      <c r="U68" s="56" t="inlineStr">
        <is>
          <t>NOT_TESTED</t>
        </is>
      </c>
      <c r="V68" s="56" t="inlineStr">
        <is>
          <t>NOT_TESTED</t>
        </is>
      </c>
      <c r="W68" s="56" t="inlineStr">
        <is>
          <t>NOT_TESTED</t>
        </is>
      </c>
      <c r="X68" s="56" t="inlineStr">
        <is>
          <t>NOT_TESTED</t>
        </is>
      </c>
      <c r="Y68" s="56" t="inlineStr">
        <is>
          <t>NOT_TESTED</t>
        </is>
      </c>
      <c r="Z68" s="56" t="inlineStr">
        <is>
          <t>NOT_TESTED</t>
        </is>
      </c>
      <c r="AA68" s="56" t="inlineStr">
        <is>
          <t>NOT_TESTED</t>
        </is>
      </c>
      <c r="AB68" s="56" t="inlineStr">
        <is>
          <t>NOT_TESTED</t>
        </is>
      </c>
      <c r="AC68" s="55" t="n"/>
      <c r="AD68" s="55" t="n"/>
      <c r="AE68" s="55" t="n"/>
      <c r="AF68" s="55" t="n"/>
      <c r="AG68" s="55" t="n"/>
      <c r="AH68" s="55" t="n"/>
      <c r="AI68" s="55" t="n"/>
      <c r="AJ68" s="55" t="n"/>
      <c r="AK68" s="55" t="n"/>
      <c r="AL68" s="55" t="n"/>
      <c r="AM68" s="55" t="n"/>
      <c r="AN68" s="55" t="n"/>
      <c r="AO68" s="55" t="inlineStr">
        <is>
          <t>KeyError</t>
        </is>
      </c>
      <c r="AP68" s="55" t="inlineStr">
        <is>
          <t>KeyError: 'result'</t>
        </is>
      </c>
      <c r="AQ68" s="55" t="inlineStr">
        <is>
          <t>The LLM replaced the IBM Runtime service and session with Aer's local Estimator and the FakeManila noise model, which runs offline and returns an expectation value near +1. The test reads the reference's variable result, but the LLM prints job.result().values without storing it, so the test raises KeyError: 'result'. A test that also accepts job.result() passes the LLM fix and still fails the buggy code.</t>
        </is>
      </c>
      <c r="AR68" s="55" t="inlineStr">
        <is>
          <t>KeyError</t>
        </is>
      </c>
      <c r="AS68" s="55" t="inlineStr">
        <is>
          <t>KeyError: 'result'</t>
        </is>
      </c>
      <c r="AT68" s="55" t="inlineStr">
        <is>
          <t>The LLM replaced the IBM Runtime service and session with Aer's local Estimator and the FakeManila noise model, which runs offline and returns an expectation value near +1. The test reads the reference's variable result, but the LLM prints job.result().values without storing it, so the test raises KeyError: 'result'. A test that also accepts job.result() passes the LLM fix and still fails the buggy code.</t>
        </is>
      </c>
      <c r="AU68" s="55" t="inlineStr">
        <is>
          <t>KeyError</t>
        </is>
      </c>
      <c r="AV68" s="55" t="inlineStr">
        <is>
          <t>KeyError: 'result'</t>
        </is>
      </c>
      <c r="AW68" s="55" t="inlineStr">
        <is>
          <t>The LLM replaced the IBM Runtime service and session with Aer's local Estimator and the FakeManila noise model, which runs offline and returns an expectation value near +1. The test reads the reference's variable result, but the LLM prints job.result().values without storing it, so the test raises KeyError: 'result'. A test that also accepts job.result() passes the LLM fix and still fails the buggy code.</t>
        </is>
      </c>
      <c r="AX68" s="55" t="inlineStr">
        <is>
          <t>KeyError</t>
        </is>
      </c>
      <c r="AY68" s="55" t="inlineStr">
        <is>
          <t>KeyError: 'result'</t>
        </is>
      </c>
      <c r="AZ68" s="55" t="inlineStr">
        <is>
          <t>The LLM replaced the IBM Runtime service and session with Aer's local Estimator and the FakeManila noise model, which runs offline and returns an expectation value near +1. The test reads the reference's variable result, but the LLM prints job.result().values without storing it, so the test raises KeyError: 'result'. A test that also accepts job.result() passes the LLM fix and still fails the buggy code.</t>
        </is>
      </c>
      <c r="BA68" s="55" t="inlineStr">
        <is>
          <t>KeyError</t>
        </is>
      </c>
      <c r="BB68" s="55" t="inlineStr">
        <is>
          <t>KeyError: 'result'</t>
        </is>
      </c>
      <c r="BC68" s="55" t="inlineStr">
        <is>
          <t>The LLM replaced the IBM Runtime service and session with Aer's local Estimator and the FakeManila noise model, which runs offline and returns an expectation value near +1. The test reads the reference's variable result, but the LLM prints job.result().values without storing it, so the test raises KeyError: 'result'. A test that also accepts job.result() passes the LLM fix and still fails the buggy code.</t>
        </is>
      </c>
      <c r="BD68" s="55" t="inlineStr">
        <is>
          <t>KeyError</t>
        </is>
      </c>
      <c r="BE68" s="55" t="inlineStr">
        <is>
          <t>KeyError: 'result'</t>
        </is>
      </c>
      <c r="BF68" s="55" t="inlineStr">
        <is>
          <t>The LLM replaced the IBM Runtime service and session with Aer's local Estimator and the FakeManila noise model, which runs offline and returns an expectation value near +1. The test reads the reference's variable result, but the LLM prints job.result().values without storing it, so the test raises KeyError: 'result'. A test that also accepts job.result() passes the LLM fix and still fails the buggy code.</t>
        </is>
      </c>
      <c r="BG68" s="55" t="inlineStr">
        <is>
          <t>KeyError</t>
        </is>
      </c>
      <c r="BH68" s="55" t="inlineStr">
        <is>
          <t>KeyError: 'result'</t>
        </is>
      </c>
      <c r="BI68" s="55" t="inlineStr">
        <is>
          <t>The LLM replaced the IBM Runtime service and session with Aer's local Estimator and the FakeManila noise model, which runs offline and returns an expectation value near +1. The test reads the reference's variable result, but the LLM prints job.result().values without storing it, so the test raises KeyError: 'result'. A test that also accepts job.result() passes the LLM fix and still fails the buggy code.</t>
        </is>
      </c>
      <c r="BJ68" s="55" t="inlineStr">
        <is>
          <t>KeyError</t>
        </is>
      </c>
      <c r="BK68" s="55" t="inlineStr">
        <is>
          <t>KeyError: 'result'</t>
        </is>
      </c>
      <c r="BL68" s="55" t="inlineStr">
        <is>
          <t>The LLM replaced the IBM Runtime service and session with Aer's local Estimator and the FakeManila noise model, which runs offline and returns an expectation value near +1. The test reads the reference's variable result, but the LLM prints job.result().values without storing it, so the test raises KeyError: 'result'. A test that also accepts job.result() passes the LLM fix and still fails the buggy code.</t>
        </is>
      </c>
      <c r="BM68" s="55" t="n"/>
      <c r="BN68" s="55" t="n"/>
      <c r="BO68" s="55" t="n"/>
      <c r="BP68" s="55" t="n"/>
      <c r="BQ68" s="55" t="n"/>
      <c r="BR68" s="55" t="n"/>
      <c r="BS68" s="55" t="n"/>
      <c r="BT68" s="55" t="n"/>
      <c r="BU68" s="55" t="n"/>
      <c r="BV68" s="55" t="n"/>
      <c r="BW68" s="55" t="n"/>
      <c r="BX68" s="55" t="n"/>
      <c r="BY68" s="55" t="n"/>
      <c r="BZ68" s="55" t="n"/>
      <c r="CA68" s="55" t="n"/>
      <c r="CB68" s="55" t="n"/>
      <c r="CC68" s="55" t="n"/>
      <c r="CD68" s="55" t="n"/>
      <c r="CE68" s="55" t="n"/>
      <c r="CF68" s="55" t="n"/>
      <c r="CG68" s="55" t="n"/>
      <c r="CH68" s="55" t="n"/>
      <c r="CI68" s="55" t="n"/>
      <c r="CJ68" s="55" t="n"/>
      <c r="CK68" s="55" t="n"/>
      <c r="CL68" s="55" t="n"/>
      <c r="CM68" s="55" t="n"/>
      <c r="CN68" s="55" t="n"/>
      <c r="CO68" s="55" t="n"/>
      <c r="CP68" s="55" t="n"/>
      <c r="CQ68" s="55" t="n"/>
      <c r="CR68" s="55" t="n"/>
      <c r="CS68" s="55" t="n"/>
      <c r="CT68" s="55" t="n"/>
      <c r="CU68" s="55" t="n"/>
      <c r="CV68" s="55" t="n"/>
      <c r="CW68" s="55" t="n"/>
      <c r="CX68" s="55" t="n"/>
      <c r="CY68" s="55" t="n"/>
      <c r="CZ68" s="55" t="n"/>
      <c r="DA68" s="55" t="n"/>
      <c r="DB68" s="55" t="n"/>
      <c r="DC68" s="55" t="n"/>
      <c r="DD68" s="55" t="n"/>
      <c r="DE68" s="55" t="n"/>
    </row>
    <row r="69">
      <c r="A69" s="55" t="inlineStr">
        <is>
          <t>issue_772</t>
        </is>
      </c>
      <c r="B69" s="59" t="inlineStr">
        <is>
          <t>Passed on test</t>
        </is>
      </c>
      <c r="C69" s="59" t="inlineStr">
        <is>
          <t>Passed on test</t>
        </is>
      </c>
      <c r="D69" s="59" t="inlineStr">
        <is>
          <t>Passed on test</t>
        </is>
      </c>
      <c r="E69" s="59" t="inlineStr">
        <is>
          <t>Passed on test</t>
        </is>
      </c>
      <c r="F69" s="59" t="inlineStr">
        <is>
          <t>Passed on test</t>
        </is>
      </c>
      <c r="G69" s="59" t="inlineStr">
        <is>
          <t>Passed on test</t>
        </is>
      </c>
      <c r="H69" s="59" t="inlineStr">
        <is>
          <t>Passed on test</t>
        </is>
      </c>
      <c r="I69" s="59" t="inlineStr">
        <is>
          <t>Passed on test</t>
        </is>
      </c>
      <c r="J69" s="59" t="inlineStr">
        <is>
          <t>Passed on test</t>
        </is>
      </c>
      <c r="K69" s="59" t="inlineStr">
        <is>
          <t>Passed on test</t>
        </is>
      </c>
      <c r="L69" s="59" t="inlineStr">
        <is>
          <t>Passed on test</t>
        </is>
      </c>
      <c r="M69" s="59" t="inlineStr">
        <is>
          <t>Passed on test</t>
        </is>
      </c>
      <c r="N69" s="56" t="inlineStr">
        <is>
          <t>NOT_TESTED</t>
        </is>
      </c>
      <c r="O69" s="56" t="inlineStr">
        <is>
          <t>NOT_TESTED</t>
        </is>
      </c>
      <c r="P69" s="56" t="inlineStr">
        <is>
          <t>NOT_TESTED</t>
        </is>
      </c>
      <c r="Q69" s="56" t="inlineStr">
        <is>
          <t>NOT_TESTED</t>
        </is>
      </c>
      <c r="R69" s="56" t="inlineStr">
        <is>
          <t>NOT_TESTED</t>
        </is>
      </c>
      <c r="S69" s="56" t="inlineStr">
        <is>
          <t>NOT_TESTED</t>
        </is>
      </c>
      <c r="T69" s="56" t="inlineStr">
        <is>
          <t>NOT_TESTED</t>
        </is>
      </c>
      <c r="U69" s="56" t="inlineStr">
        <is>
          <t>NOT_TESTED</t>
        </is>
      </c>
      <c r="V69" s="56" t="inlineStr">
        <is>
          <t>NOT_TESTED</t>
        </is>
      </c>
      <c r="W69" s="56" t="inlineStr">
        <is>
          <t>NOT_TESTED</t>
        </is>
      </c>
      <c r="X69" s="56" t="inlineStr">
        <is>
          <t>NOT_TESTED</t>
        </is>
      </c>
      <c r="Y69" s="56" t="inlineStr">
        <is>
          <t>NOT_TESTED</t>
        </is>
      </c>
      <c r="Z69" s="56" t="inlineStr">
        <is>
          <t>NOT_TESTED</t>
        </is>
      </c>
      <c r="AA69" s="56" t="inlineStr">
        <is>
          <t>NOT_TESTED</t>
        </is>
      </c>
      <c r="AB69" s="56" t="inlineStr">
        <is>
          <t>NOT_TESTED</t>
        </is>
      </c>
      <c r="AC69" s="55" t="n"/>
      <c r="AD69" s="55" t="n"/>
      <c r="AE69" s="55" t="n"/>
      <c r="AF69" s="55" t="n"/>
      <c r="AG69" s="55" t="n"/>
      <c r="AH69" s="55" t="n"/>
      <c r="AI69" s="55" t="n"/>
      <c r="AJ69" s="55" t="n"/>
      <c r="AK69" s="55" t="n"/>
      <c r="AL69" s="55" t="n"/>
      <c r="AM69" s="55" t="n"/>
      <c r="AN69" s="55" t="n"/>
      <c r="AO69" s="55" t="n"/>
      <c r="AP69" s="55" t="n"/>
      <c r="AQ69" s="55" t="n"/>
      <c r="AR69" s="55" t="n"/>
      <c r="AS69" s="55" t="n"/>
      <c r="AT69" s="55" t="n"/>
      <c r="AU69" s="55" t="n"/>
      <c r="AV69" s="55" t="n"/>
      <c r="AW69" s="55" t="n"/>
      <c r="AX69" s="55" t="n"/>
      <c r="AY69" s="55" t="n"/>
      <c r="AZ69" s="55" t="n"/>
      <c r="BA69" s="55" t="n"/>
      <c r="BB69" s="55" t="n"/>
      <c r="BC69" s="55" t="n"/>
      <c r="BD69" s="55" t="n"/>
      <c r="BE69" s="55" t="n"/>
      <c r="BF69" s="55" t="n"/>
      <c r="BG69" s="55" t="n"/>
      <c r="BH69" s="55" t="n"/>
      <c r="BI69" s="55" t="n"/>
      <c r="BJ69" s="55" t="n"/>
      <c r="BK69" s="55" t="n"/>
      <c r="BL69" s="55" t="n"/>
      <c r="BM69" s="55" t="n"/>
      <c r="BN69" s="55" t="n"/>
      <c r="BO69" s="55" t="n"/>
      <c r="BP69" s="55" t="n"/>
      <c r="BQ69" s="55" t="n"/>
      <c r="BR69" s="55" t="n"/>
      <c r="BS69" s="55" t="n"/>
      <c r="BT69" s="55" t="n"/>
      <c r="BU69" s="55" t="n"/>
      <c r="BV69" s="55" t="n"/>
      <c r="BW69" s="55" t="n"/>
      <c r="BX69" s="55" t="n"/>
      <c r="BY69" s="55" t="n"/>
      <c r="BZ69" s="55" t="n"/>
      <c r="CA69" s="55" t="n"/>
      <c r="CB69" s="55" t="n"/>
      <c r="CC69" s="55" t="n"/>
      <c r="CD69" s="55" t="n"/>
      <c r="CE69" s="55" t="n"/>
      <c r="CF69" s="55" t="n"/>
      <c r="CG69" s="55" t="n"/>
      <c r="CH69" s="55" t="n"/>
      <c r="CI69" s="55" t="n"/>
      <c r="CJ69" s="55" t="n"/>
      <c r="CK69" s="55" t="n"/>
      <c r="CL69" s="55" t="n"/>
      <c r="CM69" s="55" t="n"/>
      <c r="CN69" s="55" t="n"/>
      <c r="CO69" s="55" t="n"/>
      <c r="CP69" s="55" t="n"/>
      <c r="CQ69" s="55" t="n"/>
      <c r="CR69" s="55" t="n"/>
      <c r="CS69" s="55" t="n"/>
      <c r="CT69" s="55" t="n"/>
      <c r="CU69" s="55" t="n"/>
      <c r="CV69" s="55" t="n"/>
      <c r="CW69" s="55" t="n"/>
      <c r="CX69" s="55" t="n"/>
      <c r="CY69" s="55" t="n"/>
      <c r="CZ69" s="55" t="n"/>
      <c r="DA69" s="55" t="n"/>
      <c r="DB69" s="55" t="n"/>
      <c r="DC69" s="55" t="n"/>
      <c r="DD69" s="55" t="n"/>
      <c r="DE69" s="55" t="n"/>
    </row>
    <row r="70">
      <c r="A70" s="55" t="inlineStr">
        <is>
          <t>issue_790</t>
        </is>
      </c>
      <c r="B70" s="56" t="inlineStr">
        <is>
          <t>NOT_TESTED</t>
        </is>
      </c>
      <c r="C70" s="56" t="inlineStr">
        <is>
          <t>NOT_TESTED</t>
        </is>
      </c>
      <c r="D70" s="56" t="inlineStr">
        <is>
          <t>NOT_TESTED</t>
        </is>
      </c>
      <c r="E70" s="56" t="inlineStr">
        <is>
          <t>NOT_TESTED</t>
        </is>
      </c>
      <c r="F70" s="57" t="inlineStr">
        <is>
          <t>Runtime error</t>
        </is>
      </c>
      <c r="G70" s="57" t="inlineStr">
        <is>
          <t>Runtime error</t>
        </is>
      </c>
      <c r="H70" s="57" t="inlineStr">
        <is>
          <t>Runtime error</t>
        </is>
      </c>
      <c r="I70" s="57" t="inlineStr">
        <is>
          <t>Runtime error</t>
        </is>
      </c>
      <c r="J70" s="57" t="inlineStr">
        <is>
          <t>Runtime error</t>
        </is>
      </c>
      <c r="K70" s="57" t="inlineStr">
        <is>
          <t>Runtime error</t>
        </is>
      </c>
      <c r="L70" s="57" t="inlineStr">
        <is>
          <t>Runtime error</t>
        </is>
      </c>
      <c r="M70" s="57" t="inlineStr">
        <is>
          <t>Runtime error</t>
        </is>
      </c>
      <c r="N70" s="57" t="inlineStr">
        <is>
          <t>Runtime error</t>
        </is>
      </c>
      <c r="O70" s="57" t="inlineStr">
        <is>
          <t>Runtime error</t>
        </is>
      </c>
      <c r="P70" s="57" t="inlineStr">
        <is>
          <t>Runtime error</t>
        </is>
      </c>
      <c r="Q70" s="57" t="inlineStr">
        <is>
          <t>Runtime error</t>
        </is>
      </c>
      <c r="R70" s="57" t="inlineStr">
        <is>
          <t>Runtime error</t>
        </is>
      </c>
      <c r="S70" s="57" t="inlineStr">
        <is>
          <t>Runtime error</t>
        </is>
      </c>
      <c r="T70" s="57" t="inlineStr">
        <is>
          <t>Runtime error</t>
        </is>
      </c>
      <c r="U70" s="57" t="inlineStr">
        <is>
          <t>Runtime error</t>
        </is>
      </c>
      <c r="V70" s="57" t="inlineStr">
        <is>
          <t>Runtime error</t>
        </is>
      </c>
      <c r="W70" s="57" t="inlineStr">
        <is>
          <t>Runtime error</t>
        </is>
      </c>
      <c r="X70" s="57" t="inlineStr">
        <is>
          <t>Runtime error</t>
        </is>
      </c>
      <c r="Y70" s="57" t="inlineStr">
        <is>
          <t>Runtime error</t>
        </is>
      </c>
      <c r="Z70" s="57" t="inlineStr">
        <is>
          <t>Runtime error</t>
        </is>
      </c>
      <c r="AA70" s="57" t="inlineStr">
        <is>
          <t>Runtime error</t>
        </is>
      </c>
      <c r="AB70" s="57" t="inlineStr">
        <is>
          <t>Runtime error</t>
        </is>
      </c>
      <c r="AC70" s="55" t="n"/>
      <c r="AD70" s="55" t="n"/>
      <c r="AE70" s="55" t="n"/>
      <c r="AF70" s="55" t="n"/>
      <c r="AG70" s="55" t="n"/>
      <c r="AH70" s="55" t="n"/>
      <c r="AI70" s="55" t="n"/>
      <c r="AJ70" s="55" t="n"/>
      <c r="AK70" s="55" t="n"/>
      <c r="AL70" s="55" t="n"/>
      <c r="AM70" s="55" t="n"/>
      <c r="AN70" s="55" t="n"/>
      <c r="AO70" s="55" t="inlineStr">
        <is>
          <t>TypeError</t>
        </is>
      </c>
      <c r="AP70" s="55" t="inlineStr">
        <is>
          <t>TypeError: unsupported operand type(s) for -: 'Pauli' and 'Pauli'</t>
        </is>
      </c>
      <c r="AQ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AR70" s="55" t="inlineStr">
        <is>
          <t>TypeError</t>
        </is>
      </c>
      <c r="AS70" s="55" t="inlineStr">
        <is>
          <t>TypeError: unsupported operand type(s) for -: 'Pauli' and 'Pauli'</t>
        </is>
      </c>
      <c r="AT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AU70" s="55" t="inlineStr">
        <is>
          <t>TypeError</t>
        </is>
      </c>
      <c r="AV70" s="55" t="inlineStr">
        <is>
          <t>TypeError: unsupported operand type(s) for -: 'Pauli' and 'Pauli'</t>
        </is>
      </c>
      <c r="AW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AX70" s="55" t="inlineStr">
        <is>
          <t>TypeError</t>
        </is>
      </c>
      <c r="AY70" s="55" t="inlineStr">
        <is>
          <t>TypeError: unsupported operand type(s) for -: 'Pauli' and 'Pauli'</t>
        </is>
      </c>
      <c r="AZ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BA70" s="55" t="inlineStr">
        <is>
          <t>TypeError</t>
        </is>
      </c>
      <c r="BB70" s="55" t="inlineStr">
        <is>
          <t>TypeError: unsupported operand type(s) for -: 'Pauli' and 'Pauli'</t>
        </is>
      </c>
      <c r="BC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BD70" s="55" t="inlineStr">
        <is>
          <t>TypeError</t>
        </is>
      </c>
      <c r="BE70" s="55" t="inlineStr">
        <is>
          <t>TypeError: unsupported operand type(s) for -: 'Pauli' and 'Pauli'</t>
        </is>
      </c>
      <c r="BF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BG70" s="55" t="inlineStr">
        <is>
          <t>TypeError</t>
        </is>
      </c>
      <c r="BH70" s="55" t="inlineStr">
        <is>
          <t>TypeError: unsupported operand type(s) for -: 'Pauli' and 'Pauli'</t>
        </is>
      </c>
      <c r="BI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BJ70" s="55" t="inlineStr">
        <is>
          <t>TypeError</t>
        </is>
      </c>
      <c r="BK70" s="55" t="inlineStr">
        <is>
          <t>TypeError: unsupported operand type(s) for -: 'Pauli' and 'Pauli'</t>
        </is>
      </c>
      <c r="BL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BM70" s="55" t="inlineStr">
        <is>
          <t>TypeError</t>
        </is>
      </c>
      <c r="BN70" s="55" t="inlineStr">
        <is>
          <t>TypeError: unsupported operand type(s) for -: 'Pauli' and 'Pauli'</t>
        </is>
      </c>
      <c r="BO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BP70" s="55" t="inlineStr">
        <is>
          <t>TypeError</t>
        </is>
      </c>
      <c r="BQ70" s="55" t="inlineStr">
        <is>
          <t>TypeError: unsupported operand type(s) for -: 'Pauli' and 'Pauli'</t>
        </is>
      </c>
      <c r="BR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BS70" s="55" t="inlineStr">
        <is>
          <t>TypeError</t>
        </is>
      </c>
      <c r="BT70" s="55" t="inlineStr">
        <is>
          <t>TypeError: unsupported operand type(s) for -: 'Pauli' and 'Pauli'</t>
        </is>
      </c>
      <c r="BU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BV70" s="55" t="inlineStr">
        <is>
          <t>TypeError</t>
        </is>
      </c>
      <c r="BW70" s="55" t="inlineStr">
        <is>
          <t>TypeError: unsupported operand type(s) for -: 'Pauli' and 'Pauli'</t>
        </is>
      </c>
      <c r="BX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BY70" s="55" t="inlineStr">
        <is>
          <t>TypeError</t>
        </is>
      </c>
      <c r="BZ70" s="55" t="inlineStr">
        <is>
          <t>TypeError: unsupported operand type(s) for -: 'Pauli' and 'Pauli'</t>
        </is>
      </c>
      <c r="CA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CB70" s="55" t="inlineStr">
        <is>
          <t>TypeError</t>
        </is>
      </c>
      <c r="CC70" s="55" t="inlineStr">
        <is>
          <t>TypeError: unsupported operand type(s) for -: 'Pauli' and 'Pauli'</t>
        </is>
      </c>
      <c r="CD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CE70" s="55" t="inlineStr">
        <is>
          <t>TypeError</t>
        </is>
      </c>
      <c r="CF70" s="55" t="inlineStr">
        <is>
          <t>TypeError: unsupported operand type(s) for -: 'Pauli' and 'Pauli'</t>
        </is>
      </c>
      <c r="CG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CH70" s="55" t="inlineStr">
        <is>
          <t>TypeError</t>
        </is>
      </c>
      <c r="CI70" s="55" t="inlineStr">
        <is>
          <t>TypeError: unsupported operand type(s) for -: 'Pauli' and 'Pauli'</t>
        </is>
      </c>
      <c r="CJ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CK70" s="55" t="inlineStr">
        <is>
          <t>TypeError</t>
        </is>
      </c>
      <c r="CL70" s="55" t="inlineStr">
        <is>
          <t>TypeError: unsupported operand type(s) for -: 'Pauli' and 'Pauli'</t>
        </is>
      </c>
      <c r="CM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CN70" s="55" t="inlineStr">
        <is>
          <t>TypeError</t>
        </is>
      </c>
      <c r="CO70" s="55" t="inlineStr">
        <is>
          <t>TypeError: unsupported operand type(s) for -: 'Pauli' and 'Pauli'</t>
        </is>
      </c>
      <c r="CP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CQ70" s="55" t="inlineStr">
        <is>
          <t>TypeError</t>
        </is>
      </c>
      <c r="CR70" s="55" t="inlineStr">
        <is>
          <t>TypeError: unsupported operand type(s) for -: 'Pauli' and 'Pauli'</t>
        </is>
      </c>
      <c r="CS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CT70" s="55" t="inlineStr">
        <is>
          <t>TypeError</t>
        </is>
      </c>
      <c r="CU70" s="55" t="inlineStr">
        <is>
          <t>TypeError: unsupported operand type(s) for -: 'Pauli' and 'Pauli'</t>
        </is>
      </c>
      <c r="CV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CW70" s="55" t="inlineStr">
        <is>
          <t>TypeError</t>
        </is>
      </c>
      <c r="CX70" s="55" t="inlineStr">
        <is>
          <t>TypeError: unsupported operand type(s) for -: 'Pauli' and 'Pauli'</t>
        </is>
      </c>
      <c r="CY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CZ70" s="55" t="inlineStr">
        <is>
          <t>TypeError</t>
        </is>
      </c>
      <c r="DA70" s="55" t="inlineStr">
        <is>
          <t>TypeError: unsupported operand type(s) for -: 'Pauli' and 'Pauli'</t>
        </is>
      </c>
      <c r="DB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c r="DC70" s="55" t="inlineStr">
        <is>
          <t>TypeError</t>
        </is>
      </c>
      <c r="DD70" s="55" t="inlineStr">
        <is>
          <t>TypeError: unsupported operand type(s) for -: 'Pauli' and 'Pauli'</t>
        </is>
      </c>
      <c r="DE70" s="55" t="inlineStr">
        <is>
          <t>The LLM moved SuzukiTrotter.synthesize() onto each PauliEvolutionGate, which fixes the error the buggy code's comment points to, but kept the Hamiltonian line (U * Z ^ Z) - (J * X ^ X) - (J * Y ^ Y). Subtracting two Pauli objects is not allowed, so the script crashes on that line with TypeError, exactly like the buggy code. The reference (updated by the team on 6 Oct 2026) builds the same Hamiltonian with SparsePauliOp.from_list and synthesizes one PauliEvolutionGate.</t>
        </is>
      </c>
    </row>
    <row r="71">
      <c r="A71" s="55" t="inlineStr">
        <is>
          <t>issue_827</t>
        </is>
      </c>
      <c r="B71" s="57" t="inlineStr">
        <is>
          <t>Runtime error</t>
        </is>
      </c>
      <c r="C71" s="57" t="inlineStr">
        <is>
          <t>Runtime error</t>
        </is>
      </c>
      <c r="D71" s="57" t="inlineStr">
        <is>
          <t>Runtime error</t>
        </is>
      </c>
      <c r="E71" s="57" t="inlineStr">
        <is>
          <t>Runtime error</t>
        </is>
      </c>
      <c r="F71" s="57" t="inlineStr">
        <is>
          <t>Runtime error</t>
        </is>
      </c>
      <c r="G71" s="57" t="inlineStr">
        <is>
          <t>Runtime error</t>
        </is>
      </c>
      <c r="H71" s="57" t="inlineStr">
        <is>
          <t>Runtime error</t>
        </is>
      </c>
      <c r="I71" s="57" t="inlineStr">
        <is>
          <t>Runtime error</t>
        </is>
      </c>
      <c r="J71" s="57" t="inlineStr">
        <is>
          <t>Runtime error</t>
        </is>
      </c>
      <c r="K71" s="57" t="inlineStr">
        <is>
          <t>Runtime error</t>
        </is>
      </c>
      <c r="L71" s="57" t="inlineStr">
        <is>
          <t>Runtime error</t>
        </is>
      </c>
      <c r="M71" s="57" t="inlineStr">
        <is>
          <t>Runtime error</t>
        </is>
      </c>
      <c r="N71" s="56" t="inlineStr">
        <is>
          <t>NOT_TESTED</t>
        </is>
      </c>
      <c r="O71" s="56" t="inlineStr">
        <is>
          <t>NOT_TESTED</t>
        </is>
      </c>
      <c r="P71" s="56" t="inlineStr">
        <is>
          <t>NOT_TESTED</t>
        </is>
      </c>
      <c r="Q71" s="56" t="inlineStr">
        <is>
          <t>NOT_TESTED</t>
        </is>
      </c>
      <c r="R71" s="56" t="inlineStr">
        <is>
          <t>NOT_TESTED</t>
        </is>
      </c>
      <c r="S71" s="56" t="inlineStr">
        <is>
          <t>NOT_TESTED</t>
        </is>
      </c>
      <c r="T71" s="56" t="inlineStr">
        <is>
          <t>NOT_TESTED</t>
        </is>
      </c>
      <c r="U71" s="56" t="inlineStr">
        <is>
          <t>NOT_TESTED</t>
        </is>
      </c>
      <c r="V71" s="56" t="inlineStr">
        <is>
          <t>NOT_TESTED</t>
        </is>
      </c>
      <c r="W71" s="56" t="inlineStr">
        <is>
          <t>NOT_TESTED</t>
        </is>
      </c>
      <c r="X71" s="56" t="inlineStr">
        <is>
          <t>NOT_TESTED</t>
        </is>
      </c>
      <c r="Y71" s="56" t="inlineStr">
        <is>
          <t>NOT_TESTED</t>
        </is>
      </c>
      <c r="Z71" s="56" t="inlineStr">
        <is>
          <t>NOT_TESTED</t>
        </is>
      </c>
      <c r="AA71" s="56" t="inlineStr">
        <is>
          <t>NOT_TESTED</t>
        </is>
      </c>
      <c r="AB71" s="56" t="inlineStr">
        <is>
          <t>NOT_TESTED</t>
        </is>
      </c>
      <c r="AC71" s="55" t="inlineStr">
        <is>
          <t>ModuleNotFoundError</t>
        </is>
      </c>
      <c r="AD71" s="55" t="inlineStr">
        <is>
          <t>ModuleNotFoundError: No module named 'qiskit.backends'</t>
        </is>
      </c>
      <c r="AE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AF71" s="55" t="inlineStr">
        <is>
          <t>ModuleNotFoundError</t>
        </is>
      </c>
      <c r="AG71" s="55" t="inlineStr">
        <is>
          <t>ModuleNotFoundError: No module named 'qiskit.backends'</t>
        </is>
      </c>
      <c r="AH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AI71" s="55" t="inlineStr">
        <is>
          <t>ModuleNotFoundError</t>
        </is>
      </c>
      <c r="AJ71" s="55" t="inlineStr">
        <is>
          <t>ModuleNotFoundError: No module named 'qiskit.backends'</t>
        </is>
      </c>
      <c r="AK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AL71" s="55" t="inlineStr">
        <is>
          <t>ModuleNotFoundError</t>
        </is>
      </c>
      <c r="AM71" s="55" t="inlineStr">
        <is>
          <t>ModuleNotFoundError: No module named 'qiskit.backends'</t>
        </is>
      </c>
      <c r="AN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AO71" s="55" t="inlineStr">
        <is>
          <t>ModuleNotFoundError</t>
        </is>
      </c>
      <c r="AP71" s="55" t="inlineStr">
        <is>
          <t>ModuleNotFoundError: No module named 'qiskit.backends'</t>
        </is>
      </c>
      <c r="AQ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AR71" s="55" t="inlineStr">
        <is>
          <t>ModuleNotFoundError</t>
        </is>
      </c>
      <c r="AS71" s="55" t="inlineStr">
        <is>
          <t>ModuleNotFoundError: No module named 'qiskit.backends'</t>
        </is>
      </c>
      <c r="AT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AU71" s="55" t="inlineStr">
        <is>
          <t>ModuleNotFoundError</t>
        </is>
      </c>
      <c r="AV71" s="55" t="inlineStr">
        <is>
          <t>ModuleNotFoundError: No module named 'qiskit.backends'</t>
        </is>
      </c>
      <c r="AW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AX71" s="55" t="inlineStr">
        <is>
          <t>ModuleNotFoundError</t>
        </is>
      </c>
      <c r="AY71" s="55" t="inlineStr">
        <is>
          <t>ModuleNotFoundError: No module named 'qiskit.backends'</t>
        </is>
      </c>
      <c r="AZ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BA71" s="55" t="inlineStr">
        <is>
          <t>ModuleNotFoundError</t>
        </is>
      </c>
      <c r="BB71" s="55" t="inlineStr">
        <is>
          <t>ModuleNotFoundError: No module named 'qiskit.backends'</t>
        </is>
      </c>
      <c r="BC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BD71" s="55" t="inlineStr">
        <is>
          <t>ModuleNotFoundError</t>
        </is>
      </c>
      <c r="BE71" s="55" t="inlineStr">
        <is>
          <t>ModuleNotFoundError: No module named 'qiskit.backends'</t>
        </is>
      </c>
      <c r="BF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BG71" s="55" t="inlineStr">
        <is>
          <t>ModuleNotFoundError</t>
        </is>
      </c>
      <c r="BH71" s="55" t="inlineStr">
        <is>
          <t>ModuleNotFoundError: No module named 'qiskit.backends'</t>
        </is>
      </c>
      <c r="BI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BJ71" s="55" t="inlineStr">
        <is>
          <t>ModuleNotFoundError</t>
        </is>
      </c>
      <c r="BK71" s="55" t="inlineStr">
        <is>
          <t>ModuleNotFoundError: No module named 'qiskit.backends'</t>
        </is>
      </c>
      <c r="BL71" s="55" t="inlineStr">
        <is>
          <t>The LLM replaced the removed compile() with transpile() + assemble(), which is the reference's fix, but kept from qiskit.backends.jobstatus import JOB_FINAL_STATES. qiskit.backends no longer exists, so the script stops at import (ModuleNotFoundError). With only that import changed to qiskit.providers.jobstatus the fix passes (checked on 0.25.0, 0.45.0 and 0.46.3). The reference transpiles and assembles all five circuits and runs them as one job.</t>
        </is>
      </c>
      <c r="BM71" s="55" t="n"/>
      <c r="BN71" s="55" t="n"/>
      <c r="BO71" s="55" t="n"/>
      <c r="BP71" s="55" t="n"/>
      <c r="BQ71" s="55" t="n"/>
      <c r="BR71" s="55" t="n"/>
      <c r="BS71" s="55" t="n"/>
      <c r="BT71" s="55" t="n"/>
      <c r="BU71" s="55" t="n"/>
      <c r="BV71" s="55" t="n"/>
      <c r="BW71" s="55" t="n"/>
      <c r="BX71" s="55" t="n"/>
      <c r="BY71" s="55" t="n"/>
      <c r="BZ71" s="55" t="n"/>
      <c r="CA71" s="55" t="n"/>
      <c r="CB71" s="55" t="n"/>
      <c r="CC71" s="55" t="n"/>
      <c r="CD71" s="55" t="n"/>
      <c r="CE71" s="55" t="n"/>
      <c r="CF71" s="55" t="n"/>
      <c r="CG71" s="55" t="n"/>
      <c r="CH71" s="55" t="n"/>
      <c r="CI71" s="55" t="n"/>
      <c r="CJ71" s="55" t="n"/>
      <c r="CK71" s="55" t="n"/>
      <c r="CL71" s="55" t="n"/>
      <c r="CM71" s="55" t="n"/>
      <c r="CN71" s="55" t="n"/>
      <c r="CO71" s="55" t="n"/>
      <c r="CP71" s="55" t="n"/>
      <c r="CQ71" s="55" t="n"/>
      <c r="CR71" s="55" t="n"/>
      <c r="CS71" s="55" t="n"/>
      <c r="CT71" s="55" t="n"/>
      <c r="CU71" s="55" t="n"/>
      <c r="CV71" s="55" t="n"/>
      <c r="CW71" s="55" t="n"/>
      <c r="CX71" s="55" t="n"/>
      <c r="CY71" s="55" t="n"/>
      <c r="CZ71" s="55" t="n"/>
      <c r="DA71" s="55" t="n"/>
      <c r="DB71" s="55" t="n"/>
      <c r="DC71" s="55" t="n"/>
      <c r="DD71" s="55" t="n"/>
      <c r="DE71" s="55" t="n"/>
    </row>
    <row r="72">
      <c r="A72" s="55" t="inlineStr">
        <is>
          <t>issue_858</t>
        </is>
      </c>
      <c r="B72" s="56" t="inlineStr">
        <is>
          <t>NOT_TESTED</t>
        </is>
      </c>
      <c r="C72" s="56" t="inlineStr">
        <is>
          <t>NOT_TESTED</t>
        </is>
      </c>
      <c r="D72" s="56" t="inlineStr">
        <is>
          <t>NOT_TESTED</t>
        </is>
      </c>
      <c r="E72" s="56" t="inlineStr">
        <is>
          <t>NOT_TESTED</t>
        </is>
      </c>
      <c r="F72" s="57" t="inlineStr">
        <is>
          <t>Runtime error</t>
        </is>
      </c>
      <c r="G72" s="57" t="inlineStr">
        <is>
          <t>Runtime error</t>
        </is>
      </c>
      <c r="H72" s="57" t="inlineStr">
        <is>
          <t>Runtime error</t>
        </is>
      </c>
      <c r="I72" s="57" t="inlineStr">
        <is>
          <t>Runtime error</t>
        </is>
      </c>
      <c r="J72" s="57" t="inlineStr">
        <is>
          <t>Runtime error</t>
        </is>
      </c>
      <c r="K72" s="57" t="inlineStr">
        <is>
          <t>Runtime error</t>
        </is>
      </c>
      <c r="L72" s="57" t="inlineStr">
        <is>
          <t>Runtime error</t>
        </is>
      </c>
      <c r="M72" s="57" t="inlineStr">
        <is>
          <t>Runtime error</t>
        </is>
      </c>
      <c r="N72" s="56" t="inlineStr">
        <is>
          <t>NOT_TESTED</t>
        </is>
      </c>
      <c r="O72" s="56" t="inlineStr">
        <is>
          <t>NOT_TESTED</t>
        </is>
      </c>
      <c r="P72" s="56" t="inlineStr">
        <is>
          <t>NOT_TESTED</t>
        </is>
      </c>
      <c r="Q72" s="56" t="inlineStr">
        <is>
          <t>NOT_TESTED</t>
        </is>
      </c>
      <c r="R72" s="56" t="inlineStr">
        <is>
          <t>NOT_TESTED</t>
        </is>
      </c>
      <c r="S72" s="56" t="inlineStr">
        <is>
          <t>NOT_TESTED</t>
        </is>
      </c>
      <c r="T72" s="56" t="inlineStr">
        <is>
          <t>NOT_TESTED</t>
        </is>
      </c>
      <c r="U72" s="56" t="inlineStr">
        <is>
          <t>NOT_TESTED</t>
        </is>
      </c>
      <c r="V72" s="56" t="inlineStr">
        <is>
          <t>NOT_TESTED</t>
        </is>
      </c>
      <c r="W72" s="56" t="inlineStr">
        <is>
          <t>NOT_TESTED</t>
        </is>
      </c>
      <c r="X72" s="56" t="inlineStr">
        <is>
          <t>NOT_TESTED</t>
        </is>
      </c>
      <c r="Y72" s="56" t="inlineStr">
        <is>
          <t>NOT_TESTED</t>
        </is>
      </c>
      <c r="Z72" s="56" t="inlineStr">
        <is>
          <t>NOT_TESTED</t>
        </is>
      </c>
      <c r="AA72" s="56" t="inlineStr">
        <is>
          <t>NOT_TESTED</t>
        </is>
      </c>
      <c r="AB72" s="56" t="inlineStr">
        <is>
          <t>NOT_TESTED</t>
        </is>
      </c>
      <c r="AC72" s="55" t="n"/>
      <c r="AD72" s="55" t="n"/>
      <c r="AE72" s="55" t="n"/>
      <c r="AF72" s="55" t="n"/>
      <c r="AG72" s="55" t="n"/>
      <c r="AH72" s="55" t="n"/>
      <c r="AI72" s="55" t="n"/>
      <c r="AJ72" s="55" t="n"/>
      <c r="AK72" s="55" t="n"/>
      <c r="AL72" s="55" t="n"/>
      <c r="AM72" s="55" t="n"/>
      <c r="AN72" s="55" t="n"/>
      <c r="AO72" s="55" t="inlineStr">
        <is>
          <t>OfflineAccessDenied</t>
        </is>
      </c>
      <c r="AP72" s="55" t="inlineStr">
        <is>
          <t>OfflineAccessDenied: Offline snapshot fixture forbids IBMQ.load_account</t>
        </is>
      </c>
      <c r="AQ72" s="55" t="inlineStr">
        <is>
          <t>The LLM switched to the FakeOslo snapshot of the retired backend, but kept provider = IBMQ.load_account(), which is no longer used and needs an IBM account online; the offline test blocks it. Even with that line removed the fix crashes, because FakeOslo has no properties() method (AttributeError). The reference reads backend.qubit_properties() from FakeOslo.</t>
        </is>
      </c>
      <c r="AR72" s="55" t="inlineStr">
        <is>
          <t>OfflineAccessDenied</t>
        </is>
      </c>
      <c r="AS72" s="55" t="inlineStr">
        <is>
          <t>OfflineAccessDenied: Offline snapshot fixture forbids IBMQ.load_account</t>
        </is>
      </c>
      <c r="AT72" s="55" t="inlineStr">
        <is>
          <t>The LLM switched to the FakeOslo snapshot of the retired backend, but kept provider = IBMQ.load_account(), which is no longer used and needs an IBM account online; the offline test blocks it. Even with that line removed the fix crashes, because FakeOslo has no properties() method (AttributeError). The reference reads backend.qubit_properties() from FakeOslo.</t>
        </is>
      </c>
      <c r="AU72" s="55" t="inlineStr">
        <is>
          <t>OfflineAccessDenied</t>
        </is>
      </c>
      <c r="AV72" s="55" t="inlineStr">
        <is>
          <t>OfflineAccessDenied: Offline snapshot fixture forbids IBMQ.load_account</t>
        </is>
      </c>
      <c r="AW72" s="55" t="inlineStr">
        <is>
          <t>The LLM switched to the FakeOslo snapshot of the retired backend, but kept provider = IBMQ.load_account(), which is no longer used and needs an IBM account online; the offline test blocks it. Even with that line removed the fix crashes, because FakeOslo has no properties() method (AttributeError). The reference reads backend.qubit_properties() from FakeOslo.</t>
        </is>
      </c>
      <c r="AX72" s="55" t="inlineStr">
        <is>
          <t>OfflineAccessDenied</t>
        </is>
      </c>
      <c r="AY72" s="55" t="inlineStr">
        <is>
          <t>OfflineAccessDenied: Offline snapshot fixture forbids IBMQ.load_account</t>
        </is>
      </c>
      <c r="AZ72" s="55" t="inlineStr">
        <is>
          <t>The LLM switched to the FakeOslo snapshot of the retired backend, but kept provider = IBMQ.load_account(), which is no longer used and needs an IBM account online; the offline test blocks it. Even with that line removed the fix crashes, because FakeOslo has no properties() method (AttributeError). The reference reads backend.qubit_properties() from FakeOslo.</t>
        </is>
      </c>
      <c r="BA72" s="55" t="inlineStr">
        <is>
          <t>OfflineAccessDenied</t>
        </is>
      </c>
      <c r="BB72" s="55" t="inlineStr">
        <is>
          <t>OfflineAccessDenied: Offline snapshot fixture forbids IBMQ.load_account</t>
        </is>
      </c>
      <c r="BC72" s="55" t="inlineStr">
        <is>
          <t>The LLM switched to the FakeOslo snapshot of the retired backend, but kept provider = IBMQ.load_account(), which is no longer used and needs an IBM account online; the offline test blocks it. Even with that line removed the fix crashes, because FakeOslo has no properties() method (AttributeError). The reference reads backend.qubit_properties() from FakeOslo.</t>
        </is>
      </c>
      <c r="BD72" s="55" t="inlineStr">
        <is>
          <t>OfflineAccessDenied</t>
        </is>
      </c>
      <c r="BE72" s="55" t="inlineStr">
        <is>
          <t>OfflineAccessDenied: Offline snapshot fixture forbids IBMQ.load_account</t>
        </is>
      </c>
      <c r="BF72" s="55" t="inlineStr">
        <is>
          <t>The LLM switched to the FakeOslo snapshot of the retired backend, but kept provider = IBMQ.load_account(), which is no longer used and needs an IBM account online; the offline test blocks it. Even with that line removed the fix crashes, because FakeOslo has no properties() method (AttributeError). The reference reads backend.qubit_properties() from FakeOslo.</t>
        </is>
      </c>
      <c r="BG72" s="55" t="inlineStr">
        <is>
          <t>OfflineAccessDenied</t>
        </is>
      </c>
      <c r="BH72" s="55" t="inlineStr">
        <is>
          <t>OfflineAccessDenied: Offline snapshot fixture forbids IBMQ.load_account</t>
        </is>
      </c>
      <c r="BI72" s="55" t="inlineStr">
        <is>
          <t>The LLM switched to the FakeOslo snapshot of the retired backend, but kept provider = IBMQ.load_account(), which is no longer used and needs an IBM account online; the offline test blocks it. Even with that line removed the fix crashes, because FakeOslo has no properties() method (AttributeError). The reference reads backend.qubit_properties() from FakeOslo.</t>
        </is>
      </c>
      <c r="BJ72" s="55" t="inlineStr">
        <is>
          <t>OfflineAccessDenied</t>
        </is>
      </c>
      <c r="BK72" s="55" t="inlineStr">
        <is>
          <t>OfflineAccessDenied: Offline snapshot fixture forbids IBMQ.load_account</t>
        </is>
      </c>
      <c r="BL72" s="55" t="inlineStr">
        <is>
          <t>The LLM switched to the FakeOslo snapshot of the retired backend, but kept provider = IBMQ.load_account(), which is no longer used and needs an IBM account online; the offline test blocks it. Even with that line removed the fix crashes, because FakeOslo has no properties() method (AttributeError). The reference reads backend.qubit_properties() from FakeOslo.</t>
        </is>
      </c>
      <c r="BM72" s="55" t="n"/>
      <c r="BN72" s="55" t="n"/>
      <c r="BO72" s="55" t="n"/>
      <c r="BP72" s="55" t="n"/>
      <c r="BQ72" s="55" t="n"/>
      <c r="BR72" s="55" t="n"/>
      <c r="BS72" s="55" t="n"/>
      <c r="BT72" s="55" t="n"/>
      <c r="BU72" s="55" t="n"/>
      <c r="BV72" s="55" t="n"/>
      <c r="BW72" s="55" t="n"/>
      <c r="BX72" s="55" t="n"/>
      <c r="BY72" s="55" t="n"/>
      <c r="BZ72" s="55" t="n"/>
      <c r="CA72" s="55" t="n"/>
      <c r="CB72" s="55" t="n"/>
      <c r="CC72" s="55" t="n"/>
      <c r="CD72" s="55" t="n"/>
      <c r="CE72" s="55" t="n"/>
      <c r="CF72" s="55" t="n"/>
      <c r="CG72" s="55" t="n"/>
      <c r="CH72" s="55" t="n"/>
      <c r="CI72" s="55" t="n"/>
      <c r="CJ72" s="55" t="n"/>
      <c r="CK72" s="55" t="n"/>
      <c r="CL72" s="55" t="n"/>
      <c r="CM72" s="55" t="n"/>
      <c r="CN72" s="55" t="n"/>
      <c r="CO72" s="55" t="n"/>
      <c r="CP72" s="55" t="n"/>
      <c r="CQ72" s="55" t="n"/>
      <c r="CR72" s="55" t="n"/>
      <c r="CS72" s="55" t="n"/>
      <c r="CT72" s="55" t="n"/>
      <c r="CU72" s="55" t="n"/>
      <c r="CV72" s="55" t="n"/>
      <c r="CW72" s="55" t="n"/>
      <c r="CX72" s="55" t="n"/>
      <c r="CY72" s="55" t="n"/>
      <c r="CZ72" s="55" t="n"/>
      <c r="DA72" s="55" t="n"/>
      <c r="DB72" s="55" t="n"/>
      <c r="DC72" s="55" t="n"/>
      <c r="DD72" s="55" t="n"/>
      <c r="DE72" s="55" t="n"/>
    </row>
    <row r="73">
      <c r="A73" s="55" t="inlineStr">
        <is>
          <t>issue_901</t>
        </is>
      </c>
      <c r="B73" s="56" t="inlineStr">
        <is>
          <t>NOT_TESTED</t>
        </is>
      </c>
      <c r="C73" s="56" t="inlineStr">
        <is>
          <t>NOT_TESTED</t>
        </is>
      </c>
      <c r="D73" s="56" t="inlineStr">
        <is>
          <t>NOT_TESTED</t>
        </is>
      </c>
      <c r="E73" s="56" t="inlineStr">
        <is>
          <t>NOT_TESTED</t>
        </is>
      </c>
      <c r="F73" s="59" t="inlineStr">
        <is>
          <t>Passed on test</t>
        </is>
      </c>
      <c r="G73" s="59" t="inlineStr">
        <is>
          <t>Passed on test</t>
        </is>
      </c>
      <c r="H73" s="59" t="inlineStr">
        <is>
          <t>Passed on test</t>
        </is>
      </c>
      <c r="I73" s="59" t="inlineStr">
        <is>
          <t>Passed on test</t>
        </is>
      </c>
      <c r="J73" s="59" t="inlineStr">
        <is>
          <t>Passed on test</t>
        </is>
      </c>
      <c r="K73" s="59" t="inlineStr">
        <is>
          <t>Passed on test</t>
        </is>
      </c>
      <c r="L73" s="59" t="inlineStr">
        <is>
          <t>Passed on test</t>
        </is>
      </c>
      <c r="M73" s="59" t="inlineStr">
        <is>
          <t>Passed on test</t>
        </is>
      </c>
      <c r="N73" s="59" t="inlineStr">
        <is>
          <t>Passed on test</t>
        </is>
      </c>
      <c r="O73" s="59" t="inlineStr">
        <is>
          <t>Passed on test</t>
        </is>
      </c>
      <c r="P73" s="59" t="inlineStr">
        <is>
          <t>Passed on test</t>
        </is>
      </c>
      <c r="Q73" s="59" t="inlineStr">
        <is>
          <t>Passed on test</t>
        </is>
      </c>
      <c r="R73" s="59" t="inlineStr">
        <is>
          <t>Passed on test</t>
        </is>
      </c>
      <c r="S73" s="59" t="inlineStr">
        <is>
          <t>Passed on test</t>
        </is>
      </c>
      <c r="T73" s="59" t="inlineStr">
        <is>
          <t>Passed on test</t>
        </is>
      </c>
      <c r="U73" s="59" t="inlineStr">
        <is>
          <t>Passed on test</t>
        </is>
      </c>
      <c r="V73" s="59" t="inlineStr">
        <is>
          <t>Passed on test</t>
        </is>
      </c>
      <c r="W73" s="59" t="inlineStr">
        <is>
          <t>Passed on test</t>
        </is>
      </c>
      <c r="X73" s="59" t="inlineStr">
        <is>
          <t>Passed on test</t>
        </is>
      </c>
      <c r="Y73" s="56" t="inlineStr">
        <is>
          <t>NOT_TESTED</t>
        </is>
      </c>
      <c r="Z73" s="56" t="inlineStr">
        <is>
          <t>NOT_TESTED</t>
        </is>
      </c>
      <c r="AA73" s="56" t="inlineStr">
        <is>
          <t>NOT_TESTED</t>
        </is>
      </c>
      <c r="AB73" s="56" t="inlineStr">
        <is>
          <t>NOT_TESTED</t>
        </is>
      </c>
      <c r="AC73" s="55" t="n"/>
      <c r="AD73" s="55" t="n"/>
      <c r="AE73" s="55" t="n"/>
      <c r="AF73" s="55" t="n"/>
      <c r="AG73" s="55" t="n"/>
      <c r="AH73" s="55" t="n"/>
      <c r="AI73" s="55" t="n"/>
      <c r="AJ73" s="55" t="n"/>
      <c r="AK73" s="55" t="n"/>
      <c r="AL73" s="55" t="n"/>
      <c r="AM73" s="55" t="n"/>
      <c r="AN73" s="55" t="n"/>
      <c r="AO73" s="55" t="n"/>
      <c r="AP73" s="55" t="n"/>
      <c r="AQ73" s="55" t="n"/>
      <c r="AR73" s="55" t="n"/>
      <c r="AS73" s="55" t="n"/>
      <c r="AT73" s="55" t="n"/>
      <c r="AU73" s="55" t="n"/>
      <c r="AV73" s="55" t="n"/>
      <c r="AW73" s="55" t="n"/>
      <c r="AX73" s="55" t="n"/>
      <c r="AY73" s="55" t="n"/>
      <c r="AZ73" s="55" t="n"/>
      <c r="BA73" s="55" t="n"/>
      <c r="BB73" s="55" t="n"/>
      <c r="BC73" s="55" t="n"/>
      <c r="BD73" s="55" t="n"/>
      <c r="BE73" s="55" t="n"/>
      <c r="BF73" s="55" t="n"/>
      <c r="BG73" s="55" t="n"/>
      <c r="BH73" s="55" t="n"/>
      <c r="BI73" s="55" t="n"/>
      <c r="BJ73" s="55" t="n"/>
      <c r="BK73" s="55" t="n"/>
      <c r="BL73" s="55" t="n"/>
      <c r="BM73" s="55" t="n"/>
      <c r="BN73" s="55" t="n"/>
      <c r="BO73" s="55" t="n"/>
      <c r="BP73" s="55" t="n"/>
      <c r="BQ73" s="55" t="n"/>
      <c r="BR73" s="55" t="n"/>
      <c r="BS73" s="55" t="n"/>
      <c r="BT73" s="55" t="n"/>
      <c r="BU73" s="55" t="n"/>
      <c r="BV73" s="55" t="n"/>
      <c r="BW73" s="55" t="n"/>
      <c r="BX73" s="55" t="n"/>
      <c r="BY73" s="55" t="n"/>
      <c r="BZ73" s="55" t="n"/>
      <c r="CA73" s="55" t="n"/>
      <c r="CB73" s="55" t="n"/>
      <c r="CC73" s="55" t="n"/>
      <c r="CD73" s="55" t="n"/>
      <c r="CE73" s="55" t="n"/>
      <c r="CF73" s="55" t="n"/>
      <c r="CG73" s="55" t="n"/>
      <c r="CH73" s="55" t="n"/>
      <c r="CI73" s="55" t="n"/>
      <c r="CJ73" s="55" t="n"/>
      <c r="CK73" s="55" t="n"/>
      <c r="CL73" s="55" t="n"/>
      <c r="CM73" s="55" t="n"/>
      <c r="CN73" s="55" t="n"/>
      <c r="CO73" s="55" t="n"/>
      <c r="CP73" s="55" t="n"/>
      <c r="CQ73" s="55" t="n"/>
      <c r="CR73" s="55" t="n"/>
      <c r="CS73" s="55" t="n"/>
      <c r="CT73" s="55" t="n"/>
      <c r="CU73" s="55" t="n"/>
      <c r="CV73" s="55" t="n"/>
      <c r="CW73" s="55" t="n"/>
      <c r="CX73" s="55" t="n"/>
      <c r="CY73" s="55" t="n"/>
      <c r="CZ73" s="55" t="n"/>
      <c r="DA73" s="55" t="n"/>
      <c r="DB73" s="55" t="n"/>
      <c r="DC73" s="55" t="n"/>
      <c r="DD73" s="55" t="n"/>
      <c r="DE73" s="55" t="n"/>
    </row>
    <row r="74">
      <c r="A74" s="55" t="inlineStr">
        <is>
          <t>issue_921</t>
        </is>
      </c>
      <c r="B74" s="57" t="inlineStr">
        <is>
          <t>Runtime error</t>
        </is>
      </c>
      <c r="C74" s="57" t="inlineStr">
        <is>
          <t>Runtime error</t>
        </is>
      </c>
      <c r="D74" s="57" t="inlineStr">
        <is>
          <t>Runtime error</t>
        </is>
      </c>
      <c r="E74" s="57" t="inlineStr">
        <is>
          <t>Runtime error</t>
        </is>
      </c>
      <c r="F74" s="56" t="inlineStr">
        <is>
          <t>NOT_TESTED</t>
        </is>
      </c>
      <c r="G74" s="56" t="inlineStr">
        <is>
          <t>NOT_TESTED</t>
        </is>
      </c>
      <c r="H74" s="56" t="inlineStr">
        <is>
          <t>NOT_TESTED</t>
        </is>
      </c>
      <c r="I74" s="56" t="inlineStr">
        <is>
          <t>NOT_TESTED</t>
        </is>
      </c>
      <c r="J74" s="56" t="inlineStr">
        <is>
          <t>NOT_TESTED</t>
        </is>
      </c>
      <c r="K74" s="56" t="inlineStr">
        <is>
          <t>NOT_TESTED</t>
        </is>
      </c>
      <c r="L74" s="56" t="inlineStr">
        <is>
          <t>NOT_TESTED</t>
        </is>
      </c>
      <c r="M74" s="56" t="inlineStr">
        <is>
          <t>NOT_TESTED</t>
        </is>
      </c>
      <c r="N74" s="56" t="inlineStr">
        <is>
          <t>NOT_TESTED</t>
        </is>
      </c>
      <c r="O74" s="56" t="inlineStr">
        <is>
          <t>NOT_TESTED</t>
        </is>
      </c>
      <c r="P74" s="56" t="inlineStr">
        <is>
          <t>NOT_TESTED</t>
        </is>
      </c>
      <c r="Q74" s="56" t="inlineStr">
        <is>
          <t>NOT_TESTED</t>
        </is>
      </c>
      <c r="R74" s="56" t="inlineStr">
        <is>
          <t>NOT_TESTED</t>
        </is>
      </c>
      <c r="S74" s="56" t="inlineStr">
        <is>
          <t>NOT_TESTED</t>
        </is>
      </c>
      <c r="T74" s="56" t="inlineStr">
        <is>
          <t>NOT_TESTED</t>
        </is>
      </c>
      <c r="U74" s="56" t="inlineStr">
        <is>
          <t>NOT_TESTED</t>
        </is>
      </c>
      <c r="V74" s="56" t="inlineStr">
        <is>
          <t>NOT_TESTED</t>
        </is>
      </c>
      <c r="W74" s="56" t="inlineStr">
        <is>
          <t>NOT_TESTED</t>
        </is>
      </c>
      <c r="X74" s="56" t="inlineStr">
        <is>
          <t>NOT_TESTED</t>
        </is>
      </c>
      <c r="Y74" s="56" t="inlineStr">
        <is>
          <t>NOT_TESTED</t>
        </is>
      </c>
      <c r="Z74" s="56" t="inlineStr">
        <is>
          <t>NOT_TESTED</t>
        </is>
      </c>
      <c r="AA74" s="56" t="inlineStr">
        <is>
          <t>NOT_TESTED</t>
        </is>
      </c>
      <c r="AB74" s="56" t="inlineStr">
        <is>
          <t>NOT_TESTED</t>
        </is>
      </c>
      <c r="AC74" s="55" t="inlineStr">
        <is>
          <t>ImportError</t>
        </is>
      </c>
      <c r="AD74" s="55" t="inlineStr">
        <is>
          <t>ImportError: cannot import name 'run_algorithm' from 'qiskit.aqua' (C:\qiskit_envs\q0250\lib\site-packages\qiskit\aqua\__init__.py)</t>
        </is>
      </c>
      <c r="AE74" s="55" t="inlineStr">
        <is>
          <t>The LLM returned the buggy code unchanged, without the '# NO BUG:' line the prompt requires, so it fails exactly like the buggy code: run_algorithm no longer exists in qiskit.aqua (ImportError). The reference calls ExactEigensolver(qubitOp, k=1).run() directly.</t>
        </is>
      </c>
      <c r="AF74" s="55" t="inlineStr">
        <is>
          <t>ImportError</t>
        </is>
      </c>
      <c r="AG74" s="55" t="inlineStr">
        <is>
          <t>ImportError: cannot import name 'run_algorithm' from 'qiskit.aqua' (C:\qiskit_envs\q0251\lib\site-packages\qiskit\aqua\__init__.py)</t>
        </is>
      </c>
      <c r="AH74" s="55" t="inlineStr">
        <is>
          <t>The LLM returned the buggy code unchanged, without the '# NO BUG:' line the prompt requires, so it fails exactly like the buggy code: run_algorithm no longer exists in qiskit.aqua (ImportError). The reference calls ExactEigensolver(qubitOp, k=1).run() directly.</t>
        </is>
      </c>
      <c r="AI74" s="55" t="inlineStr">
        <is>
          <t>ImportError</t>
        </is>
      </c>
      <c r="AJ74" s="55" t="inlineStr">
        <is>
          <t>ImportError: cannot import name 'run_algorithm' from 'qiskit.aqua' (C:\qiskit_envs\q0252\lib\site-packages\qiskit\aqua\__init__.py)</t>
        </is>
      </c>
      <c r="AK74" s="55" t="inlineStr">
        <is>
          <t>The LLM returned the buggy code unchanged, without the '# NO BUG:' line the prompt requires, so it fails exactly like the buggy code: run_algorithm no longer exists in qiskit.aqua (ImportError). The reference calls ExactEigensolver(qubitOp, k=1).run() directly.</t>
        </is>
      </c>
      <c r="AL74" s="55" t="inlineStr">
        <is>
          <t>ImportError</t>
        </is>
      </c>
      <c r="AM74" s="55" t="inlineStr">
        <is>
          <t>ImportError: cannot import name 'run_algorithm' from 'qiskit.aqua' (C:\qiskit_envs\q0253\lib\site-packages\qiskit\aqua\__init__.py)</t>
        </is>
      </c>
      <c r="AN74" s="55" t="inlineStr">
        <is>
          <t>The LLM returned the buggy code unchanged, without the '# NO BUG:' line the prompt requires, so it fails exactly like the buggy code: run_algorithm no longer exists in qiskit.aqua (ImportError). The reference calls ExactEigensolver(qubitOp, k=1).run() directly.</t>
        </is>
      </c>
      <c r="AO74" s="55" t="n"/>
      <c r="AP74" s="55" t="n"/>
      <c r="AQ74" s="55" t="n"/>
      <c r="AR74" s="55" t="n"/>
      <c r="AS74" s="55" t="n"/>
      <c r="AT74" s="55" t="n"/>
      <c r="AU74" s="55" t="n"/>
      <c r="AV74" s="55" t="n"/>
      <c r="AW74" s="55" t="n"/>
      <c r="AX74" s="55" t="n"/>
      <c r="AY74" s="55" t="n"/>
      <c r="AZ74" s="55" t="n"/>
      <c r="BA74" s="55" t="n"/>
      <c r="BB74" s="55" t="n"/>
      <c r="BC74" s="55" t="n"/>
      <c r="BD74" s="55" t="n"/>
      <c r="BE74" s="55" t="n"/>
      <c r="BF74" s="55" t="n"/>
      <c r="BG74" s="55" t="n"/>
      <c r="BH74" s="55" t="n"/>
      <c r="BI74" s="55" t="n"/>
      <c r="BJ74" s="55" t="n"/>
      <c r="BK74" s="55" t="n"/>
      <c r="BL74" s="55" t="n"/>
      <c r="BM74" s="55" t="n"/>
      <c r="BN74" s="55" t="n"/>
      <c r="BO74" s="55" t="n"/>
      <c r="BP74" s="55" t="n"/>
      <c r="BQ74" s="55" t="n"/>
      <c r="BR74" s="55" t="n"/>
      <c r="BS74" s="55" t="n"/>
      <c r="BT74" s="55" t="n"/>
      <c r="BU74" s="55" t="n"/>
      <c r="BV74" s="55" t="n"/>
      <c r="BW74" s="55" t="n"/>
      <c r="BX74" s="55" t="n"/>
      <c r="BY74" s="55" t="n"/>
      <c r="BZ74" s="55" t="n"/>
      <c r="CA74" s="55" t="n"/>
      <c r="CB74" s="55" t="n"/>
      <c r="CC74" s="55" t="n"/>
      <c r="CD74" s="55" t="n"/>
      <c r="CE74" s="55" t="n"/>
      <c r="CF74" s="55" t="n"/>
      <c r="CG74" s="55" t="n"/>
      <c r="CH74" s="55" t="n"/>
      <c r="CI74" s="55" t="n"/>
      <c r="CJ74" s="55" t="n"/>
      <c r="CK74" s="55" t="n"/>
      <c r="CL74" s="55" t="n"/>
      <c r="CM74" s="55" t="n"/>
      <c r="CN74" s="55" t="n"/>
      <c r="CO74" s="55" t="n"/>
      <c r="CP74" s="55" t="n"/>
      <c r="CQ74" s="55" t="n"/>
      <c r="CR74" s="55" t="n"/>
      <c r="CS74" s="55" t="n"/>
      <c r="CT74" s="55" t="n"/>
      <c r="CU74" s="55" t="n"/>
      <c r="CV74" s="55" t="n"/>
      <c r="CW74" s="55" t="n"/>
      <c r="CX74" s="55" t="n"/>
      <c r="CY74" s="55" t="n"/>
      <c r="CZ74" s="55" t="n"/>
      <c r="DA74" s="55" t="n"/>
      <c r="DB74" s="55" t="n"/>
      <c r="DC74" s="55" t="n"/>
      <c r="DD74" s="55" t="n"/>
      <c r="DE74" s="5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63"/>
  <sheetViews>
    <sheetView workbookViewId="0">
      <selection activeCell="A1" sqref="A1"/>
    </sheetView>
  </sheetViews>
  <sheetFormatPr baseColWidth="8" defaultRowHeight="15"/>
  <cols>
    <col width="16" customWidth="1" style="35" min="1" max="1"/>
    <col width="15" customWidth="1" style="35" min="2" max="2"/>
    <col width="34" customWidth="1" style="35" min="3" max="3"/>
    <col width="11" customWidth="1" style="35" min="4" max="4"/>
    <col width="26" customWidth="1" style="35" min="5" max="5"/>
    <col width="48" customWidth="1" style="35" min="6" max="6"/>
    <col width="60" customWidth="1" style="35" min="7" max="7"/>
    <col width="10" customWidth="1" style="35" min="8" max="8"/>
    <col width="14" customWidth="1" style="35" min="9" max="9"/>
    <col width="10" customWidth="1" style="35" min="10" max="10"/>
    <col width="12" customWidth="1" style="35" min="11" max="11"/>
  </cols>
  <sheetData>
    <row r="1">
      <c r="A1" s="60" t="inlineStr">
        <is>
          <t>LLM bug-repair results (gpt-5.6-luna), judged by each case's test (test_new.py / test-new.py for issue_021_se, issue_058_se and issue_061; test.py for the rest) Since 9 Oct 2026, the test.py of 12 over-specific cases holds an updated test that replaced the old one.</t>
        </is>
      </c>
    </row>
    <row r="2">
      <c r="A2" t="inlineStr">
        <is>
          <t>All numbers below are formulas over the Summary sheet, so they update if Summary changes. batch 1 = Summary rows 2-11, batch 2 = Summary rows 12-21, batch 3 = Summary rows 22-31, batch 4 = Summary rows 32-41, batch 5 = Summary rows 42-51, batch 6 = Summary rows 52-61, batch 7 = Summary rows 62-68, batch 8 = Summary rows 69-74.</t>
        </is>
      </c>
    </row>
    <row r="3"/>
    <row r="4">
      <c r="A4" s="60" t="inlineStr">
        <is>
          <t>1. Case × version pairs</t>
        </is>
      </c>
    </row>
    <row r="5">
      <c r="A5" s="54" t="inlineStr">
        <is>
          <t>Result</t>
        </is>
      </c>
      <c r="B5" s="54" t="inlineStr">
        <is>
          <t>Count</t>
        </is>
      </c>
      <c r="C5" s="54" t="inlineStr">
        <is>
          <t>% of tested pairs</t>
        </is>
      </c>
      <c r="D5" s="54" t="inlineStr">
        <is>
          <t>Batch 1</t>
        </is>
      </c>
      <c r="E5" s="54" t="inlineStr">
        <is>
          <t>Batch 1 %</t>
        </is>
      </c>
      <c r="F5" s="54" t="inlineStr">
        <is>
          <t>Batch 2</t>
        </is>
      </c>
      <c r="G5" s="54" t="inlineStr">
        <is>
          <t>Batch 2 %</t>
        </is>
      </c>
      <c r="H5" s="54" t="inlineStr">
        <is>
          <t>Batch 3</t>
        </is>
      </c>
      <c r="I5" s="54" t="inlineStr">
        <is>
          <t>Batch 3 %</t>
        </is>
      </c>
      <c r="J5" s="54" t="inlineStr">
        <is>
          <t>Batch 4</t>
        </is>
      </c>
      <c r="K5" s="54" t="inlineStr">
        <is>
          <t>Batch 4 %</t>
        </is>
      </c>
      <c r="L5" s="54" t="inlineStr">
        <is>
          <t>Batch 5</t>
        </is>
      </c>
      <c r="M5" s="54" t="inlineStr">
        <is>
          <t>Batch 5 %</t>
        </is>
      </c>
      <c r="N5" s="54" t="inlineStr">
        <is>
          <t>Batch 6</t>
        </is>
      </c>
      <c r="O5" s="54" t="inlineStr">
        <is>
          <t>Batch 6 %</t>
        </is>
      </c>
      <c r="P5" s="54" t="inlineStr">
        <is>
          <t>Batch 7</t>
        </is>
      </c>
      <c r="Q5" s="54" t="inlineStr">
        <is>
          <t>Batch 7 %</t>
        </is>
      </c>
      <c r="R5" s="54" t="inlineStr">
        <is>
          <t>Batch 8</t>
        </is>
      </c>
      <c r="S5" s="54" t="inlineStr">
        <is>
          <t>Batch 8 %</t>
        </is>
      </c>
    </row>
    <row r="6">
      <c r="A6" s="61" t="inlineStr">
        <is>
          <t>Passed on test</t>
        </is>
      </c>
      <c r="B6" s="55">
        <f>COUNTIF(Summary!$B$2:$AB$74,"Passed on test")</f>
        <v/>
      </c>
      <c r="C6" s="62">
        <f>IF($B$9=0,0,B6/$B$9)</f>
        <v/>
      </c>
      <c r="D6" s="55">
        <f>COUNTIF(Summary!$B$2:$AB$11,"Passed on test")</f>
        <v/>
      </c>
      <c r="E6" s="62">
        <f>IF(D$9=0,0,D6/D$9)</f>
        <v/>
      </c>
      <c r="F6" s="55">
        <f>COUNTIF(Summary!$B$12:$AB$21,"Passed on test")</f>
        <v/>
      </c>
      <c r="G6" s="62">
        <f>IF(F$9=0,0,F6/F$9)</f>
        <v/>
      </c>
      <c r="H6" s="55">
        <f>COUNTIF(Summary!$B$22:$AB$31,"Passed on test")</f>
        <v/>
      </c>
      <c r="I6" s="62">
        <f>IF(H$9=0,0,H6/H$9)</f>
        <v/>
      </c>
      <c r="J6" s="55">
        <f>COUNTIF(Summary!$B$32:$AB$41,"Passed on test")</f>
        <v/>
      </c>
      <c r="K6" s="62">
        <f>IF(J$9=0,0,J6/J$9)</f>
        <v/>
      </c>
      <c r="L6" s="55">
        <f>COUNTIF(Summary!$B$42:$AB$51,"Passed on test")</f>
        <v/>
      </c>
      <c r="M6" s="62">
        <f>IF(L$9=0,0,L6/L$9)</f>
        <v/>
      </c>
      <c r="N6" s="55">
        <f>COUNTIF(Summary!$B$52:$AB$61,"Passed on test")</f>
        <v/>
      </c>
      <c r="O6" s="62">
        <f>IF(N$9=0,0,N6/N$9)</f>
        <v/>
      </c>
      <c r="P6" s="55">
        <f>COUNTIF(Summary!$B$62:$AB$68,"Passed on test")</f>
        <v/>
      </c>
      <c r="Q6" s="62">
        <f>IF(P$9=0,0,P6/P$9)</f>
        <v/>
      </c>
      <c r="R6" s="55">
        <f>COUNTIF(Summary!$B$69:$AB$74,"Passed on test")</f>
        <v/>
      </c>
      <c r="S6" s="62">
        <f>IF(R$9=0,0,R6/R$9)</f>
        <v/>
      </c>
    </row>
    <row r="7">
      <c r="A7" s="63" t="inlineStr">
        <is>
          <t>Failed on test</t>
        </is>
      </c>
      <c r="B7" s="55">
        <f>COUNTIF(Summary!$B$2:$AB$74,"Failed on test")</f>
        <v/>
      </c>
      <c r="C7" s="62">
        <f>IF($B$9=0,0,B7/$B$9)</f>
        <v/>
      </c>
      <c r="D7" s="55">
        <f>COUNTIF(Summary!$B$2:$AB$11,"Failed on test")</f>
        <v/>
      </c>
      <c r="E7" s="62">
        <f>IF(D$9=0,0,D7/D$9)</f>
        <v/>
      </c>
      <c r="F7" s="55">
        <f>COUNTIF(Summary!$B$12:$AB$21,"Failed on test")</f>
        <v/>
      </c>
      <c r="G7" s="62">
        <f>IF(F$9=0,0,F7/F$9)</f>
        <v/>
      </c>
      <c r="H7" s="55">
        <f>COUNTIF(Summary!$B$22:$AB$31,"Failed on test")</f>
        <v/>
      </c>
      <c r="I7" s="62">
        <f>IF(H$9=0,0,H7/H$9)</f>
        <v/>
      </c>
      <c r="J7" s="55">
        <f>COUNTIF(Summary!$B$32:$AB$41,"Failed on test")</f>
        <v/>
      </c>
      <c r="K7" s="62">
        <f>IF(J$9=0,0,J7/J$9)</f>
        <v/>
      </c>
      <c r="L7" s="55">
        <f>COUNTIF(Summary!$B$42:$AB$51,"Failed on test")</f>
        <v/>
      </c>
      <c r="M7" s="62">
        <f>IF(L$9=0,0,L7/L$9)</f>
        <v/>
      </c>
      <c r="N7" s="55">
        <f>COUNTIF(Summary!$B$52:$AB$61,"Failed on test")</f>
        <v/>
      </c>
      <c r="O7" s="62">
        <f>IF(N$9=0,0,N7/N$9)</f>
        <v/>
      </c>
      <c r="P7" s="55">
        <f>COUNTIF(Summary!$B$62:$AB$68,"Failed on test")</f>
        <v/>
      </c>
      <c r="Q7" s="62">
        <f>IF(P$9=0,0,P7/P$9)</f>
        <v/>
      </c>
      <c r="R7" s="55">
        <f>COUNTIF(Summary!$B$69:$AB$74,"Failed on test")</f>
        <v/>
      </c>
      <c r="S7" s="62">
        <f>IF(R$9=0,0,R7/R$9)</f>
        <v/>
      </c>
    </row>
    <row r="8">
      <c r="A8" s="64" t="inlineStr">
        <is>
          <t>Runtime error</t>
        </is>
      </c>
      <c r="B8" s="55">
        <f>COUNTIF(Summary!$B$2:$AB$74,"Runtime error")</f>
        <v/>
      </c>
      <c r="C8" s="62">
        <f>IF($B$9=0,0,B8/$B$9)</f>
        <v/>
      </c>
      <c r="D8" s="55">
        <f>COUNTIF(Summary!$B$2:$AB$11,"Runtime error")</f>
        <v/>
      </c>
      <c r="E8" s="62">
        <f>IF(D$9=0,0,D8/D$9)</f>
        <v/>
      </c>
      <c r="F8" s="55">
        <f>COUNTIF(Summary!$B$12:$AB$21,"Runtime error")</f>
        <v/>
      </c>
      <c r="G8" s="62">
        <f>IF(F$9=0,0,F8/F$9)</f>
        <v/>
      </c>
      <c r="H8" s="55">
        <f>COUNTIF(Summary!$B$22:$AB$31,"Runtime error")</f>
        <v/>
      </c>
      <c r="I8" s="62">
        <f>IF(H$9=0,0,H8/H$9)</f>
        <v/>
      </c>
      <c r="J8" s="55">
        <f>COUNTIF(Summary!$B$32:$AB$41,"Runtime error")</f>
        <v/>
      </c>
      <c r="K8" s="62">
        <f>IF(J$9=0,0,J8/J$9)</f>
        <v/>
      </c>
      <c r="L8" s="55">
        <f>COUNTIF(Summary!$B$42:$AB$51,"Runtime error")</f>
        <v/>
      </c>
      <c r="M8" s="62">
        <f>IF(L$9=0,0,L8/L$9)</f>
        <v/>
      </c>
      <c r="N8" s="55">
        <f>COUNTIF(Summary!$B$52:$AB$61,"Runtime error")</f>
        <v/>
      </c>
      <c r="O8" s="62">
        <f>IF(N$9=0,0,N8/N$9)</f>
        <v/>
      </c>
      <c r="P8" s="55">
        <f>COUNTIF(Summary!$B$62:$AB$68,"Runtime error")</f>
        <v/>
      </c>
      <c r="Q8" s="62">
        <f>IF(P$9=0,0,P8/P$9)</f>
        <v/>
      </c>
      <c r="R8" s="55">
        <f>COUNTIF(Summary!$B$69:$AB$74,"Runtime error")</f>
        <v/>
      </c>
      <c r="S8" s="62">
        <f>IF(R$9=0,0,R8/R$9)</f>
        <v/>
      </c>
    </row>
    <row r="9">
      <c r="A9" s="65" t="inlineStr">
        <is>
          <t>Total tested</t>
        </is>
      </c>
      <c r="B9" s="65">
        <f>SUM(B6:B8)</f>
        <v/>
      </c>
      <c r="C9" s="66">
        <f>SUM(C6:C8)</f>
        <v/>
      </c>
      <c r="D9" s="65">
        <f>SUM(D6:D8)</f>
        <v/>
      </c>
      <c r="E9" s="66">
        <f>SUM(E6:E8)</f>
        <v/>
      </c>
      <c r="F9" s="65">
        <f>SUM(F6:F8)</f>
        <v/>
      </c>
      <c r="G9" s="66">
        <f>SUM(G6:G8)</f>
        <v/>
      </c>
      <c r="H9" s="65">
        <f>SUM(H6:H8)</f>
        <v/>
      </c>
      <c r="I9" s="66">
        <f>SUM(I6:I8)</f>
        <v/>
      </c>
      <c r="J9" s="65">
        <f>SUM(J6:J8)</f>
        <v/>
      </c>
      <c r="K9" s="66">
        <f>SUM(K6:K8)</f>
        <v/>
      </c>
      <c r="L9" s="65">
        <f>SUM(L6:L8)</f>
        <v/>
      </c>
      <c r="M9" s="66">
        <f>SUM(M6:M8)</f>
        <v/>
      </c>
      <c r="N9" s="65">
        <f>SUM(N6:N8)</f>
        <v/>
      </c>
      <c r="O9" s="66">
        <f>SUM(O6:O8)</f>
        <v/>
      </c>
      <c r="P9" s="65">
        <f>SUM(P6:P8)</f>
        <v/>
      </c>
      <c r="Q9" s="66">
        <f>SUM(Q6:Q8)</f>
        <v/>
      </c>
      <c r="R9" s="65">
        <f>SUM(R6:R8)</f>
        <v/>
      </c>
      <c r="S9" s="66">
        <f>SUM(S6:S8)</f>
        <v/>
      </c>
    </row>
    <row r="10">
      <c r="A10" s="55" t="inlineStr">
        <is>
          <t>Not tested (version not listed for that case)</t>
        </is>
      </c>
      <c r="B10" s="55">
        <f>COUNTIF(Summary!$B$2:$AB$74,"NOT_TESTED")</f>
        <v/>
      </c>
      <c r="D10" s="55">
        <f>COUNTIF(Summary!$B$2:$AB$11,"NOT_TESTED")</f>
        <v/>
      </c>
      <c r="F10" s="55">
        <f>COUNTIF(Summary!$B$12:$AB$21,"NOT_TESTED")</f>
        <v/>
      </c>
      <c r="H10" s="55">
        <f>COUNTIF(Summary!$B$22:$AB$31,"NOT_TESTED")</f>
        <v/>
      </c>
      <c r="J10" s="55">
        <f>COUNTIF(Summary!$B$32:$AB$41,"NOT_TESTED")</f>
        <v/>
      </c>
      <c r="L10" s="55">
        <f>COUNTIF(Summary!$B$42:$AB$51,"NOT_TESTED")</f>
        <v/>
      </c>
      <c r="N10" s="55">
        <f>COUNTIF(Summary!$B$52:$AB$61,"NOT_TESTED")</f>
        <v/>
      </c>
      <c r="P10" s="55">
        <f>COUNTIF(Summary!$B$62:$AB$68,"NOT_TESTED")</f>
        <v/>
      </c>
      <c r="R10" s="55">
        <f>COUNTIF(Summary!$B$69:$AB$74,"NOT_TESTED")</f>
        <v/>
      </c>
    </row>
    <row r="11"/>
    <row r="12">
      <c r="A12" s="60" t="inlineStr">
        <is>
          <t>2. Per case</t>
        </is>
      </c>
    </row>
    <row r="13">
      <c r="A13" s="54" t="inlineStr">
        <is>
          <t>Case</t>
        </is>
      </c>
      <c r="B13" s="54" t="inlineStr">
        <is>
          <t>Versions tested</t>
        </is>
      </c>
      <c r="C13" s="54" t="inlineStr">
        <is>
          <t>Passed on test</t>
        </is>
      </c>
      <c r="D13" s="54" t="inlineStr">
        <is>
          <t>Failed on test</t>
        </is>
      </c>
      <c r="E13" s="54" t="inlineStr">
        <is>
          <t>Runtime error</t>
        </is>
      </c>
      <c r="F13" s="54" t="inlineStr">
        <is>
          <t>Passed on test %</t>
        </is>
      </c>
      <c r="G13" s="54" t="inlineStr">
        <is>
          <t>Failed on test %</t>
        </is>
      </c>
      <c r="H13" s="54" t="inlineStr">
        <is>
          <t>Runtime error %</t>
        </is>
      </c>
      <c r="I13" s="54" t="inlineStr">
        <is>
          <t>Case outcome</t>
        </is>
      </c>
      <c r="J13" s="54" t="inlineStr">
        <is>
          <t>Batch</t>
        </is>
      </c>
    </row>
    <row r="14">
      <c r="A14" s="55">
        <f>Summary!A2</f>
        <v/>
      </c>
      <c r="B14" s="55">
        <f>COUNTIF(Summary!$B$2:$AB$2,"Passed on test")+COUNTIF(Summary!$B$2:$AB$2,"Failed on test")+COUNTIF(Summary!$B$2:$AB$2,"Runtime error")</f>
        <v/>
      </c>
      <c r="C14" s="55">
        <f>COUNTIF(Summary!$B$2:$AB$2,"Passed on test")</f>
        <v/>
      </c>
      <c r="D14" s="55">
        <f>COUNTIF(Summary!$B$2:$AB$2,"Failed on test")</f>
        <v/>
      </c>
      <c r="E14" s="55">
        <f>COUNTIF(Summary!$B$2:$AB$2,"Runtime error")</f>
        <v/>
      </c>
      <c r="F14" s="62">
        <f>IF($B14=0,0,C14/$B14)</f>
        <v/>
      </c>
      <c r="G14" s="62">
        <f>IF($B14=0,0,D14/$B14)</f>
        <v/>
      </c>
      <c r="H14" s="62">
        <f>IF($B14=0,0,E14/$B14)</f>
        <v/>
      </c>
      <c r="I14" s="55">
        <f>IF(C14=B14,"Passed on test",IF(E14&gt;0,"Runtime error","Failed on test"))</f>
        <v/>
      </c>
      <c r="J14" s="55" t="n">
        <v>1</v>
      </c>
    </row>
    <row r="15">
      <c r="A15" s="55">
        <f>Summary!A3</f>
        <v/>
      </c>
      <c r="B15" s="55">
        <f>COUNTIF(Summary!$B$3:$AB$3,"Passed on test")+COUNTIF(Summary!$B$3:$AB$3,"Failed on test")+COUNTIF(Summary!$B$3:$AB$3,"Runtime error")</f>
        <v/>
      </c>
      <c r="C15" s="55">
        <f>COUNTIF(Summary!$B$3:$AB$3,"Passed on test")</f>
        <v/>
      </c>
      <c r="D15" s="55">
        <f>COUNTIF(Summary!$B$3:$AB$3,"Failed on test")</f>
        <v/>
      </c>
      <c r="E15" s="55">
        <f>COUNTIF(Summary!$B$3:$AB$3,"Runtime error")</f>
        <v/>
      </c>
      <c r="F15" s="62">
        <f>IF($B15=0,0,C15/$B15)</f>
        <v/>
      </c>
      <c r="G15" s="62">
        <f>IF($B15=0,0,D15/$B15)</f>
        <v/>
      </c>
      <c r="H15" s="62">
        <f>IF($B15=0,0,E15/$B15)</f>
        <v/>
      </c>
      <c r="I15" s="55">
        <f>IF(C15=B15,"Passed on test",IF(E15&gt;0,"Runtime error","Failed on test"))</f>
        <v/>
      </c>
      <c r="J15" s="55" t="n">
        <v>1</v>
      </c>
    </row>
    <row r="16">
      <c r="A16" s="55">
        <f>Summary!A4</f>
        <v/>
      </c>
      <c r="B16" s="55">
        <f>COUNTIF(Summary!$B$4:$AB$4,"Passed on test")+COUNTIF(Summary!$B$4:$AB$4,"Failed on test")+COUNTIF(Summary!$B$4:$AB$4,"Runtime error")</f>
        <v/>
      </c>
      <c r="C16" s="55">
        <f>COUNTIF(Summary!$B$4:$AB$4,"Passed on test")</f>
        <v/>
      </c>
      <c r="D16" s="55">
        <f>COUNTIF(Summary!$B$4:$AB$4,"Failed on test")</f>
        <v/>
      </c>
      <c r="E16" s="55">
        <f>COUNTIF(Summary!$B$4:$AB$4,"Runtime error")</f>
        <v/>
      </c>
      <c r="F16" s="62">
        <f>IF($B16=0,0,C16/$B16)</f>
        <v/>
      </c>
      <c r="G16" s="62">
        <f>IF($B16=0,0,D16/$B16)</f>
        <v/>
      </c>
      <c r="H16" s="62">
        <f>IF($B16=0,0,E16/$B16)</f>
        <v/>
      </c>
      <c r="I16" s="55">
        <f>IF(C16=B16,"Passed on test",IF(E16&gt;0,"Runtime error","Failed on test"))</f>
        <v/>
      </c>
      <c r="J16" s="55" t="n">
        <v>1</v>
      </c>
    </row>
    <row r="17">
      <c r="A17" s="55">
        <f>Summary!A5</f>
        <v/>
      </c>
      <c r="B17" s="55">
        <f>COUNTIF(Summary!$B$5:$AB$5,"Passed on test")+COUNTIF(Summary!$B$5:$AB$5,"Failed on test")+COUNTIF(Summary!$B$5:$AB$5,"Runtime error")</f>
        <v/>
      </c>
      <c r="C17" s="55">
        <f>COUNTIF(Summary!$B$5:$AB$5,"Passed on test")</f>
        <v/>
      </c>
      <c r="D17" s="55">
        <f>COUNTIF(Summary!$B$5:$AB$5,"Failed on test")</f>
        <v/>
      </c>
      <c r="E17" s="55">
        <f>COUNTIF(Summary!$B$5:$AB$5,"Runtime error")</f>
        <v/>
      </c>
      <c r="F17" s="62">
        <f>IF($B17=0,0,C17/$B17)</f>
        <v/>
      </c>
      <c r="G17" s="62">
        <f>IF($B17=0,0,D17/$B17)</f>
        <v/>
      </c>
      <c r="H17" s="62">
        <f>IF($B17=0,0,E17/$B17)</f>
        <v/>
      </c>
      <c r="I17" s="55">
        <f>IF(C17=B17,"Passed on test",IF(E17&gt;0,"Runtime error","Failed on test"))</f>
        <v/>
      </c>
      <c r="J17" s="55" t="n">
        <v>1</v>
      </c>
    </row>
    <row r="18">
      <c r="A18" s="55">
        <f>Summary!A6</f>
        <v/>
      </c>
      <c r="B18" s="55">
        <f>COUNTIF(Summary!$B$6:$AB$6,"Passed on test")+COUNTIF(Summary!$B$6:$AB$6,"Failed on test")+COUNTIF(Summary!$B$6:$AB$6,"Runtime error")</f>
        <v/>
      </c>
      <c r="C18" s="55">
        <f>COUNTIF(Summary!$B$6:$AB$6,"Passed on test")</f>
        <v/>
      </c>
      <c r="D18" s="55">
        <f>COUNTIF(Summary!$B$6:$AB$6,"Failed on test")</f>
        <v/>
      </c>
      <c r="E18" s="55">
        <f>COUNTIF(Summary!$B$6:$AB$6,"Runtime error")</f>
        <v/>
      </c>
      <c r="F18" s="62">
        <f>IF($B18=0,0,C18/$B18)</f>
        <v/>
      </c>
      <c r="G18" s="62">
        <f>IF($B18=0,0,D18/$B18)</f>
        <v/>
      </c>
      <c r="H18" s="62">
        <f>IF($B18=0,0,E18/$B18)</f>
        <v/>
      </c>
      <c r="I18" s="55">
        <f>IF(C18=B18,"Passed on test",IF(E18&gt;0,"Runtime error","Failed on test"))</f>
        <v/>
      </c>
      <c r="J18" s="55" t="n">
        <v>1</v>
      </c>
    </row>
    <row r="19">
      <c r="A19" s="55">
        <f>Summary!A7</f>
        <v/>
      </c>
      <c r="B19" s="55">
        <f>COUNTIF(Summary!$B$7:$AB$7,"Passed on test")+COUNTIF(Summary!$B$7:$AB$7,"Failed on test")+COUNTIF(Summary!$B$7:$AB$7,"Runtime error")</f>
        <v/>
      </c>
      <c r="C19" s="55">
        <f>COUNTIF(Summary!$B$7:$AB$7,"Passed on test")</f>
        <v/>
      </c>
      <c r="D19" s="55">
        <f>COUNTIF(Summary!$B$7:$AB$7,"Failed on test")</f>
        <v/>
      </c>
      <c r="E19" s="55">
        <f>COUNTIF(Summary!$B$7:$AB$7,"Runtime error")</f>
        <v/>
      </c>
      <c r="F19" s="62">
        <f>IF($B19=0,0,C19/$B19)</f>
        <v/>
      </c>
      <c r="G19" s="62">
        <f>IF($B19=0,0,D19/$B19)</f>
        <v/>
      </c>
      <c r="H19" s="62">
        <f>IF($B19=0,0,E19/$B19)</f>
        <v/>
      </c>
      <c r="I19" s="55">
        <f>IF(C19=B19,"Passed on test",IF(E19&gt;0,"Runtime error","Failed on test"))</f>
        <v/>
      </c>
      <c r="J19" s="55" t="n">
        <v>1</v>
      </c>
    </row>
    <row r="20">
      <c r="A20" s="55">
        <f>Summary!A8</f>
        <v/>
      </c>
      <c r="B20" s="55">
        <f>COUNTIF(Summary!$B$8:$AB$8,"Passed on test")+COUNTIF(Summary!$B$8:$AB$8,"Failed on test")+COUNTIF(Summary!$B$8:$AB$8,"Runtime error")</f>
        <v/>
      </c>
      <c r="C20" s="55">
        <f>COUNTIF(Summary!$B$8:$AB$8,"Passed on test")</f>
        <v/>
      </c>
      <c r="D20" s="55">
        <f>COUNTIF(Summary!$B$8:$AB$8,"Failed on test")</f>
        <v/>
      </c>
      <c r="E20" s="55">
        <f>COUNTIF(Summary!$B$8:$AB$8,"Runtime error")</f>
        <v/>
      </c>
      <c r="F20" s="62">
        <f>IF($B20=0,0,C20/$B20)</f>
        <v/>
      </c>
      <c r="G20" s="62">
        <f>IF($B20=0,0,D20/$B20)</f>
        <v/>
      </c>
      <c r="H20" s="62">
        <f>IF($B20=0,0,E20/$B20)</f>
        <v/>
      </c>
      <c r="I20" s="55">
        <f>IF(C20=B20,"Passed on test",IF(E20&gt;0,"Runtime error","Failed on test"))</f>
        <v/>
      </c>
      <c r="J20" s="55" t="n">
        <v>1</v>
      </c>
    </row>
    <row r="21">
      <c r="A21" s="55">
        <f>Summary!A9</f>
        <v/>
      </c>
      <c r="B21" s="55">
        <f>COUNTIF(Summary!$B$9:$AB$9,"Passed on test")+COUNTIF(Summary!$B$9:$AB$9,"Failed on test")+COUNTIF(Summary!$B$9:$AB$9,"Runtime error")</f>
        <v/>
      </c>
      <c r="C21" s="55">
        <f>COUNTIF(Summary!$B$9:$AB$9,"Passed on test")</f>
        <v/>
      </c>
      <c r="D21" s="55">
        <f>COUNTIF(Summary!$B$9:$AB$9,"Failed on test")</f>
        <v/>
      </c>
      <c r="E21" s="55">
        <f>COUNTIF(Summary!$B$9:$AB$9,"Runtime error")</f>
        <v/>
      </c>
      <c r="F21" s="62">
        <f>IF($B21=0,0,C21/$B21)</f>
        <v/>
      </c>
      <c r="G21" s="62">
        <f>IF($B21=0,0,D21/$B21)</f>
        <v/>
      </c>
      <c r="H21" s="62">
        <f>IF($B21=0,0,E21/$B21)</f>
        <v/>
      </c>
      <c r="I21" s="55">
        <f>IF(C21=B21,"Passed on test",IF(E21&gt;0,"Runtime error","Failed on test"))</f>
        <v/>
      </c>
      <c r="J21" s="55" t="n">
        <v>1</v>
      </c>
    </row>
    <row r="22">
      <c r="A22" s="55">
        <f>Summary!A10</f>
        <v/>
      </c>
      <c r="B22" s="55">
        <f>COUNTIF(Summary!$B$10:$AB$10,"Passed on test")+COUNTIF(Summary!$B$10:$AB$10,"Failed on test")+COUNTIF(Summary!$B$10:$AB$10,"Runtime error")</f>
        <v/>
      </c>
      <c r="C22" s="55">
        <f>COUNTIF(Summary!$B$10:$AB$10,"Passed on test")</f>
        <v/>
      </c>
      <c r="D22" s="55">
        <f>COUNTIF(Summary!$B$10:$AB$10,"Failed on test")</f>
        <v/>
      </c>
      <c r="E22" s="55">
        <f>COUNTIF(Summary!$B$10:$AB$10,"Runtime error")</f>
        <v/>
      </c>
      <c r="F22" s="62">
        <f>IF($B22=0,0,C22/$B22)</f>
        <v/>
      </c>
      <c r="G22" s="62">
        <f>IF($B22=0,0,D22/$B22)</f>
        <v/>
      </c>
      <c r="H22" s="62">
        <f>IF($B22=0,0,E22/$B22)</f>
        <v/>
      </c>
      <c r="I22" s="55">
        <f>IF(C22=B22,"Passed on test",IF(E22&gt;0,"Runtime error","Failed on test"))</f>
        <v/>
      </c>
      <c r="J22" s="55" t="n">
        <v>1</v>
      </c>
    </row>
    <row r="23">
      <c r="A23" s="55">
        <f>Summary!A11</f>
        <v/>
      </c>
      <c r="B23" s="55">
        <f>COUNTIF(Summary!$B$11:$AB$11,"Passed on test")+COUNTIF(Summary!$B$11:$AB$11,"Failed on test")+COUNTIF(Summary!$B$11:$AB$11,"Runtime error")</f>
        <v/>
      </c>
      <c r="C23" s="55">
        <f>COUNTIF(Summary!$B$11:$AB$11,"Passed on test")</f>
        <v/>
      </c>
      <c r="D23" s="55">
        <f>COUNTIF(Summary!$B$11:$AB$11,"Failed on test")</f>
        <v/>
      </c>
      <c r="E23" s="55">
        <f>COUNTIF(Summary!$B$11:$AB$11,"Runtime error")</f>
        <v/>
      </c>
      <c r="F23" s="62">
        <f>IF($B23=0,0,C23/$B23)</f>
        <v/>
      </c>
      <c r="G23" s="62">
        <f>IF($B23=0,0,D23/$B23)</f>
        <v/>
      </c>
      <c r="H23" s="62">
        <f>IF($B23=0,0,E23/$B23)</f>
        <v/>
      </c>
      <c r="I23" s="55">
        <f>IF(C23=B23,"Passed on test",IF(E23&gt;0,"Runtime error","Failed on test"))</f>
        <v/>
      </c>
      <c r="J23" s="55" t="n">
        <v>1</v>
      </c>
    </row>
    <row r="24">
      <c r="A24" s="55">
        <f>Summary!A12</f>
        <v/>
      </c>
      <c r="B24" s="55">
        <f>COUNTIF(Summary!$B$12:$AB$12,"Passed on test")+COUNTIF(Summary!$B$12:$AB$12,"Failed on test")+COUNTIF(Summary!$B$12:$AB$12,"Runtime error")</f>
        <v/>
      </c>
      <c r="C24" s="55">
        <f>COUNTIF(Summary!$B$12:$AB$12,"Passed on test")</f>
        <v/>
      </c>
      <c r="D24" s="55">
        <f>COUNTIF(Summary!$B$12:$AB$12,"Failed on test")</f>
        <v/>
      </c>
      <c r="E24" s="55">
        <f>COUNTIF(Summary!$B$12:$AB$12,"Runtime error")</f>
        <v/>
      </c>
      <c r="F24" s="62">
        <f>IF($B24=0,0,C24/$B24)</f>
        <v/>
      </c>
      <c r="G24" s="62">
        <f>IF($B24=0,0,D24/$B24)</f>
        <v/>
      </c>
      <c r="H24" s="62">
        <f>IF($B24=0,0,E24/$B24)</f>
        <v/>
      </c>
      <c r="I24" s="55">
        <f>IF(C24=B24,"Passed on test",IF(E24&gt;0,"Runtime error","Failed on test"))</f>
        <v/>
      </c>
      <c r="J24" s="55" t="n">
        <v>2</v>
      </c>
    </row>
    <row r="25">
      <c r="A25" s="55">
        <f>Summary!A13</f>
        <v/>
      </c>
      <c r="B25" s="55">
        <f>COUNTIF(Summary!$B$13:$AB$13,"Passed on test")+COUNTIF(Summary!$B$13:$AB$13,"Failed on test")+COUNTIF(Summary!$B$13:$AB$13,"Runtime error")</f>
        <v/>
      </c>
      <c r="C25" s="55">
        <f>COUNTIF(Summary!$B$13:$AB$13,"Passed on test")</f>
        <v/>
      </c>
      <c r="D25" s="55">
        <f>COUNTIF(Summary!$B$13:$AB$13,"Failed on test")</f>
        <v/>
      </c>
      <c r="E25" s="55">
        <f>COUNTIF(Summary!$B$13:$AB$13,"Runtime error")</f>
        <v/>
      </c>
      <c r="F25" s="62">
        <f>IF($B25=0,0,C25/$B25)</f>
        <v/>
      </c>
      <c r="G25" s="62">
        <f>IF($B25=0,0,D25/$B25)</f>
        <v/>
      </c>
      <c r="H25" s="62">
        <f>IF($B25=0,0,E25/$B25)</f>
        <v/>
      </c>
      <c r="I25" s="55">
        <f>IF(C25=B25,"Passed on test",IF(E25&gt;0,"Runtime error","Failed on test"))</f>
        <v/>
      </c>
      <c r="J25" s="55" t="n">
        <v>2</v>
      </c>
    </row>
    <row r="26">
      <c r="A26" s="55">
        <f>Summary!A14</f>
        <v/>
      </c>
      <c r="B26" s="55">
        <f>COUNTIF(Summary!$B$14:$AB$14,"Passed on test")+COUNTIF(Summary!$B$14:$AB$14,"Failed on test")+COUNTIF(Summary!$B$14:$AB$14,"Runtime error")</f>
        <v/>
      </c>
      <c r="C26" s="55">
        <f>COUNTIF(Summary!$B$14:$AB$14,"Passed on test")</f>
        <v/>
      </c>
      <c r="D26" s="55">
        <f>COUNTIF(Summary!$B$14:$AB$14,"Failed on test")</f>
        <v/>
      </c>
      <c r="E26" s="55">
        <f>COUNTIF(Summary!$B$14:$AB$14,"Runtime error")</f>
        <v/>
      </c>
      <c r="F26" s="62">
        <f>IF($B26=0,0,C26/$B26)</f>
        <v/>
      </c>
      <c r="G26" s="62">
        <f>IF($B26=0,0,D26/$B26)</f>
        <v/>
      </c>
      <c r="H26" s="62">
        <f>IF($B26=0,0,E26/$B26)</f>
        <v/>
      </c>
      <c r="I26" s="55">
        <f>IF(C26=B26,"Passed on test",IF(E26&gt;0,"Runtime error","Failed on test"))</f>
        <v/>
      </c>
      <c r="J26" s="55" t="n">
        <v>2</v>
      </c>
    </row>
    <row r="27">
      <c r="A27" s="55">
        <f>Summary!A15</f>
        <v/>
      </c>
      <c r="B27" s="55">
        <f>COUNTIF(Summary!$B$15:$AB$15,"Passed on test")+COUNTIF(Summary!$B$15:$AB$15,"Failed on test")+COUNTIF(Summary!$B$15:$AB$15,"Runtime error")</f>
        <v/>
      </c>
      <c r="C27" s="55">
        <f>COUNTIF(Summary!$B$15:$AB$15,"Passed on test")</f>
        <v/>
      </c>
      <c r="D27" s="55">
        <f>COUNTIF(Summary!$B$15:$AB$15,"Failed on test")</f>
        <v/>
      </c>
      <c r="E27" s="55">
        <f>COUNTIF(Summary!$B$15:$AB$15,"Runtime error")</f>
        <v/>
      </c>
      <c r="F27" s="62">
        <f>IF($B27=0,0,C27/$B27)</f>
        <v/>
      </c>
      <c r="G27" s="62">
        <f>IF($B27=0,0,D27/$B27)</f>
        <v/>
      </c>
      <c r="H27" s="62">
        <f>IF($B27=0,0,E27/$B27)</f>
        <v/>
      </c>
      <c r="I27" s="55">
        <f>IF(C27=B27,"Passed on test",IF(E27&gt;0,"Runtime error","Failed on test"))</f>
        <v/>
      </c>
      <c r="J27" s="55" t="n">
        <v>2</v>
      </c>
    </row>
    <row r="28">
      <c r="A28" s="55">
        <f>Summary!A16</f>
        <v/>
      </c>
      <c r="B28" s="55">
        <f>COUNTIF(Summary!$B$16:$AB$16,"Passed on test")+COUNTIF(Summary!$B$16:$AB$16,"Failed on test")+COUNTIF(Summary!$B$16:$AB$16,"Runtime error")</f>
        <v/>
      </c>
      <c r="C28" s="55">
        <f>COUNTIF(Summary!$B$16:$AB$16,"Passed on test")</f>
        <v/>
      </c>
      <c r="D28" s="55">
        <f>COUNTIF(Summary!$B$16:$AB$16,"Failed on test")</f>
        <v/>
      </c>
      <c r="E28" s="55">
        <f>COUNTIF(Summary!$B$16:$AB$16,"Runtime error")</f>
        <v/>
      </c>
      <c r="F28" s="62">
        <f>IF($B28=0,0,C28/$B28)</f>
        <v/>
      </c>
      <c r="G28" s="62">
        <f>IF($B28=0,0,D28/$B28)</f>
        <v/>
      </c>
      <c r="H28" s="62">
        <f>IF($B28=0,0,E28/$B28)</f>
        <v/>
      </c>
      <c r="I28" s="55">
        <f>IF(C28=B28,"Passed on test",IF(E28&gt;0,"Runtime error","Failed on test"))</f>
        <v/>
      </c>
      <c r="J28" s="55" t="n">
        <v>2</v>
      </c>
    </row>
    <row r="29">
      <c r="A29" s="55">
        <f>Summary!A17</f>
        <v/>
      </c>
      <c r="B29" s="55">
        <f>COUNTIF(Summary!$B$17:$AB$17,"Passed on test")+COUNTIF(Summary!$B$17:$AB$17,"Failed on test")+COUNTIF(Summary!$B$17:$AB$17,"Runtime error")</f>
        <v/>
      </c>
      <c r="C29" s="55">
        <f>COUNTIF(Summary!$B$17:$AB$17,"Passed on test")</f>
        <v/>
      </c>
      <c r="D29" s="55">
        <f>COUNTIF(Summary!$B$17:$AB$17,"Failed on test")</f>
        <v/>
      </c>
      <c r="E29" s="55">
        <f>COUNTIF(Summary!$B$17:$AB$17,"Runtime error")</f>
        <v/>
      </c>
      <c r="F29" s="62">
        <f>IF($B29=0,0,C29/$B29)</f>
        <v/>
      </c>
      <c r="G29" s="62">
        <f>IF($B29=0,0,D29/$B29)</f>
        <v/>
      </c>
      <c r="H29" s="62">
        <f>IF($B29=0,0,E29/$B29)</f>
        <v/>
      </c>
      <c r="I29" s="55">
        <f>IF(C29=B29,"Passed on test",IF(E29&gt;0,"Runtime error","Failed on test"))</f>
        <v/>
      </c>
      <c r="J29" s="55" t="n">
        <v>2</v>
      </c>
    </row>
    <row r="30">
      <c r="A30" s="55">
        <f>Summary!A18</f>
        <v/>
      </c>
      <c r="B30" s="55">
        <f>COUNTIF(Summary!$B$18:$AB$18,"Passed on test")+COUNTIF(Summary!$B$18:$AB$18,"Failed on test")+COUNTIF(Summary!$B$18:$AB$18,"Runtime error")</f>
        <v/>
      </c>
      <c r="C30" s="55">
        <f>COUNTIF(Summary!$B$18:$AB$18,"Passed on test")</f>
        <v/>
      </c>
      <c r="D30" s="55">
        <f>COUNTIF(Summary!$B$18:$AB$18,"Failed on test")</f>
        <v/>
      </c>
      <c r="E30" s="55">
        <f>COUNTIF(Summary!$B$18:$AB$18,"Runtime error")</f>
        <v/>
      </c>
      <c r="F30" s="62">
        <f>IF($B30=0,0,C30/$B30)</f>
        <v/>
      </c>
      <c r="G30" s="62">
        <f>IF($B30=0,0,D30/$B30)</f>
        <v/>
      </c>
      <c r="H30" s="62">
        <f>IF($B30=0,0,E30/$B30)</f>
        <v/>
      </c>
      <c r="I30" s="55">
        <f>IF(C30=B30,"Passed on test",IF(E30&gt;0,"Runtime error","Failed on test"))</f>
        <v/>
      </c>
      <c r="J30" s="55" t="n">
        <v>2</v>
      </c>
    </row>
    <row r="31">
      <c r="A31" s="55">
        <f>Summary!A19</f>
        <v/>
      </c>
      <c r="B31" s="55">
        <f>COUNTIF(Summary!$B$19:$AB$19,"Passed on test")+COUNTIF(Summary!$B$19:$AB$19,"Failed on test")+COUNTIF(Summary!$B$19:$AB$19,"Runtime error")</f>
        <v/>
      </c>
      <c r="C31" s="55">
        <f>COUNTIF(Summary!$B$19:$AB$19,"Passed on test")</f>
        <v/>
      </c>
      <c r="D31" s="55">
        <f>COUNTIF(Summary!$B$19:$AB$19,"Failed on test")</f>
        <v/>
      </c>
      <c r="E31" s="55">
        <f>COUNTIF(Summary!$B$19:$AB$19,"Runtime error")</f>
        <v/>
      </c>
      <c r="F31" s="62">
        <f>IF($B31=0,0,C31/$B31)</f>
        <v/>
      </c>
      <c r="G31" s="62">
        <f>IF($B31=0,0,D31/$B31)</f>
        <v/>
      </c>
      <c r="H31" s="62">
        <f>IF($B31=0,0,E31/$B31)</f>
        <v/>
      </c>
      <c r="I31" s="55">
        <f>IF(C31=B31,"Passed on test",IF(E31&gt;0,"Runtime error","Failed on test"))</f>
        <v/>
      </c>
      <c r="J31" s="55" t="n">
        <v>2</v>
      </c>
    </row>
    <row r="32">
      <c r="A32" s="55">
        <f>Summary!A20</f>
        <v/>
      </c>
      <c r="B32" s="55">
        <f>COUNTIF(Summary!$B$20:$AB$20,"Passed on test")+COUNTIF(Summary!$B$20:$AB$20,"Failed on test")+COUNTIF(Summary!$B$20:$AB$20,"Runtime error")</f>
        <v/>
      </c>
      <c r="C32" s="55">
        <f>COUNTIF(Summary!$B$20:$AB$20,"Passed on test")</f>
        <v/>
      </c>
      <c r="D32" s="55">
        <f>COUNTIF(Summary!$B$20:$AB$20,"Failed on test")</f>
        <v/>
      </c>
      <c r="E32" s="55">
        <f>COUNTIF(Summary!$B$20:$AB$20,"Runtime error")</f>
        <v/>
      </c>
      <c r="F32" s="62">
        <f>IF($B32=0,0,C32/$B32)</f>
        <v/>
      </c>
      <c r="G32" s="62">
        <f>IF($B32=0,0,D32/$B32)</f>
        <v/>
      </c>
      <c r="H32" s="62">
        <f>IF($B32=0,0,E32/$B32)</f>
        <v/>
      </c>
      <c r="I32" s="55">
        <f>IF(C32=B32,"Passed on test",IF(E32&gt;0,"Runtime error","Failed on test"))</f>
        <v/>
      </c>
      <c r="J32" s="55" t="n">
        <v>2</v>
      </c>
    </row>
    <row r="33">
      <c r="A33" s="55">
        <f>Summary!A21</f>
        <v/>
      </c>
      <c r="B33" s="55">
        <f>COUNTIF(Summary!$B$21:$AB$21,"Passed on test")+COUNTIF(Summary!$B$21:$AB$21,"Failed on test")+COUNTIF(Summary!$B$21:$AB$21,"Runtime error")</f>
        <v/>
      </c>
      <c r="C33" s="55">
        <f>COUNTIF(Summary!$B$21:$AB$21,"Passed on test")</f>
        <v/>
      </c>
      <c r="D33" s="55">
        <f>COUNTIF(Summary!$B$21:$AB$21,"Failed on test")</f>
        <v/>
      </c>
      <c r="E33" s="55">
        <f>COUNTIF(Summary!$B$21:$AB$21,"Runtime error")</f>
        <v/>
      </c>
      <c r="F33" s="62">
        <f>IF($B33=0,0,C33/$B33)</f>
        <v/>
      </c>
      <c r="G33" s="62">
        <f>IF($B33=0,0,D33/$B33)</f>
        <v/>
      </c>
      <c r="H33" s="62">
        <f>IF($B33=0,0,E33/$B33)</f>
        <v/>
      </c>
      <c r="I33" s="55">
        <f>IF(C33=B33,"Passed on test",IF(E33&gt;0,"Runtime error","Failed on test"))</f>
        <v/>
      </c>
      <c r="J33" s="55" t="n">
        <v>2</v>
      </c>
    </row>
    <row r="34">
      <c r="A34" s="55">
        <f>Summary!A22</f>
        <v/>
      </c>
      <c r="B34" s="55">
        <f>COUNTIF(Summary!$B$22:$AB$22,"Passed on test")+COUNTIF(Summary!$B$22:$AB$22,"Failed on test")+COUNTIF(Summary!$B$22:$AB$22,"Runtime error")</f>
        <v/>
      </c>
      <c r="C34" s="55">
        <f>COUNTIF(Summary!$B$22:$AB$22,"Passed on test")</f>
        <v/>
      </c>
      <c r="D34" s="55">
        <f>COUNTIF(Summary!$B$22:$AB$22,"Failed on test")</f>
        <v/>
      </c>
      <c r="E34" s="55">
        <f>COUNTIF(Summary!$B$22:$AB$22,"Runtime error")</f>
        <v/>
      </c>
      <c r="F34" s="62">
        <f>IF($B34=0,0,C34/$B34)</f>
        <v/>
      </c>
      <c r="G34" s="62">
        <f>IF($B34=0,0,D34/$B34)</f>
        <v/>
      </c>
      <c r="H34" s="62">
        <f>IF($B34=0,0,E34/$B34)</f>
        <v/>
      </c>
      <c r="I34" s="55">
        <f>IF(C34=B34,"Passed on test",IF(E34&gt;0,"Runtime error","Failed on test"))</f>
        <v/>
      </c>
      <c r="J34" s="55" t="n">
        <v>3</v>
      </c>
    </row>
    <row r="35">
      <c r="A35" s="55">
        <f>Summary!A23</f>
        <v/>
      </c>
      <c r="B35" s="55">
        <f>COUNTIF(Summary!$B$23:$AB$23,"Passed on test")+COUNTIF(Summary!$B$23:$AB$23,"Failed on test")+COUNTIF(Summary!$B$23:$AB$23,"Runtime error")</f>
        <v/>
      </c>
      <c r="C35" s="55">
        <f>COUNTIF(Summary!$B$23:$AB$23,"Passed on test")</f>
        <v/>
      </c>
      <c r="D35" s="55">
        <f>COUNTIF(Summary!$B$23:$AB$23,"Failed on test")</f>
        <v/>
      </c>
      <c r="E35" s="55">
        <f>COUNTIF(Summary!$B$23:$AB$23,"Runtime error")</f>
        <v/>
      </c>
      <c r="F35" s="62">
        <f>IF($B35=0,0,C35/$B35)</f>
        <v/>
      </c>
      <c r="G35" s="62">
        <f>IF($B35=0,0,D35/$B35)</f>
        <v/>
      </c>
      <c r="H35" s="62">
        <f>IF($B35=0,0,E35/$B35)</f>
        <v/>
      </c>
      <c r="I35" s="55">
        <f>IF(C35=B35,"Passed on test",IF(E35&gt;0,"Runtime error","Failed on test"))</f>
        <v/>
      </c>
      <c r="J35" s="55" t="n">
        <v>3</v>
      </c>
    </row>
    <row r="36">
      <c r="A36" s="55">
        <f>Summary!A24</f>
        <v/>
      </c>
      <c r="B36" s="55">
        <f>COUNTIF(Summary!$B$24:$AB$24,"Passed on test")+COUNTIF(Summary!$B$24:$AB$24,"Failed on test")+COUNTIF(Summary!$B$24:$AB$24,"Runtime error")</f>
        <v/>
      </c>
      <c r="C36" s="55">
        <f>COUNTIF(Summary!$B$24:$AB$24,"Passed on test")</f>
        <v/>
      </c>
      <c r="D36" s="55">
        <f>COUNTIF(Summary!$B$24:$AB$24,"Failed on test")</f>
        <v/>
      </c>
      <c r="E36" s="55">
        <f>COUNTIF(Summary!$B$24:$AB$24,"Runtime error")</f>
        <v/>
      </c>
      <c r="F36" s="62">
        <f>IF($B36=0,0,C36/$B36)</f>
        <v/>
      </c>
      <c r="G36" s="62">
        <f>IF($B36=0,0,D36/$B36)</f>
        <v/>
      </c>
      <c r="H36" s="62">
        <f>IF($B36=0,0,E36/$B36)</f>
        <v/>
      </c>
      <c r="I36" s="55">
        <f>IF(C36=B36,"Passed on test",IF(E36&gt;0,"Runtime error","Failed on test"))</f>
        <v/>
      </c>
      <c r="J36" s="55" t="n">
        <v>3</v>
      </c>
    </row>
    <row r="37">
      <c r="A37" s="55">
        <f>Summary!A25</f>
        <v/>
      </c>
      <c r="B37" s="55">
        <f>COUNTIF(Summary!$B$25:$AB$25,"Passed on test")+COUNTIF(Summary!$B$25:$AB$25,"Failed on test")+COUNTIF(Summary!$B$25:$AB$25,"Runtime error")</f>
        <v/>
      </c>
      <c r="C37" s="55">
        <f>COUNTIF(Summary!$B$25:$AB$25,"Passed on test")</f>
        <v/>
      </c>
      <c r="D37" s="55">
        <f>COUNTIF(Summary!$B$25:$AB$25,"Failed on test")</f>
        <v/>
      </c>
      <c r="E37" s="55">
        <f>COUNTIF(Summary!$B$25:$AB$25,"Runtime error")</f>
        <v/>
      </c>
      <c r="F37" s="62">
        <f>IF($B37=0,0,C37/$B37)</f>
        <v/>
      </c>
      <c r="G37" s="62">
        <f>IF($B37=0,0,D37/$B37)</f>
        <v/>
      </c>
      <c r="H37" s="62">
        <f>IF($B37=0,0,E37/$B37)</f>
        <v/>
      </c>
      <c r="I37" s="55">
        <f>IF(C37=B37,"Passed on test",IF(E37&gt;0,"Runtime error","Failed on test"))</f>
        <v/>
      </c>
      <c r="J37" s="55" t="n">
        <v>3</v>
      </c>
    </row>
    <row r="38">
      <c r="A38" s="55">
        <f>Summary!A26</f>
        <v/>
      </c>
      <c r="B38" s="55">
        <f>COUNTIF(Summary!$B$26:$AB$26,"Passed on test")+COUNTIF(Summary!$B$26:$AB$26,"Failed on test")+COUNTIF(Summary!$B$26:$AB$26,"Runtime error")</f>
        <v/>
      </c>
      <c r="C38" s="55">
        <f>COUNTIF(Summary!$B$26:$AB$26,"Passed on test")</f>
        <v/>
      </c>
      <c r="D38" s="55">
        <f>COUNTIF(Summary!$B$26:$AB$26,"Failed on test")</f>
        <v/>
      </c>
      <c r="E38" s="55">
        <f>COUNTIF(Summary!$B$26:$AB$26,"Runtime error")</f>
        <v/>
      </c>
      <c r="F38" s="62">
        <f>IF($B38=0,0,C38/$B38)</f>
        <v/>
      </c>
      <c r="G38" s="62">
        <f>IF($B38=0,0,D38/$B38)</f>
        <v/>
      </c>
      <c r="H38" s="62">
        <f>IF($B38=0,0,E38/$B38)</f>
        <v/>
      </c>
      <c r="I38" s="55">
        <f>IF(C38=B38,"Passed on test",IF(E38&gt;0,"Runtime error","Failed on test"))</f>
        <v/>
      </c>
      <c r="J38" s="55" t="n">
        <v>3</v>
      </c>
    </row>
    <row r="39">
      <c r="A39" s="55">
        <f>Summary!A27</f>
        <v/>
      </c>
      <c r="B39" s="55">
        <f>COUNTIF(Summary!$B$27:$AB$27,"Passed on test")+COUNTIF(Summary!$B$27:$AB$27,"Failed on test")+COUNTIF(Summary!$B$27:$AB$27,"Runtime error")</f>
        <v/>
      </c>
      <c r="C39" s="55">
        <f>COUNTIF(Summary!$B$27:$AB$27,"Passed on test")</f>
        <v/>
      </c>
      <c r="D39" s="55">
        <f>COUNTIF(Summary!$B$27:$AB$27,"Failed on test")</f>
        <v/>
      </c>
      <c r="E39" s="55">
        <f>COUNTIF(Summary!$B$27:$AB$27,"Runtime error")</f>
        <v/>
      </c>
      <c r="F39" s="62">
        <f>IF($B39=0,0,C39/$B39)</f>
        <v/>
      </c>
      <c r="G39" s="62">
        <f>IF($B39=0,0,D39/$B39)</f>
        <v/>
      </c>
      <c r="H39" s="62">
        <f>IF($B39=0,0,E39/$B39)</f>
        <v/>
      </c>
      <c r="I39" s="55">
        <f>IF(C39=B39,"Passed on test",IF(E39&gt;0,"Runtime error","Failed on test"))</f>
        <v/>
      </c>
      <c r="J39" s="55" t="n">
        <v>3</v>
      </c>
    </row>
    <row r="40">
      <c r="A40" s="55">
        <f>Summary!A28</f>
        <v/>
      </c>
      <c r="B40" s="55">
        <f>COUNTIF(Summary!$B$28:$AB$28,"Passed on test")+COUNTIF(Summary!$B$28:$AB$28,"Failed on test")+COUNTIF(Summary!$B$28:$AB$28,"Runtime error")</f>
        <v/>
      </c>
      <c r="C40" s="55">
        <f>COUNTIF(Summary!$B$28:$AB$28,"Passed on test")</f>
        <v/>
      </c>
      <c r="D40" s="55">
        <f>COUNTIF(Summary!$B$28:$AB$28,"Failed on test")</f>
        <v/>
      </c>
      <c r="E40" s="55">
        <f>COUNTIF(Summary!$B$28:$AB$28,"Runtime error")</f>
        <v/>
      </c>
      <c r="F40" s="62">
        <f>IF($B40=0,0,C40/$B40)</f>
        <v/>
      </c>
      <c r="G40" s="62">
        <f>IF($B40=0,0,D40/$B40)</f>
        <v/>
      </c>
      <c r="H40" s="62">
        <f>IF($B40=0,0,E40/$B40)</f>
        <v/>
      </c>
      <c r="I40" s="55">
        <f>IF(C40=B40,"Passed on test",IF(E40&gt;0,"Runtime error","Failed on test"))</f>
        <v/>
      </c>
      <c r="J40" s="55" t="n">
        <v>3</v>
      </c>
    </row>
    <row r="41">
      <c r="A41" s="55">
        <f>Summary!A29</f>
        <v/>
      </c>
      <c r="B41" s="55">
        <f>COUNTIF(Summary!$B$29:$AB$29,"Passed on test")+COUNTIF(Summary!$B$29:$AB$29,"Failed on test")+COUNTIF(Summary!$B$29:$AB$29,"Runtime error")</f>
        <v/>
      </c>
      <c r="C41" s="55">
        <f>COUNTIF(Summary!$B$29:$AB$29,"Passed on test")</f>
        <v/>
      </c>
      <c r="D41" s="55">
        <f>COUNTIF(Summary!$B$29:$AB$29,"Failed on test")</f>
        <v/>
      </c>
      <c r="E41" s="55">
        <f>COUNTIF(Summary!$B$29:$AB$29,"Runtime error")</f>
        <v/>
      </c>
      <c r="F41" s="62">
        <f>IF($B41=0,0,C41/$B41)</f>
        <v/>
      </c>
      <c r="G41" s="62">
        <f>IF($B41=0,0,D41/$B41)</f>
        <v/>
      </c>
      <c r="H41" s="62">
        <f>IF($B41=0,0,E41/$B41)</f>
        <v/>
      </c>
      <c r="I41" s="55">
        <f>IF(C41=B41,"Passed on test",IF(E41&gt;0,"Runtime error","Failed on test"))</f>
        <v/>
      </c>
      <c r="J41" s="55" t="n">
        <v>3</v>
      </c>
    </row>
    <row r="42">
      <c r="A42" s="55">
        <f>Summary!A30</f>
        <v/>
      </c>
      <c r="B42" s="55">
        <f>COUNTIF(Summary!$B$30:$AB$30,"Passed on test")+COUNTIF(Summary!$B$30:$AB$30,"Failed on test")+COUNTIF(Summary!$B$30:$AB$30,"Runtime error")</f>
        <v/>
      </c>
      <c r="C42" s="55">
        <f>COUNTIF(Summary!$B$30:$AB$30,"Passed on test")</f>
        <v/>
      </c>
      <c r="D42" s="55">
        <f>COUNTIF(Summary!$B$30:$AB$30,"Failed on test")</f>
        <v/>
      </c>
      <c r="E42" s="55">
        <f>COUNTIF(Summary!$B$30:$AB$30,"Runtime error")</f>
        <v/>
      </c>
      <c r="F42" s="62">
        <f>IF($B42=0,0,C42/$B42)</f>
        <v/>
      </c>
      <c r="G42" s="62">
        <f>IF($B42=0,0,D42/$B42)</f>
        <v/>
      </c>
      <c r="H42" s="62">
        <f>IF($B42=0,0,E42/$B42)</f>
        <v/>
      </c>
      <c r="I42" s="55">
        <f>IF(C42=B42,"Passed on test",IF(E42&gt;0,"Runtime error","Failed on test"))</f>
        <v/>
      </c>
      <c r="J42" s="55" t="n">
        <v>3</v>
      </c>
    </row>
    <row r="43">
      <c r="A43" s="55">
        <f>Summary!A31</f>
        <v/>
      </c>
      <c r="B43" s="55">
        <f>COUNTIF(Summary!$B$31:$AB$31,"Passed on test")+COUNTIF(Summary!$B$31:$AB$31,"Failed on test")+COUNTIF(Summary!$B$31:$AB$31,"Runtime error")</f>
        <v/>
      </c>
      <c r="C43" s="55">
        <f>COUNTIF(Summary!$B$31:$AB$31,"Passed on test")</f>
        <v/>
      </c>
      <c r="D43" s="55">
        <f>COUNTIF(Summary!$B$31:$AB$31,"Failed on test")</f>
        <v/>
      </c>
      <c r="E43" s="55">
        <f>COUNTIF(Summary!$B$31:$AB$31,"Runtime error")</f>
        <v/>
      </c>
      <c r="F43" s="62">
        <f>IF($B43=0,0,C43/$B43)</f>
        <v/>
      </c>
      <c r="G43" s="62">
        <f>IF($B43=0,0,D43/$B43)</f>
        <v/>
      </c>
      <c r="H43" s="62">
        <f>IF($B43=0,0,E43/$B43)</f>
        <v/>
      </c>
      <c r="I43" s="55">
        <f>IF(C43=B43,"Passed on test",IF(E43&gt;0,"Runtime error","Failed on test"))</f>
        <v/>
      </c>
      <c r="J43" s="55" t="n">
        <v>3</v>
      </c>
    </row>
    <row r="44">
      <c r="A44" s="55">
        <f>Summary!A32</f>
        <v/>
      </c>
      <c r="B44" s="55">
        <f>COUNTIF(Summary!$B$32:$AB$32,"Passed on test")+COUNTIF(Summary!$B$32:$AB$32,"Failed on test")+COUNTIF(Summary!$B$32:$AB$32,"Runtime error")</f>
        <v/>
      </c>
      <c r="C44" s="55">
        <f>COUNTIF(Summary!$B$32:$AB$32,"Passed on test")</f>
        <v/>
      </c>
      <c r="D44" s="55">
        <f>COUNTIF(Summary!$B$32:$AB$32,"Failed on test")</f>
        <v/>
      </c>
      <c r="E44" s="55">
        <f>COUNTIF(Summary!$B$32:$AB$32,"Runtime error")</f>
        <v/>
      </c>
      <c r="F44" s="62">
        <f>IF($B44=0,0,C44/$B44)</f>
        <v/>
      </c>
      <c r="G44" s="62">
        <f>IF($B44=0,0,D44/$B44)</f>
        <v/>
      </c>
      <c r="H44" s="62">
        <f>IF($B44=0,0,E44/$B44)</f>
        <v/>
      </c>
      <c r="I44" s="55">
        <f>IF(C44=B44,"Passed on test",IF(E44&gt;0,"Runtime error","Failed on test"))</f>
        <v/>
      </c>
      <c r="J44" s="55" t="n">
        <v>4</v>
      </c>
    </row>
    <row r="45">
      <c r="A45" s="55">
        <f>Summary!A33</f>
        <v/>
      </c>
      <c r="B45" s="55">
        <f>COUNTIF(Summary!$B$33:$AB$33,"Passed on test")+COUNTIF(Summary!$B$33:$AB$33,"Failed on test")+COUNTIF(Summary!$B$33:$AB$33,"Runtime error")</f>
        <v/>
      </c>
      <c r="C45" s="55">
        <f>COUNTIF(Summary!$B$33:$AB$33,"Passed on test")</f>
        <v/>
      </c>
      <c r="D45" s="55">
        <f>COUNTIF(Summary!$B$33:$AB$33,"Failed on test")</f>
        <v/>
      </c>
      <c r="E45" s="55">
        <f>COUNTIF(Summary!$B$33:$AB$33,"Runtime error")</f>
        <v/>
      </c>
      <c r="F45" s="62">
        <f>IF($B45=0,0,C45/$B45)</f>
        <v/>
      </c>
      <c r="G45" s="62">
        <f>IF($B45=0,0,D45/$B45)</f>
        <v/>
      </c>
      <c r="H45" s="62">
        <f>IF($B45=0,0,E45/$B45)</f>
        <v/>
      </c>
      <c r="I45" s="55">
        <f>IF(C45=B45,"Passed on test",IF(E45&gt;0,"Runtime error","Failed on test"))</f>
        <v/>
      </c>
      <c r="J45" s="55" t="n">
        <v>4</v>
      </c>
    </row>
    <row r="46">
      <c r="A46" s="55">
        <f>Summary!A34</f>
        <v/>
      </c>
      <c r="B46" s="55">
        <f>COUNTIF(Summary!$B$34:$AB$34,"Passed on test")+COUNTIF(Summary!$B$34:$AB$34,"Failed on test")+COUNTIF(Summary!$B$34:$AB$34,"Runtime error")</f>
        <v/>
      </c>
      <c r="C46" s="55">
        <f>COUNTIF(Summary!$B$34:$AB$34,"Passed on test")</f>
        <v/>
      </c>
      <c r="D46" s="55">
        <f>COUNTIF(Summary!$B$34:$AB$34,"Failed on test")</f>
        <v/>
      </c>
      <c r="E46" s="55">
        <f>COUNTIF(Summary!$B$34:$AB$34,"Runtime error")</f>
        <v/>
      </c>
      <c r="F46" s="62">
        <f>IF($B46=0,0,C46/$B46)</f>
        <v/>
      </c>
      <c r="G46" s="62">
        <f>IF($B46=0,0,D46/$B46)</f>
        <v/>
      </c>
      <c r="H46" s="62">
        <f>IF($B46=0,0,E46/$B46)</f>
        <v/>
      </c>
      <c r="I46" s="55">
        <f>IF(C46=B46,"Passed on test",IF(E46&gt;0,"Runtime error","Failed on test"))</f>
        <v/>
      </c>
      <c r="J46" s="55" t="n">
        <v>4</v>
      </c>
    </row>
    <row r="47">
      <c r="A47" s="55">
        <f>Summary!A35</f>
        <v/>
      </c>
      <c r="B47" s="55">
        <f>COUNTIF(Summary!$B$35:$AB$35,"Passed on test")+COUNTIF(Summary!$B$35:$AB$35,"Failed on test")+COUNTIF(Summary!$B$35:$AB$35,"Runtime error")</f>
        <v/>
      </c>
      <c r="C47" s="55">
        <f>COUNTIF(Summary!$B$35:$AB$35,"Passed on test")</f>
        <v/>
      </c>
      <c r="D47" s="55">
        <f>COUNTIF(Summary!$B$35:$AB$35,"Failed on test")</f>
        <v/>
      </c>
      <c r="E47" s="55">
        <f>COUNTIF(Summary!$B$35:$AB$35,"Runtime error")</f>
        <v/>
      </c>
      <c r="F47" s="62">
        <f>IF($B47=0,0,C47/$B47)</f>
        <v/>
      </c>
      <c r="G47" s="62">
        <f>IF($B47=0,0,D47/$B47)</f>
        <v/>
      </c>
      <c r="H47" s="62">
        <f>IF($B47=0,0,E47/$B47)</f>
        <v/>
      </c>
      <c r="I47" s="55">
        <f>IF(C47=B47,"Passed on test",IF(E47&gt;0,"Runtime error","Failed on test"))</f>
        <v/>
      </c>
      <c r="J47" s="55" t="n">
        <v>4</v>
      </c>
    </row>
    <row r="48">
      <c r="A48" s="55">
        <f>Summary!A36</f>
        <v/>
      </c>
      <c r="B48" s="55">
        <f>COUNTIF(Summary!$B$36:$AB$36,"Passed on test")+COUNTIF(Summary!$B$36:$AB$36,"Failed on test")+COUNTIF(Summary!$B$36:$AB$36,"Runtime error")</f>
        <v/>
      </c>
      <c r="C48" s="55">
        <f>COUNTIF(Summary!$B$36:$AB$36,"Passed on test")</f>
        <v/>
      </c>
      <c r="D48" s="55">
        <f>COUNTIF(Summary!$B$36:$AB$36,"Failed on test")</f>
        <v/>
      </c>
      <c r="E48" s="55">
        <f>COUNTIF(Summary!$B$36:$AB$36,"Runtime error")</f>
        <v/>
      </c>
      <c r="F48" s="62">
        <f>IF($B48=0,0,C48/$B48)</f>
        <v/>
      </c>
      <c r="G48" s="62">
        <f>IF($B48=0,0,D48/$B48)</f>
        <v/>
      </c>
      <c r="H48" s="62">
        <f>IF($B48=0,0,E48/$B48)</f>
        <v/>
      </c>
      <c r="I48" s="55">
        <f>IF(C48=B48,"Passed on test",IF(E48&gt;0,"Runtime error","Failed on test"))</f>
        <v/>
      </c>
      <c r="J48" s="55" t="n">
        <v>4</v>
      </c>
    </row>
    <row r="49">
      <c r="A49" s="55">
        <f>Summary!A37</f>
        <v/>
      </c>
      <c r="B49" s="55">
        <f>COUNTIF(Summary!$B$37:$AB$37,"Passed on test")+COUNTIF(Summary!$B$37:$AB$37,"Failed on test")+COUNTIF(Summary!$B$37:$AB$37,"Runtime error")</f>
        <v/>
      </c>
      <c r="C49" s="55">
        <f>COUNTIF(Summary!$B$37:$AB$37,"Passed on test")</f>
        <v/>
      </c>
      <c r="D49" s="55">
        <f>COUNTIF(Summary!$B$37:$AB$37,"Failed on test")</f>
        <v/>
      </c>
      <c r="E49" s="55">
        <f>COUNTIF(Summary!$B$37:$AB$37,"Runtime error")</f>
        <v/>
      </c>
      <c r="F49" s="62">
        <f>IF($B49=0,0,C49/$B49)</f>
        <v/>
      </c>
      <c r="G49" s="62">
        <f>IF($B49=0,0,D49/$B49)</f>
        <v/>
      </c>
      <c r="H49" s="62">
        <f>IF($B49=0,0,E49/$B49)</f>
        <v/>
      </c>
      <c r="I49" s="55">
        <f>IF(C49=B49,"Passed on test",IF(E49&gt;0,"Runtime error","Failed on test"))</f>
        <v/>
      </c>
      <c r="J49" s="55" t="n">
        <v>4</v>
      </c>
    </row>
    <row r="50">
      <c r="A50" s="55">
        <f>Summary!A38</f>
        <v/>
      </c>
      <c r="B50" s="55">
        <f>COUNTIF(Summary!$B$38:$AB$38,"Passed on test")+COUNTIF(Summary!$B$38:$AB$38,"Failed on test")+COUNTIF(Summary!$B$38:$AB$38,"Runtime error")</f>
        <v/>
      </c>
      <c r="C50" s="55">
        <f>COUNTIF(Summary!$B$38:$AB$38,"Passed on test")</f>
        <v/>
      </c>
      <c r="D50" s="55">
        <f>COUNTIF(Summary!$B$38:$AB$38,"Failed on test")</f>
        <v/>
      </c>
      <c r="E50" s="55">
        <f>COUNTIF(Summary!$B$38:$AB$38,"Runtime error")</f>
        <v/>
      </c>
      <c r="F50" s="62">
        <f>IF($B50=0,0,C50/$B50)</f>
        <v/>
      </c>
      <c r="G50" s="62">
        <f>IF($B50=0,0,D50/$B50)</f>
        <v/>
      </c>
      <c r="H50" s="62">
        <f>IF($B50=0,0,E50/$B50)</f>
        <v/>
      </c>
      <c r="I50" s="55">
        <f>IF(C50=B50,"Passed on test",IF(E50&gt;0,"Runtime error","Failed on test"))</f>
        <v/>
      </c>
      <c r="J50" s="55" t="n">
        <v>4</v>
      </c>
    </row>
    <row r="51">
      <c r="A51" s="55">
        <f>Summary!A39</f>
        <v/>
      </c>
      <c r="B51" s="55">
        <f>COUNTIF(Summary!$B$39:$AB$39,"Passed on test")+COUNTIF(Summary!$B$39:$AB$39,"Failed on test")+COUNTIF(Summary!$B$39:$AB$39,"Runtime error")</f>
        <v/>
      </c>
      <c r="C51" s="55">
        <f>COUNTIF(Summary!$B$39:$AB$39,"Passed on test")</f>
        <v/>
      </c>
      <c r="D51" s="55">
        <f>COUNTIF(Summary!$B$39:$AB$39,"Failed on test")</f>
        <v/>
      </c>
      <c r="E51" s="55">
        <f>COUNTIF(Summary!$B$39:$AB$39,"Runtime error")</f>
        <v/>
      </c>
      <c r="F51" s="62">
        <f>IF($B51=0,0,C51/$B51)</f>
        <v/>
      </c>
      <c r="G51" s="62">
        <f>IF($B51=0,0,D51/$B51)</f>
        <v/>
      </c>
      <c r="H51" s="62">
        <f>IF($B51=0,0,E51/$B51)</f>
        <v/>
      </c>
      <c r="I51" s="55">
        <f>IF(C51=B51,"Passed on test",IF(E51&gt;0,"Runtime error","Failed on test"))</f>
        <v/>
      </c>
      <c r="J51" s="55" t="n">
        <v>4</v>
      </c>
    </row>
    <row r="52">
      <c r="A52" s="55">
        <f>Summary!A40</f>
        <v/>
      </c>
      <c r="B52" s="55">
        <f>COUNTIF(Summary!$B$40:$AB$40,"Passed on test")+COUNTIF(Summary!$B$40:$AB$40,"Failed on test")+COUNTIF(Summary!$B$40:$AB$40,"Runtime error")</f>
        <v/>
      </c>
      <c r="C52" s="55">
        <f>COUNTIF(Summary!$B$40:$AB$40,"Passed on test")</f>
        <v/>
      </c>
      <c r="D52" s="55">
        <f>COUNTIF(Summary!$B$40:$AB$40,"Failed on test")</f>
        <v/>
      </c>
      <c r="E52" s="55">
        <f>COUNTIF(Summary!$B$40:$AB$40,"Runtime error")</f>
        <v/>
      </c>
      <c r="F52" s="62">
        <f>IF($B52=0,0,C52/$B52)</f>
        <v/>
      </c>
      <c r="G52" s="62">
        <f>IF($B52=0,0,D52/$B52)</f>
        <v/>
      </c>
      <c r="H52" s="62">
        <f>IF($B52=0,0,E52/$B52)</f>
        <v/>
      </c>
      <c r="I52" s="55">
        <f>IF(C52=B52,"Passed on test",IF(E52&gt;0,"Runtime error","Failed on test"))</f>
        <v/>
      </c>
      <c r="J52" s="55" t="n">
        <v>4</v>
      </c>
    </row>
    <row r="53">
      <c r="A53" s="55">
        <f>Summary!A41</f>
        <v/>
      </c>
      <c r="B53" s="55">
        <f>COUNTIF(Summary!$B$41:$AB$41,"Passed on test")+COUNTIF(Summary!$B$41:$AB$41,"Failed on test")+COUNTIF(Summary!$B$41:$AB$41,"Runtime error")</f>
        <v/>
      </c>
      <c r="C53" s="55">
        <f>COUNTIF(Summary!$B$41:$AB$41,"Passed on test")</f>
        <v/>
      </c>
      <c r="D53" s="55">
        <f>COUNTIF(Summary!$B$41:$AB$41,"Failed on test")</f>
        <v/>
      </c>
      <c r="E53" s="55">
        <f>COUNTIF(Summary!$B$41:$AB$41,"Runtime error")</f>
        <v/>
      </c>
      <c r="F53" s="62">
        <f>IF($B53=0,0,C53/$B53)</f>
        <v/>
      </c>
      <c r="G53" s="62">
        <f>IF($B53=0,0,D53/$B53)</f>
        <v/>
      </c>
      <c r="H53" s="62">
        <f>IF($B53=0,0,E53/$B53)</f>
        <v/>
      </c>
      <c r="I53" s="55">
        <f>IF(C53=B53,"Passed on test",IF(E53&gt;0,"Runtime error","Failed on test"))</f>
        <v/>
      </c>
      <c r="J53" s="55" t="n">
        <v>4</v>
      </c>
    </row>
    <row r="54">
      <c r="A54" s="55">
        <f>Summary!A42</f>
        <v/>
      </c>
      <c r="B54" s="55">
        <f>COUNTIF(Summary!$B$42:$AB$42,"Passed on test")+COUNTIF(Summary!$B$42:$AB$42,"Failed on test")+COUNTIF(Summary!$B$42:$AB$42,"Runtime error")</f>
        <v/>
      </c>
      <c r="C54" s="55">
        <f>COUNTIF(Summary!$B$42:$AB$42,"Passed on test")</f>
        <v/>
      </c>
      <c r="D54" s="55">
        <f>COUNTIF(Summary!$B$42:$AB$42,"Failed on test")</f>
        <v/>
      </c>
      <c r="E54" s="55">
        <f>COUNTIF(Summary!$B$42:$AB$42,"Runtime error")</f>
        <v/>
      </c>
      <c r="F54" s="62">
        <f>IF($B54=0,0,C54/$B54)</f>
        <v/>
      </c>
      <c r="G54" s="62">
        <f>IF($B54=0,0,D54/$B54)</f>
        <v/>
      </c>
      <c r="H54" s="62">
        <f>IF($B54=0,0,E54/$B54)</f>
        <v/>
      </c>
      <c r="I54" s="55">
        <f>IF(C54=B54,"Passed on test",IF(E54&gt;0,"Runtime error","Failed on test"))</f>
        <v/>
      </c>
      <c r="J54" s="55" t="n">
        <v>5</v>
      </c>
    </row>
    <row r="55">
      <c r="A55" s="55">
        <f>Summary!A43</f>
        <v/>
      </c>
      <c r="B55" s="55">
        <f>COUNTIF(Summary!$B$43:$AB$43,"Passed on test")+COUNTIF(Summary!$B$43:$AB$43,"Failed on test")+COUNTIF(Summary!$B$43:$AB$43,"Runtime error")</f>
        <v/>
      </c>
      <c r="C55" s="55">
        <f>COUNTIF(Summary!$B$43:$AB$43,"Passed on test")</f>
        <v/>
      </c>
      <c r="D55" s="55">
        <f>COUNTIF(Summary!$B$43:$AB$43,"Failed on test")</f>
        <v/>
      </c>
      <c r="E55" s="55">
        <f>COUNTIF(Summary!$B$43:$AB$43,"Runtime error")</f>
        <v/>
      </c>
      <c r="F55" s="62">
        <f>IF($B55=0,0,C55/$B55)</f>
        <v/>
      </c>
      <c r="G55" s="62">
        <f>IF($B55=0,0,D55/$B55)</f>
        <v/>
      </c>
      <c r="H55" s="62">
        <f>IF($B55=0,0,E55/$B55)</f>
        <v/>
      </c>
      <c r="I55" s="55">
        <f>IF(C55=B55,"Passed on test",IF(E55&gt;0,"Runtime error","Failed on test"))</f>
        <v/>
      </c>
      <c r="J55" s="55" t="n">
        <v>5</v>
      </c>
    </row>
    <row r="56">
      <c r="A56" s="55">
        <f>Summary!A44</f>
        <v/>
      </c>
      <c r="B56" s="55">
        <f>COUNTIF(Summary!$B$44:$AB$44,"Passed on test")+COUNTIF(Summary!$B$44:$AB$44,"Failed on test")+COUNTIF(Summary!$B$44:$AB$44,"Runtime error")</f>
        <v/>
      </c>
      <c r="C56" s="55">
        <f>COUNTIF(Summary!$B$44:$AB$44,"Passed on test")</f>
        <v/>
      </c>
      <c r="D56" s="55">
        <f>COUNTIF(Summary!$B$44:$AB$44,"Failed on test")</f>
        <v/>
      </c>
      <c r="E56" s="55">
        <f>COUNTIF(Summary!$B$44:$AB$44,"Runtime error")</f>
        <v/>
      </c>
      <c r="F56" s="62">
        <f>IF($B56=0,0,C56/$B56)</f>
        <v/>
      </c>
      <c r="G56" s="62">
        <f>IF($B56=0,0,D56/$B56)</f>
        <v/>
      </c>
      <c r="H56" s="62">
        <f>IF($B56=0,0,E56/$B56)</f>
        <v/>
      </c>
      <c r="I56" s="55">
        <f>IF(C56=B56,"Passed on test",IF(E56&gt;0,"Runtime error","Failed on test"))</f>
        <v/>
      </c>
      <c r="J56" s="55" t="n">
        <v>5</v>
      </c>
    </row>
    <row r="57">
      <c r="A57" s="55">
        <f>Summary!A45</f>
        <v/>
      </c>
      <c r="B57" s="55">
        <f>COUNTIF(Summary!$B$45:$AB$45,"Passed on test")+COUNTIF(Summary!$B$45:$AB$45,"Failed on test")+COUNTIF(Summary!$B$45:$AB$45,"Runtime error")</f>
        <v/>
      </c>
      <c r="C57" s="55">
        <f>COUNTIF(Summary!$B$45:$AB$45,"Passed on test")</f>
        <v/>
      </c>
      <c r="D57" s="55">
        <f>COUNTIF(Summary!$B$45:$AB$45,"Failed on test")</f>
        <v/>
      </c>
      <c r="E57" s="55">
        <f>COUNTIF(Summary!$B$45:$AB$45,"Runtime error")</f>
        <v/>
      </c>
      <c r="F57" s="62">
        <f>IF($B57=0,0,C57/$B57)</f>
        <v/>
      </c>
      <c r="G57" s="62">
        <f>IF($B57=0,0,D57/$B57)</f>
        <v/>
      </c>
      <c r="H57" s="62">
        <f>IF($B57=0,0,E57/$B57)</f>
        <v/>
      </c>
      <c r="I57" s="55">
        <f>IF(C57=B57,"Passed on test",IF(E57&gt;0,"Runtime error","Failed on test"))</f>
        <v/>
      </c>
      <c r="J57" s="55" t="n">
        <v>5</v>
      </c>
    </row>
    <row r="58">
      <c r="A58" s="55">
        <f>Summary!A46</f>
        <v/>
      </c>
      <c r="B58" s="55">
        <f>COUNTIF(Summary!$B$46:$AB$46,"Passed on test")+COUNTIF(Summary!$B$46:$AB$46,"Failed on test")+COUNTIF(Summary!$B$46:$AB$46,"Runtime error")</f>
        <v/>
      </c>
      <c r="C58" s="55">
        <f>COUNTIF(Summary!$B$46:$AB$46,"Passed on test")</f>
        <v/>
      </c>
      <c r="D58" s="55">
        <f>COUNTIF(Summary!$B$46:$AB$46,"Failed on test")</f>
        <v/>
      </c>
      <c r="E58" s="55">
        <f>COUNTIF(Summary!$B$46:$AB$46,"Runtime error")</f>
        <v/>
      </c>
      <c r="F58" s="62">
        <f>IF($B58=0,0,C58/$B58)</f>
        <v/>
      </c>
      <c r="G58" s="62">
        <f>IF($B58=0,0,D58/$B58)</f>
        <v/>
      </c>
      <c r="H58" s="62">
        <f>IF($B58=0,0,E58/$B58)</f>
        <v/>
      </c>
      <c r="I58" s="55">
        <f>IF(C58=B58,"Passed on test",IF(E58&gt;0,"Runtime error","Failed on test"))</f>
        <v/>
      </c>
      <c r="J58" s="55" t="n">
        <v>5</v>
      </c>
    </row>
    <row r="59">
      <c r="A59" s="55">
        <f>Summary!A47</f>
        <v/>
      </c>
      <c r="B59" s="55">
        <f>COUNTIF(Summary!$B$47:$AB$47,"Passed on test")+COUNTIF(Summary!$B$47:$AB$47,"Failed on test")+COUNTIF(Summary!$B$47:$AB$47,"Runtime error")</f>
        <v/>
      </c>
      <c r="C59" s="55">
        <f>COUNTIF(Summary!$B$47:$AB$47,"Passed on test")</f>
        <v/>
      </c>
      <c r="D59" s="55">
        <f>COUNTIF(Summary!$B$47:$AB$47,"Failed on test")</f>
        <v/>
      </c>
      <c r="E59" s="55">
        <f>COUNTIF(Summary!$B$47:$AB$47,"Runtime error")</f>
        <v/>
      </c>
      <c r="F59" s="62">
        <f>IF($B59=0,0,C59/$B59)</f>
        <v/>
      </c>
      <c r="G59" s="62">
        <f>IF($B59=0,0,D59/$B59)</f>
        <v/>
      </c>
      <c r="H59" s="62">
        <f>IF($B59=0,0,E59/$B59)</f>
        <v/>
      </c>
      <c r="I59" s="55">
        <f>IF(C59=B59,"Passed on test",IF(E59&gt;0,"Runtime error","Failed on test"))</f>
        <v/>
      </c>
      <c r="J59" s="55" t="n">
        <v>5</v>
      </c>
    </row>
    <row r="60">
      <c r="A60" s="55">
        <f>Summary!A48</f>
        <v/>
      </c>
      <c r="B60" s="55">
        <f>COUNTIF(Summary!$B$48:$AB$48,"Passed on test")+COUNTIF(Summary!$B$48:$AB$48,"Failed on test")+COUNTIF(Summary!$B$48:$AB$48,"Runtime error")</f>
        <v/>
      </c>
      <c r="C60" s="55">
        <f>COUNTIF(Summary!$B$48:$AB$48,"Passed on test")</f>
        <v/>
      </c>
      <c r="D60" s="55">
        <f>COUNTIF(Summary!$B$48:$AB$48,"Failed on test")</f>
        <v/>
      </c>
      <c r="E60" s="55">
        <f>COUNTIF(Summary!$B$48:$AB$48,"Runtime error")</f>
        <v/>
      </c>
      <c r="F60" s="62">
        <f>IF($B60=0,0,C60/$B60)</f>
        <v/>
      </c>
      <c r="G60" s="62">
        <f>IF($B60=0,0,D60/$B60)</f>
        <v/>
      </c>
      <c r="H60" s="62">
        <f>IF($B60=0,0,E60/$B60)</f>
        <v/>
      </c>
      <c r="I60" s="55">
        <f>IF(C60=B60,"Passed on test",IF(E60&gt;0,"Runtime error","Failed on test"))</f>
        <v/>
      </c>
      <c r="J60" s="55" t="n">
        <v>5</v>
      </c>
    </row>
    <row r="61">
      <c r="A61" s="55">
        <f>Summary!A49</f>
        <v/>
      </c>
      <c r="B61" s="55">
        <f>COUNTIF(Summary!$B$49:$AB$49,"Passed on test")+COUNTIF(Summary!$B$49:$AB$49,"Failed on test")+COUNTIF(Summary!$B$49:$AB$49,"Runtime error")</f>
        <v/>
      </c>
      <c r="C61" s="55">
        <f>COUNTIF(Summary!$B$49:$AB$49,"Passed on test")</f>
        <v/>
      </c>
      <c r="D61" s="55">
        <f>COUNTIF(Summary!$B$49:$AB$49,"Failed on test")</f>
        <v/>
      </c>
      <c r="E61" s="55">
        <f>COUNTIF(Summary!$B$49:$AB$49,"Runtime error")</f>
        <v/>
      </c>
      <c r="F61" s="62">
        <f>IF($B61=0,0,C61/$B61)</f>
        <v/>
      </c>
      <c r="G61" s="62">
        <f>IF($B61=0,0,D61/$B61)</f>
        <v/>
      </c>
      <c r="H61" s="62">
        <f>IF($B61=0,0,E61/$B61)</f>
        <v/>
      </c>
      <c r="I61" s="55">
        <f>IF(C61=B61,"Passed on test",IF(E61&gt;0,"Runtime error","Failed on test"))</f>
        <v/>
      </c>
      <c r="J61" s="55" t="n">
        <v>5</v>
      </c>
    </row>
    <row r="62">
      <c r="A62" s="55">
        <f>Summary!A50</f>
        <v/>
      </c>
      <c r="B62" s="55">
        <f>COUNTIF(Summary!$B$50:$AB$50,"Passed on test")+COUNTIF(Summary!$B$50:$AB$50,"Failed on test")+COUNTIF(Summary!$B$50:$AB$50,"Runtime error")</f>
        <v/>
      </c>
      <c r="C62" s="55">
        <f>COUNTIF(Summary!$B$50:$AB$50,"Passed on test")</f>
        <v/>
      </c>
      <c r="D62" s="55">
        <f>COUNTIF(Summary!$B$50:$AB$50,"Failed on test")</f>
        <v/>
      </c>
      <c r="E62" s="55">
        <f>COUNTIF(Summary!$B$50:$AB$50,"Runtime error")</f>
        <v/>
      </c>
      <c r="F62" s="62">
        <f>IF($B62=0,0,C62/$B62)</f>
        <v/>
      </c>
      <c r="G62" s="62">
        <f>IF($B62=0,0,D62/$B62)</f>
        <v/>
      </c>
      <c r="H62" s="62">
        <f>IF($B62=0,0,E62/$B62)</f>
        <v/>
      </c>
      <c r="I62" s="55">
        <f>IF(C62=B62,"Passed on test",IF(E62&gt;0,"Runtime error","Failed on test"))</f>
        <v/>
      </c>
      <c r="J62" s="55" t="n">
        <v>5</v>
      </c>
    </row>
    <row r="63">
      <c r="A63" s="55">
        <f>Summary!A51</f>
        <v/>
      </c>
      <c r="B63" s="55">
        <f>COUNTIF(Summary!$B$51:$AB$51,"Passed on test")+COUNTIF(Summary!$B$51:$AB$51,"Failed on test")+COUNTIF(Summary!$B$51:$AB$51,"Runtime error")</f>
        <v/>
      </c>
      <c r="C63" s="55">
        <f>COUNTIF(Summary!$B$51:$AB$51,"Passed on test")</f>
        <v/>
      </c>
      <c r="D63" s="55">
        <f>COUNTIF(Summary!$B$51:$AB$51,"Failed on test")</f>
        <v/>
      </c>
      <c r="E63" s="55">
        <f>COUNTIF(Summary!$B$51:$AB$51,"Runtime error")</f>
        <v/>
      </c>
      <c r="F63" s="62">
        <f>IF($B63=0,0,C63/$B63)</f>
        <v/>
      </c>
      <c r="G63" s="62">
        <f>IF($B63=0,0,D63/$B63)</f>
        <v/>
      </c>
      <c r="H63" s="62">
        <f>IF($B63=0,0,E63/$B63)</f>
        <v/>
      </c>
      <c r="I63" s="55">
        <f>IF(C63=B63,"Passed on test",IF(E63&gt;0,"Runtime error","Failed on test"))</f>
        <v/>
      </c>
      <c r="J63" s="55" t="n">
        <v>5</v>
      </c>
    </row>
    <row r="64">
      <c r="A64" s="55">
        <f>Summary!A52</f>
        <v/>
      </c>
      <c r="B64" s="55">
        <f>COUNTIF(Summary!$B$52:$AB$52,"Passed on test")+COUNTIF(Summary!$B$52:$AB$52,"Failed on test")+COUNTIF(Summary!$B$52:$AB$52,"Runtime error")</f>
        <v/>
      </c>
      <c r="C64" s="55">
        <f>COUNTIF(Summary!$B$52:$AB$52,"Passed on test")</f>
        <v/>
      </c>
      <c r="D64" s="55">
        <f>COUNTIF(Summary!$B$52:$AB$52,"Failed on test")</f>
        <v/>
      </c>
      <c r="E64" s="55">
        <f>COUNTIF(Summary!$B$52:$AB$52,"Runtime error")</f>
        <v/>
      </c>
      <c r="F64" s="62">
        <f>IF($B64=0,0,C64/$B64)</f>
        <v/>
      </c>
      <c r="G64" s="62">
        <f>IF($B64=0,0,D64/$B64)</f>
        <v/>
      </c>
      <c r="H64" s="62">
        <f>IF($B64=0,0,E64/$B64)</f>
        <v/>
      </c>
      <c r="I64" s="55">
        <f>IF(C64=B64,"Passed on test",IF(E64&gt;0,"Runtime error","Failed on test"))</f>
        <v/>
      </c>
      <c r="J64" s="55" t="n">
        <v>6</v>
      </c>
    </row>
    <row r="65">
      <c r="A65" s="55">
        <f>Summary!A53</f>
        <v/>
      </c>
      <c r="B65" s="55">
        <f>COUNTIF(Summary!$B$53:$AB$53,"Passed on test")+COUNTIF(Summary!$B$53:$AB$53,"Failed on test")+COUNTIF(Summary!$B$53:$AB$53,"Runtime error")</f>
        <v/>
      </c>
      <c r="C65" s="55">
        <f>COUNTIF(Summary!$B$53:$AB$53,"Passed on test")</f>
        <v/>
      </c>
      <c r="D65" s="55">
        <f>COUNTIF(Summary!$B$53:$AB$53,"Failed on test")</f>
        <v/>
      </c>
      <c r="E65" s="55">
        <f>COUNTIF(Summary!$B$53:$AB$53,"Runtime error")</f>
        <v/>
      </c>
      <c r="F65" s="62">
        <f>IF($B65=0,0,C65/$B65)</f>
        <v/>
      </c>
      <c r="G65" s="62">
        <f>IF($B65=0,0,D65/$B65)</f>
        <v/>
      </c>
      <c r="H65" s="62">
        <f>IF($B65=0,0,E65/$B65)</f>
        <v/>
      </c>
      <c r="I65" s="55">
        <f>IF(C65=B65,"Passed on test",IF(E65&gt;0,"Runtime error","Failed on test"))</f>
        <v/>
      </c>
      <c r="J65" s="55" t="n">
        <v>6</v>
      </c>
    </row>
    <row r="66">
      <c r="A66" s="55">
        <f>Summary!A54</f>
        <v/>
      </c>
      <c r="B66" s="55">
        <f>COUNTIF(Summary!$B$54:$AB$54,"Passed on test")+COUNTIF(Summary!$B$54:$AB$54,"Failed on test")+COUNTIF(Summary!$B$54:$AB$54,"Runtime error")</f>
        <v/>
      </c>
      <c r="C66" s="55">
        <f>COUNTIF(Summary!$B$54:$AB$54,"Passed on test")</f>
        <v/>
      </c>
      <c r="D66" s="55">
        <f>COUNTIF(Summary!$B$54:$AB$54,"Failed on test")</f>
        <v/>
      </c>
      <c r="E66" s="55">
        <f>COUNTIF(Summary!$B$54:$AB$54,"Runtime error")</f>
        <v/>
      </c>
      <c r="F66" s="62">
        <f>IF($B66=0,0,C66/$B66)</f>
        <v/>
      </c>
      <c r="G66" s="62">
        <f>IF($B66=0,0,D66/$B66)</f>
        <v/>
      </c>
      <c r="H66" s="62">
        <f>IF($B66=0,0,E66/$B66)</f>
        <v/>
      </c>
      <c r="I66" s="55">
        <f>IF(C66=B66,"Passed on test",IF(E66&gt;0,"Runtime error","Failed on test"))</f>
        <v/>
      </c>
      <c r="J66" s="55" t="n">
        <v>6</v>
      </c>
    </row>
    <row r="67">
      <c r="A67" s="55">
        <f>Summary!A55</f>
        <v/>
      </c>
      <c r="B67" s="55">
        <f>COUNTIF(Summary!$B$55:$AB$55,"Passed on test")+COUNTIF(Summary!$B$55:$AB$55,"Failed on test")+COUNTIF(Summary!$B$55:$AB$55,"Runtime error")</f>
        <v/>
      </c>
      <c r="C67" s="55">
        <f>COUNTIF(Summary!$B$55:$AB$55,"Passed on test")</f>
        <v/>
      </c>
      <c r="D67" s="55">
        <f>COUNTIF(Summary!$B$55:$AB$55,"Failed on test")</f>
        <v/>
      </c>
      <c r="E67" s="55">
        <f>COUNTIF(Summary!$B$55:$AB$55,"Runtime error")</f>
        <v/>
      </c>
      <c r="F67" s="62">
        <f>IF($B67=0,0,C67/$B67)</f>
        <v/>
      </c>
      <c r="G67" s="62">
        <f>IF($B67=0,0,D67/$B67)</f>
        <v/>
      </c>
      <c r="H67" s="62">
        <f>IF($B67=0,0,E67/$B67)</f>
        <v/>
      </c>
      <c r="I67" s="55">
        <f>IF(C67=B67,"Passed on test",IF(E67&gt;0,"Runtime error","Failed on test"))</f>
        <v/>
      </c>
      <c r="J67" s="55" t="n">
        <v>6</v>
      </c>
    </row>
    <row r="68">
      <c r="A68" s="55">
        <f>Summary!A56</f>
        <v/>
      </c>
      <c r="B68" s="55">
        <f>COUNTIF(Summary!$B$56:$AB$56,"Passed on test")+COUNTIF(Summary!$B$56:$AB$56,"Failed on test")+COUNTIF(Summary!$B$56:$AB$56,"Runtime error")</f>
        <v/>
      </c>
      <c r="C68" s="55">
        <f>COUNTIF(Summary!$B$56:$AB$56,"Passed on test")</f>
        <v/>
      </c>
      <c r="D68" s="55">
        <f>COUNTIF(Summary!$B$56:$AB$56,"Failed on test")</f>
        <v/>
      </c>
      <c r="E68" s="55">
        <f>COUNTIF(Summary!$B$56:$AB$56,"Runtime error")</f>
        <v/>
      </c>
      <c r="F68" s="62">
        <f>IF($B68=0,0,C68/$B68)</f>
        <v/>
      </c>
      <c r="G68" s="62">
        <f>IF($B68=0,0,D68/$B68)</f>
        <v/>
      </c>
      <c r="H68" s="62">
        <f>IF($B68=0,0,E68/$B68)</f>
        <v/>
      </c>
      <c r="I68" s="55">
        <f>IF(C68=B68,"Passed on test",IF(E68&gt;0,"Runtime error","Failed on test"))</f>
        <v/>
      </c>
      <c r="J68" s="55" t="n">
        <v>6</v>
      </c>
    </row>
    <row r="69">
      <c r="A69" s="55">
        <f>Summary!A57</f>
        <v/>
      </c>
      <c r="B69" s="55">
        <f>COUNTIF(Summary!$B$57:$AB$57,"Passed on test")+COUNTIF(Summary!$B$57:$AB$57,"Failed on test")+COUNTIF(Summary!$B$57:$AB$57,"Runtime error")</f>
        <v/>
      </c>
      <c r="C69" s="55">
        <f>COUNTIF(Summary!$B$57:$AB$57,"Passed on test")</f>
        <v/>
      </c>
      <c r="D69" s="55">
        <f>COUNTIF(Summary!$B$57:$AB$57,"Failed on test")</f>
        <v/>
      </c>
      <c r="E69" s="55">
        <f>COUNTIF(Summary!$B$57:$AB$57,"Runtime error")</f>
        <v/>
      </c>
      <c r="F69" s="62">
        <f>IF($B69=0,0,C69/$B69)</f>
        <v/>
      </c>
      <c r="G69" s="62">
        <f>IF($B69=0,0,D69/$B69)</f>
        <v/>
      </c>
      <c r="H69" s="62">
        <f>IF($B69=0,0,E69/$B69)</f>
        <v/>
      </c>
      <c r="I69" s="55">
        <f>IF(C69=B69,"Passed on test",IF(E69&gt;0,"Runtime error","Failed on test"))</f>
        <v/>
      </c>
      <c r="J69" s="55" t="n">
        <v>6</v>
      </c>
    </row>
    <row r="70">
      <c r="A70" s="55">
        <f>Summary!A58</f>
        <v/>
      </c>
      <c r="B70" s="55">
        <f>COUNTIF(Summary!$B$58:$AB$58,"Passed on test")+COUNTIF(Summary!$B$58:$AB$58,"Failed on test")+COUNTIF(Summary!$B$58:$AB$58,"Runtime error")</f>
        <v/>
      </c>
      <c r="C70" s="55">
        <f>COUNTIF(Summary!$B$58:$AB$58,"Passed on test")</f>
        <v/>
      </c>
      <c r="D70" s="55">
        <f>COUNTIF(Summary!$B$58:$AB$58,"Failed on test")</f>
        <v/>
      </c>
      <c r="E70" s="55">
        <f>COUNTIF(Summary!$B$58:$AB$58,"Runtime error")</f>
        <v/>
      </c>
      <c r="F70" s="62">
        <f>IF($B70=0,0,C70/$B70)</f>
        <v/>
      </c>
      <c r="G70" s="62">
        <f>IF($B70=0,0,D70/$B70)</f>
        <v/>
      </c>
      <c r="H70" s="62">
        <f>IF($B70=0,0,E70/$B70)</f>
        <v/>
      </c>
      <c r="I70" s="55">
        <f>IF(C70=B70,"Passed on test",IF(E70&gt;0,"Runtime error","Failed on test"))</f>
        <v/>
      </c>
      <c r="J70" s="55" t="n">
        <v>6</v>
      </c>
    </row>
    <row r="71">
      <c r="A71" s="55">
        <f>Summary!A59</f>
        <v/>
      </c>
      <c r="B71" s="55">
        <f>COUNTIF(Summary!$B$59:$AB$59,"Passed on test")+COUNTIF(Summary!$B$59:$AB$59,"Failed on test")+COUNTIF(Summary!$B$59:$AB$59,"Runtime error")</f>
        <v/>
      </c>
      <c r="C71" s="55">
        <f>COUNTIF(Summary!$B$59:$AB$59,"Passed on test")</f>
        <v/>
      </c>
      <c r="D71" s="55">
        <f>COUNTIF(Summary!$B$59:$AB$59,"Failed on test")</f>
        <v/>
      </c>
      <c r="E71" s="55">
        <f>COUNTIF(Summary!$B$59:$AB$59,"Runtime error")</f>
        <v/>
      </c>
      <c r="F71" s="62">
        <f>IF($B71=0,0,C71/$B71)</f>
        <v/>
      </c>
      <c r="G71" s="62">
        <f>IF($B71=0,0,D71/$B71)</f>
        <v/>
      </c>
      <c r="H71" s="62">
        <f>IF($B71=0,0,E71/$B71)</f>
        <v/>
      </c>
      <c r="I71" s="55">
        <f>IF(C71=B71,"Passed on test",IF(E71&gt;0,"Runtime error","Failed on test"))</f>
        <v/>
      </c>
      <c r="J71" s="55" t="n">
        <v>6</v>
      </c>
    </row>
    <row r="72">
      <c r="A72" s="55">
        <f>Summary!A60</f>
        <v/>
      </c>
      <c r="B72" s="55">
        <f>COUNTIF(Summary!$B$60:$AB$60,"Passed on test")+COUNTIF(Summary!$B$60:$AB$60,"Failed on test")+COUNTIF(Summary!$B$60:$AB$60,"Runtime error")</f>
        <v/>
      </c>
      <c r="C72" s="55">
        <f>COUNTIF(Summary!$B$60:$AB$60,"Passed on test")</f>
        <v/>
      </c>
      <c r="D72" s="55">
        <f>COUNTIF(Summary!$B$60:$AB$60,"Failed on test")</f>
        <v/>
      </c>
      <c r="E72" s="55">
        <f>COUNTIF(Summary!$B$60:$AB$60,"Runtime error")</f>
        <v/>
      </c>
      <c r="F72" s="62">
        <f>IF($B72=0,0,C72/$B72)</f>
        <v/>
      </c>
      <c r="G72" s="62">
        <f>IF($B72=0,0,D72/$B72)</f>
        <v/>
      </c>
      <c r="H72" s="62">
        <f>IF($B72=0,0,E72/$B72)</f>
        <v/>
      </c>
      <c r="I72" s="55">
        <f>IF(C72=B72,"Passed on test",IF(E72&gt;0,"Runtime error","Failed on test"))</f>
        <v/>
      </c>
      <c r="J72" s="55" t="n">
        <v>6</v>
      </c>
    </row>
    <row r="73">
      <c r="A73" s="55">
        <f>Summary!A61</f>
        <v/>
      </c>
      <c r="B73" s="55">
        <f>COUNTIF(Summary!$B$61:$AB$61,"Passed on test")+COUNTIF(Summary!$B$61:$AB$61,"Failed on test")+COUNTIF(Summary!$B$61:$AB$61,"Runtime error")</f>
        <v/>
      </c>
      <c r="C73" s="55">
        <f>COUNTIF(Summary!$B$61:$AB$61,"Passed on test")</f>
        <v/>
      </c>
      <c r="D73" s="55">
        <f>COUNTIF(Summary!$B$61:$AB$61,"Failed on test")</f>
        <v/>
      </c>
      <c r="E73" s="55">
        <f>COUNTIF(Summary!$B$61:$AB$61,"Runtime error")</f>
        <v/>
      </c>
      <c r="F73" s="62">
        <f>IF($B73=0,0,C73/$B73)</f>
        <v/>
      </c>
      <c r="G73" s="62">
        <f>IF($B73=0,0,D73/$B73)</f>
        <v/>
      </c>
      <c r="H73" s="62">
        <f>IF($B73=0,0,E73/$B73)</f>
        <v/>
      </c>
      <c r="I73" s="55">
        <f>IF(C73=B73,"Passed on test",IF(E73&gt;0,"Runtime error","Failed on test"))</f>
        <v/>
      </c>
      <c r="J73" s="55" t="n">
        <v>6</v>
      </c>
    </row>
    <row r="74">
      <c r="A74" s="55">
        <f>Summary!A62</f>
        <v/>
      </c>
      <c r="B74" s="55">
        <f>COUNTIF(Summary!$B$62:$AB$62,"Passed on test")+COUNTIF(Summary!$B$62:$AB$62,"Failed on test")+COUNTIF(Summary!$B$62:$AB$62,"Runtime error")</f>
        <v/>
      </c>
      <c r="C74" s="55">
        <f>COUNTIF(Summary!$B$62:$AB$62,"Passed on test")</f>
        <v/>
      </c>
      <c r="D74" s="55">
        <f>COUNTIF(Summary!$B$62:$AB$62,"Failed on test")</f>
        <v/>
      </c>
      <c r="E74" s="55">
        <f>COUNTIF(Summary!$B$62:$AB$62,"Runtime error")</f>
        <v/>
      </c>
      <c r="F74" s="62">
        <f>IF($B74=0,0,C74/$B74)</f>
        <v/>
      </c>
      <c r="G74" s="62">
        <f>IF($B74=0,0,D74/$B74)</f>
        <v/>
      </c>
      <c r="H74" s="62">
        <f>IF($B74=0,0,E74/$B74)</f>
        <v/>
      </c>
      <c r="I74" s="55">
        <f>IF(C74=B74,"Passed on test",IF(E74&gt;0,"Runtime error","Failed on test"))</f>
        <v/>
      </c>
      <c r="J74" s="55" t="n">
        <v>7</v>
      </c>
    </row>
    <row r="75">
      <c r="A75" s="55">
        <f>Summary!A63</f>
        <v/>
      </c>
      <c r="B75" s="55">
        <f>COUNTIF(Summary!$B$63:$AB$63,"Passed on test")+COUNTIF(Summary!$B$63:$AB$63,"Failed on test")+COUNTIF(Summary!$B$63:$AB$63,"Runtime error")</f>
        <v/>
      </c>
      <c r="C75" s="55">
        <f>COUNTIF(Summary!$B$63:$AB$63,"Passed on test")</f>
        <v/>
      </c>
      <c r="D75" s="55">
        <f>COUNTIF(Summary!$B$63:$AB$63,"Failed on test")</f>
        <v/>
      </c>
      <c r="E75" s="55">
        <f>COUNTIF(Summary!$B$63:$AB$63,"Runtime error")</f>
        <v/>
      </c>
      <c r="F75" s="62">
        <f>IF($B75=0,0,C75/$B75)</f>
        <v/>
      </c>
      <c r="G75" s="62">
        <f>IF($B75=0,0,D75/$B75)</f>
        <v/>
      </c>
      <c r="H75" s="62">
        <f>IF($B75=0,0,E75/$B75)</f>
        <v/>
      </c>
      <c r="I75" s="55">
        <f>IF(C75=B75,"Passed on test",IF(E75&gt;0,"Runtime error","Failed on test"))</f>
        <v/>
      </c>
      <c r="J75" s="55" t="n">
        <v>7</v>
      </c>
    </row>
    <row r="76">
      <c r="A76" s="55">
        <f>Summary!A64</f>
        <v/>
      </c>
      <c r="B76" s="55">
        <f>COUNTIF(Summary!$B$64:$AB$64,"Passed on test")+COUNTIF(Summary!$B$64:$AB$64,"Failed on test")+COUNTIF(Summary!$B$64:$AB$64,"Runtime error")</f>
        <v/>
      </c>
      <c r="C76" s="55">
        <f>COUNTIF(Summary!$B$64:$AB$64,"Passed on test")</f>
        <v/>
      </c>
      <c r="D76" s="55">
        <f>COUNTIF(Summary!$B$64:$AB$64,"Failed on test")</f>
        <v/>
      </c>
      <c r="E76" s="55">
        <f>COUNTIF(Summary!$B$64:$AB$64,"Runtime error")</f>
        <v/>
      </c>
      <c r="F76" s="62">
        <f>IF($B76=0,0,C76/$B76)</f>
        <v/>
      </c>
      <c r="G76" s="62">
        <f>IF($B76=0,0,D76/$B76)</f>
        <v/>
      </c>
      <c r="H76" s="62">
        <f>IF($B76=0,0,E76/$B76)</f>
        <v/>
      </c>
      <c r="I76" s="55">
        <f>IF(C76=B76,"Passed on test",IF(E76&gt;0,"Runtime error","Failed on test"))</f>
        <v/>
      </c>
      <c r="J76" s="55" t="n">
        <v>7</v>
      </c>
    </row>
    <row r="77">
      <c r="A77" s="55">
        <f>Summary!A65</f>
        <v/>
      </c>
      <c r="B77" s="55">
        <f>COUNTIF(Summary!$B$65:$AB$65,"Passed on test")+COUNTIF(Summary!$B$65:$AB$65,"Failed on test")+COUNTIF(Summary!$B$65:$AB$65,"Runtime error")</f>
        <v/>
      </c>
      <c r="C77" s="55">
        <f>COUNTIF(Summary!$B$65:$AB$65,"Passed on test")</f>
        <v/>
      </c>
      <c r="D77" s="55">
        <f>COUNTIF(Summary!$B$65:$AB$65,"Failed on test")</f>
        <v/>
      </c>
      <c r="E77" s="55">
        <f>COUNTIF(Summary!$B$65:$AB$65,"Runtime error")</f>
        <v/>
      </c>
      <c r="F77" s="62">
        <f>IF($B77=0,0,C77/$B77)</f>
        <v/>
      </c>
      <c r="G77" s="62">
        <f>IF($B77=0,0,D77/$B77)</f>
        <v/>
      </c>
      <c r="H77" s="62">
        <f>IF($B77=0,0,E77/$B77)</f>
        <v/>
      </c>
      <c r="I77" s="55">
        <f>IF(C77=B77,"Passed on test",IF(E77&gt;0,"Runtime error","Failed on test"))</f>
        <v/>
      </c>
      <c r="J77" s="55" t="n">
        <v>7</v>
      </c>
    </row>
    <row r="78">
      <c r="A78" s="55">
        <f>Summary!A66</f>
        <v/>
      </c>
      <c r="B78" s="55">
        <f>COUNTIF(Summary!$B$66:$AB$66,"Passed on test")+COUNTIF(Summary!$B$66:$AB$66,"Failed on test")+COUNTIF(Summary!$B$66:$AB$66,"Runtime error")</f>
        <v/>
      </c>
      <c r="C78" s="55">
        <f>COUNTIF(Summary!$B$66:$AB$66,"Passed on test")</f>
        <v/>
      </c>
      <c r="D78" s="55">
        <f>COUNTIF(Summary!$B$66:$AB$66,"Failed on test")</f>
        <v/>
      </c>
      <c r="E78" s="55">
        <f>COUNTIF(Summary!$B$66:$AB$66,"Runtime error")</f>
        <v/>
      </c>
      <c r="F78" s="62">
        <f>IF($B78=0,0,C78/$B78)</f>
        <v/>
      </c>
      <c r="G78" s="62">
        <f>IF($B78=0,0,D78/$B78)</f>
        <v/>
      </c>
      <c r="H78" s="62">
        <f>IF($B78=0,0,E78/$B78)</f>
        <v/>
      </c>
      <c r="I78" s="55">
        <f>IF(C78=B78,"Passed on test",IF(E78&gt;0,"Runtime error","Failed on test"))</f>
        <v/>
      </c>
      <c r="J78" s="55" t="n">
        <v>7</v>
      </c>
    </row>
    <row r="79">
      <c r="A79" s="55">
        <f>Summary!A67</f>
        <v/>
      </c>
      <c r="B79" s="55">
        <f>COUNTIF(Summary!$B$67:$AB$67,"Passed on test")+COUNTIF(Summary!$B$67:$AB$67,"Failed on test")+COUNTIF(Summary!$B$67:$AB$67,"Runtime error")</f>
        <v/>
      </c>
      <c r="C79" s="55">
        <f>COUNTIF(Summary!$B$67:$AB$67,"Passed on test")</f>
        <v/>
      </c>
      <c r="D79" s="55">
        <f>COUNTIF(Summary!$B$67:$AB$67,"Failed on test")</f>
        <v/>
      </c>
      <c r="E79" s="55">
        <f>COUNTIF(Summary!$B$67:$AB$67,"Runtime error")</f>
        <v/>
      </c>
      <c r="F79" s="62">
        <f>IF($B79=0,0,C79/$B79)</f>
        <v/>
      </c>
      <c r="G79" s="62">
        <f>IF($B79=0,0,D79/$B79)</f>
        <v/>
      </c>
      <c r="H79" s="62">
        <f>IF($B79=0,0,E79/$B79)</f>
        <v/>
      </c>
      <c r="I79" s="55">
        <f>IF(C79=B79,"Passed on test",IF(E79&gt;0,"Runtime error","Failed on test"))</f>
        <v/>
      </c>
      <c r="J79" s="55" t="n">
        <v>7</v>
      </c>
    </row>
    <row r="80">
      <c r="A80" s="55">
        <f>Summary!A68</f>
        <v/>
      </c>
      <c r="B80" s="55">
        <f>COUNTIF(Summary!$B$68:$AB$68,"Passed on test")+COUNTIF(Summary!$B$68:$AB$68,"Failed on test")+COUNTIF(Summary!$B$68:$AB$68,"Runtime error")</f>
        <v/>
      </c>
      <c r="C80" s="55">
        <f>COUNTIF(Summary!$B$68:$AB$68,"Passed on test")</f>
        <v/>
      </c>
      <c r="D80" s="55">
        <f>COUNTIF(Summary!$B$68:$AB$68,"Failed on test")</f>
        <v/>
      </c>
      <c r="E80" s="55">
        <f>COUNTIF(Summary!$B$68:$AB$68,"Runtime error")</f>
        <v/>
      </c>
      <c r="F80" s="62">
        <f>IF($B80=0,0,C80/$B80)</f>
        <v/>
      </c>
      <c r="G80" s="62">
        <f>IF($B80=0,0,D80/$B80)</f>
        <v/>
      </c>
      <c r="H80" s="62">
        <f>IF($B80=0,0,E80/$B80)</f>
        <v/>
      </c>
      <c r="I80" s="55">
        <f>IF(C80=B80,"Passed on test",IF(E80&gt;0,"Runtime error","Failed on test"))</f>
        <v/>
      </c>
      <c r="J80" s="55" t="n">
        <v>7</v>
      </c>
    </row>
    <row r="81">
      <c r="A81" s="55">
        <f>Summary!A69</f>
        <v/>
      </c>
      <c r="B81" s="55">
        <f>COUNTIF(Summary!$B$69:$AB$69,"Passed on test")+COUNTIF(Summary!$B$69:$AB$69,"Failed on test")+COUNTIF(Summary!$B$69:$AB$69,"Runtime error")</f>
        <v/>
      </c>
      <c r="C81" s="55">
        <f>COUNTIF(Summary!$B$69:$AB$69,"Passed on test")</f>
        <v/>
      </c>
      <c r="D81" s="55">
        <f>COUNTIF(Summary!$B$69:$AB$69,"Failed on test")</f>
        <v/>
      </c>
      <c r="E81" s="55">
        <f>COUNTIF(Summary!$B$69:$AB$69,"Runtime error")</f>
        <v/>
      </c>
      <c r="F81" s="62">
        <f>IF($B81=0,0,C81/$B81)</f>
        <v/>
      </c>
      <c r="G81" s="62">
        <f>IF($B81=0,0,D81/$B81)</f>
        <v/>
      </c>
      <c r="H81" s="62">
        <f>IF($B81=0,0,E81/$B81)</f>
        <v/>
      </c>
      <c r="I81" s="55">
        <f>IF(C81=B81,"Passed on test",IF(E81&gt;0,"Runtime error","Failed on test"))</f>
        <v/>
      </c>
      <c r="J81" s="55" t="n">
        <v>8</v>
      </c>
    </row>
    <row r="82">
      <c r="A82" s="55">
        <f>Summary!A70</f>
        <v/>
      </c>
      <c r="B82" s="55">
        <f>COUNTIF(Summary!$B$70:$AB$70,"Passed on test")+COUNTIF(Summary!$B$70:$AB$70,"Failed on test")+COUNTIF(Summary!$B$70:$AB$70,"Runtime error")</f>
        <v/>
      </c>
      <c r="C82" s="55">
        <f>COUNTIF(Summary!$B$70:$AB$70,"Passed on test")</f>
        <v/>
      </c>
      <c r="D82" s="55">
        <f>COUNTIF(Summary!$B$70:$AB$70,"Failed on test")</f>
        <v/>
      </c>
      <c r="E82" s="55">
        <f>COUNTIF(Summary!$B$70:$AB$70,"Runtime error")</f>
        <v/>
      </c>
      <c r="F82" s="62">
        <f>IF($B82=0,0,C82/$B82)</f>
        <v/>
      </c>
      <c r="G82" s="62">
        <f>IF($B82=0,0,D82/$B82)</f>
        <v/>
      </c>
      <c r="H82" s="62">
        <f>IF($B82=0,0,E82/$B82)</f>
        <v/>
      </c>
      <c r="I82" s="55">
        <f>IF(C82=B82,"Passed on test",IF(E82&gt;0,"Runtime error","Failed on test"))</f>
        <v/>
      </c>
      <c r="J82" s="55" t="n">
        <v>8</v>
      </c>
    </row>
    <row r="83">
      <c r="A83" s="55">
        <f>Summary!A71</f>
        <v/>
      </c>
      <c r="B83" s="55">
        <f>COUNTIF(Summary!$B$71:$AB$71,"Passed on test")+COUNTIF(Summary!$B$71:$AB$71,"Failed on test")+COUNTIF(Summary!$B$71:$AB$71,"Runtime error")</f>
        <v/>
      </c>
      <c r="C83" s="55">
        <f>COUNTIF(Summary!$B$71:$AB$71,"Passed on test")</f>
        <v/>
      </c>
      <c r="D83" s="55">
        <f>COUNTIF(Summary!$B$71:$AB$71,"Failed on test")</f>
        <v/>
      </c>
      <c r="E83" s="55">
        <f>COUNTIF(Summary!$B$71:$AB$71,"Runtime error")</f>
        <v/>
      </c>
      <c r="F83" s="62">
        <f>IF($B83=0,0,C83/$B83)</f>
        <v/>
      </c>
      <c r="G83" s="62">
        <f>IF($B83=0,0,D83/$B83)</f>
        <v/>
      </c>
      <c r="H83" s="62">
        <f>IF($B83=0,0,E83/$B83)</f>
        <v/>
      </c>
      <c r="I83" s="55">
        <f>IF(C83=B83,"Passed on test",IF(E83&gt;0,"Runtime error","Failed on test"))</f>
        <v/>
      </c>
      <c r="J83" s="55" t="n">
        <v>8</v>
      </c>
    </row>
    <row r="84">
      <c r="A84" s="55">
        <f>Summary!A72</f>
        <v/>
      </c>
      <c r="B84" s="55">
        <f>COUNTIF(Summary!$B$72:$AB$72,"Passed on test")+COUNTIF(Summary!$B$72:$AB$72,"Failed on test")+COUNTIF(Summary!$B$72:$AB$72,"Runtime error")</f>
        <v/>
      </c>
      <c r="C84" s="55">
        <f>COUNTIF(Summary!$B$72:$AB$72,"Passed on test")</f>
        <v/>
      </c>
      <c r="D84" s="55">
        <f>COUNTIF(Summary!$B$72:$AB$72,"Failed on test")</f>
        <v/>
      </c>
      <c r="E84" s="55">
        <f>COUNTIF(Summary!$B$72:$AB$72,"Runtime error")</f>
        <v/>
      </c>
      <c r="F84" s="62">
        <f>IF($B84=0,0,C84/$B84)</f>
        <v/>
      </c>
      <c r="G84" s="62">
        <f>IF($B84=0,0,D84/$B84)</f>
        <v/>
      </c>
      <c r="H84" s="62">
        <f>IF($B84=0,0,E84/$B84)</f>
        <v/>
      </c>
      <c r="I84" s="55">
        <f>IF(C84=B84,"Passed on test",IF(E84&gt;0,"Runtime error","Failed on test"))</f>
        <v/>
      </c>
      <c r="J84" s="55" t="n">
        <v>8</v>
      </c>
    </row>
    <row r="85">
      <c r="A85" s="55">
        <f>Summary!A73</f>
        <v/>
      </c>
      <c r="B85" s="55">
        <f>COUNTIF(Summary!$B$73:$AB$73,"Passed on test")+COUNTIF(Summary!$B$73:$AB$73,"Failed on test")+COUNTIF(Summary!$B$73:$AB$73,"Runtime error")</f>
        <v/>
      </c>
      <c r="C85" s="55">
        <f>COUNTIF(Summary!$B$73:$AB$73,"Passed on test")</f>
        <v/>
      </c>
      <c r="D85" s="55">
        <f>COUNTIF(Summary!$B$73:$AB$73,"Failed on test")</f>
        <v/>
      </c>
      <c r="E85" s="55">
        <f>COUNTIF(Summary!$B$73:$AB$73,"Runtime error")</f>
        <v/>
      </c>
      <c r="F85" s="62">
        <f>IF($B85=0,0,C85/$B85)</f>
        <v/>
      </c>
      <c r="G85" s="62">
        <f>IF($B85=0,0,D85/$B85)</f>
        <v/>
      </c>
      <c r="H85" s="62">
        <f>IF($B85=0,0,E85/$B85)</f>
        <v/>
      </c>
      <c r="I85" s="55">
        <f>IF(C85=B85,"Passed on test",IF(E85&gt;0,"Runtime error","Failed on test"))</f>
        <v/>
      </c>
      <c r="J85" s="55" t="n">
        <v>8</v>
      </c>
    </row>
    <row r="86">
      <c r="A86" s="55">
        <f>Summary!A74</f>
        <v/>
      </c>
      <c r="B86" s="55">
        <f>COUNTIF(Summary!$B$74:$AB$74,"Passed on test")+COUNTIF(Summary!$B$74:$AB$74,"Failed on test")+COUNTIF(Summary!$B$74:$AB$74,"Runtime error")</f>
        <v/>
      </c>
      <c r="C86" s="55">
        <f>COUNTIF(Summary!$B$74:$AB$74,"Passed on test")</f>
        <v/>
      </c>
      <c r="D86" s="55">
        <f>COUNTIF(Summary!$B$74:$AB$74,"Failed on test")</f>
        <v/>
      </c>
      <c r="E86" s="55">
        <f>COUNTIF(Summary!$B$74:$AB$74,"Runtime error")</f>
        <v/>
      </c>
      <c r="F86" s="62">
        <f>IF($B86=0,0,C86/$B86)</f>
        <v/>
      </c>
      <c r="G86" s="62">
        <f>IF($B86=0,0,D86/$B86)</f>
        <v/>
      </c>
      <c r="H86" s="62">
        <f>IF($B86=0,0,E86/$B86)</f>
        <v/>
      </c>
      <c r="I86" s="55">
        <f>IF(C86=B86,"Passed on test",IF(E86&gt;0,"Runtime error","Failed on test"))</f>
        <v/>
      </c>
      <c r="J86" s="55" t="n">
        <v>8</v>
      </c>
    </row>
    <row r="87"/>
    <row r="88">
      <c r="A88" s="60" t="inlineStr">
        <is>
          <t>3. Cases by outcome</t>
        </is>
      </c>
    </row>
    <row r="89">
      <c r="A89" s="54" t="inlineStr">
        <is>
          <t>Outcome</t>
        </is>
      </c>
      <c r="B89" s="54" t="inlineStr">
        <is>
          <t>Cases</t>
        </is>
      </c>
      <c r="C89" s="54" t="inlineStr">
        <is>
          <t>% of cases</t>
        </is>
      </c>
      <c r="D89" s="54" t="inlineStr">
        <is>
          <t>Batch 1</t>
        </is>
      </c>
      <c r="E89" s="54" t="inlineStr">
        <is>
          <t>Batch 1 %</t>
        </is>
      </c>
      <c r="F89" s="54" t="inlineStr">
        <is>
          <t>Batch 2</t>
        </is>
      </c>
      <c r="G89" s="54" t="inlineStr">
        <is>
          <t>Batch 2 %</t>
        </is>
      </c>
      <c r="H89" s="54" t="inlineStr">
        <is>
          <t>Batch 3</t>
        </is>
      </c>
      <c r="I89" s="54" t="inlineStr">
        <is>
          <t>Batch 3 %</t>
        </is>
      </c>
      <c r="J89" s="54" t="inlineStr">
        <is>
          <t>Batch 4</t>
        </is>
      </c>
      <c r="K89" s="54" t="inlineStr">
        <is>
          <t>Batch 4 %</t>
        </is>
      </c>
      <c r="L89" s="54" t="inlineStr">
        <is>
          <t>Batch 5</t>
        </is>
      </c>
      <c r="M89" s="54" t="inlineStr">
        <is>
          <t>Batch 5 %</t>
        </is>
      </c>
      <c r="N89" s="54" t="inlineStr">
        <is>
          <t>Batch 6</t>
        </is>
      </c>
      <c r="O89" s="54" t="inlineStr">
        <is>
          <t>Batch 6 %</t>
        </is>
      </c>
      <c r="P89" s="54" t="inlineStr">
        <is>
          <t>Batch 7</t>
        </is>
      </c>
      <c r="Q89" s="54" t="inlineStr">
        <is>
          <t>Batch 7 %</t>
        </is>
      </c>
      <c r="R89" s="54" t="inlineStr">
        <is>
          <t>Batch 8</t>
        </is>
      </c>
      <c r="S89" s="54" t="inlineStr">
        <is>
          <t>Batch 8 %</t>
        </is>
      </c>
    </row>
    <row r="90">
      <c r="A90" s="61" t="inlineStr">
        <is>
          <t>Passed on test</t>
        </is>
      </c>
      <c r="B90" s="55">
        <f>COUNTIF($I$14:$I$86,"Passed on test")</f>
        <v/>
      </c>
      <c r="C90" s="62">
        <f>IF($B$93=0,0,B90/$B$93)</f>
        <v/>
      </c>
      <c r="D90" s="55">
        <f>COUNTIFS($I$14:$I$86,"Passed on test",$J$14:$J$86,1)</f>
        <v/>
      </c>
      <c r="E90" s="62">
        <f>IF(D$93=0,0,D90/D$93)</f>
        <v/>
      </c>
      <c r="F90" s="55">
        <f>COUNTIFS($I$14:$I$86,"Passed on test",$J$14:$J$86,2)</f>
        <v/>
      </c>
      <c r="G90" s="62">
        <f>IF(F$93=0,0,F90/F$93)</f>
        <v/>
      </c>
      <c r="H90" s="55">
        <f>COUNTIFS($I$14:$I$86,"Passed on test",$J$14:$J$86,3)</f>
        <v/>
      </c>
      <c r="I90" s="62">
        <f>IF(H$93=0,0,H90/H$93)</f>
        <v/>
      </c>
      <c r="J90" s="55">
        <f>COUNTIFS($I$14:$I$86,"Passed on test",$J$14:$J$86,4)</f>
        <v/>
      </c>
      <c r="K90" s="62">
        <f>IF(J$93=0,0,J90/J$93)</f>
        <v/>
      </c>
      <c r="L90" s="55">
        <f>COUNTIFS($I$14:$I$86,"Passed on test",$J$14:$J$86,5)</f>
        <v/>
      </c>
      <c r="M90" s="62">
        <f>IF(L$93=0,0,L90/L$93)</f>
        <v/>
      </c>
      <c r="N90" s="55">
        <f>COUNTIFS($I$14:$I$86,"Passed on test",$J$14:$J$86,6)</f>
        <v/>
      </c>
      <c r="O90" s="62">
        <f>IF(N$93=0,0,N90/N$93)</f>
        <v/>
      </c>
      <c r="P90" s="55">
        <f>COUNTIFS($I$14:$I$86,"Passed on test",$J$14:$J$86,7)</f>
        <v/>
      </c>
      <c r="Q90" s="62">
        <f>IF(P$93=0,0,P90/P$93)</f>
        <v/>
      </c>
      <c r="R90" s="55">
        <f>COUNTIFS($I$14:$I$86,"Passed on test",$J$14:$J$86,8)</f>
        <v/>
      </c>
      <c r="S90" s="62">
        <f>IF(R$93=0,0,R90/R$93)</f>
        <v/>
      </c>
    </row>
    <row r="91">
      <c r="A91" s="63" t="inlineStr">
        <is>
          <t>Failed on test</t>
        </is>
      </c>
      <c r="B91" s="55">
        <f>COUNTIF($I$14:$I$86,"Failed on test")</f>
        <v/>
      </c>
      <c r="C91" s="62">
        <f>IF($B$93=0,0,B91/$B$93)</f>
        <v/>
      </c>
      <c r="D91" s="55">
        <f>COUNTIFS($I$14:$I$86,"Failed on test",$J$14:$J$86,1)</f>
        <v/>
      </c>
      <c r="E91" s="62">
        <f>IF(D$93=0,0,D91/D$93)</f>
        <v/>
      </c>
      <c r="F91" s="55">
        <f>COUNTIFS($I$14:$I$86,"Failed on test",$J$14:$J$86,2)</f>
        <v/>
      </c>
      <c r="G91" s="62">
        <f>IF(F$93=0,0,F91/F$93)</f>
        <v/>
      </c>
      <c r="H91" s="55">
        <f>COUNTIFS($I$14:$I$86,"Failed on test",$J$14:$J$86,3)</f>
        <v/>
      </c>
      <c r="I91" s="62">
        <f>IF(H$93=0,0,H91/H$93)</f>
        <v/>
      </c>
      <c r="J91" s="55">
        <f>COUNTIFS($I$14:$I$86,"Failed on test",$J$14:$J$86,4)</f>
        <v/>
      </c>
      <c r="K91" s="62">
        <f>IF(J$93=0,0,J91/J$93)</f>
        <v/>
      </c>
      <c r="L91" s="55">
        <f>COUNTIFS($I$14:$I$86,"Failed on test",$J$14:$J$86,5)</f>
        <v/>
      </c>
      <c r="M91" s="62">
        <f>IF(L$93=0,0,L91/L$93)</f>
        <v/>
      </c>
      <c r="N91" s="55">
        <f>COUNTIFS($I$14:$I$86,"Failed on test",$J$14:$J$86,6)</f>
        <v/>
      </c>
      <c r="O91" s="62">
        <f>IF(N$93=0,0,N91/N$93)</f>
        <v/>
      </c>
      <c r="P91" s="55">
        <f>COUNTIFS($I$14:$I$86,"Failed on test",$J$14:$J$86,7)</f>
        <v/>
      </c>
      <c r="Q91" s="62">
        <f>IF(P$93=0,0,P91/P$93)</f>
        <v/>
      </c>
      <c r="R91" s="55">
        <f>COUNTIFS($I$14:$I$86,"Failed on test",$J$14:$J$86,8)</f>
        <v/>
      </c>
      <c r="S91" s="62">
        <f>IF(R$93=0,0,R91/R$93)</f>
        <v/>
      </c>
    </row>
    <row r="92">
      <c r="A92" s="64" t="inlineStr">
        <is>
          <t>Runtime error</t>
        </is>
      </c>
      <c r="B92" s="55">
        <f>COUNTIF($I$14:$I$86,"Runtime error")</f>
        <v/>
      </c>
      <c r="C92" s="62">
        <f>IF($B$93=0,0,B92/$B$93)</f>
        <v/>
      </c>
      <c r="D92" s="55">
        <f>COUNTIFS($I$14:$I$86,"Runtime error",$J$14:$J$86,1)</f>
        <v/>
      </c>
      <c r="E92" s="62">
        <f>IF(D$93=0,0,D92/D$93)</f>
        <v/>
      </c>
      <c r="F92" s="55">
        <f>COUNTIFS($I$14:$I$86,"Runtime error",$J$14:$J$86,2)</f>
        <v/>
      </c>
      <c r="G92" s="62">
        <f>IF(F$93=0,0,F92/F$93)</f>
        <v/>
      </c>
      <c r="H92" s="55">
        <f>COUNTIFS($I$14:$I$86,"Runtime error",$J$14:$J$86,3)</f>
        <v/>
      </c>
      <c r="I92" s="62">
        <f>IF(H$93=0,0,H92/H$93)</f>
        <v/>
      </c>
      <c r="J92" s="55">
        <f>COUNTIFS($I$14:$I$86,"Runtime error",$J$14:$J$86,4)</f>
        <v/>
      </c>
      <c r="K92" s="62">
        <f>IF(J$93=0,0,J92/J$93)</f>
        <v/>
      </c>
      <c r="L92" s="55">
        <f>COUNTIFS($I$14:$I$86,"Runtime error",$J$14:$J$86,5)</f>
        <v/>
      </c>
      <c r="M92" s="62">
        <f>IF(L$93=0,0,L92/L$93)</f>
        <v/>
      </c>
      <c r="N92" s="55">
        <f>COUNTIFS($I$14:$I$86,"Runtime error",$J$14:$J$86,6)</f>
        <v/>
      </c>
      <c r="O92" s="62">
        <f>IF(N$93=0,0,N92/N$93)</f>
        <v/>
      </c>
      <c r="P92" s="55">
        <f>COUNTIFS($I$14:$I$86,"Runtime error",$J$14:$J$86,7)</f>
        <v/>
      </c>
      <c r="Q92" s="62">
        <f>IF(P$93=0,0,P92/P$93)</f>
        <v/>
      </c>
      <c r="R92" s="55">
        <f>COUNTIFS($I$14:$I$86,"Runtime error",$J$14:$J$86,8)</f>
        <v/>
      </c>
      <c r="S92" s="62">
        <f>IF(R$93=0,0,R92/R$93)</f>
        <v/>
      </c>
    </row>
    <row r="93">
      <c r="A93" s="65" t="inlineStr">
        <is>
          <t>Total cases</t>
        </is>
      </c>
      <c r="B93" s="65">
        <f>SUM(B90:B92)</f>
        <v/>
      </c>
      <c r="C93" s="66">
        <f>SUM(C90:C92)</f>
        <v/>
      </c>
      <c r="D93" s="65">
        <f>SUM(D90:D92)</f>
        <v/>
      </c>
      <c r="E93" s="66">
        <f>SUM(E90:E92)</f>
        <v/>
      </c>
      <c r="F93" s="65">
        <f>SUM(F90:F92)</f>
        <v/>
      </c>
      <c r="G93" s="66">
        <f>SUM(G90:G92)</f>
        <v/>
      </c>
      <c r="H93" s="65">
        <f>SUM(H90:H92)</f>
        <v/>
      </c>
      <c r="I93" s="66">
        <f>SUM(I90:I92)</f>
        <v/>
      </c>
      <c r="J93" s="65">
        <f>SUM(J90:J92)</f>
        <v/>
      </c>
      <c r="K93" s="66">
        <f>SUM(K90:K92)</f>
        <v/>
      </c>
      <c r="L93" s="65">
        <f>SUM(L90:L92)</f>
        <v/>
      </c>
      <c r="M93" s="66">
        <f>SUM(M90:M92)</f>
        <v/>
      </c>
      <c r="N93" s="65">
        <f>SUM(N90:N92)</f>
        <v/>
      </c>
      <c r="O93" s="66">
        <f>SUM(O90:O92)</f>
        <v/>
      </c>
      <c r="P93" s="65">
        <f>SUM(P90:P92)</f>
        <v/>
      </c>
      <c r="Q93" s="66">
        <f>SUM(Q90:Q92)</f>
        <v/>
      </c>
      <c r="R93" s="65">
        <f>SUM(R90:R92)</f>
        <v/>
      </c>
      <c r="S93" s="66">
        <f>SUM(S90:S92)</f>
        <v/>
      </c>
    </row>
    <row r="94">
      <c r="A94" t="inlineStr">
        <is>
          <t>A case counts as "Passed on test" only if it passed on every version it was tested on, "Runtime error" if any version crashed, otherwise "Failed on test".</t>
        </is>
      </c>
    </row>
    <row r="95"/>
    <row r="96">
      <c r="A96" s="60" t="inlineStr">
        <is>
          <t>4. Cases that passed on at least one version</t>
        </is>
      </c>
    </row>
    <row r="97">
      <c r="A97" s="54" t="inlineStr">
        <is>
          <t>Measure</t>
        </is>
      </c>
      <c r="B97" s="54" t="inlineStr">
        <is>
          <t>Cases</t>
        </is>
      </c>
      <c r="C97" s="54" t="inlineStr">
        <is>
          <t>% of cases</t>
        </is>
      </c>
      <c r="D97" s="54" t="inlineStr">
        <is>
          <t>Batch 1</t>
        </is>
      </c>
      <c r="E97" s="54" t="inlineStr">
        <is>
          <t>Batch 1 %</t>
        </is>
      </c>
      <c r="F97" s="54" t="inlineStr">
        <is>
          <t>Batch 2</t>
        </is>
      </c>
      <c r="G97" s="54" t="inlineStr">
        <is>
          <t>Batch 2 %</t>
        </is>
      </c>
      <c r="H97" s="54" t="inlineStr">
        <is>
          <t>Batch 3</t>
        </is>
      </c>
      <c r="I97" s="54" t="inlineStr">
        <is>
          <t>Batch 3 %</t>
        </is>
      </c>
      <c r="J97" s="54" t="inlineStr">
        <is>
          <t>Batch 4</t>
        </is>
      </c>
      <c r="K97" s="54" t="inlineStr">
        <is>
          <t>Batch 4 %</t>
        </is>
      </c>
      <c r="L97" s="54" t="inlineStr">
        <is>
          <t>Batch 5</t>
        </is>
      </c>
      <c r="M97" s="54" t="inlineStr">
        <is>
          <t>Batch 5 %</t>
        </is>
      </c>
      <c r="N97" s="54" t="inlineStr">
        <is>
          <t>Batch 6</t>
        </is>
      </c>
      <c r="O97" s="54" t="inlineStr">
        <is>
          <t>Batch 6 %</t>
        </is>
      </c>
      <c r="P97" s="54" t="inlineStr">
        <is>
          <t>Batch 7</t>
        </is>
      </c>
      <c r="Q97" s="54" t="inlineStr">
        <is>
          <t>Batch 7 %</t>
        </is>
      </c>
      <c r="R97" s="54" t="inlineStr">
        <is>
          <t>Batch 8</t>
        </is>
      </c>
      <c r="S97" s="54" t="inlineStr">
        <is>
          <t>Batch 8 %</t>
        </is>
      </c>
    </row>
    <row r="98">
      <c r="A98" s="55" t="inlineStr">
        <is>
          <t>Passed on at least one version</t>
        </is>
      </c>
      <c r="B98" s="55">
        <f>COUNTIF($B$103:$B$175,"YES")</f>
        <v/>
      </c>
      <c r="C98" s="62">
        <f>IF(COUNTA($A$103:$A$175)=0,0,B98/COUNTA($A$103:$A$175))</f>
        <v/>
      </c>
      <c r="D98" s="55">
        <f>COUNTIFS($B$103:$B$175,"YES",$F$103:$F$175,1)</f>
        <v/>
      </c>
      <c r="E98" s="62">
        <f>IF(COUNTIF($F$103:$F$175,1)=0,0,D98/COUNTIF($F$103:$F$175,1))</f>
        <v/>
      </c>
      <c r="F98" s="55">
        <f>COUNTIFS($B$103:$B$175,"YES",$F$103:$F$175,2)</f>
        <v/>
      </c>
      <c r="G98" s="62">
        <f>IF(COUNTIF($F$103:$F$175,2)=0,0,F98/COUNTIF($F$103:$F$175,2))</f>
        <v/>
      </c>
      <c r="H98" s="55">
        <f>COUNTIFS($B$103:$B$175,"YES",$F$103:$F$175,3)</f>
        <v/>
      </c>
      <c r="I98" s="62">
        <f>IF(COUNTIF($F$103:$F$175,3)=0,0,H98/COUNTIF($F$103:$F$175,3))</f>
        <v/>
      </c>
      <c r="J98" s="55">
        <f>COUNTIFS($B$103:$B$175,"YES",$F$103:$F$175,4)</f>
        <v/>
      </c>
      <c r="K98" s="62">
        <f>IF(COUNTIF($F$103:$F$175,4)=0,0,J98/COUNTIF($F$103:$F$175,4))</f>
        <v/>
      </c>
      <c r="L98" s="55">
        <f>COUNTIFS($B$103:$B$175,"YES",$F$103:$F$175,5)</f>
        <v/>
      </c>
      <c r="M98" s="62">
        <f>IF(COUNTIF($F$103:$F$175,5)=0,0,L98/COUNTIF($F$103:$F$175,5))</f>
        <v/>
      </c>
      <c r="N98" s="55">
        <f>COUNTIFS($B$103:$B$175,"YES",$F$103:$F$175,6)</f>
        <v/>
      </c>
      <c r="O98" s="62">
        <f>IF(COUNTIF($F$103:$F$175,6)=0,0,N98/COUNTIF($F$103:$F$175,6))</f>
        <v/>
      </c>
      <c r="P98" s="55">
        <f>COUNTIFS($B$103:$B$175,"YES",$F$103:$F$175,7)</f>
        <v/>
      </c>
      <c r="Q98" s="62">
        <f>IF(COUNTIF($F$103:$F$175,7)=0,0,P98/COUNTIF($F$103:$F$175,7))</f>
        <v/>
      </c>
      <c r="R98" s="55">
        <f>COUNTIFS($B$103:$B$175,"YES",$F$103:$F$175,8)</f>
        <v/>
      </c>
      <c r="S98" s="62">
        <f>IF(COUNTIF($F$103:$F$175,8)=0,0,R98/COUNTIF($F$103:$F$175,8))</f>
        <v/>
      </c>
    </row>
    <row r="99">
      <c r="A99" s="55" t="inlineStr">
        <is>
          <t>Passed on every version (strict, as in section 3)</t>
        </is>
      </c>
      <c r="B99" s="55">
        <f>B90</f>
        <v/>
      </c>
      <c r="C99" s="62">
        <f>IF(COUNTA($A$103:$A$175)=0,0,B99/COUNTA($A$103:$A$175))</f>
        <v/>
      </c>
      <c r="D99" s="55">
        <f>D90</f>
        <v/>
      </c>
      <c r="E99" s="62">
        <f>IF(COUNTIF($F$103:$F$175,1)=0,0,D99/COUNTIF($F$103:$F$175,1))</f>
        <v/>
      </c>
      <c r="F99" s="55">
        <f>F90</f>
        <v/>
      </c>
      <c r="G99" s="62">
        <f>IF(COUNTIF($F$103:$F$175,2)=0,0,F99/COUNTIF($F$103:$F$175,2))</f>
        <v/>
      </c>
      <c r="H99" s="55">
        <f>H90</f>
        <v/>
      </c>
      <c r="I99" s="62">
        <f>IF(COUNTIF($F$103:$F$175,3)=0,0,H99/COUNTIF($F$103:$F$175,3))</f>
        <v/>
      </c>
      <c r="J99" s="55">
        <f>J90</f>
        <v/>
      </c>
      <c r="K99" s="62">
        <f>IF(COUNTIF($F$103:$F$175,4)=0,0,J99/COUNTIF($F$103:$F$175,4))</f>
        <v/>
      </c>
      <c r="L99" s="55">
        <f>L90</f>
        <v/>
      </c>
      <c r="M99" s="62">
        <f>IF(COUNTIF($F$103:$F$175,5)=0,0,L99/COUNTIF($F$103:$F$175,5))</f>
        <v/>
      </c>
      <c r="N99" s="55">
        <f>N90</f>
        <v/>
      </c>
      <c r="O99" s="62">
        <f>IF(COUNTIF($F$103:$F$175,6)=0,0,N99/COUNTIF($F$103:$F$175,6))</f>
        <v/>
      </c>
      <c r="P99" s="55">
        <f>P90</f>
        <v/>
      </c>
      <c r="Q99" s="62">
        <f>IF(COUNTIF($F$103:$F$175,7)=0,0,P99/COUNTIF($F$103:$F$175,7))</f>
        <v/>
      </c>
      <c r="R99" s="55">
        <f>R90</f>
        <v/>
      </c>
      <c r="S99" s="62">
        <f>IF(COUNTIF($F$103:$F$175,8)=0,0,R99/COUNTIF($F$103:$F$175,8))</f>
        <v/>
      </c>
    </row>
    <row r="100">
      <c r="A100" s="55" t="inlineStr">
        <is>
          <t>Passed on some but not all versions</t>
        </is>
      </c>
      <c r="B100" s="55">
        <f>B98-B99</f>
        <v/>
      </c>
      <c r="C100" s="62">
        <f>IF(COUNTA($A$103:$A$175)=0,0,B100/COUNTA($A$103:$A$175))</f>
        <v/>
      </c>
      <c r="D100" s="55">
        <f>D98-D99</f>
        <v/>
      </c>
      <c r="E100" s="62">
        <f>IF(COUNTIF($F$103:$F$175,1)=0,0,D100/COUNTIF($F$103:$F$175,1))</f>
        <v/>
      </c>
      <c r="F100" s="55">
        <f>F98-F99</f>
        <v/>
      </c>
      <c r="G100" s="62">
        <f>IF(COUNTIF($F$103:$F$175,2)=0,0,F100/COUNTIF($F$103:$F$175,2))</f>
        <v/>
      </c>
      <c r="H100" s="55">
        <f>H98-H99</f>
        <v/>
      </c>
      <c r="I100" s="62">
        <f>IF(COUNTIF($F$103:$F$175,3)=0,0,H100/COUNTIF($F$103:$F$175,3))</f>
        <v/>
      </c>
      <c r="J100" s="55">
        <f>J98-J99</f>
        <v/>
      </c>
      <c r="K100" s="62">
        <f>IF(COUNTIF($F$103:$F$175,4)=0,0,J100/COUNTIF($F$103:$F$175,4))</f>
        <v/>
      </c>
      <c r="L100" s="55">
        <f>L98-L99</f>
        <v/>
      </c>
      <c r="M100" s="62">
        <f>IF(COUNTIF($F$103:$F$175,5)=0,0,L100/COUNTIF($F$103:$F$175,5))</f>
        <v/>
      </c>
      <c r="N100" s="55">
        <f>N98-N99</f>
        <v/>
      </c>
      <c r="O100" s="62">
        <f>IF(COUNTIF($F$103:$F$175,6)=0,0,N100/COUNTIF($F$103:$F$175,6))</f>
        <v/>
      </c>
      <c r="P100" s="55">
        <f>P98-P99</f>
        <v/>
      </c>
      <c r="Q100" s="62">
        <f>IF(COUNTIF($F$103:$F$175,7)=0,0,P100/COUNTIF($F$103:$F$175,7))</f>
        <v/>
      </c>
      <c r="R100" s="55">
        <f>R98-R99</f>
        <v/>
      </c>
      <c r="S100" s="62">
        <f>IF(COUNTIF($F$103:$F$175,8)=0,0,R100/COUNTIF($F$103:$F$175,8))</f>
        <v/>
      </c>
    </row>
    <row r="101">
      <c r="A101" s="55" t="inlineStr">
        <is>
          <t>Passed on no version</t>
        </is>
      </c>
      <c r="B101" s="55">
        <f>COUNTIF($B$103:$B$175,"NO")</f>
        <v/>
      </c>
      <c r="C101" s="62">
        <f>IF(COUNTA($A$103:$A$175)=0,0,B101/COUNTA($A$103:$A$175))</f>
        <v/>
      </c>
      <c r="D101" s="55">
        <f>COUNTIFS($B$103:$B$175,"NO",$F$103:$F$175,1)</f>
        <v/>
      </c>
      <c r="E101" s="62">
        <f>IF(COUNTIF($F$103:$F$175,1)=0,0,D101/COUNTIF($F$103:$F$175,1))</f>
        <v/>
      </c>
      <c r="F101" s="55">
        <f>COUNTIFS($B$103:$B$175,"NO",$F$103:$F$175,2)</f>
        <v/>
      </c>
      <c r="G101" s="62">
        <f>IF(COUNTIF($F$103:$F$175,2)=0,0,F101/COUNTIF($F$103:$F$175,2))</f>
        <v/>
      </c>
      <c r="H101" s="55">
        <f>COUNTIFS($B$103:$B$175,"NO",$F$103:$F$175,3)</f>
        <v/>
      </c>
      <c r="I101" s="62">
        <f>IF(COUNTIF($F$103:$F$175,3)=0,0,H101/COUNTIF($F$103:$F$175,3))</f>
        <v/>
      </c>
      <c r="J101" s="55">
        <f>COUNTIFS($B$103:$B$175,"NO",$F$103:$F$175,4)</f>
        <v/>
      </c>
      <c r="K101" s="62">
        <f>IF(COUNTIF($F$103:$F$175,4)=0,0,J101/COUNTIF($F$103:$F$175,4))</f>
        <v/>
      </c>
      <c r="L101" s="55">
        <f>COUNTIFS($B$103:$B$175,"NO",$F$103:$F$175,5)</f>
        <v/>
      </c>
      <c r="M101" s="62">
        <f>IF(COUNTIF($F$103:$F$175,5)=0,0,L101/COUNTIF($F$103:$F$175,5))</f>
        <v/>
      </c>
      <c r="N101" s="55">
        <f>COUNTIFS($B$103:$B$175,"NO",$F$103:$F$175,6)</f>
        <v/>
      </c>
      <c r="O101" s="62">
        <f>IF(COUNTIF($F$103:$F$175,6)=0,0,N101/COUNTIF($F$103:$F$175,6))</f>
        <v/>
      </c>
      <c r="P101" s="55">
        <f>COUNTIFS($B$103:$B$175,"NO",$F$103:$F$175,7)</f>
        <v/>
      </c>
      <c r="Q101" s="62">
        <f>IF(COUNTIF($F$103:$F$175,7)=0,0,P101/COUNTIF($F$103:$F$175,7))</f>
        <v/>
      </c>
      <c r="R101" s="55">
        <f>COUNTIFS($B$103:$B$175,"NO",$F$103:$F$175,8)</f>
        <v/>
      </c>
      <c r="S101" s="62">
        <f>IF(COUNTIF($F$103:$F$175,8)=0,0,R101/COUNTIF($F$103:$F$175,8))</f>
        <v/>
      </c>
    </row>
    <row r="102">
      <c r="A102" s="54" t="inlineStr">
        <is>
          <t>Case</t>
        </is>
      </c>
      <c r="B102" s="54" t="inlineStr">
        <is>
          <t>Passed on ≥1 version?</t>
        </is>
      </c>
      <c r="C102" s="54" t="inlineStr">
        <is>
          <t>Versions it passed on</t>
        </is>
      </c>
      <c r="D102" s="54" t="inlineStr">
        <is>
          <t># passed</t>
        </is>
      </c>
      <c r="E102" s="54" t="inlineStr">
        <is>
          <t># tested</t>
        </is>
      </c>
      <c r="F102" s="54" t="inlineStr">
        <is>
          <t>Batch</t>
        </is>
      </c>
    </row>
    <row r="103">
      <c r="A103" s="55">
        <f>Summary!A2</f>
        <v/>
      </c>
      <c r="B103" s="55">
        <f>IF(C14&gt;0,"YES","NO")</f>
        <v/>
      </c>
      <c r="C103" s="67">
        <f t="array" ref="C103">IF(C14=0,"-",_xlfn.TEXTJOIN(", ",TRUE,IF(Summary!$B$2:$AB$2="Passed on test",Summary!$B$1:$AB$1,"")))</f>
        <v/>
      </c>
      <c r="D103" s="55">
        <f>C14</f>
        <v/>
      </c>
      <c r="E103" s="55">
        <f>B14</f>
        <v/>
      </c>
      <c r="F103" s="55" t="n">
        <v>1</v>
      </c>
    </row>
    <row r="104">
      <c r="A104" s="55">
        <f>Summary!A3</f>
        <v/>
      </c>
      <c r="B104" s="55">
        <f>IF(C15&gt;0,"YES","NO")</f>
        <v/>
      </c>
      <c r="C104" s="67">
        <f t="array" ref="C104">IF(C15=0,"-",_xlfn.TEXTJOIN(", ",TRUE,IF(Summary!$B$3:$AB$3="Passed on test",Summary!$B$1:$AB$1,"")))</f>
        <v/>
      </c>
      <c r="D104" s="55">
        <f>C15</f>
        <v/>
      </c>
      <c r="E104" s="55">
        <f>B15</f>
        <v/>
      </c>
      <c r="F104" s="55" t="n">
        <v>1</v>
      </c>
    </row>
    <row r="105">
      <c r="A105" s="55">
        <f>Summary!A4</f>
        <v/>
      </c>
      <c r="B105" s="55">
        <f>IF(C16&gt;0,"YES","NO")</f>
        <v/>
      </c>
      <c r="C105" s="67">
        <f t="array" ref="C105">IF(C16=0,"-",_xlfn.TEXTJOIN(", ",TRUE,IF(Summary!$B$4:$AB$4="Passed on test",Summary!$B$1:$AB$1,"")))</f>
        <v/>
      </c>
      <c r="D105" s="55">
        <f>C16</f>
        <v/>
      </c>
      <c r="E105" s="55">
        <f>B16</f>
        <v/>
      </c>
      <c r="F105" s="55" t="n">
        <v>1</v>
      </c>
    </row>
    <row r="106">
      <c r="A106" s="55">
        <f>Summary!A5</f>
        <v/>
      </c>
      <c r="B106" s="55">
        <f>IF(C17&gt;0,"YES","NO")</f>
        <v/>
      </c>
      <c r="C106" s="67">
        <f t="array" ref="C106">IF(C17=0,"-",_xlfn.TEXTJOIN(", ",TRUE,IF(Summary!$B$5:$AB$5="Passed on test",Summary!$B$1:$AB$1,"")))</f>
        <v/>
      </c>
      <c r="D106" s="55">
        <f>C17</f>
        <v/>
      </c>
      <c r="E106" s="55">
        <f>B17</f>
        <v/>
      </c>
      <c r="F106" s="55" t="n">
        <v>1</v>
      </c>
    </row>
    <row r="107">
      <c r="A107" s="55">
        <f>Summary!A6</f>
        <v/>
      </c>
      <c r="B107" s="55">
        <f>IF(C18&gt;0,"YES","NO")</f>
        <v/>
      </c>
      <c r="C107" s="67">
        <f t="array" ref="C107">IF(C18=0,"-",_xlfn.TEXTJOIN(", ",TRUE,IF(Summary!$B$6:$AB$6="Passed on test",Summary!$B$1:$AB$1,"")))</f>
        <v/>
      </c>
      <c r="D107" s="55">
        <f>C18</f>
        <v/>
      </c>
      <c r="E107" s="55">
        <f>B18</f>
        <v/>
      </c>
      <c r="F107" s="55" t="n">
        <v>1</v>
      </c>
    </row>
    <row r="108">
      <c r="A108" s="55">
        <f>Summary!A7</f>
        <v/>
      </c>
      <c r="B108" s="55">
        <f>IF(C19&gt;0,"YES","NO")</f>
        <v/>
      </c>
      <c r="C108" s="67">
        <f t="array" ref="C108">IF(C19=0,"-",_xlfn.TEXTJOIN(", ",TRUE,IF(Summary!$B$7:$AB$7="Passed on test",Summary!$B$1:$AB$1,"")))</f>
        <v/>
      </c>
      <c r="D108" s="55">
        <f>C19</f>
        <v/>
      </c>
      <c r="E108" s="55">
        <f>B19</f>
        <v/>
      </c>
      <c r="F108" s="55" t="n">
        <v>1</v>
      </c>
    </row>
    <row r="109">
      <c r="A109" s="55">
        <f>Summary!A8</f>
        <v/>
      </c>
      <c r="B109" s="55">
        <f>IF(C20&gt;0,"YES","NO")</f>
        <v/>
      </c>
      <c r="C109" s="67">
        <f t="array" ref="C109">IF(C20=0,"-",_xlfn.TEXTJOIN(", ",TRUE,IF(Summary!$B$8:$AB$8="Passed on test",Summary!$B$1:$AB$1,"")))</f>
        <v/>
      </c>
      <c r="D109" s="55">
        <f>C20</f>
        <v/>
      </c>
      <c r="E109" s="55">
        <f>B20</f>
        <v/>
      </c>
      <c r="F109" s="55" t="n">
        <v>1</v>
      </c>
    </row>
    <row r="110">
      <c r="A110" s="55">
        <f>Summary!A9</f>
        <v/>
      </c>
      <c r="B110" s="55">
        <f>IF(C21&gt;0,"YES","NO")</f>
        <v/>
      </c>
      <c r="C110" s="67">
        <f t="array" ref="C110">IF(C21=0,"-",_xlfn.TEXTJOIN(", ",TRUE,IF(Summary!$B$9:$AB$9="Passed on test",Summary!$B$1:$AB$1,"")))</f>
        <v/>
      </c>
      <c r="D110" s="55">
        <f>C21</f>
        <v/>
      </c>
      <c r="E110" s="55">
        <f>B21</f>
        <v/>
      </c>
      <c r="F110" s="55" t="n">
        <v>1</v>
      </c>
    </row>
    <row r="111">
      <c r="A111" s="55">
        <f>Summary!A10</f>
        <v/>
      </c>
      <c r="B111" s="55">
        <f>IF(C22&gt;0,"YES","NO")</f>
        <v/>
      </c>
      <c r="C111" s="67">
        <f t="array" ref="C111">IF(C22=0,"-",_xlfn.TEXTJOIN(", ",TRUE,IF(Summary!$B$10:$AB$10="Passed on test",Summary!$B$1:$AB$1,"")))</f>
        <v/>
      </c>
      <c r="D111" s="55">
        <f>C22</f>
        <v/>
      </c>
      <c r="E111" s="55">
        <f>B22</f>
        <v/>
      </c>
      <c r="F111" s="55" t="n">
        <v>1</v>
      </c>
    </row>
    <row r="112">
      <c r="A112" s="55">
        <f>Summary!A11</f>
        <v/>
      </c>
      <c r="B112" s="55">
        <f>IF(C23&gt;0,"YES","NO")</f>
        <v/>
      </c>
      <c r="C112" s="67">
        <f t="array" ref="C112">IF(C23=0,"-",_xlfn.TEXTJOIN(", ",TRUE,IF(Summary!$B$11:$AB$11="Passed on test",Summary!$B$1:$AB$1,"")))</f>
        <v/>
      </c>
      <c r="D112" s="55">
        <f>C23</f>
        <v/>
      </c>
      <c r="E112" s="55">
        <f>B23</f>
        <v/>
      </c>
      <c r="F112" s="55" t="n">
        <v>1</v>
      </c>
    </row>
    <row r="113">
      <c r="A113" s="55">
        <f>Summary!A12</f>
        <v/>
      </c>
      <c r="B113" s="55">
        <f>IF(C24&gt;0,"YES","NO")</f>
        <v/>
      </c>
      <c r="C113" s="67">
        <f t="array" ref="C113">IF(C24=0,"-",_xlfn.TEXTJOIN(", ",TRUE,IF(Summary!$B$12:$AB$12="Passed on test",Summary!$B$1:$AB$1,"")))</f>
        <v/>
      </c>
      <c r="D113" s="55">
        <f>C24</f>
        <v/>
      </c>
      <c r="E113" s="55">
        <f>B24</f>
        <v/>
      </c>
      <c r="F113" s="55" t="n">
        <v>2</v>
      </c>
    </row>
    <row r="114">
      <c r="A114" s="55">
        <f>Summary!A13</f>
        <v/>
      </c>
      <c r="B114" s="55">
        <f>IF(C25&gt;0,"YES","NO")</f>
        <v/>
      </c>
      <c r="C114" s="67">
        <f t="array" ref="C114">IF(C25=0,"-",_xlfn.TEXTJOIN(", ",TRUE,IF(Summary!$B$13:$AB$13="Passed on test",Summary!$B$1:$AB$1,"")))</f>
        <v/>
      </c>
      <c r="D114" s="55">
        <f>C25</f>
        <v/>
      </c>
      <c r="E114" s="55">
        <f>B25</f>
        <v/>
      </c>
      <c r="F114" s="55" t="n">
        <v>2</v>
      </c>
    </row>
    <row r="115">
      <c r="A115" s="55">
        <f>Summary!A14</f>
        <v/>
      </c>
      <c r="B115" s="55">
        <f>IF(C26&gt;0,"YES","NO")</f>
        <v/>
      </c>
      <c r="C115" s="67">
        <f t="array" ref="C115">IF(C26=0,"-",_xlfn.TEXTJOIN(", ",TRUE,IF(Summary!$B$14:$AB$14="Passed on test",Summary!$B$1:$AB$1,"")))</f>
        <v/>
      </c>
      <c r="D115" s="55">
        <f>C26</f>
        <v/>
      </c>
      <c r="E115" s="55">
        <f>B26</f>
        <v/>
      </c>
      <c r="F115" s="55" t="n">
        <v>2</v>
      </c>
    </row>
    <row r="116">
      <c r="A116" s="55">
        <f>Summary!A15</f>
        <v/>
      </c>
      <c r="B116" s="55">
        <f>IF(C27&gt;0,"YES","NO")</f>
        <v/>
      </c>
      <c r="C116" s="67">
        <f t="array" ref="C116">IF(C27=0,"-",_xlfn.TEXTJOIN(", ",TRUE,IF(Summary!$B$15:$AB$15="Passed on test",Summary!$B$1:$AB$1,"")))</f>
        <v/>
      </c>
      <c r="D116" s="55">
        <f>C27</f>
        <v/>
      </c>
      <c r="E116" s="55">
        <f>B27</f>
        <v/>
      </c>
      <c r="F116" s="55" t="n">
        <v>2</v>
      </c>
    </row>
    <row r="117">
      <c r="A117" s="55">
        <f>Summary!A16</f>
        <v/>
      </c>
      <c r="B117" s="55">
        <f>IF(C28&gt;0,"YES","NO")</f>
        <v/>
      </c>
      <c r="C117" s="67">
        <f t="array" ref="C117">IF(C28=0,"-",_xlfn.TEXTJOIN(", ",TRUE,IF(Summary!$B$16:$AB$16="Passed on test",Summary!$B$1:$AB$1,"")))</f>
        <v/>
      </c>
      <c r="D117" s="55">
        <f>C28</f>
        <v/>
      </c>
      <c r="E117" s="55">
        <f>B28</f>
        <v/>
      </c>
      <c r="F117" s="55" t="n">
        <v>2</v>
      </c>
    </row>
    <row r="118">
      <c r="A118" s="55">
        <f>Summary!A17</f>
        <v/>
      </c>
      <c r="B118" s="55">
        <f>IF(C29&gt;0,"YES","NO")</f>
        <v/>
      </c>
      <c r="C118" s="67">
        <f t="array" ref="C118">IF(C29=0,"-",_xlfn.TEXTJOIN(", ",TRUE,IF(Summary!$B$17:$AB$17="Passed on test",Summary!$B$1:$AB$1,"")))</f>
        <v/>
      </c>
      <c r="D118" s="55">
        <f>C29</f>
        <v/>
      </c>
      <c r="E118" s="55">
        <f>B29</f>
        <v/>
      </c>
      <c r="F118" s="55" t="n">
        <v>2</v>
      </c>
    </row>
    <row r="119">
      <c r="A119" s="55">
        <f>Summary!A18</f>
        <v/>
      </c>
      <c r="B119" s="55">
        <f>IF(C30&gt;0,"YES","NO")</f>
        <v/>
      </c>
      <c r="C119" s="67">
        <f t="array" ref="C119">IF(C30=0,"-",_xlfn.TEXTJOIN(", ",TRUE,IF(Summary!$B$18:$AB$18="Passed on test",Summary!$B$1:$AB$1,"")))</f>
        <v/>
      </c>
      <c r="D119" s="55">
        <f>C30</f>
        <v/>
      </c>
      <c r="E119" s="55">
        <f>B30</f>
        <v/>
      </c>
      <c r="F119" s="55" t="n">
        <v>2</v>
      </c>
    </row>
    <row r="120">
      <c r="A120" s="55">
        <f>Summary!A19</f>
        <v/>
      </c>
      <c r="B120" s="55">
        <f>IF(C31&gt;0,"YES","NO")</f>
        <v/>
      </c>
      <c r="C120" s="67">
        <f t="array" ref="C120">IF(C31=0,"-",_xlfn.TEXTJOIN(", ",TRUE,IF(Summary!$B$19:$AB$19="Passed on test",Summary!$B$1:$AB$1,"")))</f>
        <v/>
      </c>
      <c r="D120" s="55">
        <f>C31</f>
        <v/>
      </c>
      <c r="E120" s="55">
        <f>B31</f>
        <v/>
      </c>
      <c r="F120" s="55" t="n">
        <v>2</v>
      </c>
    </row>
    <row r="121">
      <c r="A121" s="55">
        <f>Summary!A20</f>
        <v/>
      </c>
      <c r="B121" s="55">
        <f>IF(C32&gt;0,"YES","NO")</f>
        <v/>
      </c>
      <c r="C121" s="67">
        <f t="array" ref="C121">IF(C32=0,"-",_xlfn.TEXTJOIN(", ",TRUE,IF(Summary!$B$20:$AB$20="Passed on test",Summary!$B$1:$AB$1,"")))</f>
        <v/>
      </c>
      <c r="D121" s="55">
        <f>C32</f>
        <v/>
      </c>
      <c r="E121" s="55">
        <f>B32</f>
        <v/>
      </c>
      <c r="F121" s="55" t="n">
        <v>2</v>
      </c>
    </row>
    <row r="122">
      <c r="A122" s="55">
        <f>Summary!A21</f>
        <v/>
      </c>
      <c r="B122" s="55">
        <f>IF(C33&gt;0,"YES","NO")</f>
        <v/>
      </c>
      <c r="C122" s="67">
        <f t="array" ref="C122">IF(C33=0,"-",_xlfn.TEXTJOIN(", ",TRUE,IF(Summary!$B$21:$AB$21="Passed on test",Summary!$B$1:$AB$1,"")))</f>
        <v/>
      </c>
      <c r="D122" s="55">
        <f>C33</f>
        <v/>
      </c>
      <c r="E122" s="55">
        <f>B33</f>
        <v/>
      </c>
      <c r="F122" s="55" t="n">
        <v>2</v>
      </c>
    </row>
    <row r="123">
      <c r="A123" s="55">
        <f>Summary!A22</f>
        <v/>
      </c>
      <c r="B123" s="55">
        <f>IF(C34&gt;0,"YES","NO")</f>
        <v/>
      </c>
      <c r="C123" s="67">
        <f t="array" ref="C123">IF(C34=0,"-",_xlfn.TEXTJOIN(", ",TRUE,IF(Summary!$B$22:$AB$22="Passed on test",Summary!$B$1:$AB$1,"")))</f>
        <v/>
      </c>
      <c r="D123" s="55">
        <f>C34</f>
        <v/>
      </c>
      <c r="E123" s="55">
        <f>B34</f>
        <v/>
      </c>
      <c r="F123" s="55" t="n">
        <v>3</v>
      </c>
    </row>
    <row r="124">
      <c r="A124" s="55">
        <f>Summary!A23</f>
        <v/>
      </c>
      <c r="B124" s="55">
        <f>IF(C35&gt;0,"YES","NO")</f>
        <v/>
      </c>
      <c r="C124" s="67">
        <f t="array" ref="C124">IF(C35=0,"-",_xlfn.TEXTJOIN(", ",TRUE,IF(Summary!$B$23:$AB$23="Passed on test",Summary!$B$1:$AB$1,"")))</f>
        <v/>
      </c>
      <c r="D124" s="55">
        <f>C35</f>
        <v/>
      </c>
      <c r="E124" s="55">
        <f>B35</f>
        <v/>
      </c>
      <c r="F124" s="55" t="n">
        <v>3</v>
      </c>
    </row>
    <row r="125">
      <c r="A125" s="55">
        <f>Summary!A24</f>
        <v/>
      </c>
      <c r="B125" s="55">
        <f>IF(C36&gt;0,"YES","NO")</f>
        <v/>
      </c>
      <c r="C125" s="67">
        <f t="array" ref="C125">IF(C36=0,"-",_xlfn.TEXTJOIN(", ",TRUE,IF(Summary!$B$24:$AB$24="Passed on test",Summary!$B$1:$AB$1,"")))</f>
        <v/>
      </c>
      <c r="D125" s="55">
        <f>C36</f>
        <v/>
      </c>
      <c r="E125" s="55">
        <f>B36</f>
        <v/>
      </c>
      <c r="F125" s="55" t="n">
        <v>3</v>
      </c>
    </row>
    <row r="126">
      <c r="A126" s="55">
        <f>Summary!A25</f>
        <v/>
      </c>
      <c r="B126" s="55">
        <f>IF(C37&gt;0,"YES","NO")</f>
        <v/>
      </c>
      <c r="C126" s="67">
        <f t="array" ref="C126">IF(C37=0,"-",_xlfn.TEXTJOIN(", ",TRUE,IF(Summary!$B$25:$AB$25="Passed on test",Summary!$B$1:$AB$1,"")))</f>
        <v/>
      </c>
      <c r="D126" s="55">
        <f>C37</f>
        <v/>
      </c>
      <c r="E126" s="55">
        <f>B37</f>
        <v/>
      </c>
      <c r="F126" s="55" t="n">
        <v>3</v>
      </c>
    </row>
    <row r="127">
      <c r="A127" s="55">
        <f>Summary!A26</f>
        <v/>
      </c>
      <c r="B127" s="55">
        <f>IF(C38&gt;0,"YES","NO")</f>
        <v/>
      </c>
      <c r="C127" s="67">
        <f t="array" ref="C127">IF(C38=0,"-",_xlfn.TEXTJOIN(", ",TRUE,IF(Summary!$B$26:$AB$26="Passed on test",Summary!$B$1:$AB$1,"")))</f>
        <v/>
      </c>
      <c r="D127" s="55">
        <f>C38</f>
        <v/>
      </c>
      <c r="E127" s="55">
        <f>B38</f>
        <v/>
      </c>
      <c r="F127" s="55" t="n">
        <v>3</v>
      </c>
    </row>
    <row r="128">
      <c r="A128" s="55">
        <f>Summary!A27</f>
        <v/>
      </c>
      <c r="B128" s="55">
        <f>IF(C39&gt;0,"YES","NO")</f>
        <v/>
      </c>
      <c r="C128" s="67">
        <f t="array" ref="C128">IF(C39=0,"-",_xlfn.TEXTJOIN(", ",TRUE,IF(Summary!$B$27:$AB$27="Passed on test",Summary!$B$1:$AB$1,"")))</f>
        <v/>
      </c>
      <c r="D128" s="55">
        <f>C39</f>
        <v/>
      </c>
      <c r="E128" s="55">
        <f>B39</f>
        <v/>
      </c>
      <c r="F128" s="55" t="n">
        <v>3</v>
      </c>
    </row>
    <row r="129">
      <c r="A129" s="55">
        <f>Summary!A28</f>
        <v/>
      </c>
      <c r="B129" s="55">
        <f>IF(C40&gt;0,"YES","NO")</f>
        <v/>
      </c>
      <c r="C129" s="67">
        <f t="array" ref="C129">IF(C40=0,"-",_xlfn.TEXTJOIN(", ",TRUE,IF(Summary!$B$28:$AB$28="Passed on test",Summary!$B$1:$AB$1,"")))</f>
        <v/>
      </c>
      <c r="D129" s="55">
        <f>C40</f>
        <v/>
      </c>
      <c r="E129" s="55">
        <f>B40</f>
        <v/>
      </c>
      <c r="F129" s="55" t="n">
        <v>3</v>
      </c>
    </row>
    <row r="130">
      <c r="A130" s="55">
        <f>Summary!A29</f>
        <v/>
      </c>
      <c r="B130" s="55">
        <f>IF(C41&gt;0,"YES","NO")</f>
        <v/>
      </c>
      <c r="C130" s="67">
        <f t="array" ref="C130">IF(C41=0,"-",_xlfn.TEXTJOIN(", ",TRUE,IF(Summary!$B$29:$AB$29="Passed on test",Summary!$B$1:$AB$1,"")))</f>
        <v/>
      </c>
      <c r="D130" s="55">
        <f>C41</f>
        <v/>
      </c>
      <c r="E130" s="55">
        <f>B41</f>
        <v/>
      </c>
      <c r="F130" s="55" t="n">
        <v>3</v>
      </c>
    </row>
    <row r="131">
      <c r="A131" s="55">
        <f>Summary!A30</f>
        <v/>
      </c>
      <c r="B131" s="55">
        <f>IF(C42&gt;0,"YES","NO")</f>
        <v/>
      </c>
      <c r="C131" s="67">
        <f t="array" ref="C131">IF(C42=0,"-",_xlfn.TEXTJOIN(", ",TRUE,IF(Summary!$B$30:$AB$30="Passed on test",Summary!$B$1:$AB$1,"")))</f>
        <v/>
      </c>
      <c r="D131" s="55">
        <f>C42</f>
        <v/>
      </c>
      <c r="E131" s="55">
        <f>B42</f>
        <v/>
      </c>
      <c r="F131" s="55" t="n">
        <v>3</v>
      </c>
    </row>
    <row r="132">
      <c r="A132" s="55">
        <f>Summary!A31</f>
        <v/>
      </c>
      <c r="B132" s="55">
        <f>IF(C43&gt;0,"YES","NO")</f>
        <v/>
      </c>
      <c r="C132" s="67">
        <f t="array" ref="C132">IF(C43=0,"-",_xlfn.TEXTJOIN(", ",TRUE,IF(Summary!$B$31:$AB$31="Passed on test",Summary!$B$1:$AB$1,"")))</f>
        <v/>
      </c>
      <c r="D132" s="55">
        <f>C43</f>
        <v/>
      </c>
      <c r="E132" s="55">
        <f>B43</f>
        <v/>
      </c>
      <c r="F132" s="55" t="n">
        <v>3</v>
      </c>
    </row>
    <row r="133">
      <c r="A133" s="55">
        <f>Summary!A32</f>
        <v/>
      </c>
      <c r="B133" s="55">
        <f>IF(C44&gt;0,"YES","NO")</f>
        <v/>
      </c>
      <c r="C133" s="67">
        <f t="array" ref="C133">IF(C44=0,"-",_xlfn.TEXTJOIN(", ",TRUE,IF(Summary!$B$32:$AB$32="Passed on test",Summary!$B$1:$AB$1,"")))</f>
        <v/>
      </c>
      <c r="D133" s="55">
        <f>C44</f>
        <v/>
      </c>
      <c r="E133" s="55">
        <f>B44</f>
        <v/>
      </c>
      <c r="F133" s="55" t="n">
        <v>4</v>
      </c>
    </row>
    <row r="134">
      <c r="A134" s="55">
        <f>Summary!A33</f>
        <v/>
      </c>
      <c r="B134" s="55">
        <f>IF(C45&gt;0,"YES","NO")</f>
        <v/>
      </c>
      <c r="C134" s="67">
        <f t="array" ref="C134">IF(C45=0,"-",_xlfn.TEXTJOIN(", ",TRUE,IF(Summary!$B$33:$AB$33="Passed on test",Summary!$B$1:$AB$1,"")))</f>
        <v/>
      </c>
      <c r="D134" s="55">
        <f>C45</f>
        <v/>
      </c>
      <c r="E134" s="55">
        <f>B45</f>
        <v/>
      </c>
      <c r="F134" s="55" t="n">
        <v>4</v>
      </c>
    </row>
    <row r="135">
      <c r="A135" s="55">
        <f>Summary!A34</f>
        <v/>
      </c>
      <c r="B135" s="55">
        <f>IF(C46&gt;0,"YES","NO")</f>
        <v/>
      </c>
      <c r="C135" s="67">
        <f t="array" ref="C135">IF(C46=0,"-",_xlfn.TEXTJOIN(", ",TRUE,IF(Summary!$B$34:$AB$34="Passed on test",Summary!$B$1:$AB$1,"")))</f>
        <v/>
      </c>
      <c r="D135" s="55">
        <f>C46</f>
        <v/>
      </c>
      <c r="E135" s="55">
        <f>B46</f>
        <v/>
      </c>
      <c r="F135" s="55" t="n">
        <v>4</v>
      </c>
    </row>
    <row r="136">
      <c r="A136" s="55">
        <f>Summary!A35</f>
        <v/>
      </c>
      <c r="B136" s="55">
        <f>IF(C47&gt;0,"YES","NO")</f>
        <v/>
      </c>
      <c r="C136" s="67">
        <f t="array" ref="C136">IF(C47=0,"-",_xlfn.TEXTJOIN(", ",TRUE,IF(Summary!$B$35:$AB$35="Passed on test",Summary!$B$1:$AB$1,"")))</f>
        <v/>
      </c>
      <c r="D136" s="55">
        <f>C47</f>
        <v/>
      </c>
      <c r="E136" s="55">
        <f>B47</f>
        <v/>
      </c>
      <c r="F136" s="55" t="n">
        <v>4</v>
      </c>
    </row>
    <row r="137">
      <c r="A137" s="55">
        <f>Summary!A36</f>
        <v/>
      </c>
      <c r="B137" s="55">
        <f>IF(C48&gt;0,"YES","NO")</f>
        <v/>
      </c>
      <c r="C137" s="67">
        <f t="array" ref="C137">IF(C48=0,"-",_xlfn.TEXTJOIN(", ",TRUE,IF(Summary!$B$36:$AB$36="Passed on test",Summary!$B$1:$AB$1,"")))</f>
        <v/>
      </c>
      <c r="D137" s="55">
        <f>C48</f>
        <v/>
      </c>
      <c r="E137" s="55">
        <f>B48</f>
        <v/>
      </c>
      <c r="F137" s="55" t="n">
        <v>4</v>
      </c>
    </row>
    <row r="138">
      <c r="A138" s="55">
        <f>Summary!A37</f>
        <v/>
      </c>
      <c r="B138" s="55">
        <f>IF(C49&gt;0,"YES","NO")</f>
        <v/>
      </c>
      <c r="C138" s="67">
        <f t="array" ref="C138">IF(C49=0,"-",_xlfn.TEXTJOIN(", ",TRUE,IF(Summary!$B$37:$AB$37="Passed on test",Summary!$B$1:$AB$1,"")))</f>
        <v/>
      </c>
      <c r="D138" s="55">
        <f>C49</f>
        <v/>
      </c>
      <c r="E138" s="55">
        <f>B49</f>
        <v/>
      </c>
      <c r="F138" s="55" t="n">
        <v>4</v>
      </c>
    </row>
    <row r="139">
      <c r="A139" s="55">
        <f>Summary!A38</f>
        <v/>
      </c>
      <c r="B139" s="55">
        <f>IF(C50&gt;0,"YES","NO")</f>
        <v/>
      </c>
      <c r="C139" s="67">
        <f t="array" ref="C139">IF(C50=0,"-",_xlfn.TEXTJOIN(", ",TRUE,IF(Summary!$B$38:$AB$38="Passed on test",Summary!$B$1:$AB$1,"")))</f>
        <v/>
      </c>
      <c r="D139" s="55">
        <f>C50</f>
        <v/>
      </c>
      <c r="E139" s="55">
        <f>B50</f>
        <v/>
      </c>
      <c r="F139" s="55" t="n">
        <v>4</v>
      </c>
    </row>
    <row r="140">
      <c r="A140" s="55">
        <f>Summary!A39</f>
        <v/>
      </c>
      <c r="B140" s="55">
        <f>IF(C51&gt;0,"YES","NO")</f>
        <v/>
      </c>
      <c r="C140" s="67">
        <f t="array" ref="C140">IF(C51=0,"-",_xlfn.TEXTJOIN(", ",TRUE,IF(Summary!$B$39:$AB$39="Passed on test",Summary!$B$1:$AB$1,"")))</f>
        <v/>
      </c>
      <c r="D140" s="55">
        <f>C51</f>
        <v/>
      </c>
      <c r="E140" s="55">
        <f>B51</f>
        <v/>
      </c>
      <c r="F140" s="55" t="n">
        <v>4</v>
      </c>
    </row>
    <row r="141">
      <c r="A141" s="55">
        <f>Summary!A40</f>
        <v/>
      </c>
      <c r="B141" s="55">
        <f>IF(C52&gt;0,"YES","NO")</f>
        <v/>
      </c>
      <c r="C141" s="67">
        <f t="array" ref="C141">IF(C52=0,"-",_xlfn.TEXTJOIN(", ",TRUE,IF(Summary!$B$40:$AB$40="Passed on test",Summary!$B$1:$AB$1,"")))</f>
        <v/>
      </c>
      <c r="D141" s="55">
        <f>C52</f>
        <v/>
      </c>
      <c r="E141" s="55">
        <f>B52</f>
        <v/>
      </c>
      <c r="F141" s="55" t="n">
        <v>4</v>
      </c>
    </row>
    <row r="142">
      <c r="A142" s="55">
        <f>Summary!A41</f>
        <v/>
      </c>
      <c r="B142" s="55">
        <f>IF(C53&gt;0,"YES","NO")</f>
        <v/>
      </c>
      <c r="C142" s="67">
        <f t="array" ref="C142">IF(C53=0,"-",_xlfn.TEXTJOIN(", ",TRUE,IF(Summary!$B$41:$AB$41="Passed on test",Summary!$B$1:$AB$1,"")))</f>
        <v/>
      </c>
      <c r="D142" s="55">
        <f>C53</f>
        <v/>
      </c>
      <c r="E142" s="55">
        <f>B53</f>
        <v/>
      </c>
      <c r="F142" s="55" t="n">
        <v>4</v>
      </c>
    </row>
    <row r="143">
      <c r="A143" s="55">
        <f>Summary!A42</f>
        <v/>
      </c>
      <c r="B143" s="55">
        <f>IF(C54&gt;0,"YES","NO")</f>
        <v/>
      </c>
      <c r="C143" s="67">
        <f t="array" ref="C143">IF(C54=0,"-",_xlfn.TEXTJOIN(", ",TRUE,IF(Summary!$B$42:$AB$42="Passed on test",Summary!$B$1:$AB$1,"")))</f>
        <v/>
      </c>
      <c r="D143" s="55">
        <f>C54</f>
        <v/>
      </c>
      <c r="E143" s="55">
        <f>B54</f>
        <v/>
      </c>
      <c r="F143" s="55" t="n">
        <v>5</v>
      </c>
    </row>
    <row r="144">
      <c r="A144" s="55">
        <f>Summary!A43</f>
        <v/>
      </c>
      <c r="B144" s="55">
        <f>IF(C55&gt;0,"YES","NO")</f>
        <v/>
      </c>
      <c r="C144" s="67">
        <f t="array" ref="C144">IF(C55=0,"-",_xlfn.TEXTJOIN(", ",TRUE,IF(Summary!$B$43:$AB$43="Passed on test",Summary!$B$1:$AB$1,"")))</f>
        <v/>
      </c>
      <c r="D144" s="55">
        <f>C55</f>
        <v/>
      </c>
      <c r="E144" s="55">
        <f>B55</f>
        <v/>
      </c>
      <c r="F144" s="55" t="n">
        <v>5</v>
      </c>
    </row>
    <row r="145">
      <c r="A145" s="55">
        <f>Summary!A44</f>
        <v/>
      </c>
      <c r="B145" s="55">
        <f>IF(C56&gt;0,"YES","NO")</f>
        <v/>
      </c>
      <c r="C145" s="67">
        <f t="array" ref="C145">IF(C56=0,"-",_xlfn.TEXTJOIN(", ",TRUE,IF(Summary!$B$44:$AB$44="Passed on test",Summary!$B$1:$AB$1,"")))</f>
        <v/>
      </c>
      <c r="D145" s="55">
        <f>C56</f>
        <v/>
      </c>
      <c r="E145" s="55">
        <f>B56</f>
        <v/>
      </c>
      <c r="F145" s="55" t="n">
        <v>5</v>
      </c>
    </row>
    <row r="146">
      <c r="A146" s="55">
        <f>Summary!A45</f>
        <v/>
      </c>
      <c r="B146" s="55">
        <f>IF(C57&gt;0,"YES","NO")</f>
        <v/>
      </c>
      <c r="C146" s="67">
        <f t="array" ref="C146">IF(C57=0,"-",_xlfn.TEXTJOIN(", ",TRUE,IF(Summary!$B$45:$AB$45="Passed on test",Summary!$B$1:$AB$1,"")))</f>
        <v/>
      </c>
      <c r="D146" s="55">
        <f>C57</f>
        <v/>
      </c>
      <c r="E146" s="55">
        <f>B57</f>
        <v/>
      </c>
      <c r="F146" s="55" t="n">
        <v>5</v>
      </c>
    </row>
    <row r="147">
      <c r="A147" s="55">
        <f>Summary!A46</f>
        <v/>
      </c>
      <c r="B147" s="55">
        <f>IF(C58&gt;0,"YES","NO")</f>
        <v/>
      </c>
      <c r="C147" s="67">
        <f t="array" ref="C147">IF(C58=0,"-",_xlfn.TEXTJOIN(", ",TRUE,IF(Summary!$B$46:$AB$46="Passed on test",Summary!$B$1:$AB$1,"")))</f>
        <v/>
      </c>
      <c r="D147" s="55">
        <f>C58</f>
        <v/>
      </c>
      <c r="E147" s="55">
        <f>B58</f>
        <v/>
      </c>
      <c r="F147" s="55" t="n">
        <v>5</v>
      </c>
    </row>
    <row r="148">
      <c r="A148" s="55">
        <f>Summary!A47</f>
        <v/>
      </c>
      <c r="B148" s="55">
        <f>IF(C59&gt;0,"YES","NO")</f>
        <v/>
      </c>
      <c r="C148" s="67">
        <f t="array" ref="C148">IF(C59=0,"-",_xlfn.TEXTJOIN(", ",TRUE,IF(Summary!$B$47:$AB$47="Passed on test",Summary!$B$1:$AB$1,"")))</f>
        <v/>
      </c>
      <c r="D148" s="55">
        <f>C59</f>
        <v/>
      </c>
      <c r="E148" s="55">
        <f>B59</f>
        <v/>
      </c>
      <c r="F148" s="55" t="n">
        <v>5</v>
      </c>
    </row>
    <row r="149">
      <c r="A149" s="55">
        <f>Summary!A48</f>
        <v/>
      </c>
      <c r="B149" s="55">
        <f>IF(C60&gt;0,"YES","NO")</f>
        <v/>
      </c>
      <c r="C149" s="67">
        <f t="array" ref="C149">IF(C60=0,"-",_xlfn.TEXTJOIN(", ",TRUE,IF(Summary!$B$48:$AB$48="Passed on test",Summary!$B$1:$AB$1,"")))</f>
        <v/>
      </c>
      <c r="D149" s="55">
        <f>C60</f>
        <v/>
      </c>
      <c r="E149" s="55">
        <f>B60</f>
        <v/>
      </c>
      <c r="F149" s="55" t="n">
        <v>5</v>
      </c>
    </row>
    <row r="150">
      <c r="A150" s="55">
        <f>Summary!A49</f>
        <v/>
      </c>
      <c r="B150" s="55">
        <f>IF(C61&gt;0,"YES","NO")</f>
        <v/>
      </c>
      <c r="C150" s="67">
        <f t="array" ref="C150">IF(C61=0,"-",_xlfn.TEXTJOIN(", ",TRUE,IF(Summary!$B$49:$AB$49="Passed on test",Summary!$B$1:$AB$1,"")))</f>
        <v/>
      </c>
      <c r="D150" s="55">
        <f>C61</f>
        <v/>
      </c>
      <c r="E150" s="55">
        <f>B61</f>
        <v/>
      </c>
      <c r="F150" s="55" t="n">
        <v>5</v>
      </c>
    </row>
    <row r="151">
      <c r="A151" s="55">
        <f>Summary!A50</f>
        <v/>
      </c>
      <c r="B151" s="55">
        <f>IF(C62&gt;0,"YES","NO")</f>
        <v/>
      </c>
      <c r="C151" s="67">
        <f t="array" ref="C151">IF(C62=0,"-",_xlfn.TEXTJOIN(", ",TRUE,IF(Summary!$B$50:$AB$50="Passed on test",Summary!$B$1:$AB$1,"")))</f>
        <v/>
      </c>
      <c r="D151" s="55">
        <f>C62</f>
        <v/>
      </c>
      <c r="E151" s="55">
        <f>B62</f>
        <v/>
      </c>
      <c r="F151" s="55" t="n">
        <v>5</v>
      </c>
    </row>
    <row r="152">
      <c r="A152" s="55">
        <f>Summary!A51</f>
        <v/>
      </c>
      <c r="B152" s="55">
        <f>IF(C63&gt;0,"YES","NO")</f>
        <v/>
      </c>
      <c r="C152" s="67">
        <f t="array" ref="C152">IF(C63=0,"-",_xlfn.TEXTJOIN(", ",TRUE,IF(Summary!$B$51:$AB$51="Passed on test",Summary!$B$1:$AB$1,"")))</f>
        <v/>
      </c>
      <c r="D152" s="55">
        <f>C63</f>
        <v/>
      </c>
      <c r="E152" s="55">
        <f>B63</f>
        <v/>
      </c>
      <c r="F152" s="55" t="n">
        <v>5</v>
      </c>
    </row>
    <row r="153">
      <c r="A153" s="55">
        <f>Summary!A52</f>
        <v/>
      </c>
      <c r="B153" s="55">
        <f>IF(C64&gt;0,"YES","NO")</f>
        <v/>
      </c>
      <c r="C153" s="67">
        <f t="array" ref="C153">IF(C64=0,"-",_xlfn.TEXTJOIN(", ",TRUE,IF(Summary!$B$52:$AB$52="Passed on test",Summary!$B$1:$AB$1,"")))</f>
        <v/>
      </c>
      <c r="D153" s="55">
        <f>C64</f>
        <v/>
      </c>
      <c r="E153" s="55">
        <f>B64</f>
        <v/>
      </c>
      <c r="F153" s="55" t="n">
        <v>6</v>
      </c>
    </row>
    <row r="154">
      <c r="A154" s="55">
        <f>Summary!A53</f>
        <v/>
      </c>
      <c r="B154" s="55">
        <f>IF(C65&gt;0,"YES","NO")</f>
        <v/>
      </c>
      <c r="C154" s="67">
        <f t="array" ref="C154">IF(C65=0,"-",_xlfn.TEXTJOIN(", ",TRUE,IF(Summary!$B$53:$AB$53="Passed on test",Summary!$B$1:$AB$1,"")))</f>
        <v/>
      </c>
      <c r="D154" s="55">
        <f>C65</f>
        <v/>
      </c>
      <c r="E154" s="55">
        <f>B65</f>
        <v/>
      </c>
      <c r="F154" s="55" t="n">
        <v>6</v>
      </c>
    </row>
    <row r="155">
      <c r="A155" s="55">
        <f>Summary!A54</f>
        <v/>
      </c>
      <c r="B155" s="55">
        <f>IF(C66&gt;0,"YES","NO")</f>
        <v/>
      </c>
      <c r="C155" s="67">
        <f t="array" ref="C155">IF(C66=0,"-",_xlfn.TEXTJOIN(", ",TRUE,IF(Summary!$B$54:$AB$54="Passed on test",Summary!$B$1:$AB$1,"")))</f>
        <v/>
      </c>
      <c r="D155" s="55">
        <f>C66</f>
        <v/>
      </c>
      <c r="E155" s="55">
        <f>B66</f>
        <v/>
      </c>
      <c r="F155" s="55" t="n">
        <v>6</v>
      </c>
    </row>
    <row r="156">
      <c r="A156" s="55">
        <f>Summary!A55</f>
        <v/>
      </c>
      <c r="B156" s="55">
        <f>IF(C67&gt;0,"YES","NO")</f>
        <v/>
      </c>
      <c r="C156" s="67">
        <f t="array" ref="C156">IF(C67=0,"-",_xlfn.TEXTJOIN(", ",TRUE,IF(Summary!$B$55:$AB$55="Passed on test",Summary!$B$1:$AB$1,"")))</f>
        <v/>
      </c>
      <c r="D156" s="55">
        <f>C67</f>
        <v/>
      </c>
      <c r="E156" s="55">
        <f>B67</f>
        <v/>
      </c>
      <c r="F156" s="55" t="n">
        <v>6</v>
      </c>
    </row>
    <row r="157">
      <c r="A157" s="55">
        <f>Summary!A56</f>
        <v/>
      </c>
      <c r="B157" s="55">
        <f>IF(C68&gt;0,"YES","NO")</f>
        <v/>
      </c>
      <c r="C157" s="67">
        <f t="array" ref="C157">IF(C68=0,"-",_xlfn.TEXTJOIN(", ",TRUE,IF(Summary!$B$56:$AB$56="Passed on test",Summary!$B$1:$AB$1,"")))</f>
        <v/>
      </c>
      <c r="D157" s="55">
        <f>C68</f>
        <v/>
      </c>
      <c r="E157" s="55">
        <f>B68</f>
        <v/>
      </c>
      <c r="F157" s="55" t="n">
        <v>6</v>
      </c>
    </row>
    <row r="158">
      <c r="A158" s="55">
        <f>Summary!A57</f>
        <v/>
      </c>
      <c r="B158" s="55">
        <f>IF(C69&gt;0,"YES","NO")</f>
        <v/>
      </c>
      <c r="C158" s="67">
        <f t="array" ref="C158">IF(C69=0,"-",_xlfn.TEXTJOIN(", ",TRUE,IF(Summary!$B$57:$AB$57="Passed on test",Summary!$B$1:$AB$1,"")))</f>
        <v/>
      </c>
      <c r="D158" s="55">
        <f>C69</f>
        <v/>
      </c>
      <c r="E158" s="55">
        <f>B69</f>
        <v/>
      </c>
      <c r="F158" s="55" t="n">
        <v>6</v>
      </c>
    </row>
    <row r="159">
      <c r="A159" s="55">
        <f>Summary!A58</f>
        <v/>
      </c>
      <c r="B159" s="55">
        <f>IF(C70&gt;0,"YES","NO")</f>
        <v/>
      </c>
      <c r="C159" s="67">
        <f t="array" ref="C159">IF(C70=0,"-",_xlfn.TEXTJOIN(", ",TRUE,IF(Summary!$B$58:$AB$58="Passed on test",Summary!$B$1:$AB$1,"")))</f>
        <v/>
      </c>
      <c r="D159" s="55">
        <f>C70</f>
        <v/>
      </c>
      <c r="E159" s="55">
        <f>B70</f>
        <v/>
      </c>
      <c r="F159" s="55" t="n">
        <v>6</v>
      </c>
    </row>
    <row r="160">
      <c r="A160" s="55">
        <f>Summary!A59</f>
        <v/>
      </c>
      <c r="B160" s="55">
        <f>IF(C71&gt;0,"YES","NO")</f>
        <v/>
      </c>
      <c r="C160" s="67">
        <f t="array" ref="C160">IF(C71=0,"-",_xlfn.TEXTJOIN(", ",TRUE,IF(Summary!$B$59:$AB$59="Passed on test",Summary!$B$1:$AB$1,"")))</f>
        <v/>
      </c>
      <c r="D160" s="55">
        <f>C71</f>
        <v/>
      </c>
      <c r="E160" s="55">
        <f>B71</f>
        <v/>
      </c>
      <c r="F160" s="55" t="n">
        <v>6</v>
      </c>
    </row>
    <row r="161">
      <c r="A161" s="55">
        <f>Summary!A60</f>
        <v/>
      </c>
      <c r="B161" s="55">
        <f>IF(C72&gt;0,"YES","NO")</f>
        <v/>
      </c>
      <c r="C161" s="67">
        <f t="array" ref="C161">IF(C72=0,"-",_xlfn.TEXTJOIN(", ",TRUE,IF(Summary!$B$60:$AB$60="Passed on test",Summary!$B$1:$AB$1,"")))</f>
        <v/>
      </c>
      <c r="D161" s="55">
        <f>C72</f>
        <v/>
      </c>
      <c r="E161" s="55">
        <f>B72</f>
        <v/>
      </c>
      <c r="F161" s="55" t="n">
        <v>6</v>
      </c>
    </row>
    <row r="162">
      <c r="A162" s="55">
        <f>Summary!A61</f>
        <v/>
      </c>
      <c r="B162" s="55">
        <f>IF(C73&gt;0,"YES","NO")</f>
        <v/>
      </c>
      <c r="C162" s="67">
        <f t="array" ref="C162">IF(C73=0,"-",_xlfn.TEXTJOIN(", ",TRUE,IF(Summary!$B$61:$AB$61="Passed on test",Summary!$B$1:$AB$1,"")))</f>
        <v/>
      </c>
      <c r="D162" s="55">
        <f>C73</f>
        <v/>
      </c>
      <c r="E162" s="55">
        <f>B73</f>
        <v/>
      </c>
      <c r="F162" s="55" t="n">
        <v>6</v>
      </c>
    </row>
    <row r="163">
      <c r="A163" s="55">
        <f>Summary!A62</f>
        <v/>
      </c>
      <c r="B163" s="55">
        <f>IF(C74&gt;0,"YES","NO")</f>
        <v/>
      </c>
      <c r="C163" s="67">
        <f t="array" ref="C163">IF(C74=0,"-",_xlfn.TEXTJOIN(", ",TRUE,IF(Summary!$B$62:$AB$62="Passed on test",Summary!$B$1:$AB$1,"")))</f>
        <v/>
      </c>
      <c r="D163" s="55">
        <f>C74</f>
        <v/>
      </c>
      <c r="E163" s="55">
        <f>B74</f>
        <v/>
      </c>
      <c r="F163" s="55" t="n">
        <v>7</v>
      </c>
    </row>
    <row r="164">
      <c r="A164" s="55">
        <f>Summary!A63</f>
        <v/>
      </c>
      <c r="B164" s="55">
        <f>IF(C75&gt;0,"YES","NO")</f>
        <v/>
      </c>
      <c r="C164" s="67">
        <f t="array" ref="C164">IF(C75=0,"-",_xlfn.TEXTJOIN(", ",TRUE,IF(Summary!$B$63:$AB$63="Passed on test",Summary!$B$1:$AB$1,"")))</f>
        <v/>
      </c>
      <c r="D164" s="55">
        <f>C75</f>
        <v/>
      </c>
      <c r="E164" s="55">
        <f>B75</f>
        <v/>
      </c>
      <c r="F164" s="55" t="n">
        <v>7</v>
      </c>
    </row>
    <row r="165">
      <c r="A165" s="55">
        <f>Summary!A64</f>
        <v/>
      </c>
      <c r="B165" s="55">
        <f>IF(C76&gt;0,"YES","NO")</f>
        <v/>
      </c>
      <c r="C165" s="67">
        <f t="array" ref="C165">IF(C76=0,"-",_xlfn.TEXTJOIN(", ",TRUE,IF(Summary!$B$64:$AB$64="Passed on test",Summary!$B$1:$AB$1,"")))</f>
        <v/>
      </c>
      <c r="D165" s="55">
        <f>C76</f>
        <v/>
      </c>
      <c r="E165" s="55">
        <f>B76</f>
        <v/>
      </c>
      <c r="F165" s="55" t="n">
        <v>7</v>
      </c>
    </row>
    <row r="166">
      <c r="A166" s="55">
        <f>Summary!A65</f>
        <v/>
      </c>
      <c r="B166" s="55">
        <f>IF(C77&gt;0,"YES","NO")</f>
        <v/>
      </c>
      <c r="C166" s="67">
        <f t="array" ref="C166">IF(C77=0,"-",_xlfn.TEXTJOIN(", ",TRUE,IF(Summary!$B$65:$AB$65="Passed on test",Summary!$B$1:$AB$1,"")))</f>
        <v/>
      </c>
      <c r="D166" s="55">
        <f>C77</f>
        <v/>
      </c>
      <c r="E166" s="55">
        <f>B77</f>
        <v/>
      </c>
      <c r="F166" s="55" t="n">
        <v>7</v>
      </c>
    </row>
    <row r="167">
      <c r="A167" s="55">
        <f>Summary!A66</f>
        <v/>
      </c>
      <c r="B167" s="55">
        <f>IF(C78&gt;0,"YES","NO")</f>
        <v/>
      </c>
      <c r="C167" s="67">
        <f t="array" ref="C167">IF(C78=0,"-",_xlfn.TEXTJOIN(", ",TRUE,IF(Summary!$B$66:$AB$66="Passed on test",Summary!$B$1:$AB$1,"")))</f>
        <v/>
      </c>
      <c r="D167" s="55">
        <f>C78</f>
        <v/>
      </c>
      <c r="E167" s="55">
        <f>B78</f>
        <v/>
      </c>
      <c r="F167" s="55" t="n">
        <v>7</v>
      </c>
    </row>
    <row r="168">
      <c r="A168" s="55">
        <f>Summary!A67</f>
        <v/>
      </c>
      <c r="B168" s="55">
        <f>IF(C79&gt;0,"YES","NO")</f>
        <v/>
      </c>
      <c r="C168" s="67">
        <f t="array" ref="C168">IF(C79=0,"-",_xlfn.TEXTJOIN(", ",TRUE,IF(Summary!$B$67:$AB$67="Passed on test",Summary!$B$1:$AB$1,"")))</f>
        <v/>
      </c>
      <c r="D168" s="55">
        <f>C79</f>
        <v/>
      </c>
      <c r="E168" s="55">
        <f>B79</f>
        <v/>
      </c>
      <c r="F168" s="55" t="n">
        <v>7</v>
      </c>
    </row>
    <row r="169">
      <c r="A169" s="55">
        <f>Summary!A68</f>
        <v/>
      </c>
      <c r="B169" s="55">
        <f>IF(C80&gt;0,"YES","NO")</f>
        <v/>
      </c>
      <c r="C169" s="67">
        <f t="array" ref="C169">IF(C80=0,"-",_xlfn.TEXTJOIN(", ",TRUE,IF(Summary!$B$68:$AB$68="Passed on test",Summary!$B$1:$AB$1,"")))</f>
        <v/>
      </c>
      <c r="D169" s="55">
        <f>C80</f>
        <v/>
      </c>
      <c r="E169" s="55">
        <f>B80</f>
        <v/>
      </c>
      <c r="F169" s="55" t="n">
        <v>7</v>
      </c>
    </row>
    <row r="170">
      <c r="A170" s="55">
        <f>Summary!A69</f>
        <v/>
      </c>
      <c r="B170" s="55">
        <f>IF(C81&gt;0,"YES","NO")</f>
        <v/>
      </c>
      <c r="C170" s="67">
        <f t="array" ref="C170">IF(C81=0,"-",_xlfn.TEXTJOIN(", ",TRUE,IF(Summary!$B$69:$AB$69="Passed on test",Summary!$B$1:$AB$1,"")))</f>
        <v/>
      </c>
      <c r="D170" s="55">
        <f>C81</f>
        <v/>
      </c>
      <c r="E170" s="55">
        <f>B81</f>
        <v/>
      </c>
      <c r="F170" s="55" t="n">
        <v>8</v>
      </c>
    </row>
    <row r="171">
      <c r="A171" s="55">
        <f>Summary!A70</f>
        <v/>
      </c>
      <c r="B171" s="55">
        <f>IF(C82&gt;0,"YES","NO")</f>
        <v/>
      </c>
      <c r="C171" s="67">
        <f t="array" ref="C171">IF(C82=0,"-",_xlfn.TEXTJOIN(", ",TRUE,IF(Summary!$B$70:$AB$70="Passed on test",Summary!$B$1:$AB$1,"")))</f>
        <v/>
      </c>
      <c r="D171" s="55">
        <f>C82</f>
        <v/>
      </c>
      <c r="E171" s="55">
        <f>B82</f>
        <v/>
      </c>
      <c r="F171" s="55" t="n">
        <v>8</v>
      </c>
    </row>
    <row r="172">
      <c r="A172" s="55">
        <f>Summary!A71</f>
        <v/>
      </c>
      <c r="B172" s="55">
        <f>IF(C83&gt;0,"YES","NO")</f>
        <v/>
      </c>
      <c r="C172" s="67">
        <f t="array" ref="C172">IF(C83=0,"-",_xlfn.TEXTJOIN(", ",TRUE,IF(Summary!$B$71:$AB$71="Passed on test",Summary!$B$1:$AB$1,"")))</f>
        <v/>
      </c>
      <c r="D172" s="55">
        <f>C83</f>
        <v/>
      </c>
      <c r="E172" s="55">
        <f>B83</f>
        <v/>
      </c>
      <c r="F172" s="55" t="n">
        <v>8</v>
      </c>
    </row>
    <row r="173">
      <c r="A173" s="55">
        <f>Summary!A72</f>
        <v/>
      </c>
      <c r="B173" s="55">
        <f>IF(C84&gt;0,"YES","NO")</f>
        <v/>
      </c>
      <c r="C173" s="67">
        <f t="array" ref="C173">IF(C84=0,"-",_xlfn.TEXTJOIN(", ",TRUE,IF(Summary!$B$72:$AB$72="Passed on test",Summary!$B$1:$AB$1,"")))</f>
        <v/>
      </c>
      <c r="D173" s="55">
        <f>C84</f>
        <v/>
      </c>
      <c r="E173" s="55">
        <f>B84</f>
        <v/>
      </c>
      <c r="F173" s="55" t="n">
        <v>8</v>
      </c>
    </row>
    <row r="174">
      <c r="A174" s="55">
        <f>Summary!A73</f>
        <v/>
      </c>
      <c r="B174" s="55">
        <f>IF(C85&gt;0,"YES","NO")</f>
        <v/>
      </c>
      <c r="C174" s="67">
        <f t="array" ref="C174">IF(C85=0,"-",_xlfn.TEXTJOIN(", ",TRUE,IF(Summary!$B$73:$AB$73="Passed on test",Summary!$B$1:$AB$1,"")))</f>
        <v/>
      </c>
      <c r="D174" s="55">
        <f>C85</f>
        <v/>
      </c>
      <c r="E174" s="55">
        <f>B85</f>
        <v/>
      </c>
      <c r="F174" s="55" t="n">
        <v>8</v>
      </c>
    </row>
    <row r="175">
      <c r="A175" s="55">
        <f>Summary!A74</f>
        <v/>
      </c>
      <c r="B175" s="55">
        <f>IF(C86&gt;0,"YES","NO")</f>
        <v/>
      </c>
      <c r="C175" s="67">
        <f t="array" ref="C175">IF(C86=0,"-",_xlfn.TEXTJOIN(", ",TRUE,IF(Summary!$B$74:$AB$74="Passed on test",Summary!$B$1:$AB$1,"")))</f>
        <v/>
      </c>
      <c r="D175" s="55">
        <f>C86</f>
        <v/>
      </c>
      <c r="E175" s="55">
        <f>B86</f>
        <v/>
      </c>
      <c r="F175" s="55" t="n">
        <v>8</v>
      </c>
    </row>
    <row r="176">
      <c r="A176">
        <f>IF(B100=0,"Every case passed on either all or none of its versions, so the at-least-one count equals the strict count.","Some cases passed on only part of their versions; see the table above.")</f>
        <v/>
      </c>
    </row>
    <row r="177"/>
    <row r="178">
      <c r="A178" s="60" t="inlineStr">
        <is>
          <t>5. Notes: every case, its versions and what happened</t>
        </is>
      </c>
    </row>
    <row r="179">
      <c r="A179" s="54" t="inlineStr">
        <is>
          <t>Result</t>
        </is>
      </c>
      <c r="B179" s="54" t="inlineStr">
        <is>
          <t>Case</t>
        </is>
      </c>
      <c r="C179" s="54" t="inlineStr">
        <is>
          <t>Versions</t>
        </is>
      </c>
      <c r="D179" s="54" t="inlineStr">
        <is>
          <t># versions</t>
        </is>
      </c>
      <c r="E179" s="54" t="inlineStr">
        <is>
          <t>Error type</t>
        </is>
      </c>
      <c r="F179" s="54" t="inlineStr">
        <is>
          <t>Error message (last traceback line)</t>
        </is>
      </c>
      <c r="G179" s="54" t="inlineStr">
        <is>
          <t>What happened (plain English)</t>
        </is>
      </c>
      <c r="H179" s="54" t="inlineStr">
        <is>
          <t>Batch</t>
        </is>
      </c>
    </row>
    <row r="180">
      <c r="A180" s="68" t="inlineStr">
        <is>
          <t>Passed on test</t>
        </is>
      </c>
      <c r="B180" s="67" t="inlineStr">
        <is>
          <t>issue_032_se</t>
        </is>
      </c>
      <c r="C180" s="67" t="inlineStr">
        <is>
          <t>0.25.0, 0.25.1, 0.25.2, 0.25.3</t>
        </is>
      </c>
      <c r="D180" s="67" t="n">
        <v>4</v>
      </c>
      <c r="E180" s="67" t="n"/>
      <c r="F180" s="67" t="n"/>
      <c r="G180" s="67" t="inlineStr">
        <is>
          <t>The LLM passed an iSwapGate() object instead of the unrecognised 'iswap' string, the same fix as the reference.</t>
        </is>
      </c>
      <c r="H180" s="67" t="n">
        <v>1</v>
      </c>
    </row>
    <row r="181">
      <c r="A181" s="68" t="inlineStr">
        <is>
          <t>Passed on test</t>
        </is>
      </c>
      <c r="B181" s="67" t="inlineStr">
        <is>
          <t>issue_034</t>
        </is>
      </c>
      <c r="C181" s="67" t="inlineStr">
        <is>
          <t>1.0.0, 1.0.1, 1.0.2, 1.1.0, 1.1.1, 1.1.2, 1.2.0, 1.2.1, 1.2.2, 1.2.4, 2.0.0, 2.2.0, 2.3.0, 2.4.0, 2.5.0</t>
        </is>
      </c>
      <c r="D181" s="67" t="n">
        <v>15</v>
      </c>
      <c r="E181" s="67" t="n"/>
      <c r="F181" s="67" t="n"/>
      <c r="G181" s="67" t="inlineStr">
        <is>
          <t>The LLM imported Aer from qiskit_aer instead of qiskit, the same fix as the reference.</t>
        </is>
      </c>
      <c r="H181" s="67" t="n">
        <v>1</v>
      </c>
    </row>
    <row r="182">
      <c r="A182" s="68" t="inlineStr">
        <is>
          <t>Passed on test</t>
        </is>
      </c>
      <c r="B182" s="67" t="inlineStr">
        <is>
          <t>issue_036</t>
        </is>
      </c>
      <c r="C182" s="67" t="inlineStr">
        <is>
          <t>1.0.0, 1.0.1, 1.0.2, 1.1.0, 1.1.1, 1.1.2, 1.2.0, 1.2.1, 1.2.2, 1.2.4, 2.0.0, 2.2.0, 2.3.0, 2.4.0, 2.5.0</t>
        </is>
      </c>
      <c r="D182" s="67" t="n">
        <v>15</v>
      </c>
      <c r="E182" s="67" t="n"/>
      <c r="F182" s="67" t="n"/>
      <c r="G182" s="67" t="inlineStr">
        <is>
          <t>The LLM replaced the removed c.qasm() with qasm2.dumps(c), the same fix as the reference.</t>
        </is>
      </c>
      <c r="H182" s="67" t="n">
        <v>1</v>
      </c>
    </row>
    <row r="183">
      <c r="A183" s="68" t="inlineStr">
        <is>
          <t>Passed on test</t>
        </is>
      </c>
      <c r="B183" s="67" t="inlineStr">
        <is>
          <t>issue_058_se</t>
        </is>
      </c>
      <c r="C183" s="67" t="inlineStr">
        <is>
          <t>0.25.0, 0.25.1, 0.25.2, 0.25.3, 0.45.0, 0.45.1, 0.45.2, 0.45.3, 0.46.0, 0.46.1, 0.46.2, 0.46.3</t>
        </is>
      </c>
      <c r="D183" s="67" t="n">
        <v>12</v>
      </c>
      <c r="E183" s="67" t="n"/>
      <c r="F183" s="67" t="n"/>
      <c r="G183" s="67" t="inlineStr">
        <is>
          <t>The LLM decomposed the custom diffuser gate before running it (the reference transpiles instead), and the simulator produced the correct state.</t>
        </is>
      </c>
      <c r="H183" s="67" t="n">
        <v>1</v>
      </c>
    </row>
    <row r="184">
      <c r="A184" s="68" t="inlineStr">
        <is>
          <t>Passed on test</t>
        </is>
      </c>
      <c r="B184" s="67" t="inlineStr">
        <is>
          <t>issue_061</t>
        </is>
      </c>
      <c r="C184" s="67" t="inlineStr">
        <is>
          <t>1.0.0, 1.0.1, 1.0.2, 1.1.0, 1.1.1, 1.1.2, 1.2.0, 1.2.1, 1.2.2, 1.2.4, 2.0.0, 2.2.0, 2.3.0, 2.4.0, 2.5.0</t>
        </is>
      </c>
      <c r="D184" s="67" t="n">
        <v>15</v>
      </c>
      <c r="E184" s="67" t="n"/>
      <c r="F184" s="67" t="n"/>
      <c r="G184" s="67" t="inlineStr">
        <is>
          <t>The LLM read the register and register-local index via qc.find_bit(qbit).registers[0], removing the deprecated back-references. The team's updated test_new.py accepts this output (the old test.py only accepted the reference's exact print format).</t>
        </is>
      </c>
      <c r="H184" s="67" t="n">
        <v>1</v>
      </c>
    </row>
    <row r="185">
      <c r="A185" s="68" t="inlineStr">
        <is>
          <t>Passed on test</t>
        </is>
      </c>
      <c r="B185" s="67" t="inlineStr">
        <is>
          <t>issue_072</t>
        </is>
      </c>
      <c r="C185" s="67" t="inlineStr">
        <is>
          <t>0.25.0, 0.25.1, 0.25.2, 0.25.3</t>
        </is>
      </c>
      <c r="D185" s="67" t="n">
        <v>4</v>
      </c>
      <c r="E185" s="67" t="n"/>
      <c r="F185" s="67" t="n"/>
      <c r="G185" s="67" t="inlineStr">
        <is>
          <t>The LLM remapped the duplicated qreg[5] to the unused physical qubit 15 (the reference used 16), so every virtual qubit gets its own physical qubit.</t>
        </is>
      </c>
      <c r="H185" s="67" t="n">
        <v>1</v>
      </c>
    </row>
    <row r="186">
      <c r="A186" s="69" t="inlineStr">
        <is>
          <t>Failed on test</t>
        </is>
      </c>
      <c r="B186" s="67" t="inlineStr">
        <is>
          <t>issue_018_se</t>
        </is>
      </c>
      <c r="C186" s="67" t="inlineStr">
        <is>
          <t>1.0.0, 1.0.1, 1.0.2, 1.1.0, 1.1.1, 1.1.2, 1.2.0, 1.2.1, 1.2.2, 1.2.4, 2.0.0, 2.2.0, 2.3.0, 2.4.0, 2.5.0</t>
        </is>
      </c>
      <c r="D186" s="67" t="n">
        <v>15</v>
      </c>
      <c r="E186" s="67" t="inlineStr">
        <is>
          <t>AssertionError</t>
        </is>
      </c>
      <c r="F186" s="67" t="inlineStr">
        <is>
          <t xml:space="preserve">AssertionError: Not equal to tolerance rtol=0, atol=1e-12 The ideal magic-square strategy must win every input pair. Mismatched elements: 6 / 9 (66.7%) Max absolute difference: 0.5 Max relative difference: inf x: array([0. , 0.5, 0.5, 0.5, 0. , 0.5, </t>
        </is>
      </c>
      <c r="G186" s="67" t="inlineStr">
        <is>
          <t>The LLM swapped which inputs choose Alice's and Bob's answers, so the strategy still loses 6 of the 9 input pairs half the time instead of always winning (the Aer simulator also crashes natively here, as it does for fixed.py).</t>
        </is>
      </c>
      <c r="H186" s="67" t="n">
        <v>1</v>
      </c>
    </row>
    <row r="187">
      <c r="A187" s="69" t="inlineStr">
        <is>
          <t>Failed on test</t>
        </is>
      </c>
      <c r="B187" s="67" t="inlineStr">
        <is>
          <t>issue_096</t>
        </is>
      </c>
      <c r="C187" s="67" t="inlineStr">
        <is>
          <t>0.25.0, 0.25.1, 0.25.2, 0.25.3, 0.45.0, 0.45.1, 0.45.2, 0.45.3, 0.46.0, 0.46.1, 0.46.2, 0.46.3, 1.0.0, 1.0.1, 1.0.2, 1.1.0, 1.1.1, 1.1.2, 1.2.0, 1.2.1, 1.2.2, 1.2.4, 2.0.0, 2.2.0, 2.3.0, 2.4.0, 2.5.0</t>
        </is>
      </c>
      <c r="D187" s="67" t="n">
        <v>27</v>
      </c>
      <c r="E187" s="67" t="inlineStr">
        <is>
          <t>AssertionError</t>
        </is>
      </c>
      <c r="F187" s="67" t="inlineStr">
        <is>
          <t>AssertionError: '' != '[default]\n' + [default] | AssertionError: False is not true : Missing ipython_kernel_config.py (even when the profile directory already exists)</t>
        </is>
      </c>
      <c r="G187" s="67" t="inlineStr">
        <is>
          <t>The LLM creates an empty Qiskit settings file instead of one containing '[default]', and never creates the ipython_kernel_config.py file the user needed.</t>
        </is>
      </c>
      <c r="H187" s="67" t="n">
        <v>1</v>
      </c>
    </row>
    <row r="188">
      <c r="A188" s="69" t="inlineStr">
        <is>
          <t>Failed on test</t>
        </is>
      </c>
      <c r="B188" s="67" t="inlineStr">
        <is>
          <t>issue_009</t>
        </is>
      </c>
      <c r="C188" s="67" t="inlineStr">
        <is>
          <t>0.45.2, 0.45.3</t>
        </is>
      </c>
      <c r="D188" s="67" t="n">
        <v>2</v>
      </c>
      <c r="E188" s="67" t="inlineStr">
        <is>
          <t>AssertionError</t>
        </is>
      </c>
      <c r="F188" s="67" t="inlineStr">
        <is>
          <t>AssertionError: 3 != 5</t>
        </is>
      </c>
      <c r="G188" s="67" t="inlineStr">
        <is>
          <t>The LLM ran CSPLayout and ApplyLayout by hand but never extended the layout to the backend's 5 qubits; here CSPLayout happened to pick physical qubits 0-2, so ApplyLayout accepted it and returned a 3-qubit circuit instead of one compiled for the 5-qubit backend.</t>
        </is>
      </c>
      <c r="H188" s="67" t="n">
        <v>1</v>
      </c>
    </row>
    <row r="189">
      <c r="A189" s="70" t="inlineStr">
        <is>
          <t>Runtime error</t>
        </is>
      </c>
      <c r="B189" s="67" t="inlineStr">
        <is>
          <t>issue_009</t>
        </is>
      </c>
      <c r="C189" s="67" t="inlineStr">
        <is>
          <t>0.45.0, 0.45.1, 0.46.0, 0.46.1, 0.46.2, 0.46.3</t>
        </is>
      </c>
      <c r="D189" s="67" t="n">
        <v>6</v>
      </c>
      <c r="E189" s="67" t="inlineStr">
        <is>
          <t>TranspilerError</t>
        </is>
      </c>
      <c r="F189" s="67" t="inlineStr">
        <is>
          <t>qiskit.transpiler.exceptions.TranspilerError: "The 'layout' must be full (with ancilla)."</t>
        </is>
      </c>
      <c r="G189" s="67" t="inlineStr">
        <is>
          <t>The LLM ran CSPLayout and ApplyLayout by hand in a PassManager but never added the passes that extend the 3-qubit layout to the backend's 5 qubits (FullAncillaAllocation / EnlargeWithAncilla), so ApplyLayout rejects the partial layout.</t>
        </is>
      </c>
      <c r="H189" s="67" t="n">
        <v>1</v>
      </c>
    </row>
    <row r="190">
      <c r="A190" s="70" t="inlineStr">
        <is>
          <t>Runtime error</t>
        </is>
      </c>
      <c r="B190" s="67" t="inlineStr">
        <is>
          <t>issue_021_se</t>
        </is>
      </c>
      <c r="C190" s="67" t="inlineStr">
        <is>
          <t>0.25.0, 0.25.1, 0.25.2, 0.25.3</t>
        </is>
      </c>
      <c r="D190" s="67" t="n">
        <v>4</v>
      </c>
      <c r="E190" s="67" t="inlineStr">
        <is>
          <t>QiskitError</t>
        </is>
      </c>
      <c r="F190" s="67" t="inlineStr">
        <is>
          <t>qiskit.exceptions.QiskitError: 'ERROR: [Experiment 0] Circuit contains invalid instructions {"gates": {disentangler_dg}} for "statevector" method , ERROR: Circuit contains invalid instructions {"gates": {disentangler_dg}} for "statevector" method'</t>
        </is>
      </c>
      <c r="G190" s="67" t="inlineStr">
        <is>
          <t>Calling circuit.decompose() only unrolls one level, leaving a 'disentangler_dg' instruction that the Aer statevector simulator cannot run, so the simulation fails.</t>
        </is>
      </c>
      <c r="H190" s="67" t="n">
        <v>1</v>
      </c>
    </row>
    <row r="191">
      <c r="A191" s="70" t="inlineStr">
        <is>
          <t>Runtime error</t>
        </is>
      </c>
      <c r="B191" s="67" t="inlineStr">
        <is>
          <t>issue_021_se</t>
        </is>
      </c>
      <c r="C191" s="67" t="inlineStr">
        <is>
          <t>0.45.0, 0.45.1, 0.45.2, 0.45.3, 0.46.0, 0.46.1, 0.46.2, 0.46.3</t>
        </is>
      </c>
      <c r="D191" s="67" t="n">
        <v>8</v>
      </c>
      <c r="E191" s="67" t="inlineStr">
        <is>
          <t>QiskitError</t>
        </is>
      </c>
      <c r="F191" s="67" t="inlineStr">
        <is>
          <t>qiskit.exceptions.QiskitError: 'You have to select a circuit or schedule when there is more than one available'</t>
        </is>
      </c>
      <c r="G191" s="67" t="inlineStr">
        <is>
          <t>Calling circuit.decompose() only unrolls one level, leaving a 'state_preparation' instruction that Aer cannot load, so the simulation fails and no statevector is returned.</t>
        </is>
      </c>
      <c r="H191" s="67" t="n">
        <v>1</v>
      </c>
    </row>
    <row r="192">
      <c r="A192" s="68" t="inlineStr">
        <is>
          <t>Passed on test</t>
        </is>
      </c>
      <c r="B192" s="67" t="inlineStr">
        <is>
          <t>issue_155</t>
        </is>
      </c>
      <c r="C192" s="67" t="inlineStr">
        <is>
          <t>0.25.0, 0.25.1, 0.25.2, 0.25.3, 0.45.0, 0.45.1, 0.45.2, 0.45.3, 0.46.0, 0.46.1, 0.46.2, 0.46.3</t>
        </is>
      </c>
      <c r="D192" s="67" t="n">
        <v>12</v>
      </c>
      <c r="E192" s="67" t="n"/>
      <c r="F192" s="67" t="n"/>
      <c r="G192" s="67" t="inlineStr">
        <is>
          <t>The LLM turned the two traced-out registers into their qubit indices with qc.qubits.index(...), the same fix as the reference.</t>
        </is>
      </c>
      <c r="H192" s="67" t="n">
        <v>2</v>
      </c>
    </row>
    <row r="193">
      <c r="A193" s="68" t="inlineStr">
        <is>
          <t>Passed on test</t>
        </is>
      </c>
      <c r="B193" s="67" t="inlineStr">
        <is>
          <t>issue_157</t>
        </is>
      </c>
      <c r="C193" s="67" t="inlineStr">
        <is>
          <t>0.45.0, 0.45.1, 0.45.2, 0.45.3, 0.46.0, 0.46.1, 0.46.2, 0.46.3</t>
        </is>
      </c>
      <c r="D193" s="67" t="n">
        <v>8</v>
      </c>
      <c r="E193" s="67" t="n"/>
      <c r="F193" s="67" t="n"/>
      <c r="G193" s="67" t="inlineStr">
        <is>
          <t>The LLM replaced the non-unitary initialize() with prepare_state(), which builds a unitary state-preparation gate that can be controlled (the reference builds an isometry and wraps it in a UnitaryGate instead).</t>
        </is>
      </c>
      <c r="H193" s="67" t="n">
        <v>2</v>
      </c>
    </row>
    <row r="194">
      <c r="A194" s="68" t="inlineStr">
        <is>
          <t>Passed on test</t>
        </is>
      </c>
      <c r="B194" s="67" t="inlineStr">
        <is>
          <t>issue_225</t>
        </is>
      </c>
      <c r="C194" s="67" t="inlineStr">
        <is>
          <t>0.45.0, 0.45.1, 0.45.2, 0.45.3, 0.46.0, 0.46.1, 0.46.2, 0.46.3</t>
        </is>
      </c>
      <c r="D194" s="67" t="n">
        <v>8</v>
      </c>
      <c r="E194" s="67" t="n"/>
      <c r="F194" s="67" t="n"/>
      <c r="G194" s="67" t="inlineStr">
        <is>
          <t>The LLM took the Statevector's NumPy array via .data before calling reshape(), equivalent to the reference's np.asarray(...).</t>
        </is>
      </c>
      <c r="H194" s="67" t="n">
        <v>2</v>
      </c>
    </row>
    <row r="195">
      <c r="A195" s="68" t="inlineStr">
        <is>
          <t>Passed on test</t>
        </is>
      </c>
      <c r="B195" s="67" t="inlineStr">
        <is>
          <t>issue_261</t>
        </is>
      </c>
      <c r="C195" s="67" t="inlineStr">
        <is>
          <t>0.25.0, 0.25.1, 0.25.2, 0.25.3, 0.45.0, 0.45.1, 0.45.2, 0.45.3, 0.46.0, 0.46.1, 0.46.2, 0.46.3</t>
        </is>
      </c>
      <c r="D195" s="67" t="n">
        <v>12</v>
      </c>
      <c r="E195" s="67" t="n"/>
      <c r="F195" s="67" t="n"/>
      <c r="G195" s="67" t="inlineStr">
        <is>
          <t>The LLM replaced PauliOp(hamiltonian_string) with eval(hamiltonian_string), the same fix as the reference.</t>
        </is>
      </c>
      <c r="H195" s="67" t="n">
        <v>2</v>
      </c>
    </row>
    <row r="196">
      <c r="A196" s="68" t="inlineStr">
        <is>
          <t>Passed on test</t>
        </is>
      </c>
      <c r="B196" s="67" t="inlineStr">
        <is>
          <t>issue_280</t>
        </is>
      </c>
      <c r="C196" s="67" t="inlineStr">
        <is>
          <t>0.25.0, 0.25.1, 0.25.2, 0.25.3, 0.45.0, 0.45.1, 0.45.2, 0.45.3, 0.46.0, 0.46.1, 0.46.2, 0.46.3</t>
        </is>
      </c>
      <c r="D196" s="67" t="n">
        <v>12</v>
      </c>
      <c r="E196" s="67" t="n"/>
      <c r="F196" s="67" t="n"/>
      <c r="G196" s="67" t="inlineStr">
        <is>
          <t>The LLM made the depolarizing error act on 2 qubits so it matches the two-qubit 'cx' instruction, the same fix as the reference.</t>
        </is>
      </c>
      <c r="H196" s="67" t="n">
        <v>2</v>
      </c>
    </row>
    <row r="197">
      <c r="A197" s="68" t="inlineStr">
        <is>
          <t>Passed on test</t>
        </is>
      </c>
      <c r="B197" s="67" t="inlineStr">
        <is>
          <t>issue_295</t>
        </is>
      </c>
      <c r="C197" s="67" t="inlineStr">
        <is>
          <t>0.45.0, 0.45.1, 0.45.2, 0.45.3, 0.46.0, 0.46.1, 0.46.2, 0.46.3</t>
        </is>
      </c>
      <c r="D197" s="67" t="n">
        <v>8</v>
      </c>
      <c r="E197" s="67" t="n"/>
      <c r="F197" s="67" t="n"/>
      <c r="G197" s="67" t="inlineStr">
        <is>
          <t>The LLM replaced the unsupported circuit += oracle with circuit.compose(oracle, inplace=True); the reference reassigns circuit = circuit.compose(oracle), which does the same thing.</t>
        </is>
      </c>
      <c r="H197" s="67" t="n">
        <v>2</v>
      </c>
    </row>
    <row r="198">
      <c r="A198" s="68" t="inlineStr">
        <is>
          <t>Passed on test</t>
        </is>
      </c>
      <c r="B198" s="67" t="inlineStr">
        <is>
          <t>issue_189</t>
        </is>
      </c>
      <c r="C198" s="67" t="inlineStr">
        <is>
          <t>0.45.0, 0.45.1, 0.45.2, 0.45.3, 0.46.0, 0.46.1, 0.46.2, 0.46.3, 1.0.0, 1.0.1, 1.0.2, 1.1.0, 1.1.1, 1.1.2, 1.2.0, 1.2.1, 1.2.2, 1.2.4, 2.0.0, 2.2.0, 2.3.0, 2.4.0, 2.5.0</t>
        </is>
      </c>
      <c r="D198" s="67" t="n">
        <v>23</v>
      </c>
      <c r="E198" s="67" t="n"/>
      <c r="F198" s="67" t="n"/>
      <c r="G198" s="67" t="inlineStr">
        <is>
          <t>Passed: the LLM fixed the qubit count (one control qubit plus the six target qubits) and kept the original control order, so control qubit k gets the power 2^k (the usual QPE layout). The updated test accepts either control order.</t>
        </is>
      </c>
      <c r="H198" s="67" t="n">
        <v>2</v>
      </c>
    </row>
    <row r="199">
      <c r="A199" s="70" t="inlineStr">
        <is>
          <t>Runtime error</t>
        </is>
      </c>
      <c r="B199" s="67" t="inlineStr">
        <is>
          <t>issue_157</t>
        </is>
      </c>
      <c r="C199" s="67" t="inlineStr">
        <is>
          <t>0.25.0, 0.25.1, 0.25.2, 0.25.3</t>
        </is>
      </c>
      <c r="D199" s="67" t="n">
        <v>4</v>
      </c>
      <c r="E199" s="67" t="inlineStr">
        <is>
          <t>AttributeError</t>
        </is>
      </c>
      <c r="F199" s="67" t="inlineStr">
        <is>
          <t>AttributeError: 'QuantumCircuit' object has no attribute 'prepare_state'</t>
        </is>
      </c>
      <c r="G199" s="67" t="inlineStr">
        <is>
          <t>The LLM replaced initialize() with QuantumCircuit.prepare_state(), which does not exist yet in Qiskit 0.25 (Terra 0.17), so the script crashes with AttributeError before the gate is built.</t>
        </is>
      </c>
      <c r="H199" s="67" t="n">
        <v>2</v>
      </c>
    </row>
    <row r="200">
      <c r="A200" s="70" t="inlineStr">
        <is>
          <t>Runtime error</t>
        </is>
      </c>
      <c r="B200" s="67" t="inlineStr">
        <is>
          <t>issue_174</t>
        </is>
      </c>
      <c r="C200" s="67" t="inlineStr">
        <is>
          <t>0.25.0, 0.25.1, 0.25.2, 0.25.3</t>
        </is>
      </c>
      <c r="D200" s="67" t="n">
        <v>4</v>
      </c>
      <c r="E200" s="67" t="inlineStr">
        <is>
          <t>QasmError</t>
        </is>
      </c>
      <c r="F200" s="67" t="inlineStr">
        <is>
          <t>qiskit.qasm.exceptions.QasmError: 'Unable to match any token rule, got --&gt;#&lt;-- Check your OPENQASM source and any include statements.'</t>
        </is>
      </c>
      <c r="G200" s="67" t="inlineStr">
        <is>
          <t>The LLM's QASM change (if (c==1) instead of if (c[0]==1)) is the same as the reference, but it put its '# FIX:' comment inside the OpenQASM string, where '#' is not valid syntax, so the QASM parser rejects the program. With that one line removed the fix passes.</t>
        </is>
      </c>
      <c r="H200" s="67" t="n">
        <v>2</v>
      </c>
    </row>
    <row r="201">
      <c r="A201" s="70" t="inlineStr">
        <is>
          <t>Runtime error</t>
        </is>
      </c>
      <c r="B201" s="67" t="inlineStr">
        <is>
          <t>issue_174</t>
        </is>
      </c>
      <c r="C201" s="67" t="inlineStr">
        <is>
          <t>0.45.0, 0.45.1, 0.45.2, 0.45.3, 0.46.0, 0.46.1, 0.46.2, 0.46.3</t>
        </is>
      </c>
      <c r="D201" s="67" t="n">
        <v>8</v>
      </c>
      <c r="E201" s="67" t="inlineStr">
        <is>
          <t>QASM2ParseError</t>
        </is>
      </c>
      <c r="F201" s="67" t="inlineStr">
        <is>
          <t>qiskit.qasm2.exceptions.QASM2ParseError: "&lt;input&gt;:10,0: encountered '#', which doesn't match any valid tokens"</t>
        </is>
      </c>
      <c r="G201" s="67" t="inlineStr">
        <is>
          <t>The LLM's QASM change (if (c==1) instead of if (c[0]==1)) is the same as the reference, but it put its '# FIX:' comment inside the OpenQASM string, where '#' is not valid syntax, so the QASM parser rejects the program. With that one line removed the fix passes.</t>
        </is>
      </c>
      <c r="H201" s="67" t="n">
        <v>2</v>
      </c>
    </row>
    <row r="202">
      <c r="A202" s="70" t="inlineStr">
        <is>
          <t>Runtime error</t>
        </is>
      </c>
      <c r="B202" s="67" t="inlineStr">
        <is>
          <t>issue_233</t>
        </is>
      </c>
      <c r="C202" s="67" t="inlineStr">
        <is>
          <t>0.25.0, 0.25.1, 0.25.2, 0.25.3, 0.45.0, 0.45.1, 0.45.2, 0.45.3, 0.46.0, 0.46.1, 0.46.2, 0.46.3, 1.0.0, 1.0.1, 1.0.2, 1.1.0, 1.1.1, 1.1.2, 1.2.0, 1.2.1, 1.2.2, 1.2.4, 2.0.0, 2.2.0, 2.3.0, 2.4.0, 2.5.0</t>
        </is>
      </c>
      <c r="D202" s="67" t="n">
        <v>27</v>
      </c>
      <c r="E202" s="67" t="inlineStr">
        <is>
          <t>TypeError</t>
        </is>
      </c>
      <c r="F202" s="67" t="inlineStr">
        <is>
          <t>TypeError: 'int' object is not callable</t>
        </is>
      </c>
      <c r="G202" s="67" t="inlineStr">
        <is>
          <t>The LLM replaced only the second rot.num_parameters_settable() call (with len(rot.parameters)) and left the first one; num_parameters_settable is a property that returns an int, so calling it raises TypeError before anything is printed.</t>
        </is>
      </c>
      <c r="H202" s="67" t="n">
        <v>2</v>
      </c>
    </row>
    <row r="203">
      <c r="A203" s="70" t="inlineStr">
        <is>
          <t>Runtime error</t>
        </is>
      </c>
      <c r="B203" s="67" t="inlineStr">
        <is>
          <t>issue_315</t>
        </is>
      </c>
      <c r="C203" s="67" t="inlineStr">
        <is>
          <t>0.45.0, 0.45.1, 0.45.2, 0.45.3</t>
        </is>
      </c>
      <c r="D203" s="67" t="n">
        <v>4</v>
      </c>
      <c r="E203" s="67" t="inlineStr">
        <is>
          <t>ModuleNotFoundError</t>
        </is>
      </c>
      <c r="F203" s="67" t="inlineStr">
        <is>
          <t>ModuleNotFoundError: No module named 'qiskit.providers.basic_provider'</t>
        </is>
      </c>
      <c r="G203" s="67" t="inlineStr">
        <is>
          <t>The LLM kept the BasicProvider import, and qiskit.providers.basic_provider does not exist before Qiskit 0.46, so the script crashes on import (it also deleted the parallel options the user wanted instead of switching to AerSimulator).</t>
        </is>
      </c>
      <c r="H203" s="67" t="n">
        <v>2</v>
      </c>
    </row>
    <row r="204">
      <c r="A204" s="70" t="inlineStr">
        <is>
          <t>Runtime error</t>
        </is>
      </c>
      <c r="B204" s="67" t="inlineStr">
        <is>
          <t>issue_315</t>
        </is>
      </c>
      <c r="C204" s="67" t="inlineStr">
        <is>
          <t>0.46.0, 0.46.1, 0.46.2, 0.46.3, 1.0.0, 1.0.1, 1.0.2, 1.1.0, 1.1.1, 1.1.2, 1.2.0, 1.2.1, 1.2.2, 1.2.4, 2.0.0, 2.2.0, 2.3.0, 2.4.0, 2.5.0</t>
        </is>
      </c>
      <c r="D204" s="67" t="n">
        <v>19</v>
      </c>
      <c r="E204" s="67" t="inlineStr">
        <is>
          <t>AttributeError</t>
        </is>
      </c>
      <c r="F204" s="67" t="inlineStr">
        <is>
          <t>AttributeError: Option max_parallel_threads is not defined</t>
        </is>
      </c>
      <c r="G204" s="67" t="inlineStr">
        <is>
          <t>The LLM deleted the backend.set_options(...) call instead of switching to a simulator that supports those options (the reference uses AerSimulator), so the parallel settings the user asked for are never applied and the backend has no max_parallel_threads option to read.</t>
        </is>
      </c>
      <c r="H204" s="67" t="n">
        <v>2</v>
      </c>
    </row>
    <row r="205">
      <c r="A205" s="68" t="inlineStr">
        <is>
          <t>Passed on test</t>
        </is>
      </c>
      <c r="B205" s="67" t="inlineStr">
        <is>
          <t>issue_362</t>
        </is>
      </c>
      <c r="C205" s="67" t="inlineStr">
        <is>
          <t>0.45.0, 0.45.1, 0.45.2, 0.45.3, 0.46.0, 0.46.1, 0.46.2, 0.46.3, 1.0.0, 1.0.1, 1.0.2, 1.1.0, 1.1.1, 1.1.2, 1.2.0, 1.2.1, 1.2.2, 1.2.4, 2.0.0, 2.2.0, 2.3.0, 2.4.0, 2.5.0</t>
        </is>
      </c>
      <c r="D205" s="67" t="n">
        <v>23</v>
      </c>
      <c r="E205" s="67" t="n"/>
      <c r="F205" s="67" t="n"/>
      <c r="G205" s="67" t="inlineStr">
        <is>
          <t>The LLM added circuit.save_unitary() so AerSimulator returns the unitary, the same key fix as the reference.</t>
        </is>
      </c>
      <c r="H205" s="67" t="n">
        <v>3</v>
      </c>
    </row>
    <row r="206">
      <c r="A206" s="68" t="inlineStr">
        <is>
          <t>Passed on test</t>
        </is>
      </c>
      <c r="B206" s="67" t="inlineStr">
        <is>
          <t>issue_396</t>
        </is>
      </c>
      <c r="C206" s="67" t="inlineStr">
        <is>
          <t>0.25.0, 0.25.1, 0.25.2, 0.25.3, 0.45.0, 0.45.1, 0.45.2, 0.45.3, 0.46.0, 0.46.1, 0.46.2, 0.46.3</t>
        </is>
      </c>
      <c r="D206" s="67" t="n">
        <v>12</v>
      </c>
      <c r="E206" s="67" t="n"/>
      <c r="F206" s="67" t="n"/>
      <c r="G206" s="67" t="inlineStr">
        <is>
          <t>The LLM built the oracle as a QuantumCircuit with one diagonal gate (-1 on |101&gt; and |110&gt;); the reference builds it from X, H and MCX gates. Both give the same oracle.</t>
        </is>
      </c>
      <c r="H206" s="67" t="n">
        <v>3</v>
      </c>
    </row>
    <row r="207">
      <c r="A207" s="68" t="inlineStr">
        <is>
          <t>Passed on test</t>
        </is>
      </c>
      <c r="B207" s="67" t="inlineStr">
        <is>
          <t>issue_436</t>
        </is>
      </c>
      <c r="C207" s="67" t="inlineStr">
        <is>
          <t>0.25.0, 0.25.1, 0.25.2, 0.25.3</t>
        </is>
      </c>
      <c r="D207" s="67" t="n">
        <v>4</v>
      </c>
      <c r="E207" s="67" t="n"/>
      <c r="F207" s="67" t="n"/>
      <c r="G207" s="67" t="inlineStr">
        <is>
          <t>The LLM replaced the unsupported set_frequency() with the envelope modulated by exp(2*pi*i*df*t), the same approach as the reference.</t>
        </is>
      </c>
      <c r="H207" s="67" t="n">
        <v>3</v>
      </c>
    </row>
    <row r="208">
      <c r="A208" s="68" t="inlineStr">
        <is>
          <t>Passed on test</t>
        </is>
      </c>
      <c r="B208" s="67" t="inlineStr">
        <is>
          <t>issue_443</t>
        </is>
      </c>
      <c r="C208" s="67" t="inlineStr">
        <is>
          <t>0.25.0, 0.25.1, 0.25.2, 0.25.3, 0.45.0, 0.45.1, 0.45.2, 0.45.3, 0.46.0, 0.46.1, 0.46.2, 0.46.3, 1.0.0, 1.0.1, 1.0.2, 1.1.0, 1.1.1, 1.1.2, 1.2.0, 1.2.1, 1.2.2, 1.2.4, 2.0.0, 2.2.0, 2.3.0, 2.4.0, 2.5.0</t>
        </is>
      </c>
      <c r="D208" s="67" t="n">
        <v>27</v>
      </c>
      <c r="E208" s="67" t="n"/>
      <c r="F208" s="67" t="n"/>
      <c r="G208" s="67" t="inlineStr">
        <is>
          <t>The LLM flattened the registers into a list of qubits (list(train_register) + list(control)), equivalent to the reference's train_register[:] + control[:].</t>
        </is>
      </c>
      <c r="H208" s="67" t="n">
        <v>3</v>
      </c>
    </row>
    <row r="209">
      <c r="A209" s="68" t="inlineStr">
        <is>
          <t>Passed on test</t>
        </is>
      </c>
      <c r="B209" s="67" t="inlineStr">
        <is>
          <t>issue_497</t>
        </is>
      </c>
      <c r="C209" s="67" t="inlineStr">
        <is>
          <t>0.25.0, 0.25.1, 0.25.2, 0.25.3</t>
        </is>
      </c>
      <c r="D209" s="67" t="n">
        <v>4</v>
      </c>
      <c r="E209" s="67" t="n"/>
      <c r="F209" s="67" t="n"/>
      <c r="G209" s="67" t="inlineStr">
        <is>
          <t>The LLM combined both expectation values in a ListOp evaluated by one CircuitSampler call (one backend submission) and removed the undefined IBMQJobManager(), like the reference; it also widened psi from 1 to 2 qubits to match the operators.</t>
        </is>
      </c>
      <c r="H209" s="67" t="n">
        <v>3</v>
      </c>
    </row>
    <row r="210">
      <c r="A210" s="69" t="inlineStr">
        <is>
          <t>Failed on test</t>
        </is>
      </c>
      <c r="B210" s="67" t="inlineStr">
        <is>
          <t>issue_415</t>
        </is>
      </c>
      <c r="C210" s="67" t="inlineStr">
        <is>
          <t>0.25.0, 0.25.1, 0.25.2, 0.25.3</t>
        </is>
      </c>
      <c r="D210" s="67" t="n">
        <v>4</v>
      </c>
      <c r="E210" s="67" t="inlineStr">
        <is>
          <t>AssertionError</t>
        </is>
      </c>
      <c r="F210" s="67" t="inlineStr">
        <is>
          <t>AssertionError: Not equal to tolerance rtol=1e-07, atol=1e-12</t>
        </is>
      </c>
      <c r="G210" s="67" t="inlineStr">
        <is>
          <t>The LLM made theta real correctly but computed phi from the |1&gt; amplitude alone (phi = -pi/2), ignoring the pi/4 phase of the |0&gt; amplitude; the relative phase should be 5*pi/4, so the circuit prepares the wrong state (the global_phase line it added cannot fix a relative phase).</t>
        </is>
      </c>
      <c r="H210" s="67" t="n">
        <v>3</v>
      </c>
    </row>
    <row r="211">
      <c r="A211" s="69" t="inlineStr">
        <is>
          <t>Failed on test</t>
        </is>
      </c>
      <c r="B211" s="67" t="inlineStr">
        <is>
          <t>issue_453</t>
        </is>
      </c>
      <c r="C211" s="67" t="inlineStr">
        <is>
          <t>0.45.0, 0.45.1, 0.45.2, 0.45.3, 0.46.0, 0.46.1, 0.46.2, 0.46.3, 1.0.0, 1.0.1, 1.0.2, 1.1.0, 1.1.1, 1.1.2, 1.2.0, 1.2.1, 1.2.2, 1.2.4, 2.0.0, 2.2.0, 2.3.0, 2.4.0, 2.5.0</t>
        </is>
      </c>
      <c r="D211" s="67" t="n">
        <v>23</v>
      </c>
      <c r="E211" s="67" t="inlineStr">
        <is>
          <t>AssertionError</t>
        </is>
      </c>
      <c r="F211" s="67" t="inlineStr">
        <is>
          <t>AssertionError: 0 != 2</t>
        </is>
      </c>
      <c r="G211" s="67" t="inlineStr">
        <is>
          <t>The LLM made the main circuit 6 qubits wide and composed qc1 onto all 6, so the resulting state is right, but the extra qubits are plain qubits rather than ancillas and nothing is added automatically. The test expects 2 ancilla qubits and calls compose_with_auto_ancillas, a helper from the Stack Overflow answer that the question never names.</t>
        </is>
      </c>
      <c r="H211" s="67" t="n">
        <v>3</v>
      </c>
    </row>
    <row r="212">
      <c r="A212" s="70" t="inlineStr">
        <is>
          <t>Runtime error</t>
        </is>
      </c>
      <c r="B212" s="67" t="inlineStr">
        <is>
          <t>issue_344</t>
        </is>
      </c>
      <c r="C212" s="67" t="inlineStr">
        <is>
          <t>0.25.0, 0.25.1, 0.25.2, 0.25.3, 0.45.0, 0.45.1, 0.45.2, 0.45.3, 0.46.0, 0.46.1, 0.46.2, 0.46.3</t>
        </is>
      </c>
      <c r="D212" s="67" t="n">
        <v>12</v>
      </c>
      <c r="E212" s="67" t="inlineStr">
        <is>
          <t>QiskitError</t>
        </is>
      </c>
      <c r="F212" s="67" t="inlineStr">
        <is>
          <t>qiskit.exceptions.QiskitError: 'Input quantum state is not a valid'</t>
        </is>
      </c>
      <c r="G212" s="67" t="inlineStr">
        <is>
          <t>The LLM passed the Statevector object to entropy() but kept get_statevector(..., decimals=3); the rounded amplitudes are no longer normalized, so Qiskit rejects the state ('Input quantum state is not a valid'). The reference also removes decimals=3.</t>
        </is>
      </c>
      <c r="H212" s="67" t="n">
        <v>3</v>
      </c>
    </row>
    <row r="213">
      <c r="A213" s="70" t="inlineStr">
        <is>
          <t>Runtime error</t>
        </is>
      </c>
      <c r="B213" s="67" t="inlineStr">
        <is>
          <t>issue_369</t>
        </is>
      </c>
      <c r="C213" s="67" t="inlineStr">
        <is>
          <t>0.25.0, 0.25.1, 0.25.2, 0.25.3, 0.45.0, 0.45.1, 0.45.2, 0.45.3, 0.46.0, 0.46.1, 0.46.2, 0.46.3, 1.0.0, 1.0.1, 1.0.2, 1.1.0, 1.1.1, 1.1.2, 1.2.0, 1.2.1, 1.2.2, 1.2.4, 2.0.0, 2.2.0, 2.3.0, 2.4.0, 2.5.0</t>
        </is>
      </c>
      <c r="D213" s="67" t="n">
        <v>27</v>
      </c>
      <c r="E213" s="67" t="inlineStr">
        <is>
          <t>CircuitError</t>
        </is>
      </c>
      <c r="F213" s="67" t="inlineStr">
        <is>
          <t>qiskit.circuit.exceptions.CircuitError: 'The amount of qubit(3)/clbit(0) arguments does not match the gate expectation (4).'</t>
        </is>
      </c>
      <c r="G213" s="67" t="inlineStr">
        <is>
          <t>The LLM's compose fix (all 17 qubits instead of [i]) matches the reference, but it also invented an extra line, sub.append(C3XGate(), [14, 6, 7]), which gives a 4-qubit gate only 3 qubits, so building the circuit raises CircuitError. With that line removed the fix passes.</t>
        </is>
      </c>
      <c r="H213" s="67" t="n">
        <v>3</v>
      </c>
    </row>
    <row r="214">
      <c r="A214" s="70" t="inlineStr">
        <is>
          <t>Runtime error</t>
        </is>
      </c>
      <c r="B214" s="67" t="inlineStr">
        <is>
          <t>issue_396</t>
        </is>
      </c>
      <c r="C214" s="67" t="inlineStr">
        <is>
          <t>1.0.0, 1.0.1, 1.0.2, 1.1.0, 1.1.1, 1.1.2, 1.2.0, 1.2.1, 1.2.2, 1.2.4, 2.0.0, 2.2.0, 2.3.0, 2.4.0, 2.5.0</t>
        </is>
      </c>
      <c r="D214" s="67" t="n">
        <v>15</v>
      </c>
      <c r="E214" s="67" t="inlineStr">
        <is>
          <t>AttributeError</t>
        </is>
      </c>
      <c r="F214" s="67" t="inlineStr">
        <is>
          <t>AttributeError: 'QuantumCircuit' object has no attribute 'diagonal'</t>
        </is>
      </c>
      <c r="G214" s="67" t="inlineStr">
        <is>
          <t>The LLM built the oracle with QuantumCircuit.diagonal(), which was removed in Qiskit 1.0, so the script crashes with AttributeError on 1.x and 2.x.</t>
        </is>
      </c>
      <c r="H214" s="67" t="n">
        <v>3</v>
      </c>
    </row>
    <row r="215">
      <c r="A215" s="70" t="inlineStr">
        <is>
          <t>Runtime error</t>
        </is>
      </c>
      <c r="B215" s="67" t="inlineStr">
        <is>
          <t>issue_468</t>
        </is>
      </c>
      <c r="C215" s="67" t="inlineStr">
        <is>
          <t>0.25.0, 0.25.1, 0.25.2, 0.25.3</t>
        </is>
      </c>
      <c r="D215" s="67" t="n">
        <v>4</v>
      </c>
      <c r="E215" s="67" t="inlineStr">
        <is>
          <t>ValueError</t>
        </is>
      </c>
      <c r="F215" s="67" t="inlineStr">
        <is>
          <t>ValueError: Operators can only be scalar multiplied by float or complex, not Operator([[1.+0.j, 0.+0.j], [0.+0.j, 0.+0.j]], input_dims=(2,), output_dims=(2,)) of type &lt;class 'qiskit.aqua.operators.primitive_ops.matrix_op.MatrixOp'&gt;.</t>
        </is>
      </c>
      <c r="G215" s="67" t="inlineStr">
        <is>
          <t>The LLM wrapped the density matrices in MatrixOp, but Aqua's legacy commutator() multiplies its inputs with *, which for MatrixOp means scalar multiplication, so it raises ValueError; the reference rewrites the two operators as WeightedPauliOperators.</t>
        </is>
      </c>
      <c r="H215" s="67" t="n">
        <v>3</v>
      </c>
    </row>
    <row r="216">
      <c r="A216" s="68" t="inlineStr">
        <is>
          <t>Passed on test</t>
        </is>
      </c>
      <c r="B216" s="67" t="inlineStr">
        <is>
          <t>issue_504</t>
        </is>
      </c>
      <c r="C216" s="67" t="inlineStr">
        <is>
          <t>0.45.0, 0.45.1, 0.45.2, 0.45.3, 0.46.0, 0.46.1, 0.46.2, 0.46.3, 1.0.0, 1.0.1, 1.0.2, 1.1.0, 1.1.1, 1.1.2, 1.2.0, 1.2.1, 1.2.2, 1.2.4, 2.0.0, 2.2.0, 2.3.0, 2.4.0, 2.5.0</t>
        </is>
      </c>
      <c r="D216" s="67" t="n">
        <v>23</v>
      </c>
      <c r="E216" s="67" t="n"/>
      <c r="F216" s="67" t="n"/>
      <c r="G216" s="67" t="inlineStr">
        <is>
          <t>The LLM pointed the Hadamards, the oracle, the diffusion and the measurement at circuit.qubits instead of a new QuantumRegister(n) each time, and ran the transpiled circuit with backend.run(); the reference creates one register and reuses it. Same effect.</t>
        </is>
      </c>
      <c r="H216" s="67" t="n">
        <v>4</v>
      </c>
    </row>
    <row r="217">
      <c r="A217" s="68" t="inlineStr">
        <is>
          <t>Passed on test</t>
        </is>
      </c>
      <c r="B217" s="67" t="inlineStr">
        <is>
          <t>issue_505</t>
        </is>
      </c>
      <c r="C217" s="67" t="inlineStr">
        <is>
          <t>0.45.0, 0.45.1, 0.45.2, 0.45.3, 0.46.0, 0.46.1, 0.46.2, 0.46.3</t>
        </is>
      </c>
      <c r="D217" s="67" t="n">
        <v>8</v>
      </c>
      <c r="E217" s="67" t="n"/>
      <c r="F217" s="67" t="n"/>
      <c r="G217" s="67" t="inlineStr">
        <is>
          <t>The LLM cast x to a Python float, so PauliSumOp handles the scalar multiplication instead of NumPy, the same cast as the reference (which also swaps the operand order).</t>
        </is>
      </c>
      <c r="H217" s="67" t="n">
        <v>4</v>
      </c>
    </row>
    <row r="218">
      <c r="A218" s="68" t="inlineStr">
        <is>
          <t>Passed on test</t>
        </is>
      </c>
      <c r="B218" s="67" t="inlineStr">
        <is>
          <t>issue_595</t>
        </is>
      </c>
      <c r="C218" s="67" t="inlineStr">
        <is>
          <t>0.45.0, 0.45.1, 0.45.2, 0.45.3, 0.46.0, 0.46.1, 0.46.2, 0.46.3, 1.0.0, 1.0.1, 1.0.2, 1.1.0, 1.1.1, 1.1.2, 1.2.0, 1.2.1, 1.2.2, 1.2.4, 2.0.0, 2.2.0, 2.3.0, 2.4.0, 2.5.0</t>
        </is>
      </c>
      <c r="D218" s="67" t="n">
        <v>23</v>
      </c>
      <c r="E218" s="67" t="n"/>
      <c r="F218" s="67" t="n"/>
      <c r="G218" s="67" t="inlineStr">
        <is>
          <t>The LLM added circ.save_unitary() so AerSimulator returns the unitary, the same key fix as the reference.</t>
        </is>
      </c>
      <c r="H218" s="67" t="n">
        <v>4</v>
      </c>
    </row>
    <row r="219">
      <c r="A219" s="68" t="inlineStr">
        <is>
          <t>Passed on test</t>
        </is>
      </c>
      <c r="B219" s="67" t="inlineStr">
        <is>
          <t>issue_596</t>
        </is>
      </c>
      <c r="C219" s="67" t="inlineStr">
        <is>
          <t>0.25.0, 0.25.1, 0.25.2, 0.25.3, 0.45.0, 0.45.1, 0.45.2, 0.45.3, 0.46.0, 0.46.1, 0.46.2, 0.46.3</t>
        </is>
      </c>
      <c r="D219" s="67" t="n">
        <v>12</v>
      </c>
      <c r="E219" s="67" t="n"/>
      <c r="F219" s="67" t="n"/>
      <c r="G219" s="67" t="inlineStr">
        <is>
          <t>The LLM bound each parameter explicitly (p to inp[0], th to theta) and kept the circuit returned by assign_parameters, like the reference.</t>
        </is>
      </c>
      <c r="H219" s="67" t="n">
        <v>4</v>
      </c>
    </row>
    <row r="220">
      <c r="A220" s="68" t="inlineStr">
        <is>
          <t>Passed on test</t>
        </is>
      </c>
      <c r="B220" s="67" t="inlineStr">
        <is>
          <t>issue_600</t>
        </is>
      </c>
      <c r="C220" s="67" t="inlineStr">
        <is>
          <t>0.45.0, 0.45.1, 0.45.2, 0.45.3, 0.46.0, 0.46.1, 0.46.2, 0.46.3</t>
        </is>
      </c>
      <c r="D220" s="67" t="n">
        <v>8</v>
      </c>
      <c r="E220" s="67" t="n"/>
      <c r="F220" s="67" t="n"/>
      <c r="G220" s="67" t="inlineStr">
        <is>
          <t>The LLM replaced PauliGate(...).power(param) with PauliEvolutionGate(Pauli('XX'), time=pi*param/2), which equals (XX)^param up to a global phase; the reference uses rxx/ryy/rzz(pi*param), the same gates.</t>
        </is>
      </c>
      <c r="H220" s="67" t="n">
        <v>4</v>
      </c>
    </row>
    <row r="221">
      <c r="A221" s="68" t="inlineStr">
        <is>
          <t>Passed on test</t>
        </is>
      </c>
      <c r="B221" s="67" t="inlineStr">
        <is>
          <t>issue_622</t>
        </is>
      </c>
      <c r="C221" s="67" t="inlineStr">
        <is>
          <t>0.25.0, 0.25.1, 0.25.2, 0.25.3, 0.45.0, 0.45.1, 0.45.2, 0.45.3, 0.46.0, 0.46.1, 0.46.2, 0.46.3</t>
        </is>
      </c>
      <c r="D221" s="67" t="n">
        <v>12</v>
      </c>
      <c r="E221" s="67" t="n"/>
      <c r="F221" s="67" t="n"/>
      <c r="G221" s="67" t="inlineStr">
        <is>
          <t>Passed: the LLM swapped the 1-qubit FakeArmonk for the 5-qubit FakeYorktown, so the Bell circuit runs on a large enough local backend. The updated test allows the fake device's noise.</t>
        </is>
      </c>
      <c r="H221" s="67" t="n">
        <v>4</v>
      </c>
    </row>
    <row r="222">
      <c r="A222" s="69" t="inlineStr">
        <is>
          <t>Failed on test</t>
        </is>
      </c>
      <c r="B222" s="67" t="inlineStr">
        <is>
          <t>issue_635</t>
        </is>
      </c>
      <c r="C222" s="67" t="inlineStr">
        <is>
          <t>0.25.0, 0.25.1, 0.25.2, 0.25.3</t>
        </is>
      </c>
      <c r="D222" s="67" t="n">
        <v>4</v>
      </c>
      <c r="E222" s="67" t="inlineStr">
        <is>
          <t>AssertionError</t>
        </is>
      </c>
      <c r="F222" s="67" t="inlineStr">
        <is>
          <t>AssertionError: Items in the first set but not the second: 0 Items in the second set but not the first: 1 : Conditional AND failed for basis 001</t>
        </is>
      </c>
      <c r="G222" s="67" t="inlineStr">
        <is>
          <t>The LLM conditioned the X on q[0] on the whole register equal to 1 and the X on q[1] on it equal to 2, so each X fires on a different single-bit pattern. The question wants both X gates when c[0]=1 and c[1]=1 (register value 3, as in the reference); the fix is already wrong for input 001.</t>
        </is>
      </c>
      <c r="H222" s="67" t="n">
        <v>4</v>
      </c>
    </row>
    <row r="223">
      <c r="A223" s="70" t="inlineStr">
        <is>
          <t>Runtime error</t>
        </is>
      </c>
      <c r="B223" s="67" t="inlineStr">
        <is>
          <t>issue_565</t>
        </is>
      </c>
      <c r="C223" s="67" t="inlineStr">
        <is>
          <t>0.25.0, 0.25.1, 0.25.2, 0.25.3</t>
        </is>
      </c>
      <c r="D223" s="67" t="n">
        <v>4</v>
      </c>
      <c r="E223" s="67" t="inlineStr">
        <is>
          <t>ValueError</t>
        </is>
      </c>
      <c r="F223" s="67" t="inlineStr">
        <is>
          <t>ValueError: Operators can only be scalar multiplied by float or complex, not SummedOp([ IIIXIIIII, IIIYIIIII ]) of type &lt;class 'qiskit.aqua.operators.list_ops.summed_op.SummedOp'&gt;.</t>
        </is>
      </c>
      <c r="G223" s="67" t="inlineStr">
        <is>
          <t>The LLM wrapped each Pauli in Aqua's PauliOp but kept the *= products; in Aqua, * means scalar multiplication (composition is @ / compose), so multiplying two operators raises ValueError while the mixer is built. The reference rewrites the mixer as a hand-expanded sum of Pauli terms.</t>
        </is>
      </c>
      <c r="H223" s="67" t="n">
        <v>4</v>
      </c>
    </row>
    <row r="224">
      <c r="A224" s="70" t="inlineStr">
        <is>
          <t>Runtime error</t>
        </is>
      </c>
      <c r="B224" s="67" t="inlineStr">
        <is>
          <t>issue_600</t>
        </is>
      </c>
      <c r="C224" s="67" t="inlineStr">
        <is>
          <t>0.25.0, 0.25.1, 0.25.2, 0.25.3</t>
        </is>
      </c>
      <c r="D224" s="67" t="n">
        <v>4</v>
      </c>
      <c r="E224" s="67" t="inlineStr">
        <is>
          <t>ImportError</t>
        </is>
      </c>
      <c r="F224" s="67" t="inlineStr">
        <is>
          <t>ImportError: cannot import name 'PauliGate' from 'qiskit.circuit.library'</t>
        </is>
      </c>
      <c r="G224" s="67" t="inlineStr">
        <is>
          <t>The LLM kept the now-unused import of PauliGate, which does not exist in Qiskit 0.25 (Terra 0.17), so the script crashes on import. PauliEvolutionGate, which it switched to, does not exist there either (added in Terra 0.19). The reference drops the import and uses rxx/ryy/rzz, which exist in 0.25.</t>
        </is>
      </c>
      <c r="H224" s="67" t="n">
        <v>4</v>
      </c>
    </row>
    <row r="225">
      <c r="A225" s="70" t="inlineStr">
        <is>
          <t>Runtime error</t>
        </is>
      </c>
      <c r="B225" s="67" t="inlineStr">
        <is>
          <t>issue_624</t>
        </is>
      </c>
      <c r="C225" s="67" t="inlineStr">
        <is>
          <t>0.25.0, 0.25.1, 0.25.2, 0.25.3</t>
        </is>
      </c>
      <c r="D225" s="67" t="n">
        <v>4</v>
      </c>
      <c r="E225" s="67" t="inlineStr">
        <is>
          <t>ValueError</t>
        </is>
      </c>
      <c r="F225" s="67" t="inlineStr">
        <is>
          <t>ValueError: Evolutions of mixed Operators not yet supported.</t>
        </is>
      </c>
      <c r="G225" s="67" t="inlineStr">
        <is>
          <t>The LLM wrapped the circuit in CircuitOp, which is an OperatorBase with the right matrix, but QAOA cannot build the evolution of a CircuitOp ('Evolutions of mixed Operators not yet supported'). The reference converts it with MatrixOp(Operator(H)).</t>
        </is>
      </c>
      <c r="H225" s="67" t="n">
        <v>4</v>
      </c>
    </row>
    <row r="226">
      <c r="A226" s="70" t="inlineStr">
        <is>
          <t>Runtime error</t>
        </is>
      </c>
      <c r="B226" s="67" t="inlineStr">
        <is>
          <t>issue_624</t>
        </is>
      </c>
      <c r="C226" s="67" t="inlineStr">
        <is>
          <t>0.45.0, 0.45.1, 0.45.2, 0.45.3, 0.46.0, 0.46.1, 0.46.2, 0.46.3</t>
        </is>
      </c>
      <c r="D226" s="67" t="n">
        <v>8</v>
      </c>
      <c r="E226" s="67" t="inlineStr">
        <is>
          <t>TypeError</t>
        </is>
      </c>
      <c r="F226" s="67" t="inlineStr">
        <is>
          <t>TypeError: ParameterExpression with unbound parameters (dict_keys([Parameter(c)])) cannot be cast to a float.</t>
        </is>
      </c>
      <c r="G226" s="67" t="inlineStr">
        <is>
          <t>The LLM wrapped the circuit in CircuitOp, which is an OperatorBase with the right matrix, but QAOA cannot evolve a CircuitOp: building the parameterized evolution tries to cast the unbound parameter to a float and raises TypeError. The reference converts it with MatrixOp(Operator(H)).</t>
        </is>
      </c>
      <c r="H226" s="67" t="n">
        <v>4</v>
      </c>
    </row>
    <row r="227">
      <c r="A227" s="70" t="inlineStr">
        <is>
          <t>Runtime error</t>
        </is>
      </c>
      <c r="B227" s="67" t="inlineStr">
        <is>
          <t>issue_662</t>
        </is>
      </c>
      <c r="C227" s="67" t="inlineStr">
        <is>
          <t>0.45.0, 0.45.1, 0.45.2, 0.45.3, 0.46.0, 0.46.1, 0.46.2, 0.46.3, 1.0.0, 1.0.1, 1.0.2, 1.1.0, 1.1.1, 1.1.2</t>
        </is>
      </c>
      <c r="D227" s="67" t="n">
        <v>14</v>
      </c>
      <c r="E227" s="67" t="inlineStr">
        <is>
          <t>AttributeError</t>
        </is>
      </c>
      <c r="F227" s="67" t="inlineStr">
        <is>
          <t>AttributeError: 'DAGOpNode' object has no attribute 'type'</t>
        </is>
      </c>
      <c r="G227" s="67"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(checked on 0.45.0 and 2.5.0). The reference uses circ.count_ops().</t>
        </is>
      </c>
      <c r="H227" s="67" t="n">
        <v>4</v>
      </c>
    </row>
    <row r="228">
      <c r="A228" s="70" t="inlineStr">
        <is>
          <t>Runtime error</t>
        </is>
      </c>
      <c r="B228" s="67" t="inlineStr">
        <is>
          <t>issue_662</t>
        </is>
      </c>
      <c r="C228" s="67" t="inlineStr">
        <is>
          <t>1.2.0, 1.2.1, 1.2.2, 1.2.4, 2.0.0, 2.2.0, 2.3.0, 2.4.0, 2.5.0</t>
        </is>
      </c>
      <c r="D228" s="67" t="n">
        <v>9</v>
      </c>
      <c r="E228" s="67" t="inlineStr">
        <is>
          <t>AttributeError</t>
        </is>
      </c>
      <c r="F228" s="67" t="inlineStr">
        <is>
          <t>AttributeError: 'qiskit._accelerate.circuit.DAGOpNode' object has no attribute 'type'</t>
        </is>
      </c>
      <c r="G228" s="67" t="inlineStr">
        <is>
          <t>The LLM switched from dag.longest_path() to dag.op_nodes(), which is the right idea, but kept the buggy code's 'if node.type == "op"' check. DAG nodes no longer have a .type attribute in these versions (the buggy code crashes on it too), so it raises AttributeError. With that one check removed the fix passes (checked on 0.45.0 and 2.5.0). The reference uses circ.count_ops().</t>
        </is>
      </c>
      <c r="H228" s="67" t="n">
        <v>4</v>
      </c>
    </row>
    <row r="229">
      <c r="A229" s="68" t="inlineStr">
        <is>
          <t>Passed on test</t>
        </is>
      </c>
      <c r="B229" s="67" t="inlineStr">
        <is>
          <t>issue_663</t>
        </is>
      </c>
      <c r="C229" s="67" t="inlineStr">
        <is>
          <t>0.45.0, 0.45.1, 0.45.2, 0.45.3, 0.46.0, 0.46.1, 0.46.2, 0.46.3</t>
        </is>
      </c>
      <c r="D229" s="67" t="n">
        <v>8</v>
      </c>
      <c r="E229" s="67" t="n"/>
      <c r="F229" s="67" t="n"/>
      <c r="G229" s="67" t="inlineStr">
        <is>
          <t>The LLM added input_circuit.measure([0, 1, 2], [0, 1, 2]) before execute, the same measurement as the reference's measure(range(3), range(3)).</t>
        </is>
      </c>
      <c r="H229" s="67" t="n">
        <v>5</v>
      </c>
    </row>
    <row r="230">
      <c r="A230" s="68" t="inlineStr">
        <is>
          <t>Passed on test</t>
        </is>
      </c>
      <c r="B230" s="67" t="inlineStr">
        <is>
          <t>issue_727</t>
        </is>
      </c>
      <c r="C230" s="67" t="inlineStr">
        <is>
          <t>0.25.0, 0.25.1, 0.25.2, 0.25.3, 0.45.0, 0.45.1, 0.45.2, 0.45.3, 0.46.0, 0.46.1, 0.46.2, 0.46.3</t>
        </is>
      </c>
      <c r="D230" s="67" t="n">
        <v>12</v>
      </c>
      <c r="E230" s="67" t="n"/>
      <c r="F230" s="67" t="n"/>
      <c r="G230" s="67" t="inlineStr">
        <is>
          <t>The LLM rewrote 2/2**k as (-k*numpy.log(2)).exp() using ParameterExpression.exp(); the reference uses numpy.exp(numpy.log(0.5)*k). Same angle for every bound k.</t>
        </is>
      </c>
      <c r="H230" s="67" t="n">
        <v>5</v>
      </c>
    </row>
    <row r="231">
      <c r="A231" s="68" t="inlineStr">
        <is>
          <t>Passed on test</t>
        </is>
      </c>
      <c r="B231" s="67" t="inlineStr">
        <is>
          <t>issue_742</t>
        </is>
      </c>
      <c r="C231" s="67" t="inlineStr">
        <is>
          <t>1.1.0, 1.1.1, 1.1.2, 1.2.0, 1.2.1, 1.2.2, 1.2.4, 2.0.0, 2.2.0, 2.3.0, 2.4.0, 2.5.0</t>
        </is>
      </c>
      <c r="D231" s="67" t="n">
        <v>12</v>
      </c>
      <c r="E231" s="67" t="n"/>
      <c r="F231" s="67" t="n"/>
      <c r="G231" s="67" t="inlineStr">
        <is>
          <t>The LLM converted the Operator with SparsePauliOp.from_operator(O) before passing it to EstimatorV2, the same fix as the reference. (These environments do not ship qiskit-ibm-runtime, so this case runs with a task-local support folder: Runtime 0.30.0 for Qiskit 1.1/1.2 and 0.40.1 for 2.x, as in the team's batch05 validation.)</t>
        </is>
      </c>
      <c r="H231" s="67" t="n">
        <v>5</v>
      </c>
    </row>
    <row r="232">
      <c r="A232" s="68" t="inlineStr">
        <is>
          <t>Passed on test</t>
        </is>
      </c>
      <c r="B232" s="67" t="inlineStr">
        <is>
          <t>issue_773</t>
        </is>
      </c>
      <c r="C232" s="67" t="inlineStr">
        <is>
          <t>0.45.0, 0.45.1, 0.45.2, 0.45.3, 0.46.0, 0.46.1, 0.46.2, 0.46.3</t>
        </is>
      </c>
      <c r="D232" s="67" t="n">
        <v>8</v>
      </c>
      <c r="E232" s="67" t="n"/>
      <c r="F232" s="67" t="n"/>
      <c r="G232" s="67" t="inlineStr">
        <is>
          <t>The LLM removed the shadowing IBMQ import and kept qiskit.tools.monitor.job_monitor, like the reference (which also passes quiet=True).</t>
        </is>
      </c>
      <c r="H232" s="67" t="n">
        <v>5</v>
      </c>
    </row>
    <row r="233">
      <c r="A233" s="68" t="inlineStr">
        <is>
          <t>Passed on test</t>
        </is>
      </c>
      <c r="B233" s="67" t="inlineStr">
        <is>
          <t>issue_795</t>
        </is>
      </c>
      <c r="C233" s="67" t="inlineStr">
        <is>
          <t>0.25.0, 0.25.1, 0.25.2, 0.25.3, 0.45.0, 0.45.1, 0.45.2, 0.45.3, 0.46.0, 0.46.1, 0.46.2, 0.46.3</t>
        </is>
      </c>
      <c r="D233" s="67" t="n">
        <v>12</v>
      </c>
      <c r="E233" s="67" t="n"/>
      <c r="F233" s="67" t="n"/>
      <c r="G233" s="67" t="inlineStr">
        <is>
          <t>The LLM appended the operator's matrix with circuit.unitary(...), so to_gate() succeeds, the same fix as the reference.</t>
        </is>
      </c>
      <c r="H233" s="67" t="n">
        <v>5</v>
      </c>
    </row>
    <row r="234">
      <c r="A234" s="68" t="inlineStr">
        <is>
          <t>Passed on test</t>
        </is>
      </c>
      <c r="B234" s="67" t="inlineStr">
        <is>
          <t>issue_671</t>
        </is>
      </c>
      <c r="C234" s="67" t="inlineStr">
        <is>
          <t>0.25.0, 0.25.1, 0.25.2, 0.25.3, 0.45.0, 0.45.1, 0.45.2, 0.45.3, 0.46.0, 0.46.1, 0.46.2, 0.46.3, 1.0.0, 1.0.1, 1.0.2, 1.1.0, 1.1.1, 1.1.2, 1.2.0, 1.2.1, 1.2.2, 1.2.4, 2.0.0, 2.2.0, 2.3.0, 2.4.0, 2.5.0</t>
        </is>
      </c>
      <c r="D234" s="67" t="n">
        <v>27</v>
      </c>
      <c r="E234" s="67" t="n"/>
      <c r="F234" s="67" t="n"/>
      <c r="G234" s="67" t="inlineStr">
        <is>
          <t>Passed: the LLM unpacked the list with QuantumCircuit(a, *v, b), which builds exactly the registers the question asks for (a, v0..v3, b in that order). The updated test checks the registers, not the answer's example gates.</t>
        </is>
      </c>
      <c r="H234" s="67" t="n">
        <v>5</v>
      </c>
    </row>
    <row r="235">
      <c r="A235" s="68" t="inlineStr">
        <is>
          <t>Passed on test</t>
        </is>
      </c>
      <c r="B235" s="67" t="inlineStr">
        <is>
          <t>issue_747</t>
        </is>
      </c>
      <c r="C235" s="67" t="inlineStr">
        <is>
          <t>0.45.0, 0.45.1, 0.45.2, 0.45.3, 0.46.0, 0.46.1, 0.46.2, 0.46.3</t>
        </is>
      </c>
      <c r="D235" s="67" t="n">
        <v>8</v>
      </c>
      <c r="E235" s="67" t="n"/>
      <c r="F235" s="67" t="n"/>
      <c r="G235" s="67" t="inlineStr">
        <is>
          <t>Passed: the LLM added circ.measure_all(), which measures the GHZ state correctly but adds a second register, so the count keys are '000 000' / '111 000'. The updated test accepts any register layout.</t>
        </is>
      </c>
      <c r="H235" s="67" t="n">
        <v>5</v>
      </c>
    </row>
    <row r="236">
      <c r="A236" s="70" t="inlineStr">
        <is>
          <t>Runtime error</t>
        </is>
      </c>
      <c r="B236" s="67" t="inlineStr">
        <is>
          <t>issue_750</t>
        </is>
      </c>
      <c r="C236" s="67" t="inlineStr">
        <is>
          <t>0.45.0, 0.45.1, 0.45.2, 0.45.3, 0.46.0, 0.46.1, 0.46.2, 0.46.3, 1.0.0, 1.0.1, 1.0.2, 1.1.0, 1.1.1, 1.1.2, 1.2.0, 1.2.1, 1.2.2, 1.2.4, 2.0.0, 2.2.0, 2.3.0, 2.4.0, 2.5.0</t>
        </is>
      </c>
      <c r="D236" s="67" t="n">
        <v>23</v>
      </c>
      <c r="E236" s="67" t="inlineStr">
        <is>
          <t>TypeError</t>
        </is>
      </c>
      <c r="F236" s="67" t="inlineStr">
        <is>
          <t>TypeError: Pauli.__init__() got an unexpected keyword argument 'label'</t>
        </is>
      </c>
      <c r="G236" s="67" t="inlineStr">
        <is>
          <t>The LLM answered NO BUG and kept Pauli(label='XZ'); the math is right, but the label keyword was removed from Pauli in these versions, so the script raises TypeError. The reference builds the operator with Pauli('X')/Pauli('Z') and tensor/expand.</t>
        </is>
      </c>
      <c r="H236" s="67" t="n">
        <v>5</v>
      </c>
    </row>
    <row r="237">
      <c r="A237" s="70" t="inlineStr">
        <is>
          <t>Runtime error</t>
        </is>
      </c>
      <c r="B237" s="67" t="inlineStr">
        <is>
          <t>issue_769</t>
        </is>
      </c>
      <c r="C237" s="67" t="inlineStr">
        <is>
          <t>1.0.0, 1.0.1, 1.0.2, 1.1.0, 1.1.1, 1.1.2, 1.2.0, 1.2.1, 1.2.2, 1.2.4, 2.0.0, 2.2.0, 2.3.0, 2.4.0, 2.5.0</t>
        </is>
      </c>
      <c r="D237" s="67" t="n">
        <v>15</v>
      </c>
      <c r="E237" s="67" t="inlineStr">
        <is>
          <t>KeyError</t>
        </is>
      </c>
      <c r="F237" s="67" t="inlineStr">
        <is>
          <t>KeyError: 'get_qiskit_gate'</t>
        </is>
      </c>
      <c r="G237" s="67" t="inlineStr">
        <is>
          <t>The LLM hard-coded a single check against XGate and prints its name ('x'), instead of writing a general matcher over the standard gates. The test looks up the answer's function name get_qiskit_gate, so it raises KeyError; a test that did not need that name would still fail, because no general matcher exists.</t>
        </is>
      </c>
      <c r="H237" s="67" t="n">
        <v>5</v>
      </c>
    </row>
    <row r="238">
      <c r="A238" s="68" t="inlineStr">
        <is>
          <t>Passed on test</t>
        </is>
      </c>
      <c r="B238" s="67" t="inlineStr">
        <is>
          <t>issue_775</t>
        </is>
      </c>
      <c r="C238" s="67" t="inlineStr">
        <is>
          <t>0.25.0, 0.25.1, 0.25.2, 0.25.3, 0.45.0, 0.45.1, 0.45.2, 0.45.3, 0.46.0, 0.46.1, 0.46.2, 0.46.3</t>
        </is>
      </c>
      <c r="D238" s="67" t="n">
        <v>12</v>
      </c>
      <c r="E238" s="67" t="n"/>
      <c r="F238" s="67" t="n"/>
      <c r="G238" s="67" t="inlineStr">
        <is>
          <t>Passed: the LLM parsed the QASM with QuantumCircuit.from_qasm_str() and executed it. The updated test checks the executed result instead of a variable named qc.</t>
        </is>
      </c>
      <c r="H238" s="67" t="n">
        <v>5</v>
      </c>
    </row>
    <row r="239">
      <c r="A239" s="68" t="inlineStr">
        <is>
          <t>Passed on test</t>
        </is>
      </c>
      <c r="B239" s="67" t="inlineStr">
        <is>
          <t>issue_816</t>
        </is>
      </c>
      <c r="C239" s="67" t="inlineStr">
        <is>
          <t>0.45.0, 0.45.1, 0.45.2, 0.45.3, 0.46.0, 0.46.1, 0.46.2, 0.46.3, 1.0.0, 1.0.1, 1.0.2, 1.1.0, 1.1.1, 1.1.2, 1.2.0, 1.2.1, 1.2.2, 1.2.4, 2.0.0, 2.2.0, 2.3.0, 2.4.0, 2.5.0</t>
        </is>
      </c>
      <c r="D239" s="67" t="n">
        <v>23</v>
      </c>
      <c r="E239" s="67" t="n"/>
      <c r="F239" s="67" t="n"/>
      <c r="G239" s="67" t="inlineStr">
        <is>
          <t>The LLM passed memory=True to simulator.run(), so get_memory() returns the per-shot results, the same fix as the reference.</t>
        </is>
      </c>
      <c r="H239" s="67" t="n">
        <v>6</v>
      </c>
    </row>
    <row r="240">
      <c r="A240" s="69" t="inlineStr">
        <is>
          <t>Failed on test</t>
        </is>
      </c>
      <c r="B240" s="67" t="inlineStr">
        <is>
          <t>issue_803</t>
        </is>
      </c>
      <c r="C240" s="67" t="inlineStr">
        <is>
          <t>0.25.0, 0.25.1, 0.25.2, 0.25.3</t>
        </is>
      </c>
      <c r="D240" s="67" t="n">
        <v>4</v>
      </c>
      <c r="E240" s="67" t="inlineStr">
        <is>
          <t>AssertionError</t>
        </is>
      </c>
      <c r="F240" s="67" t="inlineStr">
        <is>
          <t>AssertionError: array([list([52, 48]), list([100]), list([100])], dtype=object) is not an instance of &lt;class 'list'&gt;</t>
        </is>
      </c>
      <c r="G240" s="67" t="inlineStr">
        <is>
          <t>The LLM turned the list of count dictionaries into a NumPy array of their values, which throws away which outcome each count belongs to. On this NumPy version the uneven lists become an object array, so the check that run() returns a list of count dictionaries fails. The reference returns the list of dictionaries.</t>
        </is>
      </c>
      <c r="H240" s="67" t="n">
        <v>6</v>
      </c>
    </row>
    <row r="241">
      <c r="A241" s="68" t="inlineStr">
        <is>
          <t>Passed on test</t>
        </is>
      </c>
      <c r="B241" s="67" t="inlineStr">
        <is>
          <t>issue_810</t>
        </is>
      </c>
      <c r="C241" s="67" t="inlineStr">
        <is>
          <t>0.45.1, 0.46.2</t>
        </is>
      </c>
      <c r="D241" s="67" t="n">
        <v>2</v>
      </c>
      <c r="E241" s="67" t="n"/>
      <c r="F241" s="67" t="n"/>
      <c r="G241" s="67" t="inlineStr">
        <is>
          <t>Passed: the LLM replaced job.result(job) with job.result().get_counts(), which returns the raw counts dictionary, the same call as the reference. The updated test accepts any variable name and the script's own shot count.</t>
        </is>
      </c>
      <c r="H241" s="67" t="n">
        <v>6</v>
      </c>
    </row>
    <row r="242">
      <c r="A242" s="68" t="inlineStr">
        <is>
          <t>Passed on test</t>
        </is>
      </c>
      <c r="B242" s="67" t="inlineStr">
        <is>
          <t>issue_886</t>
        </is>
      </c>
      <c r="C242" s="67" t="inlineStr">
        <is>
          <t>0.45.0, 0.45.1</t>
        </is>
      </c>
      <c r="D242" s="67" t="n">
        <v>2</v>
      </c>
      <c r="E242" s="67" t="n"/>
      <c r="F242" s="67" t="n"/>
      <c r="G242" s="67" t="inlineStr">
        <is>
          <t>Passed: the LLM transpiled the circuit before running it on qasm_simulator, the fix the answer gives. The updated test checks the job result regardless of the unused classical register and the variable name.</t>
        </is>
      </c>
      <c r="H242" s="67" t="n">
        <v>6</v>
      </c>
    </row>
    <row r="243">
      <c r="A243" s="69" t="inlineStr">
        <is>
          <t>Failed on test</t>
        </is>
      </c>
      <c r="B243" s="67" t="inlineStr">
        <is>
          <t>issue_889</t>
        </is>
      </c>
      <c r="C243" s="67" t="inlineStr">
        <is>
          <t>0.45.0, 0.45.1, 0.45.2, 0.45.3, 0.46.0, 0.46.1, 0.46.2, 0.46.3</t>
        </is>
      </c>
      <c r="D243" s="67" t="n">
        <v>8</v>
      </c>
      <c r="E243" s="67" t="inlineStr">
        <is>
          <t>AssertionError</t>
        </is>
      </c>
      <c r="F243" s="67" t="inlineStr">
        <is>
          <t>AssertionError: Not equal to tolerance rtol=1e-07, atol=1e-09</t>
        </is>
      </c>
      <c r="G243" s="67" t="inlineStr">
        <is>
          <t>The LLM evolved the Hamiltonian with (-time_ * H).exp_i(), but exp_i() already computes exp(-iX), so the circuit implements exp(+iHt), the wrong sign, and the unitary check fails. With the sign flipped the same fix passes on 0.45.0 and 0.46.3. The reference uses circ.hamiltonian(H, time_, ...).</t>
        </is>
      </c>
      <c r="H243" s="67" t="n">
        <v>6</v>
      </c>
    </row>
    <row r="244">
      <c r="A244" s="70" t="inlineStr">
        <is>
          <t>Runtime error</t>
        </is>
      </c>
      <c r="B244" s="67" t="inlineStr">
        <is>
          <t>issue_803</t>
        </is>
      </c>
      <c r="C244" s="67" t="inlineStr">
        <is>
          <t>0.45.0, 0.45.1, 0.45.2, 0.45.3, 0.46.0, 0.46.1, 0.46.2, 0.46.3</t>
        </is>
      </c>
      <c r="D244" s="67" t="n">
        <v>8</v>
      </c>
      <c r="E244" s="67" t="inlineStr">
        <is>
          <t>ValueError</t>
        </is>
      </c>
      <c r="F244" s="67" t="inlineStr">
        <is>
          <t xml:space="preserve">ValueError: The truth value of an array with more than one element is ambiguous. Use a.any() or a.all() | ValueError: setting an array element with a sequence. The requested array has an inhomogeneous shape after 1 dimensions. The detected shape was </t>
        </is>
      </c>
      <c r="G244" s="67" t="inlineStr">
        <is>
          <t>The LLM turned the list of count dictionaries into a NumPy array of their values, which throws away which outcome each count belongs to. Newer NumPy refuses to build an array from lists of different lengths ('inhomogeneous shape'), so run() raises ValueError. The reference returns the list of dictionaries.</t>
        </is>
      </c>
      <c r="H244" s="67" t="n">
        <v>6</v>
      </c>
    </row>
    <row r="245">
      <c r="A245" s="70" t="inlineStr">
        <is>
          <t>Runtime error</t>
        </is>
      </c>
      <c r="B245" s="67" t="inlineStr">
        <is>
          <t>issue_876</t>
        </is>
      </c>
      <c r="C245" s="67" t="inlineStr">
        <is>
          <t>1.0.0, 1.0.1, 1.0.2, 1.1.0, 1.1.1, 1.1.2, 1.2.0, 1.2.1, 1.2.2, 1.2.4, 2.0.0, 2.2.0, 2.3.0, 2.4.0, 2.5.0</t>
        </is>
      </c>
      <c r="D245" s="67" t="n">
        <v>15</v>
      </c>
      <c r="E245" s="67" t="inlineStr">
        <is>
          <t>ModuleNotFoundError</t>
        </is>
      </c>
      <c r="F245" s="67" t="inlineStr">
        <is>
          <t>ModuleNotFoundError: No module named 'qiskit.ibm_runtime'</t>
        </is>
      </c>
      <c r="G245" s="67" t="inlineStr">
        <is>
          <t>The LLM changed the import from qiskit_ibm_runtime to qiskit.ibm_runtime, which does not exist. With the import corrected it still crashes: it simulates the 127-qubit FakeBrisbane layout on an ideal statevector simulator (out of memory) and never adds the noise model the question is about. (These environments do not ship qiskit-ibm-runtime, so this case runs with task-local Runtime 0.23.0 / 0.30.0 / 0.40.1 as in the team's batch06 validation.)</t>
        </is>
      </c>
      <c r="H245" s="67" t="n">
        <v>6</v>
      </c>
    </row>
    <row r="246">
      <c r="A246" s="70" t="inlineStr">
        <is>
          <t>Runtime error</t>
        </is>
      </c>
      <c r="B246" s="67" t="inlineStr">
        <is>
          <t>issue_877</t>
        </is>
      </c>
      <c r="C246" s="67" t="inlineStr">
        <is>
          <t>0.45.0, 0.45.1, 0.45.2, 0.45.3, 0.46.0, 0.46.1, 0.46.2, 0.46.3</t>
        </is>
      </c>
      <c r="D246" s="67" t="n">
        <v>8</v>
      </c>
      <c r="E246" s="67" t="inlineStr">
        <is>
          <t>KeyError</t>
        </is>
      </c>
      <c r="F246" s="67" t="inlineStr">
        <is>
          <t>KeyError: 'backend'</t>
        </is>
      </c>
      <c r="G246" s="67" t="inlineStr">
        <is>
          <t>The LLM replaced the undefined backend with an empty NoiseModel(), which has no noise at all, and removed the backend variable, so the test raises KeyError: 'backend'. The question asks for a real-device noise model; the reference builds it from the 27-qubit FakeKolkata.</t>
        </is>
      </c>
      <c r="H246" s="67" t="n">
        <v>6</v>
      </c>
    </row>
    <row r="247">
      <c r="A247" s="70" t="inlineStr">
        <is>
          <t>Runtime error</t>
        </is>
      </c>
      <c r="B247" s="67" t="inlineStr">
        <is>
          <t>issue_889</t>
        </is>
      </c>
      <c r="C247" s="67" t="inlineStr">
        <is>
          <t>0.25.0, 0.25.1, 0.25.2, 0.25.3</t>
        </is>
      </c>
      <c r="D247" s="67" t="n">
        <v>4</v>
      </c>
      <c r="E247" s="67" t="inlineStr">
        <is>
          <t>ExtensionError</t>
        </is>
      </c>
      <c r="F247" s="67" t="inlineStr">
        <is>
          <t>qiskit.extensions.exceptions.ExtensionError: 'Input matrix is not unitary.'</t>
        </is>
      </c>
      <c r="G247" s="67" t="inlineStr">
        <is>
          <t>The LLM evolved the Hamiltonian with (-time_ * H).exp_i(), which has the wrong sign (exp(+iHt)); on Qiskit 0.25 the resulting instruction is rejected as non-unitary. The reference uses circ.hamiltonian(H, time_, ...).</t>
        </is>
      </c>
      <c r="H247" s="67" t="n">
        <v>6</v>
      </c>
    </row>
    <row r="248">
      <c r="A248" s="68" t="inlineStr">
        <is>
          <t>Passed on test</t>
        </is>
      </c>
      <c r="B248" s="67" t="inlineStr">
        <is>
          <t>issue_911</t>
        </is>
      </c>
      <c r="C248" s="67" t="inlineStr">
        <is>
          <t>0.45.0, 0.45.1, 0.45.2, 0.45.3, 0.46.0, 0.46.1, 0.46.2, 0.46.3, 1.0.0, 1.0.1, 1.0.2, 1.1.0, 1.1.1, 1.1.2, 1.2.0, 1.2.1, 1.2.2, 1.2.4, 2.0.0, 2.2.0, 2.3.0, 2.4.0, 2.5.0</t>
        </is>
      </c>
      <c r="D248" s="67" t="n">
        <v>23</v>
      </c>
      <c r="E248" s="67" t="n"/>
      <c r="F248" s="67" t="n"/>
      <c r="G248" s="67" t="inlineStr">
        <is>
          <t>Passed: the LLM looped over every operand and printed each qubit's register and index with qc.find_bit(). The updated test reads the printed indices in any format.</t>
        </is>
      </c>
      <c r="H248" s="67" t="n">
        <v>6</v>
      </c>
    </row>
    <row r="249">
      <c r="A249" s="70" t="inlineStr">
        <is>
          <t>Runtime error</t>
        </is>
      </c>
      <c r="B249" s="67" t="inlineStr">
        <is>
          <t>issue_925</t>
        </is>
      </c>
      <c r="C249" s="67" t="inlineStr">
        <is>
          <t>0.25.0, 0.25.1, 0.25.2, 0.25.3</t>
        </is>
      </c>
      <c r="D249" s="67" t="n">
        <v>4</v>
      </c>
      <c r="E249" s="67" t="inlineStr">
        <is>
          <t>TranspilerError</t>
        </is>
      </c>
      <c r="F249" s="67" t="inlineStr">
        <is>
          <t>qiskit.transpiler.exceptions.TranspilerError: 'Number of qubits (18) in Shor(N=15, a=2) is greater than maximum (14) in the coupling_map'</t>
        </is>
      </c>
      <c r="G249" s="67" t="inlineStr">
        <is>
          <t>The LLM only added a comment saying to use a simulator with enough qubits; the code still runs Shor on FakeMelbourne, so the 18-qubit circuit does not fit its 14-qubit coupling map, exactly like the buggy code. The reference switches to Aer's qasm_simulator.</t>
        </is>
      </c>
      <c r="H249" s="67" t="n">
        <v>6</v>
      </c>
    </row>
    <row r="250">
      <c r="A250" s="68" t="inlineStr">
        <is>
          <t>Passed on test</t>
        </is>
      </c>
      <c r="B250" s="67" t="inlineStr">
        <is>
          <t>issue_944</t>
        </is>
      </c>
      <c r="C250" s="67" t="inlineStr">
        <is>
          <t>0.25.0, 0.25.1, 0.25.2, 0.25.3, 0.45.0, 0.45.1, 0.45.2, 0.45.3, 0.46.0, 0.46.1, 0.46.2, 0.46.3</t>
        </is>
      </c>
      <c r="D250" s="67" t="n">
        <v>12</v>
      </c>
      <c r="E250" s="67" t="n"/>
      <c r="F250" s="67" t="n"/>
      <c r="G250" s="67" t="inlineStr">
        <is>
          <t>Passed: the LLM built |+&gt;&lt;+| as the opflow operator (I + X) / 2 and passed it to NumPyEigensolver, which gives the right projector and eigenvalues. The updated test accepts either operator type.</t>
        </is>
      </c>
      <c r="H250" s="67" t="n">
        <v>6</v>
      </c>
    </row>
    <row r="251">
      <c r="A251" s="68" t="inlineStr">
        <is>
          <t>Passed on test</t>
        </is>
      </c>
      <c r="B251" s="67" t="inlineStr">
        <is>
          <t>issue_989</t>
        </is>
      </c>
      <c r="C251" s="67" t="inlineStr">
        <is>
          <t>1.0.0, 1.0.1, 1.0.2, 1.1.0, 1.1.1, 1.1.2, 1.2.0, 1.2.1, 1.2.2, 1.2.4, 2.0.0, 2.2.0, 2.3.0, 2.4.0, 2.5.0</t>
        </is>
      </c>
      <c r="D251" s="67" t="n">
        <v>15</v>
      </c>
      <c r="E251" s="67" t="n"/>
      <c r="F251" s="67" t="n"/>
      <c r="G251" s="67" t="inlineStr">
        <is>
          <t>The LLM changed the import to from qiskit_aer import Aer, the same fix as the reference.</t>
        </is>
      </c>
      <c r="H251" s="67" t="n">
        <v>7</v>
      </c>
    </row>
    <row r="252">
      <c r="A252" s="69" t="inlineStr">
        <is>
          <t>Failed on test</t>
        </is>
      </c>
      <c r="B252" s="67" t="inlineStr">
        <is>
          <t>issue_950</t>
        </is>
      </c>
      <c r="C252" s="67" t="inlineStr">
        <is>
          <t>0.25.0, 0.25.1, 0.25.2, 0.25.3, 0.45.0, 0.45.1, 0.45.2, 0.45.3, 0.46.0, 0.46.1, 0.46.2, 0.46.3, 1.0.0, 1.0.1, 1.0.2, 1.1.0, 1.1.1, 1.1.2, 1.2.0, 1.2.1, 1.2.2, 1.2.4, 2.0.0, 2.2.0, 2.3.0, 2.4.0, 2.5.0</t>
        </is>
      </c>
      <c r="D252" s="67" t="n">
        <v>27</v>
      </c>
      <c r="E252" s="67" t="inlineStr">
        <is>
          <t>AssertionError</t>
        </is>
      </c>
      <c r="F252" s="67" t="inlineStr">
        <is>
          <t>AssertionError: Not equal to tolerance rtol=1e-07, atol=1e-12 | AssertionError: Not equal to tolerance rtol=1e-07, atol=1e-12 Requested Z on qubits 3..7, not on qubits 2..6 Mismatched elements: 1024 / 1024 (100%) Max absolute difference: 1. Max relat</t>
        </is>
      </c>
      <c r="G252" s="67" t="inlineStr">
        <is>
          <t>The LLM made the identity N qubits wide, which removes the size mismatch, but kept Operator._add(), which adds the operators instead of placing Z on qubits 3 to 7. The result is I + Z...Z, with 2 and 0 on the diagonal instead of +1 and -1. The reference builds the full Pauli label and calls Operator.from_label once.</t>
        </is>
      </c>
      <c r="H252" s="67" t="n">
        <v>7</v>
      </c>
    </row>
    <row r="253">
      <c r="A253" s="69" t="inlineStr">
        <is>
          <t>Failed on test</t>
        </is>
      </c>
      <c r="B253" s="67" t="inlineStr">
        <is>
          <t>issue_958</t>
        </is>
      </c>
      <c r="C253" s="67" t="inlineStr">
        <is>
          <t>0.45.0, 0.45.1, 0.45.2, 0.45.3, 0.46.0, 0.46.1, 0.46.2, 0.46.3, 1.0.0, 1.0.1, 1.0.2, 1.1.0, 1.1.1, 1.1.2, 1.2.0, 1.2.1, 1.2.2, 1.2.4, 2.0.0, 2.2.0, 2.3.0, 2.4.0, 2.5.0</t>
        </is>
      </c>
      <c r="D253" s="67" t="n">
        <v>23</v>
      </c>
      <c r="E253" s="67" t="inlineStr">
        <is>
          <t>AssertionError</t>
        </is>
      </c>
      <c r="F253" s="67" t="inlineStr">
        <is>
          <t>AssertionError: Not equal to tolerance rtol=1e-07, atol=1e-12</t>
        </is>
      </c>
      <c r="G253" s="67" t="inlineStr">
        <is>
          <t>The LLM replaced -1 * gate1 with gate1([0, 1]).inverse(), which applies H to both qubits a second time. H twice is the identity, so the circuit is I instead of -(H x H) and the -1 phase never appears. The test also expects the reference's second circuit qc2, but the LLM fix already fails the check on qc. The reference adds a GlobalPhaseGate(pi).</t>
        </is>
      </c>
      <c r="H253" s="67" t="n">
        <v>7</v>
      </c>
    </row>
    <row r="254">
      <c r="A254" s="69" t="inlineStr">
        <is>
          <t>Failed on test</t>
        </is>
      </c>
      <c r="B254" s="67" t="inlineStr">
        <is>
          <t>issue_985</t>
        </is>
      </c>
      <c r="C254" s="67" t="inlineStr">
        <is>
          <t>0.45.0, 0.45.1, 0.45.2, 0.45.3, 0.46.0, 0.46.1, 0.46.2, 0.46.3, 1.0.0, 1.0.1, 1.0.2, 1.1.0, 1.1.1, 1.1.2, 1.2.0, 1.2.1, 1.2.2, 1.2.4, 2.0.0, 2.2.0, 2.3.0, 2.4.0, 2.5.0</t>
        </is>
      </c>
      <c r="D254" s="67" t="n">
        <v>23</v>
      </c>
      <c r="E254" s="67" t="inlineStr">
        <is>
          <t>AssertionError</t>
        </is>
      </c>
      <c r="F254" s="67" t="inlineStr">
        <is>
          <t>AssertionError: Not equal to tolerance rtol=1e-07, atol=1e-12</t>
        </is>
      </c>
      <c r="G254" s="67" t="inlineStr">
        <is>
          <t>The LLM replaced u1 with rz and set qc.global_phase = lam / 2, so the transpiled circuit uses only rx/ry/rz and equals U1(0.5) exactly, phase included, as the question asks. The current test requires the phase to be missing (determinant 1), following the answer's point that rotations alone cannot carry it. The team's earlier test_before.py required the exact phase: the LLM fix passes it and the reference fails it (checked on 0.45.0, 1.2.4 and 2.5.0).</t>
        </is>
      </c>
      <c r="H254" s="67" t="n">
        <v>7</v>
      </c>
    </row>
    <row r="255">
      <c r="A255" s="68" t="inlineStr">
        <is>
          <t>Passed on test</t>
        </is>
      </c>
      <c r="B255" s="67" t="inlineStr">
        <is>
          <t>issue_977</t>
        </is>
      </c>
      <c r="C255" s="67" t="inlineStr">
        <is>
          <t>0.45.0, 0.45.1, 0.45.2, 0.45.3, 0.46.0, 0.46.1, 0.46.2, 0.46.3, 1.0.0, 1.0.1, 1.0.2, 1.1.0, 1.1.1, 1.1.2, 1.2.0, 1.2.1, 1.2.2, 1.2.4, 2.0.0, 2.2.0, 2.3.0, 2.4.0, 2.5.0</t>
        </is>
      </c>
      <c r="D255" s="67" t="n">
        <v>23</v>
      </c>
      <c r="E255" s="67" t="n"/>
      <c r="F255" s="67" t="n"/>
      <c r="G255" s="67" t="inlineStr">
        <is>
          <t>Passed: the LLM replaced SparsePauliOp(Hamiltonian).to_operator() with SparsePauliOp.from_operator(Hamiltonian), the same call as the reference, and kept the variable name H_op. The updated test accepts any variable name.</t>
        </is>
      </c>
      <c r="H255" s="67" t="n">
        <v>7</v>
      </c>
    </row>
    <row r="256">
      <c r="A256" s="68" t="inlineStr">
        <is>
          <t>Passed on test</t>
        </is>
      </c>
      <c r="B256" s="67" t="inlineStr">
        <is>
          <t>issue_994</t>
        </is>
      </c>
      <c r="C256" s="67" t="inlineStr">
        <is>
          <t>0.25.0, 0.25.1, 0.25.2, 0.25.3</t>
        </is>
      </c>
      <c r="D256" s="67" t="n">
        <v>4</v>
      </c>
      <c r="E256" s="67" t="n"/>
      <c r="F256" s="67" t="n"/>
      <c r="G256" s="67" t="inlineStr">
        <is>
          <t>Passed: the LLM added qc.save_statevector() so that get_statevector() works on the QasmSimulator. The updated test takes the statevector from either a variable or get_statevector().</t>
        </is>
      </c>
      <c r="H256" s="67" t="n">
        <v>7</v>
      </c>
    </row>
    <row r="257">
      <c r="A257" s="68" t="inlineStr">
        <is>
          <t>Passed on test</t>
        </is>
      </c>
      <c r="B257" s="67" t="inlineStr">
        <is>
          <t>issue_1035</t>
        </is>
      </c>
      <c r="C257" s="67" t="inlineStr">
        <is>
          <t>0.45.0, 0.45.1, 0.45.2, 0.45.3, 0.46.0, 0.46.1, 0.46.2, 0.46.3</t>
        </is>
      </c>
      <c r="D257" s="67" t="n">
        <v>8</v>
      </c>
      <c r="E257" s="67" t="n"/>
      <c r="F257" s="67" t="n"/>
      <c r="G257" s="67" t="inlineStr">
        <is>
          <t>Passed: the LLM replaced the IBM Runtime service and session with Aer's local Estimator and the FakeManila noise model, which runs offline. The updated test accepts the result without a variable named result.</t>
        </is>
      </c>
      <c r="H257" s="67" t="n">
        <v>7</v>
      </c>
    </row>
    <row r="258">
      <c r="A258" s="68" t="inlineStr">
        <is>
          <t>Passed on test</t>
        </is>
      </c>
      <c r="B258" s="67" t="inlineStr">
        <is>
          <t>issue_772</t>
        </is>
      </c>
      <c r="C258" s="67" t="inlineStr">
        <is>
          <t>0.25.0, 0.25.1, 0.25.2, 0.25.3, 0.45.0, 0.45.1, 0.45.2, 0.45.3, 0.46.0, 0.46.1, 0.46.2, 0.46.3</t>
        </is>
      </c>
      <c r="D258" s="67" t="n">
        <v>12</v>
      </c>
      <c r="E258" s="67" t="n"/>
      <c r="F258" s="67" t="n"/>
      <c r="G258" s="67" t="inlineStr">
        <is>
          <t>The LLM passed the two register slices to append() as one combined qubit list (qr1[1:2] + qr2[0:3]), the same change the reference makes.</t>
        </is>
      </c>
      <c r="H258" s="67" t="n">
        <v>8</v>
      </c>
    </row>
    <row r="259">
      <c r="A259" s="68" t="inlineStr">
        <is>
          <t>Passed on test</t>
        </is>
      </c>
      <c r="B259" s="67" t="inlineStr">
        <is>
          <t>issue_901</t>
        </is>
      </c>
      <c r="C259" s="67" t="inlineStr">
        <is>
          <t>0.45.0, 0.45.1, 0.45.2, 0.45.3, 0.46.0, 0.46.1, 0.46.2, 0.46.3, 1.0.0, 1.0.1, 1.0.2, 1.1.0, 1.1.1, 1.1.2, 1.2.0, 1.2.1, 1.2.2, 1.2.4, 2.0.0</t>
        </is>
      </c>
      <c r="D259" s="67" t="n">
        <v>19</v>
      </c>
      <c r="E259" s="67" t="n"/>
      <c r="F259" s="67" t="n"/>
      <c r="G259" s="67" t="inlineStr">
        <is>
          <t>The LLM replaced qc.s(0) with two T gates, which is exactly S, so the circuit transpiles into the H, T, CX basis. The reference keeps S and uses the Solovay-Kitaev pass instead.</t>
        </is>
      </c>
      <c r="H259" s="67" t="n">
        <v>8</v>
      </c>
    </row>
    <row r="260">
      <c r="A260" s="70" t="inlineStr">
        <is>
          <t>Runtime error</t>
        </is>
      </c>
      <c r="B260" s="67" t="inlineStr">
        <is>
          <t>issue_790</t>
        </is>
      </c>
      <c r="C260" s="67" t="inlineStr">
        <is>
          <t>0.45.0, 0.45.1, 0.45.2, 0.45.3, 0.46.0, 0.46.1, 0.46.2, 0.46.3, 1.0.0, 1.0.1, 1.0.2, 1.1.0, 1.1.1, 1.1.2, 1.2.0, 1.2.1, 1.2.2, 1.2.4, 2.0.0, 2.2.0, 2.3.0, 2.4.0, 2.5.0</t>
        </is>
      </c>
      <c r="D260" s="67" t="n">
        <v>23</v>
      </c>
      <c r="E260" s="67" t="inlineStr">
        <is>
          <t>TypeError</t>
        </is>
      </c>
      <c r="F260" s="67" t="inlineStr">
        <is>
          <t>TypeError: unsupported operand type(s) for -: 'Pauli' and 'Pauli'</t>
        </is>
      </c>
      <c r="G260" s="67" t="inlineStr">
        <is>
          <t>The LLM moved SuzukiTrotter.synthesize() onto each PauliEvolutionGate (the error the buggy code's comment points to) but kept (U * Z ^ Z) - (J * X ^ X) - (J * Y ^ Y); subtracting Pauli objects raises TypeError, exactly like the buggy code. The team's updated reference (6 Oct 2026) builds the same Hamiltonian with SparsePauliOp.from_list.</t>
        </is>
      </c>
      <c r="H260" s="67" t="n">
        <v>8</v>
      </c>
    </row>
    <row r="261">
      <c r="A261" s="70" t="inlineStr">
        <is>
          <t>Runtime error</t>
        </is>
      </c>
      <c r="B261" s="67" t="inlineStr">
        <is>
          <t>issue_827</t>
        </is>
      </c>
      <c r="C261" s="67" t="inlineStr">
        <is>
          <t>0.25.0, 0.25.1, 0.25.2, 0.25.3, 0.45.0, 0.45.1, 0.45.2, 0.45.3, 0.46.0, 0.46.1, 0.46.2, 0.46.3</t>
        </is>
      </c>
      <c r="D261" s="67" t="n">
        <v>12</v>
      </c>
      <c r="E261" s="67" t="inlineStr">
        <is>
          <t>ModuleNotFoundError</t>
        </is>
      </c>
      <c r="F261" s="67" t="inlineStr">
        <is>
          <t>ModuleNotFoundError: No module named 'qiskit.backends'</t>
        </is>
      </c>
      <c r="G261" s="67" t="inlineStr">
        <is>
          <t>The LLM replaced compile() with transpile() + assemble(), the reference's fix, but kept from qiskit.backends.jobstatus import JOB_FINAL_STATES; qiskit.backends no longer exists. With only that import changed to qiskit.providers.jobstatus the fix passes (checked on 0.25.0, 0.45.0 and 0.46.3).</t>
        </is>
      </c>
      <c r="H261" s="67" t="n">
        <v>8</v>
      </c>
    </row>
    <row r="262">
      <c r="A262" s="70" t="inlineStr">
        <is>
          <t>Runtime error</t>
        </is>
      </c>
      <c r="B262" s="67" t="inlineStr">
        <is>
          <t>issue_858</t>
        </is>
      </c>
      <c r="C262" s="67" t="inlineStr">
        <is>
          <t>0.45.0, 0.45.1, 0.45.2, 0.45.3, 0.46.0, 0.46.1, 0.46.2, 0.46.3</t>
        </is>
      </c>
      <c r="D262" s="67" t="n">
        <v>8</v>
      </c>
      <c r="E262" s="67" t="inlineStr">
        <is>
          <t>OfflineAccessDenied</t>
        </is>
      </c>
      <c r="F262" s="67" t="inlineStr">
        <is>
          <t>OfflineAccessDenied: Offline snapshot fixture forbids IBMQ.load_account</t>
        </is>
      </c>
      <c r="G262" s="67" t="inlineStr">
        <is>
          <t>The LLM switched to the FakeOslo snapshot but kept the unused provider = IBMQ.load_account(), which needs an IBM account online; the offline test blocks it. With that line removed it still crashes: FakeOslo has no properties() method (checked on 0.45.0 and 0.46.3). The reference reads backend.qubit_properties().</t>
        </is>
      </c>
      <c r="H262" s="67" t="n">
        <v>8</v>
      </c>
    </row>
    <row r="263">
      <c r="A263" s="70" t="inlineStr">
        <is>
          <t>Runtime error</t>
        </is>
      </c>
      <c r="B263" s="67" t="inlineStr">
        <is>
          <t>issue_921</t>
        </is>
      </c>
      <c r="C263" s="67" t="inlineStr">
        <is>
          <t>0.25.0, 0.25.1, 0.25.2, 0.25.3</t>
        </is>
      </c>
      <c r="D263" s="67" t="n">
        <v>4</v>
      </c>
      <c r="E263" s="67" t="inlineStr">
        <is>
          <t>ImportError</t>
        </is>
      </c>
      <c r="F263" s="67" t="inlineStr">
        <is>
          <t>ImportError: cannot import name 'run_algorithm' from 'qiskit.aqua' (C:\qiskit_envs\q0250\lib\site-packages\qiskit\aqua\__init__.py)</t>
        </is>
      </c>
      <c r="G263" s="67" t="inlineStr">
        <is>
          <t>The LLM returned the buggy code unchanged, without the required '# NO BUG:' line, so run_algorithm is still missing from qiskit.aqua (ImportError), exactly like the buggy code. The reference calls ExactEigensolver(qubitOp, k=1).run().</t>
        </is>
      </c>
      <c r="H263" s="67" t="n">
        <v>8</v>
      </c>
    </row>
  </sheetData>
  <conditionalFormatting sqref="B103:B175">
    <cfRule type="cellIs" priority="1" operator="equal" dxfId="2">
      <formula>"YES"</formula>
    </cfRule>
    <cfRule type="cellIs" priority="2" operator="equal" dxfId="3">
      <formula>"NO"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4"/>
  <cols>
    <col width="14" customWidth="1" style="35" min="1" max="1"/>
    <col width="18" customWidth="1" style="35" min="2" max="2"/>
    <col width="11" customWidth="1" style="35" min="3" max="3"/>
    <col width="45" customWidth="1" style="35" min="4" max="4"/>
    <col width="50" customWidth="1" style="35" min="5" max="5"/>
    <col width="55" customWidth="1" style="35" min="6" max="6"/>
    <col width="50" customWidth="1" style="35" min="7" max="7"/>
    <col width="14" customWidth="1" style="35" min="8" max="8"/>
    <col width="12" customWidth="1" style="35" min="9" max="9"/>
  </cols>
  <sheetData>
    <row r="1" ht="17.4" customHeight="1" s="35">
      <c r="A1" s="6" t="inlineStr">
        <is>
          <t>Test Review: does the test ask for more than the question / buggy code?</t>
        </is>
      </c>
    </row>
    <row r="2" ht="150" customHeight="1" s="35">
      <c r="A2" s="36" t="inlineStr">
        <is>
          <t>Reviewed against original_question.txt, buggy.py and fixed.py for each case. All 10 tests target the right bug; only the 5 below check more than the question asks. On 1 Oct 2026 the team pushed updated tests for issue_021_se (test-new.py), issue_058_se and issue_061 (test_new.py); results now use those. The other 5 (issue_009, issue_018_se, issue_032_se, issue_036, issue_072) check what the question asks. Batch 2 (issue_155 to issue_315): all 10 tests also target the right bug. issue_189 is over-specific; issue_174, issue_233, issue_295 and issue_315 check extra but fair things (rows 10-14). The other 5 (issue_155, issue_157, issue_225, issue_261, issue_280) check what the question asks. Batch 3 (issue_344 to issue_497, rows 15-19): all 10 tests target the right bug. issue_453 is over-specific and issue_415 is over-specific in its last check; issue_344, issue_369 and issue_436 check extra but fair things. The other 5 (issue_362, issue_396, issue_443, issue_468, issue_497) check what the question asks. Batch 4 (issue_504 to issue_662, rows 20-23): all 10 tests target the right bug. issue_622 is over-specific; issue_565, issue_596 and issue_635 check extra but fair things. The other 6 (issue_504, issue_505, issue_595, issue_600, issue_624, issue_662) check what the question asks. Batch 5 (issue_663 to issue_795, rows 24-27): all 10 tests target the right bug. issue_671 and issue_775 are over-specific; issue_747 is borderline; issue_769 requires the answer's function name. The other 6 (issue_663, issue_727, issue_742, issue_750, issue_773, issue_795) check what the question asks. Batch 6 (issue_803 to issue_944, rows 28-32): all 10 tests target the right bug. issue_810, issue_886, issue_911 and issue_944 are over-specific; issue_877 pins the reference's backend size. The other 5 (issue_803, issue_816, issue_876, issue_889, issue_925) check what the question asks. Batch 7 (issue_950 to issue_1035, rows 33-37): all 7 tests target the right bug. issue_977, issue_994 and issue_1035 are over-specific; issue_985 is debatable and issue_958 asks for an extra circuit. The other 2 (issue_950, issue_989) check what the question asks. Batch 8 (issue_772 to issue_921): all 6 tests check what the question asks.</t>
        </is>
      </c>
    </row>
    <row r="3"/>
    <row r="4" ht="27.6" customHeight="1" s="35">
      <c r="A4" s="20" t="inlineStr">
        <is>
          <t>Case</t>
        </is>
      </c>
      <c r="B4" s="20" t="inlineStr">
        <is>
          <t>Verdict</t>
        </is>
      </c>
      <c r="C4" s="20" t="inlineStr">
        <is>
          <t>Asks too much?</t>
        </is>
      </c>
      <c r="D4" s="20" t="inlineStr">
        <is>
          <t>What the question / buggy code asks</t>
        </is>
      </c>
      <c r="E4" s="20" t="inlineStr">
        <is>
          <t>What the test checks</t>
        </is>
      </c>
      <c r="F4" s="20" t="inlineStr">
        <is>
          <t>Where the test goes beyond the question</t>
        </is>
      </c>
      <c r="G4" s="20" t="inlineStr">
        <is>
          <t>Effect on the LLM result</t>
        </is>
      </c>
      <c r="H4" s="20" t="inlineStr">
        <is>
          <t>LLM passed (versions)</t>
        </is>
      </c>
      <c r="I4" s="20" t="inlineStr">
        <is>
          <t>LLM outcome</t>
        </is>
      </c>
    </row>
    <row r="5" ht="69" customHeight="1" s="35">
      <c r="A5" s="21" t="inlineStr">
        <is>
          <t>issue_061</t>
        </is>
      </c>
      <c r="B5" s="26" t="inlineStr">
        <is>
          <t>Over-specific in old test.py; fixed in test_new.py</t>
        </is>
      </c>
      <c r="C5" s="27" t="inlineStr">
        <is>
          <t>Old: Yes / New: No</t>
        </is>
      </c>
      <c r="D5" s="24" t="inlineStr">
        <is>
          <t>Replace the deprecated qbit.register / qbit.index with a non-deprecated API so the DeprecationWarning goes away. The buggy code prints the register first, then the index.</t>
        </is>
      </c>
      <c r="E5" s="24" t="inlineStr">
        <is>
          <t>OLD test.py: patched print() and required exactly [(0,), ((qr, 0),), (0,), ((qr, 0),)]. NEW test_new.py (bit_location_oracle): accepts register + register-local index, optionally with the circuit index, in any order or print format; reruns the script with nonzero bits and an extra leading register so hard-coded zeros, wrong registers and circuit/local index mix-ups still fail; still requires no 'Back-references' warning and the original h + cx circuit.</t>
        </is>
      </c>
      <c r="F5" s="24" t="inlineStr">
        <is>
          <t>The old test hard-coded the reference fix's exact print order and values, rejecting any other valid non-deprecated fix. The new test removes that restriction while making the semantic checks stronger, so it no longer asks for more than the question.</t>
        </is>
      </c>
      <c r="G5" s="24" t="inlineStr">
        <is>
          <t>Old test.py: Failed on test 0/15, only because of the print format. New test_new.py: Passed on test 15/15, confirming the LLM's find_bit(...).registers[0] fix was correct.</t>
        </is>
      </c>
      <c r="H5" s="25">
        <f>COUNTIF(Summary!$B$9:$AB$9,"Passed on test")&amp;" / "&amp;(COUNTIF(Summary!$B$9:$AB$9,"Passed on test")+COUNTIF(Summary!$B$9:$AB$9,"Failed on test")+COUNTIF(Summary!$B$9:$AB$9,"Runtime error"))</f>
        <v/>
      </c>
      <c r="I5" s="25">
        <f>IF(COUNTIF(Summary!$B$9:$AB$9,"Passed on test")=(COUNTIF(Summary!$B$9:$AB$9,"Passed on test")+COUNTIF(Summary!$B$9:$AB$9,"Failed on test")+COUNTIF(Summary!$B$9:$AB$9,"Runtime error")),"Passed on test",IF(COUNTIF(Summary!$B$9:$AB$9,"Runtime error")&gt;0,"Runtime error","Failed on test"))</f>
        <v/>
      </c>
    </row>
    <row r="6" ht="82.8" customHeight="1" s="35">
      <c r="A6" s="21" t="inlineStr">
        <is>
          <t>issue_096</t>
        </is>
      </c>
      <c r="B6" s="22" t="inlineStr">
        <is>
          <t>Over-specific</t>
        </is>
      </c>
      <c r="C6" s="23" t="inlineStr">
        <is>
          <t>Yes</t>
        </is>
      </c>
      <c r="D6" s="24" t="inlineStr">
        <is>
          <t>The question: settings.conf and ipython_kernel_config.py are missing; how do I fix this? The answer: create settings.conf yourself and try 'ipython profile create'. buggy.py only opens ~/.qiskit/settings.conf and never mentions IPython.</t>
        </is>
      </c>
      <c r="E6" s="24" t="inlineStr">
        <is>
          <t>Three scenarios (clean home, existing settings, existing profile folder). Requires settings.conf content to be exactly '[default]\n', ns['contents'] to equal that, os.system to be called with exactly 'ipython profile create', and ipython_kernel_config.py to exist afterwards.</t>
        </is>
      </c>
      <c r="F6" s="24" t="inlineStr">
        <is>
          <t>The exact file content '[default]\n' is never specified (an empty file is also valid). The exact shell command via os.system is never specified (subprocess.run or the IPython API would do the same job and are rejected). IPython profile creation is not in buggy.py at all, so the fix has to add behaviour the code never had.</t>
        </is>
      </c>
      <c r="G6" s="24" t="inlineStr">
        <is>
          <t>The LLM created an empty settings.conf and did not handle IPython, so it fails on all 27 versions. The empty file would pass a fair test for the Qiskit half; the missing IPython step would still fail a fair test, since the question does ask for it.</t>
        </is>
      </c>
      <c r="H6" s="25">
        <f>COUNTIF(Summary!$B$11:$AB$11,"Passed on test")&amp;" / "&amp;(COUNTIF(Summary!$B$11:$AB$11,"Passed on test")+COUNTIF(Summary!$B$11:$AB$11,"Failed on test")+COUNTIF(Summary!$B$11:$AB$11,"Runtime error"))</f>
        <v/>
      </c>
      <c r="I6" s="25">
        <f>IF(COUNTIF(Summary!$B$11:$AB$11,"Passed on test")=(COUNTIF(Summary!$B$11:$AB$11,"Passed on test")+COUNTIF(Summary!$B$11:$AB$11,"Failed on test")+COUNTIF(Summary!$B$11:$AB$11,"Runtime error")),"Passed on test",IF(COUNTIF(Summary!$B$11:$AB$11,"Runtime error")&gt;0,"Runtime error","Failed on test"))</f>
        <v/>
      </c>
    </row>
    <row r="7" ht="55.2" customHeight="1" s="35">
      <c r="A7" s="21" t="inlineStr">
        <is>
          <t>issue_021_se</t>
        </is>
      </c>
      <c r="B7" s="26" t="inlineStr">
        <is>
          <t>Extra but reasonable</t>
        </is>
      </c>
      <c r="C7" s="27" t="inlineStr">
        <is>
          <t>No</t>
        </is>
      </c>
      <c r="D7" s="24" t="inlineStr">
        <is>
          <t>The custom CNOTNOT gate fails to execute on the simulator ('invalid instructions'); make the circuit run.</t>
        </is>
      </c>
      <c r="E7" s="24" t="inlineStr">
        <is>
          <t>The full 8-amplitude state must equal the GHZ state (|000&gt;+|111&gt;)/sqrt(2), and the cnotnot() gate matrix is checked column by column. NEW test-new.py (simulation_oracle) also watches the real Aer run: every backend execution must succeed and every simulated or exported state (statevector / v / result / job) must match.</t>
        </is>
      </c>
      <c r="F7" s="24" t="inlineStr">
        <is>
          <t>It checks the full state vector and the gate matrix instead of the printed final_state = [result[0], result[1]] slice. That is consistent with what the code actually computes (the slice is not a real one-qubit state), so it is fair.</t>
        </is>
      </c>
      <c r="G7" s="24" t="inlineStr">
        <is>
          <t>Same on old and new tests: Runtime error 0/12. The LLM's single decompose() leaves disentangler_dg (0.25.x) or state_preparation (0.45/0.46) in the circuit, so the simulator rejects it before any check runs.</t>
        </is>
      </c>
      <c r="H7" s="25">
        <f>COUNTIF(Summary!$B$4:$AB$4,"Passed on test")&amp;" / "&amp;(COUNTIF(Summary!$B$4:$AB$4,"Passed on test")+COUNTIF(Summary!$B$4:$AB$4,"Failed on test")+COUNTIF(Summary!$B$4:$AB$4,"Runtime error"))</f>
        <v/>
      </c>
      <c r="I7" s="25">
        <f>IF(COUNTIF(Summary!$B$4:$AB$4,"Passed on test")=(COUNTIF(Summary!$B$4:$AB$4,"Passed on test")+COUNTIF(Summary!$B$4:$AB$4,"Failed on test")+COUNTIF(Summary!$B$4:$AB$4,"Runtime error")),"Passed on test",IF(COUNTIF(Summary!$B$4:$AB$4,"Runtime error")&gt;0,"Runtime error","Failed on test"))</f>
        <v/>
      </c>
    </row>
    <row r="8" ht="41.4" customHeight="1" s="35">
      <c r="A8" s="21" t="inlineStr">
        <is>
          <t>issue_034</t>
        </is>
      </c>
      <c r="B8" s="26" t="inlineStr">
        <is>
          <t>Extra but reasonable</t>
        </is>
      </c>
      <c r="C8" s="27" t="inlineStr">
        <is>
          <t>No</t>
        </is>
      </c>
      <c r="D8" s="24" t="inlineStr">
        <is>
          <t>'from qiskit import Aer' fails (Aer moved to the qiskit_aer package); fix the import.</t>
        </is>
      </c>
      <c r="E8" s="24" t="inlineStr">
        <is>
          <t>Checks the H + measure circuit, the 50/50 probabilities, and actually runs backend.run(qc, shots=2048) expecting roughly 50/50 counts.</t>
        </is>
      </c>
      <c r="F8" s="24" t="inlineStr">
        <is>
          <t>The question is only about the import error, but running the backend proves the imported Aer works. A reasonable extension.</t>
        </is>
      </c>
      <c r="G8" s="24" t="inlineStr">
        <is>
          <t>None. The LLM passed on all 15 versions.</t>
        </is>
      </c>
      <c r="H8" s="25">
        <f>COUNTIF(Summary!$B$6:$AB$6,"Passed on test")&amp;" / "&amp;(COUNTIF(Summary!$B$6:$AB$6,"Passed on test")+COUNTIF(Summary!$B$6:$AB$6,"Failed on test")+COUNTIF(Summary!$B$6:$AB$6,"Runtime error"))</f>
        <v/>
      </c>
      <c r="I8" s="25">
        <f>IF(COUNTIF(Summary!$B$6:$AB$6,"Passed on test")=(COUNTIF(Summary!$B$6:$AB$6,"Passed on test")+COUNTIF(Summary!$B$6:$AB$6,"Failed on test")+COUNTIF(Summary!$B$6:$AB$6,"Runtime error")),"Passed on test",IF(COUNTIF(Summary!$B$6:$AB$6,"Runtime error")&gt;0,"Runtime error","Failed on test"))</f>
        <v/>
      </c>
    </row>
    <row r="9" ht="41.4" customHeight="1" s="35">
      <c r="A9" s="21" t="inlineStr">
        <is>
          <t>issue_058_se</t>
        </is>
      </c>
      <c r="B9" s="26" t="inlineStr">
        <is>
          <t>Extra but reasonable</t>
        </is>
      </c>
      <c r="C9" s="27" t="inlineStr">
        <is>
          <t>No</t>
        </is>
      </c>
      <c r="D9" s="24" t="inlineStr">
        <is>
          <t>The Grover diffuser gate fails with 'Circuit contains invalid instructions' on the statevector simulator (missing transpile).</t>
        </is>
      </c>
      <c r="E9" s="24" t="inlineStr">
        <is>
          <t>The simulated state must equal [-0.75, 0.25 x 7] (up to global phase), and diffuser(n) must equal 2|s&gt;&lt;s| - I for n = 2, 3 and 4. NEW test_new.py (simulation_oracle) also requires a successful real Aer run whose result matches.</t>
        </is>
      </c>
      <c r="F9" s="24" t="inlineStr">
        <is>
          <t>The original code only uses diffuser(3); the test also checks n = 2 and 4. Still fair, because diffuser(n) is written for any n.</t>
        </is>
      </c>
      <c r="G9" s="24" t="inlineStr">
        <is>
          <t>None. The LLM passed 12/12 on both the old and the new test.</t>
        </is>
      </c>
      <c r="H9" s="25">
        <f>COUNTIF(Summary!$B$8:$AB$8,"Passed on test")&amp;" / "&amp;(COUNTIF(Summary!$B$8:$AB$8,"Passed on test")+COUNTIF(Summary!$B$8:$AB$8,"Failed on test")+COUNTIF(Summary!$B$8:$AB$8,"Runtime error"))</f>
        <v/>
      </c>
      <c r="I9" s="25">
        <f>IF(COUNTIF(Summary!$B$8:$AB$8,"Passed on test")=(COUNTIF(Summary!$B$8:$AB$8,"Passed on test")+COUNTIF(Summary!$B$8:$AB$8,"Failed on test")+COUNTIF(Summary!$B$8:$AB$8,"Runtime error")),"Passed on test",IF(COUNTIF(Summary!$B$8:$AB$8,"Runtime error")&gt;0,"Runtime error","Failed on test"))</f>
        <v/>
      </c>
    </row>
    <row r="10" ht="82.8" customHeight="1" s="35">
      <c r="A10" s="21" t="inlineStr">
        <is>
          <t>issue_189</t>
        </is>
      </c>
      <c r="B10" s="22" t="inlineStr">
        <is>
          <t>Over-specific in the old test.py; replaced by the updated test, now the case's test.py (9 Oct 2026)</t>
        </is>
      </c>
      <c r="C10" s="23" t="inlineStr">
        <is>
          <t>Yes</t>
        </is>
      </c>
      <c r="D10" s="24" t="inlineStr">
        <is>
          <t>The loop appends a 7-qubit controlled Grover power to a qubit list whose length grows every iteration (7, then 8, then 9 qubits); make each append use one control qubit plus the six target qubits. The question never says which control qubit should get which power.</t>
        </is>
      </c>
      <c r="E10" s="24" t="inlineStr">
        <is>
          <t>qpe must have 9 qubits and 3 instructions; instruction i must act on exactly [i, 3, 4, 5, 6, 7, 8] and equal the controlled Grover operator raised to 2^(2-i).</t>
        </is>
      </c>
      <c r="F10" s="24" t="inlineStr">
        <is>
          <t>It hard-codes the Stack Overflow answer's control order (control i gets power 2^(2-i)). Keeping the asker's own order (first qubit n-1-i, so control k gets 2^k, the usual QPE convention) fixes the qubit-count error just as well, but the test rejects it.</t>
        </is>
      </c>
      <c r="G10" s="24" t="inlineStr">
        <is>
          <t>On 9 Oct 2026 the case's test.py was replaced by an updated version, which drops this requirement and still fails the buggy code and passes the reference on every version. With the updated test the LLM fix passes on every version.</t>
        </is>
      </c>
      <c r="H10" s="25">
        <f>COUNTIF(Summary!$B$15:$AB$15,"Passed on test")&amp;" / "&amp;(COUNTIF(Summary!$B$15:$AB$15,"Passed on test")+COUNTIF(Summary!$B$15:$AB$15,"Failed on test")+COUNTIF(Summary!$B$15:$AB$15,"Runtime error"))</f>
        <v/>
      </c>
      <c r="I10" s="25">
        <f>IF(COUNTIF(Summary!$B$15:$AB$15,"Passed on test")=(COUNTIF(Summary!$B$15:$AB$15,"Passed on test")+COUNTIF(Summary!$B$15:$AB$15,"Failed on test")+COUNTIF(Summary!$B$15:$AB$15,"Runtime error")),"Passed on test",IF(COUNTIF(Summary!$B$15:$AB$15,"Runtime error")&gt;0,"Runtime error","Failed on test"))</f>
        <v/>
      </c>
    </row>
    <row r="11" ht="55.2" customHeight="1" s="35">
      <c r="A11" s="21" t="inlineStr">
        <is>
          <t>issue_174</t>
        </is>
      </c>
      <c r="B11" s="26" t="inlineStr">
        <is>
          <t>Extra but reasonable</t>
        </is>
      </c>
      <c r="C11" s="27" t="inlineStr">
        <is>
          <t>No</t>
        </is>
      </c>
      <c r="D11" s="24" t="inlineStr">
        <is>
          <t>OpenQASM 2.0 rejects if (c[0]==1); how do you condition a gate on the classical register (and run several gates under one if)?</t>
        </is>
      </c>
      <c r="E11" s="24" t="inlineStr">
        <is>
          <t>Parses the QASM and requires 6 CX gates on the original qubit pairs, each conditioned on (c, 1), plus the right counts. It also reruns with an extra X on q0 so the condition is false and the output must be '0'.</t>
        </is>
      </c>
      <c r="F11" s="24" t="inlineStr">
        <is>
          <t>The condition-false run goes beyond the original program, but it only confirms the conditions really work. Fair.</t>
        </is>
      </c>
      <c r="G11" s="24" t="inlineStr">
        <is>
          <t>None. The LLM's QASM change matches the reference, but it put its '# FIX:' comment inside the QASM string, which breaks parsing on all 12 versions. Without that line the fix passes.</t>
        </is>
      </c>
      <c r="H11" s="25">
        <f>COUNTIF(Summary!$B$14:$AB$14,"Passed on test")&amp;" / "&amp;(COUNTIF(Summary!$B$14:$AB$14,"Passed on test")+COUNTIF(Summary!$B$14:$AB$14,"Failed on test")+COUNTIF(Summary!$B$14:$AB$14,"Runtime error"))</f>
        <v/>
      </c>
      <c r="I11" s="25">
        <f>IF(COUNTIF(Summary!$B$14:$AB$14,"Passed on test")=(COUNTIF(Summary!$B$14:$AB$14,"Passed on test")+COUNTIF(Summary!$B$14:$AB$14,"Failed on test")+COUNTIF(Summary!$B$14:$AB$14,"Runtime error")),"Passed on test",IF(COUNTIF(Summary!$B$14:$AB$14,"Runtime error")&gt;0,"Runtime error","Failed on test"))</f>
        <v/>
      </c>
    </row>
    <row r="12" ht="55.2" customHeight="1" s="35">
      <c r="A12" s="21" t="inlineStr">
        <is>
          <t>issue_233</t>
        </is>
      </c>
      <c r="B12" s="26" t="inlineStr">
        <is>
          <t>Extra but reasonable</t>
        </is>
      </c>
      <c r="C12" s="27" t="inlineStr">
        <is>
          <t>No</t>
        </is>
      </c>
      <c r="D12" s="24" t="inlineStr">
        <is>
          <t>num_parameters_settable() does not report the real parameter count after composing two TwoLocal circuits; print the actual number of free parameters (2, then 4).</t>
        </is>
      </c>
      <c r="E12" s="24" t="inlineStr">
        <is>
          <t>The printed values must be exactly 2 then 4, the composed circuit must have 4 parameters, and binding each parameter to pi in turn must give the expected 2-qubit state.</t>
        </is>
      </c>
      <c r="F12" s="24" t="inlineStr">
        <is>
          <t>The binding check goes beyond the question but only confirms the 4 parameters are real and independent. Fair.</t>
        </is>
      </c>
      <c r="G12" s="24" t="inlineStr">
        <is>
          <t>None. The LLM left the first num_parameters_settable() call in place, which raises TypeError on all 27 versions before any check runs.</t>
        </is>
      </c>
      <c r="H12" s="25">
        <f>COUNTIF(Summary!$B$17:$AB$17,"Passed on test")&amp;" / "&amp;(COUNTIF(Summary!$B$17:$AB$17,"Passed on test")+COUNTIF(Summary!$B$17:$AB$17,"Failed on test")+COUNTIF(Summary!$B$17:$AB$17,"Runtime error"))</f>
        <v/>
      </c>
      <c r="I12" s="25">
        <f>IF(COUNTIF(Summary!$B$17:$AB$17,"Passed on test")=(COUNTIF(Summary!$B$17:$AB$17,"Passed on test")+COUNTIF(Summary!$B$17:$AB$17,"Failed on test")+COUNTIF(Summary!$B$17:$AB$17,"Runtime error")),"Passed on test",IF(COUNTIF(Summary!$B$17:$AB$17,"Runtime error")&gt;0,"Runtime error","Failed on test"))</f>
        <v/>
      </c>
    </row>
    <row r="13" ht="55.2" customHeight="1" s="35">
      <c r="A13" s="21" t="inlineStr">
        <is>
          <t>issue_295</t>
        </is>
      </c>
      <c r="B13" s="26" t="inlineStr">
        <is>
          <t>Extra but reasonable</t>
        </is>
      </c>
      <c r="C13" s="27" t="inlineStr">
        <is>
          <t>No</t>
        </is>
      </c>
      <c r="D13" s="24" t="inlineStr">
        <is>
          <t>circuit += oracle no longer works in new Qiskit; append the oracle so Deutsch's algorithm runs.</t>
        </is>
      </c>
      <c r="E13" s="24" t="inlineStr">
        <is>
          <t>Runs deutsch_circuit with all four one-bit oracles (the two in the code plus constant-1 and balanced-NOT) and checks each gives the right answer with one measurement on qubit 0.</t>
        </is>
      </c>
      <c r="F13" s="24" t="inlineStr">
        <is>
          <t>Only two oracles appear in the code; testing four checks that deutsch_circuit works for any oracle. Fair.</t>
        </is>
      </c>
      <c r="G13" s="24" t="inlineStr">
        <is>
          <t>None. The LLM passed on all 8 versions.</t>
        </is>
      </c>
      <c r="H13" s="25">
        <f>COUNTIF(Summary!$B$20:$AB$20,"Passed on test")&amp;" / "&amp;(COUNTIF(Summary!$B$20:$AB$20,"Passed on test")+COUNTIF(Summary!$B$20:$AB$20,"Failed on test")+COUNTIF(Summary!$B$20:$AB$20,"Runtime error"))</f>
        <v/>
      </c>
      <c r="I13" s="25">
        <f>IF(COUNTIF(Summary!$B$20:$AB$20,"Passed on test")=(COUNTIF(Summary!$B$20:$AB$20,"Passed on test")+COUNTIF(Summary!$B$20:$AB$20,"Failed on test")+COUNTIF(Summary!$B$20:$AB$20,"Runtime error")),"Passed on test",IF(COUNTIF(Summary!$B$20:$AB$20,"Runtime error")&gt;0,"Runtime error","Failed on test"))</f>
        <v/>
      </c>
    </row>
    <row r="14" ht="55.2" customHeight="1" s="35">
      <c r="A14" s="21" t="inlineStr">
        <is>
          <t>issue_315</t>
        </is>
      </c>
      <c r="B14" s="26" t="inlineStr">
        <is>
          <t>Extra but reasonable</t>
        </is>
      </c>
      <c r="C14" s="27" t="inlineStr">
        <is>
          <t>No</t>
        </is>
      </c>
      <c r="D14" s="24" t="inlineStr">
        <is>
          <t>BasicSimulator rejects max_parallel_threads and the other parallel options; how do I set them in Qiskit 1.0?</t>
        </is>
      </c>
      <c r="E14" s="24" t="inlineStr">
        <is>
          <t>The backend's options must actually hold the four requested values (max_parallel_threads=0, max_parallel_experiments=0, max_parallel_shots=42, statevector_parallel_threshold=16), the run must succeed and the Bell counts must be about 50/50.</t>
        </is>
      </c>
      <c r="F14" s="24" t="inlineStr">
        <is>
          <t>Checking the options is exactly what the user asked for; the Bell-sampling checks only confirm the run works. Fair.</t>
        </is>
      </c>
      <c r="G14" s="24" t="inlineStr">
        <is>
          <t>None. The LLM deleted the options instead of switching to AerSimulator, so it would fail any test of what the user asked (Runtime error on all 23 versions).</t>
        </is>
      </c>
      <c r="H14" s="25">
        <f>COUNTIF(Summary!$B$21:$AB$21,"Passed on test")&amp;" / "&amp;(COUNTIF(Summary!$B$21:$AB$21,"Passed on test")+COUNTIF(Summary!$B$21:$AB$21,"Failed on test")+COUNTIF(Summary!$B$21:$AB$21,"Runtime error"))</f>
        <v/>
      </c>
      <c r="I14" s="25">
        <f>IF(COUNTIF(Summary!$B$21:$AB$21,"Passed on test")=(COUNTIF(Summary!$B$21:$AB$21,"Passed on test")+COUNTIF(Summary!$B$21:$AB$21,"Failed on test")+COUNTIF(Summary!$B$21:$AB$21,"Runtime error")),"Passed on test",IF(COUNTIF(Summary!$B$21:$AB$21,"Runtime error")&gt;0,"Runtime error","Failed on test"))</f>
        <v/>
      </c>
    </row>
    <row r="15" ht="82.8" customHeight="1" s="35">
      <c r="A15" s="21" t="inlineStr">
        <is>
          <t>issue_453</t>
        </is>
      </c>
      <c r="B15" s="22" t="inlineStr">
        <is>
          <t>Over-specific</t>
        </is>
      </c>
      <c r="C15" s="23" t="inlineStr">
        <is>
          <t>Yes</t>
        </is>
      </c>
      <c r="D15" s="24" t="inlineStr">
        <is>
          <t>Compose a subcircuit that needs extra ancilla qubits onto a smaller circuit, ideally letting the extra qubits be counted as ancillas in some register that can be extended. The question never names a helper method.</t>
        </is>
      </c>
      <c r="E15" s="24" t="inlineStr">
        <is>
          <t>circ must have 6 qubits of which 2 are ancillas, with the right statevector. A second check calls main.compose_with_auto_ancillas(...) on new circuits with 0, 1, 2 and 4 existing ancillas and checks it adds only the ancillas that are missing.</t>
        </is>
      </c>
      <c r="F15" s="24" t="inlineStr">
        <is>
          <t>compose_with_auto_ancillas is the name of the monkey-patched helper in the Stack Overflow answer; the question never mentions it, so any other valid design (a differently named function, or pre-allocating an AncillaRegister) fails the second check.</t>
        </is>
      </c>
      <c r="G15" s="24" t="inlineStr">
        <is>
          <t>Partly. The LLM fails the method-name check, but it also only widened circ to 6 plain qubits: no ancilla register and nothing added automatically, so it would still miss what the question asks for. Failed on test on all 23 versions.</t>
        </is>
      </c>
      <c r="H15" s="25">
        <f>COUNTIF(Summary!$B$29:$AB$29,"Passed on test")&amp;" / "&amp;(COUNTIF(Summary!$B$29:$AB$29,"Passed on test")+COUNTIF(Summary!$B$29:$AB$29,"Failed on test")+COUNTIF(Summary!$B$29:$AB$29,"Runtime error"))</f>
        <v/>
      </c>
      <c r="I15" s="25">
        <f>IF(COUNTIF(Summary!$B$29:$AB$29,"Passed on test")=(COUNTIF(Summary!$B$29:$AB$29,"Passed on test")+COUNTIF(Summary!$B$29:$AB$29,"Failed on test")+COUNTIF(Summary!$B$29:$AB$29,"Runtime error")),"Passed on test",IF(COUNTIF(Summary!$B$29:$AB$29,"Runtime error")&gt;0,"Runtime error","Failed on test"))</f>
        <v/>
      </c>
    </row>
    <row r="16" ht="55.2" customHeight="1" s="35">
      <c r="A16" s="21" t="inlineStr">
        <is>
          <t>issue_415</t>
        </is>
      </c>
      <c r="B16" s="26" t="inlineStr">
        <is>
          <t>Over-specific in its last check only</t>
        </is>
      </c>
      <c r="C16" s="27" t="inlineStr">
        <is>
          <t>Partly</t>
        </is>
      </c>
      <c r="D16" s="24" t="inlineStr">
        <is>
          <t>Prepare the state ((1+i)|0&gt; - i|1&gt;)/sqrt(3) with u3; the angles came out complex and Qiskit rejects them.</t>
        </is>
      </c>
      <c r="E16" s="24" t="inlineStr">
        <is>
          <t>The prepared state must match the target up to global phase, theta and phi must be real, and the printed statevector (decimals=3) must equal target * exp(-i*pi/4).</t>
        </is>
      </c>
      <c r="F16" s="24" t="inlineStr">
        <is>
          <t>The last check pins the printed state's global phase to the one the reference's u3 angles happen to produce. A fix that sets circ.global_phase so the state equals the target exactly would fail it.</t>
        </is>
      </c>
      <c r="G16" s="24" t="inlineStr">
        <is>
          <t>None. The LLM computed the wrong relative phase (phi = -pi/2 instead of 5*pi/4), so it fails the fair up-to-global-phase check first. Failed on test on all 4 versions.</t>
        </is>
      </c>
      <c r="H16" s="25">
        <f>COUNTIF(Summary!$B$26:$AB$26,"Passed on test")&amp;" / "&amp;(COUNTIF(Summary!$B$26:$AB$26,"Passed on test")+COUNTIF(Summary!$B$26:$AB$26,"Failed on test")+COUNTIF(Summary!$B$26:$AB$26,"Runtime error"))</f>
        <v/>
      </c>
      <c r="I16" s="25">
        <f>IF(COUNTIF(Summary!$B$26:$AB$26,"Passed on test")=(COUNTIF(Summary!$B$26:$AB$26,"Passed on test")+COUNTIF(Summary!$B$26:$AB$26,"Failed on test")+COUNTIF(Summary!$B$26:$AB$26,"Runtime error")),"Passed on test",IF(COUNTIF(Summary!$B$26:$AB$26,"Runtime error")&gt;0,"Runtime error","Failed on test"))</f>
        <v/>
      </c>
    </row>
    <row r="17" ht="55.2" customHeight="1" s="35">
      <c r="A17" s="21" t="inlineStr">
        <is>
          <t>issue_344</t>
        </is>
      </c>
      <c r="B17" s="26" t="inlineStr">
        <is>
          <t>Extra but reasonable</t>
        </is>
      </c>
      <c r="C17" s="27" t="inlineStr">
        <is>
          <t>No</t>
        </is>
      </c>
      <c r="D17" s="24" t="inlineStr">
        <is>
          <t>quantum_info.entropy() raises 'Input quantum state is not a valid' for the simulator's statevector.</t>
        </is>
      </c>
      <c r="E17" s="24" t="inlineStr">
        <is>
          <t>outputstate6 must equal the exact normalized state (no rounding), probability must match, outstatevector must be valid and its entropy 0.</t>
        </is>
      </c>
      <c r="F17" s="24" t="inlineStr">
        <is>
          <t>Requiring the unrounded state goes beyond the printed error, but rounding with decimals=3 is exactly what makes the state invalid. Fair.</t>
        </is>
      </c>
      <c r="G17" s="24" t="inlineStr">
        <is>
          <t>None. The LLM kept decimals=3, so the state is still not normalized and entropy() crashes. Runtime error on all 12 versions.</t>
        </is>
      </c>
      <c r="H17" s="25">
        <f>COUNTIF(Summary!$B$22:$AB$22,"Passed on test")&amp;" / "&amp;(COUNTIF(Summary!$B$22:$AB$22,"Passed on test")+COUNTIF(Summary!$B$22:$AB$22,"Failed on test")+COUNTIF(Summary!$B$22:$AB$22,"Runtime error"))</f>
        <v/>
      </c>
      <c r="I17" s="25">
        <f>IF(COUNTIF(Summary!$B$22:$AB$22,"Passed on test")=(COUNTIF(Summary!$B$22:$AB$22,"Passed on test")+COUNTIF(Summary!$B$22:$AB$22,"Failed on test")+COUNTIF(Summary!$B$22:$AB$22,"Runtime error")),"Passed on test",IF(COUNTIF(Summary!$B$22:$AB$22,"Runtime error")&gt;0,"Runtime error","Failed on test"))</f>
        <v/>
      </c>
    </row>
    <row r="18" ht="55.2" customHeight="1" s="35">
      <c r="A18" s="21" t="inlineStr">
        <is>
          <t>issue_369</t>
        </is>
      </c>
      <c r="B18" s="26" t="inlineStr">
        <is>
          <t>Extra but reasonable</t>
        </is>
      </c>
      <c r="C18" s="27" t="inlineStr">
        <is>
          <t>No</t>
        </is>
      </c>
      <c r="D18" s="24" t="inlineStr">
        <is>
          <t>Composing a controlled 16-qubit subcircuit gives a qubit-count error; give compose all 17 qubits.</t>
        </is>
      </c>
      <c r="E18" s="24" t="inlineStr">
        <is>
          <t>circ must hold one 17-qubit instruction on all qubits, and evolving a sparse random 17-qubit state must match an independent model of the ten controlled-X gates.</t>
        </is>
      </c>
      <c r="F18" s="24" t="inlineStr">
        <is>
          <t>The random-state check is stricter than the question, but it only confirms the controlled subcircuit is unchanged. Fair.</t>
        </is>
      </c>
      <c r="G18" s="24" t="inlineStr">
        <is>
          <t>None. The LLM's compose fix is right, but it invented an extra 3-qubit C3XGate line that crashes on all 27 versions. Without that line it passes.</t>
        </is>
      </c>
      <c r="H18" s="25">
        <f>COUNTIF(Summary!$B$24:$AB$24,"Passed on test")&amp;" / "&amp;(COUNTIF(Summary!$B$24:$AB$24,"Passed on test")+COUNTIF(Summary!$B$24:$AB$24,"Failed on test")+COUNTIF(Summary!$B$24:$AB$24,"Runtime error"))</f>
        <v/>
      </c>
      <c r="I18" s="25">
        <f>IF(COUNTIF(Summary!$B$24:$AB$24,"Passed on test")=(COUNTIF(Summary!$B$24:$AB$24,"Passed on test")+COUNTIF(Summary!$B$24:$AB$24,"Failed on test")+COUNTIF(Summary!$B$24:$AB$24,"Runtime error")),"Passed on test",IF(COUNTIF(Summary!$B$24:$AB$24,"Runtime error")&gt;0,"Runtime error","Failed on test"))</f>
        <v/>
      </c>
    </row>
    <row r="19" ht="55.2" customHeight="1" s="35">
      <c r="A19" s="21" t="inlineStr">
        <is>
          <t>issue_436</t>
        </is>
      </c>
      <c r="B19" s="26" t="inlineStr">
        <is>
          <t>Extra but reasonable</t>
        </is>
      </c>
      <c r="C19" s="27" t="inlineStr">
        <is>
          <t>No</t>
        </is>
      </c>
      <c r="D19" s="24" t="inlineStr">
        <is>
          <t>pulse.set_frequency() is not supported by the PulseSimulator; how do I sweep the drive frequency?</t>
        </is>
      </c>
      <c r="E19" s="24" t="inlineStr">
        <is>
          <t>All 71 schedules must exist with the right frequencies, contain no SetFrequency/ShiftFrequency, and play the envelope modulated by exp(2*pi*i*df*t); the simulation must succeed with 512 shots per experiment.</t>
        </is>
      </c>
      <c r="F19" s="24" t="inlineStr">
        <is>
          <t>Checking every schedule and the run is more than the question's one-line error, but it confirms the whole sweep works. Fair.</t>
        </is>
      </c>
      <c r="G19" s="24" t="inlineStr">
        <is>
          <t>None. The LLM passed on all 4 versions.</t>
        </is>
      </c>
      <c r="H19" s="25">
        <f>COUNTIF(Summary!$B$27:$AB$27,"Passed on test")&amp;" / "&amp;(COUNTIF(Summary!$B$27:$AB$27,"Passed on test")+COUNTIF(Summary!$B$27:$AB$27,"Failed on test")+COUNTIF(Summary!$B$27:$AB$27,"Runtime error"))</f>
        <v/>
      </c>
      <c r="I19" s="25">
        <f>IF(COUNTIF(Summary!$B$27:$AB$27,"Passed on test")=(COUNTIF(Summary!$B$27:$AB$27,"Passed on test")+COUNTIF(Summary!$B$27:$AB$27,"Failed on test")+COUNTIF(Summary!$B$27:$AB$27,"Runtime error")),"Passed on test",IF(COUNTIF(Summary!$B$27:$AB$27,"Runtime error")&gt;0,"Runtime error","Failed on test"))</f>
        <v/>
      </c>
    </row>
    <row r="20" ht="82.8" customHeight="1" s="35">
      <c r="A20" s="21" t="inlineStr">
        <is>
          <t>issue_622</t>
        </is>
      </c>
      <c r="B20" s="22" t="inlineStr">
        <is>
          <t>Over-specific in the old test.py; replaced by the updated test, now the case's test.py (9 Oct 2026)</t>
        </is>
      </c>
      <c r="C20" s="23" t="inlineStr">
        <is>
          <t>Yes</t>
        </is>
      </c>
      <c r="D20" s="24" t="inlineStr">
        <is>
          <t>execute() fails with 'Number of qubits (2) ... is greater than maximum (1)' because the backend has only 1 qubit; the answer says to use a backend with 2 or more qubits.</t>
        </is>
      </c>
      <c r="E20" s="24" t="inlineStr">
        <is>
          <t>The backend must have at least 2 qubits, the job must succeed with 1024 shots, the counts must contain exactly the outcomes '00' and '11' with '00' within 12% of half, and the circuit without measurements must be the Bell state.</t>
        </is>
      </c>
      <c r="F20" s="24" t="inlineStr">
        <is>
          <t>The exact {'00', '11'} check only holds on a noise-free simulator. The question and the answer only ask for a backend with enough qubits; a fake or real device with 2+ qubits fixes the error but has noise, so it also gives some '01' and '10'.</t>
        </is>
      </c>
      <c r="G20" s="24" t="inlineStr">
        <is>
          <t>On 9 Oct 2026 the case's test.py was replaced by an updated version, which drops this requirement and still fails the buggy code and passes the reference on every version. With the updated test the LLM fix passes on every version.</t>
        </is>
      </c>
      <c r="H20" s="25">
        <f>COUNTIF(Summary!$B$38:$AB$38,"Passed on test")&amp;" / "&amp;(COUNTIF(Summary!$B$38:$AB$38,"Passed on test")+COUNTIF(Summary!$B$38:$AB$38,"Failed on test")+COUNTIF(Summary!$B$38:$AB$38,"Runtime error"))</f>
        <v/>
      </c>
      <c r="I20" s="25">
        <f>IF(COUNTIF(Summary!$B$38:$AB$38,"Passed on test")=(COUNTIF(Summary!$B$38:$AB$38,"Passed on test")+COUNTIF(Summary!$B$38:$AB$38,"Failed on test")+COUNTIF(Summary!$B$38:$AB$38,"Runtime error")),"Passed on test",IF(COUNTIF(Summary!$B$38:$AB$38,"Runtime error")&gt;0,"Runtime error","Failed on test"))</f>
        <v/>
      </c>
    </row>
    <row r="21" ht="69" customHeight="1" s="35">
      <c r="A21" s="21" t="inlineStr">
        <is>
          <t>issue_565</t>
        </is>
      </c>
      <c r="B21" s="26" t="inlineStr">
        <is>
          <t>Extra but reasonable</t>
        </is>
      </c>
      <c r="C21" s="27" t="inlineStr">
        <is>
          <t>No</t>
        </is>
      </c>
      <c r="D21" s="24" t="inlineStr">
        <is>
          <t>The custom QAOA mixer built from quantum_info Operators fails with "'Operator' object has no attribute 'primitive_strings'"; make QAOA build its circuits with the paper's mixer (equations 54-58).</t>
        </is>
      </c>
      <c r="E21" s="24" t="inlineStr">
        <is>
          <t>construct_circuit must return bound 9-qubit circuits, and the mixer matrix must be Hermitian and map each of the 6 valid tours only to the tours with two adjacent cities swapped (amplitude 16).</t>
        </is>
      </c>
      <c r="F21" s="24" t="inlineStr">
        <is>
          <t>Checking the mixer's actual matrix goes beyond the error message, and it also requires the s+ / s- operators to be correct (the user's s_plus uses X + Y rather than X + iY). But building the paper's mixer is what the user is trying to do, and 16 is the natural scale for unnormalized X +/- iY terms. Fair.</t>
        </is>
      </c>
      <c r="G21" s="24" t="inlineStr">
        <is>
          <t>None. The LLM kept the *= products, which Aqua treats as scalar multiplication, so building the mixer raises ValueError on all 4 versions before any check runs.</t>
        </is>
      </c>
      <c r="H21" s="25">
        <f>COUNTIF(Summary!$B$34:$AB$34,"Passed on test")&amp;" / "&amp;(COUNTIF(Summary!$B$34:$AB$34,"Passed on test")+COUNTIF(Summary!$B$34:$AB$34,"Failed on test")+COUNTIF(Summary!$B$34:$AB$34,"Runtime error"))</f>
        <v/>
      </c>
      <c r="I21" s="25">
        <f>IF(COUNTIF(Summary!$B$34:$AB$34,"Passed on test")=(COUNTIF(Summary!$B$34:$AB$34,"Passed on test")+COUNTIF(Summary!$B$34:$AB$34,"Failed on test")+COUNTIF(Summary!$B$34:$AB$34,"Runtime error")),"Passed on test",IF(COUNTIF(Summary!$B$34:$AB$34,"Runtime error")&gt;0,"Runtime error","Failed on test"))</f>
        <v/>
      </c>
    </row>
    <row r="22" ht="69" customHeight="1" s="35">
      <c r="A22" s="21" t="inlineStr">
        <is>
          <t>issue_596</t>
        </is>
      </c>
      <c r="B22" s="26" t="inlineStr">
        <is>
          <t>Extra but reasonable</t>
        </is>
      </c>
      <c r="C22" s="27" t="inlineStr">
        <is>
          <t>No</t>
        </is>
      </c>
      <c r="D22" s="24" t="inlineStr">
        <is>
          <t>assemble() reports a mismatch between parameter_binds and the circuit parameters because assign_parameters() did not change qc; the user wants p bound to inp[0] and th to theta.</t>
        </is>
      </c>
      <c r="E22" s="24" t="inlineStr">
        <is>
          <t>No parameters may remain, the bound circuit must equal RY(0.2+0.3+0.4) x RX(0.1) (so each value goes to its intended parameter), and the Qobj must have 10 shots, 1 experiment and only numeric parameters.</t>
        </is>
      </c>
      <c r="F22" s="24" t="inlineStr">
        <is>
          <t>The answer's fix (inplace=True) alone would still bind every parameter to theta[0], because the user's loop is also wrong, so it would fail the value check. But binding the values the user describes is what the question asks for. Fair.</t>
        </is>
      </c>
      <c r="G22" s="24" t="inlineStr">
        <is>
          <t>None. The LLM rebuilt the binding dictionary and kept the returned circuit, so it passed on all 12 versions.</t>
        </is>
      </c>
      <c r="H22" s="25">
        <f>COUNTIF(Summary!$B$36:$AB$36,"Passed on test")&amp;" / "&amp;(COUNTIF(Summary!$B$36:$AB$36,"Passed on test")+COUNTIF(Summary!$B$36:$AB$36,"Failed on test")+COUNTIF(Summary!$B$36:$AB$36,"Runtime error"))</f>
        <v/>
      </c>
      <c r="I22" s="25">
        <f>IF(COUNTIF(Summary!$B$36:$AB$36,"Passed on test")=(COUNTIF(Summary!$B$36:$AB$36,"Passed on test")+COUNTIF(Summary!$B$36:$AB$36,"Failed on test")+COUNTIF(Summary!$B$36:$AB$36,"Runtime error")),"Passed on test",IF(COUNTIF(Summary!$B$36:$AB$36,"Runtime error")&gt;0,"Runtime error","Failed on test"))</f>
        <v/>
      </c>
    </row>
    <row r="23" ht="69" customHeight="1" s="35">
      <c r="A23" s="21" t="inlineStr">
        <is>
          <t>issue_635</t>
        </is>
      </c>
      <c r="B23" s="26" t="inlineStr">
        <is>
          <t>Extra but reasonable</t>
        </is>
      </c>
      <c r="C23" s="27" t="inlineStr">
        <is>
          <t>No</t>
        </is>
      </c>
      <c r="D23" s="24" t="inlineStr">
        <is>
          <t>Apply X to q[0] and q[1] only when c[0]==1 and c[1]==1; can c_if do this for several gates?</t>
        </is>
      </c>
      <c r="E23" s="24" t="inlineStr">
        <is>
          <t>Runs the circuit on all 8 basis inputs and checks the output: inputs with bits 0 and 1 both set must have those two bits flipped, every other input must be unchanged (including inputs with c[2]=1).</t>
        </is>
      </c>
      <c r="F23" s="24" t="inlineStr">
        <is>
          <t>Testing all 8 inputs (including c[2]=1) goes beyond the example, but it is exactly the truth table of 'if c[0]==1 and c[1]==1'. Fair.</t>
        </is>
      </c>
      <c r="G23" s="24" t="inlineStr">
        <is>
          <t>None. The LLM conditioned the two X gates on register values 1 and 2 instead of 3, which is wrong already for input 001. Failed on test on all 4 versions.</t>
        </is>
      </c>
      <c r="H23" s="25">
        <f>COUNTIF(Summary!$B$40:$AB$40,"Passed on test")&amp;" / "&amp;(COUNTIF(Summary!$B$40:$AB$40,"Passed on test")+COUNTIF(Summary!$B$40:$AB$40,"Failed on test")+COUNTIF(Summary!$B$40:$AB$40,"Runtime error"))</f>
        <v/>
      </c>
      <c r="I23" s="25">
        <f>IF(COUNTIF(Summary!$B$40:$AB$40,"Passed on test")=(COUNTIF(Summary!$B$40:$AB$40,"Passed on test")+COUNTIF(Summary!$B$40:$AB$40,"Failed on test")+COUNTIF(Summary!$B$40:$AB$40,"Runtime error")),"Passed on test",IF(COUNTIF(Summary!$B$40:$AB$40,"Runtime error")&gt;0,"Runtime error","Failed on test"))</f>
        <v/>
      </c>
    </row>
    <row r="24" ht="96.59999999999999" customHeight="1" s="35">
      <c r="A24" s="21" t="inlineStr">
        <is>
          <t>issue_671</t>
        </is>
      </c>
      <c r="B24" s="22" t="inlineStr">
        <is>
          <t>Over-specific in the old test.py; replaced by the updated test, now the case's test.py (9 Oct 2026)</t>
        </is>
      </c>
      <c r="C24" s="23" t="inlineStr">
        <is>
          <t>Yes</t>
        </is>
      </c>
      <c r="D24" s="24" t="inlineStr">
        <is>
          <t>QuantumCircuit(a, v, b) fails because v is a list of registers; the user wants a circuit with register a, every register in v, and b.</t>
        </is>
      </c>
      <c r="E24" s="24" t="inlineStr">
        <is>
          <t>9 qubits and 1 clbit, qregs == [a] + v, cregs == [b], qubit order a then v0..v3, and the full 512x512 unitary must equal x(v0[0]) followed by cx(v1[0], a[0]).</t>
        </is>
      </c>
      <c r="F24" s="24" t="inlineStr">
        <is>
          <t>The two gates come from the answer's add_register example; they are not in the buggy code and the question never asks for them. Only the register checks follow from the question.</t>
        </is>
      </c>
      <c r="G24" s="24" t="inlineStr">
        <is>
          <t>On 9 Oct 2026 the case's test.py was replaced by an updated version, which drops this requirement and still fails the buggy code and passes the reference on every version. With the updated test the LLM fix passes on every version.</t>
        </is>
      </c>
      <c r="H24" s="25">
        <f>COUNTIF(Summary!$B$43:$AB$43,"Passed on test")&amp;" / "&amp;(COUNTIF(Summary!$B$43:$AB$43,"Passed on test")+COUNTIF(Summary!$B$43:$AB$43,"Failed on test")+COUNTIF(Summary!$B$43:$AB$43,"Runtime error"))</f>
        <v/>
      </c>
      <c r="I24" s="25">
        <f>IF(COUNTIF(Summary!$B$43:$AB$43,"Passed on test")=(COUNTIF(Summary!$B$43:$AB$43,"Passed on test")+COUNTIF(Summary!$B$43:$AB$43,"Failed on test")+COUNTIF(Summary!$B$43:$AB$43,"Runtime error")),"Passed on test",IF(COUNTIF(Summary!$B$43:$AB$43,"Runtime error")&gt;0,"Runtime error","Failed on test"))</f>
        <v/>
      </c>
    </row>
    <row r="25" ht="96.59999999999999" customHeight="1" s="35">
      <c r="A25" s="21" t="inlineStr">
        <is>
          <t>issue_775</t>
        </is>
      </c>
      <c r="B25" s="22" t="inlineStr">
        <is>
          <t>Over-specific in the old test.py; replaced by the updated test, now the case's test.py (9 Oct 2026)</t>
        </is>
      </c>
      <c r="C25" s="23" t="inlineStr">
        <is>
          <t>Yes</t>
        </is>
      </c>
      <c r="D25" s="24" t="inlineStr">
        <is>
          <t>execute(qasm_str, backend) fails because execute needs a circuit, not QASM text; parse the OpenQASM into a QuantumCircuit and run it.</t>
        </is>
      </c>
      <c r="E25" s="24" t="inlineStr">
        <is>
          <t>Reads the variable qc: 2 qubits, 2 clbits, one h and one cx, Bell-circuit unitary; the result must succeed with 1 experiment.</t>
        </is>
      </c>
      <c r="F25" s="24" t="inlineStr">
        <is>
          <t>It requires the parsed circuit to be stored in a variable named qc (the answer's name). Inlining QuantumCircuit.from_qasm_str(qasm_str) inside execute(...) is an equally valid fix.</t>
        </is>
      </c>
      <c r="G25" s="24" t="inlineStr">
        <is>
          <t>On 9 Oct 2026 the case's test.py was replaced by an updated version, which drops this requirement and still fails the buggy code and passes the reference on every version. With the updated test the LLM fix passes on every version.</t>
        </is>
      </c>
      <c r="H25" s="25">
        <f>COUNTIF(Summary!$B$50:$AB$50,"Passed on test")&amp;" / "&amp;(COUNTIF(Summary!$B$50:$AB$50,"Passed on test")+COUNTIF(Summary!$B$50:$AB$50,"Failed on test")+COUNTIF(Summary!$B$50:$AB$50,"Runtime error"))</f>
        <v/>
      </c>
      <c r="I25" s="25">
        <f>IF(COUNTIF(Summary!$B$50:$AB$50,"Passed on test")=(COUNTIF(Summary!$B$50:$AB$50,"Passed on test")+COUNTIF(Summary!$B$50:$AB$50,"Failed on test")+COUNTIF(Summary!$B$50:$AB$50,"Runtime error")),"Passed on test",IF(COUNTIF(Summary!$B$50:$AB$50,"Runtime error")&gt;0,"Runtime error","Failed on test"))</f>
        <v/>
      </c>
    </row>
    <row r="26" ht="96.59999999999999" customHeight="1" s="35">
      <c r="A26" s="21" t="inlineStr">
        <is>
          <t>issue_747</t>
        </is>
      </c>
      <c r="B26" s="22" t="inlineStr">
        <is>
          <t>Borderline (count format) in the old test.py; replaced by the updated test, now the case's test.py (9 Oct 2026)</t>
        </is>
      </c>
      <c r="C26" s="23" t="inlineStr">
        <is>
          <t>Partly</t>
        </is>
      </c>
      <c r="D26" s="24" t="inlineStr">
        <is>
          <t>The circuit has no measurement, so the counts are always all zeros; add measurements to get GHZ statistics.</t>
        </is>
      </c>
      <c r="E26" s="24" t="inlineStr">
        <is>
          <t>The job succeeds with 100000 shots, the counts keys are exactly {'000', '111'} with '000' within 2% of half, there are 3 measurements, and the state before measurement is GHZ.</t>
        </is>
      </c>
      <c r="F26" s="24" t="inlineStr">
        <is>
          <t>Requiring the exact keys '000'/'111' assumes the 3 existing classical bits are used. measure_all() is a common way to add measurements, but on a QuantumCircuit(3, 3) it adds a second register and leaves the first 3 bits unused, so the keys become '000 000'/'111 000'.</t>
        </is>
      </c>
      <c r="G26" s="24" t="inlineStr">
        <is>
          <t>On 9 Oct 2026 the case's test.py was replaced by an updated version, which drops this requirement and still fails the buggy code and passes the reference on every version. With the updated test the LLM fix passes on every version.</t>
        </is>
      </c>
      <c r="H26" s="25">
        <f>COUNTIF(Summary!$B$46:$AB$46,"Passed on test")&amp;" / "&amp;(COUNTIF(Summary!$B$46:$AB$46,"Passed on test")+COUNTIF(Summary!$B$46:$AB$46,"Failed on test")+COUNTIF(Summary!$B$46:$AB$46,"Runtime error"))</f>
        <v/>
      </c>
      <c r="I26" s="25">
        <f>IF(COUNTIF(Summary!$B$46:$AB$46,"Passed on test")=(COUNTIF(Summary!$B$46:$AB$46,"Passed on test")+COUNTIF(Summary!$B$46:$AB$46,"Failed on test")+COUNTIF(Summary!$B$46:$AB$46,"Runtime error")),"Passed on test",IF(COUNTIF(Summary!$B$46:$AB$46,"Runtime error")&gt;0,"Runtime error","Failed on test"))</f>
        <v/>
      </c>
    </row>
    <row r="27" ht="82.8" customHeight="1" s="35">
      <c r="A27" s="21" t="inlineStr">
        <is>
          <t>issue_769</t>
        </is>
      </c>
      <c r="B27" s="26" t="inlineStr">
        <is>
          <t>Over-specific (function name), but not the reason</t>
        </is>
      </c>
      <c r="C27" s="27" t="inlineStr">
        <is>
          <t>Partly</t>
        </is>
      </c>
      <c r="D27" s="24" t="inlineStr">
        <is>
          <t>UnitaryGate(matrix).name is always 'unitary'; the user wants a program that outputs the standard gate name for a given unitary (e.g. XGate for Pauli X).</t>
        </is>
      </c>
      <c r="E27" s="24" t="inlineStr">
        <is>
          <t>Calls get_qiskit_gate (the answer's name) on X and 10 other standard gates, and expects None for an RY(0.12345) matrix and a 3x3 identity.</t>
        </is>
      </c>
      <c r="F27" s="24" t="inlineStr">
        <is>
          <t>It needs the answer's function name get_qiskit_gate. Checking several standard gates and the None case is a fair reading of 'output the name if it is a standard gate'.</t>
        </is>
      </c>
      <c r="G27" s="24" t="inlineStr">
        <is>
          <t>No change. The LLM only hard-codes a check against XGate and prints 'x', so it would fail a fair test that called its code on other gates. Runtime error on all 15 versions (KeyError: 'get_qiskit_gate').</t>
        </is>
      </c>
      <c r="H27" s="25">
        <f>COUNTIF(Summary!$B$48:$AB$48,"Passed on test")&amp;" / "&amp;(COUNTIF(Summary!$B$48:$AB$48,"Passed on test")+COUNTIF(Summary!$B$48:$AB$48,"Failed on test")+COUNTIF(Summary!$B$48:$AB$48,"Runtime error"))</f>
        <v/>
      </c>
      <c r="I27" s="25">
        <f>IF(COUNTIF(Summary!$B$48:$AB$48,"Passed on test")=(COUNTIF(Summary!$B$48:$AB$48,"Passed on test")+COUNTIF(Summary!$B$48:$AB$48,"Failed on test")+COUNTIF(Summary!$B$48:$AB$48,"Runtime error")),"Passed on test",IF(COUNTIF(Summary!$B$48:$AB$48,"Runtime error")&gt;0,"Runtime error","Failed on test"))</f>
        <v/>
      </c>
    </row>
    <row r="28" ht="96.59999999999999" customHeight="1" s="35">
      <c r="A28" s="21" t="inlineStr">
        <is>
          <t>issue_810</t>
        </is>
      </c>
      <c r="B28" s="22" t="inlineStr">
        <is>
          <t>Over-specific in the old test.py; replaced by the updated test, now the case's test.py (9 Oct 2026)</t>
        </is>
      </c>
      <c r="C28" s="23" t="inlineStr">
        <is>
          <t>Yes</t>
        </is>
      </c>
      <c r="D28" s="24" t="inlineStr">
        <is>
          <t>job.result(job) passes the job as a timeout and the code prints the whole Result; the user wants the raw measurement data (the counts).</t>
        </is>
      </c>
      <c r="E28" s="24" t="inlineStr">
        <is>
          <t>Reads the variable counts_dict: a dict with exactly 100 shots, outcomes {'0', '1'} near 50/50, equal to job.result().get_counts().</t>
        </is>
      </c>
      <c r="F28" s="24" t="inlineStr">
        <is>
          <t>It requires the reference's variable name counts_dict and exactly 100 shots, although the buggy code (and the question) uses 1024 shots; the reference changed the shot count.</t>
        </is>
      </c>
      <c r="G28" s="24" t="inlineStr">
        <is>
          <t>On 9 Oct 2026 the case's test.py was replaced by an updated version, which drops this requirement and still fails the buggy code and passes the reference on every version. With the updated test the LLM fix passes on every version.</t>
        </is>
      </c>
      <c r="H28" s="25">
        <f>COUNTIF(Summary!$B$53:$AB$53,"Passed on test")&amp;" / "&amp;(COUNTIF(Summary!$B$53:$AB$53,"Passed on test")+COUNTIF(Summary!$B$53:$AB$53,"Failed on test")+COUNTIF(Summary!$B$53:$AB$53,"Runtime error"))</f>
        <v/>
      </c>
      <c r="I28" s="25">
        <f>IF(COUNTIF(Summary!$B$53:$AB$53,"Passed on test")=(COUNTIF(Summary!$B$53:$AB$53,"Passed on test")+COUNTIF(Summary!$B$53:$AB$53,"Failed on test")+COUNTIF(Summary!$B$53:$AB$53,"Runtime error")),"Passed on test",IF(COUNTIF(Summary!$B$53:$AB$53,"Runtime error")&gt;0,"Runtime error","Failed on test"))</f>
        <v/>
      </c>
    </row>
    <row r="29" ht="96.59999999999999" customHeight="1" s="35">
      <c r="A29" s="21" t="inlineStr">
        <is>
          <t>issue_886</t>
        </is>
      </c>
      <c r="B29" s="22" t="inlineStr">
        <is>
          <t>Over-specific in the old test.py; replaced by the updated test, now the case's test.py (9 Oct 2026)</t>
        </is>
      </c>
      <c r="C29" s="23" t="inlineStr">
        <is>
          <t>Yes</t>
        </is>
      </c>
      <c r="D29" s="24" t="inlineStr">
        <is>
          <t>Running a circuit with crx on qasm_simulator fails with 'unknown instruction: crx'; transpile the circuit for the backend first.</t>
        </is>
      </c>
      <c r="E29" s="24" t="inlineStr">
        <is>
          <t>The counts must be exactly {'00': 1024}, and the variable transpile_circ (without measurements) must have the exact controlled-RX unitary.</t>
        </is>
      </c>
      <c r="F29" s="24" t="inlineStr">
        <is>
          <t>The exact key '00' assumes the classical register from QuantumCircuit(2, 2) was removed, which the reference did but the question never asks for; the buggy code's measure_all() adds a second register. It also needs the variable name transpile_circ.</t>
        </is>
      </c>
      <c r="G29" s="24" t="inlineStr">
        <is>
          <t>On 9 Oct 2026 the case's test.py was replaced by an updated version, which drops this requirement and still fails the buggy code and passes the reference on every version. With the updated test the LLM fix passes on every version.</t>
        </is>
      </c>
      <c r="H29" s="25">
        <f>COUNTIF(Summary!$B$57:$AB$57,"Passed on test")&amp;" / "&amp;(COUNTIF(Summary!$B$57:$AB$57,"Passed on test")+COUNTIF(Summary!$B$57:$AB$57,"Failed on test")+COUNTIF(Summary!$B$57:$AB$57,"Runtime error"))</f>
        <v/>
      </c>
      <c r="I29" s="25">
        <f>IF(COUNTIF(Summary!$B$57:$AB$57,"Passed on test")=(COUNTIF(Summary!$B$57:$AB$57,"Passed on test")+COUNTIF(Summary!$B$57:$AB$57,"Failed on test")+COUNTIF(Summary!$B$57:$AB$57,"Runtime error")),"Passed on test",IF(COUNTIF(Summary!$B$57:$AB$57,"Runtime error")&gt;0,"Runtime error","Failed on test"))</f>
        <v/>
      </c>
    </row>
    <row r="30" ht="96.59999999999999" customHeight="1" s="35">
      <c r="A30" s="21" t="inlineStr">
        <is>
          <t>issue_911</t>
        </is>
      </c>
      <c r="B30" s="22" t="inlineStr">
        <is>
          <t>Over-specific (print format) in the old test.py; replaced by the updated test, now the case's test.py (9 Oct 2026)</t>
        </is>
      </c>
      <c r="C30" s="23" t="inlineStr">
        <is>
          <t>Yes</t>
        </is>
      </c>
      <c r="D30" s="24" t="inlineStr">
        <is>
          <t>Print which qubits each gate acts on; qargs[1] fails on one-qubit gates, and Qubit no longer has .register / .index.</t>
        </is>
      </c>
      <c r="E30" s="24" t="inlineStr">
        <is>
          <t>Parses every printed line that starts with 'qargs :' as a Python list of integers and compares it with the gates' qubit indices.</t>
        </is>
      </c>
      <c r="F30" s="24" t="inlineStr">
        <is>
          <t>It requires the reference's exact print format, a list of ints on the 'qargs :' line. Printing the register and index of each qubit on separate lines carries the same information.</t>
        </is>
      </c>
      <c r="G30" s="24" t="inlineStr">
        <is>
          <t>On 9 Oct 2026 the case's test.py was replaced by an updated version, which drops this requirement and still fails the buggy code and passes the reference on every version. With the updated test the LLM fix passes on every version.</t>
        </is>
      </c>
      <c r="H30" s="25">
        <f>COUNTIF(Summary!$B$59:$AB$59,"Passed on test")&amp;" / "&amp;(COUNTIF(Summary!$B$59:$AB$59,"Passed on test")+COUNTIF(Summary!$B$59:$AB$59,"Failed on test")+COUNTIF(Summary!$B$59:$AB$59,"Runtime error"))</f>
        <v/>
      </c>
      <c r="I30" s="25">
        <f>IF(COUNTIF(Summary!$B$59:$AB$59,"Passed on test")=(COUNTIF(Summary!$B$59:$AB$59,"Passed on test")+COUNTIF(Summary!$B$59:$AB$59,"Failed on test")+COUNTIF(Summary!$B$59:$AB$59,"Runtime error")),"Passed on test",IF(COUNTIF(Summary!$B$59:$AB$59,"Runtime error")&gt;0,"Runtime error","Failed on test"))</f>
        <v/>
      </c>
    </row>
    <row r="31" ht="96.59999999999999" customHeight="1" s="35">
      <c r="A31" s="21" t="inlineStr">
        <is>
          <t>issue_944</t>
        </is>
      </c>
      <c r="B31" s="22" t="inlineStr">
        <is>
          <t>Over-specific (operator type) in the old test.py; replaced by the updated test, now the case's test.py (9 Oct 2026)</t>
        </is>
      </c>
      <c r="C31" s="23" t="inlineStr">
        <is>
          <t>Yes</t>
        </is>
      </c>
      <c r="D31" s="24" t="inlineStr">
        <is>
          <t>Plus @ ~Plus is not allowed in opflow, and a quantum_info Operator cannot go into NumPyEigensolver; build the projector |+&gt;&lt;+| as an operator the solver accepts.</t>
        </is>
      </c>
      <c r="E31" s="24" t="inlineStr">
        <is>
          <t>proj.data and op.to_matrix() must equal [[.5, .5], [.5, .5]], the smallest eigenvalue must be 0 and the full spectrum {0, 1}.</t>
        </is>
      </c>
      <c r="F31" s="24" t="inlineStr">
        <is>
          <t>proj.data only exists on the reference's quantum_info Operator, and op is the reference's variable name. The question is about opflow, and (I + X) / 2 is the same projector there.</t>
        </is>
      </c>
      <c r="G31" s="24" t="inlineStr">
        <is>
          <t>On 9 Oct 2026 the case's test.py was replaced by an updated version, which drops this requirement and still fails the buggy code and passes the reference on every version. With the updated test the LLM fix passes on every version.</t>
        </is>
      </c>
      <c r="H31" s="25">
        <f>COUNTIF(Summary!$B$61:$AB$61,"Passed on test")&amp;" / "&amp;(COUNTIF(Summary!$B$61:$AB$61,"Passed on test")+COUNTIF(Summary!$B$61:$AB$61,"Failed on test")+COUNTIF(Summary!$B$61:$AB$61,"Runtime error"))</f>
        <v/>
      </c>
      <c r="I31" s="25">
        <f>IF(COUNTIF(Summary!$B$61:$AB$61,"Passed on test")=(COUNTIF(Summary!$B$61:$AB$61,"Passed on test")+COUNTIF(Summary!$B$61:$AB$61,"Failed on test")+COUNTIF(Summary!$B$61:$AB$61,"Runtime error")),"Passed on test",IF(COUNTIF(Summary!$B$61:$AB$61,"Runtime error")&gt;0,"Runtime error","Failed on test"))</f>
        <v/>
      </c>
    </row>
    <row r="32" ht="82.8" customHeight="1" s="35">
      <c r="A32" s="21" t="inlineStr">
        <is>
          <t>issue_877</t>
        </is>
      </c>
      <c r="B32" s="26" t="inlineStr">
        <is>
          <t>Over-specific (27 qubits), but not the reason</t>
        </is>
      </c>
      <c r="C32" s="27" t="inlineStr">
        <is>
          <t>Partly</t>
        </is>
      </c>
      <c r="D32" s="24" t="inlineStr">
        <is>
          <t>The user has no access to a large real backend, so backend is undefined; they want a noise model like a real device's.</t>
        </is>
      </c>
      <c r="E32" s="24" t="inlineStr">
        <is>
          <t>backend must have exactly 27 qubits, the noise model must not be ideal and must contain readout and gate errors, and it must run on a local AerSimulator.</t>
        </is>
      </c>
      <c r="F32" s="24" t="inlineStr">
        <is>
          <t>Exactly 27 qubits pins the reference's FakeKolkata; any large fake device would do. The non-ideal noise checks are fair.</t>
        </is>
      </c>
      <c r="G32" s="24" t="inlineStr">
        <is>
          <t>No change. The LLM's empty NoiseModel() has no noise at all, so it would fail a fair test too. Runtime error on all 8 versions (KeyError: 'backend').</t>
        </is>
      </c>
      <c r="H32" s="25">
        <f>COUNTIF(Summary!$B$56:$AB$56,"Passed on test")&amp;" / "&amp;(COUNTIF(Summary!$B$56:$AB$56,"Passed on test")+COUNTIF(Summary!$B$56:$AB$56,"Failed on test")+COUNTIF(Summary!$B$56:$AB$56,"Runtime error"))</f>
        <v/>
      </c>
      <c r="I32" s="25">
        <f>IF(COUNTIF(Summary!$B$56:$AB$56,"Passed on test")=(COUNTIF(Summary!$B$56:$AB$56,"Passed on test")+COUNTIF(Summary!$B$56:$AB$56,"Failed on test")+COUNTIF(Summary!$B$56:$AB$56,"Runtime error")),"Passed on test",IF(COUNTIF(Summary!$B$56:$AB$56,"Runtime error")&gt;0,"Runtime error","Failed on test"))</f>
        <v/>
      </c>
    </row>
    <row r="33" ht="96.59999999999999" customHeight="1" s="35">
      <c r="A33" s="21" t="inlineStr">
        <is>
          <t>issue_977</t>
        </is>
      </c>
      <c r="B33" s="22" t="inlineStr">
        <is>
          <t>Over-specific (variable name) in the old test.py; replaced by the updated test, now the case's test.py (9 Oct 2026)</t>
        </is>
      </c>
      <c r="C33" s="23" t="inlineStr">
        <is>
          <t>Yes</t>
        </is>
      </c>
      <c r="D33" s="24" t="inlineStr">
        <is>
          <t>SparsePauliOp(matrix) fails because the constructor expects Pauli data; decompose the 4x4 Hamiltonian matrix into Pauli terms.</t>
        </is>
      </c>
      <c r="E33" s="24" t="inlineStr">
        <is>
          <t>The variable op must be a 2-qubit SparsePauliOp whose matrix equals the Hamiltonian and whose coefficients match the Pauli decomposition.</t>
        </is>
      </c>
      <c r="F33" s="24" t="inlineStr">
        <is>
          <t>It requires the reference's variable name op; the buggy code calls it H_op.</t>
        </is>
      </c>
      <c r="G33" s="24" t="inlineStr">
        <is>
          <t>On 9 Oct 2026 the case's test.py was replaced by an updated version, which drops this requirement and still fails the buggy code and passes the reference on every version. With the updated test the LLM fix passes on every version.</t>
        </is>
      </c>
      <c r="H33" s="25">
        <f>COUNTIF(Summary!$B$64:$AB$64,"Passed on test")&amp;" / "&amp;(COUNTIF(Summary!$B$64:$AB$64,"Passed on test")+COUNTIF(Summary!$B$64:$AB$64,"Failed on test")+COUNTIF(Summary!$B$64:$AB$64,"Runtime error"))</f>
        <v/>
      </c>
      <c r="I33" s="25">
        <f>IF(COUNTIF(Summary!$B$64:$AB$64,"Passed on test")=(COUNTIF(Summary!$B$64:$AB$64,"Passed on test")+COUNTIF(Summary!$B$64:$AB$64,"Failed on test")+COUNTIF(Summary!$B$64:$AB$64,"Runtime error")),"Passed on test",IF(COUNTIF(Summary!$B$64:$AB$64,"Runtime error")&gt;0,"Runtime error","Failed on test"))</f>
        <v/>
      </c>
    </row>
    <row r="34" ht="96.59999999999999" customHeight="1" s="35">
      <c r="A34" s="21" t="inlineStr">
        <is>
          <t>issue_994</t>
        </is>
      </c>
      <c r="B34" s="22" t="inlineStr">
        <is>
          <t>Over-specific (snapshot method) in the old test.py; replaced by the updated test, now the case's test.py (9 Oct 2026)</t>
        </is>
      </c>
      <c r="C34" s="23" t="inlineStr">
        <is>
          <t>Yes</t>
        </is>
      </c>
      <c r="D34" s="24" t="inlineStr">
        <is>
          <t>get_statevector() fails on QasmSimulator results because the simulator does not store the statevector unless asked to.</t>
        </is>
      </c>
      <c r="E34" s="24" t="inlineStr">
        <is>
          <t>The variable statevector must be the Bell state and must equal the circuit's 'final' statevector snapshot in the result.</t>
        </is>
      </c>
      <c r="F34" s="24" t="inlineStr">
        <is>
          <t>It requires the reference's snapshot approach and variable name. Saving the statevector with save_statevector() and reading it with get_statevector() gives the same state.</t>
        </is>
      </c>
      <c r="G34" s="24" t="inlineStr">
        <is>
          <t>On 9 Oct 2026 the case's test.py was replaced by an updated version, which drops this requirement and still fails the buggy code and passes the reference on every version. With the updated test the LLM fix passes on every version.</t>
        </is>
      </c>
      <c r="H34" s="25">
        <f>COUNTIF(Summary!$B$67:$AB$67,"Passed on test")&amp;" / "&amp;(COUNTIF(Summary!$B$67:$AB$67,"Passed on test")+COUNTIF(Summary!$B$67:$AB$67,"Failed on test")+COUNTIF(Summary!$B$67:$AB$67,"Runtime error"))</f>
        <v/>
      </c>
      <c r="I34" s="25">
        <f>IF(COUNTIF(Summary!$B$67:$AB$67,"Passed on test")=(COUNTIF(Summary!$B$67:$AB$67,"Passed on test")+COUNTIF(Summary!$B$67:$AB$67,"Failed on test")+COUNTIF(Summary!$B$67:$AB$67,"Runtime error")),"Passed on test",IF(COUNTIF(Summary!$B$67:$AB$67,"Runtime error")&gt;0,"Runtime error","Failed on test"))</f>
        <v/>
      </c>
    </row>
    <row r="35" ht="96.59999999999999" customHeight="1" s="35">
      <c r="A35" s="21" t="inlineStr">
        <is>
          <t>issue_1035</t>
        </is>
      </c>
      <c r="B35" s="22" t="inlineStr">
        <is>
          <t>Over-specific (variable name) in the old test.py; replaced by the updated test, now the case's test.py (9 Oct 2026)</t>
        </is>
      </c>
      <c r="C35" s="23" t="inlineStr">
        <is>
          <t>Yes</t>
        </is>
      </c>
      <c r="D35" s="24" t="inlineStr">
        <is>
          <t>The Runtime service and session need an IBM account and real backend; run the estimator locally on a fake backend instead.</t>
        </is>
      </c>
      <c r="E35" s="24" t="inlineStr">
        <is>
          <t>No qiskit_ibm_runtime import; qc and O give expectation +1, and the variable result has one value within 0.2 of +1.</t>
        </is>
      </c>
      <c r="F35" s="24" t="inlineStr">
        <is>
          <t>It requires the variable name result; the LLM prints job.result().values without storing it.</t>
        </is>
      </c>
      <c r="G35" s="24" t="inlineStr">
        <is>
          <t>On 9 Oct 2026 the case's test.py was replaced by an updated version, which drops this requirement and still fails the buggy code and passes the reference on every version. With the updated test the LLM fix passes on every version.</t>
        </is>
      </c>
      <c r="H35" s="25">
        <f>COUNTIF(Summary!$B$68:$AB$68,"Passed on test")&amp;" / "&amp;(COUNTIF(Summary!$B$68:$AB$68,"Passed on test")+COUNTIF(Summary!$B$68:$AB$68,"Failed on test")+COUNTIF(Summary!$B$68:$AB$68,"Runtime error"))</f>
        <v/>
      </c>
      <c r="I35" s="25">
        <f>IF(COUNTIF(Summary!$B$68:$AB$68,"Passed on test")=(COUNTIF(Summary!$B$68:$AB$68,"Passed on test")+COUNTIF(Summary!$B$68:$AB$68,"Failed on test")+COUNTIF(Summary!$B$68:$AB$68,"Runtime error")),"Passed on test",IF(COUNTIF(Summary!$B$68:$AB$68,"Runtime error")&gt;0,"Runtime error","Failed on test"))</f>
        <v/>
      </c>
    </row>
    <row r="36" ht="82.8" customHeight="1" s="35">
      <c r="A36" s="21" t="inlineStr">
        <is>
          <t>issue_985</t>
        </is>
      </c>
      <c r="B36" s="26" t="inlineStr">
        <is>
          <t>Debatable (requires the phase to be dropped)</t>
        </is>
      </c>
      <c r="C36" s="27" t="inlineStr">
        <is>
          <t>Partly</t>
        </is>
      </c>
      <c r="D36" s="24" t="inlineStr">
        <is>
          <t>Can U1 be written with Rx, Ry, Rz while keeping the phase? transpile to ['rx', 'ry', 'rz'] fails on u1.</t>
        </is>
      </c>
      <c r="E36" s="24" t="inlineStr">
        <is>
          <t>transpiled uses only rx/ry/rz and equals U1 up to phase; it must also have determinant 1, i.e. not equal U1 exactly.</t>
        </is>
      </c>
      <c r="F36" s="24" t="inlineStr">
        <is>
          <t>The determinant check makes the answer's theory (rotation gates alone cannot carry the phase) mandatory and rules out keeping the phase with the circuit's global_phase attribute, which is what the question asks for in practice. The team's earlier test_before.py required the exact phase instead.</t>
        </is>
      </c>
      <c r="G36" s="24" t="inlineStr">
        <is>
          <t>The LLM's rz plus global_phase fix fails only the determinant check, passes test_before.py (where the reference fails) on 0.45.0, 1.2.4 and 2.5.0. Failed on test on all 23 versions.</t>
        </is>
      </c>
      <c r="H36" s="25">
        <f>COUNTIF(Summary!$B$65:$AB$65,"Passed on test")&amp;" / "&amp;(COUNTIF(Summary!$B$65:$AB$65,"Passed on test")+COUNTIF(Summary!$B$65:$AB$65,"Failed on test")+COUNTIF(Summary!$B$65:$AB$65,"Runtime error"))</f>
        <v/>
      </c>
      <c r="I36" s="25">
        <f>IF(COUNTIF(Summary!$B$65:$AB$65,"Passed on test")=(COUNTIF(Summary!$B$65:$AB$65,"Passed on test")+COUNTIF(Summary!$B$65:$AB$65,"Failed on test")+COUNTIF(Summary!$B$65:$AB$65,"Runtime error")),"Passed on test",IF(COUNTIF(Summary!$B$65:$AB$65,"Runtime error")&gt;0,"Runtime error","Failed on test"))</f>
        <v/>
      </c>
    </row>
    <row r="37" ht="82.8" customHeight="1" s="35">
      <c r="A37" s="21" t="inlineStr">
        <is>
          <t>issue_958</t>
        </is>
      </c>
      <c r="B37" s="26" t="inlineStr">
        <is>
          <t>Over-specific (qc2), but not the reason</t>
        </is>
      </c>
      <c r="C37" s="27" t="inlineStr">
        <is>
          <t>Partly</t>
        </is>
      </c>
      <c r="D37" s="24" t="inlineStr">
        <is>
          <t>-1 * qc.h is not allowed; the user wants the circuit -(H x H), i.e. H on both qubits with a -1 global phase.</t>
        </is>
      </c>
      <c r="E37" s="24" t="inlineStr">
        <is>
          <t>Both qc and qc2 must have the operator -(H x H) and the statevector [-.5, -.5, -.5, -.5].</t>
        </is>
      </c>
      <c r="F37" s="24" t="inlineStr">
        <is>
          <t>qc2 is the reference's alternative circuit built with global_phase=pi; the question only needs one circuit.</t>
        </is>
      </c>
      <c r="G37" s="24" t="inlineStr">
        <is>
          <t>No change. The LLM applies H a second time, so qc is the identity and fails the fair check too. Failed on test on all 23 versions.</t>
        </is>
      </c>
      <c r="H37" s="25">
        <f>COUNTIF(Summary!$B$63:$AB$63,"Passed on test")&amp;" / "&amp;(COUNTIF(Summary!$B$63:$AB$63,"Passed on test")+COUNTIF(Summary!$B$63:$AB$63,"Failed on test")+COUNTIF(Summary!$B$63:$AB$63,"Runtime error"))</f>
        <v/>
      </c>
      <c r="I37" s="25">
        <f>IF(COUNTIF(Summary!$B$63:$AB$63,"Passed on test")=(COUNTIF(Summary!$B$63:$AB$63,"Passed on test")+COUNTIF(Summary!$B$63:$AB$63,"Failed on test")+COUNTIF(Summary!$B$63:$AB$63,"Runtime error")),"Passed on test",IF(COUNTIF(Summary!$B$63:$AB$63,"Runtime error")&gt;0,"Runtime error","Failed on test"))</f>
        <v/>
      </c>
    </row>
    <row r="38" s="35"/>
    <row r="39" s="35">
      <c r="A39" s="60" t="inlineStr">
        <is>
          <t>Takeaway</t>
        </is>
      </c>
    </row>
    <row r="40" ht="240" customHeight="1" s="35">
      <c r="A40" s="34" t="inlineStr">
        <is>
          <t>issue_061's old test was over-specific; the team's updated test_new.py fixes that and the LLM fix now passes 15/15. issue_096 still asks for more than the question (exact '[default]' content and exact os.system command), but the LLM fix would fail a fair test too because it skips the IPython step. The extra checks in 021_se, 034 and 058_se are fair and did not change any result. Batch 2: issue_189 is over-specific. It only accepts the Stack Overflow answer's control order, and that is the only reason the LLM fix fails. The extra checks in issue_174, issue_233, issue_295 and issue_315 are fair; the LLM failures in 174, 233 and 315 are its own mistakes. Batch 3: issue_453 is over-specific (it requires the answer's compose_with_auto_ancillas helper by name), though the LLM fix also misses the automatic-ancilla part of the question. issue_415's last check pins a global phase, but the LLM fails an earlier fair check. The extra checks in issue_344, issue_369 and issue_436 are fair. Batch 4: issue_622 is over-specific. It requires noise-free counts, and that is the only reason the LLM's FakeYorktown fix fails. The extra checks in issue_565, issue_596 and issue_635 are fair; the LLM failures in 565 and 635 are its own mistakes. Batch 5: issue_671 and issue_775 are over-specific. 671 checks the unitary of the answer's example gates and 775 requires a variable named qc; that is the only reason the LLM failed both, and both fixes pass the updated tests. issue_747 is borderline: the test requires the exact keys '000'/'111', and the LLM's measure_all() adds a second register. issue_769 needs the answer's function name, but the LLM fix would fail a fair test too. Batch 6: issue_810, issue_886, issue_911 and issue_944 are over-specific (a variable name and shot count, an exact count key and variable name, an exact print format, and an attribute only the reference's operator type has); the LLM fix passes all four updated tests. issue_877 pins 27 qubits, but the LLM's empty noise model would fail a fair test too. Batch 7: issue_977, issue_994 and issue_1035 are over-specific (a variable name, the reference's snapshot method, and a variable name); the LLM fix passes all three updated tests. issue_985 is debatable: the test requires the phase to be dropped, while the LLM keeps it exactly with global_phase (and passes the team's earlier test). issue_958 needs the reference's extra circuit qc2, but the LLM fix fails the fair check too. Batch 8: all 6 tests are fair. issue_790's reference fix was updated by the team on 6 Oct 2026 and now passes its test, and issue_827 got its test the same day. Update 9 Oct 2026: the 12 over-specific tests (189, 622, 671, 747, 775, 810, 886, 911, 944, 977, 994, 1035) were replaced by the updated tests (each case's test.py now holds the updated version), which fail the buggy code and pass the reference on every version; every model was retested on them, and the LLM fix passes all 12 on every version.</t>
        </is>
      </c>
    </row>
    <row r="41" s="35"/>
  </sheetData>
  <mergeCells count="2">
    <mergeCell ref="A40:I40"/>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2026-09-28T22:18:15Z</dcterms:created>
  <dcterms:modified xsi:type="dcterms:W3CDTF">2026-10-13T16:54:23Z</dcterms:modified>
  <cp:lastModifiedBy>Saumya Brahmbhatt</cp:lastModifiedBy>
</cp:coreProperties>
</file>