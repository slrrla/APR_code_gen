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_Report" sheetId="1" state="visible" r:id="rId3"/>
    <sheet name="Run_Inf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<sst xmlns="http://schemas.openxmlformats.org/spreadsheetml/2006/main" count="106" uniqueCount="74">
  <si>
    <t xml:space="preserve">Case_number</t>
  </si>
  <si>
    <t xml:space="preserve">Case folder</t>
  </si>
  <si>
    <t xml:space="preserve">Platform</t>
  </si>
  <si>
    <t xml:space="preserve">Bug type</t>
  </si>
  <si>
    <t xml:space="preserve">Reproduced versions (Valid_cases.xlsx)</t>
  </si>
  <si>
    <t xml:space="preserve">Floor version (prompt)</t>
  </si>
  <si>
    <t xml:space="preserve">Validation env</t>
  </si>
  <si>
    <t xml:space="preserve">test.py on fixed.py</t>
  </si>
  <si>
    <t xml:space="preserve">test.py on buggy.py</t>
  </si>
  <si>
    <t xml:space="preserve">Buggy failure signal</t>
  </si>
  <si>
    <t xml:space="preserve">Oracle contract</t>
  </si>
  <si>
    <t xml:space="preserve">Notes</t>
  </si>
  <si>
    <t xml:space="preserve">issue_001</t>
  </si>
  <si>
    <t xml:space="preserve">SE</t>
  </si>
  <si>
    <t xml:space="preserve">CRASH</t>
  </si>
  <si>
    <t xml:space="preserve">0.45.0 - 0.46.3 (8)</t>
  </si>
  <si>
    <t xml:space="preserve">0.45.0</t>
  </si>
  <si>
    <t xml:space="preserve">qiskit 0.46.3</t>
  </si>
  <si>
    <t xml:space="preserve">PASS</t>
  </si>
  <si>
    <t xml:space="preserve">FAIL (expected)</t>
  </si>
  <si>
    <t xml:space="preserve">QiskitRuntimeService: network/credential error (remote IBM Runtime required)</t>
  </si>
  <si>
    <t xml:space="preserve">OK</t>
  </si>
  <si>
    <t xml:space="preserve">Generated test stubs the slow VQE loop and asserts estimator values &lt;H0&gt;=1, &lt;H1&gt;=16 directly</t>
  </si>
  <si>
    <t xml:space="preserve">issue_003</t>
  </si>
  <si>
    <t xml:space="preserve">0.45.0 - 2.5.0 (23)</t>
  </si>
  <si>
    <t xml:space="preserve">qiskit 1.2.4</t>
  </si>
  <si>
    <t xml:space="preserve">MemoryError: unable to allocate 8 TiB (1048576 x 1048576) - Statevector(qc) builds full unitary</t>
  </si>
  <si>
    <t xml:space="preserve">Fixed path verified: dim 2**20, single nonzero amplitude on |0...0&gt;</t>
  </si>
  <si>
    <t xml:space="preserve">issue_005_se</t>
  </si>
  <si>
    <t xml:space="preserve">1.0.0 - 2.5.0 (15)</t>
  </si>
  <si>
    <t xml:space="preserve">1.0.0</t>
  </si>
  <si>
    <t xml:space="preserve">ImportError: QuantumInstance / qiskit.providers.aer removed in Qiskit &gt;= 1.0</t>
  </si>
  <si>
    <t xml:space="preserve">Valid_cases.xlsx row 5 mapped to _se: its valid range (1.0.0+) matches this ImportError; _so fixed.py cannot run on 1.x</t>
  </si>
  <si>
    <t xml:space="preserve">issue_005_so</t>
  </si>
  <si>
    <t xml:space="preserve">SO</t>
  </si>
  <si>
    <t xml:space="preserve">WRONG_OUTPUT</t>
  </si>
  <si>
    <t xml:space="preserve">Whole nested-array dump detected ('[[' in stdout) instead of row-by-row print</t>
  </si>
  <si>
    <t xml:space="preserve">OK (after repair)</t>
  </si>
  <si>
    <t xml:space="preserve">Extra case (se/so ambiguity). One repair: generated regex missed numpy's '0.j' zero format; 2 lines patched, then contract held</t>
  </si>
  <si>
    <t xml:space="preserve">issue_007</t>
  </si>
  <si>
    <t xml:space="preserve">0.25.0 - 2.5.0 (27)</t>
  </si>
  <si>
    <t xml:space="preserve">0.25.0</t>
  </si>
  <si>
    <t xml:space="preserve">TypeError: write() argument must be str, not Result</t>
  </si>
  <si>
    <t xml:space="preserve">Round-trip counts {'00': 512, '11': 512} and on-disk text verified via ast.literal_eval</t>
  </si>
  <si>
    <t xml:space="preserve">issue_009</t>
  </si>
  <si>
    <t xml:space="preserve">TranspilerError: 'Invalid plugin name csp_layout for stage layout'</t>
  </si>
  <si>
    <t xml:space="preserve">Fixed path verified: 5-qubit FakeVigo layout, 3 measurements kept, basis-gate check, GHZ intent check</t>
  </si>
  <si>
    <t xml:space="preserve">Generation + validation report</t>
  </si>
  <si>
    <t xml:space="preserve">Date</t>
  </si>
  <si>
    <t xml:space="preserve">2026-08-17</t>
  </si>
  <si>
    <t xml:space="preserve">Generator script</t>
  </si>
  <si>
    <t xml:space="preserve">generate_test.py (updated)</t>
  </si>
  <si>
    <t xml:space="preserve">LLM model</t>
  </si>
  <si>
    <t xml:space="preserve">claude-opus-5 (Opus 5.0)</t>
  </si>
  <si>
    <t xml:space="preserve">Max tokens</t>
  </si>
  <si>
    <t xml:space="preserve">16000 (headroom for Opus 5 thinking blocks)</t>
  </si>
  <si>
    <t xml:space="preserve">Command</t>
  </si>
  <si>
    <t xml:space="preserve">python generate_test.py --xlsx Valid_cases.xlsx --first 5</t>
  </si>
  <si>
    <t xml:space="preserve">Cases selected</t>
  </si>
  <si>
    <t xml:space="preserve">First 5 rows of Valid_cases.xlsx (case 1, 3, 5, 7, 9); case 5 expanded to _se + _so -&gt; 6 test.py files</t>
  </si>
  <si>
    <t xml:space="preserve">Intent context</t>
  </si>
  <si>
    <t xml:space="preserve">original_question.txt read per case and passed to the LLM</t>
  </si>
  <si>
    <t xml:space="preserve">Floor version</t>
  </si>
  <si>
    <t xml:space="preserve">Per case: oldest version in that case's 'Versions' cell</t>
  </si>
  <si>
    <t xml:space="preserve">Validation envs</t>
  </si>
  <si>
    <t xml:space="preserve">venv A: qiskit 0.46.3 + aer 0.13.3 + ibm-runtime 0.20.0  |  venv B: qiskit 1.2.4 + aer 0.15.1</t>
  </si>
  <si>
    <t xml:space="preserve">test.py must PASS with MUT=fixed.py and FAIL with MUT=buggy.py (MUT env var, runpy indirection)</t>
  </si>
  <si>
    <t xml:space="preserve">Result</t>
  </si>
  <si>
    <t xml:space="preserve">Repairs</t>
  </si>
  <si>
    <t xml:space="preserve">issue_005_so: 1 (regex for numpy '0.j' zeros, 2 lines) - all others generated correct on first attempt</t>
  </si>
  <si>
    <t xml:space="preserve">Finding</t>
  </si>
  <si>
    <t xml:space="preserve">Valid_cases.xlsx row 5 -&gt; issue_005_se (valid range 1.0.0+ matches QuantumInstance removal; _so's fixed.py itself breaks on 1.x). Recommend adding a Source (se/so) column to the xlsx.</t>
  </si>
  <si>
    <t xml:space="preserve">Script changes</t>
  </si>
  <si>
    <t xml:space="preserve">MODEL claude-opus-4-8 -&gt; claude-opus-5; MAX_TOKENS 4096 -&gt; 16000; intent context now reads original_question.txt; new --xlsx/--first options; --root default reconstructed_cases; utf-8 read/write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</si>
</sst>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8" min="6" style="0" width="12"/>
    <col collapsed="false" customWidth="true" hidden="false" outlineLevel="0" max="9" min="9" style="0" width="14"/>
    <col collapsed="false" customWidth="true" hidden="false" outlineLevel="0" max="10" min="10" style="0" width="42"/>
    <col collapsed="false" customWidth="true" hidden="false" outlineLevel="0" max="11" min="11" style="0" width="14"/>
    <col collapsed="false" customWidth="true" hidden="false" outlineLevel="0" max="12" min="12" style="0" width="46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23.85" hidden="false" customHeight="false" outlineLevel="0" collapsed="false">
      <c r="A2" s="2" t="n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 t="s">
        <v>18</v>
      </c>
      <c r="I2" s="4" t="s">
        <v>19</v>
      </c>
      <c r="J2" s="2" t="s">
        <v>20</v>
      </c>
      <c r="K2" s="3" t="s">
        <v>21</v>
      </c>
      <c r="L2" s="2" t="s">
        <v>22</v>
      </c>
    </row>
    <row r="3" customFormat="false" ht="23.85" hidden="false" customHeight="false" outlineLevel="0" collapsed="false">
      <c r="A3" s="2" t="n">
        <v>3</v>
      </c>
      <c r="B3" s="2" t="s">
        <v>23</v>
      </c>
      <c r="C3" s="2" t="s">
        <v>13</v>
      </c>
      <c r="D3" s="2" t="s">
        <v>14</v>
      </c>
      <c r="E3" s="2" t="s">
        <v>24</v>
      </c>
      <c r="F3" s="2" t="s">
        <v>16</v>
      </c>
      <c r="G3" s="2" t="s">
        <v>25</v>
      </c>
      <c r="H3" s="3" t="s">
        <v>18</v>
      </c>
      <c r="I3" s="4" t="s">
        <v>19</v>
      </c>
      <c r="J3" s="2" t="s">
        <v>26</v>
      </c>
      <c r="K3" s="3" t="s">
        <v>21</v>
      </c>
      <c r="L3" s="2" t="s">
        <v>27</v>
      </c>
    </row>
    <row r="4" customFormat="false" ht="35.05" hidden="false" customHeight="false" outlineLevel="0" collapsed="false">
      <c r="A4" s="2" t="n">
        <v>5</v>
      </c>
      <c r="B4" s="2" t="s">
        <v>28</v>
      </c>
      <c r="C4" s="2" t="s">
        <v>13</v>
      </c>
      <c r="D4" s="2" t="s">
        <v>14</v>
      </c>
      <c r="E4" s="2" t="s">
        <v>29</v>
      </c>
      <c r="F4" s="2" t="s">
        <v>30</v>
      </c>
      <c r="G4" s="2" t="s">
        <v>25</v>
      </c>
      <c r="H4" s="3" t="s">
        <v>18</v>
      </c>
      <c r="I4" s="4" t="s">
        <v>19</v>
      </c>
      <c r="J4" s="2" t="s">
        <v>31</v>
      </c>
      <c r="K4" s="3" t="s">
        <v>21</v>
      </c>
      <c r="L4" s="2" t="s">
        <v>32</v>
      </c>
    </row>
    <row r="5" customFormat="false" ht="35.05" hidden="false" customHeight="false" outlineLevel="0" collapsed="false">
      <c r="A5" s="2" t="n">
        <v>5</v>
      </c>
      <c r="B5" s="2" t="s">
        <v>33</v>
      </c>
      <c r="C5" s="2" t="s">
        <v>34</v>
      </c>
      <c r="D5" s="2" t="s">
        <v>35</v>
      </c>
      <c r="E5" s="2" t="s">
        <v>29</v>
      </c>
      <c r="F5" s="2" t="s">
        <v>30</v>
      </c>
      <c r="G5" s="2" t="s">
        <v>25</v>
      </c>
      <c r="H5" s="3" t="s">
        <v>18</v>
      </c>
      <c r="I5" s="4" t="s">
        <v>19</v>
      </c>
      <c r="J5" s="2" t="s">
        <v>36</v>
      </c>
      <c r="K5" s="5" t="s">
        <v>37</v>
      </c>
      <c r="L5" s="2" t="s">
        <v>38</v>
      </c>
    </row>
    <row r="6" customFormat="false" ht="23.85" hidden="false" customHeight="false" outlineLevel="0" collapsed="false">
      <c r="A6" s="2" t="n">
        <v>7</v>
      </c>
      <c r="B6" s="2" t="s">
        <v>39</v>
      </c>
      <c r="C6" s="2" t="s">
        <v>13</v>
      </c>
      <c r="D6" s="2" t="s">
        <v>14</v>
      </c>
      <c r="E6" s="2" t="s">
        <v>40</v>
      </c>
      <c r="F6" s="2" t="s">
        <v>41</v>
      </c>
      <c r="G6" s="2" t="s">
        <v>25</v>
      </c>
      <c r="H6" s="3" t="s">
        <v>18</v>
      </c>
      <c r="I6" s="4" t="s">
        <v>19</v>
      </c>
      <c r="J6" s="2" t="s">
        <v>42</v>
      </c>
      <c r="K6" s="3" t="s">
        <v>21</v>
      </c>
      <c r="L6" s="2" t="s">
        <v>43</v>
      </c>
    </row>
    <row r="7" customFormat="false" ht="23.85" hidden="false" customHeight="false" outlineLevel="0" collapsed="false">
      <c r="A7" s="2" t="n">
        <v>9</v>
      </c>
      <c r="B7" s="2" t="s">
        <v>44</v>
      </c>
      <c r="C7" s="2" t="s">
        <v>34</v>
      </c>
      <c r="D7" s="2" t="s">
        <v>14</v>
      </c>
      <c r="E7" s="2" t="s">
        <v>15</v>
      </c>
      <c r="F7" s="2" t="s">
        <v>16</v>
      </c>
      <c r="G7" s="2" t="s">
        <v>17</v>
      </c>
      <c r="H7" s="3" t="s">
        <v>18</v>
      </c>
      <c r="I7" s="4" t="s">
        <v>19</v>
      </c>
      <c r="J7" s="2" t="s">
        <v>45</v>
      </c>
      <c r="K7" s="3" t="s">
        <v>21</v>
      </c>
      <c r="L7" s="2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6.15" hidden="false" customHeight="false" outlineLevel="0" collapsed="false">
      <c r="A1" s="6" t="s">
        <v>47</v>
      </c>
      <c r="B1" s="7"/>
    </row>
    <row r="2" customFormat="false" ht="15" hidden="false" customHeight="false" outlineLevel="0" collapsed="false">
      <c r="A2" s="8" t="s">
        <v>48</v>
      </c>
      <c r="B2" s="7" t="s">
        <v>49</v>
      </c>
    </row>
    <row r="3" customFormat="false" ht="15" hidden="false" customHeight="false" outlineLevel="0" collapsed="false">
      <c r="A3" s="8" t="s">
        <v>50</v>
      </c>
      <c r="B3" s="7" t="s">
        <v>51</v>
      </c>
    </row>
    <row r="4" customFormat="false" ht="15" hidden="false" customHeight="false" outlineLevel="0" collapsed="false">
      <c r="A4" s="8" t="s">
        <v>52</v>
      </c>
      <c r="B4" s="7" t="s">
        <v>53</v>
      </c>
    </row>
    <row r="5" customFormat="false" ht="15" hidden="false" customHeight="false" outlineLevel="0" collapsed="false">
      <c r="A5" s="8" t="s">
        <v>54</v>
      </c>
      <c r="B5" s="7" t="s">
        <v>55</v>
      </c>
    </row>
    <row r="6" customFormat="false" ht="15" hidden="false" customHeight="false" outlineLevel="0" collapsed="false">
      <c r="A6" s="8" t="s">
        <v>56</v>
      </c>
      <c r="B6" s="7" t="s">
        <v>57</v>
      </c>
    </row>
    <row r="7" customFormat="false" ht="15" hidden="false" customHeight="false" outlineLevel="0" collapsed="false">
      <c r="A7" s="8" t="s">
        <v>58</v>
      </c>
      <c r="B7" s="7" t="s">
        <v>59</v>
      </c>
    </row>
    <row r="8" customFormat="false" ht="15" hidden="false" customHeight="false" outlineLevel="0" collapsed="false">
      <c r="A8" s="8" t="s">
        <v>60</v>
      </c>
      <c r="B8" s="7" t="s">
        <v>61</v>
      </c>
    </row>
    <row r="9" customFormat="false" ht="15" hidden="false" customHeight="false" outlineLevel="0" collapsed="false">
      <c r="A9" s="8" t="s">
        <v>62</v>
      </c>
      <c r="B9" s="7" t="s">
        <v>63</v>
      </c>
    </row>
    <row r="10" customFormat="false" ht="15" hidden="false" customHeight="false" outlineLevel="0" collapsed="false">
      <c r="A10" s="8" t="s">
        <v>64</v>
      </c>
      <c r="B10" s="7" t="s">
        <v>65</v>
      </c>
    </row>
    <row r="11" customFormat="false" ht="15" hidden="false" customHeight="false" outlineLevel="0" collapsed="false">
      <c r="A11" s="8" t="s">
        <v>10</v>
      </c>
      <c r="B11" s="7" t="s">
        <v>66</v>
      </c>
    </row>
    <row r="12" customFormat="false" ht="15" hidden="false" customHeight="false" outlineLevel="0" collapsed="false">
      <c r="A12" s="8" t="s">
        <v>67</v>
      </c>
      <c r="B12" s="7" t="str">
        <f aca="false">COUNTIF(Test_Report!K2:K7,"OK*")&amp;" / "&amp;COUNTA(Test_Report!A2:A7)&amp;" cases satisfy the oracle contract"</f>
        <v>6 / 6 cases satisfy the oracle contract</v>
      </c>
    </row>
    <row r="13" customFormat="false" ht="15" hidden="false" customHeight="false" outlineLevel="0" collapsed="false">
      <c r="A13" s="8" t="s">
        <v>68</v>
      </c>
      <c r="B13" s="7" t="s">
        <v>69</v>
      </c>
    </row>
    <row r="14" customFormat="false" ht="23.85" hidden="false" customHeight="false" outlineLevel="0" collapsed="false">
      <c r="A14" s="8" t="s">
        <v>70</v>
      </c>
      <c r="B14" s="7" t="s">
        <v>71</v>
      </c>
    </row>
    <row r="15" customFormat="false" ht="23.85" hidden="false" customHeight="false" outlineLevel="0" collapsed="false">
      <c r="A15" s="8" t="s">
        <v>72</v>
      </c>
      <c r="B15" s="7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2026-08-17T20:51:36Z</dcterms:created>
  <dc:creator>openpyxl</dc:creator>
  <dc:description/>
  <dc:language>en-US</dc:language>
  <cp:lastModifiedBy/>
  <dcterms:modified xsi:type="dcterms:W3CDTF">2026-08-17T20:51:36Z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